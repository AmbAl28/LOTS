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15\lots\ТЭКС\ПТО\Режимная Наладка котлов\Комплекты режимной наладки котлов 2025\"/>
    </mc:Choice>
  </mc:AlternateContent>
  <bookViews>
    <workbookView xWindow="0" yWindow="0" windowWidth="17640" windowHeight="10635" firstSheet="1" activeTab="2"/>
  </bookViews>
  <sheets>
    <sheet name="Журнал замеров (по Равичу)" sheetId="1" r:id="rId1"/>
    <sheet name="Данные для УРК" sheetId="75" r:id="rId2"/>
    <sheet name="График режимной наладки" sheetId="3" r:id="rId3"/>
    <sheet name="Универсальная РК" sheetId="80" r:id="rId4"/>
    <sheet name="Бережки №1" sheetId="84" r:id="rId5"/>
    <sheet name="ВындинОстров №3" sheetId="85" r:id="rId6"/>
    <sheet name="Кис.Север. №1" sheetId="86" r:id="rId7"/>
  </sheets>
  <definedNames>
    <definedName name="_xlnm._FilterDatabase" localSheetId="2" hidden="1">'График режимной наладки'!$A$1:$I$72</definedName>
    <definedName name="_xlnm.Print_Area" localSheetId="4">'Бережки №1'!$A$1:$L$94</definedName>
    <definedName name="_xlnm.Print_Area" localSheetId="5">'ВындинОстров №3'!$A$1:$L$94</definedName>
    <definedName name="_xlnm.Print_Area" localSheetId="6">'Кис.Север. №1'!$A$1:$L$94</definedName>
    <definedName name="_xlnm.Print_Area" localSheetId="3">'Универсальная РК'!$A$1:$L$94</definedName>
  </definedNames>
  <calcPr calcId="152511"/>
</workbook>
</file>

<file path=xl/calcChain.xml><?xml version="1.0" encoding="utf-8"?>
<calcChain xmlns="http://schemas.openxmlformats.org/spreadsheetml/2006/main">
  <c r="I89" i="86" l="1"/>
  <c r="H89" i="86"/>
  <c r="G89" i="86"/>
  <c r="C89" i="86"/>
  <c r="I88" i="86"/>
  <c r="H88" i="86"/>
  <c r="G88" i="86"/>
  <c r="C88" i="86"/>
  <c r="C87" i="86"/>
  <c r="I86" i="86"/>
  <c r="H86" i="86"/>
  <c r="G86" i="86"/>
  <c r="C86" i="86"/>
  <c r="I85" i="86"/>
  <c r="H85" i="86"/>
  <c r="G85" i="86"/>
  <c r="C85" i="86"/>
  <c r="I84" i="86"/>
  <c r="H84" i="86"/>
  <c r="G84" i="86"/>
  <c r="C84" i="86"/>
  <c r="C83" i="86"/>
  <c r="I82" i="86"/>
  <c r="H82" i="86"/>
  <c r="G82" i="86"/>
  <c r="C82" i="86"/>
  <c r="I81" i="86"/>
  <c r="H81" i="86"/>
  <c r="G81" i="86"/>
  <c r="C81" i="86"/>
  <c r="I80" i="86"/>
  <c r="H80" i="86"/>
  <c r="G80" i="86"/>
  <c r="C80" i="86"/>
  <c r="C79" i="86"/>
  <c r="I78" i="86"/>
  <c r="H78" i="86"/>
  <c r="G78" i="86"/>
  <c r="C78" i="86"/>
  <c r="I77" i="86"/>
  <c r="H77" i="86"/>
  <c r="G77" i="86"/>
  <c r="C77" i="86"/>
  <c r="C76" i="86"/>
  <c r="I75" i="86"/>
  <c r="H75" i="86"/>
  <c r="G75" i="86"/>
  <c r="C75" i="86"/>
  <c r="I74" i="86"/>
  <c r="H74" i="86"/>
  <c r="G74" i="86"/>
  <c r="C74" i="86"/>
  <c r="C73" i="86"/>
  <c r="G72" i="86"/>
  <c r="G71" i="86"/>
  <c r="G70" i="86"/>
  <c r="G68" i="86"/>
  <c r="G67" i="86"/>
  <c r="G66" i="86"/>
  <c r="I47" i="86"/>
  <c r="I43" i="86"/>
  <c r="G43" i="86"/>
  <c r="I40" i="86"/>
  <c r="I46" i="86" s="1"/>
  <c r="G40" i="86"/>
  <c r="G47" i="86" s="1"/>
  <c r="C33" i="86"/>
  <c r="C32" i="86"/>
  <c r="J23" i="86"/>
  <c r="H23" i="86"/>
  <c r="K18" i="86"/>
  <c r="H18" i="86"/>
  <c r="G13" i="86"/>
  <c r="G69" i="86" s="1"/>
  <c r="I89" i="85"/>
  <c r="H89" i="85"/>
  <c r="G89" i="85"/>
  <c r="C89" i="85"/>
  <c r="I88" i="85"/>
  <c r="H88" i="85"/>
  <c r="G88" i="85"/>
  <c r="C88" i="85"/>
  <c r="C87" i="85"/>
  <c r="I86" i="85"/>
  <c r="H86" i="85"/>
  <c r="G86" i="85"/>
  <c r="C86" i="85"/>
  <c r="I85" i="85"/>
  <c r="H85" i="85"/>
  <c r="G85" i="85"/>
  <c r="C85" i="85"/>
  <c r="I84" i="85"/>
  <c r="H84" i="85"/>
  <c r="G84" i="85"/>
  <c r="C84" i="85"/>
  <c r="C83" i="85"/>
  <c r="I82" i="85"/>
  <c r="H82" i="85"/>
  <c r="G82" i="85"/>
  <c r="C82" i="85"/>
  <c r="I81" i="85"/>
  <c r="H81" i="85"/>
  <c r="G81" i="85"/>
  <c r="C81" i="85"/>
  <c r="I80" i="85"/>
  <c r="H80" i="85"/>
  <c r="G80" i="85"/>
  <c r="C80" i="85"/>
  <c r="C79" i="85"/>
  <c r="I78" i="85"/>
  <c r="H78" i="85"/>
  <c r="G78" i="85"/>
  <c r="C78" i="85"/>
  <c r="I77" i="85"/>
  <c r="H77" i="85"/>
  <c r="G77" i="85"/>
  <c r="C77" i="85"/>
  <c r="C76" i="85"/>
  <c r="I75" i="85"/>
  <c r="H75" i="85"/>
  <c r="G75" i="85"/>
  <c r="C75" i="85"/>
  <c r="I74" i="85"/>
  <c r="H74" i="85"/>
  <c r="G74" i="85"/>
  <c r="C74" i="85"/>
  <c r="C73" i="85"/>
  <c r="G72" i="85"/>
  <c r="G71" i="85"/>
  <c r="G70" i="85"/>
  <c r="G68" i="85"/>
  <c r="G67" i="85"/>
  <c r="G66" i="85"/>
  <c r="I49" i="85"/>
  <c r="I50" i="85" s="1"/>
  <c r="I47" i="85"/>
  <c r="G47" i="85"/>
  <c r="G46" i="85"/>
  <c r="G48" i="85" s="1"/>
  <c r="I43" i="85"/>
  <c r="G43" i="85"/>
  <c r="I40" i="85"/>
  <c r="I46" i="85" s="1"/>
  <c r="I48" i="85" s="1"/>
  <c r="G40" i="85"/>
  <c r="G49" i="85" s="1"/>
  <c r="G50" i="85" s="1"/>
  <c r="C33" i="85"/>
  <c r="C32" i="85"/>
  <c r="J23" i="85"/>
  <c r="H23" i="85"/>
  <c r="K18" i="85"/>
  <c r="H18" i="85"/>
  <c r="G13" i="85"/>
  <c r="G69" i="85" s="1"/>
  <c r="I89" i="84"/>
  <c r="H89" i="84"/>
  <c r="G89" i="84"/>
  <c r="C89" i="84"/>
  <c r="I88" i="84"/>
  <c r="H88" i="84"/>
  <c r="G88" i="84"/>
  <c r="C88" i="84"/>
  <c r="C87" i="84"/>
  <c r="I86" i="84"/>
  <c r="H86" i="84"/>
  <c r="G86" i="84"/>
  <c r="C86" i="84"/>
  <c r="I85" i="84"/>
  <c r="H85" i="84"/>
  <c r="G85" i="84"/>
  <c r="C85" i="84"/>
  <c r="I84" i="84"/>
  <c r="H84" i="84"/>
  <c r="G84" i="84"/>
  <c r="C84" i="84"/>
  <c r="C83" i="84"/>
  <c r="I82" i="84"/>
  <c r="H82" i="84"/>
  <c r="G82" i="84"/>
  <c r="C82" i="84"/>
  <c r="I81" i="84"/>
  <c r="H81" i="84"/>
  <c r="G81" i="84"/>
  <c r="C81" i="84"/>
  <c r="I80" i="84"/>
  <c r="H80" i="84"/>
  <c r="G80" i="84"/>
  <c r="C80" i="84"/>
  <c r="C79" i="84"/>
  <c r="I78" i="84"/>
  <c r="H78" i="84"/>
  <c r="G78" i="84"/>
  <c r="C78" i="84"/>
  <c r="I77" i="84"/>
  <c r="H77" i="84"/>
  <c r="G77" i="84"/>
  <c r="C77" i="84"/>
  <c r="C76" i="84"/>
  <c r="I75" i="84"/>
  <c r="H75" i="84"/>
  <c r="G75" i="84"/>
  <c r="C75" i="84"/>
  <c r="I74" i="84"/>
  <c r="H74" i="84"/>
  <c r="G74" i="84"/>
  <c r="C74" i="84"/>
  <c r="C73" i="84"/>
  <c r="G72" i="84"/>
  <c r="G71" i="84"/>
  <c r="G70" i="84"/>
  <c r="G68" i="84"/>
  <c r="G67" i="84"/>
  <c r="G66" i="84"/>
  <c r="G50" i="84"/>
  <c r="I49" i="84"/>
  <c r="I50" i="84" s="1"/>
  <c r="G49" i="84"/>
  <c r="I47" i="84"/>
  <c r="I46" i="84"/>
  <c r="I48" i="84" s="1"/>
  <c r="G46" i="84"/>
  <c r="G48" i="84" s="1"/>
  <c r="I43" i="84"/>
  <c r="G43" i="84"/>
  <c r="I40" i="84"/>
  <c r="G40" i="84"/>
  <c r="G47" i="84" s="1"/>
  <c r="C33" i="84"/>
  <c r="C32" i="84"/>
  <c r="J23" i="84"/>
  <c r="H23" i="84"/>
  <c r="K18" i="84"/>
  <c r="H18" i="84"/>
  <c r="G13" i="84"/>
  <c r="G69" i="84" s="1"/>
  <c r="C78" i="80"/>
  <c r="G78" i="80"/>
  <c r="H78" i="80"/>
  <c r="I78" i="80"/>
  <c r="I43" i="80"/>
  <c r="G43" i="80"/>
  <c r="I89" i="80"/>
  <c r="H89" i="80"/>
  <c r="G89" i="80"/>
  <c r="C89" i="80"/>
  <c r="I88" i="80"/>
  <c r="H88" i="80"/>
  <c r="G88" i="80"/>
  <c r="C88" i="80"/>
  <c r="C87" i="80"/>
  <c r="I86" i="80"/>
  <c r="H86" i="80"/>
  <c r="G86" i="80"/>
  <c r="C86" i="80"/>
  <c r="I85" i="80"/>
  <c r="H85" i="80"/>
  <c r="G85" i="80"/>
  <c r="C85" i="80"/>
  <c r="I84" i="80"/>
  <c r="H84" i="80"/>
  <c r="G84" i="80"/>
  <c r="C84" i="80"/>
  <c r="C83" i="80"/>
  <c r="I82" i="80"/>
  <c r="H82" i="80"/>
  <c r="G82" i="80"/>
  <c r="C82" i="80"/>
  <c r="I81" i="80"/>
  <c r="H81" i="80"/>
  <c r="G81" i="80"/>
  <c r="C81" i="80"/>
  <c r="I80" i="80"/>
  <c r="H80" i="80"/>
  <c r="G80" i="80"/>
  <c r="C80" i="80"/>
  <c r="C79" i="80"/>
  <c r="I77" i="80"/>
  <c r="H77" i="80"/>
  <c r="G77" i="80"/>
  <c r="C77" i="80"/>
  <c r="C76" i="80"/>
  <c r="I75" i="80"/>
  <c r="H75" i="80"/>
  <c r="G75" i="80"/>
  <c r="C75" i="80"/>
  <c r="I74" i="80"/>
  <c r="H74" i="80"/>
  <c r="G74" i="80"/>
  <c r="C74" i="80"/>
  <c r="C73" i="80"/>
  <c r="G72" i="80"/>
  <c r="G71" i="80"/>
  <c r="G70" i="80"/>
  <c r="G68" i="80"/>
  <c r="G67" i="80"/>
  <c r="G66" i="80"/>
  <c r="I40" i="80"/>
  <c r="I47" i="80" s="1"/>
  <c r="G40" i="80"/>
  <c r="G47" i="80" s="1"/>
  <c r="C33" i="80"/>
  <c r="C32" i="80"/>
  <c r="J23" i="80"/>
  <c r="H23" i="80"/>
  <c r="K18" i="80"/>
  <c r="H18" i="80"/>
  <c r="G13" i="80"/>
  <c r="G69" i="80" s="1"/>
  <c r="I48" i="86" l="1"/>
  <c r="I49" i="86"/>
  <c r="I50" i="86" s="1"/>
  <c r="G49" i="86"/>
  <c r="G50" i="86" s="1"/>
  <c r="G46" i="86"/>
  <c r="G48" i="86" s="1"/>
  <c r="G49" i="80"/>
  <c r="G50" i="80" s="1"/>
  <c r="G46" i="80"/>
  <c r="G48" i="80" s="1"/>
  <c r="I49" i="80"/>
  <c r="I50" i="80" s="1"/>
  <c r="I46" i="80"/>
  <c r="I48" i="80" s="1"/>
  <c r="AA65" i="1" l="1"/>
  <c r="AB65" i="1"/>
  <c r="AD65" i="1" s="1"/>
  <c r="AC65" i="1"/>
  <c r="AA66" i="1"/>
  <c r="AB66" i="1"/>
  <c r="AC66" i="1"/>
  <c r="AA67" i="1"/>
  <c r="AB67" i="1"/>
  <c r="AD67" i="1" s="1"/>
  <c r="AC67" i="1"/>
  <c r="AA68" i="1"/>
  <c r="AB68" i="1"/>
  <c r="AD68" i="1" s="1"/>
  <c r="AC68" i="1"/>
  <c r="AA69" i="1"/>
  <c r="AB69" i="1"/>
  <c r="AD69" i="1" s="1"/>
  <c r="AC69" i="1"/>
  <c r="AA70" i="1"/>
  <c r="AB70" i="1"/>
  <c r="AC70" i="1"/>
  <c r="AA71" i="1"/>
  <c r="AB71" i="1"/>
  <c r="AD71" i="1" s="1"/>
  <c r="AC71" i="1"/>
  <c r="AA72" i="1"/>
  <c r="AB72" i="1"/>
  <c r="AD72" i="1" s="1"/>
  <c r="AC72" i="1"/>
  <c r="AA73" i="1"/>
  <c r="AB73" i="1"/>
  <c r="AD73" i="1" s="1"/>
  <c r="AC73" i="1"/>
  <c r="AA74" i="1"/>
  <c r="AB74" i="1"/>
  <c r="AC74" i="1"/>
  <c r="AA75" i="1"/>
  <c r="AB75" i="1"/>
  <c r="AD75" i="1" s="1"/>
  <c r="AC75" i="1"/>
  <c r="AA76" i="1"/>
  <c r="AB76" i="1"/>
  <c r="AD76" i="1" s="1"/>
  <c r="AC76" i="1"/>
  <c r="AA77" i="1"/>
  <c r="AB77" i="1"/>
  <c r="AD77" i="1" s="1"/>
  <c r="AC77" i="1"/>
  <c r="AA78" i="1"/>
  <c r="AB78" i="1"/>
  <c r="AC78" i="1"/>
  <c r="AA79" i="1"/>
  <c r="AB79" i="1"/>
  <c r="AD79" i="1" s="1"/>
  <c r="AC79" i="1"/>
  <c r="AA80" i="1"/>
  <c r="AB80" i="1"/>
  <c r="AD80" i="1" s="1"/>
  <c r="AC80" i="1"/>
  <c r="AA81" i="1"/>
  <c r="AB81" i="1"/>
  <c r="AD81" i="1" s="1"/>
  <c r="AC81" i="1"/>
  <c r="AA82" i="1"/>
  <c r="AB82" i="1"/>
  <c r="AC82" i="1"/>
  <c r="AA83" i="1"/>
  <c r="AB83" i="1"/>
  <c r="AD83" i="1" s="1"/>
  <c r="AC83" i="1"/>
  <c r="AA84" i="1"/>
  <c r="AB84" i="1"/>
  <c r="AD84" i="1" s="1"/>
  <c r="AC84" i="1"/>
  <c r="AA85" i="1"/>
  <c r="AB85" i="1"/>
  <c r="AD85" i="1" s="1"/>
  <c r="AC85" i="1"/>
  <c r="AA86" i="1"/>
  <c r="AB86" i="1"/>
  <c r="AC86" i="1"/>
  <c r="AA87" i="1"/>
  <c r="AB87" i="1"/>
  <c r="AD87" i="1" s="1"/>
  <c r="AC87" i="1"/>
  <c r="AA88" i="1"/>
  <c r="AB88" i="1"/>
  <c r="AD88" i="1" s="1"/>
  <c r="AC88" i="1"/>
  <c r="AA89" i="1"/>
  <c r="AB89" i="1"/>
  <c r="AD89" i="1" s="1"/>
  <c r="AC89" i="1"/>
  <c r="AA90" i="1"/>
  <c r="AB90" i="1"/>
  <c r="AC90" i="1"/>
  <c r="AA91" i="1"/>
  <c r="AB91" i="1"/>
  <c r="AD91" i="1" s="1"/>
  <c r="AC91" i="1"/>
  <c r="AA92" i="1"/>
  <c r="AB92" i="1"/>
  <c r="AD92" i="1" s="1"/>
  <c r="AC92" i="1"/>
  <c r="AA93" i="1"/>
  <c r="AB93" i="1"/>
  <c r="AD93" i="1" s="1"/>
  <c r="AC93" i="1"/>
  <c r="AA94" i="1"/>
  <c r="AB94" i="1"/>
  <c r="AC94" i="1"/>
  <c r="AA95" i="1"/>
  <c r="AB95" i="1"/>
  <c r="AD95" i="1" s="1"/>
  <c r="AC95" i="1"/>
  <c r="AA96" i="1"/>
  <c r="AB96" i="1"/>
  <c r="AD96" i="1" s="1"/>
  <c r="AC96" i="1"/>
  <c r="AA97" i="1"/>
  <c r="AB97" i="1"/>
  <c r="AD97" i="1" s="1"/>
  <c r="AC97" i="1"/>
  <c r="AA98" i="1"/>
  <c r="AB98" i="1"/>
  <c r="AC98" i="1"/>
  <c r="AA99" i="1"/>
  <c r="AB99" i="1"/>
  <c r="AC99" i="1"/>
  <c r="AA100" i="1"/>
  <c r="AB100" i="1"/>
  <c r="AD100" i="1" s="1"/>
  <c r="AC100" i="1"/>
  <c r="AA101" i="1"/>
  <c r="AB101" i="1"/>
  <c r="AC101" i="1"/>
  <c r="AA102" i="1"/>
  <c r="AB102" i="1"/>
  <c r="AC102" i="1"/>
  <c r="AA103" i="1"/>
  <c r="AB103" i="1"/>
  <c r="AD103" i="1" s="1"/>
  <c r="AC103" i="1"/>
  <c r="AA104" i="1"/>
  <c r="AB104" i="1"/>
  <c r="AD104" i="1" s="1"/>
  <c r="AC104" i="1"/>
  <c r="AA105" i="1"/>
  <c r="AB105" i="1"/>
  <c r="AD105" i="1" s="1"/>
  <c r="AC105" i="1"/>
  <c r="AA106" i="1"/>
  <c r="AB106" i="1"/>
  <c r="AC106" i="1"/>
  <c r="AA107" i="1"/>
  <c r="AB107" i="1"/>
  <c r="AC107" i="1"/>
  <c r="AA108" i="1"/>
  <c r="AB108" i="1"/>
  <c r="AD108" i="1" s="1"/>
  <c r="AC108" i="1"/>
  <c r="AA109" i="1"/>
  <c r="AB109" i="1"/>
  <c r="AC109" i="1"/>
  <c r="AA110" i="1"/>
  <c r="AB110" i="1"/>
  <c r="AC110" i="1"/>
  <c r="AA111" i="1"/>
  <c r="AB111" i="1"/>
  <c r="AD111" i="1" s="1"/>
  <c r="AC111" i="1"/>
  <c r="AA112" i="1"/>
  <c r="AB112" i="1"/>
  <c r="AD112" i="1" s="1"/>
  <c r="AC112" i="1"/>
  <c r="AA113" i="1"/>
  <c r="AB113" i="1"/>
  <c r="AD113" i="1" s="1"/>
  <c r="AC113" i="1"/>
  <c r="AA114" i="1"/>
  <c r="AB114" i="1"/>
  <c r="AC114" i="1"/>
  <c r="AA115" i="1"/>
  <c r="AB115" i="1"/>
  <c r="AC115" i="1"/>
  <c r="AA116" i="1"/>
  <c r="AB116" i="1"/>
  <c r="AD116" i="1" s="1"/>
  <c r="AC116" i="1"/>
  <c r="AA117" i="1"/>
  <c r="AB117" i="1"/>
  <c r="AC117" i="1"/>
  <c r="AA118" i="1"/>
  <c r="AB118" i="1"/>
  <c r="AC118" i="1"/>
  <c r="AA119" i="1"/>
  <c r="AB119" i="1" s="1"/>
  <c r="AD119" i="1" s="1"/>
  <c r="AC119" i="1"/>
  <c r="AA120" i="1"/>
  <c r="AB120" i="1"/>
  <c r="AD120" i="1" s="1"/>
  <c r="AC120" i="1"/>
  <c r="AA121" i="1"/>
  <c r="AB121" i="1"/>
  <c r="AD121" i="1" s="1"/>
  <c r="AC121" i="1"/>
  <c r="AA122" i="1"/>
  <c r="AB122" i="1"/>
  <c r="AC122" i="1"/>
  <c r="AA123" i="1"/>
  <c r="AB123" i="1" s="1"/>
  <c r="AD123" i="1" s="1"/>
  <c r="AC123" i="1"/>
  <c r="AA124" i="1"/>
  <c r="AB124" i="1"/>
  <c r="AD124" i="1" s="1"/>
  <c r="AC124" i="1"/>
  <c r="AA125" i="1"/>
  <c r="AB125" i="1"/>
  <c r="AC125" i="1"/>
  <c r="AA126" i="1"/>
  <c r="AB126" i="1"/>
  <c r="AC126" i="1"/>
  <c r="AA127" i="1"/>
  <c r="AB127" i="1" s="1"/>
  <c r="AD127" i="1" s="1"/>
  <c r="AC127" i="1"/>
  <c r="AA128" i="1"/>
  <c r="AB128" i="1"/>
  <c r="AD128" i="1" s="1"/>
  <c r="AC128" i="1"/>
  <c r="AA129" i="1"/>
  <c r="AB129" i="1"/>
  <c r="AD129" i="1" s="1"/>
  <c r="AC129" i="1"/>
  <c r="AA130" i="1"/>
  <c r="AB130" i="1"/>
  <c r="AC130" i="1"/>
  <c r="AA131" i="1"/>
  <c r="AB131" i="1" s="1"/>
  <c r="AD131" i="1" s="1"/>
  <c r="AC131" i="1"/>
  <c r="AA132" i="1"/>
  <c r="AB132" i="1"/>
  <c r="AD132" i="1" s="1"/>
  <c r="AC132" i="1"/>
  <c r="AA133" i="1"/>
  <c r="AB133" i="1"/>
  <c r="AC133" i="1"/>
  <c r="AA134" i="1"/>
  <c r="AB134" i="1"/>
  <c r="AC134" i="1"/>
  <c r="AA135" i="1"/>
  <c r="AB135" i="1" s="1"/>
  <c r="AD135" i="1" s="1"/>
  <c r="AC135" i="1"/>
  <c r="AA136" i="1"/>
  <c r="AB136" i="1"/>
  <c r="AD136" i="1" s="1"/>
  <c r="AC136" i="1"/>
  <c r="AA137" i="1"/>
  <c r="AB137" i="1"/>
  <c r="AD137" i="1" s="1"/>
  <c r="AC137" i="1"/>
  <c r="AA138" i="1"/>
  <c r="AB138" i="1"/>
  <c r="AC138" i="1"/>
  <c r="AA139" i="1"/>
  <c r="AB139" i="1" s="1"/>
  <c r="AD139" i="1" s="1"/>
  <c r="AC139" i="1"/>
  <c r="AA140" i="1"/>
  <c r="AB140" i="1"/>
  <c r="AD140" i="1" s="1"/>
  <c r="AC140" i="1"/>
  <c r="AA141" i="1"/>
  <c r="AB141" i="1"/>
  <c r="AC141" i="1"/>
  <c r="AA142" i="1"/>
  <c r="AB142" i="1"/>
  <c r="AC142" i="1"/>
  <c r="AA143" i="1"/>
  <c r="AB143" i="1" s="1"/>
  <c r="AD143" i="1" s="1"/>
  <c r="AC143" i="1"/>
  <c r="AA144" i="1"/>
  <c r="AB144" i="1"/>
  <c r="AD144" i="1" s="1"/>
  <c r="AC144" i="1"/>
  <c r="AA145" i="1"/>
  <c r="AB145" i="1"/>
  <c r="AD145" i="1" s="1"/>
  <c r="AC145" i="1"/>
  <c r="AA146" i="1"/>
  <c r="AB146" i="1"/>
  <c r="AC146" i="1"/>
  <c r="AA147" i="1"/>
  <c r="AB147" i="1" s="1"/>
  <c r="AD147" i="1" s="1"/>
  <c r="AC147" i="1"/>
  <c r="AA148" i="1"/>
  <c r="AB148" i="1"/>
  <c r="AD148" i="1" s="1"/>
  <c r="AC148" i="1"/>
  <c r="AA149" i="1"/>
  <c r="AB149" i="1"/>
  <c r="AC149" i="1"/>
  <c r="AA150" i="1"/>
  <c r="AB150" i="1"/>
  <c r="AC150" i="1"/>
  <c r="AA151" i="1"/>
  <c r="AB151" i="1" s="1"/>
  <c r="AD151" i="1" s="1"/>
  <c r="AC151" i="1"/>
  <c r="AA152" i="1"/>
  <c r="AB152" i="1"/>
  <c r="AD152" i="1" s="1"/>
  <c r="AC152" i="1"/>
  <c r="AA153" i="1"/>
  <c r="AB153" i="1"/>
  <c r="AD153" i="1" s="1"/>
  <c r="AC153" i="1"/>
  <c r="AA154" i="1"/>
  <c r="AB154" i="1"/>
  <c r="AC154" i="1"/>
  <c r="AA155" i="1"/>
  <c r="AB155" i="1" s="1"/>
  <c r="AD155" i="1" s="1"/>
  <c r="AC155" i="1"/>
  <c r="AA156" i="1"/>
  <c r="AB156" i="1"/>
  <c r="AD156" i="1" s="1"/>
  <c r="AC156" i="1"/>
  <c r="AA157" i="1"/>
  <c r="AB157" i="1"/>
  <c r="AC157" i="1"/>
  <c r="AA158" i="1"/>
  <c r="AB158" i="1"/>
  <c r="AC158" i="1"/>
  <c r="AA159" i="1"/>
  <c r="AB159" i="1" s="1"/>
  <c r="AD159" i="1" s="1"/>
  <c r="AC159" i="1"/>
  <c r="AA160" i="1"/>
  <c r="AB160" i="1"/>
  <c r="AD160" i="1" s="1"/>
  <c r="AC160" i="1"/>
  <c r="AA161" i="1"/>
  <c r="AB161" i="1"/>
  <c r="AD161" i="1" s="1"/>
  <c r="AC161" i="1"/>
  <c r="AA162" i="1"/>
  <c r="AB162" i="1"/>
  <c r="AC162" i="1"/>
  <c r="AA163" i="1"/>
  <c r="AB163" i="1" s="1"/>
  <c r="AD163" i="1" s="1"/>
  <c r="AC163" i="1"/>
  <c r="AA164" i="1"/>
  <c r="AB164" i="1"/>
  <c r="AD164" i="1" s="1"/>
  <c r="AC164" i="1"/>
  <c r="AA165" i="1"/>
  <c r="AB165" i="1"/>
  <c r="AC165" i="1"/>
  <c r="AA166" i="1"/>
  <c r="AB166" i="1"/>
  <c r="AC166" i="1"/>
  <c r="AA167" i="1"/>
  <c r="AB167" i="1" s="1"/>
  <c r="AD167" i="1" s="1"/>
  <c r="AC167" i="1"/>
  <c r="AA168" i="1"/>
  <c r="AB168" i="1"/>
  <c r="AD168" i="1" s="1"/>
  <c r="AC168" i="1"/>
  <c r="AA169" i="1"/>
  <c r="AB169" i="1"/>
  <c r="AD169" i="1" s="1"/>
  <c r="AC169" i="1"/>
  <c r="AA170" i="1"/>
  <c r="AB170" i="1"/>
  <c r="AC170" i="1"/>
  <c r="AA171" i="1"/>
  <c r="AB171" i="1" s="1"/>
  <c r="AD171" i="1" s="1"/>
  <c r="AC171" i="1"/>
  <c r="AA172" i="1"/>
  <c r="AB172" i="1"/>
  <c r="AD172" i="1" s="1"/>
  <c r="AC172" i="1"/>
  <c r="AA173" i="1"/>
  <c r="AB173" i="1"/>
  <c r="AC173" i="1"/>
  <c r="AA174" i="1"/>
  <c r="AB174" i="1"/>
  <c r="AC174" i="1"/>
  <c r="AA175" i="1"/>
  <c r="AB175" i="1" s="1"/>
  <c r="AD175" i="1" s="1"/>
  <c r="AC175" i="1"/>
  <c r="AA176" i="1"/>
  <c r="AB176" i="1"/>
  <c r="AD176" i="1" s="1"/>
  <c r="AC176" i="1"/>
  <c r="AA177" i="1"/>
  <c r="AB177" i="1"/>
  <c r="AD177" i="1" s="1"/>
  <c r="AC177" i="1"/>
  <c r="AA178" i="1"/>
  <c r="AB178" i="1"/>
  <c r="AC178" i="1"/>
  <c r="AA179" i="1"/>
  <c r="AB179" i="1" s="1"/>
  <c r="AD179" i="1" s="1"/>
  <c r="AC179" i="1"/>
  <c r="AA180" i="1"/>
  <c r="AB180" i="1" s="1"/>
  <c r="AD180" i="1" s="1"/>
  <c r="AC180" i="1"/>
  <c r="AA181" i="1"/>
  <c r="AB181" i="1"/>
  <c r="AC181" i="1"/>
  <c r="AA182" i="1"/>
  <c r="AB182" i="1"/>
  <c r="AC182" i="1"/>
  <c r="AA183" i="1"/>
  <c r="AB183" i="1" s="1"/>
  <c r="AD183" i="1" s="1"/>
  <c r="AC183" i="1"/>
  <c r="AA184" i="1"/>
  <c r="AB184" i="1"/>
  <c r="AD184" i="1" s="1"/>
  <c r="AC184" i="1"/>
  <c r="AA185" i="1"/>
  <c r="AB185" i="1"/>
  <c r="AD185" i="1" s="1"/>
  <c r="AC185" i="1"/>
  <c r="AA186" i="1"/>
  <c r="AB186" i="1"/>
  <c r="AC186" i="1"/>
  <c r="AA187" i="1"/>
  <c r="AB187" i="1" s="1"/>
  <c r="AD187" i="1" s="1"/>
  <c r="AC187" i="1"/>
  <c r="AA188" i="1"/>
  <c r="AB188" i="1" s="1"/>
  <c r="AD188" i="1" s="1"/>
  <c r="AC188" i="1"/>
  <c r="AA189" i="1"/>
  <c r="AB189" i="1"/>
  <c r="AC189" i="1"/>
  <c r="AA190" i="1"/>
  <c r="AB190" i="1"/>
  <c r="AC190" i="1"/>
  <c r="AA191" i="1"/>
  <c r="AB191" i="1" s="1"/>
  <c r="AD191" i="1" s="1"/>
  <c r="AC191" i="1"/>
  <c r="AA192" i="1"/>
  <c r="AB192" i="1"/>
  <c r="AD192" i="1" s="1"/>
  <c r="AC192" i="1"/>
  <c r="AA193" i="1"/>
  <c r="AB193" i="1"/>
  <c r="AD193" i="1" s="1"/>
  <c r="AC193" i="1"/>
  <c r="AA194" i="1"/>
  <c r="AB194" i="1"/>
  <c r="AC194" i="1"/>
  <c r="AA195" i="1"/>
  <c r="AB195" i="1" s="1"/>
  <c r="AD195" i="1" s="1"/>
  <c r="AC195" i="1"/>
  <c r="AA196" i="1"/>
  <c r="AB196" i="1" s="1"/>
  <c r="AD196" i="1" s="1"/>
  <c r="AC196" i="1"/>
  <c r="AA197" i="1"/>
  <c r="AB197" i="1"/>
  <c r="AC197" i="1"/>
  <c r="AA198" i="1"/>
  <c r="AB198" i="1"/>
  <c r="AC198" i="1"/>
  <c r="AA199" i="1"/>
  <c r="AB199" i="1" s="1"/>
  <c r="AD199" i="1" s="1"/>
  <c r="AC199" i="1"/>
  <c r="AA200" i="1"/>
  <c r="AB200" i="1"/>
  <c r="AD200" i="1" s="1"/>
  <c r="AC200" i="1"/>
  <c r="AA201" i="1"/>
  <c r="AB201" i="1"/>
  <c r="AD201" i="1" s="1"/>
  <c r="AC201" i="1"/>
  <c r="AA202" i="1"/>
  <c r="AB202" i="1"/>
  <c r="AC202" i="1"/>
  <c r="AD202" i="1"/>
  <c r="AA203" i="1"/>
  <c r="AB203" i="1"/>
  <c r="AC203" i="1"/>
  <c r="AA204" i="1"/>
  <c r="AB204" i="1" s="1"/>
  <c r="AD204" i="1" s="1"/>
  <c r="AC204" i="1"/>
  <c r="AA205" i="1"/>
  <c r="AB205" i="1" s="1"/>
  <c r="AD205" i="1" s="1"/>
  <c r="AC205" i="1"/>
  <c r="AA206" i="1"/>
  <c r="AB206" i="1" s="1"/>
  <c r="AD206" i="1" s="1"/>
  <c r="AC206" i="1"/>
  <c r="AA207" i="1"/>
  <c r="AB207" i="1"/>
  <c r="AD207" i="1" s="1"/>
  <c r="AC207" i="1"/>
  <c r="AA208" i="1"/>
  <c r="AB208" i="1"/>
  <c r="AD208" i="1" s="1"/>
  <c r="AC208" i="1"/>
  <c r="AA209" i="1"/>
  <c r="AB209" i="1"/>
  <c r="AC209" i="1"/>
  <c r="AA210" i="1"/>
  <c r="AB210" i="1"/>
  <c r="AD210" i="1" s="1"/>
  <c r="AC210" i="1"/>
  <c r="AA211" i="1"/>
  <c r="AB211" i="1"/>
  <c r="AC211" i="1"/>
  <c r="AA212" i="1"/>
  <c r="AB212" i="1" s="1"/>
  <c r="AD212" i="1" s="1"/>
  <c r="AC212" i="1"/>
  <c r="AA213" i="1"/>
  <c r="AB213" i="1" s="1"/>
  <c r="AD213" i="1" s="1"/>
  <c r="AC213" i="1"/>
  <c r="AA214" i="1"/>
  <c r="AB214" i="1"/>
  <c r="AD214" i="1" s="1"/>
  <c r="AC214" i="1"/>
  <c r="AA215" i="1"/>
  <c r="AB215" i="1" s="1"/>
  <c r="AD215" i="1" s="1"/>
  <c r="AC215" i="1"/>
  <c r="AA216" i="1"/>
  <c r="AB216" i="1"/>
  <c r="AD216" i="1" s="1"/>
  <c r="AC216" i="1"/>
  <c r="AA217" i="1"/>
  <c r="AB217" i="1"/>
  <c r="AD217" i="1" s="1"/>
  <c r="AC217" i="1"/>
  <c r="AA218" i="1"/>
  <c r="AB218" i="1"/>
  <c r="AC218" i="1"/>
  <c r="AD218" i="1"/>
  <c r="AA219" i="1"/>
  <c r="AB219" i="1"/>
  <c r="AC219" i="1"/>
  <c r="AA220" i="1"/>
  <c r="AB220" i="1" s="1"/>
  <c r="AD220" i="1" s="1"/>
  <c r="AC220" i="1"/>
  <c r="AA221" i="1"/>
  <c r="AB221" i="1" s="1"/>
  <c r="AD221" i="1" s="1"/>
  <c r="AC221" i="1"/>
  <c r="AA222" i="1"/>
  <c r="AB222" i="1" s="1"/>
  <c r="AD222" i="1" s="1"/>
  <c r="AC222" i="1"/>
  <c r="AA223" i="1"/>
  <c r="AB223" i="1"/>
  <c r="AD223" i="1" s="1"/>
  <c r="AC223" i="1"/>
  <c r="AA224" i="1"/>
  <c r="AB224" i="1"/>
  <c r="AD224" i="1" s="1"/>
  <c r="AC224" i="1"/>
  <c r="AA225" i="1"/>
  <c r="AB225" i="1"/>
  <c r="AC225" i="1"/>
  <c r="AA226" i="1"/>
  <c r="AB226" i="1"/>
  <c r="AD226" i="1" s="1"/>
  <c r="AC226" i="1"/>
  <c r="AA227" i="1"/>
  <c r="AB227" i="1"/>
  <c r="AC227" i="1"/>
  <c r="AA228" i="1"/>
  <c r="AB228" i="1" s="1"/>
  <c r="AD228" i="1" s="1"/>
  <c r="AC228" i="1"/>
  <c r="AA229" i="1"/>
  <c r="AB229" i="1" s="1"/>
  <c r="AD229" i="1" s="1"/>
  <c r="AC229" i="1"/>
  <c r="AA230" i="1"/>
  <c r="AB230" i="1"/>
  <c r="AD230" i="1" s="1"/>
  <c r="AC230" i="1"/>
  <c r="AA231" i="1"/>
  <c r="AB231" i="1" s="1"/>
  <c r="AD231" i="1" s="1"/>
  <c r="AC231" i="1"/>
  <c r="AA232" i="1"/>
  <c r="AB232" i="1"/>
  <c r="AD232" i="1" s="1"/>
  <c r="AC232" i="1"/>
  <c r="AA233" i="1"/>
  <c r="AB233" i="1"/>
  <c r="AD233" i="1" s="1"/>
  <c r="AC233" i="1"/>
  <c r="AA234" i="1"/>
  <c r="AB234" i="1"/>
  <c r="AC234" i="1"/>
  <c r="AD234" i="1"/>
  <c r="AA235" i="1"/>
  <c r="AB235" i="1"/>
  <c r="AD235" i="1" s="1"/>
  <c r="AC235" i="1"/>
  <c r="AA236" i="1"/>
  <c r="AB236" i="1"/>
  <c r="AC236" i="1"/>
  <c r="AD236" i="1"/>
  <c r="AA237" i="1"/>
  <c r="AB237" i="1"/>
  <c r="AD237" i="1" s="1"/>
  <c r="AC237" i="1"/>
  <c r="AA238" i="1"/>
  <c r="AB238" i="1"/>
  <c r="AC238" i="1"/>
  <c r="AD238" i="1"/>
  <c r="AA239" i="1"/>
  <c r="AB239" i="1"/>
  <c r="AD239" i="1" s="1"/>
  <c r="AC239" i="1"/>
  <c r="AA240" i="1"/>
  <c r="AB240" i="1"/>
  <c r="AC240" i="1"/>
  <c r="AD240" i="1"/>
  <c r="AA241" i="1"/>
  <c r="AB241" i="1"/>
  <c r="AD241" i="1" s="1"/>
  <c r="AC241" i="1"/>
  <c r="AA242" i="1"/>
  <c r="AB242" i="1"/>
  <c r="AC242" i="1"/>
  <c r="AD242" i="1"/>
  <c r="AA243" i="1"/>
  <c r="AB243" i="1"/>
  <c r="AD243" i="1" s="1"/>
  <c r="AC243" i="1"/>
  <c r="AA244" i="1"/>
  <c r="AB244" i="1"/>
  <c r="AC244" i="1"/>
  <c r="AD244" i="1"/>
  <c r="AA245" i="1"/>
  <c r="AB245" i="1"/>
  <c r="AD245" i="1" s="1"/>
  <c r="AC245" i="1"/>
  <c r="AA246" i="1"/>
  <c r="AB246" i="1"/>
  <c r="AC246" i="1"/>
  <c r="AD246" i="1"/>
  <c r="AA247" i="1"/>
  <c r="AB247" i="1"/>
  <c r="AD247" i="1" s="1"/>
  <c r="AC247" i="1"/>
  <c r="AA248" i="1"/>
  <c r="AB248" i="1"/>
  <c r="AC248" i="1"/>
  <c r="AD248" i="1"/>
  <c r="AA249" i="1"/>
  <c r="AB249" i="1"/>
  <c r="AD249" i="1" s="1"/>
  <c r="AC249" i="1"/>
  <c r="AA250" i="1"/>
  <c r="AB250" i="1"/>
  <c r="AC250" i="1"/>
  <c r="AD250" i="1"/>
  <c r="AA251" i="1"/>
  <c r="AB251" i="1"/>
  <c r="AD251" i="1" s="1"/>
  <c r="AC251" i="1"/>
  <c r="AA252" i="1"/>
  <c r="AB252" i="1"/>
  <c r="AC252" i="1"/>
  <c r="AD252" i="1"/>
  <c r="AA253" i="1"/>
  <c r="AB253" i="1"/>
  <c r="AD253" i="1" s="1"/>
  <c r="AC253" i="1"/>
  <c r="AA254" i="1"/>
  <c r="AB254" i="1"/>
  <c r="AC254" i="1"/>
  <c r="AD254" i="1"/>
  <c r="AA255" i="1"/>
  <c r="AB255" i="1"/>
  <c r="AD255" i="1" s="1"/>
  <c r="AC255" i="1"/>
  <c r="AA256" i="1"/>
  <c r="AB256" i="1"/>
  <c r="AC256" i="1"/>
  <c r="AD256" i="1"/>
  <c r="AA257" i="1"/>
  <c r="AB257" i="1"/>
  <c r="AD257" i="1" s="1"/>
  <c r="AC257" i="1"/>
  <c r="AA258" i="1"/>
  <c r="AB258" i="1"/>
  <c r="AC258" i="1"/>
  <c r="AD258" i="1"/>
  <c r="AA259" i="1"/>
  <c r="AB259" i="1"/>
  <c r="AD259" i="1" s="1"/>
  <c r="AC259" i="1"/>
  <c r="AA260" i="1"/>
  <c r="AB260" i="1"/>
  <c r="AC260" i="1"/>
  <c r="AD260" i="1"/>
  <c r="AA261" i="1"/>
  <c r="AB261" i="1"/>
  <c r="AD261" i="1" s="1"/>
  <c r="AC261" i="1"/>
  <c r="AA262" i="1"/>
  <c r="AB262" i="1"/>
  <c r="AC262" i="1"/>
  <c r="AD262" i="1"/>
  <c r="AA263" i="1"/>
  <c r="AB263" i="1"/>
  <c r="AD263" i="1" s="1"/>
  <c r="AC263" i="1"/>
  <c r="AA264" i="1"/>
  <c r="AB264" i="1"/>
  <c r="AC264" i="1"/>
  <c r="AD264" i="1"/>
  <c r="AA265" i="1"/>
  <c r="AB265" i="1"/>
  <c r="AD265" i="1" s="1"/>
  <c r="AC265" i="1"/>
  <c r="AA266" i="1"/>
  <c r="AB266" i="1"/>
  <c r="AC266" i="1"/>
  <c r="AD266" i="1"/>
  <c r="AA267" i="1"/>
  <c r="AB267" i="1"/>
  <c r="AD267" i="1" s="1"/>
  <c r="AC267" i="1"/>
  <c r="AA268" i="1"/>
  <c r="AB268" i="1"/>
  <c r="AC268" i="1"/>
  <c r="AD268" i="1"/>
  <c r="AA269" i="1"/>
  <c r="AB269" i="1"/>
  <c r="AD269" i="1" s="1"/>
  <c r="AC269" i="1"/>
  <c r="AA270" i="1"/>
  <c r="AB270" i="1"/>
  <c r="AC270" i="1"/>
  <c r="AD270" i="1"/>
  <c r="AA271" i="1"/>
  <c r="AB271" i="1"/>
  <c r="AD271" i="1" s="1"/>
  <c r="AC271" i="1"/>
  <c r="AA272" i="1"/>
  <c r="AB272" i="1"/>
  <c r="AC272" i="1"/>
  <c r="AD272" i="1"/>
  <c r="AA273" i="1"/>
  <c r="AB273" i="1"/>
  <c r="AD273" i="1" s="1"/>
  <c r="AC273" i="1"/>
  <c r="AA274" i="1"/>
  <c r="AB274" i="1"/>
  <c r="AC274" i="1"/>
  <c r="AD274" i="1"/>
  <c r="AA275" i="1"/>
  <c r="AB275" i="1"/>
  <c r="AD275" i="1" s="1"/>
  <c r="AC275" i="1"/>
  <c r="AA276" i="1"/>
  <c r="AB276" i="1"/>
  <c r="AC276" i="1"/>
  <c r="AD276" i="1"/>
  <c r="AA277" i="1"/>
  <c r="AB277" i="1"/>
  <c r="AD277" i="1" s="1"/>
  <c r="AC277" i="1"/>
  <c r="AA278" i="1"/>
  <c r="AB278" i="1"/>
  <c r="AC278" i="1"/>
  <c r="AD278" i="1"/>
  <c r="AA279" i="1"/>
  <c r="AB279" i="1"/>
  <c r="AD279" i="1" s="1"/>
  <c r="AC279" i="1"/>
  <c r="AA280" i="1"/>
  <c r="AB280" i="1"/>
  <c r="AC280" i="1"/>
  <c r="AD280" i="1"/>
  <c r="AA281" i="1"/>
  <c r="AB281" i="1"/>
  <c r="AD281" i="1" s="1"/>
  <c r="AC281" i="1"/>
  <c r="AA282" i="1"/>
  <c r="AB282" i="1"/>
  <c r="AC282" i="1"/>
  <c r="AD282" i="1"/>
  <c r="AA283" i="1"/>
  <c r="AB283" i="1"/>
  <c r="AD283" i="1" s="1"/>
  <c r="AC283" i="1"/>
  <c r="AA284" i="1"/>
  <c r="AB284" i="1"/>
  <c r="AC284" i="1"/>
  <c r="AD284" i="1"/>
  <c r="AA285" i="1"/>
  <c r="AB285" i="1"/>
  <c r="AD285" i="1" s="1"/>
  <c r="AC285" i="1"/>
  <c r="AA286" i="1"/>
  <c r="AB286" i="1"/>
  <c r="AC286" i="1"/>
  <c r="AD286" i="1"/>
  <c r="AA287" i="1"/>
  <c r="AB287" i="1"/>
  <c r="AD287" i="1" s="1"/>
  <c r="AC287" i="1"/>
  <c r="AA288" i="1"/>
  <c r="AB288" i="1"/>
  <c r="AC288" i="1"/>
  <c r="AD288" i="1"/>
  <c r="AA289" i="1"/>
  <c r="AB289" i="1"/>
  <c r="AD289" i="1" s="1"/>
  <c r="AC289" i="1"/>
  <c r="AA290" i="1"/>
  <c r="AB290" i="1"/>
  <c r="AC290" i="1"/>
  <c r="AD290" i="1"/>
  <c r="AA291" i="1"/>
  <c r="AB291" i="1"/>
  <c r="AD291" i="1" s="1"/>
  <c r="AC291" i="1"/>
  <c r="AA292" i="1"/>
  <c r="AB292" i="1"/>
  <c r="AC292" i="1"/>
  <c r="AD292" i="1"/>
  <c r="AA293" i="1"/>
  <c r="AB293" i="1"/>
  <c r="AD293" i="1" s="1"/>
  <c r="AC293" i="1"/>
  <c r="AA294" i="1"/>
  <c r="AB294" i="1"/>
  <c r="AC294" i="1"/>
  <c r="AD294" i="1"/>
  <c r="AA295" i="1"/>
  <c r="AB295" i="1"/>
  <c r="AD295" i="1" s="1"/>
  <c r="AC295" i="1"/>
  <c r="AA296" i="1"/>
  <c r="AB296" i="1"/>
  <c r="AC296" i="1"/>
  <c r="AD296" i="1"/>
  <c r="AA297" i="1"/>
  <c r="AB297" i="1"/>
  <c r="AD297" i="1" s="1"/>
  <c r="AC297" i="1"/>
  <c r="AA298" i="1"/>
  <c r="AB298" i="1"/>
  <c r="AC298" i="1"/>
  <c r="AD298" i="1"/>
  <c r="AA299" i="1"/>
  <c r="AB299" i="1"/>
  <c r="AD299" i="1" s="1"/>
  <c r="AC299" i="1"/>
  <c r="AA300" i="1"/>
  <c r="AB300" i="1"/>
  <c r="AC300" i="1"/>
  <c r="AD300" i="1"/>
  <c r="AA301" i="1"/>
  <c r="AB301" i="1"/>
  <c r="AD301" i="1" s="1"/>
  <c r="AC301" i="1"/>
  <c r="AA302" i="1"/>
  <c r="AB302" i="1"/>
  <c r="AC302" i="1"/>
  <c r="AD302" i="1"/>
  <c r="AA303" i="1"/>
  <c r="AB303" i="1"/>
  <c r="AD303" i="1" s="1"/>
  <c r="AC303" i="1"/>
  <c r="AA304" i="1"/>
  <c r="AB304" i="1"/>
  <c r="AC304" i="1"/>
  <c r="AD304" i="1"/>
  <c r="AA305" i="1"/>
  <c r="AB305" i="1"/>
  <c r="AD305" i="1" s="1"/>
  <c r="AC305" i="1"/>
  <c r="AA306" i="1"/>
  <c r="AB306" i="1"/>
  <c r="AC306" i="1"/>
  <c r="AD306" i="1"/>
  <c r="AA307" i="1"/>
  <c r="AB307" i="1"/>
  <c r="AD307" i="1" s="1"/>
  <c r="AC307" i="1"/>
  <c r="AA308" i="1"/>
  <c r="AB308" i="1"/>
  <c r="AC308" i="1"/>
  <c r="AD308" i="1"/>
  <c r="AA309" i="1"/>
  <c r="AB309" i="1"/>
  <c r="AD309" i="1" s="1"/>
  <c r="AC309" i="1"/>
  <c r="AA310" i="1"/>
  <c r="AB310" i="1"/>
  <c r="AC310" i="1"/>
  <c r="AD310" i="1"/>
  <c r="AA311" i="1"/>
  <c r="AB311" i="1"/>
  <c r="AD311" i="1" s="1"/>
  <c r="AC311" i="1"/>
  <c r="AA312" i="1"/>
  <c r="AB312" i="1"/>
  <c r="AC312" i="1"/>
  <c r="AD312" i="1"/>
  <c r="AA31" i="1"/>
  <c r="AB31" i="1" s="1"/>
  <c r="AC31" i="1"/>
  <c r="AA32" i="1"/>
  <c r="AB32" i="1" s="1"/>
  <c r="AC32" i="1"/>
  <c r="AD115" i="1" l="1"/>
  <c r="AD107" i="1"/>
  <c r="AD99" i="1"/>
  <c r="AD225" i="1"/>
  <c r="AD209" i="1"/>
  <c r="AD197" i="1"/>
  <c r="AD189" i="1"/>
  <c r="AD181" i="1"/>
  <c r="AD173" i="1"/>
  <c r="AD165" i="1"/>
  <c r="AD157" i="1"/>
  <c r="AD149" i="1"/>
  <c r="AD141" i="1"/>
  <c r="AD133" i="1"/>
  <c r="AD125" i="1"/>
  <c r="AD117" i="1"/>
  <c r="AD109" i="1"/>
  <c r="AD101" i="1"/>
  <c r="AD227" i="1"/>
  <c r="AD211" i="1"/>
  <c r="AD194" i="1"/>
  <c r="AD186" i="1"/>
  <c r="AD178" i="1"/>
  <c r="AD170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219" i="1"/>
  <c r="AD203" i="1"/>
  <c r="AD198" i="1"/>
  <c r="AD190" i="1"/>
  <c r="AD182" i="1"/>
  <c r="AD174" i="1"/>
  <c r="AD166" i="1"/>
  <c r="AD158" i="1"/>
  <c r="AD150" i="1"/>
  <c r="AD142" i="1"/>
  <c r="AD134" i="1"/>
  <c r="AD126" i="1"/>
  <c r="AD118" i="1"/>
  <c r="AD110" i="1"/>
  <c r="AD102" i="1"/>
  <c r="AD94" i="1"/>
  <c r="AD86" i="1"/>
  <c r="AD78" i="1"/>
  <c r="AD70" i="1"/>
  <c r="AD32" i="1"/>
  <c r="AD31" i="1"/>
  <c r="J19" i="3" l="1"/>
  <c r="J70" i="3" l="1"/>
  <c r="J69" i="3"/>
  <c r="J33" i="3" l="1"/>
  <c r="J28" i="3"/>
  <c r="J32" i="3" l="1"/>
  <c r="J31" i="3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20" i="3"/>
  <c r="J21" i="3"/>
  <c r="J22" i="3"/>
  <c r="J23" i="3"/>
  <c r="J24" i="3"/>
  <c r="J25" i="3"/>
  <c r="J34" i="3"/>
  <c r="J35" i="3"/>
  <c r="J26" i="3"/>
  <c r="J27" i="3"/>
  <c r="J29" i="3"/>
  <c r="J30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71" i="3"/>
  <c r="J72" i="3"/>
  <c r="J2" i="3" l="1"/>
  <c r="AC64" i="1"/>
  <c r="AA64" i="1"/>
  <c r="AB64" i="1" s="1"/>
  <c r="AC63" i="1"/>
  <c r="AA63" i="1"/>
  <c r="AB63" i="1" s="1"/>
  <c r="AC62" i="1"/>
  <c r="AA62" i="1"/>
  <c r="AB62" i="1" s="1"/>
  <c r="AC61" i="1"/>
  <c r="AA61" i="1"/>
  <c r="AB61" i="1" s="1"/>
  <c r="AC60" i="1"/>
  <c r="AA60" i="1"/>
  <c r="AB60" i="1" s="1"/>
  <c r="AC59" i="1"/>
  <c r="AA59" i="1"/>
  <c r="AB59" i="1" s="1"/>
  <c r="AC58" i="1"/>
  <c r="AA58" i="1"/>
  <c r="AB58" i="1" s="1"/>
  <c r="AC57" i="1"/>
  <c r="AA57" i="1"/>
  <c r="AB57" i="1" s="1"/>
  <c r="AC56" i="1"/>
  <c r="AA56" i="1"/>
  <c r="AB56" i="1" s="1"/>
  <c r="AC55" i="1"/>
  <c r="AA55" i="1"/>
  <c r="AB55" i="1" s="1"/>
  <c r="AC54" i="1"/>
  <c r="AA54" i="1"/>
  <c r="AB54" i="1" s="1"/>
  <c r="AC53" i="1"/>
  <c r="AA53" i="1"/>
  <c r="AB53" i="1" s="1"/>
  <c r="AC52" i="1"/>
  <c r="AA52" i="1"/>
  <c r="AB52" i="1" s="1"/>
  <c r="AC51" i="1"/>
  <c r="AA51" i="1"/>
  <c r="AB51" i="1" s="1"/>
  <c r="AC50" i="1"/>
  <c r="AA50" i="1"/>
  <c r="AB50" i="1" s="1"/>
  <c r="AC49" i="1"/>
  <c r="AA49" i="1"/>
  <c r="AB49" i="1" s="1"/>
  <c r="AC48" i="1"/>
  <c r="AA48" i="1"/>
  <c r="AB48" i="1" s="1"/>
  <c r="AC47" i="1"/>
  <c r="AA47" i="1"/>
  <c r="AB47" i="1" s="1"/>
  <c r="AC46" i="1"/>
  <c r="AA46" i="1"/>
  <c r="AB46" i="1" s="1"/>
  <c r="AC45" i="1"/>
  <c r="AA45" i="1"/>
  <c r="AB45" i="1" s="1"/>
  <c r="AC44" i="1"/>
  <c r="AA44" i="1"/>
  <c r="AB44" i="1" s="1"/>
  <c r="AC43" i="1"/>
  <c r="AA43" i="1"/>
  <c r="AB43" i="1" s="1"/>
  <c r="AC42" i="1"/>
  <c r="AA42" i="1"/>
  <c r="AB42" i="1" s="1"/>
  <c r="AC41" i="1"/>
  <c r="AA41" i="1"/>
  <c r="AB41" i="1" s="1"/>
  <c r="AC40" i="1"/>
  <c r="AA40" i="1"/>
  <c r="AB40" i="1" s="1"/>
  <c r="AC39" i="1"/>
  <c r="AA39" i="1"/>
  <c r="AB39" i="1" s="1"/>
  <c r="AC38" i="1"/>
  <c r="AA38" i="1"/>
  <c r="AB38" i="1" s="1"/>
  <c r="AC37" i="1"/>
  <c r="AA37" i="1"/>
  <c r="AB37" i="1" s="1"/>
  <c r="AC36" i="1"/>
  <c r="AA36" i="1"/>
  <c r="AB36" i="1" s="1"/>
  <c r="AC35" i="1"/>
  <c r="AA35" i="1"/>
  <c r="AB35" i="1" s="1"/>
  <c r="AC34" i="1"/>
  <c r="AA34" i="1"/>
  <c r="AB34" i="1" s="1"/>
  <c r="AC33" i="1"/>
  <c r="AA33" i="1"/>
  <c r="AB33" i="1" s="1"/>
  <c r="AC30" i="1"/>
  <c r="AA30" i="1"/>
  <c r="AB30" i="1" s="1"/>
  <c r="AC29" i="1"/>
  <c r="AA29" i="1"/>
  <c r="AB29" i="1" s="1"/>
  <c r="AC28" i="1"/>
  <c r="AA28" i="1"/>
  <c r="AB28" i="1" s="1"/>
  <c r="AC27" i="1"/>
  <c r="AA27" i="1"/>
  <c r="AB27" i="1" s="1"/>
  <c r="AC26" i="1"/>
  <c r="AA26" i="1"/>
  <c r="AB26" i="1" s="1"/>
  <c r="AC25" i="1"/>
  <c r="AA25" i="1"/>
  <c r="AB25" i="1" s="1"/>
  <c r="AC24" i="1"/>
  <c r="AA24" i="1"/>
  <c r="AB24" i="1" s="1"/>
  <c r="AC23" i="1"/>
  <c r="AA23" i="1"/>
  <c r="AB23" i="1" s="1"/>
  <c r="AC22" i="1"/>
  <c r="AA22" i="1"/>
  <c r="AB22" i="1" s="1"/>
  <c r="AC21" i="1"/>
  <c r="AA21" i="1"/>
  <c r="AB21" i="1" s="1"/>
  <c r="AC20" i="1"/>
  <c r="AA20" i="1"/>
  <c r="AB20" i="1" s="1"/>
  <c r="AC19" i="1"/>
  <c r="AA19" i="1"/>
  <c r="AB19" i="1" s="1"/>
  <c r="AC18" i="1"/>
  <c r="AA18" i="1"/>
  <c r="AB18" i="1" s="1"/>
  <c r="AC17" i="1"/>
  <c r="AA17" i="1"/>
  <c r="AB17" i="1" s="1"/>
  <c r="AC16" i="1"/>
  <c r="AA16" i="1"/>
  <c r="AB16" i="1" s="1"/>
  <c r="AC15" i="1"/>
  <c r="AA15" i="1"/>
  <c r="AB15" i="1" s="1"/>
  <c r="AC14" i="1"/>
  <c r="AA14" i="1"/>
  <c r="AB14" i="1" s="1"/>
  <c r="AC13" i="1"/>
  <c r="AA13" i="1"/>
  <c r="AB13" i="1" s="1"/>
  <c r="AC12" i="1"/>
  <c r="AA12" i="1"/>
  <c r="AB12" i="1" s="1"/>
  <c r="AC11" i="1"/>
  <c r="AA11" i="1"/>
  <c r="AB11" i="1" s="1"/>
  <c r="AC10" i="1"/>
  <c r="AA10" i="1"/>
  <c r="AB10" i="1" s="1"/>
  <c r="AC9" i="1"/>
  <c r="AA9" i="1"/>
  <c r="AB9" i="1" s="1"/>
  <c r="AC8" i="1"/>
  <c r="AA8" i="1"/>
  <c r="AB8" i="1" s="1"/>
  <c r="AC7" i="1"/>
  <c r="AA7" i="1"/>
  <c r="AB7" i="1" s="1"/>
  <c r="AC6" i="1"/>
  <c r="AA6" i="1"/>
  <c r="AB6" i="1" s="1"/>
  <c r="AC5" i="1"/>
  <c r="AA5" i="1"/>
  <c r="AB5" i="1" s="1"/>
  <c r="AC4" i="1"/>
  <c r="AA4" i="1"/>
  <c r="AB4" i="1" s="1"/>
  <c r="AC3" i="1"/>
  <c r="AA3" i="1"/>
  <c r="AB3" i="1" s="1"/>
  <c r="AD38" i="1" l="1"/>
  <c r="AD42" i="1"/>
  <c r="AD52" i="1"/>
  <c r="AD33" i="1"/>
  <c r="AD36" i="1"/>
  <c r="AD40" i="1"/>
  <c r="AD44" i="1"/>
  <c r="AD5" i="1"/>
  <c r="AD23" i="1"/>
  <c r="AD6" i="1"/>
  <c r="AD9" i="1"/>
  <c r="AD59" i="1"/>
  <c r="AD56" i="1"/>
  <c r="AD43" i="1"/>
  <c r="AD28" i="1"/>
  <c r="AD50" i="1"/>
  <c r="AD25" i="1"/>
  <c r="AD26" i="1"/>
  <c r="AD3" i="1"/>
  <c r="AD16" i="1"/>
  <c r="AD20" i="1"/>
  <c r="AD46" i="1"/>
  <c r="AD54" i="1"/>
  <c r="AD17" i="1"/>
  <c r="AD29" i="1"/>
  <c r="AD62" i="1"/>
  <c r="AD18" i="1"/>
  <c r="AD30" i="1"/>
  <c r="AD63" i="1"/>
  <c r="AD4" i="1"/>
  <c r="AD22" i="1"/>
  <c r="AD27" i="1"/>
  <c r="AD41" i="1"/>
  <c r="AD48" i="1"/>
  <c r="AD7" i="1"/>
  <c r="AD19" i="1"/>
  <c r="AD45" i="1"/>
  <c r="AD53" i="1"/>
  <c r="AD57" i="1"/>
  <c r="AD60" i="1"/>
  <c r="AD64" i="1"/>
  <c r="AD13" i="1"/>
  <c r="AD21" i="1"/>
  <c r="AD24" i="1"/>
  <c r="AD34" i="1"/>
  <c r="AD47" i="1"/>
  <c r="AD55" i="1"/>
  <c r="AD58" i="1"/>
  <c r="AD10" i="1"/>
  <c r="AD14" i="1"/>
  <c r="AD35" i="1"/>
  <c r="AD49" i="1"/>
  <c r="AD11" i="1"/>
  <c r="AD15" i="1"/>
  <c r="AD39" i="1"/>
  <c r="AD8" i="1"/>
  <c r="AD37" i="1"/>
  <c r="AD51" i="1"/>
  <c r="AD61" i="1"/>
  <c r="AD12" i="1"/>
</calcChain>
</file>

<file path=xl/comments1.xml><?xml version="1.0" encoding="utf-8"?>
<comments xmlns="http://schemas.openxmlformats.org/spreadsheetml/2006/main">
  <authors>
    <author>Амбарцумов Алексей</author>
  </authors>
  <commentList>
    <comment ref="G31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8</t>
        </r>
      </text>
    </comment>
  </commentList>
</comments>
</file>

<file path=xl/comments2.xml><?xml version="1.0" encoding="utf-8"?>
<comments xmlns="http://schemas.openxmlformats.org/spreadsheetml/2006/main">
  <authors>
    <author>Амбарцумов Алексей</author>
  </authors>
  <commentList>
    <comment ref="G31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8</t>
        </r>
      </text>
    </comment>
  </commentList>
</comments>
</file>

<file path=xl/comments3.xml><?xml version="1.0" encoding="utf-8"?>
<comments xmlns="http://schemas.openxmlformats.org/spreadsheetml/2006/main">
  <authors>
    <author>Амбарцумов Алексей</author>
  </authors>
  <commentList>
    <comment ref="G31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8</t>
        </r>
      </text>
    </comment>
  </commentList>
</comments>
</file>

<file path=xl/comments4.xml><?xml version="1.0" encoding="utf-8"?>
<comments xmlns="http://schemas.openxmlformats.org/spreadsheetml/2006/main">
  <authors>
    <author>Амбарцумов Алексей</author>
  </authors>
  <commentList>
    <comment ref="G31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Амбарцумов Алексей:</t>
        </r>
        <r>
          <rPr>
            <sz val="9"/>
            <color indexed="81"/>
            <rFont val="Tahoma"/>
            <charset val="1"/>
          </rPr>
          <t xml:space="preserve">
8</t>
        </r>
      </text>
    </comment>
  </commentList>
</comments>
</file>

<file path=xl/sharedStrings.xml><?xml version="1.0" encoding="utf-8"?>
<sst xmlns="http://schemas.openxmlformats.org/spreadsheetml/2006/main" count="2984" uniqueCount="485">
  <si>
    <t>Дата</t>
  </si>
  <si>
    <t>Поселение</t>
  </si>
  <si>
    <t>Котёл</t>
  </si>
  <si>
    <t>Тип котла</t>
  </si>
  <si>
    <t>Горелка</t>
  </si>
  <si>
    <t>Показатель</t>
  </si>
  <si>
    <t>Расход газа</t>
  </si>
  <si>
    <t>Температура дымовых газов</t>
  </si>
  <si>
    <t>Содержание CO₂</t>
  </si>
  <si>
    <t>Содержание O₂</t>
  </si>
  <si>
    <t>Содержание CO</t>
  </si>
  <si>
    <t>Содержание NOx</t>
  </si>
  <si>
    <t>Содержание SO₂</t>
  </si>
  <si>
    <t>Фактическая тепловая мощность</t>
  </si>
  <si>
    <t>Давление газа на входе</t>
  </si>
  <si>
    <t>Давление газа за горелкой</t>
  </si>
  <si>
    <t>Температура воды на входе</t>
  </si>
  <si>
    <t>Температура воды на выходе</t>
  </si>
  <si>
    <t>Расход воды на входе</t>
  </si>
  <si>
    <t>Расход воды на выходе</t>
  </si>
  <si>
    <t>Температура окружающей среды</t>
  </si>
  <si>
    <t>Теплотворная способность топлива (природный газ)</t>
  </si>
  <si>
    <t>Расчёт коэффициента избытка воздуха α</t>
  </si>
  <si>
    <t>Расчёт потерь тепла с уходящими газами Q2​</t>
  </si>
  <si>
    <t>Расчёт потерь тепла от химической неполноты сгорания Q3​</t>
  </si>
  <si>
    <t>Расчёт КПД η</t>
  </si>
  <si>
    <t>Единицы измерения</t>
  </si>
  <si>
    <t>куб.м/ч</t>
  </si>
  <si>
    <t>°C</t>
  </si>
  <si>
    <t>%</t>
  </si>
  <si>
    <t>ppm</t>
  </si>
  <si>
    <t>% или ppm</t>
  </si>
  <si>
    <t>кВт или МВт</t>
  </si>
  <si>
    <t>бар или Па</t>
  </si>
  <si>
    <t>м/сек</t>
  </si>
  <si>
    <t>МДж/куб.м</t>
  </si>
  <si>
    <t>кДж/ч</t>
  </si>
  <si>
    <t>КВГМ-1,6-95</t>
  </si>
  <si>
    <t>R91A CIB UNIGAS BURNESS</t>
  </si>
  <si>
    <t>Малое горение</t>
  </si>
  <si>
    <t>Большое горение</t>
  </si>
  <si>
    <t xml:space="preserve">КВГМ-1,6-95
</t>
  </si>
  <si>
    <t>R91А  CIB UNIGAS BURNESS</t>
  </si>
  <si>
    <t xml:space="preserve">КВГМ-2,5 </t>
  </si>
  <si>
    <t>R92А  CIB UNIGAS BURNESS</t>
  </si>
  <si>
    <t>КВГМ-2,5</t>
  </si>
  <si>
    <t>Бережки</t>
  </si>
  <si>
    <t>КВГМ-2,5-95</t>
  </si>
  <si>
    <t>Потанино</t>
  </si>
  <si>
    <t>КВа-2,5-95</t>
  </si>
  <si>
    <t>Селиваново</t>
  </si>
  <si>
    <t>Усадище</t>
  </si>
  <si>
    <t>Кисельня БМК</t>
  </si>
  <si>
    <t>КВГ-2,5-95</t>
  </si>
  <si>
    <t>R73А  CIB UNIGAS BURNES</t>
  </si>
  <si>
    <t>КВГМ-2,0-95</t>
  </si>
  <si>
    <t>Аврово</t>
  </si>
  <si>
    <t>КВ-ГМ-1,1</t>
  </si>
  <si>
    <t>R72А  CIB UNIGAS BURNESS</t>
  </si>
  <si>
    <t>КВ-Г-3.0-95</t>
  </si>
  <si>
    <t>R93А  CIB UNIGAS BURNESS</t>
  </si>
  <si>
    <t>КВГМ-2.5-95</t>
  </si>
  <si>
    <t>Вындин остров</t>
  </si>
  <si>
    <t>Иссад ЛТЦ</t>
  </si>
  <si>
    <t>Иссад</t>
  </si>
  <si>
    <t>Таблица, сравнивающая состав отходящих газов при сжигании природного газа, мазута, угля и дизельного топлива, а также соответствующие химические компоненты, их концентрации и особенности:</t>
  </si>
  <si>
    <t>Компонент</t>
  </si>
  <si>
    <t>Природный газ</t>
  </si>
  <si>
    <t>Мазут</t>
  </si>
  <si>
    <t>Уголь</t>
  </si>
  <si>
    <t>Дизельное топливо</t>
  </si>
  <si>
    <t>Углекислый газ (CO₂)</t>
  </si>
  <si>
    <t>12-14%</t>
  </si>
  <si>
    <t>14-18%</t>
  </si>
  <si>
    <t>Окислы азота (NOₓ)</t>
  </si>
  <si>
    <t>450-900 мг/м³</t>
  </si>
  <si>
    <t>300-1200 мг/м³</t>
  </si>
  <si>
    <t>200-800 мг/м³</t>
  </si>
  <si>
    <t>Окись углерода (CO)</t>
  </si>
  <si>
    <t>50-100 мг/м³</t>
  </si>
  <si>
    <t>50-300 мг/м³</t>
  </si>
  <si>
    <t>100-400 мг/м³</t>
  </si>
  <si>
    <t>50-200 мг/м³</t>
  </si>
  <si>
    <t>Кислород (O₂)</t>
  </si>
  <si>
    <t>2-5%</t>
  </si>
  <si>
    <t>3-6%</t>
  </si>
  <si>
    <t>Азот (N₂)</t>
  </si>
  <si>
    <t>74-78%</t>
  </si>
  <si>
    <t>70-74%</t>
  </si>
  <si>
    <t>Водяной пар (H₂O)</t>
  </si>
  <si>
    <t>Образуется в больших количествах</t>
  </si>
  <si>
    <t>Образуется в меньших количествах</t>
  </si>
  <si>
    <t>Образуется в небольших количествах</t>
  </si>
  <si>
    <t>Образуется в умеренных количествах</t>
  </si>
  <si>
    <t>Сернистый ангидрид (SO₂)</t>
  </si>
  <si>
    <t>Незначительное количество (&lt;50 мг/м³)</t>
  </si>
  <si>
    <t>600-2000 мг/м³</t>
  </si>
  <si>
    <t>500-3000 мг/м³</t>
  </si>
  <si>
    <t>50-500 мг/м³</t>
  </si>
  <si>
    <t>Твердые частицы (зола, сажа)</t>
  </si>
  <si>
    <t>Практически отсутствуют</t>
  </si>
  <si>
    <t>20-100 мг/м³</t>
  </si>
  <si>
    <t>Невыгоревшие углеводороды (CxHy)</t>
  </si>
  <si>
    <t>Очень низкие концентрации</t>
  </si>
  <si>
    <t>Небольшие концентрации при неполном сгорании</t>
  </si>
  <si>
    <t>Зависит от качества сгорания</t>
  </si>
  <si>
    <t>Зависит от условий сгорания</t>
  </si>
  <si>
    <t>Точка росы, °C</t>
  </si>
  <si>
    <t>45-60°C</t>
  </si>
  <si>
    <t>110-130°C</t>
  </si>
  <si>
    <t>120-150°C</t>
  </si>
  <si>
    <t>50-70°C</t>
  </si>
  <si>
    <t>Предел взрывоопасности</t>
  </si>
  <si>
    <t>5-15% по объёму CH₄</t>
  </si>
  <si>
    <t>0.6-6.5% по объёму</t>
  </si>
  <si>
    <t>0.25-1.5% пыль угля (взвешенные частицы)</t>
  </si>
  <si>
    <t>Нормы для оптимальной наладки газовой горелки</t>
  </si>
  <si>
    <t>Параметр</t>
  </si>
  <si>
    <t>Норма для малого горения</t>
  </si>
  <si>
    <t>Коэффициент избыточного воздуха (λ)</t>
  </si>
  <si>
    <t>Давление газа</t>
  </si>
  <si>
    <t>5-10 мбар</t>
  </si>
  <si>
    <t>Давление воздуха</t>
  </si>
  <si>
    <t>Остаточный кислород (O₂)</t>
  </si>
  <si>
    <t>&lt;150 мг/м³</t>
  </si>
  <si>
    <t>Температура воздуха на входе</t>
  </si>
  <si>
    <t>15-25°C</t>
  </si>
  <si>
    <t>Влажность воздуха</t>
  </si>
  <si>
    <t>&lt;70%</t>
  </si>
  <si>
    <t>Химический состав каждого вида топлива:</t>
  </si>
  <si>
    <t>Топливо</t>
  </si>
  <si>
    <t>Основные компоненты</t>
  </si>
  <si>
    <t>Дополнительные примеси</t>
  </si>
  <si>
    <t>Метан (CH₄) – 70-90%, Этан (C₂H₆) – 5-15%, Пропан и бутан (C₃H₈ и C₄H₁₀) – до 5%</t>
  </si>
  <si>
    <t>Следы сероводорода (H₂S), азота (N₂), углекислого газа (CO₂)</t>
  </si>
  <si>
    <t>Углеводороды (CnHm), Сера (до 3%)</t>
  </si>
  <si>
    <t>Азотистые соединения, органические соединения, вода</t>
  </si>
  <si>
    <t>Углерод (C) – 50-70%, Водород (H) – 5-6%, Кислород (O) – 5-10%</t>
  </si>
  <si>
    <t>Сера (до 4%), зола (минеральные примеси: кремний, алюминий, железо)</t>
  </si>
  <si>
    <t>Углеводороды (CnHm), Сера (до 0.2% для малосернистого топлива)</t>
  </si>
  <si>
    <t>Азотистые соединения, следы воды и примесей</t>
  </si>
  <si>
    <t>Выводы:</t>
  </si>
  <si>
    <t>Природный газ: Самое безопасное с точки зрения взрывоопасности и с наименьшими выбросами, хотя требует внимательного контроля точки росы для предотвращения коррозии котлов.</t>
  </si>
  <si>
    <t>Мазут: Имеет высокую точку росы и более высокий риск выбросов SO₂ и твердых частиц, что требует очистки дымовых газов.</t>
  </si>
  <si>
    <t>Уголь: Наиболее сложное топливо с точки зрения экологической безопасности, высокие выбросы SO₂, твердых частиц и высокая точка росы.</t>
  </si>
  <si>
    <t>Дизельное топливо: Относительно безопасное топливо с точки зрения сгорания и взрывоопасности, но требует очистки выбросов твердых частиц и контроля за выбросами NOₓ.</t>
  </si>
  <si>
    <t>Название</t>
  </si>
  <si>
    <t>Адрес</t>
  </si>
  <si>
    <t>Примечание</t>
  </si>
  <si>
    <t>Дата следующей наладки</t>
  </si>
  <si>
    <t>п. Аврово, ул. Центральная, 3А</t>
  </si>
  <si>
    <t>№1</t>
  </si>
  <si>
    <t>газ</t>
  </si>
  <si>
    <t>№2</t>
  </si>
  <si>
    <t>д. Бережки, ул.Придорожная д.2а</t>
  </si>
  <si>
    <t>д. Вындин Остров ул.Школьная д.33</t>
  </si>
  <si>
    <t>№3</t>
  </si>
  <si>
    <t>д. Иссад, мкр. ЛТЦ-4</t>
  </si>
  <si>
    <t>диз. топлево</t>
  </si>
  <si>
    <t>д. Иссад, ул. Лесная, д.3</t>
  </si>
  <si>
    <t>д. Кисельня, ул.Северная, д.6</t>
  </si>
  <si>
    <t>Кисельня Центр</t>
  </si>
  <si>
    <t>д. Кисельня, ул.Центральная, д.27а</t>
  </si>
  <si>
    <t>Колчаново Алексино</t>
  </si>
  <si>
    <t>с. Колчаново, мкрн. Алексино</t>
  </si>
  <si>
    <t>Колчаново Молодежная</t>
  </si>
  <si>
    <t>с. Колчаново, ул. Молодежная, д.11</t>
  </si>
  <si>
    <t>Новая Ладога Северная</t>
  </si>
  <si>
    <t>г. Новая Ладога, ул. Северная, д. 24</t>
  </si>
  <si>
    <t>Новая Ладога Центральная</t>
  </si>
  <si>
    <t>г. Новая Ладога, ул. Суворова, д. 79</t>
  </si>
  <si>
    <t>ДКВР</t>
  </si>
  <si>
    <t>№4</t>
  </si>
  <si>
    <t>№5</t>
  </si>
  <si>
    <t>КВГМ</t>
  </si>
  <si>
    <t>Новая Ладога Луначарского</t>
  </si>
  <si>
    <t>г. Новая Ладога, ул. Луначарского, д. 4</t>
  </si>
  <si>
    <t>с. Паша ул. Советская 108-а</t>
  </si>
  <si>
    <t>мазут</t>
  </si>
  <si>
    <t>с. Паша ул. Станционная д. 9</t>
  </si>
  <si>
    <t>Паша №1</t>
  </si>
  <si>
    <t>с. Паша ул. Советская д. 192-е</t>
  </si>
  <si>
    <t>Паша №3 Лесозавод</t>
  </si>
  <si>
    <t>с. Паша ул. Павла Нечесанова д. 23- б</t>
  </si>
  <si>
    <t>д. Потанино, Центральная , 11А</t>
  </si>
  <si>
    <t>Свирица</t>
  </si>
  <si>
    <t>п. Свирица, Новая Свирица, д.36А</t>
  </si>
  <si>
    <t>п. Селиваново, Первомайская, 2Б</t>
  </si>
  <si>
    <t>Старая Ладога пр. Волковский 12а</t>
  </si>
  <si>
    <t>с. Старая Ладога, пр. Волховский, 12а</t>
  </si>
  <si>
    <t>Старая Ладога советская 30</t>
  </si>
  <si>
    <t>с. Старая Ладога, ул. Советская 30</t>
  </si>
  <si>
    <t>д. Усадище, Центральная</t>
  </si>
  <si>
    <t>Хвалово</t>
  </si>
  <si>
    <t>д. Хвалово, д.137</t>
  </si>
  <si>
    <t>Юги</t>
  </si>
  <si>
    <t>ст. Юги</t>
  </si>
  <si>
    <t>УТВЕРЖДАЮ</t>
  </si>
  <si>
    <t>ООО "Леноблтеплоснаб"</t>
  </si>
  <si>
    <t>Степанов А.В.</t>
  </si>
  <si>
    <t xml:space="preserve">__________________          </t>
  </si>
  <si>
    <t>РЕЖИМНАЯ КАРТА</t>
  </si>
  <si>
    <t>Гкал/ч</t>
  </si>
  <si>
    <t>МВт</t>
  </si>
  <si>
    <t>кПа</t>
  </si>
  <si>
    <t>Па</t>
  </si>
  <si>
    <t>-</t>
  </si>
  <si>
    <t>Согласовано:</t>
  </si>
  <si>
    <t>Наименование параметра защиты</t>
  </si>
  <si>
    <t>Размерность</t>
  </si>
  <si>
    <t>Исчезновение напряжения в цепях защиты</t>
  </si>
  <si>
    <t>кг у.т./Гкал</t>
  </si>
  <si>
    <t>мбар</t>
  </si>
  <si>
    <t>Наименование параметров</t>
  </si>
  <si>
    <t>Начальник котельного участка</t>
  </si>
  <si>
    <t>1.1.</t>
  </si>
  <si>
    <t>1.2.</t>
  </si>
  <si>
    <t>1.3.</t>
  </si>
  <si>
    <t>2.1.</t>
  </si>
  <si>
    <t>2.2.</t>
  </si>
  <si>
    <t>2.3.</t>
  </si>
  <si>
    <t>2.4.</t>
  </si>
  <si>
    <t>2.5.</t>
  </si>
  <si>
    <t>2.6.</t>
  </si>
  <si>
    <t>2.8.</t>
  </si>
  <si>
    <t>3.1.</t>
  </si>
  <si>
    <t>3.2.</t>
  </si>
  <si>
    <t>3.3.</t>
  </si>
  <si>
    <t>3.4.</t>
  </si>
  <si>
    <t>3.5.</t>
  </si>
  <si>
    <t>т/ч</t>
  </si>
  <si>
    <t>3.6.</t>
  </si>
  <si>
    <t>3.7.</t>
  </si>
  <si>
    <t>Понижение давления воздуха</t>
  </si>
  <si>
    <t>Погасание факела</t>
  </si>
  <si>
    <t>Исчезновение напряжения</t>
  </si>
  <si>
    <t>2.7.</t>
  </si>
  <si>
    <t>2.</t>
  </si>
  <si>
    <t>1.5.</t>
  </si>
  <si>
    <t>Газ</t>
  </si>
  <si>
    <t>Дизель</t>
  </si>
  <si>
    <t>HR75A</t>
  </si>
  <si>
    <t>BLU 3000.1 PR TL</t>
  </si>
  <si>
    <t>P92А  CIB UNIGAS S.P.A.</t>
  </si>
  <si>
    <t>НИИСТУ</t>
  </si>
  <si>
    <t>Универсал НШ</t>
  </si>
  <si>
    <t>Ставан-250М</t>
  </si>
  <si>
    <t>ОБЩИЕ СВЕДЕНИЯ:</t>
  </si>
  <si>
    <t>Номер котла:</t>
  </si>
  <si>
    <t>Тип котла:</t>
  </si>
  <si>
    <t>Номинальная теплопроизводительность:</t>
  </si>
  <si>
    <t>Адрес котельной:</t>
  </si>
  <si>
    <t>Тип горелки:</t>
  </si>
  <si>
    <t>Вид топлива:</t>
  </si>
  <si>
    <t>Низшая теплота сгорания топлива (Qрн):</t>
  </si>
  <si>
    <t>№6</t>
  </si>
  <si>
    <t>№7</t>
  </si>
  <si>
    <t>Минимальный</t>
  </si>
  <si>
    <t>Максимальный</t>
  </si>
  <si>
    <t>Режим работы:</t>
  </si>
  <si>
    <t>ПАРАМЕТРЫ ТОПЛИВА И ВОЗДУХА:</t>
  </si>
  <si>
    <t>кгс/см²</t>
  </si>
  <si>
    <t>Давление топлива перед узлом учета (счетчиком):</t>
  </si>
  <si>
    <t>Давление топлива перед котлом/горелкой:</t>
  </si>
  <si>
    <t>Расход топлива (при 20°C и 760 мм рт. ст.):</t>
  </si>
  <si>
    <t>Положение регулирующего органа топлива:</t>
  </si>
  <si>
    <t>Давление воздуха перед горелкой:</t>
  </si>
  <si>
    <t>Положение регулятора воздуха:</t>
  </si>
  <si>
    <t>Разрежение в топке:</t>
  </si>
  <si>
    <t>Температура топлива (если подогревается):</t>
  </si>
  <si>
    <t>Температура воздуха на горение:</t>
  </si>
  <si>
    <t>ПАРАМЕТРЫ ДЫМОВЫХ ГАЗОВ:</t>
  </si>
  <si>
    <t>Температура уходящих газов (УГ):</t>
  </si>
  <si>
    <t>Кислород (O₂):</t>
  </si>
  <si>
    <t>Окись углерода (CO):</t>
  </si>
  <si>
    <t>Оксиды азота (NOx):</t>
  </si>
  <si>
    <t>Коэффициент избытка воздуха (α):</t>
  </si>
  <si>
    <t>ПАРАМЕТРЫ ТЕПЛОНОСИТЕЛЯ:</t>
  </si>
  <si>
    <t>Температура воды на входе в котел:</t>
  </si>
  <si>
    <t>Температура воды на выходе из котла:</t>
  </si>
  <si>
    <t>Подогрев воды в котле (Δt):</t>
  </si>
  <si>
    <t>Мпа</t>
  </si>
  <si>
    <t>Давление воды на входе в котел:</t>
  </si>
  <si>
    <t>Давление воды на выходе из котла:</t>
  </si>
  <si>
    <t>Гидравлическое сопротивление котла (ΔP):</t>
  </si>
  <si>
    <t>ЭКСПЛУАТАЦИОННЫЕ И РАСЧЕТНЫЕ ПОКАЗАТЕЛИ:</t>
  </si>
  <si>
    <t>Массовый расход воды через котел:</t>
  </si>
  <si>
    <t>Фактическая теплопроизводительность (Q):</t>
  </si>
  <si>
    <t>Нагрузка (% от номинальной):</t>
  </si>
  <si>
    <t>(142.86 * 100) / η (%) - где 142.86 кг у.т./Гкал - эталон при η=100%</t>
  </si>
  <si>
    <t>(Подогрев воды в котле (Δt)*Массовый расход воды через котел)/1000*1,163=МВт</t>
  </si>
  <si>
    <t>(Фактическая теплопроизводительность (Q) / Ном. мощность) * 100=%</t>
  </si>
  <si>
    <t>КПД котла "брутто" (η):</t>
  </si>
  <si>
    <t>85–95%</t>
  </si>
  <si>
    <t>10–30°C</t>
  </si>
  <si>
    <t>140–170 кг у.т./Гкал</t>
  </si>
  <si>
    <t>(Подогрев воды в котле (Δt)*Массовый расход воды через котел)/1000=Гкал/ч</t>
  </si>
  <si>
    <t>&gt;1, чем ближе, тем лучше</t>
  </si>
  <si>
    <t>Удельный расход условного топлива:</t>
  </si>
  <si>
    <t xml:space="preserve">((Массовый расход воды через котел*1000*Подогрев воды в котле(Δt))/ (Расход_топлива * Qрн)) * 100%=% </t>
  </si>
  <si>
    <t>(единицы: GG [т/ч], ΔtΔt [°C], BB [м³/ч или кг/ч], QрнQрн​ [ккал/м³ или ккал/кг])</t>
  </si>
  <si>
    <t>Нормы</t>
  </si>
  <si>
    <t>№№ п.п.</t>
  </si>
  <si>
    <t>Доп. откл.</t>
  </si>
  <si>
    <t>1.</t>
  </si>
  <si>
    <t>1.4.</t>
  </si>
  <si>
    <t>1.6.</t>
  </si>
  <si>
    <t>2.9.</t>
  </si>
  <si>
    <t>2.10.</t>
  </si>
  <si>
    <t>2.11.</t>
  </si>
  <si>
    <t>3.</t>
  </si>
  <si>
    <t>4.</t>
  </si>
  <si>
    <t>4.1.</t>
  </si>
  <si>
    <t>4.2.</t>
  </si>
  <si>
    <t>4.3.</t>
  </si>
  <si>
    <t>4.4.</t>
  </si>
  <si>
    <t>4.5.</t>
  </si>
  <si>
    <t>4.6.</t>
  </si>
  <si>
    <t>4.7.</t>
  </si>
  <si>
    <t>5.</t>
  </si>
  <si>
    <t>5.1.</t>
  </si>
  <si>
    <t>5.2.</t>
  </si>
  <si>
    <t>5.3.</t>
  </si>
  <si>
    <t>5.4.</t>
  </si>
  <si>
    <t>±0.1</t>
  </si>
  <si>
    <t>±0.2</t>
  </si>
  <si>
    <t>±1</t>
  </si>
  <si>
    <t>±2</t>
  </si>
  <si>
    <t>Время срабатывания</t>
  </si>
  <si>
    <t>Значения</t>
  </si>
  <si>
    <t>КАРТА ПАРАМЕТРОВ НАСТРОЙКИ АВТОМАТИКИ БЕЗОПАСНОСТИ</t>
  </si>
  <si>
    <t xml:space="preserve">__________________  </t>
  </si>
  <si>
    <t>Понижение давления перед клапанами/горелкой</t>
  </si>
  <si>
    <t>Без выдержки</t>
  </si>
  <si>
    <t>Повышение давления перед горелкой</t>
  </si>
  <si>
    <t>Понижение давления воздуха перед горелкой</t>
  </si>
  <si>
    <t>Понижение разрежения в топке</t>
  </si>
  <si>
    <t>≤ 5 сек</t>
  </si>
  <si>
    <t>Понижение давления воды в котле</t>
  </si>
  <si>
    <t>Повышение давления воды в котле</t>
  </si>
  <si>
    <t>Повышение температуры воды на выходе</t>
  </si>
  <si>
    <t>≤ 10 сек</t>
  </si>
  <si>
    <t>Погасание факела/отсутствие горения</t>
  </si>
  <si>
    <t>Контроль</t>
  </si>
  <si>
    <t>Понижение температуры мазута</t>
  </si>
  <si>
    <t>≤ 15 сек</t>
  </si>
  <si>
    <t>Понижение уровня угля в бункере</t>
  </si>
  <si>
    <t>≤ 60 сек</t>
  </si>
  <si>
    <t>Остановка топливного конвейера (уголь)</t>
  </si>
  <si>
    <t>ДАВЛЕНИЕ ТОПЛИВА</t>
  </si>
  <si>
    <t>ВОЗДУХ/ТЯГА</t>
  </si>
  <si>
    <t>ТЕПЛОНОСИТЕЛЬ</t>
  </si>
  <si>
    <t>ГОРЕНИЕ/ТОПЛЕВО</t>
  </si>
  <si>
    <t>ЭЛЕКТРИКА</t>
  </si>
  <si>
    <t>6.</t>
  </si>
  <si>
    <t>6.1.</t>
  </si>
  <si>
    <t>6.2.</t>
  </si>
  <si>
    <t>≤ 0,5 сек</t>
  </si>
  <si>
    <t>бар</t>
  </si>
  <si>
    <t>1. Давление топлива</t>
  </si>
  <si>
    <t>Диапазон настройки</t>
  </si>
  <si>
    <t>Типовое значение</t>
  </si>
  <si>
    <t>Понижение давления</t>
  </si>
  <si>
    <t>8–15 мбар</t>
  </si>
  <si>
    <t>10 мбар</t>
  </si>
  <si>
    <t>Повышение давления</t>
  </si>
  <si>
    <t>50–70 мбар</t>
  </si>
  <si>
    <t>60 мбар</t>
  </si>
  <si>
    <t>0.7–1.0 бар</t>
  </si>
  <si>
    <t>0.8 бар</t>
  </si>
  <si>
    <t>1.2–1.8 бар</t>
  </si>
  <si>
    <t>1.5 бар</t>
  </si>
  <si>
    <t>0.4–0.6 бар</t>
  </si>
  <si>
    <t>0.5 бар</t>
  </si>
  <si>
    <t>1.0–1.4 бар</t>
  </si>
  <si>
    <t>1.2 бар</t>
  </si>
  <si>
    <t>Не применяется</t>
  </si>
  <si>
    <t>–</t>
  </si>
  <si>
    <t>2. Воздух/тяга</t>
  </si>
  <si>
    <t>Все</t>
  </si>
  <si>
    <t>2.0–3.5 мбар</t>
  </si>
  <si>
    <t>2.5 мбар</t>
  </si>
  <si>
    <t>15–25 Па</t>
  </si>
  <si>
    <t>20 Па</t>
  </si>
  <si>
    <t>25–40 Па</t>
  </si>
  <si>
    <t>30 Па</t>
  </si>
  <si>
    <t>35–50 Па</t>
  </si>
  <si>
    <t>40 Па</t>
  </si>
  <si>
    <t>20–30 Па</t>
  </si>
  <si>
    <t>25 Па</t>
  </si>
  <si>
    <t>3. Теплоноситель (вода)</t>
  </si>
  <si>
    <t>1.5–2.5 бар</t>
  </si>
  <si>
    <t>2.0 бар</t>
  </si>
  <si>
    <t>6.0–8.0 бар</t>
  </si>
  <si>
    <t>7.0–7.5 бар</t>
  </si>
  <si>
    <t>Повышение температуры на выходе:</t>
  </si>
  <si>
    <t>- Газ</t>
  </si>
  <si>
    <t>90–98 °C</t>
  </si>
  <si>
    <t>95 °C</t>
  </si>
  <si>
    <t>- Мазут</t>
  </si>
  <si>
    <t>100–110 °C</t>
  </si>
  <si>
    <t>105 °C</t>
  </si>
  <si>
    <t>- Уголь</t>
  </si>
  <si>
    <t>110–120 °C</t>
  </si>
  <si>
    <t>115 °C</t>
  </si>
  <si>
    <t>- Дизель</t>
  </si>
  <si>
    <t>95–105 °C</t>
  </si>
  <si>
    <t>100 °C</t>
  </si>
  <si>
    <t>Контроль пламени</t>
  </si>
  <si>
    <t>75–85 °C</t>
  </si>
  <si>
    <t>Понижение уровня угля</t>
  </si>
  <si>
    <t>15–25% от объема бункера</t>
  </si>
  <si>
    <t>5. Электрика</t>
  </si>
  <si>
    <t>Контроль сети</t>
  </si>
  <si>
    <t>Остановка конвейера (уголь)</t>
  </si>
  <si>
    <t>Контроль движения</t>
  </si>
  <si>
    <t>4. Горение/топливо</t>
  </si>
  <si>
    <t xml:space="preserve">Зам. ген. директора - главный инженер </t>
  </si>
  <si>
    <t>140-200°C</t>
  </si>
  <si>
    <t>мин: 5-10 мбар макс: 110-150 мбар</t>
  </si>
  <si>
    <t>1.05-1.3</t>
  </si>
  <si>
    <t>8-11%</t>
  </si>
  <si>
    <t>0-150 мг/м³</t>
  </si>
  <si>
    <t>25-500 мг/м³</t>
  </si>
  <si>
    <t>ТО+Прог</t>
  </si>
  <si>
    <t>ТО, Прог</t>
  </si>
  <si>
    <t>Паша №2</t>
  </si>
  <si>
    <t xml:space="preserve">Паша №4 Станционная </t>
  </si>
  <si>
    <t>Селиваново Газовая</t>
  </si>
  <si>
    <t>уголь</t>
  </si>
  <si>
    <t>КВГМ 2,5-95</t>
  </si>
  <si>
    <t>Ставан-250</t>
  </si>
  <si>
    <t>КВГМ 2,0-95</t>
  </si>
  <si>
    <t>КВГМ 0,63-95</t>
  </si>
  <si>
    <t>Турботерм ТТ-800</t>
  </si>
  <si>
    <t>КВр-1.25-90</t>
  </si>
  <si>
    <t>КВГМ 20-150</t>
  </si>
  <si>
    <t>ДКВР-10/13</t>
  </si>
  <si>
    <t>Турботерм 250</t>
  </si>
  <si>
    <t>КВГМ 1,1 - 95</t>
  </si>
  <si>
    <t>НИИСТУ-5</t>
  </si>
  <si>
    <t>КВГМ 3,0 -95</t>
  </si>
  <si>
    <t>КВГМ 2,5 -95</t>
  </si>
  <si>
    <t>КВа 2,5-95</t>
  </si>
  <si>
    <t>КВГМ 1,1- 95</t>
  </si>
  <si>
    <t>КВГМ-0,63-95</t>
  </si>
  <si>
    <t>КВм-1,0</t>
  </si>
  <si>
    <t>Универсал-18</t>
  </si>
  <si>
    <t>1,1</t>
  </si>
  <si>
    <t>2,5</t>
  </si>
  <si>
    <t>0,25</t>
  </si>
  <si>
    <t>0,63</t>
  </si>
  <si>
    <t>2,0</t>
  </si>
  <si>
    <t>0,8</t>
  </si>
  <si>
    <t>1,25</t>
  </si>
  <si>
    <t>3</t>
  </si>
  <si>
    <t>0,5</t>
  </si>
  <si>
    <t>1,6</t>
  </si>
  <si>
    <t>1</t>
  </si>
  <si>
    <t>6,25</t>
  </si>
  <si>
    <t>23,26</t>
  </si>
  <si>
    <t>Мощность</t>
  </si>
  <si>
    <t>БЕРНАР</t>
  </si>
  <si>
    <t>Контроллер</t>
  </si>
  <si>
    <t>Механика</t>
  </si>
  <si>
    <t>Тип управления</t>
  </si>
  <si>
    <t>"___"_____________ 2026 г.</t>
  </si>
  <si>
    <t>Зам. главного инженера</t>
  </si>
  <si>
    <t xml:space="preserve">Амбарцумов А.В.                       </t>
  </si>
  <si>
    <t>Наладку провёл:</t>
  </si>
  <si>
    <t>Разрежения в топке</t>
  </si>
  <si>
    <t>В новых РК</t>
  </si>
  <si>
    <t>BLU 3000.1 PR TL Ecoflam</t>
  </si>
  <si>
    <t>TBML 360 ME Baltur</t>
  </si>
  <si>
    <t>R91А CIB UNIGAS</t>
  </si>
  <si>
    <t>R92А CIB UNIGAS</t>
  </si>
  <si>
    <t>R73А CIB UNIGAS</t>
  </si>
  <si>
    <t>HR75A CIB UNIGAS</t>
  </si>
  <si>
    <t>R93А CIB UNIGAS</t>
  </si>
  <si>
    <t>P92А CIB UNIGAS</t>
  </si>
  <si>
    <t>R72А CIB UNIGAS</t>
  </si>
  <si>
    <t>P60 CIB UNIGAS</t>
  </si>
  <si>
    <t>РГМГ-1</t>
  </si>
  <si>
    <t>R25ABECO Ecoflam</t>
  </si>
  <si>
    <t>ЕММА-С3 ПРОМА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</si>
</sst>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.mm\.yyyy"/>
    <numFmt numFmtId="165" formatCode="dd&quot;.&quot;mm&quot;.&quot;yyyy"/>
    <numFmt numFmtId="166" formatCode="0.0"/>
    <numFmt numFmtId="167" formatCode="0.000"/>
  </numFmts>
  <fonts count="14" x14ac:knownFonts="1">
    <font>
      <sz val="10"/>
      <color rgb="FF000000"/>
      <name val="Calibri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</cellStyleXfs>
  <cellXfs count="224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2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/>
    <xf numFmtId="0" fontId="2" fillId="4" borderId="1" xfId="0" applyFont="1" applyFill="1" applyBorder="1" applyAlignment="1"/>
    <xf numFmtId="0" fontId="2" fillId="5" borderId="1" xfId="0" applyFont="1" applyFill="1" applyBorder="1"/>
    <xf numFmtId="0" fontId="2" fillId="5" borderId="2" xfId="0" applyFont="1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2" fillId="0" borderId="3" xfId="0" applyFont="1" applyBorder="1"/>
    <xf numFmtId="0" fontId="2" fillId="4" borderId="3" xfId="0" applyFont="1" applyFill="1" applyBorder="1" applyAlignment="1"/>
    <xf numFmtId="0" fontId="2" fillId="5" borderId="3" xfId="0" applyFont="1" applyFill="1" applyBorder="1"/>
    <xf numFmtId="0" fontId="2" fillId="5" borderId="4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/>
    <xf numFmtId="0" fontId="2" fillId="4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164" fontId="2" fillId="0" borderId="0" xfId="0" applyNumberFormat="1" applyFont="1" applyAlignment="1"/>
    <xf numFmtId="0" fontId="5" fillId="0" borderId="0" xfId="0" applyFont="1" applyAlignment="1">
      <alignment horizontal="left" vertical="top"/>
    </xf>
    <xf numFmtId="165" fontId="2" fillId="0" borderId="0" xfId="0" applyNumberFormat="1" applyFont="1"/>
    <xf numFmtId="0" fontId="6" fillId="0" borderId="0" xfId="0" applyFont="1"/>
    <xf numFmtId="0" fontId="7" fillId="0" borderId="0" xfId="0" applyFont="1" applyAlignment="1"/>
    <xf numFmtId="0" fontId="7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8" borderId="0" xfId="0" applyFont="1" applyFill="1" applyAlignment="1"/>
    <xf numFmtId="0" fontId="7" fillId="9" borderId="0" xfId="0" applyFont="1" applyFill="1" applyAlignment="1"/>
    <xf numFmtId="0" fontId="7" fillId="10" borderId="0" xfId="0" applyFont="1" applyFill="1" applyAlignment="1"/>
    <xf numFmtId="166" fontId="7" fillId="10" borderId="0" xfId="0" applyNumberFormat="1" applyFont="1" applyFill="1" applyAlignment="1"/>
    <xf numFmtId="2" fontId="7" fillId="10" borderId="0" xfId="0" applyNumberFormat="1" applyFont="1" applyFill="1" applyAlignme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7" fillId="0" borderId="5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3" fontId="7" fillId="8" borderId="0" xfId="0" applyNumberFormat="1" applyFont="1" applyFill="1" applyAlignment="1"/>
    <xf numFmtId="166" fontId="7" fillId="9" borderId="0" xfId="0" applyNumberFormat="1" applyFont="1" applyFill="1" applyAlignment="1"/>
    <xf numFmtId="0" fontId="0" fillId="9" borderId="0" xfId="0" applyFont="1" applyFill="1" applyAlignment="1"/>
    <xf numFmtId="0" fontId="9" fillId="0" borderId="5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6" fillId="8" borderId="0" xfId="0" applyFont="1" applyFill="1" applyAlignment="1"/>
    <xf numFmtId="0" fontId="6" fillId="10" borderId="0" xfId="0" applyFont="1" applyFill="1" applyAlignment="1"/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7" fillId="0" borderId="5" xfId="0" applyNumberFormat="1" applyFont="1" applyBorder="1" applyAlignment="1">
      <alignment horizontal="left" vertical="center"/>
    </xf>
    <xf numFmtId="16" fontId="7" fillId="0" borderId="5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0" fontId="7" fillId="10" borderId="5" xfId="0" applyFont="1" applyFill="1" applyBorder="1" applyAlignment="1"/>
    <xf numFmtId="166" fontId="7" fillId="10" borderId="5" xfId="0" applyNumberFormat="1" applyFont="1" applyFill="1" applyBorder="1" applyAlignment="1"/>
    <xf numFmtId="2" fontId="7" fillId="10" borderId="5" xfId="0" applyNumberFormat="1" applyFont="1" applyFill="1" applyBorder="1" applyAlignment="1"/>
    <xf numFmtId="0" fontId="6" fillId="10" borderId="5" xfId="0" applyFont="1" applyFill="1" applyBorder="1" applyAlignment="1"/>
    <xf numFmtId="2" fontId="7" fillId="10" borderId="14" xfId="0" applyNumberFormat="1" applyFont="1" applyFill="1" applyBorder="1" applyAlignment="1"/>
    <xf numFmtId="2" fontId="7" fillId="10" borderId="9" xfId="0" applyNumberFormat="1" applyFont="1" applyFill="1" applyBorder="1" applyAlignment="1"/>
    <xf numFmtId="167" fontId="7" fillId="0" borderId="5" xfId="0" applyNumberFormat="1" applyFont="1" applyFill="1" applyBorder="1" applyAlignment="1">
      <alignment horizontal="left" vertical="center"/>
    </xf>
    <xf numFmtId="0" fontId="0" fillId="0" borderId="0" xfId="0" applyFont="1" applyBorder="1" applyAlignment="1"/>
    <xf numFmtId="0" fontId="0" fillId="11" borderId="0" xfId="0" applyFont="1" applyFill="1" applyAlignment="1"/>
    <xf numFmtId="0" fontId="8" fillId="11" borderId="0" xfId="0" applyFont="1" applyFill="1" applyAlignment="1"/>
    <xf numFmtId="2" fontId="0" fillId="11" borderId="0" xfId="0" applyNumberFormat="1" applyFont="1" applyFill="1" applyAlignment="1"/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167" fontId="8" fillId="11" borderId="0" xfId="0" applyNumberFormat="1" applyFont="1" applyFill="1" applyAlignment="1"/>
    <xf numFmtId="167" fontId="0" fillId="11" borderId="0" xfId="0" applyNumberFormat="1" applyFont="1" applyFill="1" applyAlignment="1"/>
    <xf numFmtId="0" fontId="0" fillId="0" borderId="0" xfId="0" applyFont="1" applyAlignment="1"/>
    <xf numFmtId="0" fontId="0" fillId="0" borderId="0" xfId="0" applyFont="1" applyAlignment="1"/>
    <xf numFmtId="0" fontId="5" fillId="0" borderId="0" xfId="0" applyFont="1" applyFill="1" applyAlignment="1">
      <alignment horizontal="left" vertical="top"/>
    </xf>
    <xf numFmtId="165" fontId="5" fillId="0" borderId="0" xfId="0" applyNumberFormat="1" applyFont="1" applyFill="1" applyAlignment="1">
      <alignment horizontal="left" vertical="top"/>
    </xf>
    <xf numFmtId="0" fontId="5" fillId="12" borderId="0" xfId="0" applyFont="1" applyFill="1" applyAlignment="1">
      <alignment horizontal="left" vertical="top"/>
    </xf>
    <xf numFmtId="165" fontId="5" fillId="12" borderId="0" xfId="0" applyNumberFormat="1" applyFont="1" applyFill="1" applyAlignment="1">
      <alignment horizontal="left" vertical="top"/>
    </xf>
    <xf numFmtId="164" fontId="2" fillId="12" borderId="0" xfId="0" applyNumberFormat="1" applyFont="1" applyFill="1" applyAlignment="1"/>
    <xf numFmtId="0" fontId="0" fillId="12" borderId="0" xfId="0" applyFont="1" applyFill="1" applyAlignment="1"/>
    <xf numFmtId="0" fontId="0" fillId="0" borderId="0" xfId="0" applyFont="1" applyAlignment="1"/>
    <xf numFmtId="16" fontId="5" fillId="0" borderId="0" xfId="0" quotePrefix="1" applyNumberFormat="1" applyFont="1" applyFill="1" applyAlignment="1">
      <alignment horizontal="left" vertical="top"/>
    </xf>
    <xf numFmtId="0" fontId="5" fillId="0" borderId="0" xfId="0" quotePrefix="1" applyFont="1" applyFill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4" fontId="5" fillId="0" borderId="0" xfId="0" applyNumberFormat="1" applyFont="1" applyFill="1" applyAlignment="1">
      <alignment horizontal="left" vertical="top"/>
    </xf>
    <xf numFmtId="165" fontId="1" fillId="0" borderId="0" xfId="0" applyNumberFormat="1" applyFont="1" applyFill="1" applyAlignment="1"/>
    <xf numFmtId="0" fontId="0" fillId="0" borderId="0" xfId="0" applyFont="1" applyFill="1" applyAlignment="1"/>
    <xf numFmtId="164" fontId="2" fillId="0" borderId="0" xfId="0" applyNumberFormat="1" applyFont="1" applyFill="1" applyAlignment="1"/>
    <xf numFmtId="14" fontId="0" fillId="0" borderId="0" xfId="0" applyNumberFormat="1" applyFont="1" applyAlignment="1"/>
    <xf numFmtId="0" fontId="7" fillId="7" borderId="5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14" fontId="1" fillId="0" borderId="0" xfId="0" applyNumberFormat="1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5" xfId="0" applyFont="1" applyFill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5" xfId="0" applyFont="1" applyBorder="1" applyAlignment="1">
      <alignment horizontal="center" vertical="center" wrapText="1"/>
    </xf>
    <xf numFmtId="0" fontId="3" fillId="0" borderId="15" xfId="0" applyFont="1" applyBorder="1"/>
    <xf numFmtId="0" fontId="2" fillId="0" borderId="1" xfId="0" applyFont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2" fillId="13" borderId="12" xfId="1" applyBorder="1" applyAlignment="1">
      <alignment horizontal="center" vertical="center" wrapText="1"/>
    </xf>
    <xf numFmtId="0" fontId="12" fillId="13" borderId="15" xfId="1" applyBorder="1"/>
    <xf numFmtId="0" fontId="13" fillId="14" borderId="15" xfId="2" applyBorder="1" applyAlignment="1">
      <alignment horizontal="center" vertical="center" wrapText="1"/>
    </xf>
    <xf numFmtId="0" fontId="13" fillId="14" borderId="15" xfId="2" applyBorder="1"/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1" fillId="0" borderId="19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8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167" fontId="7" fillId="0" borderId="14" xfId="0" applyNumberFormat="1" applyFont="1" applyFill="1" applyBorder="1" applyAlignment="1">
      <alignment horizontal="left" vertical="center"/>
    </xf>
    <xf numFmtId="167" fontId="7" fillId="0" borderId="15" xfId="0" applyNumberFormat="1" applyFont="1" applyFill="1" applyBorder="1" applyAlignment="1">
      <alignment horizontal="left" vertical="center"/>
    </xf>
    <xf numFmtId="167" fontId="7" fillId="0" borderId="16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left" vertical="center"/>
    </xf>
    <xf numFmtId="0" fontId="7" fillId="7" borderId="16" xfId="0" applyFont="1" applyFill="1" applyBorder="1" applyAlignment="1">
      <alignment horizontal="left" vertical="center"/>
    </xf>
    <xf numFmtId="0" fontId="7" fillId="7" borderId="14" xfId="0" applyFont="1" applyFill="1" applyBorder="1" applyAlignment="1" applyProtection="1">
      <alignment horizontal="left" vertical="center"/>
      <protection locked="0"/>
    </xf>
    <xf numFmtId="0" fontId="7" fillId="7" borderId="16" xfId="0" applyFont="1" applyFill="1" applyBorder="1" applyAlignment="1" applyProtection="1">
      <alignment horizontal="left" vertical="center"/>
      <protection locked="0"/>
    </xf>
    <xf numFmtId="0" fontId="7" fillId="7" borderId="15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7" fontId="7" fillId="0" borderId="14" xfId="0" applyNumberFormat="1" applyFont="1" applyBorder="1" applyAlignment="1">
      <alignment horizontal="center" vertical="center"/>
    </xf>
    <xf numFmtId="167" fontId="7" fillId="0" borderId="15" xfId="0" applyNumberFormat="1" applyFont="1" applyBorder="1" applyAlignment="1">
      <alignment horizontal="center" vertical="center"/>
    </xf>
    <xf numFmtId="167" fontId="7" fillId="0" borderId="16" xfId="0" applyNumberFormat="1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4" xfId="0" applyFont="1" applyFill="1" applyBorder="1" applyAlignment="1" applyProtection="1">
      <alignment horizontal="left" vertical="center"/>
      <protection locked="0"/>
    </xf>
    <xf numFmtId="0" fontId="7" fillId="0" borderId="16" xfId="0" applyFont="1" applyFill="1" applyBorder="1" applyAlignment="1" applyProtection="1">
      <alignment horizontal="left" vertical="center"/>
      <protection locked="0"/>
    </xf>
    <xf numFmtId="0" fontId="7" fillId="0" borderId="1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167" fontId="7" fillId="0" borderId="14" xfId="0" applyNumberFormat="1" applyFont="1" applyFill="1" applyBorder="1" applyAlignment="1">
      <alignment horizontal="center" vertical="center"/>
    </xf>
    <xf numFmtId="167" fontId="7" fillId="0" borderId="15" xfId="0" applyNumberFormat="1" applyFont="1" applyFill="1" applyBorder="1" applyAlignment="1">
      <alignment horizontal="center" vertical="center"/>
    </xf>
    <xf numFmtId="167" fontId="7" fillId="0" borderId="16" xfId="0" applyNumberFormat="1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left" vertical="center"/>
    </xf>
    <xf numFmtId="0" fontId="7" fillId="15" borderId="15" xfId="0" applyFont="1" applyFill="1" applyBorder="1" applyAlignment="1">
      <alignment horizontal="left" vertical="center"/>
    </xf>
    <xf numFmtId="0" fontId="7" fillId="15" borderId="16" xfId="0" applyFont="1" applyFill="1" applyBorder="1" applyAlignment="1">
      <alignment horizontal="left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169"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4">
    <tableStyle name="Паша станционная №1 18-style" pivot="0" count="3">
      <tableStyleElement type="headerRow" dxfId="168"/>
      <tableStyleElement type="firstRowStripe" dxfId="167"/>
      <tableStyleElement type="secondRowStripe" dxfId="166"/>
    </tableStyle>
    <tableStyle name="Паша станционная №2 18-style" pivot="0" count="3">
      <tableStyleElement type="headerRow" dxfId="165"/>
      <tableStyleElement type="firstRowStripe" dxfId="164"/>
      <tableStyleElement type="secondRowStripe" dxfId="163"/>
    </tableStyle>
    <tableStyle name="Паша №1 (КВГМ) Мазут-style" pivot="0" count="3">
      <tableStyleElement type="headerRow" dxfId="162"/>
      <tableStyleElement type="firstRowStripe" dxfId="161"/>
      <tableStyleElement type="secondRowStripe" dxfId="160"/>
    </tableStyle>
    <tableStyle name="Паша №2 (КВГМ) Мазут-style" pivot="0" count="3">
      <tableStyleElement type="headerRow" dxfId="159"/>
      <tableStyleElement type="firstRowStripe" dxfId="158"/>
      <tableStyleElement type="secondRowStripe" dxfId="157"/>
    </tableStyle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922"/>
  <sheetViews>
    <sheetView workbookViewId="0">
      <pane ySplit="2" topLeftCell="A9" activePane="bottomLeft" state="frozen"/>
      <selection pane="bottomLeft" activeCell="B53" sqref="B53:B54"/>
    </sheetView>
  </sheetViews>
  <sheetFormatPr defaultColWidth="14.42578125" defaultRowHeight="15.75" customHeight="1" x14ac:dyDescent="0.2"/>
  <cols>
    <col min="1" max="1" width="14.42578125" style="113"/>
    <col min="2" max="2" width="38.7109375" customWidth="1"/>
    <col min="5" max="5" width="14.42578125" style="116"/>
    <col min="7" max="7" width="14.42578125" style="116"/>
    <col min="8" max="8" width="16.7109375" customWidth="1"/>
  </cols>
  <sheetData>
    <row r="1" spans="1:34" ht="51" customHeight="1" x14ac:dyDescent="0.2">
      <c r="A1" s="142" t="s">
        <v>0</v>
      </c>
      <c r="B1" s="144" t="s">
        <v>1</v>
      </c>
      <c r="C1" s="144" t="s">
        <v>2</v>
      </c>
      <c r="D1" s="144" t="s">
        <v>3</v>
      </c>
      <c r="E1" s="144" t="s">
        <v>130</v>
      </c>
      <c r="F1" s="144" t="s">
        <v>4</v>
      </c>
      <c r="G1" s="144" t="s">
        <v>465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18</v>
      </c>
      <c r="V1" s="2" t="s">
        <v>19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/>
      <c r="AF1" s="2"/>
      <c r="AG1" s="2"/>
      <c r="AH1" s="2"/>
    </row>
    <row r="2" spans="1:34" ht="30.75" customHeight="1" x14ac:dyDescent="0.2">
      <c r="A2" s="143"/>
      <c r="B2" s="145"/>
      <c r="C2" s="145"/>
      <c r="D2" s="145"/>
      <c r="E2" s="145"/>
      <c r="F2" s="145"/>
      <c r="G2" s="145"/>
      <c r="H2" s="1" t="s">
        <v>26</v>
      </c>
      <c r="I2" s="1" t="s">
        <v>27</v>
      </c>
      <c r="J2" s="1" t="s">
        <v>28</v>
      </c>
      <c r="K2" s="1" t="s">
        <v>29</v>
      </c>
      <c r="L2" s="1" t="s">
        <v>29</v>
      </c>
      <c r="M2" s="1" t="s">
        <v>30</v>
      </c>
      <c r="N2" s="1" t="s">
        <v>31</v>
      </c>
      <c r="O2" s="1" t="s">
        <v>31</v>
      </c>
      <c r="P2" s="1" t="s">
        <v>32</v>
      </c>
      <c r="Q2" s="1" t="s">
        <v>33</v>
      </c>
      <c r="R2" s="1" t="s">
        <v>33</v>
      </c>
      <c r="S2" s="1" t="s">
        <v>28</v>
      </c>
      <c r="T2" s="1" t="s">
        <v>28</v>
      </c>
      <c r="U2" s="1" t="s">
        <v>27</v>
      </c>
      <c r="V2" s="1" t="s">
        <v>27</v>
      </c>
      <c r="W2" s="1" t="s">
        <v>34</v>
      </c>
      <c r="X2" s="1" t="s">
        <v>34</v>
      </c>
      <c r="Y2" s="1" t="s">
        <v>28</v>
      </c>
      <c r="Z2" s="1" t="s">
        <v>35</v>
      </c>
      <c r="AA2" s="1"/>
      <c r="AB2" s="3" t="s">
        <v>36</v>
      </c>
      <c r="AC2" s="3" t="s">
        <v>36</v>
      </c>
      <c r="AD2" s="1" t="s">
        <v>29</v>
      </c>
      <c r="AE2" s="1"/>
      <c r="AF2" s="1"/>
      <c r="AG2" s="1"/>
      <c r="AH2" s="1"/>
    </row>
    <row r="3" spans="1:34" ht="15.75" customHeight="1" x14ac:dyDescent="0.2">
      <c r="A3" s="153">
        <v>45542</v>
      </c>
      <c r="B3" s="151" t="s">
        <v>189</v>
      </c>
      <c r="C3" s="146" t="s">
        <v>151</v>
      </c>
      <c r="D3" s="141" t="s">
        <v>37</v>
      </c>
      <c r="E3" s="141" t="s">
        <v>239</v>
      </c>
      <c r="F3" s="141" t="s">
        <v>38</v>
      </c>
      <c r="G3" s="141"/>
      <c r="H3" s="4" t="s">
        <v>39</v>
      </c>
      <c r="I3" s="4">
        <v>87</v>
      </c>
      <c r="J3" s="5">
        <v>144</v>
      </c>
      <c r="K3" s="4">
        <v>8.91</v>
      </c>
      <c r="L3" s="5">
        <v>3.97</v>
      </c>
      <c r="M3" s="5">
        <v>90</v>
      </c>
      <c r="N3" s="6"/>
      <c r="O3" s="6"/>
      <c r="P3" s="6"/>
      <c r="Q3" s="6"/>
      <c r="R3" s="6"/>
      <c r="S3" s="5">
        <v>40</v>
      </c>
      <c r="T3" s="6"/>
      <c r="U3" s="7"/>
      <c r="V3" s="8"/>
      <c r="W3" s="8"/>
      <c r="X3" s="8"/>
      <c r="Y3" s="9">
        <v>20</v>
      </c>
      <c r="Z3" s="9">
        <v>35</v>
      </c>
      <c r="AA3" s="10">
        <f t="shared" ref="AA3:AA28" si="0">21/(21-L3)</f>
        <v>1.2331180270111568</v>
      </c>
      <c r="AB3" s="10">
        <f t="shared" ref="AB3:AB28" si="1">((J3 - S3) / (J3 - Y3)) * (1 / AA3) * 1.88 * (K3 + L3)</f>
        <v>16.469511569892475</v>
      </c>
      <c r="AC3" s="10">
        <f t="shared" ref="AC3:AC28" si="2">(M3 / 100) * Z3</f>
        <v>31.5</v>
      </c>
      <c r="AD3" s="11">
        <f t="shared" ref="AD3:AD64" si="3">100 - (AB3 + AC3)</f>
        <v>52.030488430107525</v>
      </c>
    </row>
    <row r="4" spans="1:34" ht="15.75" customHeight="1" x14ac:dyDescent="0.2">
      <c r="A4" s="154"/>
      <c r="B4" s="152"/>
      <c r="C4" s="147"/>
      <c r="D4" s="138"/>
      <c r="E4" s="138"/>
      <c r="F4" s="138"/>
      <c r="G4" s="138"/>
      <c r="H4" s="12" t="s">
        <v>40</v>
      </c>
      <c r="I4" s="13"/>
      <c r="J4" s="14"/>
      <c r="K4" s="13"/>
      <c r="L4" s="14"/>
      <c r="M4" s="14"/>
      <c r="N4" s="13"/>
      <c r="O4" s="13"/>
      <c r="P4" s="13"/>
      <c r="Q4" s="13"/>
      <c r="R4" s="13"/>
      <c r="S4" s="14"/>
      <c r="T4" s="13"/>
      <c r="U4" s="15"/>
      <c r="V4" s="16"/>
      <c r="W4" s="16"/>
      <c r="X4" s="16"/>
      <c r="Y4" s="17">
        <v>20</v>
      </c>
      <c r="Z4" s="17">
        <v>35</v>
      </c>
      <c r="AA4" s="18">
        <f t="shared" si="0"/>
        <v>1</v>
      </c>
      <c r="AB4" s="18">
        <f t="shared" si="1"/>
        <v>0</v>
      </c>
      <c r="AC4" s="18">
        <f t="shared" si="2"/>
        <v>0</v>
      </c>
      <c r="AD4" s="19">
        <f t="shared" si="3"/>
        <v>100</v>
      </c>
    </row>
    <row r="5" spans="1:34" ht="15.75" customHeight="1" x14ac:dyDescent="0.2">
      <c r="A5" s="154">
        <v>45542</v>
      </c>
      <c r="B5" s="152" t="s">
        <v>189</v>
      </c>
      <c r="C5" s="148" t="s">
        <v>153</v>
      </c>
      <c r="D5" s="150" t="s">
        <v>41</v>
      </c>
      <c r="E5" s="150" t="s">
        <v>239</v>
      </c>
      <c r="F5" s="150" t="s">
        <v>42</v>
      </c>
      <c r="G5" s="150"/>
      <c r="H5" s="4" t="s">
        <v>39</v>
      </c>
      <c r="I5" s="4">
        <v>76</v>
      </c>
      <c r="J5" s="5">
        <v>128</v>
      </c>
      <c r="K5" s="4">
        <v>9.02</v>
      </c>
      <c r="L5" s="5">
        <v>3.78</v>
      </c>
      <c r="M5" s="5">
        <v>46</v>
      </c>
      <c r="N5" s="6"/>
      <c r="O5" s="6"/>
      <c r="P5" s="6"/>
      <c r="Q5" s="6"/>
      <c r="R5" s="6"/>
      <c r="S5" s="20"/>
      <c r="T5" s="6"/>
      <c r="U5" s="7"/>
      <c r="V5" s="8"/>
      <c r="W5" s="8"/>
      <c r="X5" s="8"/>
      <c r="Y5" s="9">
        <v>20</v>
      </c>
      <c r="Z5" s="9">
        <v>35</v>
      </c>
      <c r="AA5" s="10">
        <f t="shared" si="0"/>
        <v>1.2195121951219512</v>
      </c>
      <c r="AB5" s="10">
        <f t="shared" si="1"/>
        <v>23.386642962962959</v>
      </c>
      <c r="AC5" s="10">
        <f t="shared" si="2"/>
        <v>16.100000000000001</v>
      </c>
      <c r="AD5" s="11">
        <f t="shared" si="3"/>
        <v>60.513357037037039</v>
      </c>
    </row>
    <row r="6" spans="1:34" ht="15.75" customHeight="1" x14ac:dyDescent="0.2">
      <c r="A6" s="154"/>
      <c r="B6" s="152"/>
      <c r="C6" s="149"/>
      <c r="D6" s="138"/>
      <c r="E6" s="138"/>
      <c r="F6" s="138"/>
      <c r="G6" s="138"/>
      <c r="H6" s="12" t="s">
        <v>40</v>
      </c>
      <c r="I6" s="13"/>
      <c r="J6" s="14"/>
      <c r="K6" s="13"/>
      <c r="L6" s="14"/>
      <c r="M6" s="14"/>
      <c r="N6" s="13"/>
      <c r="O6" s="13"/>
      <c r="P6" s="13"/>
      <c r="Q6" s="13"/>
      <c r="R6" s="13"/>
      <c r="S6" s="14"/>
      <c r="T6" s="13"/>
      <c r="U6" s="15"/>
      <c r="V6" s="16"/>
      <c r="W6" s="16"/>
      <c r="X6" s="16"/>
      <c r="Y6" s="17">
        <v>20</v>
      </c>
      <c r="Z6" s="17">
        <v>35</v>
      </c>
      <c r="AA6" s="18">
        <f t="shared" si="0"/>
        <v>1</v>
      </c>
      <c r="AB6" s="18">
        <f t="shared" si="1"/>
        <v>0</v>
      </c>
      <c r="AC6" s="18">
        <f t="shared" si="2"/>
        <v>0</v>
      </c>
      <c r="AD6" s="19">
        <f t="shared" si="3"/>
        <v>100</v>
      </c>
    </row>
    <row r="7" spans="1:34" ht="15.75" customHeight="1" x14ac:dyDescent="0.2">
      <c r="A7" s="154">
        <v>45556</v>
      </c>
      <c r="B7" s="152" t="s">
        <v>162</v>
      </c>
      <c r="C7" s="139" t="s">
        <v>151</v>
      </c>
      <c r="D7" s="141" t="s">
        <v>43</v>
      </c>
      <c r="E7" s="141" t="s">
        <v>239</v>
      </c>
      <c r="F7" s="141" t="s">
        <v>44</v>
      </c>
      <c r="G7" s="141"/>
      <c r="H7" s="4" t="s">
        <v>39</v>
      </c>
      <c r="I7" s="4">
        <v>81</v>
      </c>
      <c r="J7" s="5">
        <v>159</v>
      </c>
      <c r="K7" s="4">
        <v>9.59</v>
      </c>
      <c r="L7" s="5">
        <v>2.68</v>
      </c>
      <c r="M7" s="5">
        <v>60</v>
      </c>
      <c r="N7" s="6"/>
      <c r="O7" s="6"/>
      <c r="P7" s="6"/>
      <c r="Q7" s="6"/>
      <c r="R7" s="6"/>
      <c r="S7" s="20"/>
      <c r="T7" s="6"/>
      <c r="U7" s="7"/>
      <c r="V7" s="8"/>
      <c r="W7" s="8"/>
      <c r="X7" s="8"/>
      <c r="Y7" s="9">
        <v>20</v>
      </c>
      <c r="Z7" s="9">
        <v>35</v>
      </c>
      <c r="AA7" s="10">
        <f t="shared" si="0"/>
        <v>1.1462882096069869</v>
      </c>
      <c r="AB7" s="10">
        <f t="shared" si="1"/>
        <v>23.019236275436789</v>
      </c>
      <c r="AC7" s="10">
        <f t="shared" si="2"/>
        <v>21</v>
      </c>
      <c r="AD7" s="11">
        <f t="shared" si="3"/>
        <v>55.980763724563211</v>
      </c>
    </row>
    <row r="8" spans="1:34" ht="15.75" customHeight="1" x14ac:dyDescent="0.2">
      <c r="A8" s="154"/>
      <c r="B8" s="152"/>
      <c r="C8" s="140"/>
      <c r="D8" s="138"/>
      <c r="E8" s="138"/>
      <c r="F8" s="138"/>
      <c r="G8" s="138"/>
      <c r="H8" s="12" t="s">
        <v>40</v>
      </c>
      <c r="I8" s="13">
        <v>294</v>
      </c>
      <c r="J8" s="14">
        <v>183</v>
      </c>
      <c r="K8" s="13">
        <v>9.6199999999999992</v>
      </c>
      <c r="L8" s="14">
        <v>2.63</v>
      </c>
      <c r="M8" s="14">
        <v>50</v>
      </c>
      <c r="N8" s="13"/>
      <c r="O8" s="13"/>
      <c r="P8" s="13"/>
      <c r="Q8" s="13"/>
      <c r="R8" s="13"/>
      <c r="S8" s="14"/>
      <c r="T8" s="13"/>
      <c r="U8" s="15"/>
      <c r="V8" s="16"/>
      <c r="W8" s="16"/>
      <c r="X8" s="16"/>
      <c r="Y8" s="17">
        <v>20</v>
      </c>
      <c r="Z8" s="17">
        <v>35</v>
      </c>
      <c r="AA8" s="18">
        <f t="shared" si="0"/>
        <v>1.1431682090364725</v>
      </c>
      <c r="AB8" s="18">
        <f t="shared" si="1"/>
        <v>22.617639877300611</v>
      </c>
      <c r="AC8" s="18">
        <f t="shared" si="2"/>
        <v>17.5</v>
      </c>
      <c r="AD8" s="19">
        <f t="shared" si="3"/>
        <v>59.882360122699389</v>
      </c>
    </row>
    <row r="9" spans="1:34" ht="15.75" customHeight="1" x14ac:dyDescent="0.2">
      <c r="A9" s="154">
        <v>45556</v>
      </c>
      <c r="B9" s="152" t="s">
        <v>162</v>
      </c>
      <c r="C9" s="139" t="s">
        <v>156</v>
      </c>
      <c r="D9" s="141" t="s">
        <v>45</v>
      </c>
      <c r="E9" s="150" t="s">
        <v>239</v>
      </c>
      <c r="F9" s="141" t="s">
        <v>44</v>
      </c>
      <c r="G9" s="141"/>
      <c r="H9" s="4" t="s">
        <v>39</v>
      </c>
      <c r="I9" s="4">
        <v>87</v>
      </c>
      <c r="J9" s="5">
        <v>96</v>
      </c>
      <c r="K9" s="4">
        <v>8.85</v>
      </c>
      <c r="L9" s="5">
        <v>4.0999999999999996</v>
      </c>
      <c r="M9" s="5">
        <v>38</v>
      </c>
      <c r="N9" s="6"/>
      <c r="O9" s="6"/>
      <c r="P9" s="6"/>
      <c r="Q9" s="6"/>
      <c r="R9" s="6"/>
      <c r="S9" s="20"/>
      <c r="T9" s="6"/>
      <c r="U9" s="7"/>
      <c r="V9" s="8"/>
      <c r="W9" s="8"/>
      <c r="X9" s="8"/>
      <c r="Y9" s="9">
        <v>20</v>
      </c>
      <c r="Z9" s="9">
        <v>35</v>
      </c>
      <c r="AA9" s="10">
        <f t="shared" si="0"/>
        <v>1.2426035502958581</v>
      </c>
      <c r="AB9" s="10">
        <f>((J9 - S9) / (J9 - Y9)) * (1 / AA9) * 1.88 * (K9 + L9)</f>
        <v>24.748715789473675</v>
      </c>
      <c r="AC9" s="10">
        <f t="shared" si="2"/>
        <v>13.3</v>
      </c>
      <c r="AD9" s="11">
        <f t="shared" si="3"/>
        <v>61.951284210526325</v>
      </c>
    </row>
    <row r="10" spans="1:34" ht="15.75" customHeight="1" x14ac:dyDescent="0.2">
      <c r="A10" s="154"/>
      <c r="B10" s="152"/>
      <c r="C10" s="140"/>
      <c r="D10" s="138"/>
      <c r="E10" s="138"/>
      <c r="F10" s="138"/>
      <c r="G10" s="138"/>
      <c r="H10" s="12" t="s">
        <v>40</v>
      </c>
      <c r="I10" s="13">
        <v>275</v>
      </c>
      <c r="J10" s="14">
        <v>139</v>
      </c>
      <c r="K10" s="13">
        <v>9.57</v>
      </c>
      <c r="L10" s="14">
        <v>2.73</v>
      </c>
      <c r="M10" s="14">
        <v>33</v>
      </c>
      <c r="N10" s="13"/>
      <c r="O10" s="13"/>
      <c r="P10" s="13"/>
      <c r="Q10" s="13"/>
      <c r="R10" s="13"/>
      <c r="S10" s="14"/>
      <c r="T10" s="13"/>
      <c r="U10" s="15"/>
      <c r="V10" s="16"/>
      <c r="W10" s="16"/>
      <c r="X10" s="16"/>
      <c r="Y10" s="17">
        <v>20</v>
      </c>
      <c r="Z10" s="17">
        <v>35</v>
      </c>
      <c r="AA10" s="18">
        <f t="shared" si="0"/>
        <v>1.1494252873563218</v>
      </c>
      <c r="AB10" s="18">
        <f t="shared" si="1"/>
        <v>23.499036302521013</v>
      </c>
      <c r="AC10" s="18">
        <f t="shared" si="2"/>
        <v>11.55</v>
      </c>
      <c r="AD10" s="19">
        <f t="shared" si="3"/>
        <v>64.950963697478983</v>
      </c>
    </row>
    <row r="11" spans="1:34" ht="15.75" customHeight="1" x14ac:dyDescent="0.2">
      <c r="A11" s="154">
        <v>45563</v>
      </c>
      <c r="B11" s="152" t="s">
        <v>154</v>
      </c>
      <c r="C11" s="139" t="s">
        <v>151</v>
      </c>
      <c r="D11" s="141" t="s">
        <v>45</v>
      </c>
      <c r="E11" s="141" t="s">
        <v>239</v>
      </c>
      <c r="F11" s="141" t="s">
        <v>44</v>
      </c>
      <c r="G11" s="141"/>
      <c r="H11" s="4" t="s">
        <v>39</v>
      </c>
      <c r="I11" s="4">
        <v>94</v>
      </c>
      <c r="J11" s="5">
        <v>125</v>
      </c>
      <c r="K11" s="4">
        <v>9.61</v>
      </c>
      <c r="L11" s="5">
        <v>2.65</v>
      </c>
      <c r="M11" s="5">
        <v>21</v>
      </c>
      <c r="N11" s="6"/>
      <c r="O11" s="6"/>
      <c r="P11" s="6"/>
      <c r="Q11" s="6"/>
      <c r="R11" s="6"/>
      <c r="S11" s="20">
        <v>48</v>
      </c>
      <c r="T11" s="6"/>
      <c r="U11" s="7">
        <v>80</v>
      </c>
      <c r="V11" s="8"/>
      <c r="W11" s="8"/>
      <c r="X11" s="8"/>
      <c r="Y11" s="9">
        <v>20</v>
      </c>
      <c r="Z11" s="9">
        <v>35</v>
      </c>
      <c r="AA11" s="10">
        <f t="shared" si="0"/>
        <v>1.1444141689373295</v>
      </c>
      <c r="AB11" s="10">
        <f>((J11 - S11) / (J11 - Y11)) * (1 / AA11) * 1.88 * (K11 + L11)</f>
        <v>14.769524698412699</v>
      </c>
      <c r="AC11" s="10">
        <f t="shared" si="2"/>
        <v>7.35</v>
      </c>
      <c r="AD11" s="11">
        <f>100 - (AB11 + AC11)</f>
        <v>77.880475301587296</v>
      </c>
    </row>
    <row r="12" spans="1:34" ht="15.75" customHeight="1" x14ac:dyDescent="0.2">
      <c r="A12" s="154"/>
      <c r="B12" s="152"/>
      <c r="C12" s="140"/>
      <c r="D12" s="138"/>
      <c r="E12" s="138"/>
      <c r="F12" s="138"/>
      <c r="G12" s="138"/>
      <c r="H12" s="12" t="s">
        <v>40</v>
      </c>
      <c r="I12" s="13">
        <v>210</v>
      </c>
      <c r="J12" s="23">
        <v>150</v>
      </c>
      <c r="K12" s="13">
        <v>9.4</v>
      </c>
      <c r="L12" s="23">
        <v>2.7</v>
      </c>
      <c r="M12" s="23">
        <v>11</v>
      </c>
      <c r="N12" s="13"/>
      <c r="O12" s="13"/>
      <c r="P12" s="13"/>
      <c r="Q12" s="13"/>
      <c r="R12" s="13"/>
      <c r="S12" s="14">
        <v>48</v>
      </c>
      <c r="T12" s="13"/>
      <c r="U12" s="15">
        <v>80</v>
      </c>
      <c r="V12" s="16"/>
      <c r="W12" s="16"/>
      <c r="X12" s="16"/>
      <c r="Y12" s="17">
        <v>20</v>
      </c>
      <c r="Z12" s="17">
        <v>35</v>
      </c>
      <c r="AA12" s="18">
        <f t="shared" si="0"/>
        <v>1.1475409836065573</v>
      </c>
      <c r="AB12" s="18">
        <f t="shared" si="1"/>
        <v>15.553632527472528</v>
      </c>
      <c r="AC12" s="18">
        <f t="shared" si="2"/>
        <v>3.85</v>
      </c>
      <c r="AD12" s="19">
        <f t="shared" si="3"/>
        <v>80.596367472527476</v>
      </c>
    </row>
    <row r="13" spans="1:34" ht="15.75" customHeight="1" x14ac:dyDescent="0.2">
      <c r="A13" s="154">
        <v>45563</v>
      </c>
      <c r="B13" s="152" t="s">
        <v>154</v>
      </c>
      <c r="C13" s="139" t="s">
        <v>153</v>
      </c>
      <c r="D13" s="141" t="s">
        <v>47</v>
      </c>
      <c r="E13" s="150" t="s">
        <v>239</v>
      </c>
      <c r="F13" s="141" t="s">
        <v>44</v>
      </c>
      <c r="G13" s="141"/>
      <c r="H13" s="4" t="s">
        <v>39</v>
      </c>
      <c r="I13" s="4">
        <v>113</v>
      </c>
      <c r="J13" s="5">
        <v>134</v>
      </c>
      <c r="K13" s="108">
        <v>9.61</v>
      </c>
      <c r="L13" s="20">
        <v>2.65</v>
      </c>
      <c r="M13" s="5">
        <v>10</v>
      </c>
      <c r="N13" s="6"/>
      <c r="O13" s="6"/>
      <c r="P13" s="6"/>
      <c r="Q13" s="6"/>
      <c r="R13" s="6"/>
      <c r="S13" s="20">
        <v>48</v>
      </c>
      <c r="T13" s="6"/>
      <c r="U13" s="7">
        <v>80</v>
      </c>
      <c r="V13" s="8"/>
      <c r="W13" s="8"/>
      <c r="X13" s="8"/>
      <c r="Y13" s="9">
        <v>20</v>
      </c>
      <c r="Z13" s="9">
        <v>35</v>
      </c>
      <c r="AA13" s="10">
        <f t="shared" si="0"/>
        <v>1.1444141689373295</v>
      </c>
      <c r="AB13" s="10">
        <f t="shared" si="1"/>
        <v>15.193530192147035</v>
      </c>
      <c r="AC13" s="10">
        <f t="shared" si="2"/>
        <v>3.5</v>
      </c>
      <c r="AD13" s="11">
        <f t="shared" si="3"/>
        <v>81.306469807852963</v>
      </c>
    </row>
    <row r="14" spans="1:34" ht="15.75" customHeight="1" x14ac:dyDescent="0.2">
      <c r="A14" s="154"/>
      <c r="B14" s="152"/>
      <c r="C14" s="140"/>
      <c r="D14" s="138"/>
      <c r="E14" s="138"/>
      <c r="F14" s="138"/>
      <c r="G14" s="138"/>
      <c r="H14" s="12" t="s">
        <v>40</v>
      </c>
      <c r="I14" s="13">
        <v>195</v>
      </c>
      <c r="J14" s="14">
        <v>160</v>
      </c>
      <c r="K14" s="13">
        <v>9.65</v>
      </c>
      <c r="L14" s="14">
        <v>2.58</v>
      </c>
      <c r="M14" s="14">
        <v>14</v>
      </c>
      <c r="N14" s="13"/>
      <c r="O14" s="13"/>
      <c r="P14" s="13"/>
      <c r="Q14" s="13"/>
      <c r="R14" s="13"/>
      <c r="S14" s="14">
        <v>48</v>
      </c>
      <c r="T14" s="13"/>
      <c r="U14" s="15">
        <v>80</v>
      </c>
      <c r="V14" s="16"/>
      <c r="W14" s="16"/>
      <c r="X14" s="16"/>
      <c r="Y14" s="17">
        <v>20</v>
      </c>
      <c r="Z14" s="17">
        <v>35</v>
      </c>
      <c r="AA14" s="18">
        <f t="shared" si="0"/>
        <v>1.1400651465798044</v>
      </c>
      <c r="AB14" s="18">
        <f t="shared" si="1"/>
        <v>16.134095542857146</v>
      </c>
      <c r="AC14" s="18">
        <f t="shared" si="2"/>
        <v>4.9000000000000004</v>
      </c>
      <c r="AD14" s="19">
        <f t="shared" si="3"/>
        <v>78.965904457142855</v>
      </c>
    </row>
    <row r="15" spans="1:34" ht="15.75" customHeight="1" x14ac:dyDescent="0.2">
      <c r="A15" s="154">
        <v>45570</v>
      </c>
      <c r="B15" s="152" t="s">
        <v>184</v>
      </c>
      <c r="C15" s="139" t="s">
        <v>153</v>
      </c>
      <c r="D15" s="141" t="s">
        <v>49</v>
      </c>
      <c r="E15" s="141" t="s">
        <v>239</v>
      </c>
      <c r="F15" s="141" t="s">
        <v>44</v>
      </c>
      <c r="G15" s="141"/>
      <c r="H15" s="4" t="s">
        <v>39</v>
      </c>
      <c r="I15" s="4">
        <v>98</v>
      </c>
      <c r="J15" s="5">
        <v>91</v>
      </c>
      <c r="K15" s="4">
        <v>7.37</v>
      </c>
      <c r="L15" s="5">
        <v>6.92</v>
      </c>
      <c r="M15" s="5">
        <v>38</v>
      </c>
      <c r="N15" s="6"/>
      <c r="O15" s="6"/>
      <c r="P15" s="6"/>
      <c r="Q15" s="6"/>
      <c r="R15" s="6"/>
      <c r="S15" s="20"/>
      <c r="T15" s="6"/>
      <c r="U15" s="7"/>
      <c r="V15" s="8"/>
      <c r="W15" s="8"/>
      <c r="X15" s="8"/>
      <c r="Y15" s="9">
        <v>20</v>
      </c>
      <c r="Z15" s="9">
        <v>35</v>
      </c>
      <c r="AA15" s="10">
        <f t="shared" si="0"/>
        <v>1.4914772727272727</v>
      </c>
      <c r="AB15" s="10">
        <f t="shared" si="1"/>
        <v>23.086414122065726</v>
      </c>
      <c r="AC15" s="10">
        <f t="shared" si="2"/>
        <v>13.3</v>
      </c>
      <c r="AD15" s="11">
        <f t="shared" si="3"/>
        <v>63.61358587793427</v>
      </c>
    </row>
    <row r="16" spans="1:34" ht="15.75" customHeight="1" x14ac:dyDescent="0.2">
      <c r="A16" s="154"/>
      <c r="B16" s="152"/>
      <c r="C16" s="140"/>
      <c r="D16" s="138"/>
      <c r="E16" s="138"/>
      <c r="F16" s="138"/>
      <c r="G16" s="138"/>
      <c r="H16" s="12" t="s">
        <v>40</v>
      </c>
      <c r="I16" s="13">
        <v>259</v>
      </c>
      <c r="J16" s="14">
        <v>108</v>
      </c>
      <c r="K16" s="13">
        <v>9.83</v>
      </c>
      <c r="L16" s="14">
        <v>2.2200000000000002</v>
      </c>
      <c r="M16" s="14">
        <v>60</v>
      </c>
      <c r="N16" s="13"/>
      <c r="O16" s="13"/>
      <c r="P16" s="13"/>
      <c r="Q16" s="13"/>
      <c r="R16" s="13"/>
      <c r="S16" s="14"/>
      <c r="T16" s="13"/>
      <c r="U16" s="15"/>
      <c r="V16" s="16"/>
      <c r="W16" s="16"/>
      <c r="X16" s="16"/>
      <c r="Y16" s="17">
        <v>20</v>
      </c>
      <c r="Z16" s="17">
        <v>35</v>
      </c>
      <c r="AA16" s="18">
        <f t="shared" si="0"/>
        <v>1.1182108626198082</v>
      </c>
      <c r="AB16" s="18">
        <f t="shared" si="1"/>
        <v>24.863500519480521</v>
      </c>
      <c r="AC16" s="18">
        <f t="shared" si="2"/>
        <v>21</v>
      </c>
      <c r="AD16" s="19">
        <f t="shared" si="3"/>
        <v>54.136499480519475</v>
      </c>
    </row>
    <row r="17" spans="1:30" ht="15.75" customHeight="1" x14ac:dyDescent="0.2">
      <c r="A17" s="154">
        <v>45577</v>
      </c>
      <c r="B17" s="152" t="s">
        <v>192</v>
      </c>
      <c r="C17" s="139" t="s">
        <v>151</v>
      </c>
      <c r="D17" s="141" t="s">
        <v>47</v>
      </c>
      <c r="E17" s="150" t="s">
        <v>239</v>
      </c>
      <c r="F17" s="141" t="s">
        <v>44</v>
      </c>
      <c r="G17" s="141" t="s">
        <v>463</v>
      </c>
      <c r="H17" s="4" t="s">
        <v>39</v>
      </c>
      <c r="I17" s="4">
        <v>72</v>
      </c>
      <c r="J17" s="5">
        <v>60</v>
      </c>
      <c r="K17" s="4">
        <v>8.65</v>
      </c>
      <c r="L17" s="5">
        <v>4.49</v>
      </c>
      <c r="M17" s="5">
        <v>36</v>
      </c>
      <c r="N17" s="6">
        <v>41</v>
      </c>
      <c r="O17" s="6"/>
      <c r="P17" s="6"/>
      <c r="Q17" s="6">
        <v>0.1</v>
      </c>
      <c r="R17" s="6"/>
      <c r="S17" s="20">
        <v>40</v>
      </c>
      <c r="T17" s="6">
        <v>48</v>
      </c>
      <c r="U17" s="7">
        <v>78.384</v>
      </c>
      <c r="V17" s="8">
        <v>77.8</v>
      </c>
      <c r="W17" s="8">
        <v>1.78</v>
      </c>
      <c r="X17" s="8">
        <v>1.74</v>
      </c>
      <c r="Y17" s="9">
        <v>20</v>
      </c>
      <c r="Z17" s="9">
        <v>35</v>
      </c>
      <c r="AA17" s="10">
        <f t="shared" si="0"/>
        <v>1.2719563900666264</v>
      </c>
      <c r="AB17" s="10">
        <f t="shared" si="1"/>
        <v>9.7107102857142849</v>
      </c>
      <c r="AC17" s="10">
        <f t="shared" si="2"/>
        <v>12.6</v>
      </c>
      <c r="AD17" s="11">
        <f t="shared" si="3"/>
        <v>77.689289714285707</v>
      </c>
    </row>
    <row r="18" spans="1:30" ht="15.75" customHeight="1" x14ac:dyDescent="0.2">
      <c r="A18" s="154"/>
      <c r="B18" s="152"/>
      <c r="C18" s="140"/>
      <c r="D18" s="138"/>
      <c r="E18" s="138"/>
      <c r="F18" s="138"/>
      <c r="G18" s="138"/>
      <c r="H18" s="12" t="s">
        <v>40</v>
      </c>
      <c r="I18" s="13">
        <v>210</v>
      </c>
      <c r="J18" s="14">
        <v>131</v>
      </c>
      <c r="K18" s="13">
        <v>10.07</v>
      </c>
      <c r="L18" s="14">
        <v>1.77</v>
      </c>
      <c r="M18" s="14">
        <v>45</v>
      </c>
      <c r="N18" s="13">
        <v>40</v>
      </c>
      <c r="O18" s="13"/>
      <c r="P18" s="13"/>
      <c r="Q18" s="13">
        <v>0.1</v>
      </c>
      <c r="R18" s="13"/>
      <c r="S18" s="14">
        <v>40</v>
      </c>
      <c r="T18" s="13">
        <v>60</v>
      </c>
      <c r="U18" s="15"/>
      <c r="V18" s="16"/>
      <c r="W18" s="16"/>
      <c r="X18" s="16"/>
      <c r="Y18" s="17">
        <v>20</v>
      </c>
      <c r="Z18" s="17">
        <v>35</v>
      </c>
      <c r="AA18" s="18">
        <f t="shared" si="0"/>
        <v>1.0920436817472698</v>
      </c>
      <c r="AB18" s="18">
        <f t="shared" si="1"/>
        <v>16.710442666666665</v>
      </c>
      <c r="AC18" s="18">
        <f t="shared" si="2"/>
        <v>15.75</v>
      </c>
      <c r="AD18" s="19">
        <f t="shared" si="3"/>
        <v>67.539557333333335</v>
      </c>
    </row>
    <row r="19" spans="1:30" ht="15.75" customHeight="1" x14ac:dyDescent="0.2">
      <c r="A19" s="154">
        <v>45577</v>
      </c>
      <c r="B19" s="152" t="s">
        <v>192</v>
      </c>
      <c r="C19" s="139" t="s">
        <v>156</v>
      </c>
      <c r="D19" s="141" t="s">
        <v>47</v>
      </c>
      <c r="E19" s="141" t="s">
        <v>239</v>
      </c>
      <c r="F19" s="141" t="s">
        <v>44</v>
      </c>
      <c r="G19" s="141" t="s">
        <v>464</v>
      </c>
      <c r="H19" s="4" t="s">
        <v>39</v>
      </c>
      <c r="I19" s="4">
        <v>77</v>
      </c>
      <c r="J19" s="5">
        <v>61</v>
      </c>
      <c r="K19" s="4">
        <v>8.85</v>
      </c>
      <c r="L19" s="5">
        <v>4.1100000000000003</v>
      </c>
      <c r="M19" s="5">
        <v>23</v>
      </c>
      <c r="N19" s="6">
        <v>42</v>
      </c>
      <c r="O19" s="6"/>
      <c r="P19" s="6"/>
      <c r="Q19" s="6">
        <v>0.1</v>
      </c>
      <c r="R19" s="6"/>
      <c r="S19" s="20">
        <v>45</v>
      </c>
      <c r="T19" s="6">
        <v>54</v>
      </c>
      <c r="U19" s="7">
        <v>83.42</v>
      </c>
      <c r="V19" s="8">
        <v>79.5</v>
      </c>
      <c r="W19" s="8">
        <v>1.89</v>
      </c>
      <c r="X19" s="8">
        <v>1.79</v>
      </c>
      <c r="Y19" s="9">
        <v>20</v>
      </c>
      <c r="Z19" s="9">
        <v>35</v>
      </c>
      <c r="AA19" s="10">
        <f t="shared" si="0"/>
        <v>1.2433392539964476</v>
      </c>
      <c r="AB19" s="10">
        <f t="shared" si="1"/>
        <v>7.6473211986062726</v>
      </c>
      <c r="AC19" s="10">
        <f t="shared" si="2"/>
        <v>8.0500000000000007</v>
      </c>
      <c r="AD19" s="11">
        <f t="shared" si="3"/>
        <v>84.302678801393725</v>
      </c>
    </row>
    <row r="20" spans="1:30" ht="15.75" customHeight="1" x14ac:dyDescent="0.2">
      <c r="A20" s="154"/>
      <c r="B20" s="152"/>
      <c r="C20" s="140"/>
      <c r="D20" s="138"/>
      <c r="E20" s="138"/>
      <c r="F20" s="138"/>
      <c r="G20" s="138"/>
      <c r="H20" s="12" t="s">
        <v>40</v>
      </c>
      <c r="I20" s="13">
        <v>247</v>
      </c>
      <c r="J20" s="14">
        <v>142</v>
      </c>
      <c r="K20" s="13">
        <v>9.07</v>
      </c>
      <c r="L20" s="14">
        <v>3.67</v>
      </c>
      <c r="M20" s="14">
        <v>42</v>
      </c>
      <c r="N20" s="13">
        <v>40</v>
      </c>
      <c r="O20" s="13"/>
      <c r="P20" s="13"/>
      <c r="Q20" s="13">
        <v>0.1</v>
      </c>
      <c r="R20" s="13"/>
      <c r="S20" s="14">
        <v>48</v>
      </c>
      <c r="T20" s="13">
        <v>75</v>
      </c>
      <c r="U20" s="15"/>
      <c r="V20" s="16"/>
      <c r="W20" s="16"/>
      <c r="X20" s="16"/>
      <c r="Y20" s="17">
        <v>20</v>
      </c>
      <c r="Z20" s="17">
        <v>35</v>
      </c>
      <c r="AA20" s="18">
        <f t="shared" si="0"/>
        <v>1.2117714945181768</v>
      </c>
      <c r="AB20" s="18">
        <f t="shared" si="1"/>
        <v>15.229111562841528</v>
      </c>
      <c r="AC20" s="18">
        <f t="shared" si="2"/>
        <v>14.7</v>
      </c>
      <c r="AD20" s="19">
        <f t="shared" si="3"/>
        <v>70.070888437158473</v>
      </c>
    </row>
    <row r="21" spans="1:30" ht="15.75" customHeight="1" x14ac:dyDescent="0.2">
      <c r="A21" s="154">
        <v>45591</v>
      </c>
      <c r="B21" s="152" t="s">
        <v>159</v>
      </c>
      <c r="C21" s="139" t="s">
        <v>151</v>
      </c>
      <c r="D21" s="141" t="s">
        <v>47</v>
      </c>
      <c r="E21" s="150" t="s">
        <v>239</v>
      </c>
      <c r="F21" s="141" t="s">
        <v>243</v>
      </c>
      <c r="G21" s="141" t="s">
        <v>463</v>
      </c>
      <c r="H21" s="4" t="s">
        <v>39</v>
      </c>
      <c r="I21" s="4">
        <v>67</v>
      </c>
      <c r="J21" s="5">
        <v>70</v>
      </c>
      <c r="K21" s="4">
        <v>9.67</v>
      </c>
      <c r="L21" s="5">
        <v>2.54</v>
      </c>
      <c r="M21" s="5"/>
      <c r="N21" s="6">
        <v>52</v>
      </c>
      <c r="O21" s="6"/>
      <c r="P21" s="6"/>
      <c r="Q21" s="6">
        <v>0.11</v>
      </c>
      <c r="R21" s="6"/>
      <c r="S21" s="20"/>
      <c r="T21" s="6"/>
      <c r="U21" s="7"/>
      <c r="V21" s="8"/>
      <c r="W21" s="8"/>
      <c r="X21" s="8"/>
      <c r="Y21" s="9">
        <v>20</v>
      </c>
      <c r="Z21" s="9">
        <v>35</v>
      </c>
      <c r="AA21" s="10">
        <f t="shared" si="0"/>
        <v>1.1375947995666305</v>
      </c>
      <c r="AB21" s="10">
        <f t="shared" si="1"/>
        <v>28.249707199999996</v>
      </c>
      <c r="AC21" s="10">
        <f t="shared" si="2"/>
        <v>0</v>
      </c>
      <c r="AD21" s="11">
        <f t="shared" si="3"/>
        <v>71.750292800000011</v>
      </c>
    </row>
    <row r="22" spans="1:30" ht="15.75" customHeight="1" x14ac:dyDescent="0.2">
      <c r="A22" s="154"/>
      <c r="B22" s="152"/>
      <c r="C22" s="140"/>
      <c r="D22" s="138"/>
      <c r="E22" s="138"/>
      <c r="F22" s="138"/>
      <c r="G22" s="138"/>
      <c r="H22" s="12" t="s">
        <v>40</v>
      </c>
      <c r="I22" s="13">
        <v>257</v>
      </c>
      <c r="J22" s="14">
        <v>148</v>
      </c>
      <c r="K22" s="13">
        <v>9.07</v>
      </c>
      <c r="L22" s="14">
        <v>3.67</v>
      </c>
      <c r="M22" s="14">
        <v>94</v>
      </c>
      <c r="N22" s="13">
        <v>51</v>
      </c>
      <c r="O22" s="13"/>
      <c r="P22" s="13"/>
      <c r="Q22" s="13">
        <v>0.11</v>
      </c>
      <c r="R22" s="13"/>
      <c r="S22" s="14"/>
      <c r="T22" s="13"/>
      <c r="U22" s="15"/>
      <c r="V22" s="16"/>
      <c r="W22" s="16"/>
      <c r="X22" s="16"/>
      <c r="Y22" s="17">
        <v>20</v>
      </c>
      <c r="Z22" s="17">
        <v>35</v>
      </c>
      <c r="AA22" s="18">
        <f t="shared" si="0"/>
        <v>1.2117714945181768</v>
      </c>
      <c r="AB22" s="18">
        <f t="shared" si="1"/>
        <v>22.853793083333329</v>
      </c>
      <c r="AC22" s="18">
        <f t="shared" si="2"/>
        <v>32.9</v>
      </c>
      <c r="AD22" s="19">
        <f t="shared" si="3"/>
        <v>44.246206916666672</v>
      </c>
    </row>
    <row r="23" spans="1:30" ht="15.75" customHeight="1" x14ac:dyDescent="0.2">
      <c r="A23" s="154">
        <v>45591</v>
      </c>
      <c r="B23" s="152" t="s">
        <v>159</v>
      </c>
      <c r="C23" s="139" t="s">
        <v>153</v>
      </c>
      <c r="D23" s="141" t="s">
        <v>47</v>
      </c>
      <c r="E23" s="150" t="s">
        <v>239</v>
      </c>
      <c r="F23" s="141" t="s">
        <v>243</v>
      </c>
      <c r="G23" s="141" t="s">
        <v>463</v>
      </c>
      <c r="H23" s="4" t="s">
        <v>39</v>
      </c>
      <c r="I23" s="4">
        <v>76</v>
      </c>
      <c r="J23" s="5">
        <v>54</v>
      </c>
      <c r="K23" s="4">
        <v>9.5</v>
      </c>
      <c r="L23" s="5">
        <v>2.78</v>
      </c>
      <c r="M23" s="5">
        <v>25</v>
      </c>
      <c r="N23" s="6">
        <v>46</v>
      </c>
      <c r="O23" s="6"/>
      <c r="P23" s="6"/>
      <c r="Q23" s="6">
        <v>0.11</v>
      </c>
      <c r="R23" s="6"/>
      <c r="S23" s="20">
        <v>46</v>
      </c>
      <c r="T23" s="6">
        <v>56</v>
      </c>
      <c r="U23" s="7">
        <v>49</v>
      </c>
      <c r="V23" s="8">
        <v>63</v>
      </c>
      <c r="W23" s="8">
        <v>1.39</v>
      </c>
      <c r="X23" s="8">
        <v>1.1100000000000001</v>
      </c>
      <c r="Y23" s="9">
        <v>20</v>
      </c>
      <c r="Z23" s="9">
        <v>35</v>
      </c>
      <c r="AA23" s="10">
        <f t="shared" si="0"/>
        <v>1.1525795828759606</v>
      </c>
      <c r="AB23" s="10">
        <f t="shared" si="1"/>
        <v>4.7129883249299711</v>
      </c>
      <c r="AC23" s="10">
        <f t="shared" si="2"/>
        <v>8.75</v>
      </c>
      <c r="AD23" s="11">
        <f t="shared" si="3"/>
        <v>86.537011675070033</v>
      </c>
    </row>
    <row r="24" spans="1:30" ht="15.75" customHeight="1" x14ac:dyDescent="0.2">
      <c r="A24" s="154"/>
      <c r="B24" s="152"/>
      <c r="C24" s="140"/>
      <c r="D24" s="138"/>
      <c r="E24" s="138"/>
      <c r="F24" s="138"/>
      <c r="G24" s="138"/>
      <c r="H24" s="12" t="s">
        <v>40</v>
      </c>
      <c r="I24" s="13">
        <v>248</v>
      </c>
      <c r="J24" s="14">
        <v>83</v>
      </c>
      <c r="K24" s="13">
        <v>9.27</v>
      </c>
      <c r="L24" s="14">
        <v>3.3</v>
      </c>
      <c r="M24" s="14">
        <v>30</v>
      </c>
      <c r="N24" s="13">
        <v>54</v>
      </c>
      <c r="O24" s="13"/>
      <c r="P24" s="13"/>
      <c r="Q24" s="13">
        <v>0.11</v>
      </c>
      <c r="R24" s="13"/>
      <c r="S24" s="14">
        <v>46</v>
      </c>
      <c r="T24" s="13">
        <v>63</v>
      </c>
      <c r="U24" s="15"/>
      <c r="V24" s="16"/>
      <c r="W24" s="16"/>
      <c r="X24" s="16"/>
      <c r="Y24" s="17">
        <v>20</v>
      </c>
      <c r="Z24" s="17">
        <v>35</v>
      </c>
      <c r="AA24" s="18">
        <f t="shared" si="0"/>
        <v>1.1864406779661016</v>
      </c>
      <c r="AB24" s="18">
        <f t="shared" si="1"/>
        <v>11.697909931972788</v>
      </c>
      <c r="AC24" s="18">
        <f t="shared" si="2"/>
        <v>10.5</v>
      </c>
      <c r="AD24" s="19">
        <f t="shared" si="3"/>
        <v>77.802090068027212</v>
      </c>
    </row>
    <row r="25" spans="1:30" ht="12.75" x14ac:dyDescent="0.2">
      <c r="A25" s="154">
        <v>45619</v>
      </c>
      <c r="B25" s="152" t="s">
        <v>181</v>
      </c>
      <c r="C25" s="139" t="s">
        <v>156</v>
      </c>
      <c r="D25" s="141"/>
      <c r="E25" s="141" t="s">
        <v>68</v>
      </c>
      <c r="F25" s="141"/>
      <c r="G25" s="141"/>
      <c r="H25" s="4" t="s">
        <v>39</v>
      </c>
      <c r="I25" s="4"/>
      <c r="J25" s="5">
        <v>320</v>
      </c>
      <c r="K25" s="4">
        <v>6</v>
      </c>
      <c r="L25" s="5">
        <v>14</v>
      </c>
      <c r="M25" s="5">
        <v>120</v>
      </c>
      <c r="N25" s="6"/>
      <c r="O25" s="6"/>
      <c r="P25" s="6"/>
      <c r="Q25" s="6"/>
      <c r="R25" s="6"/>
      <c r="S25" s="20"/>
      <c r="T25" s="6"/>
      <c r="U25" s="21"/>
      <c r="V25" s="22">
        <v>150</v>
      </c>
      <c r="W25" s="8"/>
      <c r="X25" s="8"/>
      <c r="Y25" s="9">
        <v>20</v>
      </c>
      <c r="Z25" s="9">
        <v>35</v>
      </c>
      <c r="AA25" s="10">
        <f t="shared" si="0"/>
        <v>3</v>
      </c>
      <c r="AB25" s="10">
        <f t="shared" si="1"/>
        <v>13.368888888888886</v>
      </c>
      <c r="AC25" s="10">
        <f t="shared" si="2"/>
        <v>42</v>
      </c>
      <c r="AD25" s="11">
        <f t="shared" si="3"/>
        <v>44.63111111111111</v>
      </c>
    </row>
    <row r="26" spans="1:30" ht="12.75" x14ac:dyDescent="0.2">
      <c r="A26" s="154"/>
      <c r="B26" s="152"/>
      <c r="C26" s="140"/>
      <c r="D26" s="138"/>
      <c r="E26" s="138"/>
      <c r="F26" s="138"/>
      <c r="G26" s="138"/>
      <c r="H26" s="12" t="s">
        <v>40</v>
      </c>
      <c r="I26" s="13"/>
      <c r="J26" s="14"/>
      <c r="K26" s="13"/>
      <c r="L26" s="14"/>
      <c r="M26" s="14"/>
      <c r="N26" s="13"/>
      <c r="O26" s="13"/>
      <c r="P26" s="13"/>
      <c r="Q26" s="13"/>
      <c r="R26" s="13"/>
      <c r="S26" s="14"/>
      <c r="T26" s="13"/>
      <c r="U26" s="15"/>
      <c r="V26" s="16"/>
      <c r="W26" s="16"/>
      <c r="X26" s="16"/>
      <c r="Y26" s="17">
        <v>20</v>
      </c>
      <c r="Z26" s="17">
        <v>35</v>
      </c>
      <c r="AA26" s="18">
        <f t="shared" si="0"/>
        <v>1</v>
      </c>
      <c r="AB26" s="18">
        <f t="shared" si="1"/>
        <v>0</v>
      </c>
      <c r="AC26" s="18">
        <f t="shared" si="2"/>
        <v>0</v>
      </c>
      <c r="AD26" s="19">
        <f t="shared" si="3"/>
        <v>100</v>
      </c>
    </row>
    <row r="27" spans="1:30" ht="12.75" x14ac:dyDescent="0.2">
      <c r="A27" s="154">
        <v>45619</v>
      </c>
      <c r="B27" s="152" t="s">
        <v>177</v>
      </c>
      <c r="C27" s="139" t="s">
        <v>153</v>
      </c>
      <c r="D27" s="141"/>
      <c r="E27" s="141" t="s">
        <v>68</v>
      </c>
      <c r="F27" s="141"/>
      <c r="G27" s="141"/>
      <c r="H27" s="4" t="s">
        <v>39</v>
      </c>
      <c r="I27" s="4"/>
      <c r="J27" s="5">
        <v>259</v>
      </c>
      <c r="K27" s="4">
        <v>8.1999999999999993</v>
      </c>
      <c r="L27" s="5">
        <v>10</v>
      </c>
      <c r="M27" s="5">
        <v>96</v>
      </c>
      <c r="N27" s="6"/>
      <c r="O27" s="6"/>
      <c r="P27" s="6"/>
      <c r="Q27" s="6"/>
      <c r="R27" s="6"/>
      <c r="S27" s="20"/>
      <c r="T27" s="6"/>
      <c r="U27" s="7"/>
      <c r="V27" s="8"/>
      <c r="W27" s="8"/>
      <c r="X27" s="8"/>
      <c r="Y27" s="9">
        <v>20</v>
      </c>
      <c r="Z27" s="9">
        <v>35</v>
      </c>
      <c r="AA27" s="10">
        <f t="shared" si="0"/>
        <v>1.9090909090909092</v>
      </c>
      <c r="AB27" s="10">
        <f t="shared" si="1"/>
        <v>19.422471408647141</v>
      </c>
      <c r="AC27" s="10">
        <f t="shared" si="2"/>
        <v>33.6</v>
      </c>
      <c r="AD27" s="11">
        <f t="shared" si="3"/>
        <v>46.977528591352858</v>
      </c>
    </row>
    <row r="28" spans="1:30" ht="12.75" x14ac:dyDescent="0.2">
      <c r="A28" s="154"/>
      <c r="B28" s="152"/>
      <c r="C28" s="140"/>
      <c r="D28" s="138"/>
      <c r="E28" s="138"/>
      <c r="F28" s="138"/>
      <c r="G28" s="138"/>
      <c r="H28" s="12" t="s">
        <v>40</v>
      </c>
      <c r="I28" s="13"/>
      <c r="J28" s="14"/>
      <c r="K28" s="13"/>
      <c r="L28" s="14"/>
      <c r="M28" s="14"/>
      <c r="N28" s="13"/>
      <c r="O28" s="13"/>
      <c r="P28" s="13"/>
      <c r="Q28" s="13"/>
      <c r="R28" s="13"/>
      <c r="S28" s="14"/>
      <c r="T28" s="13"/>
      <c r="U28" s="15"/>
      <c r="V28" s="16"/>
      <c r="W28" s="16"/>
      <c r="X28" s="16"/>
      <c r="Y28" s="17">
        <v>20</v>
      </c>
      <c r="Z28" s="17">
        <v>35</v>
      </c>
      <c r="AA28" s="18">
        <f t="shared" si="0"/>
        <v>1</v>
      </c>
      <c r="AB28" s="18">
        <f t="shared" si="1"/>
        <v>0</v>
      </c>
      <c r="AC28" s="18">
        <f t="shared" si="2"/>
        <v>0</v>
      </c>
      <c r="AD28" s="19">
        <f t="shared" si="3"/>
        <v>100</v>
      </c>
    </row>
    <row r="29" spans="1:30" ht="12.75" x14ac:dyDescent="0.2">
      <c r="A29" s="154">
        <v>45633</v>
      </c>
      <c r="B29" s="152" t="s">
        <v>164</v>
      </c>
      <c r="C29" s="139" t="s">
        <v>151</v>
      </c>
      <c r="D29" s="141" t="s">
        <v>53</v>
      </c>
      <c r="E29" s="141" t="s">
        <v>239</v>
      </c>
      <c r="F29" s="141" t="s">
        <v>54</v>
      </c>
      <c r="G29" s="141"/>
      <c r="H29" s="4" t="s">
        <v>39</v>
      </c>
      <c r="I29" s="4">
        <v>65</v>
      </c>
      <c r="J29" s="5">
        <v>85</v>
      </c>
      <c r="K29" s="4">
        <v>8.8000000000000007</v>
      </c>
      <c r="L29" s="5">
        <v>4</v>
      </c>
      <c r="M29" s="5">
        <v>55</v>
      </c>
      <c r="N29" s="6"/>
      <c r="O29" s="6"/>
      <c r="P29" s="6"/>
      <c r="Q29" s="6"/>
      <c r="R29" s="6"/>
      <c r="S29" s="20"/>
      <c r="T29" s="6"/>
      <c r="U29" s="21">
        <v>76</v>
      </c>
      <c r="V29" s="22">
        <v>74.3</v>
      </c>
      <c r="W29" s="8"/>
      <c r="X29" s="8"/>
      <c r="Y29" s="9">
        <v>20</v>
      </c>
      <c r="Z29" s="9">
        <v>35</v>
      </c>
      <c r="AA29" s="10">
        <f>21/(21-L30)</f>
        <v>1.153846153846154</v>
      </c>
      <c r="AB29" s="10" t="e">
        <f>((J30 -#REF!) / (J30 - Y29)) * (1 / AA29) * 1.88 * (K30 + L30)</f>
        <v>#REF!</v>
      </c>
      <c r="AC29" s="10">
        <f>(M30 / 100) * Z29</f>
        <v>18.2</v>
      </c>
      <c r="AD29" s="11" t="e">
        <f t="shared" si="3"/>
        <v>#REF!</v>
      </c>
    </row>
    <row r="30" spans="1:30" ht="12.75" x14ac:dyDescent="0.2">
      <c r="A30" s="154"/>
      <c r="B30" s="152"/>
      <c r="C30" s="140"/>
      <c r="D30" s="138"/>
      <c r="E30" s="138"/>
      <c r="F30" s="138"/>
      <c r="G30" s="138"/>
      <c r="H30" s="12" t="s">
        <v>40</v>
      </c>
      <c r="I30" s="13">
        <v>253</v>
      </c>
      <c r="J30" s="14">
        <v>148</v>
      </c>
      <c r="K30" s="13">
        <v>9.4</v>
      </c>
      <c r="L30" s="14">
        <v>2.8</v>
      </c>
      <c r="M30" s="14">
        <v>52</v>
      </c>
      <c r="N30" s="13"/>
      <c r="O30" s="13"/>
      <c r="P30" s="13"/>
      <c r="Q30" s="13"/>
      <c r="R30" s="13"/>
      <c r="S30" s="14">
        <v>49</v>
      </c>
      <c r="T30" s="13">
        <v>74</v>
      </c>
      <c r="U30" s="15"/>
      <c r="V30" s="16"/>
      <c r="W30" s="16"/>
      <c r="X30" s="16"/>
      <c r="Y30" s="17">
        <v>20</v>
      </c>
      <c r="Z30" s="17">
        <v>35</v>
      </c>
      <c r="AA30" s="18">
        <f>21/(21-L29)</f>
        <v>1.2352941176470589</v>
      </c>
      <c r="AB30" s="18">
        <f>((J29 - S30) / (J29 - Y30)) * (1 / AA30) * 1.88 * (K29 + L29)</f>
        <v>10.789134065934066</v>
      </c>
      <c r="AC30" s="18">
        <f>(M29 / 100) * Z30</f>
        <v>19.25</v>
      </c>
      <c r="AD30" s="19">
        <f t="shared" si="3"/>
        <v>69.960865934065936</v>
      </c>
    </row>
    <row r="31" spans="1:30" ht="12.75" x14ac:dyDescent="0.2">
      <c r="A31" s="154">
        <v>45633</v>
      </c>
      <c r="B31" s="152" t="s">
        <v>164</v>
      </c>
      <c r="C31" s="139" t="s">
        <v>153</v>
      </c>
      <c r="D31" s="141"/>
      <c r="E31" s="150" t="s">
        <v>239</v>
      </c>
      <c r="F31" s="141"/>
      <c r="G31" s="141"/>
      <c r="H31" s="4" t="s">
        <v>39</v>
      </c>
      <c r="I31" s="4">
        <v>84</v>
      </c>
      <c r="J31" s="5"/>
      <c r="K31" s="4"/>
      <c r="L31" s="5"/>
      <c r="M31" s="5"/>
      <c r="N31" s="6"/>
      <c r="O31" s="6"/>
      <c r="P31" s="6"/>
      <c r="Q31" s="6"/>
      <c r="R31" s="6"/>
      <c r="S31" s="20"/>
      <c r="T31" s="6"/>
      <c r="U31" s="7"/>
      <c r="V31" s="8"/>
      <c r="W31" s="8"/>
      <c r="X31" s="8"/>
      <c r="Y31" s="9">
        <v>20</v>
      </c>
      <c r="Z31" s="9">
        <v>35</v>
      </c>
      <c r="AA31" s="10" t="e">
        <f>21/(21-#REF!)</f>
        <v>#REF!</v>
      </c>
      <c r="AB31" s="10" t="e">
        <f>((#REF! -#REF!) / (#REF! - Y31)) * (1 / AA31) * 1.88 * (#REF! +#REF!)</f>
        <v>#REF!</v>
      </c>
      <c r="AC31" s="10" t="e">
        <f>(#REF! / 100) * Z31</f>
        <v>#REF!</v>
      </c>
      <c r="AD31" s="11" t="e">
        <f t="shared" si="3"/>
        <v>#REF!</v>
      </c>
    </row>
    <row r="32" spans="1:30" ht="12.75" x14ac:dyDescent="0.2">
      <c r="A32" s="154"/>
      <c r="B32" s="152"/>
      <c r="C32" s="139"/>
      <c r="D32" s="155"/>
      <c r="E32" s="138"/>
      <c r="F32" s="155"/>
      <c r="G32" s="155"/>
      <c r="H32" s="12" t="s">
        <v>40</v>
      </c>
      <c r="I32" s="12">
        <v>238</v>
      </c>
      <c r="J32" s="14"/>
      <c r="K32" s="13"/>
      <c r="L32" s="14"/>
      <c r="M32" s="14"/>
      <c r="N32" s="13"/>
      <c r="O32" s="13"/>
      <c r="P32" s="13"/>
      <c r="Q32" s="13"/>
      <c r="R32" s="13"/>
      <c r="S32" s="14"/>
      <c r="T32" s="13"/>
      <c r="U32" s="15"/>
      <c r="V32" s="16"/>
      <c r="W32" s="16"/>
      <c r="X32" s="16"/>
      <c r="Y32" s="17">
        <v>20</v>
      </c>
      <c r="Z32" s="17">
        <v>35</v>
      </c>
      <c r="AA32" s="18">
        <f t="shared" ref="AA32:AA64" si="4">21/(21-L32)</f>
        <v>1</v>
      </c>
      <c r="AB32" s="18">
        <f t="shared" ref="AB32:AB64" si="5">((J32 - S32) / (J32 - Y32)) * (1 / AA32) * 1.88 * (K32 + L32)</f>
        <v>0</v>
      </c>
      <c r="AC32" s="18">
        <f t="shared" ref="AC32:AC64" si="6">(M32 / 100) * Z32</f>
        <v>0</v>
      </c>
      <c r="AD32" s="19">
        <f t="shared" si="3"/>
        <v>100</v>
      </c>
    </row>
    <row r="33" spans="1:30" ht="12.75" customHeight="1" x14ac:dyDescent="0.2">
      <c r="A33" s="154">
        <v>45633</v>
      </c>
      <c r="B33" s="152" t="s">
        <v>166</v>
      </c>
      <c r="C33" s="139" t="s">
        <v>151</v>
      </c>
      <c r="D33" s="141" t="s">
        <v>55</v>
      </c>
      <c r="E33" s="141" t="s">
        <v>239</v>
      </c>
      <c r="F33" s="141" t="s">
        <v>241</v>
      </c>
      <c r="G33" s="141" t="s">
        <v>464</v>
      </c>
      <c r="H33" s="4" t="s">
        <v>39</v>
      </c>
      <c r="I33" s="5">
        <v>72</v>
      </c>
      <c r="J33" s="5"/>
      <c r="K33" s="4"/>
      <c r="L33" s="5"/>
      <c r="M33" s="5"/>
      <c r="N33" s="6"/>
      <c r="O33" s="6"/>
      <c r="P33" s="6"/>
      <c r="Q33" s="6"/>
      <c r="R33" s="6"/>
      <c r="S33" s="20"/>
      <c r="T33" s="6"/>
      <c r="U33" s="7"/>
      <c r="V33" s="8"/>
      <c r="W33" s="8"/>
      <c r="X33" s="8"/>
      <c r="Y33" s="9">
        <v>20</v>
      </c>
      <c r="Z33" s="9">
        <v>35</v>
      </c>
      <c r="AA33" s="10">
        <f t="shared" si="4"/>
        <v>1</v>
      </c>
      <c r="AB33" s="10">
        <f t="shared" si="5"/>
        <v>0</v>
      </c>
      <c r="AC33" s="10">
        <f t="shared" si="6"/>
        <v>0</v>
      </c>
      <c r="AD33" s="11">
        <f t="shared" si="3"/>
        <v>100</v>
      </c>
    </row>
    <row r="34" spans="1:30" ht="12.75" x14ac:dyDescent="0.2">
      <c r="A34" s="154"/>
      <c r="B34" s="152"/>
      <c r="C34" s="140"/>
      <c r="D34" s="138"/>
      <c r="E34" s="138"/>
      <c r="F34" s="138"/>
      <c r="G34" s="138"/>
      <c r="H34" s="12" t="s">
        <v>40</v>
      </c>
      <c r="I34" s="14">
        <v>162</v>
      </c>
      <c r="J34" s="14"/>
      <c r="K34" s="13"/>
      <c r="L34" s="14"/>
      <c r="M34" s="14"/>
      <c r="N34" s="13"/>
      <c r="O34" s="13"/>
      <c r="P34" s="13"/>
      <c r="Q34" s="13"/>
      <c r="R34" s="13"/>
      <c r="S34" s="14"/>
      <c r="T34" s="13"/>
      <c r="U34" s="15"/>
      <c r="V34" s="16"/>
      <c r="W34" s="16"/>
      <c r="X34" s="16"/>
      <c r="Y34" s="17">
        <v>20</v>
      </c>
      <c r="Z34" s="17">
        <v>35</v>
      </c>
      <c r="AA34" s="18">
        <f t="shared" si="4"/>
        <v>1</v>
      </c>
      <c r="AB34" s="18">
        <f t="shared" si="5"/>
        <v>0</v>
      </c>
      <c r="AC34" s="18">
        <f t="shared" si="6"/>
        <v>0</v>
      </c>
      <c r="AD34" s="19">
        <f t="shared" si="3"/>
        <v>100</v>
      </c>
    </row>
    <row r="35" spans="1:30" ht="12.75" customHeight="1" x14ac:dyDescent="0.2">
      <c r="A35" s="154">
        <v>45633</v>
      </c>
      <c r="B35" s="152" t="s">
        <v>166</v>
      </c>
      <c r="C35" s="139" t="s">
        <v>153</v>
      </c>
      <c r="D35" s="141" t="s">
        <v>47</v>
      </c>
      <c r="E35" s="150" t="s">
        <v>239</v>
      </c>
      <c r="F35" s="141" t="s">
        <v>242</v>
      </c>
      <c r="G35" s="141" t="s">
        <v>464</v>
      </c>
      <c r="H35" s="4" t="s">
        <v>39</v>
      </c>
      <c r="I35" s="4">
        <v>122</v>
      </c>
      <c r="J35" s="5"/>
      <c r="K35" s="4"/>
      <c r="L35" s="5"/>
      <c r="M35" s="5"/>
      <c r="N35" s="6"/>
      <c r="O35" s="6"/>
      <c r="P35" s="6"/>
      <c r="Q35" s="6"/>
      <c r="R35" s="6"/>
      <c r="S35" s="20"/>
      <c r="T35" s="6"/>
      <c r="U35" s="7"/>
      <c r="V35" s="8"/>
      <c r="W35" s="8"/>
      <c r="X35" s="8"/>
      <c r="Y35" s="9">
        <v>20</v>
      </c>
      <c r="Z35" s="9">
        <v>35</v>
      </c>
      <c r="AA35" s="10">
        <f t="shared" si="4"/>
        <v>1</v>
      </c>
      <c r="AB35" s="10">
        <f t="shared" si="5"/>
        <v>0</v>
      </c>
      <c r="AC35" s="10">
        <f t="shared" si="6"/>
        <v>0</v>
      </c>
      <c r="AD35" s="11">
        <f t="shared" si="3"/>
        <v>100</v>
      </c>
    </row>
    <row r="36" spans="1:30" ht="12.75" x14ac:dyDescent="0.2">
      <c r="A36" s="154"/>
      <c r="B36" s="152"/>
      <c r="C36" s="140"/>
      <c r="D36" s="138"/>
      <c r="E36" s="138"/>
      <c r="F36" s="138"/>
      <c r="G36" s="138"/>
      <c r="H36" s="12" t="s">
        <v>40</v>
      </c>
      <c r="I36" s="12">
        <v>246</v>
      </c>
      <c r="J36" s="14"/>
      <c r="K36" s="13"/>
      <c r="L36" s="14"/>
      <c r="M36" s="14"/>
      <c r="N36" s="13"/>
      <c r="O36" s="13"/>
      <c r="P36" s="13"/>
      <c r="Q36" s="13"/>
      <c r="R36" s="13"/>
      <c r="S36" s="14"/>
      <c r="T36" s="13"/>
      <c r="U36" s="15"/>
      <c r="V36" s="16"/>
      <c r="W36" s="16"/>
      <c r="X36" s="16"/>
      <c r="Y36" s="17">
        <v>20</v>
      </c>
      <c r="Z36" s="17">
        <v>35</v>
      </c>
      <c r="AA36" s="18">
        <f t="shared" si="4"/>
        <v>1</v>
      </c>
      <c r="AB36" s="18">
        <f t="shared" si="5"/>
        <v>0</v>
      </c>
      <c r="AC36" s="18">
        <f t="shared" si="6"/>
        <v>0</v>
      </c>
      <c r="AD36" s="19">
        <f t="shared" si="3"/>
        <v>100</v>
      </c>
    </row>
    <row r="37" spans="1:30" ht="12.75" x14ac:dyDescent="0.2">
      <c r="A37" s="154">
        <v>45640</v>
      </c>
      <c r="B37" s="152" t="s">
        <v>150</v>
      </c>
      <c r="C37" s="139" t="s">
        <v>151</v>
      </c>
      <c r="D37" s="141"/>
      <c r="E37" s="141" t="s">
        <v>239</v>
      </c>
      <c r="F37" s="141"/>
      <c r="G37" s="141"/>
      <c r="H37" s="4" t="s">
        <v>39</v>
      </c>
      <c r="I37" s="4">
        <v>30</v>
      </c>
      <c r="J37" s="5"/>
      <c r="K37" s="4"/>
      <c r="L37" s="5"/>
      <c r="M37" s="5"/>
      <c r="N37" s="6"/>
      <c r="O37" s="6"/>
      <c r="P37" s="6"/>
      <c r="Q37" s="6"/>
      <c r="R37" s="6"/>
      <c r="S37" s="20"/>
      <c r="T37" s="6"/>
      <c r="U37" s="7"/>
      <c r="V37" s="8"/>
      <c r="W37" s="8"/>
      <c r="X37" s="8"/>
      <c r="Y37" s="9">
        <v>20</v>
      </c>
      <c r="Z37" s="9">
        <v>35</v>
      </c>
      <c r="AA37" s="10">
        <f t="shared" si="4"/>
        <v>1</v>
      </c>
      <c r="AB37" s="10">
        <f t="shared" si="5"/>
        <v>0</v>
      </c>
      <c r="AC37" s="10">
        <f t="shared" si="6"/>
        <v>0</v>
      </c>
      <c r="AD37" s="11">
        <f t="shared" si="3"/>
        <v>100</v>
      </c>
    </row>
    <row r="38" spans="1:30" ht="12.75" x14ac:dyDescent="0.2">
      <c r="A38" s="154"/>
      <c r="B38" s="152"/>
      <c r="C38" s="140"/>
      <c r="D38" s="138"/>
      <c r="E38" s="138"/>
      <c r="F38" s="138"/>
      <c r="G38" s="138"/>
      <c r="H38" s="12" t="s">
        <v>40</v>
      </c>
      <c r="I38" s="12">
        <v>120</v>
      </c>
      <c r="J38" s="14"/>
      <c r="K38" s="13"/>
      <c r="L38" s="14"/>
      <c r="M38" s="14"/>
      <c r="N38" s="13"/>
      <c r="O38" s="13"/>
      <c r="P38" s="13"/>
      <c r="Q38" s="13"/>
      <c r="R38" s="13"/>
      <c r="S38" s="14"/>
      <c r="T38" s="13"/>
      <c r="U38" s="15"/>
      <c r="V38" s="16"/>
      <c r="W38" s="16"/>
      <c r="X38" s="16"/>
      <c r="Y38" s="17">
        <v>20</v>
      </c>
      <c r="Z38" s="17">
        <v>35</v>
      </c>
      <c r="AA38" s="18">
        <f t="shared" si="4"/>
        <v>1</v>
      </c>
      <c r="AB38" s="18">
        <f t="shared" si="5"/>
        <v>0</v>
      </c>
      <c r="AC38" s="18">
        <f t="shared" si="6"/>
        <v>0</v>
      </c>
      <c r="AD38" s="19">
        <f t="shared" si="3"/>
        <v>100</v>
      </c>
    </row>
    <row r="39" spans="1:30" ht="12.75" x14ac:dyDescent="0.2">
      <c r="A39" s="154">
        <v>45640</v>
      </c>
      <c r="B39" s="152" t="s">
        <v>150</v>
      </c>
      <c r="C39" s="139" t="s">
        <v>153</v>
      </c>
      <c r="D39" s="141"/>
      <c r="E39" s="150" t="s">
        <v>239</v>
      </c>
      <c r="F39" s="141"/>
      <c r="G39" s="141" t="s">
        <v>464</v>
      </c>
      <c r="H39" s="4" t="s">
        <v>39</v>
      </c>
      <c r="I39" s="4"/>
      <c r="J39" s="5"/>
      <c r="K39" s="4"/>
      <c r="L39" s="5"/>
      <c r="M39" s="5"/>
      <c r="N39" s="6"/>
      <c r="O39" s="6"/>
      <c r="P39" s="6"/>
      <c r="Q39" s="6"/>
      <c r="R39" s="6"/>
      <c r="S39" s="20"/>
      <c r="T39" s="6"/>
      <c r="U39" s="7"/>
      <c r="V39" s="8"/>
      <c r="W39" s="8"/>
      <c r="X39" s="8"/>
      <c r="Y39" s="9">
        <v>20</v>
      </c>
      <c r="Z39" s="9">
        <v>35</v>
      </c>
      <c r="AA39" s="10">
        <f t="shared" si="4"/>
        <v>1</v>
      </c>
      <c r="AB39" s="10">
        <f t="shared" si="5"/>
        <v>0</v>
      </c>
      <c r="AC39" s="10">
        <f t="shared" si="6"/>
        <v>0</v>
      </c>
      <c r="AD39" s="11">
        <f t="shared" si="3"/>
        <v>100</v>
      </c>
    </row>
    <row r="40" spans="1:30" ht="12.75" x14ac:dyDescent="0.2">
      <c r="A40" s="154"/>
      <c r="B40" s="152"/>
      <c r="C40" s="140"/>
      <c r="D40" s="138"/>
      <c r="E40" s="138"/>
      <c r="F40" s="138"/>
      <c r="G40" s="138"/>
      <c r="H40" s="12" t="s">
        <v>40</v>
      </c>
      <c r="I40" s="12">
        <v>105</v>
      </c>
      <c r="J40" s="14"/>
      <c r="K40" s="13"/>
      <c r="L40" s="14"/>
      <c r="M40" s="14"/>
      <c r="N40" s="13"/>
      <c r="O40" s="13"/>
      <c r="P40" s="13"/>
      <c r="Q40" s="13"/>
      <c r="R40" s="13"/>
      <c r="S40" s="14"/>
      <c r="T40" s="13"/>
      <c r="U40" s="15"/>
      <c r="V40" s="16"/>
      <c r="W40" s="16"/>
      <c r="X40" s="16"/>
      <c r="Y40" s="17">
        <v>20</v>
      </c>
      <c r="Z40" s="17">
        <v>35</v>
      </c>
      <c r="AA40" s="18">
        <f t="shared" si="4"/>
        <v>1</v>
      </c>
      <c r="AB40" s="18">
        <f t="shared" si="5"/>
        <v>0</v>
      </c>
      <c r="AC40" s="18">
        <f t="shared" si="6"/>
        <v>0</v>
      </c>
      <c r="AD40" s="19">
        <f t="shared" si="3"/>
        <v>100</v>
      </c>
    </row>
    <row r="41" spans="1:30" ht="12.75" x14ac:dyDescent="0.2">
      <c r="A41" s="154">
        <v>45653</v>
      </c>
      <c r="B41" s="152" t="s">
        <v>150</v>
      </c>
      <c r="C41" s="139" t="s">
        <v>151</v>
      </c>
      <c r="D41" s="141" t="s">
        <v>57</v>
      </c>
      <c r="E41" s="141" t="s">
        <v>239</v>
      </c>
      <c r="F41" s="141" t="s">
        <v>58</v>
      </c>
      <c r="G41" s="141"/>
      <c r="H41" s="4" t="s">
        <v>39</v>
      </c>
      <c r="I41" s="4">
        <v>30</v>
      </c>
      <c r="J41" s="5">
        <v>178</v>
      </c>
      <c r="K41" s="4">
        <v>8.6</v>
      </c>
      <c r="L41" s="5">
        <v>3.2</v>
      </c>
      <c r="M41" s="5">
        <v>8000</v>
      </c>
      <c r="N41" s="6"/>
      <c r="O41" s="6"/>
      <c r="P41" s="6"/>
      <c r="Q41" s="6"/>
      <c r="R41" s="6"/>
      <c r="S41" s="20"/>
      <c r="T41" s="4">
        <v>67</v>
      </c>
      <c r="U41" s="7"/>
      <c r="V41" s="8"/>
      <c r="W41" s="8"/>
      <c r="X41" s="8"/>
      <c r="Y41" s="9">
        <v>20</v>
      </c>
      <c r="Z41" s="9">
        <v>35</v>
      </c>
      <c r="AA41" s="10">
        <f t="shared" si="4"/>
        <v>1.1797752808988764</v>
      </c>
      <c r="AB41" s="10">
        <f t="shared" si="5"/>
        <v>21.183781072935503</v>
      </c>
      <c r="AC41" s="10">
        <f t="shared" si="6"/>
        <v>2800</v>
      </c>
      <c r="AD41" s="11">
        <f t="shared" si="3"/>
        <v>-2721.1837810729353</v>
      </c>
    </row>
    <row r="42" spans="1:30" ht="12.75" x14ac:dyDescent="0.2">
      <c r="A42" s="154"/>
      <c r="B42" s="152"/>
      <c r="C42" s="140"/>
      <c r="D42" s="138"/>
      <c r="E42" s="138"/>
      <c r="F42" s="138"/>
      <c r="G42" s="138"/>
      <c r="H42" s="12" t="s">
        <v>40</v>
      </c>
      <c r="I42" s="12">
        <v>100</v>
      </c>
      <c r="J42" s="23">
        <v>206</v>
      </c>
      <c r="K42" s="4">
        <v>9.1999999999999993</v>
      </c>
      <c r="L42" s="5">
        <v>3.4</v>
      </c>
      <c r="M42" s="5">
        <v>2800</v>
      </c>
      <c r="N42" s="13"/>
      <c r="O42" s="13"/>
      <c r="P42" s="13"/>
      <c r="Q42" s="13"/>
      <c r="R42" s="13"/>
      <c r="S42" s="14"/>
      <c r="T42" s="13"/>
      <c r="U42" s="15"/>
      <c r="V42" s="16"/>
      <c r="W42" s="16"/>
      <c r="X42" s="16"/>
      <c r="Y42" s="17">
        <v>20</v>
      </c>
      <c r="Z42" s="17">
        <v>35</v>
      </c>
      <c r="AA42" s="18">
        <f t="shared" si="4"/>
        <v>1.1931818181818181</v>
      </c>
      <c r="AB42" s="18">
        <f t="shared" si="5"/>
        <v>21.98750967741935</v>
      </c>
      <c r="AC42" s="18">
        <f t="shared" si="6"/>
        <v>980</v>
      </c>
      <c r="AD42" s="19">
        <f t="shared" si="3"/>
        <v>-901.98750967741933</v>
      </c>
    </row>
    <row r="43" spans="1:30" ht="12.75" customHeight="1" x14ac:dyDescent="0.2">
      <c r="A43" s="154">
        <v>45653</v>
      </c>
      <c r="B43" s="152" t="s">
        <v>150</v>
      </c>
      <c r="C43" s="139" t="s">
        <v>153</v>
      </c>
      <c r="D43" s="141" t="s">
        <v>57</v>
      </c>
      <c r="E43" s="150" t="s">
        <v>239</v>
      </c>
      <c r="F43" s="141" t="s">
        <v>58</v>
      </c>
      <c r="G43" s="141" t="s">
        <v>464</v>
      </c>
      <c r="H43" s="4" t="s">
        <v>39</v>
      </c>
      <c r="I43" s="4"/>
      <c r="J43" s="5"/>
      <c r="K43" s="4"/>
      <c r="L43" s="5"/>
      <c r="M43" s="5"/>
      <c r="N43" s="6"/>
      <c r="O43" s="6"/>
      <c r="P43" s="6"/>
      <c r="Q43" s="6"/>
      <c r="R43" s="6"/>
      <c r="S43" s="20"/>
      <c r="T43" s="6"/>
      <c r="U43" s="7"/>
      <c r="V43" s="8"/>
      <c r="W43" s="8"/>
      <c r="X43" s="8"/>
      <c r="Y43" s="9">
        <v>20</v>
      </c>
      <c r="Z43" s="9">
        <v>35</v>
      </c>
      <c r="AA43" s="10">
        <f t="shared" si="4"/>
        <v>1</v>
      </c>
      <c r="AB43" s="10">
        <f t="shared" si="5"/>
        <v>0</v>
      </c>
      <c r="AC43" s="10">
        <f t="shared" si="6"/>
        <v>0</v>
      </c>
      <c r="AD43" s="11">
        <f t="shared" si="3"/>
        <v>100</v>
      </c>
    </row>
    <row r="44" spans="1:30" ht="12.75" x14ac:dyDescent="0.2">
      <c r="A44" s="154"/>
      <c r="B44" s="152"/>
      <c r="C44" s="140"/>
      <c r="D44" s="138"/>
      <c r="E44" s="138"/>
      <c r="F44" s="138"/>
      <c r="G44" s="138"/>
      <c r="H44" s="12" t="s">
        <v>40</v>
      </c>
      <c r="I44" s="13"/>
      <c r="J44" s="14"/>
      <c r="K44" s="4">
        <v>9.1</v>
      </c>
      <c r="L44" s="5">
        <v>5.0999999999999996</v>
      </c>
      <c r="M44" s="24">
        <v>5000</v>
      </c>
      <c r="N44" s="13"/>
      <c r="O44" s="13"/>
      <c r="P44" s="13"/>
      <c r="Q44" s="13"/>
      <c r="R44" s="13"/>
      <c r="S44" s="14"/>
      <c r="T44" s="13"/>
      <c r="U44" s="15"/>
      <c r="V44" s="16"/>
      <c r="W44" s="16"/>
      <c r="X44" s="16"/>
      <c r="Y44" s="17">
        <v>20</v>
      </c>
      <c r="Z44" s="17">
        <v>35</v>
      </c>
      <c r="AA44" s="18">
        <f t="shared" si="4"/>
        <v>1.320754716981132</v>
      </c>
      <c r="AB44" s="18">
        <f t="shared" si="5"/>
        <v>0</v>
      </c>
      <c r="AC44" s="18">
        <f t="shared" si="6"/>
        <v>1750</v>
      </c>
      <c r="AD44" s="19">
        <f t="shared" si="3"/>
        <v>-1650</v>
      </c>
    </row>
    <row r="45" spans="1:30" ht="12.75" x14ac:dyDescent="0.2">
      <c r="A45" s="154">
        <v>45653</v>
      </c>
      <c r="B45" s="152" t="s">
        <v>164</v>
      </c>
      <c r="C45" s="139" t="s">
        <v>153</v>
      </c>
      <c r="D45" s="141" t="s">
        <v>59</v>
      </c>
      <c r="E45" s="141" t="s">
        <v>239</v>
      </c>
      <c r="F45" s="141" t="s">
        <v>60</v>
      </c>
      <c r="G45" s="141"/>
      <c r="H45" s="4" t="s">
        <v>39</v>
      </c>
      <c r="I45" s="4">
        <v>97</v>
      </c>
      <c r="J45" s="5">
        <v>127</v>
      </c>
      <c r="K45" s="4">
        <v>9</v>
      </c>
      <c r="L45" s="5">
        <v>3.6</v>
      </c>
      <c r="M45" s="5">
        <v>28</v>
      </c>
      <c r="N45" s="6"/>
      <c r="O45" s="6"/>
      <c r="P45" s="6"/>
      <c r="Q45" s="6"/>
      <c r="R45" s="6"/>
      <c r="S45" s="20"/>
      <c r="T45" s="6"/>
      <c r="U45" s="7"/>
      <c r="V45" s="8"/>
      <c r="W45" s="8"/>
      <c r="X45" s="8"/>
      <c r="Y45" s="9">
        <v>20</v>
      </c>
      <c r="Z45" s="9">
        <v>35</v>
      </c>
      <c r="AA45" s="10">
        <f t="shared" si="4"/>
        <v>1.2068965517241381</v>
      </c>
      <c r="AB45" s="10">
        <f t="shared" si="5"/>
        <v>23.295835514018687</v>
      </c>
      <c r="AC45" s="10">
        <f t="shared" si="6"/>
        <v>9.8000000000000007</v>
      </c>
      <c r="AD45" s="11">
        <f t="shared" si="3"/>
        <v>66.904164485981312</v>
      </c>
    </row>
    <row r="46" spans="1:30" ht="12.75" x14ac:dyDescent="0.2">
      <c r="A46" s="154"/>
      <c r="B46" s="152"/>
      <c r="C46" s="140"/>
      <c r="D46" s="138"/>
      <c r="E46" s="138"/>
      <c r="F46" s="138"/>
      <c r="G46" s="138"/>
      <c r="H46" s="12" t="s">
        <v>40</v>
      </c>
      <c r="I46" s="12">
        <v>274</v>
      </c>
      <c r="J46" s="23">
        <v>145</v>
      </c>
      <c r="K46" s="12">
        <v>9</v>
      </c>
      <c r="L46" s="23">
        <v>3.7</v>
      </c>
      <c r="M46" s="23">
        <v>27</v>
      </c>
      <c r="N46" s="13"/>
      <c r="O46" s="13"/>
      <c r="P46" s="13"/>
      <c r="Q46" s="13"/>
      <c r="R46" s="13"/>
      <c r="S46" s="14"/>
      <c r="T46" s="13"/>
      <c r="U46" s="15"/>
      <c r="V46" s="16"/>
      <c r="W46" s="16"/>
      <c r="X46" s="16"/>
      <c r="Y46" s="17">
        <v>20</v>
      </c>
      <c r="Z46" s="17">
        <v>35</v>
      </c>
      <c r="AA46" s="18">
        <f t="shared" si="4"/>
        <v>1.2138728323699421</v>
      </c>
      <c r="AB46" s="18">
        <f t="shared" si="5"/>
        <v>22.816360380952379</v>
      </c>
      <c r="AC46" s="18">
        <f t="shared" si="6"/>
        <v>9.4500000000000011</v>
      </c>
      <c r="AD46" s="19">
        <f t="shared" si="3"/>
        <v>67.733639619047622</v>
      </c>
    </row>
    <row r="47" spans="1:30" ht="12.75" x14ac:dyDescent="0.2">
      <c r="A47" s="154">
        <v>45675</v>
      </c>
      <c r="B47" s="152" t="s">
        <v>162</v>
      </c>
      <c r="C47" s="139" t="s">
        <v>153</v>
      </c>
      <c r="D47" s="141" t="s">
        <v>61</v>
      </c>
      <c r="E47" s="150" t="s">
        <v>239</v>
      </c>
      <c r="F47" s="141" t="s">
        <v>44</v>
      </c>
      <c r="G47" s="141"/>
      <c r="H47" s="4" t="s">
        <v>39</v>
      </c>
      <c r="I47" s="4">
        <v>63</v>
      </c>
      <c r="J47" s="5">
        <v>93</v>
      </c>
      <c r="K47" s="4">
        <v>8.6</v>
      </c>
      <c r="L47" s="5">
        <v>4.5999999999999996</v>
      </c>
      <c r="M47" s="5">
        <v>80</v>
      </c>
      <c r="N47" s="6"/>
      <c r="O47" s="6"/>
      <c r="P47" s="6"/>
      <c r="Q47" s="6"/>
      <c r="R47" s="6"/>
      <c r="S47" s="5">
        <v>45</v>
      </c>
      <c r="T47" s="4">
        <v>66</v>
      </c>
      <c r="U47" s="7"/>
      <c r="V47" s="8"/>
      <c r="W47" s="8"/>
      <c r="X47" s="8"/>
      <c r="Y47" s="9">
        <v>20</v>
      </c>
      <c r="Z47" s="9">
        <v>35</v>
      </c>
      <c r="AA47" s="10">
        <f t="shared" si="4"/>
        <v>1.2804878048780488</v>
      </c>
      <c r="AB47" s="10">
        <f t="shared" si="5"/>
        <v>12.743088845401173</v>
      </c>
      <c r="AC47" s="10">
        <f t="shared" si="6"/>
        <v>28</v>
      </c>
      <c r="AD47" s="11">
        <f t="shared" si="3"/>
        <v>59.256911154598825</v>
      </c>
    </row>
    <row r="48" spans="1:30" ht="12.75" x14ac:dyDescent="0.2">
      <c r="A48" s="154"/>
      <c r="B48" s="152"/>
      <c r="C48" s="140"/>
      <c r="D48" s="138"/>
      <c r="E48" s="138"/>
      <c r="F48" s="138"/>
      <c r="G48" s="138"/>
      <c r="H48" s="12" t="s">
        <v>40</v>
      </c>
      <c r="I48" s="12">
        <v>215</v>
      </c>
      <c r="J48" s="23">
        <v>187</v>
      </c>
      <c r="K48" s="12">
        <v>9.3000000000000007</v>
      </c>
      <c r="L48" s="23">
        <v>3</v>
      </c>
      <c r="M48" s="23">
        <v>78</v>
      </c>
      <c r="N48" s="13"/>
      <c r="O48" s="13"/>
      <c r="P48" s="13"/>
      <c r="Q48" s="13"/>
      <c r="R48" s="13"/>
      <c r="S48" s="23">
        <v>45</v>
      </c>
      <c r="T48" s="12">
        <v>75</v>
      </c>
      <c r="U48" s="15"/>
      <c r="V48" s="16"/>
      <c r="W48" s="16"/>
      <c r="X48" s="16"/>
      <c r="Y48" s="17">
        <v>20</v>
      </c>
      <c r="Z48" s="17">
        <v>35</v>
      </c>
      <c r="AA48" s="18">
        <f t="shared" si="4"/>
        <v>1.1666666666666667</v>
      </c>
      <c r="AB48" s="18">
        <f t="shared" si="5"/>
        <v>16.85342001710864</v>
      </c>
      <c r="AC48" s="18">
        <f t="shared" si="6"/>
        <v>27.3</v>
      </c>
      <c r="AD48" s="19">
        <f t="shared" si="3"/>
        <v>55.846579982891356</v>
      </c>
    </row>
    <row r="49" spans="1:30" ht="12.75" x14ac:dyDescent="0.2">
      <c r="A49" s="154">
        <v>45731</v>
      </c>
      <c r="B49" s="152" t="s">
        <v>150</v>
      </c>
      <c r="C49" s="139" t="s">
        <v>153</v>
      </c>
      <c r="D49" s="141"/>
      <c r="E49" s="141" t="s">
        <v>239</v>
      </c>
      <c r="F49" s="141"/>
      <c r="G49" s="141"/>
      <c r="H49" s="4" t="s">
        <v>39</v>
      </c>
      <c r="I49" s="4">
        <v>53</v>
      </c>
      <c r="J49" s="5">
        <v>204</v>
      </c>
      <c r="K49" s="4">
        <v>6.5</v>
      </c>
      <c r="L49" s="5">
        <v>8.5</v>
      </c>
      <c r="M49" s="5">
        <v>196</v>
      </c>
      <c r="N49" s="6"/>
      <c r="O49" s="6"/>
      <c r="P49" s="6"/>
      <c r="Q49" s="6"/>
      <c r="R49" s="6"/>
      <c r="S49" s="20"/>
      <c r="T49" s="6"/>
      <c r="U49" s="7"/>
      <c r="V49" s="8"/>
      <c r="W49" s="8"/>
      <c r="X49" s="8"/>
      <c r="Y49" s="9">
        <v>20</v>
      </c>
      <c r="Z49" s="9">
        <v>35</v>
      </c>
      <c r="AA49" s="10">
        <f t="shared" si="4"/>
        <v>1.68</v>
      </c>
      <c r="AB49" s="10">
        <f t="shared" si="5"/>
        <v>18.610248447204967</v>
      </c>
      <c r="AC49" s="10">
        <f t="shared" si="6"/>
        <v>68.599999999999994</v>
      </c>
      <c r="AD49" s="11">
        <f t="shared" si="3"/>
        <v>12.789751552795039</v>
      </c>
    </row>
    <row r="50" spans="1:30" ht="12.75" x14ac:dyDescent="0.2">
      <c r="A50" s="154"/>
      <c r="B50" s="152"/>
      <c r="C50" s="140"/>
      <c r="D50" s="138"/>
      <c r="E50" s="138"/>
      <c r="F50" s="138"/>
      <c r="G50" s="138"/>
      <c r="H50" s="12" t="s">
        <v>40</v>
      </c>
      <c r="I50" s="13"/>
      <c r="J50" s="14"/>
      <c r="K50" s="13"/>
      <c r="L50" s="14"/>
      <c r="M50" s="14"/>
      <c r="N50" s="13"/>
      <c r="O50" s="13"/>
      <c r="P50" s="13"/>
      <c r="Q50" s="13"/>
      <c r="R50" s="13"/>
      <c r="S50" s="14"/>
      <c r="T50" s="13"/>
      <c r="U50" s="15"/>
      <c r="V50" s="16"/>
      <c r="W50" s="16"/>
      <c r="X50" s="16"/>
      <c r="Y50" s="17">
        <v>20</v>
      </c>
      <c r="Z50" s="17">
        <v>35</v>
      </c>
      <c r="AA50" s="18">
        <f t="shared" si="4"/>
        <v>1</v>
      </c>
      <c r="AB50" s="18">
        <f t="shared" si="5"/>
        <v>0</v>
      </c>
      <c r="AC50" s="18">
        <f t="shared" si="6"/>
        <v>0</v>
      </c>
      <c r="AD50" s="19">
        <f t="shared" si="3"/>
        <v>100</v>
      </c>
    </row>
    <row r="51" spans="1:30" ht="12.75" x14ac:dyDescent="0.2">
      <c r="A51" s="154">
        <v>45770</v>
      </c>
      <c r="B51" s="152" t="s">
        <v>189</v>
      </c>
      <c r="C51" s="139" t="s">
        <v>153</v>
      </c>
      <c r="D51" s="141"/>
      <c r="E51" s="150" t="s">
        <v>239</v>
      </c>
      <c r="F51" s="141"/>
      <c r="G51" s="141"/>
      <c r="H51" s="4" t="s">
        <v>39</v>
      </c>
      <c r="I51" s="4">
        <v>84</v>
      </c>
      <c r="J51" s="5"/>
      <c r="K51" s="4"/>
      <c r="L51" s="5"/>
      <c r="M51" s="5"/>
      <c r="N51" s="6"/>
      <c r="O51" s="6"/>
      <c r="P51" s="6"/>
      <c r="Q51" s="6"/>
      <c r="R51" s="6"/>
      <c r="S51" s="20"/>
      <c r="T51" s="6"/>
      <c r="U51" s="7"/>
      <c r="V51" s="8"/>
      <c r="W51" s="8"/>
      <c r="X51" s="8"/>
      <c r="Y51" s="9">
        <v>20</v>
      </c>
      <c r="Z51" s="9">
        <v>35</v>
      </c>
      <c r="AA51" s="10">
        <f t="shared" si="4"/>
        <v>1</v>
      </c>
      <c r="AB51" s="10">
        <f t="shared" si="5"/>
        <v>0</v>
      </c>
      <c r="AC51" s="10">
        <f t="shared" si="6"/>
        <v>0</v>
      </c>
      <c r="AD51" s="11">
        <f t="shared" si="3"/>
        <v>100</v>
      </c>
    </row>
    <row r="52" spans="1:30" ht="12.75" x14ac:dyDescent="0.2">
      <c r="A52" s="154"/>
      <c r="B52" s="152"/>
      <c r="C52" s="140"/>
      <c r="D52" s="138"/>
      <c r="E52" s="138"/>
      <c r="F52" s="138"/>
      <c r="G52" s="138"/>
      <c r="H52" s="12" t="s">
        <v>40</v>
      </c>
      <c r="I52" s="12">
        <v>185</v>
      </c>
      <c r="J52" s="14"/>
      <c r="K52" s="13"/>
      <c r="L52" s="14"/>
      <c r="M52" s="14"/>
      <c r="N52" s="13"/>
      <c r="O52" s="13"/>
      <c r="P52" s="13"/>
      <c r="Q52" s="13"/>
      <c r="R52" s="13"/>
      <c r="S52" s="14"/>
      <c r="T52" s="13"/>
      <c r="U52" s="15"/>
      <c r="V52" s="16"/>
      <c r="W52" s="16"/>
      <c r="X52" s="16"/>
      <c r="Y52" s="17">
        <v>20</v>
      </c>
      <c r="Z52" s="17">
        <v>35</v>
      </c>
      <c r="AA52" s="18">
        <f t="shared" si="4"/>
        <v>1</v>
      </c>
      <c r="AB52" s="18">
        <f t="shared" si="5"/>
        <v>0</v>
      </c>
      <c r="AC52" s="18">
        <f t="shared" si="6"/>
        <v>0</v>
      </c>
      <c r="AD52" s="19">
        <f t="shared" si="3"/>
        <v>100</v>
      </c>
    </row>
    <row r="53" spans="1:30" ht="12.75" x14ac:dyDescent="0.2">
      <c r="A53" s="156">
        <v>46000</v>
      </c>
      <c r="B53" s="152" t="s">
        <v>191</v>
      </c>
      <c r="C53" s="139" t="s">
        <v>151</v>
      </c>
      <c r="D53" s="141"/>
      <c r="E53" s="150" t="s">
        <v>239</v>
      </c>
      <c r="F53" s="141"/>
      <c r="G53" s="141"/>
      <c r="H53" s="4" t="s">
        <v>39</v>
      </c>
      <c r="I53" s="4">
        <v>95</v>
      </c>
      <c r="J53" s="5">
        <v>35</v>
      </c>
      <c r="K53" s="4">
        <v>7</v>
      </c>
      <c r="L53" s="5">
        <v>8</v>
      </c>
      <c r="M53" s="5">
        <v>100</v>
      </c>
      <c r="N53" s="6"/>
      <c r="O53" s="6"/>
      <c r="P53" s="6"/>
      <c r="Q53" s="6"/>
      <c r="R53" s="6"/>
      <c r="S53" s="20"/>
      <c r="T53" s="6"/>
      <c r="U53" s="7"/>
      <c r="V53" s="8"/>
      <c r="W53" s="8"/>
      <c r="X53" s="8"/>
      <c r="Y53" s="9">
        <v>20</v>
      </c>
      <c r="Z53" s="9">
        <v>35</v>
      </c>
      <c r="AA53" s="10">
        <f t="shared" si="4"/>
        <v>1.6153846153846154</v>
      </c>
      <c r="AB53" s="10">
        <f t="shared" si="5"/>
        <v>40.733333333333341</v>
      </c>
      <c r="AC53" s="10">
        <f t="shared" si="6"/>
        <v>35</v>
      </c>
      <c r="AD53" s="11">
        <f t="shared" si="3"/>
        <v>24.266666666666652</v>
      </c>
    </row>
    <row r="54" spans="1:30" ht="12.75" x14ac:dyDescent="0.2">
      <c r="A54" s="156"/>
      <c r="B54" s="152"/>
      <c r="C54" s="140"/>
      <c r="D54" s="138"/>
      <c r="E54" s="138"/>
      <c r="F54" s="138"/>
      <c r="G54" s="138"/>
      <c r="H54" s="12" t="s">
        <v>40</v>
      </c>
      <c r="I54" s="13">
        <v>280</v>
      </c>
      <c r="J54" s="14">
        <v>150</v>
      </c>
      <c r="K54" s="13">
        <v>10</v>
      </c>
      <c r="L54" s="14">
        <v>3</v>
      </c>
      <c r="M54" s="14">
        <v>0</v>
      </c>
      <c r="N54" s="13"/>
      <c r="O54" s="13"/>
      <c r="P54" s="13"/>
      <c r="Q54" s="13"/>
      <c r="R54" s="13"/>
      <c r="S54" s="14"/>
      <c r="T54" s="13"/>
      <c r="U54" s="15"/>
      <c r="V54" s="16"/>
      <c r="W54" s="16"/>
      <c r="X54" s="16"/>
      <c r="Y54" s="17">
        <v>20</v>
      </c>
      <c r="Z54" s="17">
        <v>35</v>
      </c>
      <c r="AA54" s="18">
        <f t="shared" si="4"/>
        <v>1.1666666666666667</v>
      </c>
      <c r="AB54" s="18">
        <f t="shared" si="5"/>
        <v>24.171428571428567</v>
      </c>
      <c r="AC54" s="18">
        <f t="shared" si="6"/>
        <v>0</v>
      </c>
      <c r="AD54" s="19">
        <f t="shared" si="3"/>
        <v>75.828571428571436</v>
      </c>
    </row>
    <row r="55" spans="1:30" ht="12.75" x14ac:dyDescent="0.2">
      <c r="A55" s="156">
        <v>46001</v>
      </c>
      <c r="B55" s="152" t="s">
        <v>166</v>
      </c>
      <c r="C55" s="139" t="s">
        <v>153</v>
      </c>
      <c r="D55" s="141"/>
      <c r="E55" s="150" t="s">
        <v>239</v>
      </c>
      <c r="F55" s="141"/>
      <c r="G55" s="141"/>
      <c r="H55" s="4" t="s">
        <v>39</v>
      </c>
      <c r="I55" s="4">
        <v>64</v>
      </c>
      <c r="J55" s="5">
        <v>74</v>
      </c>
      <c r="K55" s="4">
        <v>10</v>
      </c>
      <c r="L55" s="5">
        <v>3.4</v>
      </c>
      <c r="M55" s="5">
        <v>0</v>
      </c>
      <c r="N55" s="6"/>
      <c r="O55" s="6"/>
      <c r="P55" s="6"/>
      <c r="Q55" s="6"/>
      <c r="R55" s="6"/>
      <c r="S55" s="20"/>
      <c r="T55" s="6"/>
      <c r="U55" s="7"/>
      <c r="V55" s="8"/>
      <c r="W55" s="8"/>
      <c r="X55" s="8"/>
      <c r="Y55" s="9">
        <v>20</v>
      </c>
      <c r="Z55" s="9">
        <v>35</v>
      </c>
      <c r="AA55" s="10">
        <f t="shared" si="4"/>
        <v>1.1931818181818181</v>
      </c>
      <c r="AB55" s="10">
        <f t="shared" si="5"/>
        <v>28.933034215167549</v>
      </c>
      <c r="AC55" s="10">
        <f t="shared" si="6"/>
        <v>0</v>
      </c>
      <c r="AD55" s="11">
        <f t="shared" si="3"/>
        <v>71.066965784832448</v>
      </c>
    </row>
    <row r="56" spans="1:30" ht="12.75" x14ac:dyDescent="0.2">
      <c r="A56" s="156"/>
      <c r="B56" s="152"/>
      <c r="C56" s="140"/>
      <c r="D56" s="138"/>
      <c r="E56" s="138"/>
      <c r="F56" s="138"/>
      <c r="G56" s="138"/>
      <c r="H56" s="12" t="s">
        <v>40</v>
      </c>
      <c r="I56" s="13">
        <v>272</v>
      </c>
      <c r="J56" s="14">
        <v>170</v>
      </c>
      <c r="K56" s="13">
        <v>10</v>
      </c>
      <c r="L56" s="14">
        <v>3.3</v>
      </c>
      <c r="M56" s="14">
        <v>0</v>
      </c>
      <c r="N56" s="13"/>
      <c r="O56" s="13"/>
      <c r="P56" s="13"/>
      <c r="Q56" s="13"/>
      <c r="R56" s="13"/>
      <c r="S56" s="14"/>
      <c r="T56" s="13"/>
      <c r="U56" s="15"/>
      <c r="V56" s="16"/>
      <c r="W56" s="16"/>
      <c r="X56" s="16"/>
      <c r="Y56" s="17">
        <v>20</v>
      </c>
      <c r="Z56" s="17">
        <v>35</v>
      </c>
      <c r="AA56" s="18">
        <f t="shared" si="4"/>
        <v>1.1864406779661016</v>
      </c>
      <c r="AB56" s="18">
        <f t="shared" si="5"/>
        <v>23.884773333333332</v>
      </c>
      <c r="AC56" s="18">
        <f t="shared" si="6"/>
        <v>0</v>
      </c>
      <c r="AD56" s="19">
        <f t="shared" si="3"/>
        <v>76.115226666666672</v>
      </c>
    </row>
    <row r="57" spans="1:30" ht="12.75" x14ac:dyDescent="0.2">
      <c r="A57" s="156"/>
      <c r="B57" s="152"/>
      <c r="C57" s="137"/>
      <c r="D57" s="141"/>
      <c r="E57" s="141"/>
      <c r="F57" s="141"/>
      <c r="G57" s="141"/>
      <c r="H57" s="4" t="s">
        <v>39</v>
      </c>
      <c r="I57" s="4"/>
      <c r="J57" s="5"/>
      <c r="K57" s="4"/>
      <c r="L57" s="5"/>
      <c r="M57" s="5"/>
      <c r="N57" s="6"/>
      <c r="O57" s="6"/>
      <c r="P57" s="6"/>
      <c r="Q57" s="6"/>
      <c r="R57" s="6"/>
      <c r="S57" s="20"/>
      <c r="T57" s="6"/>
      <c r="U57" s="7"/>
      <c r="V57" s="8"/>
      <c r="W57" s="8"/>
      <c r="X57" s="8"/>
      <c r="Y57" s="9">
        <v>20</v>
      </c>
      <c r="Z57" s="9">
        <v>35</v>
      </c>
      <c r="AA57" s="10">
        <f t="shared" si="4"/>
        <v>1</v>
      </c>
      <c r="AB57" s="10">
        <f t="shared" si="5"/>
        <v>0</v>
      </c>
      <c r="AC57" s="10">
        <f t="shared" si="6"/>
        <v>0</v>
      </c>
      <c r="AD57" s="11">
        <f t="shared" si="3"/>
        <v>100</v>
      </c>
    </row>
    <row r="58" spans="1:30" ht="12.75" x14ac:dyDescent="0.2">
      <c r="A58" s="156"/>
      <c r="B58" s="152"/>
      <c r="C58" s="138"/>
      <c r="D58" s="138"/>
      <c r="E58" s="138"/>
      <c r="F58" s="138"/>
      <c r="G58" s="138"/>
      <c r="H58" s="12" t="s">
        <v>40</v>
      </c>
      <c r="I58" s="13"/>
      <c r="J58" s="14"/>
      <c r="K58" s="13"/>
      <c r="L58" s="14"/>
      <c r="M58" s="14"/>
      <c r="N58" s="13"/>
      <c r="O58" s="13"/>
      <c r="P58" s="13"/>
      <c r="Q58" s="13"/>
      <c r="R58" s="13"/>
      <c r="S58" s="14"/>
      <c r="T58" s="13"/>
      <c r="U58" s="15"/>
      <c r="V58" s="16"/>
      <c r="W58" s="16"/>
      <c r="X58" s="16"/>
      <c r="Y58" s="17">
        <v>20</v>
      </c>
      <c r="Z58" s="17">
        <v>35</v>
      </c>
      <c r="AA58" s="18">
        <f t="shared" si="4"/>
        <v>1</v>
      </c>
      <c r="AB58" s="18">
        <f t="shared" si="5"/>
        <v>0</v>
      </c>
      <c r="AC58" s="18">
        <f t="shared" si="6"/>
        <v>0</v>
      </c>
      <c r="AD58" s="19">
        <f t="shared" si="3"/>
        <v>100</v>
      </c>
    </row>
    <row r="59" spans="1:30" ht="12.75" x14ac:dyDescent="0.2">
      <c r="A59" s="156"/>
      <c r="B59" s="152"/>
      <c r="C59" s="137"/>
      <c r="D59" s="141"/>
      <c r="E59" s="141"/>
      <c r="F59" s="141"/>
      <c r="G59" s="141"/>
      <c r="H59" s="4" t="s">
        <v>39</v>
      </c>
      <c r="I59" s="4"/>
      <c r="J59" s="5"/>
      <c r="K59" s="4"/>
      <c r="L59" s="5"/>
      <c r="M59" s="5"/>
      <c r="N59" s="6"/>
      <c r="O59" s="6"/>
      <c r="P59" s="6"/>
      <c r="Q59" s="6"/>
      <c r="R59" s="6"/>
      <c r="S59" s="20"/>
      <c r="T59" s="6"/>
      <c r="U59" s="7"/>
      <c r="V59" s="8"/>
      <c r="W59" s="8"/>
      <c r="X59" s="8"/>
      <c r="Y59" s="9">
        <v>20</v>
      </c>
      <c r="Z59" s="9">
        <v>35</v>
      </c>
      <c r="AA59" s="10">
        <f t="shared" si="4"/>
        <v>1</v>
      </c>
      <c r="AB59" s="10">
        <f t="shared" si="5"/>
        <v>0</v>
      </c>
      <c r="AC59" s="10">
        <f t="shared" si="6"/>
        <v>0</v>
      </c>
      <c r="AD59" s="11">
        <f t="shared" si="3"/>
        <v>100</v>
      </c>
    </row>
    <row r="60" spans="1:30" ht="12.75" x14ac:dyDescent="0.2">
      <c r="A60" s="156"/>
      <c r="B60" s="152"/>
      <c r="C60" s="138"/>
      <c r="D60" s="138"/>
      <c r="E60" s="138"/>
      <c r="F60" s="138"/>
      <c r="G60" s="138"/>
      <c r="H60" s="12" t="s">
        <v>40</v>
      </c>
      <c r="I60" s="13"/>
      <c r="J60" s="14"/>
      <c r="K60" s="13"/>
      <c r="L60" s="14"/>
      <c r="M60" s="14"/>
      <c r="N60" s="13"/>
      <c r="O60" s="13"/>
      <c r="P60" s="13"/>
      <c r="Q60" s="13"/>
      <c r="R60" s="13"/>
      <c r="S60" s="14"/>
      <c r="T60" s="13"/>
      <c r="U60" s="15"/>
      <c r="V60" s="16"/>
      <c r="W60" s="16"/>
      <c r="X60" s="16"/>
      <c r="Y60" s="17">
        <v>20</v>
      </c>
      <c r="Z60" s="17">
        <v>35</v>
      </c>
      <c r="AA60" s="18">
        <f t="shared" si="4"/>
        <v>1</v>
      </c>
      <c r="AB60" s="18">
        <f t="shared" si="5"/>
        <v>0</v>
      </c>
      <c r="AC60" s="18">
        <f t="shared" si="6"/>
        <v>0</v>
      </c>
      <c r="AD60" s="19">
        <f t="shared" si="3"/>
        <v>100</v>
      </c>
    </row>
    <row r="61" spans="1:30" ht="12.75" x14ac:dyDescent="0.2">
      <c r="A61" s="156"/>
      <c r="B61" s="152"/>
      <c r="C61" s="137"/>
      <c r="D61" s="141"/>
      <c r="E61" s="141"/>
      <c r="F61" s="141"/>
      <c r="G61" s="141"/>
      <c r="H61" s="4" t="s">
        <v>39</v>
      </c>
      <c r="I61" s="4"/>
      <c r="J61" s="5"/>
      <c r="K61" s="4"/>
      <c r="L61" s="5"/>
      <c r="M61" s="5"/>
      <c r="N61" s="6"/>
      <c r="O61" s="6"/>
      <c r="P61" s="6"/>
      <c r="Q61" s="6"/>
      <c r="R61" s="6"/>
      <c r="S61" s="20"/>
      <c r="T61" s="6"/>
      <c r="U61" s="7"/>
      <c r="V61" s="8"/>
      <c r="W61" s="8"/>
      <c r="X61" s="8"/>
      <c r="Y61" s="9">
        <v>20</v>
      </c>
      <c r="Z61" s="9">
        <v>35</v>
      </c>
      <c r="AA61" s="10">
        <f t="shared" si="4"/>
        <v>1</v>
      </c>
      <c r="AB61" s="10">
        <f t="shared" si="5"/>
        <v>0</v>
      </c>
      <c r="AC61" s="10">
        <f t="shared" si="6"/>
        <v>0</v>
      </c>
      <c r="AD61" s="11">
        <f t="shared" si="3"/>
        <v>100</v>
      </c>
    </row>
    <row r="62" spans="1:30" ht="12.75" x14ac:dyDescent="0.2">
      <c r="A62" s="156"/>
      <c r="B62" s="152"/>
      <c r="C62" s="138"/>
      <c r="D62" s="138"/>
      <c r="E62" s="138"/>
      <c r="F62" s="138"/>
      <c r="G62" s="138"/>
      <c r="H62" s="12" t="s">
        <v>40</v>
      </c>
      <c r="I62" s="13"/>
      <c r="J62" s="14"/>
      <c r="K62" s="13"/>
      <c r="L62" s="14"/>
      <c r="M62" s="14"/>
      <c r="N62" s="13"/>
      <c r="O62" s="13"/>
      <c r="P62" s="13"/>
      <c r="Q62" s="13"/>
      <c r="R62" s="13"/>
      <c r="S62" s="14"/>
      <c r="T62" s="13"/>
      <c r="U62" s="15"/>
      <c r="V62" s="16"/>
      <c r="W62" s="16"/>
      <c r="X62" s="16"/>
      <c r="Y62" s="17">
        <v>20</v>
      </c>
      <c r="Z62" s="17">
        <v>35</v>
      </c>
      <c r="AA62" s="18">
        <f t="shared" si="4"/>
        <v>1</v>
      </c>
      <c r="AB62" s="18">
        <f t="shared" si="5"/>
        <v>0</v>
      </c>
      <c r="AC62" s="18">
        <f t="shared" si="6"/>
        <v>0</v>
      </c>
      <c r="AD62" s="19">
        <f t="shared" si="3"/>
        <v>100</v>
      </c>
    </row>
    <row r="63" spans="1:30" ht="12.75" x14ac:dyDescent="0.2">
      <c r="A63" s="156"/>
      <c r="B63" s="152"/>
      <c r="C63" s="137"/>
      <c r="D63" s="141"/>
      <c r="E63" s="141"/>
      <c r="F63" s="141"/>
      <c r="G63" s="141"/>
      <c r="H63" s="4" t="s">
        <v>39</v>
      </c>
      <c r="I63" s="4"/>
      <c r="J63" s="5"/>
      <c r="K63" s="4"/>
      <c r="L63" s="5"/>
      <c r="M63" s="5"/>
      <c r="N63" s="6"/>
      <c r="O63" s="6"/>
      <c r="P63" s="6"/>
      <c r="Q63" s="6"/>
      <c r="R63" s="6"/>
      <c r="S63" s="20"/>
      <c r="T63" s="6"/>
      <c r="U63" s="7"/>
      <c r="V63" s="8"/>
      <c r="W63" s="8"/>
      <c r="X63" s="8"/>
      <c r="Y63" s="9">
        <v>20</v>
      </c>
      <c r="Z63" s="9">
        <v>35</v>
      </c>
      <c r="AA63" s="10">
        <f t="shared" si="4"/>
        <v>1</v>
      </c>
      <c r="AB63" s="10">
        <f t="shared" si="5"/>
        <v>0</v>
      </c>
      <c r="AC63" s="10">
        <f t="shared" si="6"/>
        <v>0</v>
      </c>
      <c r="AD63" s="11">
        <f t="shared" si="3"/>
        <v>100</v>
      </c>
    </row>
    <row r="64" spans="1:30" ht="12.75" x14ac:dyDescent="0.2">
      <c r="A64" s="156"/>
      <c r="B64" s="152"/>
      <c r="C64" s="138"/>
      <c r="D64" s="138"/>
      <c r="E64" s="138"/>
      <c r="F64" s="138"/>
      <c r="G64" s="138"/>
      <c r="H64" s="12" t="s">
        <v>40</v>
      </c>
      <c r="I64" s="13"/>
      <c r="J64" s="14"/>
      <c r="K64" s="13"/>
      <c r="L64" s="14"/>
      <c r="M64" s="14"/>
      <c r="N64" s="13"/>
      <c r="O64" s="13"/>
      <c r="P64" s="13"/>
      <c r="Q64" s="13"/>
      <c r="R64" s="13"/>
      <c r="S64" s="14"/>
      <c r="T64" s="13"/>
      <c r="U64" s="15"/>
      <c r="V64" s="16"/>
      <c r="W64" s="16"/>
      <c r="X64" s="16"/>
      <c r="Y64" s="17">
        <v>20</v>
      </c>
      <c r="Z64" s="17">
        <v>35</v>
      </c>
      <c r="AA64" s="18">
        <f t="shared" si="4"/>
        <v>1</v>
      </c>
      <c r="AB64" s="18">
        <f t="shared" si="5"/>
        <v>0</v>
      </c>
      <c r="AC64" s="18">
        <f t="shared" si="6"/>
        <v>0</v>
      </c>
      <c r="AD64" s="19">
        <f t="shared" si="3"/>
        <v>100</v>
      </c>
    </row>
    <row r="65" spans="1:30" ht="12.75" x14ac:dyDescent="0.2">
      <c r="A65" s="156"/>
      <c r="B65" s="152"/>
      <c r="C65" s="137"/>
      <c r="D65" s="141"/>
      <c r="E65" s="141"/>
      <c r="F65" s="141"/>
      <c r="G65" s="141"/>
      <c r="H65" s="115" t="s">
        <v>39</v>
      </c>
      <c r="I65" s="115"/>
      <c r="J65" s="20"/>
      <c r="K65" s="115"/>
      <c r="L65" s="20"/>
      <c r="M65" s="20"/>
      <c r="N65" s="115"/>
      <c r="O65" s="115"/>
      <c r="P65" s="115"/>
      <c r="Q65" s="115"/>
      <c r="R65" s="115"/>
      <c r="S65" s="20"/>
      <c r="T65" s="115"/>
      <c r="U65" s="21"/>
      <c r="V65" s="8"/>
      <c r="W65" s="8"/>
      <c r="X65" s="8"/>
      <c r="Y65" s="9">
        <v>20</v>
      </c>
      <c r="Z65" s="9">
        <v>35</v>
      </c>
      <c r="AA65" s="10">
        <f t="shared" ref="AA65:AA128" si="7">21/(21-L65)</f>
        <v>1</v>
      </c>
      <c r="AB65" s="10">
        <f t="shared" ref="AB65:AB128" si="8">((J65 - S65) / (J65 - Y65)) * (1 / AA65) * 1.88 * (K65 + L65)</f>
        <v>0</v>
      </c>
      <c r="AC65" s="10">
        <f t="shared" ref="AC65:AC128" si="9">(M65 / 100) * Z65</f>
        <v>0</v>
      </c>
      <c r="AD65" s="11">
        <f t="shared" ref="AD65:AD128" si="10">100 - (AB65 + AC65)</f>
        <v>100</v>
      </c>
    </row>
    <row r="66" spans="1:30" ht="12.75" x14ac:dyDescent="0.2">
      <c r="A66" s="156"/>
      <c r="B66" s="152"/>
      <c r="C66" s="138"/>
      <c r="D66" s="138"/>
      <c r="E66" s="138"/>
      <c r="F66" s="138"/>
      <c r="G66" s="138"/>
      <c r="H66" s="13" t="s">
        <v>40</v>
      </c>
      <c r="I66" s="13"/>
      <c r="J66" s="23"/>
      <c r="K66" s="13"/>
      <c r="L66" s="23"/>
      <c r="M66" s="23"/>
      <c r="N66" s="13"/>
      <c r="O66" s="13"/>
      <c r="P66" s="13"/>
      <c r="Q66" s="13"/>
      <c r="R66" s="13"/>
      <c r="S66" s="23"/>
      <c r="T66" s="13"/>
      <c r="U66" s="15"/>
      <c r="V66" s="16"/>
      <c r="W66" s="16"/>
      <c r="X66" s="16"/>
      <c r="Y66" s="17">
        <v>20</v>
      </c>
      <c r="Z66" s="17">
        <v>35</v>
      </c>
      <c r="AA66" s="18">
        <f t="shared" si="7"/>
        <v>1</v>
      </c>
      <c r="AB66" s="18">
        <f t="shared" si="8"/>
        <v>0</v>
      </c>
      <c r="AC66" s="18">
        <f t="shared" si="9"/>
        <v>0</v>
      </c>
      <c r="AD66" s="19">
        <f t="shared" si="10"/>
        <v>100</v>
      </c>
    </row>
    <row r="67" spans="1:30" ht="12.75" x14ac:dyDescent="0.2">
      <c r="A67" s="156"/>
      <c r="B67" s="152"/>
      <c r="C67" s="137"/>
      <c r="D67" s="141"/>
      <c r="E67" s="141"/>
      <c r="F67" s="141"/>
      <c r="G67" s="141"/>
      <c r="H67" s="115" t="s">
        <v>39</v>
      </c>
      <c r="I67" s="115"/>
      <c r="J67" s="20"/>
      <c r="K67" s="115"/>
      <c r="L67" s="20"/>
      <c r="M67" s="20"/>
      <c r="N67" s="115"/>
      <c r="O67" s="115"/>
      <c r="P67" s="115"/>
      <c r="Q67" s="115"/>
      <c r="R67" s="115"/>
      <c r="S67" s="20"/>
      <c r="T67" s="115"/>
      <c r="U67" s="21"/>
      <c r="V67" s="8"/>
      <c r="W67" s="8"/>
      <c r="X67" s="8"/>
      <c r="Y67" s="9">
        <v>20</v>
      </c>
      <c r="Z67" s="9">
        <v>35</v>
      </c>
      <c r="AA67" s="10">
        <f t="shared" si="7"/>
        <v>1</v>
      </c>
      <c r="AB67" s="10">
        <f t="shared" si="8"/>
        <v>0</v>
      </c>
      <c r="AC67" s="10">
        <f t="shared" si="9"/>
        <v>0</v>
      </c>
      <c r="AD67" s="11">
        <f t="shared" si="10"/>
        <v>100</v>
      </c>
    </row>
    <row r="68" spans="1:30" ht="12.75" x14ac:dyDescent="0.2">
      <c r="A68" s="156"/>
      <c r="B68" s="152"/>
      <c r="C68" s="138"/>
      <c r="D68" s="138"/>
      <c r="E68" s="138"/>
      <c r="F68" s="138"/>
      <c r="G68" s="138"/>
      <c r="H68" s="13" t="s">
        <v>40</v>
      </c>
      <c r="I68" s="13"/>
      <c r="J68" s="23"/>
      <c r="K68" s="13"/>
      <c r="L68" s="23"/>
      <c r="M68" s="23"/>
      <c r="N68" s="13"/>
      <c r="O68" s="13"/>
      <c r="P68" s="13"/>
      <c r="Q68" s="13"/>
      <c r="R68" s="13"/>
      <c r="S68" s="23"/>
      <c r="T68" s="13"/>
      <c r="U68" s="15"/>
      <c r="V68" s="16"/>
      <c r="W68" s="16"/>
      <c r="X68" s="16"/>
      <c r="Y68" s="17">
        <v>20</v>
      </c>
      <c r="Z68" s="17">
        <v>35</v>
      </c>
      <c r="AA68" s="18">
        <f t="shared" si="7"/>
        <v>1</v>
      </c>
      <c r="AB68" s="18">
        <f t="shared" si="8"/>
        <v>0</v>
      </c>
      <c r="AC68" s="18">
        <f t="shared" si="9"/>
        <v>0</v>
      </c>
      <c r="AD68" s="19">
        <f t="shared" si="10"/>
        <v>100</v>
      </c>
    </row>
    <row r="69" spans="1:30" ht="12.75" x14ac:dyDescent="0.2">
      <c r="A69" s="156"/>
      <c r="B69" s="152"/>
      <c r="C69" s="137"/>
      <c r="D69" s="141"/>
      <c r="E69" s="141"/>
      <c r="F69" s="141"/>
      <c r="G69" s="141"/>
      <c r="H69" s="115" t="s">
        <v>39</v>
      </c>
      <c r="I69" s="115"/>
      <c r="J69" s="20"/>
      <c r="K69" s="115"/>
      <c r="L69" s="20"/>
      <c r="M69" s="20"/>
      <c r="N69" s="115"/>
      <c r="O69" s="115"/>
      <c r="P69" s="115"/>
      <c r="Q69" s="115"/>
      <c r="R69" s="115"/>
      <c r="S69" s="20"/>
      <c r="T69" s="115"/>
      <c r="U69" s="21"/>
      <c r="V69" s="8"/>
      <c r="W69" s="8"/>
      <c r="X69" s="8"/>
      <c r="Y69" s="9">
        <v>20</v>
      </c>
      <c r="Z69" s="9">
        <v>35</v>
      </c>
      <c r="AA69" s="10">
        <f t="shared" si="7"/>
        <v>1</v>
      </c>
      <c r="AB69" s="10">
        <f t="shared" si="8"/>
        <v>0</v>
      </c>
      <c r="AC69" s="10">
        <f t="shared" si="9"/>
        <v>0</v>
      </c>
      <c r="AD69" s="11">
        <f t="shared" si="10"/>
        <v>100</v>
      </c>
    </row>
    <row r="70" spans="1:30" ht="12.75" x14ac:dyDescent="0.2">
      <c r="A70" s="156"/>
      <c r="B70" s="152"/>
      <c r="C70" s="138"/>
      <c r="D70" s="138"/>
      <c r="E70" s="138"/>
      <c r="F70" s="138"/>
      <c r="G70" s="138"/>
      <c r="H70" s="13" t="s">
        <v>40</v>
      </c>
      <c r="I70" s="13"/>
      <c r="J70" s="23"/>
      <c r="K70" s="13"/>
      <c r="L70" s="23"/>
      <c r="M70" s="23"/>
      <c r="N70" s="13"/>
      <c r="O70" s="13"/>
      <c r="P70" s="13"/>
      <c r="Q70" s="13"/>
      <c r="R70" s="13"/>
      <c r="S70" s="23"/>
      <c r="T70" s="13"/>
      <c r="U70" s="15"/>
      <c r="V70" s="16"/>
      <c r="W70" s="16"/>
      <c r="X70" s="16"/>
      <c r="Y70" s="17">
        <v>20</v>
      </c>
      <c r="Z70" s="17">
        <v>35</v>
      </c>
      <c r="AA70" s="18">
        <f t="shared" si="7"/>
        <v>1</v>
      </c>
      <c r="AB70" s="18">
        <f t="shared" si="8"/>
        <v>0</v>
      </c>
      <c r="AC70" s="18">
        <f t="shared" si="9"/>
        <v>0</v>
      </c>
      <c r="AD70" s="19">
        <f t="shared" si="10"/>
        <v>100</v>
      </c>
    </row>
    <row r="71" spans="1:30" ht="12.75" x14ac:dyDescent="0.2">
      <c r="A71" s="156"/>
      <c r="B71" s="152"/>
      <c r="C71" s="137"/>
      <c r="D71" s="141"/>
      <c r="E71" s="141"/>
      <c r="F71" s="141"/>
      <c r="G71" s="141"/>
      <c r="H71" s="115" t="s">
        <v>39</v>
      </c>
      <c r="I71" s="115"/>
      <c r="J71" s="20"/>
      <c r="K71" s="115"/>
      <c r="L71" s="20"/>
      <c r="M71" s="20"/>
      <c r="N71" s="115"/>
      <c r="O71" s="115"/>
      <c r="P71" s="115"/>
      <c r="Q71" s="115"/>
      <c r="R71" s="115"/>
      <c r="S71" s="20"/>
      <c r="T71" s="115"/>
      <c r="U71" s="21"/>
      <c r="V71" s="8"/>
      <c r="W71" s="8"/>
      <c r="X71" s="8"/>
      <c r="Y71" s="9">
        <v>20</v>
      </c>
      <c r="Z71" s="9">
        <v>35</v>
      </c>
      <c r="AA71" s="10">
        <f t="shared" si="7"/>
        <v>1</v>
      </c>
      <c r="AB71" s="10">
        <f t="shared" si="8"/>
        <v>0</v>
      </c>
      <c r="AC71" s="10">
        <f t="shared" si="9"/>
        <v>0</v>
      </c>
      <c r="AD71" s="11">
        <f t="shared" si="10"/>
        <v>100</v>
      </c>
    </row>
    <row r="72" spans="1:30" ht="12.75" x14ac:dyDescent="0.2">
      <c r="A72" s="156"/>
      <c r="B72" s="152"/>
      <c r="C72" s="138"/>
      <c r="D72" s="138"/>
      <c r="E72" s="138"/>
      <c r="F72" s="138"/>
      <c r="G72" s="138"/>
      <c r="H72" s="13" t="s">
        <v>40</v>
      </c>
      <c r="I72" s="13"/>
      <c r="J72" s="23"/>
      <c r="K72" s="13"/>
      <c r="L72" s="23"/>
      <c r="M72" s="23"/>
      <c r="N72" s="13"/>
      <c r="O72" s="13"/>
      <c r="P72" s="13"/>
      <c r="Q72" s="13"/>
      <c r="R72" s="13"/>
      <c r="S72" s="23"/>
      <c r="T72" s="13"/>
      <c r="U72" s="15"/>
      <c r="V72" s="16"/>
      <c r="W72" s="16"/>
      <c r="X72" s="16"/>
      <c r="Y72" s="17">
        <v>20</v>
      </c>
      <c r="Z72" s="17">
        <v>35</v>
      </c>
      <c r="AA72" s="18">
        <f t="shared" si="7"/>
        <v>1</v>
      </c>
      <c r="AB72" s="18">
        <f t="shared" si="8"/>
        <v>0</v>
      </c>
      <c r="AC72" s="18">
        <f t="shared" si="9"/>
        <v>0</v>
      </c>
      <c r="AD72" s="19">
        <f t="shared" si="10"/>
        <v>100</v>
      </c>
    </row>
    <row r="73" spans="1:30" ht="12.75" x14ac:dyDescent="0.2">
      <c r="A73" s="156"/>
      <c r="B73" s="152"/>
      <c r="C73" s="137"/>
      <c r="D73" s="141"/>
      <c r="E73" s="141"/>
      <c r="F73" s="141"/>
      <c r="G73" s="141"/>
      <c r="H73" s="115" t="s">
        <v>39</v>
      </c>
      <c r="I73" s="115"/>
      <c r="J73" s="20"/>
      <c r="K73" s="115"/>
      <c r="L73" s="20"/>
      <c r="M73" s="20"/>
      <c r="N73" s="115"/>
      <c r="O73" s="115"/>
      <c r="P73" s="115"/>
      <c r="Q73" s="115"/>
      <c r="R73" s="115"/>
      <c r="S73" s="20"/>
      <c r="T73" s="115"/>
      <c r="U73" s="21"/>
      <c r="V73" s="8"/>
      <c r="W73" s="8"/>
      <c r="X73" s="8"/>
      <c r="Y73" s="9">
        <v>20</v>
      </c>
      <c r="Z73" s="9">
        <v>35</v>
      </c>
      <c r="AA73" s="10">
        <f t="shared" si="7"/>
        <v>1</v>
      </c>
      <c r="AB73" s="10">
        <f t="shared" si="8"/>
        <v>0</v>
      </c>
      <c r="AC73" s="10">
        <f t="shared" si="9"/>
        <v>0</v>
      </c>
      <c r="AD73" s="11">
        <f t="shared" si="10"/>
        <v>100</v>
      </c>
    </row>
    <row r="74" spans="1:30" ht="12.75" x14ac:dyDescent="0.2">
      <c r="A74" s="156"/>
      <c r="B74" s="152"/>
      <c r="C74" s="138"/>
      <c r="D74" s="138"/>
      <c r="E74" s="138"/>
      <c r="F74" s="138"/>
      <c r="G74" s="138"/>
      <c r="H74" s="13" t="s">
        <v>40</v>
      </c>
      <c r="I74" s="13"/>
      <c r="J74" s="23"/>
      <c r="K74" s="13"/>
      <c r="L74" s="23"/>
      <c r="M74" s="23"/>
      <c r="N74" s="13"/>
      <c r="O74" s="13"/>
      <c r="P74" s="13"/>
      <c r="Q74" s="13"/>
      <c r="R74" s="13"/>
      <c r="S74" s="23"/>
      <c r="T74" s="13"/>
      <c r="U74" s="15"/>
      <c r="V74" s="16"/>
      <c r="W74" s="16"/>
      <c r="X74" s="16"/>
      <c r="Y74" s="17">
        <v>20</v>
      </c>
      <c r="Z74" s="17">
        <v>35</v>
      </c>
      <c r="AA74" s="18">
        <f t="shared" si="7"/>
        <v>1</v>
      </c>
      <c r="AB74" s="18">
        <f t="shared" si="8"/>
        <v>0</v>
      </c>
      <c r="AC74" s="18">
        <f t="shared" si="9"/>
        <v>0</v>
      </c>
      <c r="AD74" s="19">
        <f t="shared" si="10"/>
        <v>100</v>
      </c>
    </row>
    <row r="75" spans="1:30" ht="12.75" x14ac:dyDescent="0.2">
      <c r="A75" s="156"/>
      <c r="B75" s="152"/>
      <c r="C75" s="137"/>
      <c r="D75" s="141"/>
      <c r="E75" s="141"/>
      <c r="F75" s="141"/>
      <c r="G75" s="141"/>
      <c r="H75" s="115" t="s">
        <v>39</v>
      </c>
      <c r="I75" s="115"/>
      <c r="J75" s="20"/>
      <c r="K75" s="115"/>
      <c r="L75" s="20"/>
      <c r="M75" s="20"/>
      <c r="N75" s="115"/>
      <c r="O75" s="115"/>
      <c r="P75" s="115"/>
      <c r="Q75" s="115"/>
      <c r="R75" s="115"/>
      <c r="S75" s="20"/>
      <c r="T75" s="115"/>
      <c r="U75" s="21"/>
      <c r="V75" s="8"/>
      <c r="W75" s="8"/>
      <c r="X75" s="8"/>
      <c r="Y75" s="9">
        <v>20</v>
      </c>
      <c r="Z75" s="9">
        <v>35</v>
      </c>
      <c r="AA75" s="10">
        <f t="shared" si="7"/>
        <v>1</v>
      </c>
      <c r="AB75" s="10">
        <f t="shared" si="8"/>
        <v>0</v>
      </c>
      <c r="AC75" s="10">
        <f t="shared" si="9"/>
        <v>0</v>
      </c>
      <c r="AD75" s="11">
        <f t="shared" si="10"/>
        <v>100</v>
      </c>
    </row>
    <row r="76" spans="1:30" ht="12.75" x14ac:dyDescent="0.2">
      <c r="A76" s="156"/>
      <c r="B76" s="152"/>
      <c r="C76" s="138"/>
      <c r="D76" s="138"/>
      <c r="E76" s="138"/>
      <c r="F76" s="138"/>
      <c r="G76" s="138"/>
      <c r="H76" s="13" t="s">
        <v>40</v>
      </c>
      <c r="I76" s="13"/>
      <c r="J76" s="23"/>
      <c r="K76" s="13"/>
      <c r="L76" s="23"/>
      <c r="M76" s="23"/>
      <c r="N76" s="13"/>
      <c r="O76" s="13"/>
      <c r="P76" s="13"/>
      <c r="Q76" s="13"/>
      <c r="R76" s="13"/>
      <c r="S76" s="23"/>
      <c r="T76" s="13"/>
      <c r="U76" s="15"/>
      <c r="V76" s="16"/>
      <c r="W76" s="16"/>
      <c r="X76" s="16"/>
      <c r="Y76" s="17">
        <v>20</v>
      </c>
      <c r="Z76" s="17">
        <v>35</v>
      </c>
      <c r="AA76" s="18">
        <f t="shared" si="7"/>
        <v>1</v>
      </c>
      <c r="AB76" s="18">
        <f t="shared" si="8"/>
        <v>0</v>
      </c>
      <c r="AC76" s="18">
        <f t="shared" si="9"/>
        <v>0</v>
      </c>
      <c r="AD76" s="19">
        <f t="shared" si="10"/>
        <v>100</v>
      </c>
    </row>
    <row r="77" spans="1:30" ht="12.75" x14ac:dyDescent="0.2">
      <c r="A77" s="156"/>
      <c r="B77" s="152"/>
      <c r="C77" s="137"/>
      <c r="D77" s="141"/>
      <c r="E77" s="141"/>
      <c r="F77" s="141"/>
      <c r="G77" s="141"/>
      <c r="H77" s="115" t="s">
        <v>39</v>
      </c>
      <c r="I77" s="115"/>
      <c r="J77" s="20"/>
      <c r="K77" s="115"/>
      <c r="L77" s="20"/>
      <c r="M77" s="20"/>
      <c r="N77" s="115"/>
      <c r="O77" s="115"/>
      <c r="P77" s="115"/>
      <c r="Q77" s="115"/>
      <c r="R77" s="115"/>
      <c r="S77" s="20"/>
      <c r="T77" s="115"/>
      <c r="U77" s="21"/>
      <c r="V77" s="8"/>
      <c r="W77" s="8"/>
      <c r="X77" s="8"/>
      <c r="Y77" s="9">
        <v>20</v>
      </c>
      <c r="Z77" s="9">
        <v>35</v>
      </c>
      <c r="AA77" s="10">
        <f t="shared" si="7"/>
        <v>1</v>
      </c>
      <c r="AB77" s="10">
        <f t="shared" si="8"/>
        <v>0</v>
      </c>
      <c r="AC77" s="10">
        <f t="shared" si="9"/>
        <v>0</v>
      </c>
      <c r="AD77" s="11">
        <f t="shared" si="10"/>
        <v>100</v>
      </c>
    </row>
    <row r="78" spans="1:30" ht="12.75" x14ac:dyDescent="0.2">
      <c r="A78" s="156"/>
      <c r="B78" s="152"/>
      <c r="C78" s="138"/>
      <c r="D78" s="138"/>
      <c r="E78" s="138"/>
      <c r="F78" s="138"/>
      <c r="G78" s="138"/>
      <c r="H78" s="13" t="s">
        <v>40</v>
      </c>
      <c r="I78" s="13"/>
      <c r="J78" s="23"/>
      <c r="K78" s="13"/>
      <c r="L78" s="23"/>
      <c r="M78" s="23"/>
      <c r="N78" s="13"/>
      <c r="O78" s="13"/>
      <c r="P78" s="13"/>
      <c r="Q78" s="13"/>
      <c r="R78" s="13"/>
      <c r="S78" s="23"/>
      <c r="T78" s="13"/>
      <c r="U78" s="15"/>
      <c r="V78" s="16"/>
      <c r="W78" s="16"/>
      <c r="X78" s="16"/>
      <c r="Y78" s="17">
        <v>20</v>
      </c>
      <c r="Z78" s="17">
        <v>35</v>
      </c>
      <c r="AA78" s="18">
        <f t="shared" si="7"/>
        <v>1</v>
      </c>
      <c r="AB78" s="18">
        <f t="shared" si="8"/>
        <v>0</v>
      </c>
      <c r="AC78" s="18">
        <f t="shared" si="9"/>
        <v>0</v>
      </c>
      <c r="AD78" s="19">
        <f t="shared" si="10"/>
        <v>100</v>
      </c>
    </row>
    <row r="79" spans="1:30" ht="12.75" x14ac:dyDescent="0.2">
      <c r="A79" s="156"/>
      <c r="B79" s="152"/>
      <c r="C79" s="137"/>
      <c r="D79" s="141"/>
      <c r="E79" s="141"/>
      <c r="F79" s="141"/>
      <c r="G79" s="141"/>
      <c r="H79" s="115" t="s">
        <v>39</v>
      </c>
      <c r="I79" s="115"/>
      <c r="J79" s="20"/>
      <c r="K79" s="115"/>
      <c r="L79" s="20"/>
      <c r="M79" s="20"/>
      <c r="N79" s="115"/>
      <c r="O79" s="115"/>
      <c r="P79" s="115"/>
      <c r="Q79" s="115"/>
      <c r="R79" s="115"/>
      <c r="S79" s="20"/>
      <c r="T79" s="115"/>
      <c r="U79" s="21"/>
      <c r="V79" s="8"/>
      <c r="W79" s="8"/>
      <c r="X79" s="8"/>
      <c r="Y79" s="9">
        <v>20</v>
      </c>
      <c r="Z79" s="9">
        <v>35</v>
      </c>
      <c r="AA79" s="10">
        <f t="shared" si="7"/>
        <v>1</v>
      </c>
      <c r="AB79" s="10">
        <f t="shared" si="8"/>
        <v>0</v>
      </c>
      <c r="AC79" s="10">
        <f t="shared" si="9"/>
        <v>0</v>
      </c>
      <c r="AD79" s="11">
        <f t="shared" si="10"/>
        <v>100</v>
      </c>
    </row>
    <row r="80" spans="1:30" ht="12.75" x14ac:dyDescent="0.2">
      <c r="A80" s="156"/>
      <c r="B80" s="152"/>
      <c r="C80" s="138"/>
      <c r="D80" s="138"/>
      <c r="E80" s="138"/>
      <c r="F80" s="138"/>
      <c r="G80" s="138"/>
      <c r="H80" s="13" t="s">
        <v>40</v>
      </c>
      <c r="I80" s="13"/>
      <c r="J80" s="23"/>
      <c r="K80" s="13"/>
      <c r="L80" s="23"/>
      <c r="M80" s="23"/>
      <c r="N80" s="13"/>
      <c r="O80" s="13"/>
      <c r="P80" s="13"/>
      <c r="Q80" s="13"/>
      <c r="R80" s="13"/>
      <c r="S80" s="23"/>
      <c r="T80" s="13"/>
      <c r="U80" s="15"/>
      <c r="V80" s="16"/>
      <c r="W80" s="16"/>
      <c r="X80" s="16"/>
      <c r="Y80" s="17">
        <v>20</v>
      </c>
      <c r="Z80" s="17">
        <v>35</v>
      </c>
      <c r="AA80" s="18">
        <f t="shared" si="7"/>
        <v>1</v>
      </c>
      <c r="AB80" s="18">
        <f t="shared" si="8"/>
        <v>0</v>
      </c>
      <c r="AC80" s="18">
        <f t="shared" si="9"/>
        <v>0</v>
      </c>
      <c r="AD80" s="19">
        <f t="shared" si="10"/>
        <v>100</v>
      </c>
    </row>
    <row r="81" spans="1:30" ht="12.75" x14ac:dyDescent="0.2">
      <c r="A81" s="156"/>
      <c r="B81" s="152"/>
      <c r="C81" s="137"/>
      <c r="D81" s="141"/>
      <c r="E81" s="141"/>
      <c r="F81" s="141"/>
      <c r="G81" s="141"/>
      <c r="H81" s="115" t="s">
        <v>39</v>
      </c>
      <c r="I81" s="115"/>
      <c r="J81" s="20"/>
      <c r="K81" s="115"/>
      <c r="L81" s="20"/>
      <c r="M81" s="20"/>
      <c r="N81" s="115"/>
      <c r="O81" s="115"/>
      <c r="P81" s="115"/>
      <c r="Q81" s="115"/>
      <c r="R81" s="115"/>
      <c r="S81" s="20"/>
      <c r="T81" s="115"/>
      <c r="U81" s="21"/>
      <c r="V81" s="8"/>
      <c r="W81" s="8"/>
      <c r="X81" s="8"/>
      <c r="Y81" s="9">
        <v>20</v>
      </c>
      <c r="Z81" s="9">
        <v>35</v>
      </c>
      <c r="AA81" s="10">
        <f t="shared" si="7"/>
        <v>1</v>
      </c>
      <c r="AB81" s="10">
        <f t="shared" si="8"/>
        <v>0</v>
      </c>
      <c r="AC81" s="10">
        <f t="shared" si="9"/>
        <v>0</v>
      </c>
      <c r="AD81" s="11">
        <f t="shared" si="10"/>
        <v>100</v>
      </c>
    </row>
    <row r="82" spans="1:30" ht="12.75" x14ac:dyDescent="0.2">
      <c r="A82" s="156"/>
      <c r="B82" s="152"/>
      <c r="C82" s="138"/>
      <c r="D82" s="138"/>
      <c r="E82" s="138"/>
      <c r="F82" s="138"/>
      <c r="G82" s="138"/>
      <c r="H82" s="13" t="s">
        <v>40</v>
      </c>
      <c r="I82" s="13"/>
      <c r="J82" s="23"/>
      <c r="K82" s="13"/>
      <c r="L82" s="23"/>
      <c r="M82" s="23"/>
      <c r="N82" s="13"/>
      <c r="O82" s="13"/>
      <c r="P82" s="13"/>
      <c r="Q82" s="13"/>
      <c r="R82" s="13"/>
      <c r="S82" s="23"/>
      <c r="T82" s="13"/>
      <c r="U82" s="15"/>
      <c r="V82" s="16"/>
      <c r="W82" s="16"/>
      <c r="X82" s="16"/>
      <c r="Y82" s="17">
        <v>20</v>
      </c>
      <c r="Z82" s="17">
        <v>35</v>
      </c>
      <c r="AA82" s="18">
        <f t="shared" si="7"/>
        <v>1</v>
      </c>
      <c r="AB82" s="18">
        <f t="shared" si="8"/>
        <v>0</v>
      </c>
      <c r="AC82" s="18">
        <f t="shared" si="9"/>
        <v>0</v>
      </c>
      <c r="AD82" s="19">
        <f t="shared" si="10"/>
        <v>100</v>
      </c>
    </row>
    <row r="83" spans="1:30" ht="12.75" x14ac:dyDescent="0.2">
      <c r="A83" s="156"/>
      <c r="B83" s="152"/>
      <c r="C83" s="137"/>
      <c r="D83" s="141"/>
      <c r="E83" s="141"/>
      <c r="F83" s="141"/>
      <c r="G83" s="141"/>
      <c r="H83" s="115" t="s">
        <v>39</v>
      </c>
      <c r="I83" s="115"/>
      <c r="J83" s="20"/>
      <c r="K83" s="115"/>
      <c r="L83" s="20"/>
      <c r="M83" s="20"/>
      <c r="N83" s="115"/>
      <c r="O83" s="115"/>
      <c r="P83" s="115"/>
      <c r="Q83" s="115"/>
      <c r="R83" s="115"/>
      <c r="S83" s="20"/>
      <c r="T83" s="115"/>
      <c r="U83" s="21"/>
      <c r="V83" s="8"/>
      <c r="W83" s="8"/>
      <c r="X83" s="8"/>
      <c r="Y83" s="9">
        <v>20</v>
      </c>
      <c r="Z83" s="9">
        <v>35</v>
      </c>
      <c r="AA83" s="10">
        <f t="shared" si="7"/>
        <v>1</v>
      </c>
      <c r="AB83" s="10">
        <f t="shared" si="8"/>
        <v>0</v>
      </c>
      <c r="AC83" s="10">
        <f t="shared" si="9"/>
        <v>0</v>
      </c>
      <c r="AD83" s="11">
        <f t="shared" si="10"/>
        <v>100</v>
      </c>
    </row>
    <row r="84" spans="1:30" ht="12.75" x14ac:dyDescent="0.2">
      <c r="A84" s="156"/>
      <c r="B84" s="152"/>
      <c r="C84" s="138"/>
      <c r="D84" s="138"/>
      <c r="E84" s="138"/>
      <c r="F84" s="138"/>
      <c r="G84" s="138"/>
      <c r="H84" s="13" t="s">
        <v>40</v>
      </c>
      <c r="I84" s="13"/>
      <c r="J84" s="23"/>
      <c r="K84" s="13"/>
      <c r="L84" s="23"/>
      <c r="M84" s="23"/>
      <c r="N84" s="13"/>
      <c r="O84" s="13"/>
      <c r="P84" s="13"/>
      <c r="Q84" s="13"/>
      <c r="R84" s="13"/>
      <c r="S84" s="23"/>
      <c r="T84" s="13"/>
      <c r="U84" s="15"/>
      <c r="V84" s="16"/>
      <c r="W84" s="16"/>
      <c r="X84" s="16"/>
      <c r="Y84" s="17">
        <v>20</v>
      </c>
      <c r="Z84" s="17">
        <v>35</v>
      </c>
      <c r="AA84" s="18">
        <f t="shared" si="7"/>
        <v>1</v>
      </c>
      <c r="AB84" s="18">
        <f t="shared" si="8"/>
        <v>0</v>
      </c>
      <c r="AC84" s="18">
        <f t="shared" si="9"/>
        <v>0</v>
      </c>
      <c r="AD84" s="19">
        <f t="shared" si="10"/>
        <v>100</v>
      </c>
    </row>
    <row r="85" spans="1:30" ht="12.75" x14ac:dyDescent="0.2">
      <c r="A85" s="156"/>
      <c r="B85" s="152"/>
      <c r="C85" s="137"/>
      <c r="D85" s="141"/>
      <c r="E85" s="141"/>
      <c r="F85" s="141"/>
      <c r="G85" s="141"/>
      <c r="H85" s="115" t="s">
        <v>39</v>
      </c>
      <c r="I85" s="115"/>
      <c r="J85" s="20"/>
      <c r="K85" s="115"/>
      <c r="L85" s="20"/>
      <c r="M85" s="20"/>
      <c r="N85" s="115"/>
      <c r="O85" s="115"/>
      <c r="P85" s="115"/>
      <c r="Q85" s="115"/>
      <c r="R85" s="115"/>
      <c r="S85" s="20"/>
      <c r="T85" s="115"/>
      <c r="U85" s="21"/>
      <c r="V85" s="8"/>
      <c r="W85" s="8"/>
      <c r="X85" s="8"/>
      <c r="Y85" s="9">
        <v>20</v>
      </c>
      <c r="Z85" s="9">
        <v>35</v>
      </c>
      <c r="AA85" s="10">
        <f t="shared" si="7"/>
        <v>1</v>
      </c>
      <c r="AB85" s="10">
        <f t="shared" si="8"/>
        <v>0</v>
      </c>
      <c r="AC85" s="10">
        <f t="shared" si="9"/>
        <v>0</v>
      </c>
      <c r="AD85" s="11">
        <f t="shared" si="10"/>
        <v>100</v>
      </c>
    </row>
    <row r="86" spans="1:30" ht="12.75" x14ac:dyDescent="0.2">
      <c r="A86" s="156"/>
      <c r="B86" s="152"/>
      <c r="C86" s="138"/>
      <c r="D86" s="138"/>
      <c r="E86" s="138"/>
      <c r="F86" s="138"/>
      <c r="G86" s="138"/>
      <c r="H86" s="13" t="s">
        <v>40</v>
      </c>
      <c r="I86" s="13"/>
      <c r="J86" s="23"/>
      <c r="K86" s="13"/>
      <c r="L86" s="23"/>
      <c r="M86" s="23"/>
      <c r="N86" s="13"/>
      <c r="O86" s="13"/>
      <c r="P86" s="13"/>
      <c r="Q86" s="13"/>
      <c r="R86" s="13"/>
      <c r="S86" s="23"/>
      <c r="T86" s="13"/>
      <c r="U86" s="15"/>
      <c r="V86" s="16"/>
      <c r="W86" s="16"/>
      <c r="X86" s="16"/>
      <c r="Y86" s="17">
        <v>20</v>
      </c>
      <c r="Z86" s="17">
        <v>35</v>
      </c>
      <c r="AA86" s="18">
        <f t="shared" si="7"/>
        <v>1</v>
      </c>
      <c r="AB86" s="18">
        <f t="shared" si="8"/>
        <v>0</v>
      </c>
      <c r="AC86" s="18">
        <f t="shared" si="9"/>
        <v>0</v>
      </c>
      <c r="AD86" s="19">
        <f t="shared" si="10"/>
        <v>100</v>
      </c>
    </row>
    <row r="87" spans="1:30" ht="12.75" x14ac:dyDescent="0.2">
      <c r="A87" s="156"/>
      <c r="B87" s="152"/>
      <c r="C87" s="137"/>
      <c r="D87" s="141"/>
      <c r="E87" s="141"/>
      <c r="F87" s="141"/>
      <c r="G87" s="141"/>
      <c r="H87" s="115" t="s">
        <v>39</v>
      </c>
      <c r="I87" s="115"/>
      <c r="J87" s="20"/>
      <c r="K87" s="115"/>
      <c r="L87" s="20"/>
      <c r="M87" s="20"/>
      <c r="N87" s="115"/>
      <c r="O87" s="115"/>
      <c r="P87" s="115"/>
      <c r="Q87" s="115"/>
      <c r="R87" s="115"/>
      <c r="S87" s="20"/>
      <c r="T87" s="115"/>
      <c r="U87" s="21"/>
      <c r="V87" s="8"/>
      <c r="W87" s="8"/>
      <c r="X87" s="8"/>
      <c r="Y87" s="9">
        <v>20</v>
      </c>
      <c r="Z87" s="9">
        <v>35</v>
      </c>
      <c r="AA87" s="10">
        <f t="shared" si="7"/>
        <v>1</v>
      </c>
      <c r="AB87" s="10">
        <f t="shared" si="8"/>
        <v>0</v>
      </c>
      <c r="AC87" s="10">
        <f t="shared" si="9"/>
        <v>0</v>
      </c>
      <c r="AD87" s="11">
        <f t="shared" si="10"/>
        <v>100</v>
      </c>
    </row>
    <row r="88" spans="1:30" ht="12.75" x14ac:dyDescent="0.2">
      <c r="A88" s="156"/>
      <c r="B88" s="152"/>
      <c r="C88" s="138"/>
      <c r="D88" s="138"/>
      <c r="E88" s="138"/>
      <c r="F88" s="138"/>
      <c r="G88" s="138"/>
      <c r="H88" s="13" t="s">
        <v>40</v>
      </c>
      <c r="I88" s="13"/>
      <c r="J88" s="23"/>
      <c r="K88" s="13"/>
      <c r="L88" s="23"/>
      <c r="M88" s="23"/>
      <c r="N88" s="13"/>
      <c r="O88" s="13"/>
      <c r="P88" s="13"/>
      <c r="Q88" s="13"/>
      <c r="R88" s="13"/>
      <c r="S88" s="23"/>
      <c r="T88" s="13"/>
      <c r="U88" s="15"/>
      <c r="V88" s="16"/>
      <c r="W88" s="16"/>
      <c r="X88" s="16"/>
      <c r="Y88" s="17">
        <v>20</v>
      </c>
      <c r="Z88" s="17">
        <v>35</v>
      </c>
      <c r="AA88" s="18">
        <f t="shared" si="7"/>
        <v>1</v>
      </c>
      <c r="AB88" s="18">
        <f t="shared" si="8"/>
        <v>0</v>
      </c>
      <c r="AC88" s="18">
        <f t="shared" si="9"/>
        <v>0</v>
      </c>
      <c r="AD88" s="19">
        <f t="shared" si="10"/>
        <v>100</v>
      </c>
    </row>
    <row r="89" spans="1:30" ht="12.75" x14ac:dyDescent="0.2">
      <c r="A89" s="156"/>
      <c r="B89" s="152"/>
      <c r="C89" s="137"/>
      <c r="D89" s="141"/>
      <c r="E89" s="141"/>
      <c r="F89" s="141"/>
      <c r="G89" s="141"/>
      <c r="H89" s="115" t="s">
        <v>39</v>
      </c>
      <c r="I89" s="115"/>
      <c r="J89" s="20"/>
      <c r="K89" s="115"/>
      <c r="L89" s="20"/>
      <c r="M89" s="20"/>
      <c r="N89" s="115"/>
      <c r="O89" s="115"/>
      <c r="P89" s="115"/>
      <c r="Q89" s="115"/>
      <c r="R89" s="115"/>
      <c r="S89" s="20"/>
      <c r="T89" s="115"/>
      <c r="U89" s="21"/>
      <c r="V89" s="8"/>
      <c r="W89" s="8"/>
      <c r="X89" s="8"/>
      <c r="Y89" s="9">
        <v>20</v>
      </c>
      <c r="Z89" s="9">
        <v>35</v>
      </c>
      <c r="AA89" s="10">
        <f t="shared" si="7"/>
        <v>1</v>
      </c>
      <c r="AB89" s="10">
        <f t="shared" si="8"/>
        <v>0</v>
      </c>
      <c r="AC89" s="10">
        <f t="shared" si="9"/>
        <v>0</v>
      </c>
      <c r="AD89" s="11">
        <f t="shared" si="10"/>
        <v>100</v>
      </c>
    </row>
    <row r="90" spans="1:30" ht="12.75" x14ac:dyDescent="0.2">
      <c r="A90" s="156"/>
      <c r="B90" s="152"/>
      <c r="C90" s="138"/>
      <c r="D90" s="138"/>
      <c r="E90" s="138"/>
      <c r="F90" s="138"/>
      <c r="G90" s="138"/>
      <c r="H90" s="13" t="s">
        <v>40</v>
      </c>
      <c r="I90" s="13"/>
      <c r="J90" s="23"/>
      <c r="K90" s="13"/>
      <c r="L90" s="23"/>
      <c r="M90" s="23"/>
      <c r="N90" s="13"/>
      <c r="O90" s="13"/>
      <c r="P90" s="13"/>
      <c r="Q90" s="13"/>
      <c r="R90" s="13"/>
      <c r="S90" s="23"/>
      <c r="T90" s="13"/>
      <c r="U90" s="15"/>
      <c r="V90" s="16"/>
      <c r="W90" s="16"/>
      <c r="X90" s="16"/>
      <c r="Y90" s="17">
        <v>20</v>
      </c>
      <c r="Z90" s="17">
        <v>35</v>
      </c>
      <c r="AA90" s="18">
        <f t="shared" si="7"/>
        <v>1</v>
      </c>
      <c r="AB90" s="18">
        <f t="shared" si="8"/>
        <v>0</v>
      </c>
      <c r="AC90" s="18">
        <f t="shared" si="9"/>
        <v>0</v>
      </c>
      <c r="AD90" s="19">
        <f t="shared" si="10"/>
        <v>100</v>
      </c>
    </row>
    <row r="91" spans="1:30" ht="12.75" x14ac:dyDescent="0.2">
      <c r="A91" s="156"/>
      <c r="B91" s="152"/>
      <c r="C91" s="137"/>
      <c r="D91" s="141"/>
      <c r="E91" s="141"/>
      <c r="F91" s="141"/>
      <c r="G91" s="141"/>
      <c r="H91" s="115" t="s">
        <v>39</v>
      </c>
      <c r="I91" s="115"/>
      <c r="J91" s="20"/>
      <c r="K91" s="115"/>
      <c r="L91" s="20"/>
      <c r="M91" s="20"/>
      <c r="N91" s="115"/>
      <c r="O91" s="115"/>
      <c r="P91" s="115"/>
      <c r="Q91" s="115"/>
      <c r="R91" s="115"/>
      <c r="S91" s="20"/>
      <c r="T91" s="115"/>
      <c r="U91" s="21"/>
      <c r="V91" s="8"/>
      <c r="W91" s="8"/>
      <c r="X91" s="8"/>
      <c r="Y91" s="9">
        <v>20</v>
      </c>
      <c r="Z91" s="9">
        <v>35</v>
      </c>
      <c r="AA91" s="10">
        <f t="shared" si="7"/>
        <v>1</v>
      </c>
      <c r="AB91" s="10">
        <f t="shared" si="8"/>
        <v>0</v>
      </c>
      <c r="AC91" s="10">
        <f t="shared" si="9"/>
        <v>0</v>
      </c>
      <c r="AD91" s="11">
        <f t="shared" si="10"/>
        <v>100</v>
      </c>
    </row>
    <row r="92" spans="1:30" ht="12.75" x14ac:dyDescent="0.2">
      <c r="A92" s="156"/>
      <c r="B92" s="152"/>
      <c r="C92" s="138"/>
      <c r="D92" s="138"/>
      <c r="E92" s="138"/>
      <c r="F92" s="138"/>
      <c r="G92" s="138"/>
      <c r="H92" s="13" t="s">
        <v>40</v>
      </c>
      <c r="I92" s="13"/>
      <c r="J92" s="23"/>
      <c r="K92" s="13"/>
      <c r="L92" s="23"/>
      <c r="M92" s="23"/>
      <c r="N92" s="13"/>
      <c r="O92" s="13"/>
      <c r="P92" s="13"/>
      <c r="Q92" s="13"/>
      <c r="R92" s="13"/>
      <c r="S92" s="23"/>
      <c r="T92" s="13"/>
      <c r="U92" s="15"/>
      <c r="V92" s="16"/>
      <c r="W92" s="16"/>
      <c r="X92" s="16"/>
      <c r="Y92" s="17">
        <v>20</v>
      </c>
      <c r="Z92" s="17">
        <v>35</v>
      </c>
      <c r="AA92" s="18">
        <f t="shared" si="7"/>
        <v>1</v>
      </c>
      <c r="AB92" s="18">
        <f t="shared" si="8"/>
        <v>0</v>
      </c>
      <c r="AC92" s="18">
        <f t="shared" si="9"/>
        <v>0</v>
      </c>
      <c r="AD92" s="19">
        <f t="shared" si="10"/>
        <v>100</v>
      </c>
    </row>
    <row r="93" spans="1:30" ht="12.75" x14ac:dyDescent="0.2">
      <c r="A93" s="156"/>
      <c r="B93" s="152"/>
      <c r="C93" s="137"/>
      <c r="D93" s="141"/>
      <c r="E93" s="141"/>
      <c r="F93" s="141"/>
      <c r="G93" s="141"/>
      <c r="H93" s="115" t="s">
        <v>39</v>
      </c>
      <c r="I93" s="115"/>
      <c r="J93" s="20"/>
      <c r="K93" s="115"/>
      <c r="L93" s="20"/>
      <c r="M93" s="20"/>
      <c r="N93" s="115"/>
      <c r="O93" s="115"/>
      <c r="P93" s="115"/>
      <c r="Q93" s="115"/>
      <c r="R93" s="115"/>
      <c r="S93" s="20"/>
      <c r="T93" s="115"/>
      <c r="U93" s="21"/>
      <c r="V93" s="8"/>
      <c r="W93" s="8"/>
      <c r="X93" s="8"/>
      <c r="Y93" s="9">
        <v>20</v>
      </c>
      <c r="Z93" s="9">
        <v>35</v>
      </c>
      <c r="AA93" s="10">
        <f t="shared" si="7"/>
        <v>1</v>
      </c>
      <c r="AB93" s="10">
        <f t="shared" si="8"/>
        <v>0</v>
      </c>
      <c r="AC93" s="10">
        <f t="shared" si="9"/>
        <v>0</v>
      </c>
      <c r="AD93" s="11">
        <f t="shared" si="10"/>
        <v>100</v>
      </c>
    </row>
    <row r="94" spans="1:30" ht="12.75" x14ac:dyDescent="0.2">
      <c r="A94" s="156"/>
      <c r="B94" s="152"/>
      <c r="C94" s="138"/>
      <c r="D94" s="138"/>
      <c r="E94" s="138"/>
      <c r="F94" s="138"/>
      <c r="G94" s="138"/>
      <c r="H94" s="13" t="s">
        <v>40</v>
      </c>
      <c r="I94" s="13"/>
      <c r="J94" s="23"/>
      <c r="K94" s="13"/>
      <c r="L94" s="23"/>
      <c r="M94" s="23"/>
      <c r="N94" s="13"/>
      <c r="O94" s="13"/>
      <c r="P94" s="13"/>
      <c r="Q94" s="13"/>
      <c r="R94" s="13"/>
      <c r="S94" s="23"/>
      <c r="T94" s="13"/>
      <c r="U94" s="15"/>
      <c r="V94" s="16"/>
      <c r="W94" s="16"/>
      <c r="X94" s="16"/>
      <c r="Y94" s="17">
        <v>20</v>
      </c>
      <c r="Z94" s="17">
        <v>35</v>
      </c>
      <c r="AA94" s="18">
        <f t="shared" si="7"/>
        <v>1</v>
      </c>
      <c r="AB94" s="18">
        <f t="shared" si="8"/>
        <v>0</v>
      </c>
      <c r="AC94" s="18">
        <f t="shared" si="9"/>
        <v>0</v>
      </c>
      <c r="AD94" s="19">
        <f t="shared" si="10"/>
        <v>100</v>
      </c>
    </row>
    <row r="95" spans="1:30" ht="12.75" x14ac:dyDescent="0.2">
      <c r="A95" s="156"/>
      <c r="B95" s="152"/>
      <c r="C95" s="137"/>
      <c r="D95" s="141"/>
      <c r="E95" s="141"/>
      <c r="F95" s="141"/>
      <c r="G95" s="141"/>
      <c r="H95" s="115" t="s">
        <v>39</v>
      </c>
      <c r="I95" s="115"/>
      <c r="J95" s="20"/>
      <c r="K95" s="115"/>
      <c r="L95" s="20"/>
      <c r="M95" s="20"/>
      <c r="N95" s="115"/>
      <c r="O95" s="115"/>
      <c r="P95" s="115"/>
      <c r="Q95" s="115"/>
      <c r="R95" s="115"/>
      <c r="S95" s="20"/>
      <c r="T95" s="115"/>
      <c r="U95" s="21"/>
      <c r="V95" s="8"/>
      <c r="W95" s="8"/>
      <c r="X95" s="8"/>
      <c r="Y95" s="9">
        <v>20</v>
      </c>
      <c r="Z95" s="9">
        <v>35</v>
      </c>
      <c r="AA95" s="10">
        <f t="shared" si="7"/>
        <v>1</v>
      </c>
      <c r="AB95" s="10">
        <f t="shared" si="8"/>
        <v>0</v>
      </c>
      <c r="AC95" s="10">
        <f t="shared" si="9"/>
        <v>0</v>
      </c>
      <c r="AD95" s="11">
        <f t="shared" si="10"/>
        <v>100</v>
      </c>
    </row>
    <row r="96" spans="1:30" ht="12.75" x14ac:dyDescent="0.2">
      <c r="A96" s="156"/>
      <c r="B96" s="152"/>
      <c r="C96" s="138"/>
      <c r="D96" s="138"/>
      <c r="E96" s="138"/>
      <c r="F96" s="138"/>
      <c r="G96" s="138"/>
      <c r="H96" s="13" t="s">
        <v>40</v>
      </c>
      <c r="I96" s="13"/>
      <c r="J96" s="23"/>
      <c r="K96" s="13"/>
      <c r="L96" s="23"/>
      <c r="M96" s="23"/>
      <c r="N96" s="13"/>
      <c r="O96" s="13"/>
      <c r="P96" s="13"/>
      <c r="Q96" s="13"/>
      <c r="R96" s="13"/>
      <c r="S96" s="23"/>
      <c r="T96" s="13"/>
      <c r="U96" s="15"/>
      <c r="V96" s="16"/>
      <c r="W96" s="16"/>
      <c r="X96" s="16"/>
      <c r="Y96" s="17">
        <v>20</v>
      </c>
      <c r="Z96" s="17">
        <v>35</v>
      </c>
      <c r="AA96" s="18">
        <f t="shared" si="7"/>
        <v>1</v>
      </c>
      <c r="AB96" s="18">
        <f t="shared" si="8"/>
        <v>0</v>
      </c>
      <c r="AC96" s="18">
        <f t="shared" si="9"/>
        <v>0</v>
      </c>
      <c r="AD96" s="19">
        <f t="shared" si="10"/>
        <v>100</v>
      </c>
    </row>
    <row r="97" spans="1:30" ht="12.75" x14ac:dyDescent="0.2">
      <c r="A97" s="156"/>
      <c r="B97" s="152"/>
      <c r="C97" s="137"/>
      <c r="D97" s="141"/>
      <c r="E97" s="141"/>
      <c r="F97" s="141"/>
      <c r="G97" s="141"/>
      <c r="H97" s="115" t="s">
        <v>39</v>
      </c>
      <c r="I97" s="115"/>
      <c r="J97" s="20"/>
      <c r="K97" s="115"/>
      <c r="L97" s="20"/>
      <c r="M97" s="20"/>
      <c r="N97" s="115"/>
      <c r="O97" s="115"/>
      <c r="P97" s="115"/>
      <c r="Q97" s="115"/>
      <c r="R97" s="115"/>
      <c r="S97" s="20"/>
      <c r="T97" s="115"/>
      <c r="U97" s="21"/>
      <c r="V97" s="8"/>
      <c r="W97" s="8"/>
      <c r="X97" s="8"/>
      <c r="Y97" s="9">
        <v>20</v>
      </c>
      <c r="Z97" s="9">
        <v>35</v>
      </c>
      <c r="AA97" s="10">
        <f t="shared" si="7"/>
        <v>1</v>
      </c>
      <c r="AB97" s="10">
        <f t="shared" si="8"/>
        <v>0</v>
      </c>
      <c r="AC97" s="10">
        <f t="shared" si="9"/>
        <v>0</v>
      </c>
      <c r="AD97" s="11">
        <f t="shared" si="10"/>
        <v>100</v>
      </c>
    </row>
    <row r="98" spans="1:30" ht="12.75" x14ac:dyDescent="0.2">
      <c r="A98" s="156"/>
      <c r="B98" s="152"/>
      <c r="C98" s="138"/>
      <c r="D98" s="138"/>
      <c r="E98" s="138"/>
      <c r="F98" s="138"/>
      <c r="G98" s="138"/>
      <c r="H98" s="13" t="s">
        <v>40</v>
      </c>
      <c r="I98" s="13"/>
      <c r="J98" s="23"/>
      <c r="K98" s="13"/>
      <c r="L98" s="23"/>
      <c r="M98" s="23"/>
      <c r="N98" s="13"/>
      <c r="O98" s="13"/>
      <c r="P98" s="13"/>
      <c r="Q98" s="13"/>
      <c r="R98" s="13"/>
      <c r="S98" s="23"/>
      <c r="T98" s="13"/>
      <c r="U98" s="15"/>
      <c r="V98" s="16"/>
      <c r="W98" s="16"/>
      <c r="X98" s="16"/>
      <c r="Y98" s="17">
        <v>20</v>
      </c>
      <c r="Z98" s="17">
        <v>35</v>
      </c>
      <c r="AA98" s="18">
        <f t="shared" si="7"/>
        <v>1</v>
      </c>
      <c r="AB98" s="18">
        <f t="shared" si="8"/>
        <v>0</v>
      </c>
      <c r="AC98" s="18">
        <f t="shared" si="9"/>
        <v>0</v>
      </c>
      <c r="AD98" s="19">
        <f t="shared" si="10"/>
        <v>100</v>
      </c>
    </row>
    <row r="99" spans="1:30" ht="12.75" x14ac:dyDescent="0.2">
      <c r="A99" s="156"/>
      <c r="B99" s="152"/>
      <c r="C99" s="137"/>
      <c r="D99" s="141"/>
      <c r="E99" s="141"/>
      <c r="F99" s="141"/>
      <c r="G99" s="141"/>
      <c r="H99" s="115" t="s">
        <v>39</v>
      </c>
      <c r="I99" s="115"/>
      <c r="J99" s="20"/>
      <c r="K99" s="115"/>
      <c r="L99" s="20"/>
      <c r="M99" s="20"/>
      <c r="N99" s="115"/>
      <c r="O99" s="115"/>
      <c r="P99" s="115"/>
      <c r="Q99" s="115"/>
      <c r="R99" s="115"/>
      <c r="S99" s="20"/>
      <c r="T99" s="115"/>
      <c r="U99" s="21"/>
      <c r="V99" s="8"/>
      <c r="W99" s="8"/>
      <c r="X99" s="8"/>
      <c r="Y99" s="9">
        <v>20</v>
      </c>
      <c r="Z99" s="9">
        <v>35</v>
      </c>
      <c r="AA99" s="10">
        <f t="shared" si="7"/>
        <v>1</v>
      </c>
      <c r="AB99" s="10">
        <f t="shared" si="8"/>
        <v>0</v>
      </c>
      <c r="AC99" s="10">
        <f t="shared" si="9"/>
        <v>0</v>
      </c>
      <c r="AD99" s="11">
        <f t="shared" si="10"/>
        <v>100</v>
      </c>
    </row>
    <row r="100" spans="1:30" ht="12.75" x14ac:dyDescent="0.2">
      <c r="A100" s="156"/>
      <c r="B100" s="152"/>
      <c r="C100" s="138"/>
      <c r="D100" s="138"/>
      <c r="E100" s="138"/>
      <c r="F100" s="138"/>
      <c r="G100" s="138"/>
      <c r="H100" s="13" t="s">
        <v>40</v>
      </c>
      <c r="I100" s="13"/>
      <c r="J100" s="23"/>
      <c r="K100" s="13"/>
      <c r="L100" s="23"/>
      <c r="M100" s="23"/>
      <c r="N100" s="13"/>
      <c r="O100" s="13"/>
      <c r="P100" s="13"/>
      <c r="Q100" s="13"/>
      <c r="R100" s="13"/>
      <c r="S100" s="23"/>
      <c r="T100" s="13"/>
      <c r="U100" s="15"/>
      <c r="V100" s="16"/>
      <c r="W100" s="16"/>
      <c r="X100" s="16"/>
      <c r="Y100" s="17">
        <v>20</v>
      </c>
      <c r="Z100" s="17">
        <v>35</v>
      </c>
      <c r="AA100" s="18">
        <f t="shared" si="7"/>
        <v>1</v>
      </c>
      <c r="AB100" s="18">
        <f t="shared" si="8"/>
        <v>0</v>
      </c>
      <c r="AC100" s="18">
        <f t="shared" si="9"/>
        <v>0</v>
      </c>
      <c r="AD100" s="19">
        <f t="shared" si="10"/>
        <v>100</v>
      </c>
    </row>
    <row r="101" spans="1:30" ht="12.75" x14ac:dyDescent="0.2">
      <c r="A101" s="156"/>
      <c r="B101" s="152"/>
      <c r="C101" s="137"/>
      <c r="D101" s="141"/>
      <c r="E101" s="141"/>
      <c r="F101" s="141"/>
      <c r="G101" s="141"/>
      <c r="H101" s="115" t="s">
        <v>39</v>
      </c>
      <c r="I101" s="115"/>
      <c r="J101" s="20"/>
      <c r="K101" s="115"/>
      <c r="L101" s="20"/>
      <c r="M101" s="20"/>
      <c r="N101" s="115"/>
      <c r="O101" s="115"/>
      <c r="P101" s="115"/>
      <c r="Q101" s="115"/>
      <c r="R101" s="115"/>
      <c r="S101" s="20"/>
      <c r="T101" s="115"/>
      <c r="U101" s="21"/>
      <c r="V101" s="8"/>
      <c r="W101" s="8"/>
      <c r="X101" s="8"/>
      <c r="Y101" s="9">
        <v>20</v>
      </c>
      <c r="Z101" s="9">
        <v>35</v>
      </c>
      <c r="AA101" s="10">
        <f t="shared" si="7"/>
        <v>1</v>
      </c>
      <c r="AB101" s="10">
        <f t="shared" si="8"/>
        <v>0</v>
      </c>
      <c r="AC101" s="10">
        <f t="shared" si="9"/>
        <v>0</v>
      </c>
      <c r="AD101" s="11">
        <f t="shared" si="10"/>
        <v>100</v>
      </c>
    </row>
    <row r="102" spans="1:30" ht="12.75" x14ac:dyDescent="0.2">
      <c r="A102" s="156"/>
      <c r="B102" s="152"/>
      <c r="C102" s="138"/>
      <c r="D102" s="138"/>
      <c r="E102" s="138"/>
      <c r="F102" s="138"/>
      <c r="G102" s="138"/>
      <c r="H102" s="13" t="s">
        <v>40</v>
      </c>
      <c r="I102" s="13"/>
      <c r="J102" s="23"/>
      <c r="K102" s="13"/>
      <c r="L102" s="23"/>
      <c r="M102" s="23"/>
      <c r="N102" s="13"/>
      <c r="O102" s="13"/>
      <c r="P102" s="13"/>
      <c r="Q102" s="13"/>
      <c r="R102" s="13"/>
      <c r="S102" s="23"/>
      <c r="T102" s="13"/>
      <c r="U102" s="15"/>
      <c r="V102" s="16"/>
      <c r="W102" s="16"/>
      <c r="X102" s="16"/>
      <c r="Y102" s="17">
        <v>20</v>
      </c>
      <c r="Z102" s="17">
        <v>35</v>
      </c>
      <c r="AA102" s="18">
        <f t="shared" si="7"/>
        <v>1</v>
      </c>
      <c r="AB102" s="18">
        <f t="shared" si="8"/>
        <v>0</v>
      </c>
      <c r="AC102" s="18">
        <f t="shared" si="9"/>
        <v>0</v>
      </c>
      <c r="AD102" s="19">
        <f t="shared" si="10"/>
        <v>100</v>
      </c>
    </row>
    <row r="103" spans="1:30" ht="12.75" x14ac:dyDescent="0.2">
      <c r="A103" s="156"/>
      <c r="B103" s="152"/>
      <c r="C103" s="137"/>
      <c r="D103" s="141"/>
      <c r="E103" s="141"/>
      <c r="F103" s="141"/>
      <c r="G103" s="141"/>
      <c r="H103" s="115" t="s">
        <v>39</v>
      </c>
      <c r="I103" s="115"/>
      <c r="J103" s="20"/>
      <c r="K103" s="115"/>
      <c r="L103" s="20"/>
      <c r="M103" s="20"/>
      <c r="N103" s="115"/>
      <c r="O103" s="115"/>
      <c r="P103" s="115"/>
      <c r="Q103" s="115"/>
      <c r="R103" s="115"/>
      <c r="S103" s="20"/>
      <c r="T103" s="115"/>
      <c r="U103" s="21"/>
      <c r="V103" s="8"/>
      <c r="W103" s="8"/>
      <c r="X103" s="8"/>
      <c r="Y103" s="9">
        <v>20</v>
      </c>
      <c r="Z103" s="9">
        <v>35</v>
      </c>
      <c r="AA103" s="10">
        <f t="shared" si="7"/>
        <v>1</v>
      </c>
      <c r="AB103" s="10">
        <f t="shared" si="8"/>
        <v>0</v>
      </c>
      <c r="AC103" s="10">
        <f t="shared" si="9"/>
        <v>0</v>
      </c>
      <c r="AD103" s="11">
        <f t="shared" si="10"/>
        <v>100</v>
      </c>
    </row>
    <row r="104" spans="1:30" ht="12.75" x14ac:dyDescent="0.2">
      <c r="A104" s="156"/>
      <c r="B104" s="152"/>
      <c r="C104" s="138"/>
      <c r="D104" s="138"/>
      <c r="E104" s="138"/>
      <c r="F104" s="138"/>
      <c r="G104" s="138"/>
      <c r="H104" s="13" t="s">
        <v>40</v>
      </c>
      <c r="I104" s="13"/>
      <c r="J104" s="23"/>
      <c r="K104" s="13"/>
      <c r="L104" s="23"/>
      <c r="M104" s="23"/>
      <c r="N104" s="13"/>
      <c r="O104" s="13"/>
      <c r="P104" s="13"/>
      <c r="Q104" s="13"/>
      <c r="R104" s="13"/>
      <c r="S104" s="23"/>
      <c r="T104" s="13"/>
      <c r="U104" s="15"/>
      <c r="V104" s="16"/>
      <c r="W104" s="16"/>
      <c r="X104" s="16"/>
      <c r="Y104" s="17">
        <v>20</v>
      </c>
      <c r="Z104" s="17">
        <v>35</v>
      </c>
      <c r="AA104" s="18">
        <f t="shared" si="7"/>
        <v>1</v>
      </c>
      <c r="AB104" s="18">
        <f t="shared" si="8"/>
        <v>0</v>
      </c>
      <c r="AC104" s="18">
        <f t="shared" si="9"/>
        <v>0</v>
      </c>
      <c r="AD104" s="19">
        <f t="shared" si="10"/>
        <v>100</v>
      </c>
    </row>
    <row r="105" spans="1:30" ht="12.75" x14ac:dyDescent="0.2">
      <c r="A105" s="156"/>
      <c r="B105" s="152"/>
      <c r="C105" s="137"/>
      <c r="D105" s="141"/>
      <c r="E105" s="141"/>
      <c r="F105" s="141"/>
      <c r="G105" s="141"/>
      <c r="H105" s="115" t="s">
        <v>39</v>
      </c>
      <c r="I105" s="115"/>
      <c r="J105" s="20"/>
      <c r="K105" s="115"/>
      <c r="L105" s="20"/>
      <c r="M105" s="20"/>
      <c r="N105" s="115"/>
      <c r="O105" s="115"/>
      <c r="P105" s="115"/>
      <c r="Q105" s="115"/>
      <c r="R105" s="115"/>
      <c r="S105" s="20"/>
      <c r="T105" s="115"/>
      <c r="U105" s="21"/>
      <c r="V105" s="8"/>
      <c r="W105" s="8"/>
      <c r="X105" s="8"/>
      <c r="Y105" s="9">
        <v>20</v>
      </c>
      <c r="Z105" s="9">
        <v>35</v>
      </c>
      <c r="AA105" s="10">
        <f t="shared" si="7"/>
        <v>1</v>
      </c>
      <c r="AB105" s="10">
        <f t="shared" si="8"/>
        <v>0</v>
      </c>
      <c r="AC105" s="10">
        <f t="shared" si="9"/>
        <v>0</v>
      </c>
      <c r="AD105" s="11">
        <f t="shared" si="10"/>
        <v>100</v>
      </c>
    </row>
    <row r="106" spans="1:30" ht="12.75" x14ac:dyDescent="0.2">
      <c r="A106" s="156"/>
      <c r="B106" s="152"/>
      <c r="C106" s="138"/>
      <c r="D106" s="138"/>
      <c r="E106" s="138"/>
      <c r="F106" s="138"/>
      <c r="G106" s="138"/>
      <c r="H106" s="13" t="s">
        <v>40</v>
      </c>
      <c r="I106" s="13"/>
      <c r="J106" s="23"/>
      <c r="K106" s="13"/>
      <c r="L106" s="23"/>
      <c r="M106" s="23"/>
      <c r="N106" s="13"/>
      <c r="O106" s="13"/>
      <c r="P106" s="13"/>
      <c r="Q106" s="13"/>
      <c r="R106" s="13"/>
      <c r="S106" s="23"/>
      <c r="T106" s="13"/>
      <c r="U106" s="15"/>
      <c r="V106" s="16"/>
      <c r="W106" s="16"/>
      <c r="X106" s="16"/>
      <c r="Y106" s="17">
        <v>20</v>
      </c>
      <c r="Z106" s="17">
        <v>35</v>
      </c>
      <c r="AA106" s="18">
        <f t="shared" si="7"/>
        <v>1</v>
      </c>
      <c r="AB106" s="18">
        <f t="shared" si="8"/>
        <v>0</v>
      </c>
      <c r="AC106" s="18">
        <f t="shared" si="9"/>
        <v>0</v>
      </c>
      <c r="AD106" s="19">
        <f t="shared" si="10"/>
        <v>100</v>
      </c>
    </row>
    <row r="107" spans="1:30" ht="12.75" x14ac:dyDescent="0.2">
      <c r="A107" s="156"/>
      <c r="B107" s="152"/>
      <c r="C107" s="137"/>
      <c r="D107" s="141"/>
      <c r="E107" s="141"/>
      <c r="F107" s="141"/>
      <c r="G107" s="141"/>
      <c r="H107" s="115" t="s">
        <v>39</v>
      </c>
      <c r="I107" s="115"/>
      <c r="J107" s="20"/>
      <c r="K107" s="115"/>
      <c r="L107" s="20"/>
      <c r="M107" s="20"/>
      <c r="N107" s="115"/>
      <c r="O107" s="115"/>
      <c r="P107" s="115"/>
      <c r="Q107" s="115"/>
      <c r="R107" s="115"/>
      <c r="S107" s="20"/>
      <c r="T107" s="115"/>
      <c r="U107" s="21"/>
      <c r="V107" s="8"/>
      <c r="W107" s="8"/>
      <c r="X107" s="8"/>
      <c r="Y107" s="9">
        <v>20</v>
      </c>
      <c r="Z107" s="9">
        <v>35</v>
      </c>
      <c r="AA107" s="10">
        <f t="shared" si="7"/>
        <v>1</v>
      </c>
      <c r="AB107" s="10">
        <f t="shared" si="8"/>
        <v>0</v>
      </c>
      <c r="AC107" s="10">
        <f t="shared" si="9"/>
        <v>0</v>
      </c>
      <c r="AD107" s="11">
        <f t="shared" si="10"/>
        <v>100</v>
      </c>
    </row>
    <row r="108" spans="1:30" ht="12.75" x14ac:dyDescent="0.2">
      <c r="A108" s="156"/>
      <c r="B108" s="152"/>
      <c r="C108" s="138"/>
      <c r="D108" s="138"/>
      <c r="E108" s="138"/>
      <c r="F108" s="138"/>
      <c r="G108" s="138"/>
      <c r="H108" s="13" t="s">
        <v>40</v>
      </c>
      <c r="I108" s="13"/>
      <c r="J108" s="23"/>
      <c r="K108" s="13"/>
      <c r="L108" s="23"/>
      <c r="M108" s="23"/>
      <c r="N108" s="13"/>
      <c r="O108" s="13"/>
      <c r="P108" s="13"/>
      <c r="Q108" s="13"/>
      <c r="R108" s="13"/>
      <c r="S108" s="23"/>
      <c r="T108" s="13"/>
      <c r="U108" s="15"/>
      <c r="V108" s="16"/>
      <c r="W108" s="16"/>
      <c r="X108" s="16"/>
      <c r="Y108" s="17">
        <v>20</v>
      </c>
      <c r="Z108" s="17">
        <v>35</v>
      </c>
      <c r="AA108" s="18">
        <f t="shared" si="7"/>
        <v>1</v>
      </c>
      <c r="AB108" s="18">
        <f t="shared" si="8"/>
        <v>0</v>
      </c>
      <c r="AC108" s="18">
        <f t="shared" si="9"/>
        <v>0</v>
      </c>
      <c r="AD108" s="19">
        <f t="shared" si="10"/>
        <v>100</v>
      </c>
    </row>
    <row r="109" spans="1:30" ht="12.75" x14ac:dyDescent="0.2">
      <c r="A109" s="156"/>
      <c r="B109" s="152"/>
      <c r="C109" s="137"/>
      <c r="D109" s="141"/>
      <c r="E109" s="141"/>
      <c r="F109" s="141"/>
      <c r="G109" s="141"/>
      <c r="H109" s="115" t="s">
        <v>39</v>
      </c>
      <c r="I109" s="115"/>
      <c r="J109" s="20"/>
      <c r="K109" s="115"/>
      <c r="L109" s="20"/>
      <c r="M109" s="20"/>
      <c r="N109" s="115"/>
      <c r="O109" s="115"/>
      <c r="P109" s="115"/>
      <c r="Q109" s="115"/>
      <c r="R109" s="115"/>
      <c r="S109" s="20"/>
      <c r="T109" s="115"/>
      <c r="U109" s="21"/>
      <c r="V109" s="8"/>
      <c r="W109" s="8"/>
      <c r="X109" s="8"/>
      <c r="Y109" s="9">
        <v>20</v>
      </c>
      <c r="Z109" s="9">
        <v>35</v>
      </c>
      <c r="AA109" s="10">
        <f t="shared" si="7"/>
        <v>1</v>
      </c>
      <c r="AB109" s="10">
        <f t="shared" si="8"/>
        <v>0</v>
      </c>
      <c r="AC109" s="10">
        <f t="shared" si="9"/>
        <v>0</v>
      </c>
      <c r="AD109" s="11">
        <f t="shared" si="10"/>
        <v>100</v>
      </c>
    </row>
    <row r="110" spans="1:30" ht="12.75" x14ac:dyDescent="0.2">
      <c r="A110" s="156"/>
      <c r="B110" s="152"/>
      <c r="C110" s="138"/>
      <c r="D110" s="138"/>
      <c r="E110" s="138"/>
      <c r="F110" s="138"/>
      <c r="G110" s="138"/>
      <c r="H110" s="13" t="s">
        <v>40</v>
      </c>
      <c r="I110" s="13"/>
      <c r="J110" s="23"/>
      <c r="K110" s="13"/>
      <c r="L110" s="23"/>
      <c r="M110" s="23"/>
      <c r="N110" s="13"/>
      <c r="O110" s="13"/>
      <c r="P110" s="13"/>
      <c r="Q110" s="13"/>
      <c r="R110" s="13"/>
      <c r="S110" s="23"/>
      <c r="T110" s="13"/>
      <c r="U110" s="15"/>
      <c r="V110" s="16"/>
      <c r="W110" s="16"/>
      <c r="X110" s="16"/>
      <c r="Y110" s="17">
        <v>20</v>
      </c>
      <c r="Z110" s="17">
        <v>35</v>
      </c>
      <c r="AA110" s="18">
        <f t="shared" si="7"/>
        <v>1</v>
      </c>
      <c r="AB110" s="18">
        <f t="shared" si="8"/>
        <v>0</v>
      </c>
      <c r="AC110" s="18">
        <f t="shared" si="9"/>
        <v>0</v>
      </c>
      <c r="AD110" s="19">
        <f t="shared" si="10"/>
        <v>100</v>
      </c>
    </row>
    <row r="111" spans="1:30" ht="12.75" x14ac:dyDescent="0.2">
      <c r="A111" s="156"/>
      <c r="B111" s="152"/>
      <c r="C111" s="137"/>
      <c r="D111" s="141"/>
      <c r="E111" s="141"/>
      <c r="F111" s="141"/>
      <c r="G111" s="141"/>
      <c r="H111" s="115" t="s">
        <v>39</v>
      </c>
      <c r="I111" s="115"/>
      <c r="J111" s="20"/>
      <c r="K111" s="115"/>
      <c r="L111" s="20"/>
      <c r="M111" s="20"/>
      <c r="N111" s="115"/>
      <c r="O111" s="115"/>
      <c r="P111" s="115"/>
      <c r="Q111" s="115"/>
      <c r="R111" s="115"/>
      <c r="S111" s="20"/>
      <c r="T111" s="115"/>
      <c r="U111" s="21"/>
      <c r="V111" s="8"/>
      <c r="W111" s="8"/>
      <c r="X111" s="8"/>
      <c r="Y111" s="9">
        <v>20</v>
      </c>
      <c r="Z111" s="9">
        <v>35</v>
      </c>
      <c r="AA111" s="10">
        <f t="shared" si="7"/>
        <v>1</v>
      </c>
      <c r="AB111" s="10">
        <f t="shared" si="8"/>
        <v>0</v>
      </c>
      <c r="AC111" s="10">
        <f t="shared" si="9"/>
        <v>0</v>
      </c>
      <c r="AD111" s="11">
        <f t="shared" si="10"/>
        <v>100</v>
      </c>
    </row>
    <row r="112" spans="1:30" ht="12.75" x14ac:dyDescent="0.2">
      <c r="A112" s="156"/>
      <c r="B112" s="152"/>
      <c r="C112" s="138"/>
      <c r="D112" s="138"/>
      <c r="E112" s="138"/>
      <c r="F112" s="138"/>
      <c r="G112" s="138"/>
      <c r="H112" s="13" t="s">
        <v>40</v>
      </c>
      <c r="I112" s="13"/>
      <c r="J112" s="23"/>
      <c r="K112" s="13"/>
      <c r="L112" s="23"/>
      <c r="M112" s="23"/>
      <c r="N112" s="13"/>
      <c r="O112" s="13"/>
      <c r="P112" s="13"/>
      <c r="Q112" s="13"/>
      <c r="R112" s="13"/>
      <c r="S112" s="23"/>
      <c r="T112" s="13"/>
      <c r="U112" s="15"/>
      <c r="V112" s="16"/>
      <c r="W112" s="16"/>
      <c r="X112" s="16"/>
      <c r="Y112" s="17">
        <v>20</v>
      </c>
      <c r="Z112" s="17">
        <v>35</v>
      </c>
      <c r="AA112" s="18">
        <f t="shared" si="7"/>
        <v>1</v>
      </c>
      <c r="AB112" s="18">
        <f t="shared" si="8"/>
        <v>0</v>
      </c>
      <c r="AC112" s="18">
        <f t="shared" si="9"/>
        <v>0</v>
      </c>
      <c r="AD112" s="19">
        <f t="shared" si="10"/>
        <v>100</v>
      </c>
    </row>
    <row r="113" spans="1:30" ht="12.75" x14ac:dyDescent="0.2">
      <c r="A113" s="156"/>
      <c r="B113" s="152"/>
      <c r="C113" s="137"/>
      <c r="D113" s="141"/>
      <c r="E113" s="141"/>
      <c r="F113" s="141"/>
      <c r="G113" s="141"/>
      <c r="H113" s="115" t="s">
        <v>39</v>
      </c>
      <c r="I113" s="115"/>
      <c r="J113" s="20"/>
      <c r="K113" s="115"/>
      <c r="L113" s="20"/>
      <c r="M113" s="20"/>
      <c r="N113" s="115"/>
      <c r="O113" s="115"/>
      <c r="P113" s="115"/>
      <c r="Q113" s="115"/>
      <c r="R113" s="115"/>
      <c r="S113" s="20"/>
      <c r="T113" s="115"/>
      <c r="U113" s="21"/>
      <c r="V113" s="8"/>
      <c r="W113" s="8"/>
      <c r="X113" s="8"/>
      <c r="Y113" s="9">
        <v>20</v>
      </c>
      <c r="Z113" s="9">
        <v>35</v>
      </c>
      <c r="AA113" s="10">
        <f t="shared" si="7"/>
        <v>1</v>
      </c>
      <c r="AB113" s="10">
        <f t="shared" si="8"/>
        <v>0</v>
      </c>
      <c r="AC113" s="10">
        <f t="shared" si="9"/>
        <v>0</v>
      </c>
      <c r="AD113" s="11">
        <f t="shared" si="10"/>
        <v>100</v>
      </c>
    </row>
    <row r="114" spans="1:30" ht="12.75" x14ac:dyDescent="0.2">
      <c r="A114" s="156"/>
      <c r="B114" s="152"/>
      <c r="C114" s="138"/>
      <c r="D114" s="138"/>
      <c r="E114" s="138"/>
      <c r="F114" s="138"/>
      <c r="G114" s="138"/>
      <c r="H114" s="13" t="s">
        <v>40</v>
      </c>
      <c r="I114" s="13"/>
      <c r="J114" s="23"/>
      <c r="K114" s="13"/>
      <c r="L114" s="23"/>
      <c r="M114" s="23"/>
      <c r="N114" s="13"/>
      <c r="O114" s="13"/>
      <c r="P114" s="13"/>
      <c r="Q114" s="13"/>
      <c r="R114" s="13"/>
      <c r="S114" s="23"/>
      <c r="T114" s="13"/>
      <c r="U114" s="15"/>
      <c r="V114" s="16"/>
      <c r="W114" s="16"/>
      <c r="X114" s="16"/>
      <c r="Y114" s="17">
        <v>20</v>
      </c>
      <c r="Z114" s="17">
        <v>35</v>
      </c>
      <c r="AA114" s="18">
        <f t="shared" si="7"/>
        <v>1</v>
      </c>
      <c r="AB114" s="18">
        <f t="shared" si="8"/>
        <v>0</v>
      </c>
      <c r="AC114" s="18">
        <f t="shared" si="9"/>
        <v>0</v>
      </c>
      <c r="AD114" s="19">
        <f t="shared" si="10"/>
        <v>100</v>
      </c>
    </row>
    <row r="115" spans="1:30" ht="12.75" x14ac:dyDescent="0.2">
      <c r="A115" s="156"/>
      <c r="B115" s="152"/>
      <c r="C115" s="137"/>
      <c r="D115" s="141"/>
      <c r="E115" s="141"/>
      <c r="F115" s="141"/>
      <c r="G115" s="141"/>
      <c r="H115" s="115" t="s">
        <v>39</v>
      </c>
      <c r="I115" s="115"/>
      <c r="J115" s="20"/>
      <c r="K115" s="115"/>
      <c r="L115" s="20"/>
      <c r="M115" s="20"/>
      <c r="N115" s="115"/>
      <c r="O115" s="115"/>
      <c r="P115" s="115"/>
      <c r="Q115" s="115"/>
      <c r="R115" s="115"/>
      <c r="S115" s="20"/>
      <c r="T115" s="115"/>
      <c r="U115" s="21"/>
      <c r="V115" s="8"/>
      <c r="W115" s="8"/>
      <c r="X115" s="8"/>
      <c r="Y115" s="9">
        <v>20</v>
      </c>
      <c r="Z115" s="9">
        <v>35</v>
      </c>
      <c r="AA115" s="10">
        <f t="shared" si="7"/>
        <v>1</v>
      </c>
      <c r="AB115" s="10">
        <f t="shared" si="8"/>
        <v>0</v>
      </c>
      <c r="AC115" s="10">
        <f t="shared" si="9"/>
        <v>0</v>
      </c>
      <c r="AD115" s="11">
        <f t="shared" si="10"/>
        <v>100</v>
      </c>
    </row>
    <row r="116" spans="1:30" ht="12.75" x14ac:dyDescent="0.2">
      <c r="A116" s="156"/>
      <c r="B116" s="152"/>
      <c r="C116" s="138"/>
      <c r="D116" s="138"/>
      <c r="E116" s="138"/>
      <c r="F116" s="138"/>
      <c r="G116" s="138"/>
      <c r="H116" s="13" t="s">
        <v>40</v>
      </c>
      <c r="I116" s="13"/>
      <c r="J116" s="23"/>
      <c r="K116" s="13"/>
      <c r="L116" s="23"/>
      <c r="M116" s="23"/>
      <c r="N116" s="13"/>
      <c r="O116" s="13"/>
      <c r="P116" s="13"/>
      <c r="Q116" s="13"/>
      <c r="R116" s="13"/>
      <c r="S116" s="23"/>
      <c r="T116" s="13"/>
      <c r="U116" s="15"/>
      <c r="V116" s="16"/>
      <c r="W116" s="16"/>
      <c r="X116" s="16"/>
      <c r="Y116" s="17">
        <v>20</v>
      </c>
      <c r="Z116" s="17">
        <v>35</v>
      </c>
      <c r="AA116" s="18">
        <f t="shared" si="7"/>
        <v>1</v>
      </c>
      <c r="AB116" s="18">
        <f t="shared" si="8"/>
        <v>0</v>
      </c>
      <c r="AC116" s="18">
        <f t="shared" si="9"/>
        <v>0</v>
      </c>
      <c r="AD116" s="19">
        <f t="shared" si="10"/>
        <v>100</v>
      </c>
    </row>
    <row r="117" spans="1:30" ht="12.75" x14ac:dyDescent="0.2">
      <c r="A117" s="156"/>
      <c r="B117" s="152"/>
      <c r="C117" s="137"/>
      <c r="D117" s="141"/>
      <c r="E117" s="141"/>
      <c r="F117" s="141"/>
      <c r="G117" s="141"/>
      <c r="H117" s="115" t="s">
        <v>39</v>
      </c>
      <c r="I117" s="115"/>
      <c r="J117" s="20"/>
      <c r="K117" s="115"/>
      <c r="L117" s="20"/>
      <c r="M117" s="20"/>
      <c r="N117" s="115"/>
      <c r="O117" s="115"/>
      <c r="P117" s="115"/>
      <c r="Q117" s="115"/>
      <c r="R117" s="115"/>
      <c r="S117" s="20"/>
      <c r="T117" s="115"/>
      <c r="U117" s="21"/>
      <c r="V117" s="8"/>
      <c r="W117" s="8"/>
      <c r="X117" s="8"/>
      <c r="Y117" s="9">
        <v>20</v>
      </c>
      <c r="Z117" s="9">
        <v>35</v>
      </c>
      <c r="AA117" s="10">
        <f t="shared" si="7"/>
        <v>1</v>
      </c>
      <c r="AB117" s="10">
        <f t="shared" si="8"/>
        <v>0</v>
      </c>
      <c r="AC117" s="10">
        <f t="shared" si="9"/>
        <v>0</v>
      </c>
      <c r="AD117" s="11">
        <f t="shared" si="10"/>
        <v>100</v>
      </c>
    </row>
    <row r="118" spans="1:30" ht="12.75" x14ac:dyDescent="0.2">
      <c r="A118" s="156"/>
      <c r="B118" s="152"/>
      <c r="C118" s="138"/>
      <c r="D118" s="138"/>
      <c r="E118" s="138"/>
      <c r="F118" s="138"/>
      <c r="G118" s="138"/>
      <c r="H118" s="13" t="s">
        <v>40</v>
      </c>
      <c r="I118" s="13"/>
      <c r="J118" s="23"/>
      <c r="K118" s="13"/>
      <c r="L118" s="23"/>
      <c r="M118" s="23"/>
      <c r="N118" s="13"/>
      <c r="O118" s="13"/>
      <c r="P118" s="13"/>
      <c r="Q118" s="13"/>
      <c r="R118" s="13"/>
      <c r="S118" s="23"/>
      <c r="T118" s="13"/>
      <c r="U118" s="15"/>
      <c r="V118" s="16"/>
      <c r="W118" s="16"/>
      <c r="X118" s="16"/>
      <c r="Y118" s="17">
        <v>20</v>
      </c>
      <c r="Z118" s="17">
        <v>35</v>
      </c>
      <c r="AA118" s="18">
        <f t="shared" si="7"/>
        <v>1</v>
      </c>
      <c r="AB118" s="18">
        <f t="shared" si="8"/>
        <v>0</v>
      </c>
      <c r="AC118" s="18">
        <f t="shared" si="9"/>
        <v>0</v>
      </c>
      <c r="AD118" s="19">
        <f t="shared" si="10"/>
        <v>100</v>
      </c>
    </row>
    <row r="119" spans="1:30" ht="12.75" x14ac:dyDescent="0.2">
      <c r="A119" s="156"/>
      <c r="B119" s="152"/>
      <c r="C119" s="137"/>
      <c r="D119" s="141"/>
      <c r="E119" s="141"/>
      <c r="F119" s="141"/>
      <c r="G119" s="141"/>
      <c r="H119" s="115" t="s">
        <v>39</v>
      </c>
      <c r="I119" s="115"/>
      <c r="J119" s="20"/>
      <c r="K119" s="115"/>
      <c r="L119" s="20"/>
      <c r="M119" s="20"/>
      <c r="N119" s="115"/>
      <c r="O119" s="115"/>
      <c r="P119" s="115"/>
      <c r="Q119" s="115"/>
      <c r="R119" s="115"/>
      <c r="S119" s="20"/>
      <c r="T119" s="115"/>
      <c r="U119" s="21"/>
      <c r="V119" s="8"/>
      <c r="W119" s="8"/>
      <c r="X119" s="8"/>
      <c r="Y119" s="9">
        <v>20</v>
      </c>
      <c r="Z119" s="9">
        <v>35</v>
      </c>
      <c r="AA119" s="10">
        <f t="shared" si="7"/>
        <v>1</v>
      </c>
      <c r="AB119" s="10">
        <f t="shared" si="8"/>
        <v>0</v>
      </c>
      <c r="AC119" s="10">
        <f t="shared" si="9"/>
        <v>0</v>
      </c>
      <c r="AD119" s="11">
        <f t="shared" si="10"/>
        <v>100</v>
      </c>
    </row>
    <row r="120" spans="1:30" ht="12.75" x14ac:dyDescent="0.2">
      <c r="A120" s="156"/>
      <c r="B120" s="152"/>
      <c r="C120" s="138"/>
      <c r="D120" s="138"/>
      <c r="E120" s="138"/>
      <c r="F120" s="138"/>
      <c r="G120" s="138"/>
      <c r="H120" s="13" t="s">
        <v>40</v>
      </c>
      <c r="I120" s="13"/>
      <c r="J120" s="23"/>
      <c r="K120" s="13"/>
      <c r="L120" s="23"/>
      <c r="M120" s="23"/>
      <c r="N120" s="13"/>
      <c r="O120" s="13"/>
      <c r="P120" s="13"/>
      <c r="Q120" s="13"/>
      <c r="R120" s="13"/>
      <c r="S120" s="23"/>
      <c r="T120" s="13"/>
      <c r="U120" s="15"/>
      <c r="V120" s="16"/>
      <c r="W120" s="16"/>
      <c r="X120" s="16"/>
      <c r="Y120" s="17">
        <v>20</v>
      </c>
      <c r="Z120" s="17">
        <v>35</v>
      </c>
      <c r="AA120" s="18">
        <f t="shared" si="7"/>
        <v>1</v>
      </c>
      <c r="AB120" s="18">
        <f t="shared" si="8"/>
        <v>0</v>
      </c>
      <c r="AC120" s="18">
        <f t="shared" si="9"/>
        <v>0</v>
      </c>
      <c r="AD120" s="19">
        <f t="shared" si="10"/>
        <v>100</v>
      </c>
    </row>
    <row r="121" spans="1:30" ht="12.75" x14ac:dyDescent="0.2">
      <c r="A121" s="156"/>
      <c r="B121" s="152"/>
      <c r="C121" s="137"/>
      <c r="D121" s="141"/>
      <c r="E121" s="141"/>
      <c r="F121" s="141"/>
      <c r="G121" s="141"/>
      <c r="H121" s="115" t="s">
        <v>39</v>
      </c>
      <c r="I121" s="115"/>
      <c r="J121" s="20"/>
      <c r="K121" s="115"/>
      <c r="L121" s="20"/>
      <c r="M121" s="20"/>
      <c r="N121" s="115"/>
      <c r="O121" s="115"/>
      <c r="P121" s="115"/>
      <c r="Q121" s="115"/>
      <c r="R121" s="115"/>
      <c r="S121" s="20"/>
      <c r="T121" s="115"/>
      <c r="U121" s="21"/>
      <c r="V121" s="8"/>
      <c r="W121" s="8"/>
      <c r="X121" s="8"/>
      <c r="Y121" s="9">
        <v>20</v>
      </c>
      <c r="Z121" s="9">
        <v>35</v>
      </c>
      <c r="AA121" s="10">
        <f t="shared" si="7"/>
        <v>1</v>
      </c>
      <c r="AB121" s="10">
        <f t="shared" si="8"/>
        <v>0</v>
      </c>
      <c r="AC121" s="10">
        <f t="shared" si="9"/>
        <v>0</v>
      </c>
      <c r="AD121" s="11">
        <f t="shared" si="10"/>
        <v>100</v>
      </c>
    </row>
    <row r="122" spans="1:30" ht="12.75" x14ac:dyDescent="0.2">
      <c r="A122" s="156"/>
      <c r="B122" s="152"/>
      <c r="C122" s="138"/>
      <c r="D122" s="138"/>
      <c r="E122" s="138"/>
      <c r="F122" s="138"/>
      <c r="G122" s="138"/>
      <c r="H122" s="13" t="s">
        <v>40</v>
      </c>
      <c r="I122" s="13"/>
      <c r="J122" s="23"/>
      <c r="K122" s="13"/>
      <c r="L122" s="23"/>
      <c r="M122" s="23"/>
      <c r="N122" s="13"/>
      <c r="O122" s="13"/>
      <c r="P122" s="13"/>
      <c r="Q122" s="13"/>
      <c r="R122" s="13"/>
      <c r="S122" s="23"/>
      <c r="T122" s="13"/>
      <c r="U122" s="15"/>
      <c r="V122" s="16"/>
      <c r="W122" s="16"/>
      <c r="X122" s="16"/>
      <c r="Y122" s="17">
        <v>20</v>
      </c>
      <c r="Z122" s="17">
        <v>35</v>
      </c>
      <c r="AA122" s="18">
        <f t="shared" si="7"/>
        <v>1</v>
      </c>
      <c r="AB122" s="18">
        <f t="shared" si="8"/>
        <v>0</v>
      </c>
      <c r="AC122" s="18">
        <f t="shared" si="9"/>
        <v>0</v>
      </c>
      <c r="AD122" s="19">
        <f t="shared" si="10"/>
        <v>100</v>
      </c>
    </row>
    <row r="123" spans="1:30" ht="12.75" x14ac:dyDescent="0.2">
      <c r="A123" s="156"/>
      <c r="B123" s="152"/>
      <c r="C123" s="137"/>
      <c r="D123" s="141"/>
      <c r="E123" s="141"/>
      <c r="F123" s="141"/>
      <c r="G123" s="141"/>
      <c r="H123" s="115" t="s">
        <v>39</v>
      </c>
      <c r="I123" s="115"/>
      <c r="J123" s="20"/>
      <c r="K123" s="115"/>
      <c r="L123" s="20"/>
      <c r="M123" s="20"/>
      <c r="N123" s="115"/>
      <c r="O123" s="115"/>
      <c r="P123" s="115"/>
      <c r="Q123" s="115"/>
      <c r="R123" s="115"/>
      <c r="S123" s="20"/>
      <c r="T123" s="115"/>
      <c r="U123" s="21"/>
      <c r="V123" s="8"/>
      <c r="W123" s="8"/>
      <c r="X123" s="8"/>
      <c r="Y123" s="9">
        <v>20</v>
      </c>
      <c r="Z123" s="9">
        <v>35</v>
      </c>
      <c r="AA123" s="10">
        <f t="shared" si="7"/>
        <v>1</v>
      </c>
      <c r="AB123" s="10">
        <f t="shared" si="8"/>
        <v>0</v>
      </c>
      <c r="AC123" s="10">
        <f t="shared" si="9"/>
        <v>0</v>
      </c>
      <c r="AD123" s="11">
        <f t="shared" si="10"/>
        <v>100</v>
      </c>
    </row>
    <row r="124" spans="1:30" ht="12.75" x14ac:dyDescent="0.2">
      <c r="A124" s="156"/>
      <c r="B124" s="152"/>
      <c r="C124" s="138"/>
      <c r="D124" s="138"/>
      <c r="E124" s="138"/>
      <c r="F124" s="138"/>
      <c r="G124" s="138"/>
      <c r="H124" s="13" t="s">
        <v>40</v>
      </c>
      <c r="I124" s="13"/>
      <c r="J124" s="23"/>
      <c r="K124" s="13"/>
      <c r="L124" s="23"/>
      <c r="M124" s="23"/>
      <c r="N124" s="13"/>
      <c r="O124" s="13"/>
      <c r="P124" s="13"/>
      <c r="Q124" s="13"/>
      <c r="R124" s="13"/>
      <c r="S124" s="23"/>
      <c r="T124" s="13"/>
      <c r="U124" s="15"/>
      <c r="V124" s="16"/>
      <c r="W124" s="16"/>
      <c r="X124" s="16"/>
      <c r="Y124" s="17">
        <v>20</v>
      </c>
      <c r="Z124" s="17">
        <v>35</v>
      </c>
      <c r="AA124" s="18">
        <f t="shared" si="7"/>
        <v>1</v>
      </c>
      <c r="AB124" s="18">
        <f t="shared" si="8"/>
        <v>0</v>
      </c>
      <c r="AC124" s="18">
        <f t="shared" si="9"/>
        <v>0</v>
      </c>
      <c r="AD124" s="19">
        <f t="shared" si="10"/>
        <v>100</v>
      </c>
    </row>
    <row r="125" spans="1:30" ht="12.75" x14ac:dyDescent="0.2">
      <c r="A125" s="156"/>
      <c r="B125" s="152"/>
      <c r="C125" s="137"/>
      <c r="D125" s="141"/>
      <c r="E125" s="141"/>
      <c r="F125" s="141"/>
      <c r="G125" s="141"/>
      <c r="H125" s="115" t="s">
        <v>39</v>
      </c>
      <c r="I125" s="115"/>
      <c r="J125" s="20"/>
      <c r="K125" s="115"/>
      <c r="L125" s="20"/>
      <c r="M125" s="20"/>
      <c r="N125" s="115"/>
      <c r="O125" s="115"/>
      <c r="P125" s="115"/>
      <c r="Q125" s="115"/>
      <c r="R125" s="115"/>
      <c r="S125" s="20"/>
      <c r="T125" s="115"/>
      <c r="U125" s="21"/>
      <c r="V125" s="8"/>
      <c r="W125" s="8"/>
      <c r="X125" s="8"/>
      <c r="Y125" s="9">
        <v>20</v>
      </c>
      <c r="Z125" s="9">
        <v>35</v>
      </c>
      <c r="AA125" s="10">
        <f t="shared" si="7"/>
        <v>1</v>
      </c>
      <c r="AB125" s="10">
        <f t="shared" si="8"/>
        <v>0</v>
      </c>
      <c r="AC125" s="10">
        <f t="shared" si="9"/>
        <v>0</v>
      </c>
      <c r="AD125" s="11">
        <f t="shared" si="10"/>
        <v>100</v>
      </c>
    </row>
    <row r="126" spans="1:30" ht="12.75" x14ac:dyDescent="0.2">
      <c r="A126" s="156"/>
      <c r="B126" s="152"/>
      <c r="C126" s="138"/>
      <c r="D126" s="138"/>
      <c r="E126" s="138"/>
      <c r="F126" s="138"/>
      <c r="G126" s="138"/>
      <c r="H126" s="13" t="s">
        <v>40</v>
      </c>
      <c r="I126" s="13"/>
      <c r="J126" s="23"/>
      <c r="K126" s="13"/>
      <c r="L126" s="23"/>
      <c r="M126" s="23"/>
      <c r="N126" s="13"/>
      <c r="O126" s="13"/>
      <c r="P126" s="13"/>
      <c r="Q126" s="13"/>
      <c r="R126" s="13"/>
      <c r="S126" s="23"/>
      <c r="T126" s="13"/>
      <c r="U126" s="15"/>
      <c r="V126" s="16"/>
      <c r="W126" s="16"/>
      <c r="X126" s="16"/>
      <c r="Y126" s="17">
        <v>20</v>
      </c>
      <c r="Z126" s="17">
        <v>35</v>
      </c>
      <c r="AA126" s="18">
        <f t="shared" si="7"/>
        <v>1</v>
      </c>
      <c r="AB126" s="18">
        <f t="shared" si="8"/>
        <v>0</v>
      </c>
      <c r="AC126" s="18">
        <f t="shared" si="9"/>
        <v>0</v>
      </c>
      <c r="AD126" s="19">
        <f t="shared" si="10"/>
        <v>100</v>
      </c>
    </row>
    <row r="127" spans="1:30" ht="12.75" x14ac:dyDescent="0.2">
      <c r="A127" s="156"/>
      <c r="B127" s="152"/>
      <c r="C127" s="137"/>
      <c r="D127" s="141"/>
      <c r="E127" s="141"/>
      <c r="F127" s="141"/>
      <c r="G127" s="141"/>
      <c r="H127" s="115" t="s">
        <v>39</v>
      </c>
      <c r="I127" s="115"/>
      <c r="J127" s="20"/>
      <c r="K127" s="115"/>
      <c r="L127" s="20"/>
      <c r="M127" s="20"/>
      <c r="N127" s="115"/>
      <c r="O127" s="115"/>
      <c r="P127" s="115"/>
      <c r="Q127" s="115"/>
      <c r="R127" s="115"/>
      <c r="S127" s="20"/>
      <c r="T127" s="115"/>
      <c r="U127" s="21"/>
      <c r="V127" s="8"/>
      <c r="W127" s="8"/>
      <c r="X127" s="8"/>
      <c r="Y127" s="9">
        <v>20</v>
      </c>
      <c r="Z127" s="9">
        <v>35</v>
      </c>
      <c r="AA127" s="10">
        <f t="shared" si="7"/>
        <v>1</v>
      </c>
      <c r="AB127" s="10">
        <f t="shared" si="8"/>
        <v>0</v>
      </c>
      <c r="AC127" s="10">
        <f t="shared" si="9"/>
        <v>0</v>
      </c>
      <c r="AD127" s="11">
        <f t="shared" si="10"/>
        <v>100</v>
      </c>
    </row>
    <row r="128" spans="1:30" ht="12.75" x14ac:dyDescent="0.2">
      <c r="A128" s="156"/>
      <c r="B128" s="152"/>
      <c r="C128" s="138"/>
      <c r="D128" s="138"/>
      <c r="E128" s="138"/>
      <c r="F128" s="138"/>
      <c r="G128" s="138"/>
      <c r="H128" s="13" t="s">
        <v>40</v>
      </c>
      <c r="I128" s="13"/>
      <c r="J128" s="23"/>
      <c r="K128" s="13"/>
      <c r="L128" s="23"/>
      <c r="M128" s="23"/>
      <c r="N128" s="13"/>
      <c r="O128" s="13"/>
      <c r="P128" s="13"/>
      <c r="Q128" s="13"/>
      <c r="R128" s="13"/>
      <c r="S128" s="23"/>
      <c r="T128" s="13"/>
      <c r="U128" s="15"/>
      <c r="V128" s="16"/>
      <c r="W128" s="16"/>
      <c r="X128" s="16"/>
      <c r="Y128" s="17">
        <v>20</v>
      </c>
      <c r="Z128" s="17">
        <v>35</v>
      </c>
      <c r="AA128" s="18">
        <f t="shared" si="7"/>
        <v>1</v>
      </c>
      <c r="AB128" s="18">
        <f t="shared" si="8"/>
        <v>0</v>
      </c>
      <c r="AC128" s="18">
        <f t="shared" si="9"/>
        <v>0</v>
      </c>
      <c r="AD128" s="19">
        <f t="shared" si="10"/>
        <v>100</v>
      </c>
    </row>
    <row r="129" spans="1:30" ht="12.75" x14ac:dyDescent="0.2">
      <c r="A129" s="156"/>
      <c r="B129" s="152"/>
      <c r="C129" s="137"/>
      <c r="D129" s="141"/>
      <c r="E129" s="141"/>
      <c r="F129" s="141"/>
      <c r="G129" s="141"/>
      <c r="H129" s="115" t="s">
        <v>39</v>
      </c>
      <c r="I129" s="115"/>
      <c r="J129" s="20"/>
      <c r="K129" s="115"/>
      <c r="L129" s="20"/>
      <c r="M129" s="20"/>
      <c r="N129" s="115"/>
      <c r="O129" s="115"/>
      <c r="P129" s="115"/>
      <c r="Q129" s="115"/>
      <c r="R129" s="115"/>
      <c r="S129" s="20"/>
      <c r="T129" s="115"/>
      <c r="U129" s="21"/>
      <c r="V129" s="8"/>
      <c r="W129" s="8"/>
      <c r="X129" s="8"/>
      <c r="Y129" s="9">
        <v>20</v>
      </c>
      <c r="Z129" s="9">
        <v>35</v>
      </c>
      <c r="AA129" s="10">
        <f t="shared" ref="AA129:AA192" si="11">21/(21-L129)</f>
        <v>1</v>
      </c>
      <c r="AB129" s="10">
        <f t="shared" ref="AB129:AB192" si="12">((J129 - S129) / (J129 - Y129)) * (1 / AA129) * 1.88 * (K129 + L129)</f>
        <v>0</v>
      </c>
      <c r="AC129" s="10">
        <f t="shared" ref="AC129:AC192" si="13">(M129 / 100) * Z129</f>
        <v>0</v>
      </c>
      <c r="AD129" s="11">
        <f t="shared" ref="AD129:AD192" si="14">100 - (AB129 + AC129)</f>
        <v>100</v>
      </c>
    </row>
    <row r="130" spans="1:30" ht="12.75" x14ac:dyDescent="0.2">
      <c r="A130" s="156"/>
      <c r="B130" s="152"/>
      <c r="C130" s="138"/>
      <c r="D130" s="138"/>
      <c r="E130" s="138"/>
      <c r="F130" s="138"/>
      <c r="G130" s="138"/>
      <c r="H130" s="13" t="s">
        <v>40</v>
      </c>
      <c r="I130" s="13"/>
      <c r="J130" s="23"/>
      <c r="K130" s="13"/>
      <c r="L130" s="23"/>
      <c r="M130" s="23"/>
      <c r="N130" s="13"/>
      <c r="O130" s="13"/>
      <c r="P130" s="13"/>
      <c r="Q130" s="13"/>
      <c r="R130" s="13"/>
      <c r="S130" s="23"/>
      <c r="T130" s="13"/>
      <c r="U130" s="15"/>
      <c r="V130" s="16"/>
      <c r="W130" s="16"/>
      <c r="X130" s="16"/>
      <c r="Y130" s="17">
        <v>20</v>
      </c>
      <c r="Z130" s="17">
        <v>35</v>
      </c>
      <c r="AA130" s="18">
        <f t="shared" si="11"/>
        <v>1</v>
      </c>
      <c r="AB130" s="18">
        <f t="shared" si="12"/>
        <v>0</v>
      </c>
      <c r="AC130" s="18">
        <f t="shared" si="13"/>
        <v>0</v>
      </c>
      <c r="AD130" s="19">
        <f t="shared" si="14"/>
        <v>100</v>
      </c>
    </row>
    <row r="131" spans="1:30" ht="12.75" x14ac:dyDescent="0.2">
      <c r="A131" s="156"/>
      <c r="B131" s="152"/>
      <c r="C131" s="137"/>
      <c r="D131" s="141"/>
      <c r="E131" s="141"/>
      <c r="F131" s="141"/>
      <c r="G131" s="141"/>
      <c r="H131" s="115" t="s">
        <v>39</v>
      </c>
      <c r="I131" s="115"/>
      <c r="J131" s="20"/>
      <c r="K131" s="115"/>
      <c r="L131" s="20"/>
      <c r="M131" s="20"/>
      <c r="N131" s="115"/>
      <c r="O131" s="115"/>
      <c r="P131" s="115"/>
      <c r="Q131" s="115"/>
      <c r="R131" s="115"/>
      <c r="S131" s="20"/>
      <c r="T131" s="115"/>
      <c r="U131" s="21"/>
      <c r="V131" s="8"/>
      <c r="W131" s="8"/>
      <c r="X131" s="8"/>
      <c r="Y131" s="9">
        <v>20</v>
      </c>
      <c r="Z131" s="9">
        <v>35</v>
      </c>
      <c r="AA131" s="10">
        <f t="shared" si="11"/>
        <v>1</v>
      </c>
      <c r="AB131" s="10">
        <f t="shared" si="12"/>
        <v>0</v>
      </c>
      <c r="AC131" s="10">
        <f t="shared" si="13"/>
        <v>0</v>
      </c>
      <c r="AD131" s="11">
        <f t="shared" si="14"/>
        <v>100</v>
      </c>
    </row>
    <row r="132" spans="1:30" ht="12.75" x14ac:dyDescent="0.2">
      <c r="A132" s="156"/>
      <c r="B132" s="152"/>
      <c r="C132" s="138"/>
      <c r="D132" s="138"/>
      <c r="E132" s="138"/>
      <c r="F132" s="138"/>
      <c r="G132" s="138"/>
      <c r="H132" s="13" t="s">
        <v>40</v>
      </c>
      <c r="I132" s="13"/>
      <c r="J132" s="23"/>
      <c r="K132" s="13"/>
      <c r="L132" s="23"/>
      <c r="M132" s="23"/>
      <c r="N132" s="13"/>
      <c r="O132" s="13"/>
      <c r="P132" s="13"/>
      <c r="Q132" s="13"/>
      <c r="R132" s="13"/>
      <c r="S132" s="23"/>
      <c r="T132" s="13"/>
      <c r="U132" s="15"/>
      <c r="V132" s="16"/>
      <c r="W132" s="16"/>
      <c r="X132" s="16"/>
      <c r="Y132" s="17">
        <v>20</v>
      </c>
      <c r="Z132" s="17">
        <v>35</v>
      </c>
      <c r="AA132" s="18">
        <f t="shared" si="11"/>
        <v>1</v>
      </c>
      <c r="AB132" s="18">
        <f t="shared" si="12"/>
        <v>0</v>
      </c>
      <c r="AC132" s="18">
        <f t="shared" si="13"/>
        <v>0</v>
      </c>
      <c r="AD132" s="19">
        <f t="shared" si="14"/>
        <v>100</v>
      </c>
    </row>
    <row r="133" spans="1:30" ht="12.75" x14ac:dyDescent="0.2">
      <c r="A133" s="156"/>
      <c r="B133" s="152"/>
      <c r="C133" s="137"/>
      <c r="D133" s="141"/>
      <c r="E133" s="141"/>
      <c r="F133" s="141"/>
      <c r="G133" s="141"/>
      <c r="H133" s="115" t="s">
        <v>39</v>
      </c>
      <c r="I133" s="115"/>
      <c r="J133" s="20"/>
      <c r="K133" s="115"/>
      <c r="L133" s="20"/>
      <c r="M133" s="20"/>
      <c r="N133" s="115"/>
      <c r="O133" s="115"/>
      <c r="P133" s="115"/>
      <c r="Q133" s="115"/>
      <c r="R133" s="115"/>
      <c r="S133" s="20"/>
      <c r="T133" s="115"/>
      <c r="U133" s="21"/>
      <c r="V133" s="8"/>
      <c r="W133" s="8"/>
      <c r="X133" s="8"/>
      <c r="Y133" s="9">
        <v>20</v>
      </c>
      <c r="Z133" s="9">
        <v>35</v>
      </c>
      <c r="AA133" s="10">
        <f t="shared" si="11"/>
        <v>1</v>
      </c>
      <c r="AB133" s="10">
        <f t="shared" si="12"/>
        <v>0</v>
      </c>
      <c r="AC133" s="10">
        <f t="shared" si="13"/>
        <v>0</v>
      </c>
      <c r="AD133" s="11">
        <f t="shared" si="14"/>
        <v>100</v>
      </c>
    </row>
    <row r="134" spans="1:30" ht="12.75" x14ac:dyDescent="0.2">
      <c r="A134" s="156"/>
      <c r="B134" s="152"/>
      <c r="C134" s="138"/>
      <c r="D134" s="138"/>
      <c r="E134" s="138"/>
      <c r="F134" s="138"/>
      <c r="G134" s="138"/>
      <c r="H134" s="13" t="s">
        <v>40</v>
      </c>
      <c r="I134" s="13"/>
      <c r="J134" s="23"/>
      <c r="K134" s="13"/>
      <c r="L134" s="23"/>
      <c r="M134" s="23"/>
      <c r="N134" s="13"/>
      <c r="O134" s="13"/>
      <c r="P134" s="13"/>
      <c r="Q134" s="13"/>
      <c r="R134" s="13"/>
      <c r="S134" s="23"/>
      <c r="T134" s="13"/>
      <c r="U134" s="15"/>
      <c r="V134" s="16"/>
      <c r="W134" s="16"/>
      <c r="X134" s="16"/>
      <c r="Y134" s="17">
        <v>20</v>
      </c>
      <c r="Z134" s="17">
        <v>35</v>
      </c>
      <c r="AA134" s="18">
        <f t="shared" si="11"/>
        <v>1</v>
      </c>
      <c r="AB134" s="18">
        <f t="shared" si="12"/>
        <v>0</v>
      </c>
      <c r="AC134" s="18">
        <f t="shared" si="13"/>
        <v>0</v>
      </c>
      <c r="AD134" s="19">
        <f t="shared" si="14"/>
        <v>100</v>
      </c>
    </row>
    <row r="135" spans="1:30" ht="12.75" x14ac:dyDescent="0.2">
      <c r="A135" s="156"/>
      <c r="B135" s="152"/>
      <c r="C135" s="137"/>
      <c r="D135" s="141"/>
      <c r="E135" s="141"/>
      <c r="F135" s="141"/>
      <c r="G135" s="141"/>
      <c r="H135" s="115" t="s">
        <v>39</v>
      </c>
      <c r="I135" s="115"/>
      <c r="J135" s="20"/>
      <c r="K135" s="115"/>
      <c r="L135" s="20"/>
      <c r="M135" s="20"/>
      <c r="N135" s="115"/>
      <c r="O135" s="115"/>
      <c r="P135" s="115"/>
      <c r="Q135" s="115"/>
      <c r="R135" s="115"/>
      <c r="S135" s="20"/>
      <c r="T135" s="115"/>
      <c r="U135" s="21"/>
      <c r="V135" s="8"/>
      <c r="W135" s="8"/>
      <c r="X135" s="8"/>
      <c r="Y135" s="9">
        <v>20</v>
      </c>
      <c r="Z135" s="9">
        <v>35</v>
      </c>
      <c r="AA135" s="10">
        <f t="shared" si="11"/>
        <v>1</v>
      </c>
      <c r="AB135" s="10">
        <f t="shared" si="12"/>
        <v>0</v>
      </c>
      <c r="AC135" s="10">
        <f t="shared" si="13"/>
        <v>0</v>
      </c>
      <c r="AD135" s="11">
        <f t="shared" si="14"/>
        <v>100</v>
      </c>
    </row>
    <row r="136" spans="1:30" ht="12.75" x14ac:dyDescent="0.2">
      <c r="A136" s="156"/>
      <c r="B136" s="152"/>
      <c r="C136" s="138"/>
      <c r="D136" s="138"/>
      <c r="E136" s="138"/>
      <c r="F136" s="138"/>
      <c r="G136" s="138"/>
      <c r="H136" s="13" t="s">
        <v>40</v>
      </c>
      <c r="I136" s="13"/>
      <c r="J136" s="23"/>
      <c r="K136" s="13"/>
      <c r="L136" s="23"/>
      <c r="M136" s="23"/>
      <c r="N136" s="13"/>
      <c r="O136" s="13"/>
      <c r="P136" s="13"/>
      <c r="Q136" s="13"/>
      <c r="R136" s="13"/>
      <c r="S136" s="23"/>
      <c r="T136" s="13"/>
      <c r="U136" s="15"/>
      <c r="V136" s="16"/>
      <c r="W136" s="16"/>
      <c r="X136" s="16"/>
      <c r="Y136" s="17">
        <v>20</v>
      </c>
      <c r="Z136" s="17">
        <v>35</v>
      </c>
      <c r="AA136" s="18">
        <f t="shared" si="11"/>
        <v>1</v>
      </c>
      <c r="AB136" s="18">
        <f t="shared" si="12"/>
        <v>0</v>
      </c>
      <c r="AC136" s="18">
        <f t="shared" si="13"/>
        <v>0</v>
      </c>
      <c r="AD136" s="19">
        <f t="shared" si="14"/>
        <v>100</v>
      </c>
    </row>
    <row r="137" spans="1:30" ht="12.75" x14ac:dyDescent="0.2">
      <c r="A137" s="156"/>
      <c r="B137" s="152"/>
      <c r="C137" s="137"/>
      <c r="D137" s="141"/>
      <c r="E137" s="141"/>
      <c r="F137" s="141"/>
      <c r="G137" s="141"/>
      <c r="H137" s="115" t="s">
        <v>39</v>
      </c>
      <c r="I137" s="115"/>
      <c r="J137" s="20"/>
      <c r="K137" s="115"/>
      <c r="L137" s="20"/>
      <c r="M137" s="20"/>
      <c r="N137" s="115"/>
      <c r="O137" s="115"/>
      <c r="P137" s="115"/>
      <c r="Q137" s="115"/>
      <c r="R137" s="115"/>
      <c r="S137" s="20"/>
      <c r="T137" s="115"/>
      <c r="U137" s="21"/>
      <c r="V137" s="8"/>
      <c r="W137" s="8"/>
      <c r="X137" s="8"/>
      <c r="Y137" s="9">
        <v>20</v>
      </c>
      <c r="Z137" s="9">
        <v>35</v>
      </c>
      <c r="AA137" s="10">
        <f t="shared" si="11"/>
        <v>1</v>
      </c>
      <c r="AB137" s="10">
        <f t="shared" si="12"/>
        <v>0</v>
      </c>
      <c r="AC137" s="10">
        <f t="shared" si="13"/>
        <v>0</v>
      </c>
      <c r="AD137" s="11">
        <f t="shared" si="14"/>
        <v>100</v>
      </c>
    </row>
    <row r="138" spans="1:30" ht="12.75" x14ac:dyDescent="0.2">
      <c r="A138" s="156"/>
      <c r="B138" s="152"/>
      <c r="C138" s="138"/>
      <c r="D138" s="138"/>
      <c r="E138" s="138"/>
      <c r="F138" s="138"/>
      <c r="G138" s="138"/>
      <c r="H138" s="13" t="s">
        <v>40</v>
      </c>
      <c r="I138" s="13"/>
      <c r="J138" s="23"/>
      <c r="K138" s="13"/>
      <c r="L138" s="23"/>
      <c r="M138" s="23"/>
      <c r="N138" s="13"/>
      <c r="O138" s="13"/>
      <c r="P138" s="13"/>
      <c r="Q138" s="13"/>
      <c r="R138" s="13"/>
      <c r="S138" s="23"/>
      <c r="T138" s="13"/>
      <c r="U138" s="15"/>
      <c r="V138" s="16"/>
      <c r="W138" s="16"/>
      <c r="X138" s="16"/>
      <c r="Y138" s="17">
        <v>20</v>
      </c>
      <c r="Z138" s="17">
        <v>35</v>
      </c>
      <c r="AA138" s="18">
        <f t="shared" si="11"/>
        <v>1</v>
      </c>
      <c r="AB138" s="18">
        <f t="shared" si="12"/>
        <v>0</v>
      </c>
      <c r="AC138" s="18">
        <f t="shared" si="13"/>
        <v>0</v>
      </c>
      <c r="AD138" s="19">
        <f t="shared" si="14"/>
        <v>100</v>
      </c>
    </row>
    <row r="139" spans="1:30" ht="12.75" x14ac:dyDescent="0.2">
      <c r="A139" s="156"/>
      <c r="B139" s="152"/>
      <c r="C139" s="137"/>
      <c r="D139" s="141"/>
      <c r="E139" s="141"/>
      <c r="F139" s="141"/>
      <c r="G139" s="141"/>
      <c r="H139" s="115" t="s">
        <v>39</v>
      </c>
      <c r="I139" s="115"/>
      <c r="J139" s="20"/>
      <c r="K139" s="115"/>
      <c r="L139" s="20"/>
      <c r="M139" s="20"/>
      <c r="N139" s="115"/>
      <c r="O139" s="115"/>
      <c r="P139" s="115"/>
      <c r="Q139" s="115"/>
      <c r="R139" s="115"/>
      <c r="S139" s="20"/>
      <c r="T139" s="115"/>
      <c r="U139" s="21"/>
      <c r="V139" s="8"/>
      <c r="W139" s="8"/>
      <c r="X139" s="8"/>
      <c r="Y139" s="9">
        <v>20</v>
      </c>
      <c r="Z139" s="9">
        <v>35</v>
      </c>
      <c r="AA139" s="10">
        <f t="shared" si="11"/>
        <v>1</v>
      </c>
      <c r="AB139" s="10">
        <f t="shared" si="12"/>
        <v>0</v>
      </c>
      <c r="AC139" s="10">
        <f t="shared" si="13"/>
        <v>0</v>
      </c>
      <c r="AD139" s="11">
        <f t="shared" si="14"/>
        <v>100</v>
      </c>
    </row>
    <row r="140" spans="1:30" ht="12.75" x14ac:dyDescent="0.2">
      <c r="A140" s="156"/>
      <c r="B140" s="152"/>
      <c r="C140" s="138"/>
      <c r="D140" s="138"/>
      <c r="E140" s="138"/>
      <c r="F140" s="138"/>
      <c r="G140" s="138"/>
      <c r="H140" s="13" t="s">
        <v>40</v>
      </c>
      <c r="I140" s="13"/>
      <c r="J140" s="23"/>
      <c r="K140" s="13"/>
      <c r="L140" s="23"/>
      <c r="M140" s="23"/>
      <c r="N140" s="13"/>
      <c r="O140" s="13"/>
      <c r="P140" s="13"/>
      <c r="Q140" s="13"/>
      <c r="R140" s="13"/>
      <c r="S140" s="23"/>
      <c r="T140" s="13"/>
      <c r="U140" s="15"/>
      <c r="V140" s="16"/>
      <c r="W140" s="16"/>
      <c r="X140" s="16"/>
      <c r="Y140" s="17">
        <v>20</v>
      </c>
      <c r="Z140" s="17">
        <v>35</v>
      </c>
      <c r="AA140" s="18">
        <f t="shared" si="11"/>
        <v>1</v>
      </c>
      <c r="AB140" s="18">
        <f t="shared" si="12"/>
        <v>0</v>
      </c>
      <c r="AC140" s="18">
        <f t="shared" si="13"/>
        <v>0</v>
      </c>
      <c r="AD140" s="19">
        <f t="shared" si="14"/>
        <v>100</v>
      </c>
    </row>
    <row r="141" spans="1:30" ht="12.75" x14ac:dyDescent="0.2">
      <c r="A141" s="156"/>
      <c r="B141" s="152"/>
      <c r="C141" s="137"/>
      <c r="D141" s="141"/>
      <c r="E141" s="141"/>
      <c r="F141" s="141"/>
      <c r="G141" s="141"/>
      <c r="H141" s="115" t="s">
        <v>39</v>
      </c>
      <c r="I141" s="115"/>
      <c r="J141" s="20"/>
      <c r="K141" s="115"/>
      <c r="L141" s="20"/>
      <c r="M141" s="20"/>
      <c r="N141" s="115"/>
      <c r="O141" s="115"/>
      <c r="P141" s="115"/>
      <c r="Q141" s="115"/>
      <c r="R141" s="115"/>
      <c r="S141" s="20"/>
      <c r="T141" s="115"/>
      <c r="U141" s="21"/>
      <c r="V141" s="8"/>
      <c r="W141" s="8"/>
      <c r="X141" s="8"/>
      <c r="Y141" s="9">
        <v>20</v>
      </c>
      <c r="Z141" s="9">
        <v>35</v>
      </c>
      <c r="AA141" s="10">
        <f t="shared" si="11"/>
        <v>1</v>
      </c>
      <c r="AB141" s="10">
        <f t="shared" si="12"/>
        <v>0</v>
      </c>
      <c r="AC141" s="10">
        <f t="shared" si="13"/>
        <v>0</v>
      </c>
      <c r="AD141" s="11">
        <f t="shared" si="14"/>
        <v>100</v>
      </c>
    </row>
    <row r="142" spans="1:30" ht="12.75" x14ac:dyDescent="0.2">
      <c r="A142" s="156"/>
      <c r="B142" s="152"/>
      <c r="C142" s="138"/>
      <c r="D142" s="138"/>
      <c r="E142" s="138"/>
      <c r="F142" s="138"/>
      <c r="G142" s="138"/>
      <c r="H142" s="13" t="s">
        <v>40</v>
      </c>
      <c r="I142" s="13"/>
      <c r="J142" s="23"/>
      <c r="K142" s="13"/>
      <c r="L142" s="23"/>
      <c r="M142" s="23"/>
      <c r="N142" s="13"/>
      <c r="O142" s="13"/>
      <c r="P142" s="13"/>
      <c r="Q142" s="13"/>
      <c r="R142" s="13"/>
      <c r="S142" s="23"/>
      <c r="T142" s="13"/>
      <c r="U142" s="15"/>
      <c r="V142" s="16"/>
      <c r="W142" s="16"/>
      <c r="X142" s="16"/>
      <c r="Y142" s="17">
        <v>20</v>
      </c>
      <c r="Z142" s="17">
        <v>35</v>
      </c>
      <c r="AA142" s="18">
        <f t="shared" si="11"/>
        <v>1</v>
      </c>
      <c r="AB142" s="18">
        <f t="shared" si="12"/>
        <v>0</v>
      </c>
      <c r="AC142" s="18">
        <f t="shared" si="13"/>
        <v>0</v>
      </c>
      <c r="AD142" s="19">
        <f t="shared" si="14"/>
        <v>100</v>
      </c>
    </row>
    <row r="143" spans="1:30" ht="12.75" x14ac:dyDescent="0.2">
      <c r="A143" s="156"/>
      <c r="B143" s="152"/>
      <c r="C143" s="137"/>
      <c r="D143" s="141"/>
      <c r="E143" s="141"/>
      <c r="F143" s="141"/>
      <c r="G143" s="141"/>
      <c r="H143" s="115" t="s">
        <v>39</v>
      </c>
      <c r="I143" s="115"/>
      <c r="J143" s="20"/>
      <c r="K143" s="115"/>
      <c r="L143" s="20"/>
      <c r="M143" s="20"/>
      <c r="N143" s="115"/>
      <c r="O143" s="115"/>
      <c r="P143" s="115"/>
      <c r="Q143" s="115"/>
      <c r="R143" s="115"/>
      <c r="S143" s="20"/>
      <c r="T143" s="115"/>
      <c r="U143" s="21"/>
      <c r="V143" s="8"/>
      <c r="W143" s="8"/>
      <c r="X143" s="8"/>
      <c r="Y143" s="9">
        <v>20</v>
      </c>
      <c r="Z143" s="9">
        <v>35</v>
      </c>
      <c r="AA143" s="10">
        <f t="shared" si="11"/>
        <v>1</v>
      </c>
      <c r="AB143" s="10">
        <f t="shared" si="12"/>
        <v>0</v>
      </c>
      <c r="AC143" s="10">
        <f t="shared" si="13"/>
        <v>0</v>
      </c>
      <c r="AD143" s="11">
        <f t="shared" si="14"/>
        <v>100</v>
      </c>
    </row>
    <row r="144" spans="1:30" ht="12.75" x14ac:dyDescent="0.2">
      <c r="A144" s="156"/>
      <c r="B144" s="152"/>
      <c r="C144" s="138"/>
      <c r="D144" s="138"/>
      <c r="E144" s="138"/>
      <c r="F144" s="138"/>
      <c r="G144" s="138"/>
      <c r="H144" s="13" t="s">
        <v>40</v>
      </c>
      <c r="I144" s="13"/>
      <c r="J144" s="23"/>
      <c r="K144" s="13"/>
      <c r="L144" s="23"/>
      <c r="M144" s="23"/>
      <c r="N144" s="13"/>
      <c r="O144" s="13"/>
      <c r="P144" s="13"/>
      <c r="Q144" s="13"/>
      <c r="R144" s="13"/>
      <c r="S144" s="23"/>
      <c r="T144" s="13"/>
      <c r="U144" s="15"/>
      <c r="V144" s="16"/>
      <c r="W144" s="16"/>
      <c r="X144" s="16"/>
      <c r="Y144" s="17">
        <v>20</v>
      </c>
      <c r="Z144" s="17">
        <v>35</v>
      </c>
      <c r="AA144" s="18">
        <f t="shared" si="11"/>
        <v>1</v>
      </c>
      <c r="AB144" s="18">
        <f t="shared" si="12"/>
        <v>0</v>
      </c>
      <c r="AC144" s="18">
        <f t="shared" si="13"/>
        <v>0</v>
      </c>
      <c r="AD144" s="19">
        <f t="shared" si="14"/>
        <v>100</v>
      </c>
    </row>
    <row r="145" spans="1:30" ht="12.75" x14ac:dyDescent="0.2">
      <c r="A145" s="156"/>
      <c r="B145" s="152"/>
      <c r="C145" s="137"/>
      <c r="D145" s="141"/>
      <c r="E145" s="141"/>
      <c r="F145" s="141"/>
      <c r="G145" s="141"/>
      <c r="H145" s="115" t="s">
        <v>39</v>
      </c>
      <c r="I145" s="115"/>
      <c r="J145" s="20"/>
      <c r="K145" s="115"/>
      <c r="L145" s="20"/>
      <c r="M145" s="20"/>
      <c r="N145" s="115"/>
      <c r="O145" s="115"/>
      <c r="P145" s="115"/>
      <c r="Q145" s="115"/>
      <c r="R145" s="115"/>
      <c r="S145" s="20"/>
      <c r="T145" s="115"/>
      <c r="U145" s="21"/>
      <c r="V145" s="8"/>
      <c r="W145" s="8"/>
      <c r="X145" s="8"/>
      <c r="Y145" s="9">
        <v>20</v>
      </c>
      <c r="Z145" s="9">
        <v>35</v>
      </c>
      <c r="AA145" s="10">
        <f t="shared" si="11"/>
        <v>1</v>
      </c>
      <c r="AB145" s="10">
        <f t="shared" si="12"/>
        <v>0</v>
      </c>
      <c r="AC145" s="10">
        <f t="shared" si="13"/>
        <v>0</v>
      </c>
      <c r="AD145" s="11">
        <f t="shared" si="14"/>
        <v>100</v>
      </c>
    </row>
    <row r="146" spans="1:30" ht="12.75" x14ac:dyDescent="0.2">
      <c r="A146" s="156"/>
      <c r="B146" s="152"/>
      <c r="C146" s="138"/>
      <c r="D146" s="138"/>
      <c r="E146" s="138"/>
      <c r="F146" s="138"/>
      <c r="G146" s="138"/>
      <c r="H146" s="13" t="s">
        <v>40</v>
      </c>
      <c r="I146" s="13"/>
      <c r="J146" s="23"/>
      <c r="K146" s="13"/>
      <c r="L146" s="23"/>
      <c r="M146" s="23"/>
      <c r="N146" s="13"/>
      <c r="O146" s="13"/>
      <c r="P146" s="13"/>
      <c r="Q146" s="13"/>
      <c r="R146" s="13"/>
      <c r="S146" s="23"/>
      <c r="T146" s="13"/>
      <c r="U146" s="15"/>
      <c r="V146" s="16"/>
      <c r="W146" s="16"/>
      <c r="X146" s="16"/>
      <c r="Y146" s="17">
        <v>20</v>
      </c>
      <c r="Z146" s="17">
        <v>35</v>
      </c>
      <c r="AA146" s="18">
        <f t="shared" si="11"/>
        <v>1</v>
      </c>
      <c r="AB146" s="18">
        <f t="shared" si="12"/>
        <v>0</v>
      </c>
      <c r="AC146" s="18">
        <f t="shared" si="13"/>
        <v>0</v>
      </c>
      <c r="AD146" s="19">
        <f t="shared" si="14"/>
        <v>100</v>
      </c>
    </row>
    <row r="147" spans="1:30" ht="12.75" x14ac:dyDescent="0.2">
      <c r="A147" s="156"/>
      <c r="B147" s="152"/>
      <c r="C147" s="137"/>
      <c r="D147" s="141"/>
      <c r="E147" s="141"/>
      <c r="F147" s="141"/>
      <c r="G147" s="141"/>
      <c r="H147" s="115" t="s">
        <v>39</v>
      </c>
      <c r="I147" s="115"/>
      <c r="J147" s="20"/>
      <c r="K147" s="115"/>
      <c r="L147" s="20"/>
      <c r="M147" s="20"/>
      <c r="N147" s="115"/>
      <c r="O147" s="115"/>
      <c r="P147" s="115"/>
      <c r="Q147" s="115"/>
      <c r="R147" s="115"/>
      <c r="S147" s="20"/>
      <c r="T147" s="115"/>
      <c r="U147" s="21"/>
      <c r="V147" s="8"/>
      <c r="W147" s="8"/>
      <c r="X147" s="8"/>
      <c r="Y147" s="9">
        <v>20</v>
      </c>
      <c r="Z147" s="9">
        <v>35</v>
      </c>
      <c r="AA147" s="10">
        <f t="shared" si="11"/>
        <v>1</v>
      </c>
      <c r="AB147" s="10">
        <f t="shared" si="12"/>
        <v>0</v>
      </c>
      <c r="AC147" s="10">
        <f t="shared" si="13"/>
        <v>0</v>
      </c>
      <c r="AD147" s="11">
        <f t="shared" si="14"/>
        <v>100</v>
      </c>
    </row>
    <row r="148" spans="1:30" ht="12.75" x14ac:dyDescent="0.2">
      <c r="A148" s="156"/>
      <c r="B148" s="152"/>
      <c r="C148" s="138"/>
      <c r="D148" s="138"/>
      <c r="E148" s="138"/>
      <c r="F148" s="138"/>
      <c r="G148" s="138"/>
      <c r="H148" s="13" t="s">
        <v>40</v>
      </c>
      <c r="I148" s="13"/>
      <c r="J148" s="23"/>
      <c r="K148" s="13"/>
      <c r="L148" s="23"/>
      <c r="M148" s="23"/>
      <c r="N148" s="13"/>
      <c r="O148" s="13"/>
      <c r="P148" s="13"/>
      <c r="Q148" s="13"/>
      <c r="R148" s="13"/>
      <c r="S148" s="23"/>
      <c r="T148" s="13"/>
      <c r="U148" s="15"/>
      <c r="V148" s="16"/>
      <c r="W148" s="16"/>
      <c r="X148" s="16"/>
      <c r="Y148" s="17">
        <v>20</v>
      </c>
      <c r="Z148" s="17">
        <v>35</v>
      </c>
      <c r="AA148" s="18">
        <f t="shared" si="11"/>
        <v>1</v>
      </c>
      <c r="AB148" s="18">
        <f t="shared" si="12"/>
        <v>0</v>
      </c>
      <c r="AC148" s="18">
        <f t="shared" si="13"/>
        <v>0</v>
      </c>
      <c r="AD148" s="19">
        <f t="shared" si="14"/>
        <v>100</v>
      </c>
    </row>
    <row r="149" spans="1:30" ht="12.75" x14ac:dyDescent="0.2">
      <c r="A149" s="156"/>
      <c r="B149" s="152"/>
      <c r="C149" s="137"/>
      <c r="D149" s="141"/>
      <c r="E149" s="141"/>
      <c r="F149" s="141"/>
      <c r="G149" s="141"/>
      <c r="H149" s="115" t="s">
        <v>39</v>
      </c>
      <c r="I149" s="115"/>
      <c r="J149" s="20"/>
      <c r="K149" s="115"/>
      <c r="L149" s="20"/>
      <c r="M149" s="20"/>
      <c r="N149" s="115"/>
      <c r="O149" s="115"/>
      <c r="P149" s="115"/>
      <c r="Q149" s="115"/>
      <c r="R149" s="115"/>
      <c r="S149" s="20"/>
      <c r="T149" s="115"/>
      <c r="U149" s="21"/>
      <c r="V149" s="8"/>
      <c r="W149" s="8"/>
      <c r="X149" s="8"/>
      <c r="Y149" s="9">
        <v>20</v>
      </c>
      <c r="Z149" s="9">
        <v>35</v>
      </c>
      <c r="AA149" s="10">
        <f t="shared" si="11"/>
        <v>1</v>
      </c>
      <c r="AB149" s="10">
        <f t="shared" si="12"/>
        <v>0</v>
      </c>
      <c r="AC149" s="10">
        <f t="shared" si="13"/>
        <v>0</v>
      </c>
      <c r="AD149" s="11">
        <f t="shared" si="14"/>
        <v>100</v>
      </c>
    </row>
    <row r="150" spans="1:30" ht="12.75" x14ac:dyDescent="0.2">
      <c r="A150" s="156"/>
      <c r="B150" s="152"/>
      <c r="C150" s="138"/>
      <c r="D150" s="138"/>
      <c r="E150" s="138"/>
      <c r="F150" s="138"/>
      <c r="G150" s="138"/>
      <c r="H150" s="13" t="s">
        <v>40</v>
      </c>
      <c r="I150" s="13"/>
      <c r="J150" s="23"/>
      <c r="K150" s="13"/>
      <c r="L150" s="23"/>
      <c r="M150" s="23"/>
      <c r="N150" s="13"/>
      <c r="O150" s="13"/>
      <c r="P150" s="13"/>
      <c r="Q150" s="13"/>
      <c r="R150" s="13"/>
      <c r="S150" s="23"/>
      <c r="T150" s="13"/>
      <c r="U150" s="15"/>
      <c r="V150" s="16"/>
      <c r="W150" s="16"/>
      <c r="X150" s="16"/>
      <c r="Y150" s="17">
        <v>20</v>
      </c>
      <c r="Z150" s="17">
        <v>35</v>
      </c>
      <c r="AA150" s="18">
        <f t="shared" si="11"/>
        <v>1</v>
      </c>
      <c r="AB150" s="18">
        <f t="shared" si="12"/>
        <v>0</v>
      </c>
      <c r="AC150" s="18">
        <f t="shared" si="13"/>
        <v>0</v>
      </c>
      <c r="AD150" s="19">
        <f t="shared" si="14"/>
        <v>100</v>
      </c>
    </row>
    <row r="151" spans="1:30" ht="12.75" x14ac:dyDescent="0.2">
      <c r="A151" s="156"/>
      <c r="B151" s="152"/>
      <c r="C151" s="137"/>
      <c r="D151" s="141"/>
      <c r="E151" s="141"/>
      <c r="F151" s="141"/>
      <c r="G151" s="141"/>
      <c r="H151" s="115" t="s">
        <v>39</v>
      </c>
      <c r="I151" s="115"/>
      <c r="J151" s="20"/>
      <c r="K151" s="115"/>
      <c r="L151" s="20"/>
      <c r="M151" s="20"/>
      <c r="N151" s="115"/>
      <c r="O151" s="115"/>
      <c r="P151" s="115"/>
      <c r="Q151" s="115"/>
      <c r="R151" s="115"/>
      <c r="S151" s="20"/>
      <c r="T151" s="115"/>
      <c r="U151" s="21"/>
      <c r="V151" s="8"/>
      <c r="W151" s="8"/>
      <c r="X151" s="8"/>
      <c r="Y151" s="9">
        <v>20</v>
      </c>
      <c r="Z151" s="9">
        <v>35</v>
      </c>
      <c r="AA151" s="10">
        <f t="shared" si="11"/>
        <v>1</v>
      </c>
      <c r="AB151" s="10">
        <f t="shared" si="12"/>
        <v>0</v>
      </c>
      <c r="AC151" s="10">
        <f t="shared" si="13"/>
        <v>0</v>
      </c>
      <c r="AD151" s="11">
        <f t="shared" si="14"/>
        <v>100</v>
      </c>
    </row>
    <row r="152" spans="1:30" ht="12.75" x14ac:dyDescent="0.2">
      <c r="A152" s="156"/>
      <c r="B152" s="152"/>
      <c r="C152" s="138"/>
      <c r="D152" s="138"/>
      <c r="E152" s="138"/>
      <c r="F152" s="138"/>
      <c r="G152" s="138"/>
      <c r="H152" s="13" t="s">
        <v>40</v>
      </c>
      <c r="I152" s="13"/>
      <c r="J152" s="23"/>
      <c r="K152" s="13"/>
      <c r="L152" s="23"/>
      <c r="M152" s="23"/>
      <c r="N152" s="13"/>
      <c r="O152" s="13"/>
      <c r="P152" s="13"/>
      <c r="Q152" s="13"/>
      <c r="R152" s="13"/>
      <c r="S152" s="23"/>
      <c r="T152" s="13"/>
      <c r="U152" s="15"/>
      <c r="V152" s="16"/>
      <c r="W152" s="16"/>
      <c r="X152" s="16"/>
      <c r="Y152" s="17">
        <v>20</v>
      </c>
      <c r="Z152" s="17">
        <v>35</v>
      </c>
      <c r="AA152" s="18">
        <f t="shared" si="11"/>
        <v>1</v>
      </c>
      <c r="AB152" s="18">
        <f t="shared" si="12"/>
        <v>0</v>
      </c>
      <c r="AC152" s="18">
        <f t="shared" si="13"/>
        <v>0</v>
      </c>
      <c r="AD152" s="19">
        <f t="shared" si="14"/>
        <v>100</v>
      </c>
    </row>
    <row r="153" spans="1:30" ht="12.75" x14ac:dyDescent="0.2">
      <c r="A153" s="156"/>
      <c r="B153" s="152"/>
      <c r="C153" s="137"/>
      <c r="D153" s="141"/>
      <c r="E153" s="141"/>
      <c r="F153" s="141"/>
      <c r="G153" s="141"/>
      <c r="H153" s="115" t="s">
        <v>39</v>
      </c>
      <c r="I153" s="115"/>
      <c r="J153" s="20"/>
      <c r="K153" s="115"/>
      <c r="L153" s="20"/>
      <c r="M153" s="20"/>
      <c r="N153" s="115"/>
      <c r="O153" s="115"/>
      <c r="P153" s="115"/>
      <c r="Q153" s="115"/>
      <c r="R153" s="115"/>
      <c r="S153" s="20"/>
      <c r="T153" s="115"/>
      <c r="U153" s="21"/>
      <c r="V153" s="8"/>
      <c r="W153" s="8"/>
      <c r="X153" s="8"/>
      <c r="Y153" s="9">
        <v>20</v>
      </c>
      <c r="Z153" s="9">
        <v>35</v>
      </c>
      <c r="AA153" s="10">
        <f t="shared" si="11"/>
        <v>1</v>
      </c>
      <c r="AB153" s="10">
        <f t="shared" si="12"/>
        <v>0</v>
      </c>
      <c r="AC153" s="10">
        <f t="shared" si="13"/>
        <v>0</v>
      </c>
      <c r="AD153" s="11">
        <f t="shared" si="14"/>
        <v>100</v>
      </c>
    </row>
    <row r="154" spans="1:30" ht="12.75" x14ac:dyDescent="0.2">
      <c r="A154" s="156"/>
      <c r="B154" s="152"/>
      <c r="C154" s="138"/>
      <c r="D154" s="138"/>
      <c r="E154" s="138"/>
      <c r="F154" s="138"/>
      <c r="G154" s="138"/>
      <c r="H154" s="13" t="s">
        <v>40</v>
      </c>
      <c r="I154" s="13"/>
      <c r="J154" s="23"/>
      <c r="K154" s="13"/>
      <c r="L154" s="23"/>
      <c r="M154" s="23"/>
      <c r="N154" s="13"/>
      <c r="O154" s="13"/>
      <c r="P154" s="13"/>
      <c r="Q154" s="13"/>
      <c r="R154" s="13"/>
      <c r="S154" s="23"/>
      <c r="T154" s="13"/>
      <c r="U154" s="15"/>
      <c r="V154" s="16"/>
      <c r="W154" s="16"/>
      <c r="X154" s="16"/>
      <c r="Y154" s="17">
        <v>20</v>
      </c>
      <c r="Z154" s="17">
        <v>35</v>
      </c>
      <c r="AA154" s="18">
        <f t="shared" si="11"/>
        <v>1</v>
      </c>
      <c r="AB154" s="18">
        <f t="shared" si="12"/>
        <v>0</v>
      </c>
      <c r="AC154" s="18">
        <f t="shared" si="13"/>
        <v>0</v>
      </c>
      <c r="AD154" s="19">
        <f t="shared" si="14"/>
        <v>100</v>
      </c>
    </row>
    <row r="155" spans="1:30" ht="12.75" x14ac:dyDescent="0.2">
      <c r="A155" s="156"/>
      <c r="B155" s="152"/>
      <c r="C155" s="137"/>
      <c r="D155" s="141"/>
      <c r="E155" s="141"/>
      <c r="F155" s="141"/>
      <c r="G155" s="141"/>
      <c r="H155" s="115" t="s">
        <v>39</v>
      </c>
      <c r="I155" s="115"/>
      <c r="J155" s="20"/>
      <c r="K155" s="115"/>
      <c r="L155" s="20"/>
      <c r="M155" s="20"/>
      <c r="N155" s="115"/>
      <c r="O155" s="115"/>
      <c r="P155" s="115"/>
      <c r="Q155" s="115"/>
      <c r="R155" s="115"/>
      <c r="S155" s="20"/>
      <c r="T155" s="115"/>
      <c r="U155" s="21"/>
      <c r="V155" s="8"/>
      <c r="W155" s="8"/>
      <c r="X155" s="8"/>
      <c r="Y155" s="9">
        <v>20</v>
      </c>
      <c r="Z155" s="9">
        <v>35</v>
      </c>
      <c r="AA155" s="10">
        <f t="shared" si="11"/>
        <v>1</v>
      </c>
      <c r="AB155" s="10">
        <f t="shared" si="12"/>
        <v>0</v>
      </c>
      <c r="AC155" s="10">
        <f t="shared" si="13"/>
        <v>0</v>
      </c>
      <c r="AD155" s="11">
        <f t="shared" si="14"/>
        <v>100</v>
      </c>
    </row>
    <row r="156" spans="1:30" ht="12.75" x14ac:dyDescent="0.2">
      <c r="A156" s="156"/>
      <c r="B156" s="152"/>
      <c r="C156" s="138"/>
      <c r="D156" s="138"/>
      <c r="E156" s="138"/>
      <c r="F156" s="138"/>
      <c r="G156" s="138"/>
      <c r="H156" s="13" t="s">
        <v>40</v>
      </c>
      <c r="I156" s="13"/>
      <c r="J156" s="23"/>
      <c r="K156" s="13"/>
      <c r="L156" s="23"/>
      <c r="M156" s="23"/>
      <c r="N156" s="13"/>
      <c r="O156" s="13"/>
      <c r="P156" s="13"/>
      <c r="Q156" s="13"/>
      <c r="R156" s="13"/>
      <c r="S156" s="23"/>
      <c r="T156" s="13"/>
      <c r="U156" s="15"/>
      <c r="V156" s="16"/>
      <c r="W156" s="16"/>
      <c r="X156" s="16"/>
      <c r="Y156" s="17">
        <v>20</v>
      </c>
      <c r="Z156" s="17">
        <v>35</v>
      </c>
      <c r="AA156" s="18">
        <f t="shared" si="11"/>
        <v>1</v>
      </c>
      <c r="AB156" s="18">
        <f t="shared" si="12"/>
        <v>0</v>
      </c>
      <c r="AC156" s="18">
        <f t="shared" si="13"/>
        <v>0</v>
      </c>
      <c r="AD156" s="19">
        <f t="shared" si="14"/>
        <v>100</v>
      </c>
    </row>
    <row r="157" spans="1:30" ht="12.75" x14ac:dyDescent="0.2">
      <c r="A157" s="156"/>
      <c r="B157" s="152"/>
      <c r="C157" s="137"/>
      <c r="D157" s="141"/>
      <c r="E157" s="141"/>
      <c r="F157" s="141"/>
      <c r="G157" s="141"/>
      <c r="H157" s="115" t="s">
        <v>39</v>
      </c>
      <c r="I157" s="115"/>
      <c r="J157" s="20"/>
      <c r="K157" s="115"/>
      <c r="L157" s="20"/>
      <c r="M157" s="20"/>
      <c r="N157" s="115"/>
      <c r="O157" s="115"/>
      <c r="P157" s="115"/>
      <c r="Q157" s="115"/>
      <c r="R157" s="115"/>
      <c r="S157" s="20"/>
      <c r="T157" s="115"/>
      <c r="U157" s="21"/>
      <c r="V157" s="8"/>
      <c r="W157" s="8"/>
      <c r="X157" s="8"/>
      <c r="Y157" s="9">
        <v>20</v>
      </c>
      <c r="Z157" s="9">
        <v>35</v>
      </c>
      <c r="AA157" s="10">
        <f t="shared" si="11"/>
        <v>1</v>
      </c>
      <c r="AB157" s="10">
        <f t="shared" si="12"/>
        <v>0</v>
      </c>
      <c r="AC157" s="10">
        <f t="shared" si="13"/>
        <v>0</v>
      </c>
      <c r="AD157" s="11">
        <f t="shared" si="14"/>
        <v>100</v>
      </c>
    </row>
    <row r="158" spans="1:30" ht="12.75" x14ac:dyDescent="0.2">
      <c r="A158" s="156"/>
      <c r="B158" s="152"/>
      <c r="C158" s="138"/>
      <c r="D158" s="138"/>
      <c r="E158" s="138"/>
      <c r="F158" s="138"/>
      <c r="G158" s="138"/>
      <c r="H158" s="13" t="s">
        <v>40</v>
      </c>
      <c r="I158" s="13"/>
      <c r="J158" s="23"/>
      <c r="K158" s="13"/>
      <c r="L158" s="23"/>
      <c r="M158" s="23"/>
      <c r="N158" s="13"/>
      <c r="O158" s="13"/>
      <c r="P158" s="13"/>
      <c r="Q158" s="13"/>
      <c r="R158" s="13"/>
      <c r="S158" s="23"/>
      <c r="T158" s="13"/>
      <c r="U158" s="15"/>
      <c r="V158" s="16"/>
      <c r="W158" s="16"/>
      <c r="X158" s="16"/>
      <c r="Y158" s="17">
        <v>20</v>
      </c>
      <c r="Z158" s="17">
        <v>35</v>
      </c>
      <c r="AA158" s="18">
        <f t="shared" si="11"/>
        <v>1</v>
      </c>
      <c r="AB158" s="18">
        <f t="shared" si="12"/>
        <v>0</v>
      </c>
      <c r="AC158" s="18">
        <f t="shared" si="13"/>
        <v>0</v>
      </c>
      <c r="AD158" s="19">
        <f t="shared" si="14"/>
        <v>100</v>
      </c>
    </row>
    <row r="159" spans="1:30" ht="12.75" x14ac:dyDescent="0.2">
      <c r="A159" s="156"/>
      <c r="B159" s="152"/>
      <c r="C159" s="137"/>
      <c r="D159" s="141"/>
      <c r="E159" s="141"/>
      <c r="F159" s="141"/>
      <c r="G159" s="141"/>
      <c r="H159" s="115" t="s">
        <v>39</v>
      </c>
      <c r="I159" s="115"/>
      <c r="J159" s="20"/>
      <c r="K159" s="115"/>
      <c r="L159" s="20"/>
      <c r="M159" s="20"/>
      <c r="N159" s="115"/>
      <c r="O159" s="115"/>
      <c r="P159" s="115"/>
      <c r="Q159" s="115"/>
      <c r="R159" s="115"/>
      <c r="S159" s="20"/>
      <c r="T159" s="115"/>
      <c r="U159" s="21"/>
      <c r="V159" s="8"/>
      <c r="W159" s="8"/>
      <c r="X159" s="8"/>
      <c r="Y159" s="9">
        <v>20</v>
      </c>
      <c r="Z159" s="9">
        <v>35</v>
      </c>
      <c r="AA159" s="10">
        <f t="shared" si="11"/>
        <v>1</v>
      </c>
      <c r="AB159" s="10">
        <f t="shared" si="12"/>
        <v>0</v>
      </c>
      <c r="AC159" s="10">
        <f t="shared" si="13"/>
        <v>0</v>
      </c>
      <c r="AD159" s="11">
        <f t="shared" si="14"/>
        <v>100</v>
      </c>
    </row>
    <row r="160" spans="1:30" ht="12.75" x14ac:dyDescent="0.2">
      <c r="A160" s="156"/>
      <c r="B160" s="152"/>
      <c r="C160" s="138"/>
      <c r="D160" s="138"/>
      <c r="E160" s="138"/>
      <c r="F160" s="138"/>
      <c r="G160" s="138"/>
      <c r="H160" s="13" t="s">
        <v>40</v>
      </c>
      <c r="I160" s="13"/>
      <c r="J160" s="23"/>
      <c r="K160" s="13"/>
      <c r="L160" s="23"/>
      <c r="M160" s="23"/>
      <c r="N160" s="13"/>
      <c r="O160" s="13"/>
      <c r="P160" s="13"/>
      <c r="Q160" s="13"/>
      <c r="R160" s="13"/>
      <c r="S160" s="23"/>
      <c r="T160" s="13"/>
      <c r="U160" s="15"/>
      <c r="V160" s="16"/>
      <c r="W160" s="16"/>
      <c r="X160" s="16"/>
      <c r="Y160" s="17">
        <v>20</v>
      </c>
      <c r="Z160" s="17">
        <v>35</v>
      </c>
      <c r="AA160" s="18">
        <f t="shared" si="11"/>
        <v>1</v>
      </c>
      <c r="AB160" s="18">
        <f t="shared" si="12"/>
        <v>0</v>
      </c>
      <c r="AC160" s="18">
        <f t="shared" si="13"/>
        <v>0</v>
      </c>
      <c r="AD160" s="19">
        <f t="shared" si="14"/>
        <v>100</v>
      </c>
    </row>
    <row r="161" spans="1:30" ht="12.75" x14ac:dyDescent="0.2">
      <c r="A161" s="156"/>
      <c r="B161" s="152"/>
      <c r="C161" s="137"/>
      <c r="D161" s="141"/>
      <c r="E161" s="141"/>
      <c r="F161" s="141"/>
      <c r="G161" s="141"/>
      <c r="H161" s="115" t="s">
        <v>39</v>
      </c>
      <c r="I161" s="115"/>
      <c r="J161" s="20"/>
      <c r="K161" s="115"/>
      <c r="L161" s="20"/>
      <c r="M161" s="20"/>
      <c r="N161" s="115"/>
      <c r="O161" s="115"/>
      <c r="P161" s="115"/>
      <c r="Q161" s="115"/>
      <c r="R161" s="115"/>
      <c r="S161" s="20"/>
      <c r="T161" s="115"/>
      <c r="U161" s="21"/>
      <c r="V161" s="8"/>
      <c r="W161" s="8"/>
      <c r="X161" s="8"/>
      <c r="Y161" s="9">
        <v>20</v>
      </c>
      <c r="Z161" s="9">
        <v>35</v>
      </c>
      <c r="AA161" s="10">
        <f t="shared" si="11"/>
        <v>1</v>
      </c>
      <c r="AB161" s="10">
        <f t="shared" si="12"/>
        <v>0</v>
      </c>
      <c r="AC161" s="10">
        <f t="shared" si="13"/>
        <v>0</v>
      </c>
      <c r="AD161" s="11">
        <f t="shared" si="14"/>
        <v>100</v>
      </c>
    </row>
    <row r="162" spans="1:30" ht="12.75" x14ac:dyDescent="0.2">
      <c r="A162" s="156"/>
      <c r="B162" s="152"/>
      <c r="C162" s="138"/>
      <c r="D162" s="138"/>
      <c r="E162" s="138"/>
      <c r="F162" s="138"/>
      <c r="G162" s="138"/>
      <c r="H162" s="13" t="s">
        <v>40</v>
      </c>
      <c r="I162" s="13"/>
      <c r="J162" s="23"/>
      <c r="K162" s="13"/>
      <c r="L162" s="23"/>
      <c r="M162" s="23"/>
      <c r="N162" s="13"/>
      <c r="O162" s="13"/>
      <c r="P162" s="13"/>
      <c r="Q162" s="13"/>
      <c r="R162" s="13"/>
      <c r="S162" s="23"/>
      <c r="T162" s="13"/>
      <c r="U162" s="15"/>
      <c r="V162" s="16"/>
      <c r="W162" s="16"/>
      <c r="X162" s="16"/>
      <c r="Y162" s="17">
        <v>20</v>
      </c>
      <c r="Z162" s="17">
        <v>35</v>
      </c>
      <c r="AA162" s="18">
        <f t="shared" si="11"/>
        <v>1</v>
      </c>
      <c r="AB162" s="18">
        <f t="shared" si="12"/>
        <v>0</v>
      </c>
      <c r="AC162" s="18">
        <f t="shared" si="13"/>
        <v>0</v>
      </c>
      <c r="AD162" s="19">
        <f t="shared" si="14"/>
        <v>100</v>
      </c>
    </row>
    <row r="163" spans="1:30" ht="12.75" x14ac:dyDescent="0.2">
      <c r="A163" s="156"/>
      <c r="B163" s="152"/>
      <c r="C163" s="137"/>
      <c r="D163" s="141"/>
      <c r="E163" s="141"/>
      <c r="F163" s="141"/>
      <c r="G163" s="141"/>
      <c r="H163" s="115" t="s">
        <v>39</v>
      </c>
      <c r="I163" s="115"/>
      <c r="J163" s="20"/>
      <c r="K163" s="115"/>
      <c r="L163" s="20"/>
      <c r="M163" s="20"/>
      <c r="N163" s="115"/>
      <c r="O163" s="115"/>
      <c r="P163" s="115"/>
      <c r="Q163" s="115"/>
      <c r="R163" s="115"/>
      <c r="S163" s="20"/>
      <c r="T163" s="115"/>
      <c r="U163" s="21"/>
      <c r="V163" s="8"/>
      <c r="W163" s="8"/>
      <c r="X163" s="8"/>
      <c r="Y163" s="9">
        <v>20</v>
      </c>
      <c r="Z163" s="9">
        <v>35</v>
      </c>
      <c r="AA163" s="10">
        <f t="shared" si="11"/>
        <v>1</v>
      </c>
      <c r="AB163" s="10">
        <f t="shared" si="12"/>
        <v>0</v>
      </c>
      <c r="AC163" s="10">
        <f t="shared" si="13"/>
        <v>0</v>
      </c>
      <c r="AD163" s="11">
        <f t="shared" si="14"/>
        <v>100</v>
      </c>
    </row>
    <row r="164" spans="1:30" ht="12.75" x14ac:dyDescent="0.2">
      <c r="A164" s="156"/>
      <c r="B164" s="152"/>
      <c r="C164" s="138"/>
      <c r="D164" s="138"/>
      <c r="E164" s="138"/>
      <c r="F164" s="138"/>
      <c r="G164" s="138"/>
      <c r="H164" s="13" t="s">
        <v>40</v>
      </c>
      <c r="I164" s="13"/>
      <c r="J164" s="23"/>
      <c r="K164" s="13"/>
      <c r="L164" s="23"/>
      <c r="M164" s="23"/>
      <c r="N164" s="13"/>
      <c r="O164" s="13"/>
      <c r="P164" s="13"/>
      <c r="Q164" s="13"/>
      <c r="R164" s="13"/>
      <c r="S164" s="23"/>
      <c r="T164" s="13"/>
      <c r="U164" s="15"/>
      <c r="V164" s="16"/>
      <c r="W164" s="16"/>
      <c r="X164" s="16"/>
      <c r="Y164" s="17">
        <v>20</v>
      </c>
      <c r="Z164" s="17">
        <v>35</v>
      </c>
      <c r="AA164" s="18">
        <f t="shared" si="11"/>
        <v>1</v>
      </c>
      <c r="AB164" s="18">
        <f t="shared" si="12"/>
        <v>0</v>
      </c>
      <c r="AC164" s="18">
        <f t="shared" si="13"/>
        <v>0</v>
      </c>
      <c r="AD164" s="19">
        <f t="shared" si="14"/>
        <v>100</v>
      </c>
    </row>
    <row r="165" spans="1:30" ht="12.75" x14ac:dyDescent="0.2">
      <c r="A165" s="156"/>
      <c r="B165" s="152"/>
      <c r="C165" s="137"/>
      <c r="D165" s="141"/>
      <c r="E165" s="141"/>
      <c r="F165" s="141"/>
      <c r="G165" s="141"/>
      <c r="H165" s="115" t="s">
        <v>39</v>
      </c>
      <c r="I165" s="115"/>
      <c r="J165" s="20"/>
      <c r="K165" s="115"/>
      <c r="L165" s="20"/>
      <c r="M165" s="20"/>
      <c r="N165" s="115"/>
      <c r="O165" s="115"/>
      <c r="P165" s="115"/>
      <c r="Q165" s="115"/>
      <c r="R165" s="115"/>
      <c r="S165" s="20"/>
      <c r="T165" s="115"/>
      <c r="U165" s="21"/>
      <c r="V165" s="8"/>
      <c r="W165" s="8"/>
      <c r="X165" s="8"/>
      <c r="Y165" s="9">
        <v>20</v>
      </c>
      <c r="Z165" s="9">
        <v>35</v>
      </c>
      <c r="AA165" s="10">
        <f t="shared" si="11"/>
        <v>1</v>
      </c>
      <c r="AB165" s="10">
        <f t="shared" si="12"/>
        <v>0</v>
      </c>
      <c r="AC165" s="10">
        <f t="shared" si="13"/>
        <v>0</v>
      </c>
      <c r="AD165" s="11">
        <f t="shared" si="14"/>
        <v>100</v>
      </c>
    </row>
    <row r="166" spans="1:30" ht="12.75" x14ac:dyDescent="0.2">
      <c r="A166" s="156"/>
      <c r="B166" s="152"/>
      <c r="C166" s="138"/>
      <c r="D166" s="138"/>
      <c r="E166" s="138"/>
      <c r="F166" s="138"/>
      <c r="G166" s="138"/>
      <c r="H166" s="13" t="s">
        <v>40</v>
      </c>
      <c r="I166" s="13"/>
      <c r="J166" s="23"/>
      <c r="K166" s="13"/>
      <c r="L166" s="23"/>
      <c r="M166" s="23"/>
      <c r="N166" s="13"/>
      <c r="O166" s="13"/>
      <c r="P166" s="13"/>
      <c r="Q166" s="13"/>
      <c r="R166" s="13"/>
      <c r="S166" s="23"/>
      <c r="T166" s="13"/>
      <c r="U166" s="15"/>
      <c r="V166" s="16"/>
      <c r="W166" s="16"/>
      <c r="X166" s="16"/>
      <c r="Y166" s="17">
        <v>20</v>
      </c>
      <c r="Z166" s="17">
        <v>35</v>
      </c>
      <c r="AA166" s="18">
        <f t="shared" si="11"/>
        <v>1</v>
      </c>
      <c r="AB166" s="18">
        <f t="shared" si="12"/>
        <v>0</v>
      </c>
      <c r="AC166" s="18">
        <f t="shared" si="13"/>
        <v>0</v>
      </c>
      <c r="AD166" s="19">
        <f t="shared" si="14"/>
        <v>100</v>
      </c>
    </row>
    <row r="167" spans="1:30" ht="12.75" x14ac:dyDescent="0.2">
      <c r="A167" s="156"/>
      <c r="B167" s="152"/>
      <c r="C167" s="137"/>
      <c r="D167" s="141"/>
      <c r="E167" s="141"/>
      <c r="F167" s="141"/>
      <c r="G167" s="141"/>
      <c r="H167" s="115" t="s">
        <v>39</v>
      </c>
      <c r="I167" s="115"/>
      <c r="J167" s="20"/>
      <c r="K167" s="115"/>
      <c r="L167" s="20"/>
      <c r="M167" s="20"/>
      <c r="N167" s="115"/>
      <c r="O167" s="115"/>
      <c r="P167" s="115"/>
      <c r="Q167" s="115"/>
      <c r="R167" s="115"/>
      <c r="S167" s="20"/>
      <c r="T167" s="115"/>
      <c r="U167" s="21"/>
      <c r="V167" s="8"/>
      <c r="W167" s="8"/>
      <c r="X167" s="8"/>
      <c r="Y167" s="9">
        <v>20</v>
      </c>
      <c r="Z167" s="9">
        <v>35</v>
      </c>
      <c r="AA167" s="10">
        <f t="shared" si="11"/>
        <v>1</v>
      </c>
      <c r="AB167" s="10">
        <f t="shared" si="12"/>
        <v>0</v>
      </c>
      <c r="AC167" s="10">
        <f t="shared" si="13"/>
        <v>0</v>
      </c>
      <c r="AD167" s="11">
        <f t="shared" si="14"/>
        <v>100</v>
      </c>
    </row>
    <row r="168" spans="1:30" ht="12.75" x14ac:dyDescent="0.2">
      <c r="A168" s="156"/>
      <c r="B168" s="152"/>
      <c r="C168" s="138"/>
      <c r="D168" s="138"/>
      <c r="E168" s="138"/>
      <c r="F168" s="138"/>
      <c r="G168" s="138"/>
      <c r="H168" s="13" t="s">
        <v>40</v>
      </c>
      <c r="I168" s="13"/>
      <c r="J168" s="23"/>
      <c r="K168" s="13"/>
      <c r="L168" s="23"/>
      <c r="M168" s="23"/>
      <c r="N168" s="13"/>
      <c r="O168" s="13"/>
      <c r="P168" s="13"/>
      <c r="Q168" s="13"/>
      <c r="R168" s="13"/>
      <c r="S168" s="23"/>
      <c r="T168" s="13"/>
      <c r="U168" s="15"/>
      <c r="V168" s="16"/>
      <c r="W168" s="16"/>
      <c r="X168" s="16"/>
      <c r="Y168" s="17">
        <v>20</v>
      </c>
      <c r="Z168" s="17">
        <v>35</v>
      </c>
      <c r="AA168" s="18">
        <f t="shared" si="11"/>
        <v>1</v>
      </c>
      <c r="AB168" s="18">
        <f t="shared" si="12"/>
        <v>0</v>
      </c>
      <c r="AC168" s="18">
        <f t="shared" si="13"/>
        <v>0</v>
      </c>
      <c r="AD168" s="19">
        <f t="shared" si="14"/>
        <v>100</v>
      </c>
    </row>
    <row r="169" spans="1:30" ht="12.75" x14ac:dyDescent="0.2">
      <c r="A169" s="156"/>
      <c r="B169" s="152"/>
      <c r="C169" s="137"/>
      <c r="D169" s="141"/>
      <c r="E169" s="141"/>
      <c r="F169" s="141"/>
      <c r="G169" s="141"/>
      <c r="H169" s="115" t="s">
        <v>39</v>
      </c>
      <c r="I169" s="115"/>
      <c r="J169" s="20"/>
      <c r="K169" s="115"/>
      <c r="L169" s="20"/>
      <c r="M169" s="20"/>
      <c r="N169" s="115"/>
      <c r="O169" s="115"/>
      <c r="P169" s="115"/>
      <c r="Q169" s="115"/>
      <c r="R169" s="115"/>
      <c r="S169" s="20"/>
      <c r="T169" s="115"/>
      <c r="U169" s="21"/>
      <c r="V169" s="8"/>
      <c r="W169" s="8"/>
      <c r="X169" s="8"/>
      <c r="Y169" s="9">
        <v>20</v>
      </c>
      <c r="Z169" s="9">
        <v>35</v>
      </c>
      <c r="AA169" s="10">
        <f t="shared" si="11"/>
        <v>1</v>
      </c>
      <c r="AB169" s="10">
        <f t="shared" si="12"/>
        <v>0</v>
      </c>
      <c r="AC169" s="10">
        <f t="shared" si="13"/>
        <v>0</v>
      </c>
      <c r="AD169" s="11">
        <f t="shared" si="14"/>
        <v>100</v>
      </c>
    </row>
    <row r="170" spans="1:30" ht="12.75" x14ac:dyDescent="0.2">
      <c r="A170" s="156"/>
      <c r="B170" s="152"/>
      <c r="C170" s="138"/>
      <c r="D170" s="138"/>
      <c r="E170" s="138"/>
      <c r="F170" s="138"/>
      <c r="G170" s="138"/>
      <c r="H170" s="13" t="s">
        <v>40</v>
      </c>
      <c r="I170" s="13"/>
      <c r="J170" s="23"/>
      <c r="K170" s="13"/>
      <c r="L170" s="23"/>
      <c r="M170" s="23"/>
      <c r="N170" s="13"/>
      <c r="O170" s="13"/>
      <c r="P170" s="13"/>
      <c r="Q170" s="13"/>
      <c r="R170" s="13"/>
      <c r="S170" s="23"/>
      <c r="T170" s="13"/>
      <c r="U170" s="15"/>
      <c r="V170" s="16"/>
      <c r="W170" s="16"/>
      <c r="X170" s="16"/>
      <c r="Y170" s="17">
        <v>20</v>
      </c>
      <c r="Z170" s="17">
        <v>35</v>
      </c>
      <c r="AA170" s="18">
        <f t="shared" si="11"/>
        <v>1</v>
      </c>
      <c r="AB170" s="18">
        <f t="shared" si="12"/>
        <v>0</v>
      </c>
      <c r="AC170" s="18">
        <f t="shared" si="13"/>
        <v>0</v>
      </c>
      <c r="AD170" s="19">
        <f t="shared" si="14"/>
        <v>100</v>
      </c>
    </row>
    <row r="171" spans="1:30" ht="12.75" x14ac:dyDescent="0.2">
      <c r="A171" s="156"/>
      <c r="B171" s="152"/>
      <c r="C171" s="137"/>
      <c r="D171" s="141"/>
      <c r="E171" s="141"/>
      <c r="F171" s="141"/>
      <c r="G171" s="141"/>
      <c r="H171" s="115" t="s">
        <v>39</v>
      </c>
      <c r="I171" s="115"/>
      <c r="J171" s="20"/>
      <c r="K171" s="115"/>
      <c r="L171" s="20"/>
      <c r="M171" s="20"/>
      <c r="N171" s="115"/>
      <c r="O171" s="115"/>
      <c r="P171" s="115"/>
      <c r="Q171" s="115"/>
      <c r="R171" s="115"/>
      <c r="S171" s="20"/>
      <c r="T171" s="115"/>
      <c r="U171" s="21"/>
      <c r="V171" s="8"/>
      <c r="W171" s="8"/>
      <c r="X171" s="8"/>
      <c r="Y171" s="9">
        <v>20</v>
      </c>
      <c r="Z171" s="9">
        <v>35</v>
      </c>
      <c r="AA171" s="10">
        <f t="shared" si="11"/>
        <v>1</v>
      </c>
      <c r="AB171" s="10">
        <f t="shared" si="12"/>
        <v>0</v>
      </c>
      <c r="AC171" s="10">
        <f t="shared" si="13"/>
        <v>0</v>
      </c>
      <c r="AD171" s="11">
        <f t="shared" si="14"/>
        <v>100</v>
      </c>
    </row>
    <row r="172" spans="1:30" ht="12.75" x14ac:dyDescent="0.2">
      <c r="A172" s="156"/>
      <c r="B172" s="152"/>
      <c r="C172" s="138"/>
      <c r="D172" s="138"/>
      <c r="E172" s="138"/>
      <c r="F172" s="138"/>
      <c r="G172" s="138"/>
      <c r="H172" s="13" t="s">
        <v>40</v>
      </c>
      <c r="I172" s="13"/>
      <c r="J172" s="23"/>
      <c r="K172" s="13"/>
      <c r="L172" s="23"/>
      <c r="M172" s="23"/>
      <c r="N172" s="13"/>
      <c r="O172" s="13"/>
      <c r="P172" s="13"/>
      <c r="Q172" s="13"/>
      <c r="R172" s="13"/>
      <c r="S172" s="23"/>
      <c r="T172" s="13"/>
      <c r="U172" s="15"/>
      <c r="V172" s="16"/>
      <c r="W172" s="16"/>
      <c r="X172" s="16"/>
      <c r="Y172" s="17">
        <v>20</v>
      </c>
      <c r="Z172" s="17">
        <v>35</v>
      </c>
      <c r="AA172" s="18">
        <f t="shared" si="11"/>
        <v>1</v>
      </c>
      <c r="AB172" s="18">
        <f t="shared" si="12"/>
        <v>0</v>
      </c>
      <c r="AC172" s="18">
        <f t="shared" si="13"/>
        <v>0</v>
      </c>
      <c r="AD172" s="19">
        <f t="shared" si="14"/>
        <v>100</v>
      </c>
    </row>
    <row r="173" spans="1:30" ht="12.75" x14ac:dyDescent="0.2">
      <c r="A173" s="156"/>
      <c r="B173" s="152"/>
      <c r="C173" s="137"/>
      <c r="D173" s="141"/>
      <c r="E173" s="141"/>
      <c r="F173" s="141"/>
      <c r="G173" s="141"/>
      <c r="H173" s="115" t="s">
        <v>39</v>
      </c>
      <c r="I173" s="115"/>
      <c r="J173" s="20"/>
      <c r="K173" s="115"/>
      <c r="L173" s="20"/>
      <c r="M173" s="20"/>
      <c r="N173" s="115"/>
      <c r="O173" s="115"/>
      <c r="P173" s="115"/>
      <c r="Q173" s="115"/>
      <c r="R173" s="115"/>
      <c r="S173" s="20"/>
      <c r="T173" s="115"/>
      <c r="U173" s="21"/>
      <c r="V173" s="8"/>
      <c r="W173" s="8"/>
      <c r="X173" s="8"/>
      <c r="Y173" s="9">
        <v>20</v>
      </c>
      <c r="Z173" s="9">
        <v>35</v>
      </c>
      <c r="AA173" s="10">
        <f t="shared" si="11"/>
        <v>1</v>
      </c>
      <c r="AB173" s="10">
        <f t="shared" si="12"/>
        <v>0</v>
      </c>
      <c r="AC173" s="10">
        <f t="shared" si="13"/>
        <v>0</v>
      </c>
      <c r="AD173" s="11">
        <f t="shared" si="14"/>
        <v>100</v>
      </c>
    </row>
    <row r="174" spans="1:30" ht="12.75" x14ac:dyDescent="0.2">
      <c r="A174" s="156"/>
      <c r="B174" s="152"/>
      <c r="C174" s="138"/>
      <c r="D174" s="138"/>
      <c r="E174" s="138"/>
      <c r="F174" s="138"/>
      <c r="G174" s="138"/>
      <c r="H174" s="13" t="s">
        <v>40</v>
      </c>
      <c r="I174" s="13"/>
      <c r="J174" s="23"/>
      <c r="K174" s="13"/>
      <c r="L174" s="23"/>
      <c r="M174" s="23"/>
      <c r="N174" s="13"/>
      <c r="O174" s="13"/>
      <c r="P174" s="13"/>
      <c r="Q174" s="13"/>
      <c r="R174" s="13"/>
      <c r="S174" s="23"/>
      <c r="T174" s="13"/>
      <c r="U174" s="15"/>
      <c r="V174" s="16"/>
      <c r="W174" s="16"/>
      <c r="X174" s="16"/>
      <c r="Y174" s="17">
        <v>20</v>
      </c>
      <c r="Z174" s="17">
        <v>35</v>
      </c>
      <c r="AA174" s="18">
        <f t="shared" si="11"/>
        <v>1</v>
      </c>
      <c r="AB174" s="18">
        <f t="shared" si="12"/>
        <v>0</v>
      </c>
      <c r="AC174" s="18">
        <f t="shared" si="13"/>
        <v>0</v>
      </c>
      <c r="AD174" s="19">
        <f t="shared" si="14"/>
        <v>100</v>
      </c>
    </row>
    <row r="175" spans="1:30" ht="12.75" x14ac:dyDescent="0.2">
      <c r="A175" s="156"/>
      <c r="B175" s="152"/>
      <c r="C175" s="137"/>
      <c r="D175" s="141"/>
      <c r="E175" s="141"/>
      <c r="F175" s="141"/>
      <c r="G175" s="141"/>
      <c r="H175" s="115" t="s">
        <v>39</v>
      </c>
      <c r="I175" s="115"/>
      <c r="J175" s="20"/>
      <c r="K175" s="115"/>
      <c r="L175" s="20"/>
      <c r="M175" s="20"/>
      <c r="N175" s="115"/>
      <c r="O175" s="115"/>
      <c r="P175" s="115"/>
      <c r="Q175" s="115"/>
      <c r="R175" s="115"/>
      <c r="S175" s="20"/>
      <c r="T175" s="115"/>
      <c r="U175" s="21"/>
      <c r="V175" s="8"/>
      <c r="W175" s="8"/>
      <c r="X175" s="8"/>
      <c r="Y175" s="9">
        <v>20</v>
      </c>
      <c r="Z175" s="9">
        <v>35</v>
      </c>
      <c r="AA175" s="10">
        <f t="shared" si="11"/>
        <v>1</v>
      </c>
      <c r="AB175" s="10">
        <f t="shared" si="12"/>
        <v>0</v>
      </c>
      <c r="AC175" s="10">
        <f t="shared" si="13"/>
        <v>0</v>
      </c>
      <c r="AD175" s="11">
        <f t="shared" si="14"/>
        <v>100</v>
      </c>
    </row>
    <row r="176" spans="1:30" ht="12.75" x14ac:dyDescent="0.2">
      <c r="A176" s="156"/>
      <c r="B176" s="152"/>
      <c r="C176" s="138"/>
      <c r="D176" s="138"/>
      <c r="E176" s="138"/>
      <c r="F176" s="138"/>
      <c r="G176" s="138"/>
      <c r="H176" s="13" t="s">
        <v>40</v>
      </c>
      <c r="I176" s="13"/>
      <c r="J176" s="23"/>
      <c r="K176" s="13"/>
      <c r="L176" s="23"/>
      <c r="M176" s="23"/>
      <c r="N176" s="13"/>
      <c r="O176" s="13"/>
      <c r="P176" s="13"/>
      <c r="Q176" s="13"/>
      <c r="R176" s="13"/>
      <c r="S176" s="23"/>
      <c r="T176" s="13"/>
      <c r="U176" s="15"/>
      <c r="V176" s="16"/>
      <c r="W176" s="16"/>
      <c r="X176" s="16"/>
      <c r="Y176" s="17">
        <v>20</v>
      </c>
      <c r="Z176" s="17">
        <v>35</v>
      </c>
      <c r="AA176" s="18">
        <f t="shared" si="11"/>
        <v>1</v>
      </c>
      <c r="AB176" s="18">
        <f t="shared" si="12"/>
        <v>0</v>
      </c>
      <c r="AC176" s="18">
        <f t="shared" si="13"/>
        <v>0</v>
      </c>
      <c r="AD176" s="19">
        <f t="shared" si="14"/>
        <v>100</v>
      </c>
    </row>
    <row r="177" spans="1:30" ht="12.75" x14ac:dyDescent="0.2">
      <c r="A177" s="156"/>
      <c r="B177" s="152"/>
      <c r="C177" s="137"/>
      <c r="D177" s="141"/>
      <c r="E177" s="141"/>
      <c r="F177" s="141"/>
      <c r="G177" s="141"/>
      <c r="H177" s="115" t="s">
        <v>39</v>
      </c>
      <c r="I177" s="115"/>
      <c r="J177" s="20"/>
      <c r="K177" s="115"/>
      <c r="L177" s="20"/>
      <c r="M177" s="20"/>
      <c r="N177" s="115"/>
      <c r="O177" s="115"/>
      <c r="P177" s="115"/>
      <c r="Q177" s="115"/>
      <c r="R177" s="115"/>
      <c r="S177" s="20"/>
      <c r="T177" s="115"/>
      <c r="U177" s="21"/>
      <c r="V177" s="8"/>
      <c r="W177" s="8"/>
      <c r="X177" s="8"/>
      <c r="Y177" s="9">
        <v>20</v>
      </c>
      <c r="Z177" s="9">
        <v>35</v>
      </c>
      <c r="AA177" s="10">
        <f t="shared" si="11"/>
        <v>1</v>
      </c>
      <c r="AB177" s="10">
        <f t="shared" si="12"/>
        <v>0</v>
      </c>
      <c r="AC177" s="10">
        <f t="shared" si="13"/>
        <v>0</v>
      </c>
      <c r="AD177" s="11">
        <f t="shared" si="14"/>
        <v>100</v>
      </c>
    </row>
    <row r="178" spans="1:30" ht="12.75" x14ac:dyDescent="0.2">
      <c r="A178" s="156"/>
      <c r="B178" s="152"/>
      <c r="C178" s="138"/>
      <c r="D178" s="138"/>
      <c r="E178" s="138"/>
      <c r="F178" s="138"/>
      <c r="G178" s="138"/>
      <c r="H178" s="13" t="s">
        <v>40</v>
      </c>
      <c r="I178" s="13"/>
      <c r="J178" s="23"/>
      <c r="K178" s="13"/>
      <c r="L178" s="23"/>
      <c r="M178" s="23"/>
      <c r="N178" s="13"/>
      <c r="O178" s="13"/>
      <c r="P178" s="13"/>
      <c r="Q178" s="13"/>
      <c r="R178" s="13"/>
      <c r="S178" s="23"/>
      <c r="T178" s="13"/>
      <c r="U178" s="15"/>
      <c r="V178" s="16"/>
      <c r="W178" s="16"/>
      <c r="X178" s="16"/>
      <c r="Y178" s="17">
        <v>20</v>
      </c>
      <c r="Z178" s="17">
        <v>35</v>
      </c>
      <c r="AA178" s="18">
        <f t="shared" si="11"/>
        <v>1</v>
      </c>
      <c r="AB178" s="18">
        <f t="shared" si="12"/>
        <v>0</v>
      </c>
      <c r="AC178" s="18">
        <f t="shared" si="13"/>
        <v>0</v>
      </c>
      <c r="AD178" s="19">
        <f t="shared" si="14"/>
        <v>100</v>
      </c>
    </row>
    <row r="179" spans="1:30" ht="12.75" x14ac:dyDescent="0.2">
      <c r="A179" s="156"/>
      <c r="B179" s="152"/>
      <c r="C179" s="137"/>
      <c r="D179" s="141"/>
      <c r="E179" s="141"/>
      <c r="F179" s="141"/>
      <c r="G179" s="141"/>
      <c r="H179" s="115" t="s">
        <v>39</v>
      </c>
      <c r="I179" s="115"/>
      <c r="J179" s="20"/>
      <c r="K179" s="115"/>
      <c r="L179" s="20"/>
      <c r="M179" s="20"/>
      <c r="N179" s="115"/>
      <c r="O179" s="115"/>
      <c r="P179" s="115"/>
      <c r="Q179" s="115"/>
      <c r="R179" s="115"/>
      <c r="S179" s="20"/>
      <c r="T179" s="115"/>
      <c r="U179" s="21"/>
      <c r="V179" s="8"/>
      <c r="W179" s="8"/>
      <c r="X179" s="8"/>
      <c r="Y179" s="9">
        <v>20</v>
      </c>
      <c r="Z179" s="9">
        <v>35</v>
      </c>
      <c r="AA179" s="10">
        <f t="shared" si="11"/>
        <v>1</v>
      </c>
      <c r="AB179" s="10">
        <f t="shared" si="12"/>
        <v>0</v>
      </c>
      <c r="AC179" s="10">
        <f t="shared" si="13"/>
        <v>0</v>
      </c>
      <c r="AD179" s="11">
        <f t="shared" si="14"/>
        <v>100</v>
      </c>
    </row>
    <row r="180" spans="1:30" ht="12.75" x14ac:dyDescent="0.2">
      <c r="A180" s="156"/>
      <c r="B180" s="152"/>
      <c r="C180" s="138"/>
      <c r="D180" s="138"/>
      <c r="E180" s="138"/>
      <c r="F180" s="138"/>
      <c r="G180" s="138"/>
      <c r="H180" s="13" t="s">
        <v>40</v>
      </c>
      <c r="I180" s="13"/>
      <c r="J180" s="23"/>
      <c r="K180" s="13"/>
      <c r="L180" s="23"/>
      <c r="M180" s="23"/>
      <c r="N180" s="13"/>
      <c r="O180" s="13"/>
      <c r="P180" s="13"/>
      <c r="Q180" s="13"/>
      <c r="R180" s="13"/>
      <c r="S180" s="23"/>
      <c r="T180" s="13"/>
      <c r="U180" s="15"/>
      <c r="V180" s="16"/>
      <c r="W180" s="16"/>
      <c r="X180" s="16"/>
      <c r="Y180" s="17">
        <v>20</v>
      </c>
      <c r="Z180" s="17">
        <v>35</v>
      </c>
      <c r="AA180" s="18">
        <f t="shared" si="11"/>
        <v>1</v>
      </c>
      <c r="AB180" s="18">
        <f t="shared" si="12"/>
        <v>0</v>
      </c>
      <c r="AC180" s="18">
        <f t="shared" si="13"/>
        <v>0</v>
      </c>
      <c r="AD180" s="19">
        <f t="shared" si="14"/>
        <v>100</v>
      </c>
    </row>
    <row r="181" spans="1:30" ht="12.75" x14ac:dyDescent="0.2">
      <c r="A181" s="156"/>
      <c r="B181" s="152"/>
      <c r="C181" s="137"/>
      <c r="D181" s="141"/>
      <c r="E181" s="141"/>
      <c r="F181" s="141"/>
      <c r="G181" s="141"/>
      <c r="H181" s="115" t="s">
        <v>39</v>
      </c>
      <c r="I181" s="115"/>
      <c r="J181" s="20"/>
      <c r="K181" s="115"/>
      <c r="L181" s="20"/>
      <c r="M181" s="20"/>
      <c r="N181" s="115"/>
      <c r="O181" s="115"/>
      <c r="P181" s="115"/>
      <c r="Q181" s="115"/>
      <c r="R181" s="115"/>
      <c r="S181" s="20"/>
      <c r="T181" s="115"/>
      <c r="U181" s="21"/>
      <c r="V181" s="8"/>
      <c r="W181" s="8"/>
      <c r="X181" s="8"/>
      <c r="Y181" s="9">
        <v>20</v>
      </c>
      <c r="Z181" s="9">
        <v>35</v>
      </c>
      <c r="AA181" s="10">
        <f t="shared" si="11"/>
        <v>1</v>
      </c>
      <c r="AB181" s="10">
        <f t="shared" si="12"/>
        <v>0</v>
      </c>
      <c r="AC181" s="10">
        <f t="shared" si="13"/>
        <v>0</v>
      </c>
      <c r="AD181" s="11">
        <f t="shared" si="14"/>
        <v>100</v>
      </c>
    </row>
    <row r="182" spans="1:30" ht="12.75" x14ac:dyDescent="0.2">
      <c r="A182" s="156"/>
      <c r="B182" s="152"/>
      <c r="C182" s="138"/>
      <c r="D182" s="138"/>
      <c r="E182" s="138"/>
      <c r="F182" s="138"/>
      <c r="G182" s="138"/>
      <c r="H182" s="13" t="s">
        <v>40</v>
      </c>
      <c r="I182" s="13"/>
      <c r="J182" s="23"/>
      <c r="K182" s="13"/>
      <c r="L182" s="23"/>
      <c r="M182" s="23"/>
      <c r="N182" s="13"/>
      <c r="O182" s="13"/>
      <c r="P182" s="13"/>
      <c r="Q182" s="13"/>
      <c r="R182" s="13"/>
      <c r="S182" s="23"/>
      <c r="T182" s="13"/>
      <c r="U182" s="15"/>
      <c r="V182" s="16"/>
      <c r="W182" s="16"/>
      <c r="X182" s="16"/>
      <c r="Y182" s="17">
        <v>20</v>
      </c>
      <c r="Z182" s="17">
        <v>35</v>
      </c>
      <c r="AA182" s="18">
        <f t="shared" si="11"/>
        <v>1</v>
      </c>
      <c r="AB182" s="18">
        <f t="shared" si="12"/>
        <v>0</v>
      </c>
      <c r="AC182" s="18">
        <f t="shared" si="13"/>
        <v>0</v>
      </c>
      <c r="AD182" s="19">
        <f t="shared" si="14"/>
        <v>100</v>
      </c>
    </row>
    <row r="183" spans="1:30" ht="12.75" x14ac:dyDescent="0.2">
      <c r="A183" s="156"/>
      <c r="B183" s="152"/>
      <c r="C183" s="137"/>
      <c r="D183" s="141"/>
      <c r="E183" s="141"/>
      <c r="F183" s="141"/>
      <c r="G183" s="141"/>
      <c r="H183" s="115" t="s">
        <v>39</v>
      </c>
      <c r="I183" s="115"/>
      <c r="J183" s="20"/>
      <c r="K183" s="115"/>
      <c r="L183" s="20"/>
      <c r="M183" s="20"/>
      <c r="N183" s="115"/>
      <c r="O183" s="115"/>
      <c r="P183" s="115"/>
      <c r="Q183" s="115"/>
      <c r="R183" s="115"/>
      <c r="S183" s="20"/>
      <c r="T183" s="115"/>
      <c r="U183" s="21"/>
      <c r="V183" s="8"/>
      <c r="W183" s="8"/>
      <c r="X183" s="8"/>
      <c r="Y183" s="9">
        <v>20</v>
      </c>
      <c r="Z183" s="9">
        <v>35</v>
      </c>
      <c r="AA183" s="10">
        <f t="shared" si="11"/>
        <v>1</v>
      </c>
      <c r="AB183" s="10">
        <f t="shared" si="12"/>
        <v>0</v>
      </c>
      <c r="AC183" s="10">
        <f t="shared" si="13"/>
        <v>0</v>
      </c>
      <c r="AD183" s="11">
        <f t="shared" si="14"/>
        <v>100</v>
      </c>
    </row>
    <row r="184" spans="1:30" ht="12.75" x14ac:dyDescent="0.2">
      <c r="A184" s="156"/>
      <c r="B184" s="152"/>
      <c r="C184" s="138"/>
      <c r="D184" s="138"/>
      <c r="E184" s="138"/>
      <c r="F184" s="138"/>
      <c r="G184" s="138"/>
      <c r="H184" s="13" t="s">
        <v>40</v>
      </c>
      <c r="I184" s="13"/>
      <c r="J184" s="23"/>
      <c r="K184" s="13"/>
      <c r="L184" s="23"/>
      <c r="M184" s="23"/>
      <c r="N184" s="13"/>
      <c r="O184" s="13"/>
      <c r="P184" s="13"/>
      <c r="Q184" s="13"/>
      <c r="R184" s="13"/>
      <c r="S184" s="23"/>
      <c r="T184" s="13"/>
      <c r="U184" s="15"/>
      <c r="V184" s="16"/>
      <c r="W184" s="16"/>
      <c r="X184" s="16"/>
      <c r="Y184" s="17">
        <v>20</v>
      </c>
      <c r="Z184" s="17">
        <v>35</v>
      </c>
      <c r="AA184" s="18">
        <f t="shared" si="11"/>
        <v>1</v>
      </c>
      <c r="AB184" s="18">
        <f t="shared" si="12"/>
        <v>0</v>
      </c>
      <c r="AC184" s="18">
        <f t="shared" si="13"/>
        <v>0</v>
      </c>
      <c r="AD184" s="19">
        <f t="shared" si="14"/>
        <v>100</v>
      </c>
    </row>
    <row r="185" spans="1:30" ht="12.75" x14ac:dyDescent="0.2">
      <c r="A185" s="156"/>
      <c r="B185" s="152"/>
      <c r="C185" s="137"/>
      <c r="D185" s="141"/>
      <c r="E185" s="141"/>
      <c r="F185" s="141"/>
      <c r="G185" s="141"/>
      <c r="H185" s="115" t="s">
        <v>39</v>
      </c>
      <c r="I185" s="115"/>
      <c r="J185" s="20"/>
      <c r="K185" s="115"/>
      <c r="L185" s="20"/>
      <c r="M185" s="20"/>
      <c r="N185" s="115"/>
      <c r="O185" s="115"/>
      <c r="P185" s="115"/>
      <c r="Q185" s="115"/>
      <c r="R185" s="115"/>
      <c r="S185" s="20"/>
      <c r="T185" s="115"/>
      <c r="U185" s="21"/>
      <c r="V185" s="8"/>
      <c r="W185" s="8"/>
      <c r="X185" s="8"/>
      <c r="Y185" s="9">
        <v>20</v>
      </c>
      <c r="Z185" s="9">
        <v>35</v>
      </c>
      <c r="AA185" s="10">
        <f t="shared" si="11"/>
        <v>1</v>
      </c>
      <c r="AB185" s="10">
        <f t="shared" si="12"/>
        <v>0</v>
      </c>
      <c r="AC185" s="10">
        <f t="shared" si="13"/>
        <v>0</v>
      </c>
      <c r="AD185" s="11">
        <f t="shared" si="14"/>
        <v>100</v>
      </c>
    </row>
    <row r="186" spans="1:30" ht="12.75" x14ac:dyDescent="0.2">
      <c r="A186" s="156"/>
      <c r="B186" s="152"/>
      <c r="C186" s="138"/>
      <c r="D186" s="138"/>
      <c r="E186" s="138"/>
      <c r="F186" s="138"/>
      <c r="G186" s="138"/>
      <c r="H186" s="13" t="s">
        <v>40</v>
      </c>
      <c r="I186" s="13"/>
      <c r="J186" s="23"/>
      <c r="K186" s="13"/>
      <c r="L186" s="23"/>
      <c r="M186" s="23"/>
      <c r="N186" s="13"/>
      <c r="O186" s="13"/>
      <c r="P186" s="13"/>
      <c r="Q186" s="13"/>
      <c r="R186" s="13"/>
      <c r="S186" s="23"/>
      <c r="T186" s="13"/>
      <c r="U186" s="15"/>
      <c r="V186" s="16"/>
      <c r="W186" s="16"/>
      <c r="X186" s="16"/>
      <c r="Y186" s="17">
        <v>20</v>
      </c>
      <c r="Z186" s="17">
        <v>35</v>
      </c>
      <c r="AA186" s="18">
        <f t="shared" si="11"/>
        <v>1</v>
      </c>
      <c r="AB186" s="18">
        <f t="shared" si="12"/>
        <v>0</v>
      </c>
      <c r="AC186" s="18">
        <f t="shared" si="13"/>
        <v>0</v>
      </c>
      <c r="AD186" s="19">
        <f t="shared" si="14"/>
        <v>100</v>
      </c>
    </row>
    <row r="187" spans="1:30" ht="12.75" x14ac:dyDescent="0.2">
      <c r="A187" s="156"/>
      <c r="B187" s="152"/>
      <c r="C187" s="137"/>
      <c r="D187" s="141"/>
      <c r="E187" s="141"/>
      <c r="F187" s="141"/>
      <c r="G187" s="141"/>
      <c r="H187" s="115" t="s">
        <v>39</v>
      </c>
      <c r="I187" s="115"/>
      <c r="J187" s="20"/>
      <c r="K187" s="115"/>
      <c r="L187" s="20"/>
      <c r="M187" s="20"/>
      <c r="N187" s="115"/>
      <c r="O187" s="115"/>
      <c r="P187" s="115"/>
      <c r="Q187" s="115"/>
      <c r="R187" s="115"/>
      <c r="S187" s="20"/>
      <c r="T187" s="115"/>
      <c r="U187" s="21"/>
      <c r="V187" s="8"/>
      <c r="W187" s="8"/>
      <c r="X187" s="8"/>
      <c r="Y187" s="9">
        <v>20</v>
      </c>
      <c r="Z187" s="9">
        <v>35</v>
      </c>
      <c r="AA187" s="10">
        <f t="shared" si="11"/>
        <v>1</v>
      </c>
      <c r="AB187" s="10">
        <f t="shared" si="12"/>
        <v>0</v>
      </c>
      <c r="AC187" s="10">
        <f t="shared" si="13"/>
        <v>0</v>
      </c>
      <c r="AD187" s="11">
        <f t="shared" si="14"/>
        <v>100</v>
      </c>
    </row>
    <row r="188" spans="1:30" ht="12.75" x14ac:dyDescent="0.2">
      <c r="A188" s="156"/>
      <c r="B188" s="152"/>
      <c r="C188" s="138"/>
      <c r="D188" s="138"/>
      <c r="E188" s="138"/>
      <c r="F188" s="138"/>
      <c r="G188" s="138"/>
      <c r="H188" s="13" t="s">
        <v>40</v>
      </c>
      <c r="I188" s="13"/>
      <c r="J188" s="23"/>
      <c r="K188" s="13"/>
      <c r="L188" s="23"/>
      <c r="M188" s="23"/>
      <c r="N188" s="13"/>
      <c r="O188" s="13"/>
      <c r="P188" s="13"/>
      <c r="Q188" s="13"/>
      <c r="R188" s="13"/>
      <c r="S188" s="23"/>
      <c r="T188" s="13"/>
      <c r="U188" s="15"/>
      <c r="V188" s="16"/>
      <c r="W188" s="16"/>
      <c r="X188" s="16"/>
      <c r="Y188" s="17">
        <v>20</v>
      </c>
      <c r="Z188" s="17">
        <v>35</v>
      </c>
      <c r="AA188" s="18">
        <f t="shared" si="11"/>
        <v>1</v>
      </c>
      <c r="AB188" s="18">
        <f t="shared" si="12"/>
        <v>0</v>
      </c>
      <c r="AC188" s="18">
        <f t="shared" si="13"/>
        <v>0</v>
      </c>
      <c r="AD188" s="19">
        <f t="shared" si="14"/>
        <v>100</v>
      </c>
    </row>
    <row r="189" spans="1:30" ht="12.75" x14ac:dyDescent="0.2">
      <c r="A189" s="156"/>
      <c r="B189" s="152"/>
      <c r="C189" s="137"/>
      <c r="D189" s="141"/>
      <c r="E189" s="141"/>
      <c r="F189" s="141"/>
      <c r="G189" s="141"/>
      <c r="H189" s="115" t="s">
        <v>39</v>
      </c>
      <c r="I189" s="115"/>
      <c r="J189" s="20"/>
      <c r="K189" s="115"/>
      <c r="L189" s="20"/>
      <c r="M189" s="20"/>
      <c r="N189" s="115"/>
      <c r="O189" s="115"/>
      <c r="P189" s="115"/>
      <c r="Q189" s="115"/>
      <c r="R189" s="115"/>
      <c r="S189" s="20"/>
      <c r="T189" s="115"/>
      <c r="U189" s="21"/>
      <c r="V189" s="8"/>
      <c r="W189" s="8"/>
      <c r="X189" s="8"/>
      <c r="Y189" s="9">
        <v>20</v>
      </c>
      <c r="Z189" s="9">
        <v>35</v>
      </c>
      <c r="AA189" s="10">
        <f t="shared" si="11"/>
        <v>1</v>
      </c>
      <c r="AB189" s="10">
        <f t="shared" si="12"/>
        <v>0</v>
      </c>
      <c r="AC189" s="10">
        <f t="shared" si="13"/>
        <v>0</v>
      </c>
      <c r="AD189" s="11">
        <f t="shared" si="14"/>
        <v>100</v>
      </c>
    </row>
    <row r="190" spans="1:30" ht="12.75" x14ac:dyDescent="0.2">
      <c r="A190" s="156"/>
      <c r="B190" s="152"/>
      <c r="C190" s="138"/>
      <c r="D190" s="138"/>
      <c r="E190" s="138"/>
      <c r="F190" s="138"/>
      <c r="G190" s="138"/>
      <c r="H190" s="13" t="s">
        <v>40</v>
      </c>
      <c r="I190" s="13"/>
      <c r="J190" s="23"/>
      <c r="K190" s="13"/>
      <c r="L190" s="23"/>
      <c r="M190" s="23"/>
      <c r="N190" s="13"/>
      <c r="O190" s="13"/>
      <c r="P190" s="13"/>
      <c r="Q190" s="13"/>
      <c r="R190" s="13"/>
      <c r="S190" s="23"/>
      <c r="T190" s="13"/>
      <c r="U190" s="15"/>
      <c r="V190" s="16"/>
      <c r="W190" s="16"/>
      <c r="X190" s="16"/>
      <c r="Y190" s="17">
        <v>20</v>
      </c>
      <c r="Z190" s="17">
        <v>35</v>
      </c>
      <c r="AA190" s="18">
        <f t="shared" si="11"/>
        <v>1</v>
      </c>
      <c r="AB190" s="18">
        <f t="shared" si="12"/>
        <v>0</v>
      </c>
      <c r="AC190" s="18">
        <f t="shared" si="13"/>
        <v>0</v>
      </c>
      <c r="AD190" s="19">
        <f t="shared" si="14"/>
        <v>100</v>
      </c>
    </row>
    <row r="191" spans="1:30" ht="12.75" x14ac:dyDescent="0.2">
      <c r="A191" s="156"/>
      <c r="B191" s="152"/>
      <c r="C191" s="137"/>
      <c r="D191" s="141"/>
      <c r="E191" s="141"/>
      <c r="F191" s="141"/>
      <c r="G191" s="141"/>
      <c r="H191" s="115" t="s">
        <v>39</v>
      </c>
      <c r="I191" s="115"/>
      <c r="J191" s="20"/>
      <c r="K191" s="115"/>
      <c r="L191" s="20"/>
      <c r="M191" s="20"/>
      <c r="N191" s="115"/>
      <c r="O191" s="115"/>
      <c r="P191" s="115"/>
      <c r="Q191" s="115"/>
      <c r="R191" s="115"/>
      <c r="S191" s="20"/>
      <c r="T191" s="115"/>
      <c r="U191" s="21"/>
      <c r="V191" s="8"/>
      <c r="W191" s="8"/>
      <c r="X191" s="8"/>
      <c r="Y191" s="9">
        <v>20</v>
      </c>
      <c r="Z191" s="9">
        <v>35</v>
      </c>
      <c r="AA191" s="10">
        <f t="shared" si="11"/>
        <v>1</v>
      </c>
      <c r="AB191" s="10">
        <f t="shared" si="12"/>
        <v>0</v>
      </c>
      <c r="AC191" s="10">
        <f t="shared" si="13"/>
        <v>0</v>
      </c>
      <c r="AD191" s="11">
        <f t="shared" si="14"/>
        <v>100</v>
      </c>
    </row>
    <row r="192" spans="1:30" ht="12.75" x14ac:dyDescent="0.2">
      <c r="A192" s="156"/>
      <c r="B192" s="152"/>
      <c r="C192" s="138"/>
      <c r="D192" s="138"/>
      <c r="E192" s="138"/>
      <c r="F192" s="138"/>
      <c r="G192" s="138"/>
      <c r="H192" s="13" t="s">
        <v>40</v>
      </c>
      <c r="I192" s="13"/>
      <c r="J192" s="23"/>
      <c r="K192" s="13"/>
      <c r="L192" s="23"/>
      <c r="M192" s="23"/>
      <c r="N192" s="13"/>
      <c r="O192" s="13"/>
      <c r="P192" s="13"/>
      <c r="Q192" s="13"/>
      <c r="R192" s="13"/>
      <c r="S192" s="23"/>
      <c r="T192" s="13"/>
      <c r="U192" s="15"/>
      <c r="V192" s="16"/>
      <c r="W192" s="16"/>
      <c r="X192" s="16"/>
      <c r="Y192" s="17">
        <v>20</v>
      </c>
      <c r="Z192" s="17">
        <v>35</v>
      </c>
      <c r="AA192" s="18">
        <f t="shared" si="11"/>
        <v>1</v>
      </c>
      <c r="AB192" s="18">
        <f t="shared" si="12"/>
        <v>0</v>
      </c>
      <c r="AC192" s="18">
        <f t="shared" si="13"/>
        <v>0</v>
      </c>
      <c r="AD192" s="19">
        <f t="shared" si="14"/>
        <v>100</v>
      </c>
    </row>
    <row r="193" spans="1:30" ht="12.75" x14ac:dyDescent="0.2">
      <c r="A193" s="156"/>
      <c r="B193" s="152"/>
      <c r="C193" s="137"/>
      <c r="D193" s="141"/>
      <c r="E193" s="141"/>
      <c r="F193" s="141"/>
      <c r="G193" s="141"/>
      <c r="H193" s="115" t="s">
        <v>39</v>
      </c>
      <c r="I193" s="115"/>
      <c r="J193" s="20"/>
      <c r="K193" s="115"/>
      <c r="L193" s="20"/>
      <c r="M193" s="20"/>
      <c r="N193" s="115"/>
      <c r="O193" s="115"/>
      <c r="P193" s="115"/>
      <c r="Q193" s="115"/>
      <c r="R193" s="115"/>
      <c r="S193" s="20"/>
      <c r="T193" s="115"/>
      <c r="U193" s="21"/>
      <c r="V193" s="8"/>
      <c r="W193" s="8"/>
      <c r="X193" s="8"/>
      <c r="Y193" s="9">
        <v>20</v>
      </c>
      <c r="Z193" s="9">
        <v>35</v>
      </c>
      <c r="AA193" s="10">
        <f t="shared" ref="AA193:AA256" si="15">21/(21-L193)</f>
        <v>1</v>
      </c>
      <c r="AB193" s="10">
        <f t="shared" ref="AB193:AB256" si="16">((J193 - S193) / (J193 - Y193)) * (1 / AA193) * 1.88 * (K193 + L193)</f>
        <v>0</v>
      </c>
      <c r="AC193" s="10">
        <f t="shared" ref="AC193:AC256" si="17">(M193 / 100) * Z193</f>
        <v>0</v>
      </c>
      <c r="AD193" s="11">
        <f t="shared" ref="AD193:AD256" si="18">100 - (AB193 + AC193)</f>
        <v>100</v>
      </c>
    </row>
    <row r="194" spans="1:30" ht="12.75" x14ac:dyDescent="0.2">
      <c r="A194" s="156"/>
      <c r="B194" s="152"/>
      <c r="C194" s="138"/>
      <c r="D194" s="138"/>
      <c r="E194" s="138"/>
      <c r="F194" s="138"/>
      <c r="G194" s="138"/>
      <c r="H194" s="13" t="s">
        <v>40</v>
      </c>
      <c r="I194" s="13"/>
      <c r="J194" s="23"/>
      <c r="K194" s="13"/>
      <c r="L194" s="23"/>
      <c r="M194" s="23"/>
      <c r="N194" s="13"/>
      <c r="O194" s="13"/>
      <c r="P194" s="13"/>
      <c r="Q194" s="13"/>
      <c r="R194" s="13"/>
      <c r="S194" s="23"/>
      <c r="T194" s="13"/>
      <c r="U194" s="15"/>
      <c r="V194" s="16"/>
      <c r="W194" s="16"/>
      <c r="X194" s="16"/>
      <c r="Y194" s="17">
        <v>20</v>
      </c>
      <c r="Z194" s="17">
        <v>35</v>
      </c>
      <c r="AA194" s="18">
        <f t="shared" si="15"/>
        <v>1</v>
      </c>
      <c r="AB194" s="18">
        <f t="shared" si="16"/>
        <v>0</v>
      </c>
      <c r="AC194" s="18">
        <f t="shared" si="17"/>
        <v>0</v>
      </c>
      <c r="AD194" s="19">
        <f t="shared" si="18"/>
        <v>100</v>
      </c>
    </row>
    <row r="195" spans="1:30" ht="12.75" x14ac:dyDescent="0.2">
      <c r="A195" s="156"/>
      <c r="B195" s="152"/>
      <c r="C195" s="137"/>
      <c r="D195" s="141"/>
      <c r="E195" s="141"/>
      <c r="F195" s="141"/>
      <c r="G195" s="141"/>
      <c r="H195" s="115" t="s">
        <v>39</v>
      </c>
      <c r="I195" s="115"/>
      <c r="J195" s="20"/>
      <c r="K195" s="115"/>
      <c r="L195" s="20"/>
      <c r="M195" s="20"/>
      <c r="N195" s="115"/>
      <c r="O195" s="115"/>
      <c r="P195" s="115"/>
      <c r="Q195" s="115"/>
      <c r="R195" s="115"/>
      <c r="S195" s="20"/>
      <c r="T195" s="115"/>
      <c r="U195" s="21"/>
      <c r="V195" s="8"/>
      <c r="W195" s="8"/>
      <c r="X195" s="8"/>
      <c r="Y195" s="9">
        <v>20</v>
      </c>
      <c r="Z195" s="9">
        <v>35</v>
      </c>
      <c r="AA195" s="10">
        <f t="shared" si="15"/>
        <v>1</v>
      </c>
      <c r="AB195" s="10">
        <f t="shared" si="16"/>
        <v>0</v>
      </c>
      <c r="AC195" s="10">
        <f t="shared" si="17"/>
        <v>0</v>
      </c>
      <c r="AD195" s="11">
        <f t="shared" si="18"/>
        <v>100</v>
      </c>
    </row>
    <row r="196" spans="1:30" ht="12.75" x14ac:dyDescent="0.2">
      <c r="A196" s="156"/>
      <c r="B196" s="152"/>
      <c r="C196" s="138"/>
      <c r="D196" s="138"/>
      <c r="E196" s="138"/>
      <c r="F196" s="138"/>
      <c r="G196" s="138"/>
      <c r="H196" s="13" t="s">
        <v>40</v>
      </c>
      <c r="I196" s="13"/>
      <c r="J196" s="23"/>
      <c r="K196" s="13"/>
      <c r="L196" s="23"/>
      <c r="M196" s="23"/>
      <c r="N196" s="13"/>
      <c r="O196" s="13"/>
      <c r="P196" s="13"/>
      <c r="Q196" s="13"/>
      <c r="R196" s="13"/>
      <c r="S196" s="23"/>
      <c r="T196" s="13"/>
      <c r="U196" s="15"/>
      <c r="V196" s="16"/>
      <c r="W196" s="16"/>
      <c r="X196" s="16"/>
      <c r="Y196" s="17">
        <v>20</v>
      </c>
      <c r="Z196" s="17">
        <v>35</v>
      </c>
      <c r="AA196" s="18">
        <f t="shared" si="15"/>
        <v>1</v>
      </c>
      <c r="AB196" s="18">
        <f t="shared" si="16"/>
        <v>0</v>
      </c>
      <c r="AC196" s="18">
        <f t="shared" si="17"/>
        <v>0</v>
      </c>
      <c r="AD196" s="19">
        <f t="shared" si="18"/>
        <v>100</v>
      </c>
    </row>
    <row r="197" spans="1:30" ht="12.75" x14ac:dyDescent="0.2">
      <c r="A197" s="156"/>
      <c r="B197" s="152"/>
      <c r="C197" s="137"/>
      <c r="D197" s="141"/>
      <c r="E197" s="141"/>
      <c r="F197" s="141"/>
      <c r="G197" s="141"/>
      <c r="H197" s="115" t="s">
        <v>39</v>
      </c>
      <c r="I197" s="115"/>
      <c r="J197" s="20"/>
      <c r="K197" s="115"/>
      <c r="L197" s="20"/>
      <c r="M197" s="20"/>
      <c r="N197" s="115"/>
      <c r="O197" s="115"/>
      <c r="P197" s="115"/>
      <c r="Q197" s="115"/>
      <c r="R197" s="115"/>
      <c r="S197" s="20"/>
      <c r="T197" s="115"/>
      <c r="U197" s="21"/>
      <c r="V197" s="8"/>
      <c r="W197" s="8"/>
      <c r="X197" s="8"/>
      <c r="Y197" s="9">
        <v>20</v>
      </c>
      <c r="Z197" s="9">
        <v>35</v>
      </c>
      <c r="AA197" s="10">
        <f t="shared" si="15"/>
        <v>1</v>
      </c>
      <c r="AB197" s="10">
        <f t="shared" si="16"/>
        <v>0</v>
      </c>
      <c r="AC197" s="10">
        <f t="shared" si="17"/>
        <v>0</v>
      </c>
      <c r="AD197" s="11">
        <f t="shared" si="18"/>
        <v>100</v>
      </c>
    </row>
    <row r="198" spans="1:30" ht="12.75" x14ac:dyDescent="0.2">
      <c r="A198" s="156"/>
      <c r="B198" s="152"/>
      <c r="C198" s="138"/>
      <c r="D198" s="138"/>
      <c r="E198" s="138"/>
      <c r="F198" s="138"/>
      <c r="G198" s="138"/>
      <c r="H198" s="13" t="s">
        <v>40</v>
      </c>
      <c r="I198" s="13"/>
      <c r="J198" s="23"/>
      <c r="K198" s="13"/>
      <c r="L198" s="23"/>
      <c r="M198" s="23"/>
      <c r="N198" s="13"/>
      <c r="O198" s="13"/>
      <c r="P198" s="13"/>
      <c r="Q198" s="13"/>
      <c r="R198" s="13"/>
      <c r="S198" s="23"/>
      <c r="T198" s="13"/>
      <c r="U198" s="15"/>
      <c r="V198" s="16"/>
      <c r="W198" s="16"/>
      <c r="X198" s="16"/>
      <c r="Y198" s="17">
        <v>20</v>
      </c>
      <c r="Z198" s="17">
        <v>35</v>
      </c>
      <c r="AA198" s="18">
        <f t="shared" si="15"/>
        <v>1</v>
      </c>
      <c r="AB198" s="18">
        <f t="shared" si="16"/>
        <v>0</v>
      </c>
      <c r="AC198" s="18">
        <f t="shared" si="17"/>
        <v>0</v>
      </c>
      <c r="AD198" s="19">
        <f t="shared" si="18"/>
        <v>100</v>
      </c>
    </row>
    <row r="199" spans="1:30" ht="12.75" x14ac:dyDescent="0.2">
      <c r="A199" s="156"/>
      <c r="B199" s="152"/>
      <c r="C199" s="137"/>
      <c r="D199" s="141"/>
      <c r="E199" s="141"/>
      <c r="F199" s="141"/>
      <c r="G199" s="141"/>
      <c r="H199" s="115" t="s">
        <v>39</v>
      </c>
      <c r="I199" s="115"/>
      <c r="J199" s="20"/>
      <c r="K199" s="115"/>
      <c r="L199" s="20"/>
      <c r="M199" s="20"/>
      <c r="N199" s="115"/>
      <c r="O199" s="115"/>
      <c r="P199" s="115"/>
      <c r="Q199" s="115"/>
      <c r="R199" s="115"/>
      <c r="S199" s="20"/>
      <c r="T199" s="115"/>
      <c r="U199" s="21"/>
      <c r="V199" s="8"/>
      <c r="W199" s="8"/>
      <c r="X199" s="8"/>
      <c r="Y199" s="9">
        <v>20</v>
      </c>
      <c r="Z199" s="9">
        <v>35</v>
      </c>
      <c r="AA199" s="10">
        <f t="shared" si="15"/>
        <v>1</v>
      </c>
      <c r="AB199" s="10">
        <f t="shared" si="16"/>
        <v>0</v>
      </c>
      <c r="AC199" s="10">
        <f t="shared" si="17"/>
        <v>0</v>
      </c>
      <c r="AD199" s="11">
        <f t="shared" si="18"/>
        <v>100</v>
      </c>
    </row>
    <row r="200" spans="1:30" ht="12.75" x14ac:dyDescent="0.2">
      <c r="A200" s="156"/>
      <c r="B200" s="152"/>
      <c r="C200" s="138"/>
      <c r="D200" s="138"/>
      <c r="E200" s="138"/>
      <c r="F200" s="138"/>
      <c r="G200" s="138"/>
      <c r="H200" s="13" t="s">
        <v>40</v>
      </c>
      <c r="I200" s="13"/>
      <c r="J200" s="23"/>
      <c r="K200" s="13"/>
      <c r="L200" s="23"/>
      <c r="M200" s="23"/>
      <c r="N200" s="13"/>
      <c r="O200" s="13"/>
      <c r="P200" s="13"/>
      <c r="Q200" s="13"/>
      <c r="R200" s="13"/>
      <c r="S200" s="23"/>
      <c r="T200" s="13"/>
      <c r="U200" s="15"/>
      <c r="V200" s="16"/>
      <c r="W200" s="16"/>
      <c r="X200" s="16"/>
      <c r="Y200" s="17">
        <v>20</v>
      </c>
      <c r="Z200" s="17">
        <v>35</v>
      </c>
      <c r="AA200" s="18">
        <f t="shared" si="15"/>
        <v>1</v>
      </c>
      <c r="AB200" s="18">
        <f t="shared" si="16"/>
        <v>0</v>
      </c>
      <c r="AC200" s="18">
        <f t="shared" si="17"/>
        <v>0</v>
      </c>
      <c r="AD200" s="19">
        <f t="shared" si="18"/>
        <v>100</v>
      </c>
    </row>
    <row r="201" spans="1:30" ht="12.75" x14ac:dyDescent="0.2">
      <c r="A201" s="156"/>
      <c r="B201" s="152"/>
      <c r="C201" s="137"/>
      <c r="D201" s="141"/>
      <c r="E201" s="141"/>
      <c r="F201" s="141"/>
      <c r="G201" s="141"/>
      <c r="H201" s="115" t="s">
        <v>39</v>
      </c>
      <c r="I201" s="115"/>
      <c r="J201" s="20"/>
      <c r="K201" s="115"/>
      <c r="L201" s="20"/>
      <c r="M201" s="20"/>
      <c r="N201" s="115"/>
      <c r="O201" s="115"/>
      <c r="P201" s="115"/>
      <c r="Q201" s="115"/>
      <c r="R201" s="115"/>
      <c r="S201" s="20"/>
      <c r="T201" s="115"/>
      <c r="U201" s="21"/>
      <c r="V201" s="8"/>
      <c r="W201" s="8"/>
      <c r="X201" s="8"/>
      <c r="Y201" s="9">
        <v>20</v>
      </c>
      <c r="Z201" s="9">
        <v>35</v>
      </c>
      <c r="AA201" s="10">
        <f t="shared" si="15"/>
        <v>1</v>
      </c>
      <c r="AB201" s="10">
        <f t="shared" si="16"/>
        <v>0</v>
      </c>
      <c r="AC201" s="10">
        <f t="shared" si="17"/>
        <v>0</v>
      </c>
      <c r="AD201" s="11">
        <f t="shared" si="18"/>
        <v>100</v>
      </c>
    </row>
    <row r="202" spans="1:30" ht="12.75" x14ac:dyDescent="0.2">
      <c r="A202" s="156"/>
      <c r="B202" s="152"/>
      <c r="C202" s="138"/>
      <c r="D202" s="138"/>
      <c r="E202" s="138"/>
      <c r="F202" s="138"/>
      <c r="G202" s="138"/>
      <c r="H202" s="13" t="s">
        <v>40</v>
      </c>
      <c r="I202" s="13"/>
      <c r="J202" s="23"/>
      <c r="K202" s="13"/>
      <c r="L202" s="23"/>
      <c r="M202" s="23"/>
      <c r="N202" s="13"/>
      <c r="O202" s="13"/>
      <c r="P202" s="13"/>
      <c r="Q202" s="13"/>
      <c r="R202" s="13"/>
      <c r="S202" s="23"/>
      <c r="T202" s="13"/>
      <c r="U202" s="15"/>
      <c r="V202" s="16"/>
      <c r="W202" s="16"/>
      <c r="X202" s="16"/>
      <c r="Y202" s="17">
        <v>20</v>
      </c>
      <c r="Z202" s="17">
        <v>35</v>
      </c>
      <c r="AA202" s="18">
        <f t="shared" si="15"/>
        <v>1</v>
      </c>
      <c r="AB202" s="18">
        <f t="shared" si="16"/>
        <v>0</v>
      </c>
      <c r="AC202" s="18">
        <f t="shared" si="17"/>
        <v>0</v>
      </c>
      <c r="AD202" s="19">
        <f t="shared" si="18"/>
        <v>100</v>
      </c>
    </row>
    <row r="203" spans="1:30" ht="12.75" x14ac:dyDescent="0.2">
      <c r="A203" s="156"/>
      <c r="B203" s="152"/>
      <c r="C203" s="137"/>
      <c r="D203" s="141"/>
      <c r="E203" s="141"/>
      <c r="F203" s="141"/>
      <c r="G203" s="141"/>
      <c r="H203" s="115" t="s">
        <v>39</v>
      </c>
      <c r="I203" s="115"/>
      <c r="J203" s="20"/>
      <c r="K203" s="115"/>
      <c r="L203" s="20"/>
      <c r="M203" s="20"/>
      <c r="N203" s="115"/>
      <c r="O203" s="115"/>
      <c r="P203" s="115"/>
      <c r="Q203" s="115"/>
      <c r="R203" s="115"/>
      <c r="S203" s="20"/>
      <c r="T203" s="115"/>
      <c r="U203" s="21"/>
      <c r="V203" s="8"/>
      <c r="W203" s="8"/>
      <c r="X203" s="8"/>
      <c r="Y203" s="9">
        <v>20</v>
      </c>
      <c r="Z203" s="9">
        <v>35</v>
      </c>
      <c r="AA203" s="10">
        <f t="shared" si="15"/>
        <v>1</v>
      </c>
      <c r="AB203" s="10">
        <f t="shared" si="16"/>
        <v>0</v>
      </c>
      <c r="AC203" s="10">
        <f t="shared" si="17"/>
        <v>0</v>
      </c>
      <c r="AD203" s="11">
        <f t="shared" si="18"/>
        <v>100</v>
      </c>
    </row>
    <row r="204" spans="1:30" ht="12.75" x14ac:dyDescent="0.2">
      <c r="A204" s="156"/>
      <c r="B204" s="152"/>
      <c r="C204" s="138"/>
      <c r="D204" s="138"/>
      <c r="E204" s="138"/>
      <c r="F204" s="138"/>
      <c r="G204" s="138"/>
      <c r="H204" s="13" t="s">
        <v>40</v>
      </c>
      <c r="I204" s="13"/>
      <c r="J204" s="23"/>
      <c r="K204" s="13"/>
      <c r="L204" s="23"/>
      <c r="M204" s="23"/>
      <c r="N204" s="13"/>
      <c r="O204" s="13"/>
      <c r="P204" s="13"/>
      <c r="Q204" s="13"/>
      <c r="R204" s="13"/>
      <c r="S204" s="23"/>
      <c r="T204" s="13"/>
      <c r="U204" s="15"/>
      <c r="V204" s="16"/>
      <c r="W204" s="16"/>
      <c r="X204" s="16"/>
      <c r="Y204" s="17">
        <v>20</v>
      </c>
      <c r="Z204" s="17">
        <v>35</v>
      </c>
      <c r="AA204" s="18">
        <f t="shared" si="15"/>
        <v>1</v>
      </c>
      <c r="AB204" s="18">
        <f t="shared" si="16"/>
        <v>0</v>
      </c>
      <c r="AC204" s="18">
        <f t="shared" si="17"/>
        <v>0</v>
      </c>
      <c r="AD204" s="19">
        <f t="shared" si="18"/>
        <v>100</v>
      </c>
    </row>
    <row r="205" spans="1:30" ht="12.75" x14ac:dyDescent="0.2">
      <c r="A205" s="156"/>
      <c r="B205" s="152"/>
      <c r="C205" s="137"/>
      <c r="D205" s="141"/>
      <c r="E205" s="141"/>
      <c r="F205" s="141"/>
      <c r="G205" s="141"/>
      <c r="H205" s="115" t="s">
        <v>39</v>
      </c>
      <c r="I205" s="115"/>
      <c r="J205" s="20"/>
      <c r="K205" s="115"/>
      <c r="L205" s="20"/>
      <c r="M205" s="20"/>
      <c r="N205" s="115"/>
      <c r="O205" s="115"/>
      <c r="P205" s="115"/>
      <c r="Q205" s="115"/>
      <c r="R205" s="115"/>
      <c r="S205" s="20"/>
      <c r="T205" s="115"/>
      <c r="U205" s="21"/>
      <c r="V205" s="8"/>
      <c r="W205" s="8"/>
      <c r="X205" s="8"/>
      <c r="Y205" s="9">
        <v>20</v>
      </c>
      <c r="Z205" s="9">
        <v>35</v>
      </c>
      <c r="AA205" s="10">
        <f t="shared" si="15"/>
        <v>1</v>
      </c>
      <c r="AB205" s="10">
        <f t="shared" si="16"/>
        <v>0</v>
      </c>
      <c r="AC205" s="10">
        <f t="shared" si="17"/>
        <v>0</v>
      </c>
      <c r="AD205" s="11">
        <f t="shared" si="18"/>
        <v>100</v>
      </c>
    </row>
    <row r="206" spans="1:30" ht="12.75" x14ac:dyDescent="0.2">
      <c r="A206" s="156"/>
      <c r="B206" s="152"/>
      <c r="C206" s="138"/>
      <c r="D206" s="138"/>
      <c r="E206" s="138"/>
      <c r="F206" s="138"/>
      <c r="G206" s="138"/>
      <c r="H206" s="13" t="s">
        <v>40</v>
      </c>
      <c r="I206" s="13"/>
      <c r="J206" s="23"/>
      <c r="K206" s="13"/>
      <c r="L206" s="23"/>
      <c r="M206" s="23"/>
      <c r="N206" s="13"/>
      <c r="O206" s="13"/>
      <c r="P206" s="13"/>
      <c r="Q206" s="13"/>
      <c r="R206" s="13"/>
      <c r="S206" s="23"/>
      <c r="T206" s="13"/>
      <c r="U206" s="15"/>
      <c r="V206" s="16"/>
      <c r="W206" s="16"/>
      <c r="X206" s="16"/>
      <c r="Y206" s="17">
        <v>20</v>
      </c>
      <c r="Z206" s="17">
        <v>35</v>
      </c>
      <c r="AA206" s="18">
        <f t="shared" si="15"/>
        <v>1</v>
      </c>
      <c r="AB206" s="18">
        <f t="shared" si="16"/>
        <v>0</v>
      </c>
      <c r="AC206" s="18">
        <f t="shared" si="17"/>
        <v>0</v>
      </c>
      <c r="AD206" s="19">
        <f t="shared" si="18"/>
        <v>100</v>
      </c>
    </row>
    <row r="207" spans="1:30" ht="12.75" x14ac:dyDescent="0.2">
      <c r="A207" s="156"/>
      <c r="B207" s="152"/>
      <c r="C207" s="137"/>
      <c r="D207" s="141"/>
      <c r="E207" s="141"/>
      <c r="F207" s="141"/>
      <c r="G207" s="141"/>
      <c r="H207" s="115" t="s">
        <v>39</v>
      </c>
      <c r="I207" s="115"/>
      <c r="J207" s="20"/>
      <c r="K207" s="115"/>
      <c r="L207" s="20"/>
      <c r="M207" s="20"/>
      <c r="N207" s="115"/>
      <c r="O207" s="115"/>
      <c r="P207" s="115"/>
      <c r="Q207" s="115"/>
      <c r="R207" s="115"/>
      <c r="S207" s="20"/>
      <c r="T207" s="115"/>
      <c r="U207" s="21"/>
      <c r="V207" s="8"/>
      <c r="W207" s="8"/>
      <c r="X207" s="8"/>
      <c r="Y207" s="9">
        <v>20</v>
      </c>
      <c r="Z207" s="9">
        <v>35</v>
      </c>
      <c r="AA207" s="10">
        <f t="shared" si="15"/>
        <v>1</v>
      </c>
      <c r="AB207" s="10">
        <f t="shared" si="16"/>
        <v>0</v>
      </c>
      <c r="AC207" s="10">
        <f t="shared" si="17"/>
        <v>0</v>
      </c>
      <c r="AD207" s="11">
        <f t="shared" si="18"/>
        <v>100</v>
      </c>
    </row>
    <row r="208" spans="1:30" ht="12.75" x14ac:dyDescent="0.2">
      <c r="A208" s="156"/>
      <c r="B208" s="152"/>
      <c r="C208" s="138"/>
      <c r="D208" s="138"/>
      <c r="E208" s="138"/>
      <c r="F208" s="138"/>
      <c r="G208" s="138"/>
      <c r="H208" s="13" t="s">
        <v>40</v>
      </c>
      <c r="I208" s="13"/>
      <c r="J208" s="23"/>
      <c r="K208" s="13"/>
      <c r="L208" s="23"/>
      <c r="M208" s="23"/>
      <c r="N208" s="13"/>
      <c r="O208" s="13"/>
      <c r="P208" s="13"/>
      <c r="Q208" s="13"/>
      <c r="R208" s="13"/>
      <c r="S208" s="23"/>
      <c r="T208" s="13"/>
      <c r="U208" s="15"/>
      <c r="V208" s="16"/>
      <c r="W208" s="16"/>
      <c r="X208" s="16"/>
      <c r="Y208" s="17">
        <v>20</v>
      </c>
      <c r="Z208" s="17">
        <v>35</v>
      </c>
      <c r="AA208" s="18">
        <f t="shared" si="15"/>
        <v>1</v>
      </c>
      <c r="AB208" s="18">
        <f t="shared" si="16"/>
        <v>0</v>
      </c>
      <c r="AC208" s="18">
        <f t="shared" si="17"/>
        <v>0</v>
      </c>
      <c r="AD208" s="19">
        <f t="shared" si="18"/>
        <v>100</v>
      </c>
    </row>
    <row r="209" spans="1:30" ht="12.75" x14ac:dyDescent="0.2">
      <c r="A209" s="156"/>
      <c r="B209" s="152"/>
      <c r="C209" s="137"/>
      <c r="D209" s="141"/>
      <c r="E209" s="141"/>
      <c r="F209" s="141"/>
      <c r="G209" s="141"/>
      <c r="H209" s="115" t="s">
        <v>39</v>
      </c>
      <c r="I209" s="115"/>
      <c r="J209" s="20"/>
      <c r="K209" s="115"/>
      <c r="L209" s="20"/>
      <c r="M209" s="20"/>
      <c r="N209" s="115"/>
      <c r="O209" s="115"/>
      <c r="P209" s="115"/>
      <c r="Q209" s="115"/>
      <c r="R209" s="115"/>
      <c r="S209" s="20"/>
      <c r="T209" s="115"/>
      <c r="U209" s="21"/>
      <c r="V209" s="8"/>
      <c r="W209" s="8"/>
      <c r="X209" s="8"/>
      <c r="Y209" s="9">
        <v>20</v>
      </c>
      <c r="Z209" s="9">
        <v>35</v>
      </c>
      <c r="AA209" s="10">
        <f t="shared" si="15"/>
        <v>1</v>
      </c>
      <c r="AB209" s="10">
        <f t="shared" si="16"/>
        <v>0</v>
      </c>
      <c r="AC209" s="10">
        <f t="shared" si="17"/>
        <v>0</v>
      </c>
      <c r="AD209" s="11">
        <f t="shared" si="18"/>
        <v>100</v>
      </c>
    </row>
    <row r="210" spans="1:30" ht="12.75" x14ac:dyDescent="0.2">
      <c r="A210" s="156"/>
      <c r="B210" s="152"/>
      <c r="C210" s="138"/>
      <c r="D210" s="138"/>
      <c r="E210" s="138"/>
      <c r="F210" s="138"/>
      <c r="G210" s="138"/>
      <c r="H210" s="13" t="s">
        <v>40</v>
      </c>
      <c r="I210" s="13"/>
      <c r="J210" s="23"/>
      <c r="K210" s="13"/>
      <c r="L210" s="23"/>
      <c r="M210" s="23"/>
      <c r="N210" s="13"/>
      <c r="O210" s="13"/>
      <c r="P210" s="13"/>
      <c r="Q210" s="13"/>
      <c r="R210" s="13"/>
      <c r="S210" s="23"/>
      <c r="T210" s="13"/>
      <c r="U210" s="15"/>
      <c r="V210" s="16"/>
      <c r="W210" s="16"/>
      <c r="X210" s="16"/>
      <c r="Y210" s="17">
        <v>20</v>
      </c>
      <c r="Z210" s="17">
        <v>35</v>
      </c>
      <c r="AA210" s="18">
        <f t="shared" si="15"/>
        <v>1</v>
      </c>
      <c r="AB210" s="18">
        <f t="shared" si="16"/>
        <v>0</v>
      </c>
      <c r="AC210" s="18">
        <f t="shared" si="17"/>
        <v>0</v>
      </c>
      <c r="AD210" s="19">
        <f t="shared" si="18"/>
        <v>100</v>
      </c>
    </row>
    <row r="211" spans="1:30" ht="12.75" x14ac:dyDescent="0.2">
      <c r="A211" s="156"/>
      <c r="B211" s="152"/>
      <c r="C211" s="137"/>
      <c r="D211" s="141"/>
      <c r="E211" s="141"/>
      <c r="F211" s="141"/>
      <c r="G211" s="141"/>
      <c r="H211" s="115" t="s">
        <v>39</v>
      </c>
      <c r="I211" s="115"/>
      <c r="J211" s="20"/>
      <c r="K211" s="115"/>
      <c r="L211" s="20"/>
      <c r="M211" s="20"/>
      <c r="N211" s="115"/>
      <c r="O211" s="115"/>
      <c r="P211" s="115"/>
      <c r="Q211" s="115"/>
      <c r="R211" s="115"/>
      <c r="S211" s="20"/>
      <c r="T211" s="115"/>
      <c r="U211" s="21"/>
      <c r="V211" s="8"/>
      <c r="W211" s="8"/>
      <c r="X211" s="8"/>
      <c r="Y211" s="9">
        <v>20</v>
      </c>
      <c r="Z211" s="9">
        <v>35</v>
      </c>
      <c r="AA211" s="10">
        <f t="shared" si="15"/>
        <v>1</v>
      </c>
      <c r="AB211" s="10">
        <f t="shared" si="16"/>
        <v>0</v>
      </c>
      <c r="AC211" s="10">
        <f t="shared" si="17"/>
        <v>0</v>
      </c>
      <c r="AD211" s="11">
        <f t="shared" si="18"/>
        <v>100</v>
      </c>
    </row>
    <row r="212" spans="1:30" ht="12.75" x14ac:dyDescent="0.2">
      <c r="A212" s="156"/>
      <c r="B212" s="152"/>
      <c r="C212" s="138"/>
      <c r="D212" s="138"/>
      <c r="E212" s="138"/>
      <c r="F212" s="138"/>
      <c r="G212" s="138"/>
      <c r="H212" s="13" t="s">
        <v>40</v>
      </c>
      <c r="I212" s="13"/>
      <c r="J212" s="23"/>
      <c r="K212" s="13"/>
      <c r="L212" s="23"/>
      <c r="M212" s="23"/>
      <c r="N212" s="13"/>
      <c r="O212" s="13"/>
      <c r="P212" s="13"/>
      <c r="Q212" s="13"/>
      <c r="R212" s="13"/>
      <c r="S212" s="23"/>
      <c r="T212" s="13"/>
      <c r="U212" s="15"/>
      <c r="V212" s="16"/>
      <c r="W212" s="16"/>
      <c r="X212" s="16"/>
      <c r="Y212" s="17">
        <v>20</v>
      </c>
      <c r="Z212" s="17">
        <v>35</v>
      </c>
      <c r="AA212" s="18">
        <f t="shared" si="15"/>
        <v>1</v>
      </c>
      <c r="AB212" s="18">
        <f t="shared" si="16"/>
        <v>0</v>
      </c>
      <c r="AC212" s="18">
        <f t="shared" si="17"/>
        <v>0</v>
      </c>
      <c r="AD212" s="19">
        <f t="shared" si="18"/>
        <v>100</v>
      </c>
    </row>
    <row r="213" spans="1:30" ht="12.75" x14ac:dyDescent="0.2">
      <c r="A213" s="156"/>
      <c r="B213" s="152"/>
      <c r="C213" s="137"/>
      <c r="D213" s="141"/>
      <c r="E213" s="141"/>
      <c r="F213" s="141"/>
      <c r="G213" s="141"/>
      <c r="H213" s="115" t="s">
        <v>39</v>
      </c>
      <c r="I213" s="115"/>
      <c r="J213" s="20"/>
      <c r="K213" s="115"/>
      <c r="L213" s="20"/>
      <c r="M213" s="20"/>
      <c r="N213" s="115"/>
      <c r="O213" s="115"/>
      <c r="P213" s="115"/>
      <c r="Q213" s="115"/>
      <c r="R213" s="115"/>
      <c r="S213" s="20"/>
      <c r="T213" s="115"/>
      <c r="U213" s="21"/>
      <c r="V213" s="8"/>
      <c r="W213" s="8"/>
      <c r="X213" s="8"/>
      <c r="Y213" s="9">
        <v>20</v>
      </c>
      <c r="Z213" s="9">
        <v>35</v>
      </c>
      <c r="AA213" s="10">
        <f t="shared" si="15"/>
        <v>1</v>
      </c>
      <c r="AB213" s="10">
        <f t="shared" si="16"/>
        <v>0</v>
      </c>
      <c r="AC213" s="10">
        <f t="shared" si="17"/>
        <v>0</v>
      </c>
      <c r="AD213" s="11">
        <f t="shared" si="18"/>
        <v>100</v>
      </c>
    </row>
    <row r="214" spans="1:30" ht="12.75" x14ac:dyDescent="0.2">
      <c r="A214" s="156"/>
      <c r="B214" s="152"/>
      <c r="C214" s="138"/>
      <c r="D214" s="138"/>
      <c r="E214" s="138"/>
      <c r="F214" s="138"/>
      <c r="G214" s="138"/>
      <c r="H214" s="13" t="s">
        <v>40</v>
      </c>
      <c r="I214" s="13"/>
      <c r="J214" s="23"/>
      <c r="K214" s="13"/>
      <c r="L214" s="23"/>
      <c r="M214" s="23"/>
      <c r="N214" s="13"/>
      <c r="O214" s="13"/>
      <c r="P214" s="13"/>
      <c r="Q214" s="13"/>
      <c r="R214" s="13"/>
      <c r="S214" s="23"/>
      <c r="T214" s="13"/>
      <c r="U214" s="15"/>
      <c r="V214" s="16"/>
      <c r="W214" s="16"/>
      <c r="X214" s="16"/>
      <c r="Y214" s="17">
        <v>20</v>
      </c>
      <c r="Z214" s="17">
        <v>35</v>
      </c>
      <c r="AA214" s="18">
        <f t="shared" si="15"/>
        <v>1</v>
      </c>
      <c r="AB214" s="18">
        <f t="shared" si="16"/>
        <v>0</v>
      </c>
      <c r="AC214" s="18">
        <f t="shared" si="17"/>
        <v>0</v>
      </c>
      <c r="AD214" s="19">
        <f t="shared" si="18"/>
        <v>100</v>
      </c>
    </row>
    <row r="215" spans="1:30" ht="12.75" x14ac:dyDescent="0.2">
      <c r="A215" s="156"/>
      <c r="B215" s="152"/>
      <c r="C215" s="137"/>
      <c r="D215" s="141"/>
      <c r="E215" s="141"/>
      <c r="F215" s="141"/>
      <c r="G215" s="141"/>
      <c r="H215" s="115" t="s">
        <v>39</v>
      </c>
      <c r="I215" s="115"/>
      <c r="J215" s="20"/>
      <c r="K215" s="115"/>
      <c r="L215" s="20"/>
      <c r="M215" s="20"/>
      <c r="N215" s="115"/>
      <c r="O215" s="115"/>
      <c r="P215" s="115"/>
      <c r="Q215" s="115"/>
      <c r="R215" s="115"/>
      <c r="S215" s="20"/>
      <c r="T215" s="115"/>
      <c r="U215" s="21"/>
      <c r="V215" s="8"/>
      <c r="W215" s="8"/>
      <c r="X215" s="8"/>
      <c r="Y215" s="9">
        <v>20</v>
      </c>
      <c r="Z215" s="9">
        <v>35</v>
      </c>
      <c r="AA215" s="10">
        <f t="shared" si="15"/>
        <v>1</v>
      </c>
      <c r="AB215" s="10">
        <f t="shared" si="16"/>
        <v>0</v>
      </c>
      <c r="AC215" s="10">
        <f t="shared" si="17"/>
        <v>0</v>
      </c>
      <c r="AD215" s="11">
        <f t="shared" si="18"/>
        <v>100</v>
      </c>
    </row>
    <row r="216" spans="1:30" ht="12.75" x14ac:dyDescent="0.2">
      <c r="A216" s="156"/>
      <c r="B216" s="152"/>
      <c r="C216" s="138"/>
      <c r="D216" s="138"/>
      <c r="E216" s="138"/>
      <c r="F216" s="138"/>
      <c r="G216" s="138"/>
      <c r="H216" s="13" t="s">
        <v>40</v>
      </c>
      <c r="I216" s="13"/>
      <c r="J216" s="23"/>
      <c r="K216" s="13"/>
      <c r="L216" s="23"/>
      <c r="M216" s="23"/>
      <c r="N216" s="13"/>
      <c r="O216" s="13"/>
      <c r="P216" s="13"/>
      <c r="Q216" s="13"/>
      <c r="R216" s="13"/>
      <c r="S216" s="23"/>
      <c r="T216" s="13"/>
      <c r="U216" s="15"/>
      <c r="V216" s="16"/>
      <c r="W216" s="16"/>
      <c r="X216" s="16"/>
      <c r="Y216" s="17">
        <v>20</v>
      </c>
      <c r="Z216" s="17">
        <v>35</v>
      </c>
      <c r="AA216" s="18">
        <f t="shared" si="15"/>
        <v>1</v>
      </c>
      <c r="AB216" s="18">
        <f t="shared" si="16"/>
        <v>0</v>
      </c>
      <c r="AC216" s="18">
        <f t="shared" si="17"/>
        <v>0</v>
      </c>
      <c r="AD216" s="19">
        <f t="shared" si="18"/>
        <v>100</v>
      </c>
    </row>
    <row r="217" spans="1:30" ht="12.75" x14ac:dyDescent="0.2">
      <c r="A217" s="156"/>
      <c r="B217" s="152"/>
      <c r="C217" s="137"/>
      <c r="D217" s="141"/>
      <c r="E217" s="141"/>
      <c r="F217" s="141"/>
      <c r="G217" s="141"/>
      <c r="H217" s="115" t="s">
        <v>39</v>
      </c>
      <c r="I217" s="115"/>
      <c r="J217" s="20"/>
      <c r="K217" s="115"/>
      <c r="L217" s="20"/>
      <c r="M217" s="20"/>
      <c r="N217" s="115"/>
      <c r="O217" s="115"/>
      <c r="P217" s="115"/>
      <c r="Q217" s="115"/>
      <c r="R217" s="115"/>
      <c r="S217" s="20"/>
      <c r="T217" s="115"/>
      <c r="U217" s="21"/>
      <c r="V217" s="8"/>
      <c r="W217" s="8"/>
      <c r="X217" s="8"/>
      <c r="Y217" s="9">
        <v>20</v>
      </c>
      <c r="Z217" s="9">
        <v>35</v>
      </c>
      <c r="AA217" s="10">
        <f t="shared" si="15"/>
        <v>1</v>
      </c>
      <c r="AB217" s="10">
        <f t="shared" si="16"/>
        <v>0</v>
      </c>
      <c r="AC217" s="10">
        <f t="shared" si="17"/>
        <v>0</v>
      </c>
      <c r="AD217" s="11">
        <f t="shared" si="18"/>
        <v>100</v>
      </c>
    </row>
    <row r="218" spans="1:30" ht="12.75" x14ac:dyDescent="0.2">
      <c r="A218" s="156"/>
      <c r="B218" s="152"/>
      <c r="C218" s="138"/>
      <c r="D218" s="138"/>
      <c r="E218" s="138"/>
      <c r="F218" s="138"/>
      <c r="G218" s="138"/>
      <c r="H218" s="13" t="s">
        <v>40</v>
      </c>
      <c r="I218" s="13"/>
      <c r="J218" s="23"/>
      <c r="K218" s="13"/>
      <c r="L218" s="23"/>
      <c r="M218" s="23"/>
      <c r="N218" s="13"/>
      <c r="O218" s="13"/>
      <c r="P218" s="13"/>
      <c r="Q218" s="13"/>
      <c r="R218" s="13"/>
      <c r="S218" s="23"/>
      <c r="T218" s="13"/>
      <c r="U218" s="15"/>
      <c r="V218" s="16"/>
      <c r="W218" s="16"/>
      <c r="X218" s="16"/>
      <c r="Y218" s="17">
        <v>20</v>
      </c>
      <c r="Z218" s="17">
        <v>35</v>
      </c>
      <c r="AA218" s="18">
        <f t="shared" si="15"/>
        <v>1</v>
      </c>
      <c r="AB218" s="18">
        <f t="shared" si="16"/>
        <v>0</v>
      </c>
      <c r="AC218" s="18">
        <f t="shared" si="17"/>
        <v>0</v>
      </c>
      <c r="AD218" s="19">
        <f t="shared" si="18"/>
        <v>100</v>
      </c>
    </row>
    <row r="219" spans="1:30" ht="12.75" x14ac:dyDescent="0.2">
      <c r="A219" s="156"/>
      <c r="B219" s="152"/>
      <c r="C219" s="137"/>
      <c r="D219" s="141"/>
      <c r="E219" s="141"/>
      <c r="F219" s="141"/>
      <c r="G219" s="141"/>
      <c r="H219" s="115" t="s">
        <v>39</v>
      </c>
      <c r="I219" s="115"/>
      <c r="J219" s="20"/>
      <c r="K219" s="115"/>
      <c r="L219" s="20"/>
      <c r="M219" s="20"/>
      <c r="N219" s="115"/>
      <c r="O219" s="115"/>
      <c r="P219" s="115"/>
      <c r="Q219" s="115"/>
      <c r="R219" s="115"/>
      <c r="S219" s="20"/>
      <c r="T219" s="115"/>
      <c r="U219" s="21"/>
      <c r="V219" s="8"/>
      <c r="W219" s="8"/>
      <c r="X219" s="8"/>
      <c r="Y219" s="9">
        <v>20</v>
      </c>
      <c r="Z219" s="9">
        <v>35</v>
      </c>
      <c r="AA219" s="10">
        <f t="shared" si="15"/>
        <v>1</v>
      </c>
      <c r="AB219" s="10">
        <f t="shared" si="16"/>
        <v>0</v>
      </c>
      <c r="AC219" s="10">
        <f t="shared" si="17"/>
        <v>0</v>
      </c>
      <c r="AD219" s="11">
        <f t="shared" si="18"/>
        <v>100</v>
      </c>
    </row>
    <row r="220" spans="1:30" ht="12.75" x14ac:dyDescent="0.2">
      <c r="A220" s="156"/>
      <c r="B220" s="152"/>
      <c r="C220" s="138"/>
      <c r="D220" s="138"/>
      <c r="E220" s="138"/>
      <c r="F220" s="138"/>
      <c r="G220" s="138"/>
      <c r="H220" s="13" t="s">
        <v>40</v>
      </c>
      <c r="I220" s="13"/>
      <c r="J220" s="23"/>
      <c r="K220" s="13"/>
      <c r="L220" s="23"/>
      <c r="M220" s="23"/>
      <c r="N220" s="13"/>
      <c r="O220" s="13"/>
      <c r="P220" s="13"/>
      <c r="Q220" s="13"/>
      <c r="R220" s="13"/>
      <c r="S220" s="23"/>
      <c r="T220" s="13"/>
      <c r="U220" s="15"/>
      <c r="V220" s="16"/>
      <c r="W220" s="16"/>
      <c r="X220" s="16"/>
      <c r="Y220" s="17">
        <v>20</v>
      </c>
      <c r="Z220" s="17">
        <v>35</v>
      </c>
      <c r="AA220" s="18">
        <f t="shared" si="15"/>
        <v>1</v>
      </c>
      <c r="AB220" s="18">
        <f t="shared" si="16"/>
        <v>0</v>
      </c>
      <c r="AC220" s="18">
        <f t="shared" si="17"/>
        <v>0</v>
      </c>
      <c r="AD220" s="19">
        <f t="shared" si="18"/>
        <v>100</v>
      </c>
    </row>
    <row r="221" spans="1:30" ht="12.75" x14ac:dyDescent="0.2">
      <c r="A221" s="156"/>
      <c r="B221" s="152"/>
      <c r="C221" s="137"/>
      <c r="D221" s="141"/>
      <c r="E221" s="141"/>
      <c r="F221" s="141"/>
      <c r="G221" s="141"/>
      <c r="H221" s="115" t="s">
        <v>39</v>
      </c>
      <c r="I221" s="115"/>
      <c r="J221" s="20"/>
      <c r="K221" s="115"/>
      <c r="L221" s="20"/>
      <c r="M221" s="20"/>
      <c r="N221" s="115"/>
      <c r="O221" s="115"/>
      <c r="P221" s="115"/>
      <c r="Q221" s="115"/>
      <c r="R221" s="115"/>
      <c r="S221" s="20"/>
      <c r="T221" s="115"/>
      <c r="U221" s="21"/>
      <c r="V221" s="8"/>
      <c r="W221" s="8"/>
      <c r="X221" s="8"/>
      <c r="Y221" s="9">
        <v>20</v>
      </c>
      <c r="Z221" s="9">
        <v>35</v>
      </c>
      <c r="AA221" s="10">
        <f t="shared" si="15"/>
        <v>1</v>
      </c>
      <c r="AB221" s="10">
        <f t="shared" si="16"/>
        <v>0</v>
      </c>
      <c r="AC221" s="10">
        <f t="shared" si="17"/>
        <v>0</v>
      </c>
      <c r="AD221" s="11">
        <f t="shared" si="18"/>
        <v>100</v>
      </c>
    </row>
    <row r="222" spans="1:30" ht="12.75" x14ac:dyDescent="0.2">
      <c r="A222" s="156"/>
      <c r="B222" s="152"/>
      <c r="C222" s="138"/>
      <c r="D222" s="138"/>
      <c r="E222" s="138"/>
      <c r="F222" s="138"/>
      <c r="G222" s="138"/>
      <c r="H222" s="13" t="s">
        <v>40</v>
      </c>
      <c r="I222" s="13"/>
      <c r="J222" s="23"/>
      <c r="K222" s="13"/>
      <c r="L222" s="23"/>
      <c r="M222" s="23"/>
      <c r="N222" s="13"/>
      <c r="O222" s="13"/>
      <c r="P222" s="13"/>
      <c r="Q222" s="13"/>
      <c r="R222" s="13"/>
      <c r="S222" s="23"/>
      <c r="T222" s="13"/>
      <c r="U222" s="15"/>
      <c r="V222" s="16"/>
      <c r="W222" s="16"/>
      <c r="X222" s="16"/>
      <c r="Y222" s="17">
        <v>20</v>
      </c>
      <c r="Z222" s="17">
        <v>35</v>
      </c>
      <c r="AA222" s="18">
        <f t="shared" si="15"/>
        <v>1</v>
      </c>
      <c r="AB222" s="18">
        <f t="shared" si="16"/>
        <v>0</v>
      </c>
      <c r="AC222" s="18">
        <f t="shared" si="17"/>
        <v>0</v>
      </c>
      <c r="AD222" s="19">
        <f t="shared" si="18"/>
        <v>100</v>
      </c>
    </row>
    <row r="223" spans="1:30" ht="12.75" x14ac:dyDescent="0.2">
      <c r="A223" s="156"/>
      <c r="B223" s="152"/>
      <c r="C223" s="137"/>
      <c r="D223" s="141"/>
      <c r="E223" s="141"/>
      <c r="F223" s="141"/>
      <c r="G223" s="141"/>
      <c r="H223" s="115" t="s">
        <v>39</v>
      </c>
      <c r="I223" s="115"/>
      <c r="J223" s="20"/>
      <c r="K223" s="115"/>
      <c r="L223" s="20"/>
      <c r="M223" s="20"/>
      <c r="N223" s="115"/>
      <c r="O223" s="115"/>
      <c r="P223" s="115"/>
      <c r="Q223" s="115"/>
      <c r="R223" s="115"/>
      <c r="S223" s="20"/>
      <c r="T223" s="115"/>
      <c r="U223" s="21"/>
      <c r="V223" s="8"/>
      <c r="W223" s="8"/>
      <c r="X223" s="8"/>
      <c r="Y223" s="9">
        <v>20</v>
      </c>
      <c r="Z223" s="9">
        <v>35</v>
      </c>
      <c r="AA223" s="10">
        <f t="shared" si="15"/>
        <v>1</v>
      </c>
      <c r="AB223" s="10">
        <f t="shared" si="16"/>
        <v>0</v>
      </c>
      <c r="AC223" s="10">
        <f t="shared" si="17"/>
        <v>0</v>
      </c>
      <c r="AD223" s="11">
        <f t="shared" si="18"/>
        <v>100</v>
      </c>
    </row>
    <row r="224" spans="1:30" ht="12.75" x14ac:dyDescent="0.2">
      <c r="A224" s="156"/>
      <c r="B224" s="152"/>
      <c r="C224" s="138"/>
      <c r="D224" s="138"/>
      <c r="E224" s="138"/>
      <c r="F224" s="138"/>
      <c r="G224" s="138"/>
      <c r="H224" s="13" t="s">
        <v>40</v>
      </c>
      <c r="I224" s="13"/>
      <c r="J224" s="23"/>
      <c r="K224" s="13"/>
      <c r="L224" s="23"/>
      <c r="M224" s="23"/>
      <c r="N224" s="13"/>
      <c r="O224" s="13"/>
      <c r="P224" s="13"/>
      <c r="Q224" s="13"/>
      <c r="R224" s="13"/>
      <c r="S224" s="23"/>
      <c r="T224" s="13"/>
      <c r="U224" s="15"/>
      <c r="V224" s="16"/>
      <c r="W224" s="16"/>
      <c r="X224" s="16"/>
      <c r="Y224" s="17">
        <v>20</v>
      </c>
      <c r="Z224" s="17">
        <v>35</v>
      </c>
      <c r="AA224" s="18">
        <f t="shared" si="15"/>
        <v>1</v>
      </c>
      <c r="AB224" s="18">
        <f t="shared" si="16"/>
        <v>0</v>
      </c>
      <c r="AC224" s="18">
        <f t="shared" si="17"/>
        <v>0</v>
      </c>
      <c r="AD224" s="19">
        <f t="shared" si="18"/>
        <v>100</v>
      </c>
    </row>
    <row r="225" spans="1:30" ht="12.75" x14ac:dyDescent="0.2">
      <c r="A225" s="156"/>
      <c r="B225" s="152"/>
      <c r="C225" s="137"/>
      <c r="D225" s="141"/>
      <c r="E225" s="141"/>
      <c r="F225" s="141"/>
      <c r="G225" s="141"/>
      <c r="H225" s="115" t="s">
        <v>39</v>
      </c>
      <c r="I225" s="115"/>
      <c r="J225" s="20"/>
      <c r="K225" s="115"/>
      <c r="L225" s="20"/>
      <c r="M225" s="20"/>
      <c r="N225" s="115"/>
      <c r="O225" s="115"/>
      <c r="P225" s="115"/>
      <c r="Q225" s="115"/>
      <c r="R225" s="115"/>
      <c r="S225" s="20"/>
      <c r="T225" s="115"/>
      <c r="U225" s="21"/>
      <c r="V225" s="8"/>
      <c r="W225" s="8"/>
      <c r="X225" s="8"/>
      <c r="Y225" s="9">
        <v>20</v>
      </c>
      <c r="Z225" s="9">
        <v>35</v>
      </c>
      <c r="AA225" s="10">
        <f t="shared" si="15"/>
        <v>1</v>
      </c>
      <c r="AB225" s="10">
        <f t="shared" si="16"/>
        <v>0</v>
      </c>
      <c r="AC225" s="10">
        <f t="shared" si="17"/>
        <v>0</v>
      </c>
      <c r="AD225" s="11">
        <f t="shared" si="18"/>
        <v>100</v>
      </c>
    </row>
    <row r="226" spans="1:30" ht="12.75" x14ac:dyDescent="0.2">
      <c r="A226" s="156"/>
      <c r="B226" s="152"/>
      <c r="C226" s="138"/>
      <c r="D226" s="138"/>
      <c r="E226" s="138"/>
      <c r="F226" s="138"/>
      <c r="G226" s="138"/>
      <c r="H226" s="13" t="s">
        <v>40</v>
      </c>
      <c r="I226" s="13"/>
      <c r="J226" s="23"/>
      <c r="K226" s="13"/>
      <c r="L226" s="23"/>
      <c r="M226" s="23"/>
      <c r="N226" s="13"/>
      <c r="O226" s="13"/>
      <c r="P226" s="13"/>
      <c r="Q226" s="13"/>
      <c r="R226" s="13"/>
      <c r="S226" s="23"/>
      <c r="T226" s="13"/>
      <c r="U226" s="15"/>
      <c r="V226" s="16"/>
      <c r="W226" s="16"/>
      <c r="X226" s="16"/>
      <c r="Y226" s="17">
        <v>20</v>
      </c>
      <c r="Z226" s="17">
        <v>35</v>
      </c>
      <c r="AA226" s="18">
        <f t="shared" si="15"/>
        <v>1</v>
      </c>
      <c r="AB226" s="18">
        <f t="shared" si="16"/>
        <v>0</v>
      </c>
      <c r="AC226" s="18">
        <f t="shared" si="17"/>
        <v>0</v>
      </c>
      <c r="AD226" s="19">
        <f t="shared" si="18"/>
        <v>100</v>
      </c>
    </row>
    <row r="227" spans="1:30" ht="12.75" x14ac:dyDescent="0.2">
      <c r="A227" s="156"/>
      <c r="B227" s="152"/>
      <c r="C227" s="137"/>
      <c r="D227" s="141"/>
      <c r="E227" s="141"/>
      <c r="F227" s="141"/>
      <c r="G227" s="141"/>
      <c r="H227" s="115" t="s">
        <v>39</v>
      </c>
      <c r="I227" s="115"/>
      <c r="J227" s="20"/>
      <c r="K227" s="115"/>
      <c r="L227" s="20"/>
      <c r="M227" s="20"/>
      <c r="N227" s="115"/>
      <c r="O227" s="115"/>
      <c r="P227" s="115"/>
      <c r="Q227" s="115"/>
      <c r="R227" s="115"/>
      <c r="S227" s="20"/>
      <c r="T227" s="115"/>
      <c r="U227" s="21"/>
      <c r="V227" s="8"/>
      <c r="W227" s="8"/>
      <c r="X227" s="8"/>
      <c r="Y227" s="9">
        <v>20</v>
      </c>
      <c r="Z227" s="9">
        <v>35</v>
      </c>
      <c r="AA227" s="10">
        <f t="shared" si="15"/>
        <v>1</v>
      </c>
      <c r="AB227" s="10">
        <f t="shared" si="16"/>
        <v>0</v>
      </c>
      <c r="AC227" s="10">
        <f t="shared" si="17"/>
        <v>0</v>
      </c>
      <c r="AD227" s="11">
        <f t="shared" si="18"/>
        <v>100</v>
      </c>
    </row>
    <row r="228" spans="1:30" ht="12.75" x14ac:dyDescent="0.2">
      <c r="A228" s="156"/>
      <c r="B228" s="152"/>
      <c r="C228" s="138"/>
      <c r="D228" s="138"/>
      <c r="E228" s="138"/>
      <c r="F228" s="138"/>
      <c r="G228" s="138"/>
      <c r="H228" s="13" t="s">
        <v>40</v>
      </c>
      <c r="I228" s="13"/>
      <c r="J228" s="23"/>
      <c r="K228" s="13"/>
      <c r="L228" s="23"/>
      <c r="M228" s="23"/>
      <c r="N228" s="13"/>
      <c r="O228" s="13"/>
      <c r="P228" s="13"/>
      <c r="Q228" s="13"/>
      <c r="R228" s="13"/>
      <c r="S228" s="23"/>
      <c r="T228" s="13"/>
      <c r="U228" s="15"/>
      <c r="V228" s="16"/>
      <c r="W228" s="16"/>
      <c r="X228" s="16"/>
      <c r="Y228" s="17">
        <v>20</v>
      </c>
      <c r="Z228" s="17">
        <v>35</v>
      </c>
      <c r="AA228" s="18">
        <f t="shared" si="15"/>
        <v>1</v>
      </c>
      <c r="AB228" s="18">
        <f t="shared" si="16"/>
        <v>0</v>
      </c>
      <c r="AC228" s="18">
        <f t="shared" si="17"/>
        <v>0</v>
      </c>
      <c r="AD228" s="19">
        <f t="shared" si="18"/>
        <v>100</v>
      </c>
    </row>
    <row r="229" spans="1:30" ht="12.75" x14ac:dyDescent="0.2">
      <c r="A229" s="156"/>
      <c r="B229" s="152"/>
      <c r="C229" s="137"/>
      <c r="D229" s="141"/>
      <c r="E229" s="141"/>
      <c r="F229" s="141"/>
      <c r="G229" s="141"/>
      <c r="H229" s="115" t="s">
        <v>39</v>
      </c>
      <c r="I229" s="115"/>
      <c r="J229" s="20"/>
      <c r="K229" s="115"/>
      <c r="L229" s="20"/>
      <c r="M229" s="20"/>
      <c r="N229" s="115"/>
      <c r="O229" s="115"/>
      <c r="P229" s="115"/>
      <c r="Q229" s="115"/>
      <c r="R229" s="115"/>
      <c r="S229" s="20"/>
      <c r="T229" s="115"/>
      <c r="U229" s="21"/>
      <c r="V229" s="8"/>
      <c r="W229" s="8"/>
      <c r="X229" s="8"/>
      <c r="Y229" s="9">
        <v>20</v>
      </c>
      <c r="Z229" s="9">
        <v>35</v>
      </c>
      <c r="AA229" s="10">
        <f t="shared" si="15"/>
        <v>1</v>
      </c>
      <c r="AB229" s="10">
        <f t="shared" si="16"/>
        <v>0</v>
      </c>
      <c r="AC229" s="10">
        <f t="shared" si="17"/>
        <v>0</v>
      </c>
      <c r="AD229" s="11">
        <f t="shared" si="18"/>
        <v>100</v>
      </c>
    </row>
    <row r="230" spans="1:30" ht="12.75" x14ac:dyDescent="0.2">
      <c r="A230" s="156"/>
      <c r="B230" s="152"/>
      <c r="C230" s="138"/>
      <c r="D230" s="138"/>
      <c r="E230" s="138"/>
      <c r="F230" s="138"/>
      <c r="G230" s="138"/>
      <c r="H230" s="13" t="s">
        <v>40</v>
      </c>
      <c r="I230" s="13"/>
      <c r="J230" s="23"/>
      <c r="K230" s="13"/>
      <c r="L230" s="23"/>
      <c r="M230" s="23"/>
      <c r="N230" s="13"/>
      <c r="O230" s="13"/>
      <c r="P230" s="13"/>
      <c r="Q230" s="13"/>
      <c r="R230" s="13"/>
      <c r="S230" s="23"/>
      <c r="T230" s="13"/>
      <c r="U230" s="15"/>
      <c r="V230" s="16"/>
      <c r="W230" s="16"/>
      <c r="X230" s="16"/>
      <c r="Y230" s="17">
        <v>20</v>
      </c>
      <c r="Z230" s="17">
        <v>35</v>
      </c>
      <c r="AA230" s="18">
        <f t="shared" si="15"/>
        <v>1</v>
      </c>
      <c r="AB230" s="18">
        <f t="shared" si="16"/>
        <v>0</v>
      </c>
      <c r="AC230" s="18">
        <f t="shared" si="17"/>
        <v>0</v>
      </c>
      <c r="AD230" s="19">
        <f t="shared" si="18"/>
        <v>100</v>
      </c>
    </row>
    <row r="231" spans="1:30" ht="12.75" x14ac:dyDescent="0.2">
      <c r="A231" s="156"/>
      <c r="B231" s="152"/>
      <c r="C231" s="137"/>
      <c r="D231" s="141"/>
      <c r="E231" s="141"/>
      <c r="F231" s="141"/>
      <c r="G231" s="141"/>
      <c r="H231" s="115" t="s">
        <v>39</v>
      </c>
      <c r="I231" s="115"/>
      <c r="J231" s="20"/>
      <c r="K231" s="115"/>
      <c r="L231" s="20"/>
      <c r="M231" s="20"/>
      <c r="N231" s="115"/>
      <c r="O231" s="115"/>
      <c r="P231" s="115"/>
      <c r="Q231" s="115"/>
      <c r="R231" s="115"/>
      <c r="S231" s="20"/>
      <c r="T231" s="115"/>
      <c r="U231" s="21"/>
      <c r="V231" s="8"/>
      <c r="W231" s="8"/>
      <c r="X231" s="8"/>
      <c r="Y231" s="9">
        <v>20</v>
      </c>
      <c r="Z231" s="9">
        <v>35</v>
      </c>
      <c r="AA231" s="10">
        <f t="shared" si="15"/>
        <v>1</v>
      </c>
      <c r="AB231" s="10">
        <f t="shared" si="16"/>
        <v>0</v>
      </c>
      <c r="AC231" s="10">
        <f t="shared" si="17"/>
        <v>0</v>
      </c>
      <c r="AD231" s="11">
        <f t="shared" si="18"/>
        <v>100</v>
      </c>
    </row>
    <row r="232" spans="1:30" ht="12.75" x14ac:dyDescent="0.2">
      <c r="A232" s="156"/>
      <c r="B232" s="152"/>
      <c r="C232" s="138"/>
      <c r="D232" s="138"/>
      <c r="E232" s="138"/>
      <c r="F232" s="138"/>
      <c r="G232" s="138"/>
      <c r="H232" s="13" t="s">
        <v>40</v>
      </c>
      <c r="I232" s="13"/>
      <c r="J232" s="23"/>
      <c r="K232" s="13"/>
      <c r="L232" s="23"/>
      <c r="M232" s="23"/>
      <c r="N232" s="13"/>
      <c r="O232" s="13"/>
      <c r="P232" s="13"/>
      <c r="Q232" s="13"/>
      <c r="R232" s="13"/>
      <c r="S232" s="23"/>
      <c r="T232" s="13"/>
      <c r="U232" s="15"/>
      <c r="V232" s="16"/>
      <c r="W232" s="16"/>
      <c r="X232" s="16"/>
      <c r="Y232" s="17">
        <v>20</v>
      </c>
      <c r="Z232" s="17">
        <v>35</v>
      </c>
      <c r="AA232" s="18">
        <f t="shared" si="15"/>
        <v>1</v>
      </c>
      <c r="AB232" s="18">
        <f t="shared" si="16"/>
        <v>0</v>
      </c>
      <c r="AC232" s="18">
        <f t="shared" si="17"/>
        <v>0</v>
      </c>
      <c r="AD232" s="19">
        <f t="shared" si="18"/>
        <v>100</v>
      </c>
    </row>
    <row r="233" spans="1:30" ht="12.75" x14ac:dyDescent="0.2">
      <c r="A233" s="156"/>
      <c r="B233" s="152"/>
      <c r="C233" s="137"/>
      <c r="D233" s="141"/>
      <c r="E233" s="141"/>
      <c r="F233" s="141"/>
      <c r="G233" s="141"/>
      <c r="H233" s="115" t="s">
        <v>39</v>
      </c>
      <c r="I233" s="115"/>
      <c r="J233" s="20"/>
      <c r="K233" s="115"/>
      <c r="L233" s="20"/>
      <c r="M233" s="20"/>
      <c r="N233" s="115"/>
      <c r="O233" s="115"/>
      <c r="P233" s="115"/>
      <c r="Q233" s="115"/>
      <c r="R233" s="115"/>
      <c r="S233" s="20"/>
      <c r="T233" s="115"/>
      <c r="U233" s="21"/>
      <c r="V233" s="8"/>
      <c r="W233" s="8"/>
      <c r="X233" s="8"/>
      <c r="Y233" s="9">
        <v>20</v>
      </c>
      <c r="Z233" s="9">
        <v>35</v>
      </c>
      <c r="AA233" s="10">
        <f t="shared" si="15"/>
        <v>1</v>
      </c>
      <c r="AB233" s="10">
        <f t="shared" si="16"/>
        <v>0</v>
      </c>
      <c r="AC233" s="10">
        <f t="shared" si="17"/>
        <v>0</v>
      </c>
      <c r="AD233" s="11">
        <f t="shared" si="18"/>
        <v>100</v>
      </c>
    </row>
    <row r="234" spans="1:30" ht="12.75" x14ac:dyDescent="0.2">
      <c r="A234" s="156"/>
      <c r="B234" s="152"/>
      <c r="C234" s="138"/>
      <c r="D234" s="138"/>
      <c r="E234" s="138"/>
      <c r="F234" s="138"/>
      <c r="G234" s="138"/>
      <c r="H234" s="13" t="s">
        <v>40</v>
      </c>
      <c r="I234" s="13"/>
      <c r="J234" s="23"/>
      <c r="K234" s="13"/>
      <c r="L234" s="23"/>
      <c r="M234" s="23"/>
      <c r="N234" s="13"/>
      <c r="O234" s="13"/>
      <c r="P234" s="13"/>
      <c r="Q234" s="13"/>
      <c r="R234" s="13"/>
      <c r="S234" s="23"/>
      <c r="T234" s="13"/>
      <c r="U234" s="15"/>
      <c r="V234" s="16"/>
      <c r="W234" s="16"/>
      <c r="X234" s="16"/>
      <c r="Y234" s="17">
        <v>20</v>
      </c>
      <c r="Z234" s="17">
        <v>35</v>
      </c>
      <c r="AA234" s="18">
        <f t="shared" si="15"/>
        <v>1</v>
      </c>
      <c r="AB234" s="18">
        <f t="shared" si="16"/>
        <v>0</v>
      </c>
      <c r="AC234" s="18">
        <f t="shared" si="17"/>
        <v>0</v>
      </c>
      <c r="AD234" s="19">
        <f t="shared" si="18"/>
        <v>100</v>
      </c>
    </row>
    <row r="235" spans="1:30" ht="12.75" x14ac:dyDescent="0.2">
      <c r="A235" s="156"/>
      <c r="B235" s="152"/>
      <c r="C235" s="137"/>
      <c r="D235" s="141"/>
      <c r="E235" s="141"/>
      <c r="F235" s="141"/>
      <c r="G235" s="141"/>
      <c r="H235" s="115" t="s">
        <v>39</v>
      </c>
      <c r="I235" s="115"/>
      <c r="J235" s="20"/>
      <c r="K235" s="115"/>
      <c r="L235" s="20"/>
      <c r="M235" s="20"/>
      <c r="N235" s="115"/>
      <c r="O235" s="115"/>
      <c r="P235" s="115"/>
      <c r="Q235" s="115"/>
      <c r="R235" s="115"/>
      <c r="S235" s="20"/>
      <c r="T235" s="115"/>
      <c r="U235" s="21"/>
      <c r="V235" s="8"/>
      <c r="W235" s="8"/>
      <c r="X235" s="8"/>
      <c r="Y235" s="9">
        <v>20</v>
      </c>
      <c r="Z235" s="9">
        <v>35</v>
      </c>
      <c r="AA235" s="10">
        <f t="shared" si="15"/>
        <v>1</v>
      </c>
      <c r="AB235" s="10">
        <f t="shared" si="16"/>
        <v>0</v>
      </c>
      <c r="AC235" s="10">
        <f t="shared" si="17"/>
        <v>0</v>
      </c>
      <c r="AD235" s="11">
        <f t="shared" si="18"/>
        <v>100</v>
      </c>
    </row>
    <row r="236" spans="1:30" ht="12.75" x14ac:dyDescent="0.2">
      <c r="A236" s="156"/>
      <c r="B236" s="152"/>
      <c r="C236" s="138"/>
      <c r="D236" s="138"/>
      <c r="E236" s="138"/>
      <c r="F236" s="138"/>
      <c r="G236" s="138"/>
      <c r="H236" s="13" t="s">
        <v>40</v>
      </c>
      <c r="I236" s="13"/>
      <c r="J236" s="23"/>
      <c r="K236" s="13"/>
      <c r="L236" s="23"/>
      <c r="M236" s="23"/>
      <c r="N236" s="13"/>
      <c r="O236" s="13"/>
      <c r="P236" s="13"/>
      <c r="Q236" s="13"/>
      <c r="R236" s="13"/>
      <c r="S236" s="23"/>
      <c r="T236" s="13"/>
      <c r="U236" s="15"/>
      <c r="V236" s="16"/>
      <c r="W236" s="16"/>
      <c r="X236" s="16"/>
      <c r="Y236" s="17">
        <v>20</v>
      </c>
      <c r="Z236" s="17">
        <v>35</v>
      </c>
      <c r="AA236" s="18">
        <f t="shared" si="15"/>
        <v>1</v>
      </c>
      <c r="AB236" s="18">
        <f t="shared" si="16"/>
        <v>0</v>
      </c>
      <c r="AC236" s="18">
        <f t="shared" si="17"/>
        <v>0</v>
      </c>
      <c r="AD236" s="19">
        <f t="shared" si="18"/>
        <v>100</v>
      </c>
    </row>
    <row r="237" spans="1:30" ht="12.75" x14ac:dyDescent="0.2">
      <c r="A237" s="156"/>
      <c r="B237" s="152"/>
      <c r="C237" s="137"/>
      <c r="D237" s="141"/>
      <c r="E237" s="141"/>
      <c r="F237" s="141"/>
      <c r="G237" s="141"/>
      <c r="H237" s="115" t="s">
        <v>39</v>
      </c>
      <c r="I237" s="115"/>
      <c r="J237" s="20"/>
      <c r="K237" s="115"/>
      <c r="L237" s="20"/>
      <c r="M237" s="20"/>
      <c r="N237" s="115"/>
      <c r="O237" s="115"/>
      <c r="P237" s="115"/>
      <c r="Q237" s="115"/>
      <c r="R237" s="115"/>
      <c r="S237" s="20"/>
      <c r="T237" s="115"/>
      <c r="U237" s="21"/>
      <c r="V237" s="8"/>
      <c r="W237" s="8"/>
      <c r="X237" s="8"/>
      <c r="Y237" s="9">
        <v>20</v>
      </c>
      <c r="Z237" s="9">
        <v>35</v>
      </c>
      <c r="AA237" s="10">
        <f t="shared" si="15"/>
        <v>1</v>
      </c>
      <c r="AB237" s="10">
        <f t="shared" si="16"/>
        <v>0</v>
      </c>
      <c r="AC237" s="10">
        <f t="shared" si="17"/>
        <v>0</v>
      </c>
      <c r="AD237" s="11">
        <f t="shared" si="18"/>
        <v>100</v>
      </c>
    </row>
    <row r="238" spans="1:30" ht="12.75" x14ac:dyDescent="0.2">
      <c r="A238" s="156"/>
      <c r="B238" s="152"/>
      <c r="C238" s="138"/>
      <c r="D238" s="138"/>
      <c r="E238" s="138"/>
      <c r="F238" s="138"/>
      <c r="G238" s="138"/>
      <c r="H238" s="13" t="s">
        <v>40</v>
      </c>
      <c r="I238" s="13"/>
      <c r="J238" s="23"/>
      <c r="K238" s="13"/>
      <c r="L238" s="23"/>
      <c r="M238" s="23"/>
      <c r="N238" s="13"/>
      <c r="O238" s="13"/>
      <c r="P238" s="13"/>
      <c r="Q238" s="13"/>
      <c r="R238" s="13"/>
      <c r="S238" s="23"/>
      <c r="T238" s="13"/>
      <c r="U238" s="15"/>
      <c r="V238" s="16"/>
      <c r="W238" s="16"/>
      <c r="X238" s="16"/>
      <c r="Y238" s="17">
        <v>20</v>
      </c>
      <c r="Z238" s="17">
        <v>35</v>
      </c>
      <c r="AA238" s="18">
        <f t="shared" si="15"/>
        <v>1</v>
      </c>
      <c r="AB238" s="18">
        <f t="shared" si="16"/>
        <v>0</v>
      </c>
      <c r="AC238" s="18">
        <f t="shared" si="17"/>
        <v>0</v>
      </c>
      <c r="AD238" s="19">
        <f t="shared" si="18"/>
        <v>100</v>
      </c>
    </row>
    <row r="239" spans="1:30" ht="12.75" x14ac:dyDescent="0.2">
      <c r="A239" s="156"/>
      <c r="B239" s="152"/>
      <c r="C239" s="137"/>
      <c r="D239" s="141"/>
      <c r="E239" s="141"/>
      <c r="F239" s="141"/>
      <c r="G239" s="141"/>
      <c r="H239" s="115" t="s">
        <v>39</v>
      </c>
      <c r="I239" s="115"/>
      <c r="J239" s="20"/>
      <c r="K239" s="115"/>
      <c r="L239" s="20"/>
      <c r="M239" s="20"/>
      <c r="N239" s="115"/>
      <c r="O239" s="115"/>
      <c r="P239" s="115"/>
      <c r="Q239" s="115"/>
      <c r="R239" s="115"/>
      <c r="S239" s="20"/>
      <c r="T239" s="115"/>
      <c r="U239" s="21"/>
      <c r="V239" s="8"/>
      <c r="W239" s="8"/>
      <c r="X239" s="8"/>
      <c r="Y239" s="9">
        <v>20</v>
      </c>
      <c r="Z239" s="9">
        <v>35</v>
      </c>
      <c r="AA239" s="10">
        <f t="shared" si="15"/>
        <v>1</v>
      </c>
      <c r="AB239" s="10">
        <f t="shared" si="16"/>
        <v>0</v>
      </c>
      <c r="AC239" s="10">
        <f t="shared" si="17"/>
        <v>0</v>
      </c>
      <c r="AD239" s="11">
        <f t="shared" si="18"/>
        <v>100</v>
      </c>
    </row>
    <row r="240" spans="1:30" ht="12.75" x14ac:dyDescent="0.2">
      <c r="A240" s="156"/>
      <c r="B240" s="152"/>
      <c r="C240" s="138"/>
      <c r="D240" s="138"/>
      <c r="E240" s="138"/>
      <c r="F240" s="138"/>
      <c r="G240" s="138"/>
      <c r="H240" s="13" t="s">
        <v>40</v>
      </c>
      <c r="I240" s="13"/>
      <c r="J240" s="23"/>
      <c r="K240" s="13"/>
      <c r="L240" s="23"/>
      <c r="M240" s="23"/>
      <c r="N240" s="13"/>
      <c r="O240" s="13"/>
      <c r="P240" s="13"/>
      <c r="Q240" s="13"/>
      <c r="R240" s="13"/>
      <c r="S240" s="23"/>
      <c r="T240" s="13"/>
      <c r="U240" s="15"/>
      <c r="V240" s="16"/>
      <c r="W240" s="16"/>
      <c r="X240" s="16"/>
      <c r="Y240" s="17">
        <v>20</v>
      </c>
      <c r="Z240" s="17">
        <v>35</v>
      </c>
      <c r="AA240" s="18">
        <f t="shared" si="15"/>
        <v>1</v>
      </c>
      <c r="AB240" s="18">
        <f t="shared" si="16"/>
        <v>0</v>
      </c>
      <c r="AC240" s="18">
        <f t="shared" si="17"/>
        <v>0</v>
      </c>
      <c r="AD240" s="19">
        <f t="shared" si="18"/>
        <v>100</v>
      </c>
    </row>
    <row r="241" spans="1:30" ht="12.75" x14ac:dyDescent="0.2">
      <c r="A241" s="156"/>
      <c r="B241" s="152"/>
      <c r="C241" s="137"/>
      <c r="D241" s="141"/>
      <c r="E241" s="141"/>
      <c r="F241" s="141"/>
      <c r="G241" s="141"/>
      <c r="H241" s="115" t="s">
        <v>39</v>
      </c>
      <c r="I241" s="115"/>
      <c r="J241" s="20"/>
      <c r="K241" s="115"/>
      <c r="L241" s="20"/>
      <c r="M241" s="20"/>
      <c r="N241" s="115"/>
      <c r="O241" s="115"/>
      <c r="P241" s="115"/>
      <c r="Q241" s="115"/>
      <c r="R241" s="115"/>
      <c r="S241" s="20"/>
      <c r="T241" s="115"/>
      <c r="U241" s="21"/>
      <c r="V241" s="8"/>
      <c r="W241" s="8"/>
      <c r="X241" s="8"/>
      <c r="Y241" s="9">
        <v>20</v>
      </c>
      <c r="Z241" s="9">
        <v>35</v>
      </c>
      <c r="AA241" s="10">
        <f t="shared" si="15"/>
        <v>1</v>
      </c>
      <c r="AB241" s="10">
        <f t="shared" si="16"/>
        <v>0</v>
      </c>
      <c r="AC241" s="10">
        <f t="shared" si="17"/>
        <v>0</v>
      </c>
      <c r="AD241" s="11">
        <f t="shared" si="18"/>
        <v>100</v>
      </c>
    </row>
    <row r="242" spans="1:30" ht="12.75" x14ac:dyDescent="0.2">
      <c r="A242" s="156"/>
      <c r="B242" s="152"/>
      <c r="C242" s="138"/>
      <c r="D242" s="138"/>
      <c r="E242" s="138"/>
      <c r="F242" s="138"/>
      <c r="G242" s="138"/>
      <c r="H242" s="13" t="s">
        <v>40</v>
      </c>
      <c r="I242" s="13"/>
      <c r="J242" s="23"/>
      <c r="K242" s="13"/>
      <c r="L242" s="23"/>
      <c r="M242" s="23"/>
      <c r="N242" s="13"/>
      <c r="O242" s="13"/>
      <c r="P242" s="13"/>
      <c r="Q242" s="13"/>
      <c r="R242" s="13"/>
      <c r="S242" s="23"/>
      <c r="T242" s="13"/>
      <c r="U242" s="15"/>
      <c r="V242" s="16"/>
      <c r="W242" s="16"/>
      <c r="X242" s="16"/>
      <c r="Y242" s="17">
        <v>20</v>
      </c>
      <c r="Z242" s="17">
        <v>35</v>
      </c>
      <c r="AA242" s="18">
        <f t="shared" si="15"/>
        <v>1</v>
      </c>
      <c r="AB242" s="18">
        <f t="shared" si="16"/>
        <v>0</v>
      </c>
      <c r="AC242" s="18">
        <f t="shared" si="17"/>
        <v>0</v>
      </c>
      <c r="AD242" s="19">
        <f t="shared" si="18"/>
        <v>100</v>
      </c>
    </row>
    <row r="243" spans="1:30" ht="12.75" x14ac:dyDescent="0.2">
      <c r="A243" s="156"/>
      <c r="B243" s="152"/>
      <c r="C243" s="137"/>
      <c r="D243" s="141"/>
      <c r="E243" s="141"/>
      <c r="F243" s="141"/>
      <c r="G243" s="141"/>
      <c r="H243" s="115" t="s">
        <v>39</v>
      </c>
      <c r="I243" s="115"/>
      <c r="J243" s="20"/>
      <c r="K243" s="115"/>
      <c r="L243" s="20"/>
      <c r="M243" s="20"/>
      <c r="N243" s="115"/>
      <c r="O243" s="115"/>
      <c r="P243" s="115"/>
      <c r="Q243" s="115"/>
      <c r="R243" s="115"/>
      <c r="S243" s="20"/>
      <c r="T243" s="115"/>
      <c r="U243" s="21"/>
      <c r="V243" s="8"/>
      <c r="W243" s="8"/>
      <c r="X243" s="8"/>
      <c r="Y243" s="9">
        <v>20</v>
      </c>
      <c r="Z243" s="9">
        <v>35</v>
      </c>
      <c r="AA243" s="10">
        <f t="shared" si="15"/>
        <v>1</v>
      </c>
      <c r="AB243" s="10">
        <f t="shared" si="16"/>
        <v>0</v>
      </c>
      <c r="AC243" s="10">
        <f t="shared" si="17"/>
        <v>0</v>
      </c>
      <c r="AD243" s="11">
        <f t="shared" si="18"/>
        <v>100</v>
      </c>
    </row>
    <row r="244" spans="1:30" ht="12.75" x14ac:dyDescent="0.2">
      <c r="A244" s="156"/>
      <c r="B244" s="152"/>
      <c r="C244" s="138"/>
      <c r="D244" s="138"/>
      <c r="E244" s="138"/>
      <c r="F244" s="138"/>
      <c r="G244" s="138"/>
      <c r="H244" s="13" t="s">
        <v>40</v>
      </c>
      <c r="I244" s="13"/>
      <c r="J244" s="23"/>
      <c r="K244" s="13"/>
      <c r="L244" s="23"/>
      <c r="M244" s="23"/>
      <c r="N244" s="13"/>
      <c r="O244" s="13"/>
      <c r="P244" s="13"/>
      <c r="Q244" s="13"/>
      <c r="R244" s="13"/>
      <c r="S244" s="23"/>
      <c r="T244" s="13"/>
      <c r="U244" s="15"/>
      <c r="V244" s="16"/>
      <c r="W244" s="16"/>
      <c r="X244" s="16"/>
      <c r="Y244" s="17">
        <v>20</v>
      </c>
      <c r="Z244" s="17">
        <v>35</v>
      </c>
      <c r="AA244" s="18">
        <f t="shared" si="15"/>
        <v>1</v>
      </c>
      <c r="AB244" s="18">
        <f t="shared" si="16"/>
        <v>0</v>
      </c>
      <c r="AC244" s="18">
        <f t="shared" si="17"/>
        <v>0</v>
      </c>
      <c r="AD244" s="19">
        <f t="shared" si="18"/>
        <v>100</v>
      </c>
    </row>
    <row r="245" spans="1:30" ht="12.75" x14ac:dyDescent="0.2">
      <c r="A245" s="156"/>
      <c r="B245" s="152"/>
      <c r="C245" s="137"/>
      <c r="D245" s="141"/>
      <c r="E245" s="141"/>
      <c r="F245" s="141"/>
      <c r="G245" s="141"/>
      <c r="H245" s="115" t="s">
        <v>39</v>
      </c>
      <c r="I245" s="115"/>
      <c r="J245" s="20"/>
      <c r="K245" s="115"/>
      <c r="L245" s="20"/>
      <c r="M245" s="20"/>
      <c r="N245" s="115"/>
      <c r="O245" s="115"/>
      <c r="P245" s="115"/>
      <c r="Q245" s="115"/>
      <c r="R245" s="115"/>
      <c r="S245" s="20"/>
      <c r="T245" s="115"/>
      <c r="U245" s="21"/>
      <c r="V245" s="8"/>
      <c r="W245" s="8"/>
      <c r="X245" s="8"/>
      <c r="Y245" s="9">
        <v>20</v>
      </c>
      <c r="Z245" s="9">
        <v>35</v>
      </c>
      <c r="AA245" s="10">
        <f t="shared" si="15"/>
        <v>1</v>
      </c>
      <c r="AB245" s="10">
        <f t="shared" si="16"/>
        <v>0</v>
      </c>
      <c r="AC245" s="10">
        <f t="shared" si="17"/>
        <v>0</v>
      </c>
      <c r="AD245" s="11">
        <f t="shared" si="18"/>
        <v>100</v>
      </c>
    </row>
    <row r="246" spans="1:30" ht="12.75" x14ac:dyDescent="0.2">
      <c r="A246" s="156"/>
      <c r="B246" s="152"/>
      <c r="C246" s="138"/>
      <c r="D246" s="138"/>
      <c r="E246" s="138"/>
      <c r="F246" s="138"/>
      <c r="G246" s="138"/>
      <c r="H246" s="13" t="s">
        <v>40</v>
      </c>
      <c r="I246" s="13"/>
      <c r="J246" s="23"/>
      <c r="K246" s="13"/>
      <c r="L246" s="23"/>
      <c r="M246" s="23"/>
      <c r="N246" s="13"/>
      <c r="O246" s="13"/>
      <c r="P246" s="13"/>
      <c r="Q246" s="13"/>
      <c r="R246" s="13"/>
      <c r="S246" s="23"/>
      <c r="T246" s="13"/>
      <c r="U246" s="15"/>
      <c r="V246" s="16"/>
      <c r="W246" s="16"/>
      <c r="X246" s="16"/>
      <c r="Y246" s="17">
        <v>20</v>
      </c>
      <c r="Z246" s="17">
        <v>35</v>
      </c>
      <c r="AA246" s="18">
        <f t="shared" si="15"/>
        <v>1</v>
      </c>
      <c r="AB246" s="18">
        <f t="shared" si="16"/>
        <v>0</v>
      </c>
      <c r="AC246" s="18">
        <f t="shared" si="17"/>
        <v>0</v>
      </c>
      <c r="AD246" s="19">
        <f t="shared" si="18"/>
        <v>100</v>
      </c>
    </row>
    <row r="247" spans="1:30" ht="12.75" x14ac:dyDescent="0.2">
      <c r="A247" s="156"/>
      <c r="B247" s="152"/>
      <c r="C247" s="137"/>
      <c r="D247" s="141"/>
      <c r="E247" s="141"/>
      <c r="F247" s="141"/>
      <c r="G247" s="141"/>
      <c r="H247" s="115" t="s">
        <v>39</v>
      </c>
      <c r="I247" s="115"/>
      <c r="J247" s="20"/>
      <c r="K247" s="115"/>
      <c r="L247" s="20"/>
      <c r="M247" s="20"/>
      <c r="N247" s="115"/>
      <c r="O247" s="115"/>
      <c r="P247" s="115"/>
      <c r="Q247" s="115"/>
      <c r="R247" s="115"/>
      <c r="S247" s="20"/>
      <c r="T247" s="115"/>
      <c r="U247" s="21"/>
      <c r="V247" s="8"/>
      <c r="W247" s="8"/>
      <c r="X247" s="8"/>
      <c r="Y247" s="9">
        <v>20</v>
      </c>
      <c r="Z247" s="9">
        <v>35</v>
      </c>
      <c r="AA247" s="10">
        <f t="shared" si="15"/>
        <v>1</v>
      </c>
      <c r="AB247" s="10">
        <f t="shared" si="16"/>
        <v>0</v>
      </c>
      <c r="AC247" s="10">
        <f t="shared" si="17"/>
        <v>0</v>
      </c>
      <c r="AD247" s="11">
        <f t="shared" si="18"/>
        <v>100</v>
      </c>
    </row>
    <row r="248" spans="1:30" ht="12.75" x14ac:dyDescent="0.2">
      <c r="A248" s="156"/>
      <c r="B248" s="152"/>
      <c r="C248" s="138"/>
      <c r="D248" s="138"/>
      <c r="E248" s="138"/>
      <c r="F248" s="138"/>
      <c r="G248" s="138"/>
      <c r="H248" s="13" t="s">
        <v>40</v>
      </c>
      <c r="I248" s="13"/>
      <c r="J248" s="23"/>
      <c r="K248" s="13"/>
      <c r="L248" s="23"/>
      <c r="M248" s="23"/>
      <c r="N248" s="13"/>
      <c r="O248" s="13"/>
      <c r="P248" s="13"/>
      <c r="Q248" s="13"/>
      <c r="R248" s="13"/>
      <c r="S248" s="23"/>
      <c r="T248" s="13"/>
      <c r="U248" s="15"/>
      <c r="V248" s="16"/>
      <c r="W248" s="16"/>
      <c r="X248" s="16"/>
      <c r="Y248" s="17">
        <v>20</v>
      </c>
      <c r="Z248" s="17">
        <v>35</v>
      </c>
      <c r="AA248" s="18">
        <f t="shared" si="15"/>
        <v>1</v>
      </c>
      <c r="AB248" s="18">
        <f t="shared" si="16"/>
        <v>0</v>
      </c>
      <c r="AC248" s="18">
        <f t="shared" si="17"/>
        <v>0</v>
      </c>
      <c r="AD248" s="19">
        <f t="shared" si="18"/>
        <v>100</v>
      </c>
    </row>
    <row r="249" spans="1:30" ht="12.75" x14ac:dyDescent="0.2">
      <c r="A249" s="156"/>
      <c r="B249" s="152"/>
      <c r="C249" s="137"/>
      <c r="D249" s="141"/>
      <c r="E249" s="141"/>
      <c r="F249" s="141"/>
      <c r="G249" s="141"/>
      <c r="H249" s="115" t="s">
        <v>39</v>
      </c>
      <c r="I249" s="115"/>
      <c r="J249" s="20"/>
      <c r="K249" s="115"/>
      <c r="L249" s="20"/>
      <c r="M249" s="20"/>
      <c r="N249" s="115"/>
      <c r="O249" s="115"/>
      <c r="P249" s="115"/>
      <c r="Q249" s="115"/>
      <c r="R249" s="115"/>
      <c r="S249" s="20"/>
      <c r="T249" s="115"/>
      <c r="U249" s="21"/>
      <c r="V249" s="8"/>
      <c r="W249" s="8"/>
      <c r="X249" s="8"/>
      <c r="Y249" s="9">
        <v>20</v>
      </c>
      <c r="Z249" s="9">
        <v>35</v>
      </c>
      <c r="AA249" s="10">
        <f t="shared" si="15"/>
        <v>1</v>
      </c>
      <c r="AB249" s="10">
        <f t="shared" si="16"/>
        <v>0</v>
      </c>
      <c r="AC249" s="10">
        <f t="shared" si="17"/>
        <v>0</v>
      </c>
      <c r="AD249" s="11">
        <f t="shared" si="18"/>
        <v>100</v>
      </c>
    </row>
    <row r="250" spans="1:30" ht="12.75" x14ac:dyDescent="0.2">
      <c r="A250" s="156"/>
      <c r="B250" s="152"/>
      <c r="C250" s="138"/>
      <c r="D250" s="138"/>
      <c r="E250" s="138"/>
      <c r="F250" s="138"/>
      <c r="G250" s="138"/>
      <c r="H250" s="13" t="s">
        <v>40</v>
      </c>
      <c r="I250" s="13"/>
      <c r="J250" s="23"/>
      <c r="K250" s="13"/>
      <c r="L250" s="23"/>
      <c r="M250" s="23"/>
      <c r="N250" s="13"/>
      <c r="O250" s="13"/>
      <c r="P250" s="13"/>
      <c r="Q250" s="13"/>
      <c r="R250" s="13"/>
      <c r="S250" s="23"/>
      <c r="T250" s="13"/>
      <c r="U250" s="15"/>
      <c r="V250" s="16"/>
      <c r="W250" s="16"/>
      <c r="X250" s="16"/>
      <c r="Y250" s="17">
        <v>20</v>
      </c>
      <c r="Z250" s="17">
        <v>35</v>
      </c>
      <c r="AA250" s="18">
        <f t="shared" si="15"/>
        <v>1</v>
      </c>
      <c r="AB250" s="18">
        <f t="shared" si="16"/>
        <v>0</v>
      </c>
      <c r="AC250" s="18">
        <f t="shared" si="17"/>
        <v>0</v>
      </c>
      <c r="AD250" s="19">
        <f t="shared" si="18"/>
        <v>100</v>
      </c>
    </row>
    <row r="251" spans="1:30" ht="12.75" x14ac:dyDescent="0.2">
      <c r="A251" s="156"/>
      <c r="B251" s="152"/>
      <c r="C251" s="137"/>
      <c r="D251" s="141"/>
      <c r="E251" s="141"/>
      <c r="F251" s="141"/>
      <c r="G251" s="141"/>
      <c r="H251" s="115" t="s">
        <v>39</v>
      </c>
      <c r="I251" s="115"/>
      <c r="J251" s="20"/>
      <c r="K251" s="115"/>
      <c r="L251" s="20"/>
      <c r="M251" s="20"/>
      <c r="N251" s="115"/>
      <c r="O251" s="115"/>
      <c r="P251" s="115"/>
      <c r="Q251" s="115"/>
      <c r="R251" s="115"/>
      <c r="S251" s="20"/>
      <c r="T251" s="115"/>
      <c r="U251" s="21"/>
      <c r="V251" s="8"/>
      <c r="W251" s="8"/>
      <c r="X251" s="8"/>
      <c r="Y251" s="9">
        <v>20</v>
      </c>
      <c r="Z251" s="9">
        <v>35</v>
      </c>
      <c r="AA251" s="10">
        <f t="shared" si="15"/>
        <v>1</v>
      </c>
      <c r="AB251" s="10">
        <f t="shared" si="16"/>
        <v>0</v>
      </c>
      <c r="AC251" s="10">
        <f t="shared" si="17"/>
        <v>0</v>
      </c>
      <c r="AD251" s="11">
        <f t="shared" si="18"/>
        <v>100</v>
      </c>
    </row>
    <row r="252" spans="1:30" ht="12.75" x14ac:dyDescent="0.2">
      <c r="A252" s="156"/>
      <c r="B252" s="152"/>
      <c r="C252" s="138"/>
      <c r="D252" s="138"/>
      <c r="E252" s="138"/>
      <c r="F252" s="138"/>
      <c r="G252" s="138"/>
      <c r="H252" s="13" t="s">
        <v>40</v>
      </c>
      <c r="I252" s="13"/>
      <c r="J252" s="23"/>
      <c r="K252" s="13"/>
      <c r="L252" s="23"/>
      <c r="M252" s="23"/>
      <c r="N252" s="13"/>
      <c r="O252" s="13"/>
      <c r="P252" s="13"/>
      <c r="Q252" s="13"/>
      <c r="R252" s="13"/>
      <c r="S252" s="23"/>
      <c r="T252" s="13"/>
      <c r="U252" s="15"/>
      <c r="V252" s="16"/>
      <c r="W252" s="16"/>
      <c r="X252" s="16"/>
      <c r="Y252" s="17">
        <v>20</v>
      </c>
      <c r="Z252" s="17">
        <v>35</v>
      </c>
      <c r="AA252" s="18">
        <f t="shared" si="15"/>
        <v>1</v>
      </c>
      <c r="AB252" s="18">
        <f t="shared" si="16"/>
        <v>0</v>
      </c>
      <c r="AC252" s="18">
        <f t="shared" si="17"/>
        <v>0</v>
      </c>
      <c r="AD252" s="19">
        <f t="shared" si="18"/>
        <v>100</v>
      </c>
    </row>
    <row r="253" spans="1:30" ht="12.75" x14ac:dyDescent="0.2">
      <c r="A253" s="156"/>
      <c r="B253" s="152"/>
      <c r="C253" s="137"/>
      <c r="D253" s="141"/>
      <c r="E253" s="141"/>
      <c r="F253" s="141"/>
      <c r="G253" s="141"/>
      <c r="H253" s="115" t="s">
        <v>39</v>
      </c>
      <c r="I253" s="115"/>
      <c r="J253" s="20"/>
      <c r="K253" s="115"/>
      <c r="L253" s="20"/>
      <c r="M253" s="20"/>
      <c r="N253" s="115"/>
      <c r="O253" s="115"/>
      <c r="P253" s="115"/>
      <c r="Q253" s="115"/>
      <c r="R253" s="115"/>
      <c r="S253" s="20"/>
      <c r="T253" s="115"/>
      <c r="U253" s="21"/>
      <c r="V253" s="8"/>
      <c r="W253" s="8"/>
      <c r="X253" s="8"/>
      <c r="Y253" s="9">
        <v>20</v>
      </c>
      <c r="Z253" s="9">
        <v>35</v>
      </c>
      <c r="AA253" s="10">
        <f t="shared" si="15"/>
        <v>1</v>
      </c>
      <c r="AB253" s="10">
        <f t="shared" si="16"/>
        <v>0</v>
      </c>
      <c r="AC253" s="10">
        <f t="shared" si="17"/>
        <v>0</v>
      </c>
      <c r="AD253" s="11">
        <f t="shared" si="18"/>
        <v>100</v>
      </c>
    </row>
    <row r="254" spans="1:30" ht="12.75" x14ac:dyDescent="0.2">
      <c r="A254" s="156"/>
      <c r="B254" s="152"/>
      <c r="C254" s="138"/>
      <c r="D254" s="138"/>
      <c r="E254" s="138"/>
      <c r="F254" s="138"/>
      <c r="G254" s="138"/>
      <c r="H254" s="13" t="s">
        <v>40</v>
      </c>
      <c r="I254" s="13"/>
      <c r="J254" s="23"/>
      <c r="K254" s="13"/>
      <c r="L254" s="23"/>
      <c r="M254" s="23"/>
      <c r="N254" s="13"/>
      <c r="O254" s="13"/>
      <c r="P254" s="13"/>
      <c r="Q254" s="13"/>
      <c r="R254" s="13"/>
      <c r="S254" s="23"/>
      <c r="T254" s="13"/>
      <c r="U254" s="15"/>
      <c r="V254" s="16"/>
      <c r="W254" s="16"/>
      <c r="X254" s="16"/>
      <c r="Y254" s="17">
        <v>20</v>
      </c>
      <c r="Z254" s="17">
        <v>35</v>
      </c>
      <c r="AA254" s="18">
        <f t="shared" si="15"/>
        <v>1</v>
      </c>
      <c r="AB254" s="18">
        <f t="shared" si="16"/>
        <v>0</v>
      </c>
      <c r="AC254" s="18">
        <f t="shared" si="17"/>
        <v>0</v>
      </c>
      <c r="AD254" s="19">
        <f t="shared" si="18"/>
        <v>100</v>
      </c>
    </row>
    <row r="255" spans="1:30" ht="12.75" x14ac:dyDescent="0.2">
      <c r="A255" s="156"/>
      <c r="B255" s="152"/>
      <c r="C255" s="137"/>
      <c r="D255" s="141"/>
      <c r="E255" s="141"/>
      <c r="F255" s="141"/>
      <c r="G255" s="141"/>
      <c r="H255" s="115" t="s">
        <v>39</v>
      </c>
      <c r="I255" s="115"/>
      <c r="J255" s="20"/>
      <c r="K255" s="115"/>
      <c r="L255" s="20"/>
      <c r="M255" s="20"/>
      <c r="N255" s="115"/>
      <c r="O255" s="115"/>
      <c r="P255" s="115"/>
      <c r="Q255" s="115"/>
      <c r="R255" s="115"/>
      <c r="S255" s="20"/>
      <c r="T255" s="115"/>
      <c r="U255" s="21"/>
      <c r="V255" s="8"/>
      <c r="W255" s="8"/>
      <c r="X255" s="8"/>
      <c r="Y255" s="9">
        <v>20</v>
      </c>
      <c r="Z255" s="9">
        <v>35</v>
      </c>
      <c r="AA255" s="10">
        <f t="shared" si="15"/>
        <v>1</v>
      </c>
      <c r="AB255" s="10">
        <f t="shared" si="16"/>
        <v>0</v>
      </c>
      <c r="AC255" s="10">
        <f t="shared" si="17"/>
        <v>0</v>
      </c>
      <c r="AD255" s="11">
        <f t="shared" si="18"/>
        <v>100</v>
      </c>
    </row>
    <row r="256" spans="1:30" ht="12.75" x14ac:dyDescent="0.2">
      <c r="A256" s="156"/>
      <c r="B256" s="152"/>
      <c r="C256" s="138"/>
      <c r="D256" s="138"/>
      <c r="E256" s="138"/>
      <c r="F256" s="138"/>
      <c r="G256" s="138"/>
      <c r="H256" s="13" t="s">
        <v>40</v>
      </c>
      <c r="I256" s="13"/>
      <c r="J256" s="23"/>
      <c r="K256" s="13"/>
      <c r="L256" s="23"/>
      <c r="M256" s="23"/>
      <c r="N256" s="13"/>
      <c r="O256" s="13"/>
      <c r="P256" s="13"/>
      <c r="Q256" s="13"/>
      <c r="R256" s="13"/>
      <c r="S256" s="23"/>
      <c r="T256" s="13"/>
      <c r="U256" s="15"/>
      <c r="V256" s="16"/>
      <c r="W256" s="16"/>
      <c r="X256" s="16"/>
      <c r="Y256" s="17">
        <v>20</v>
      </c>
      <c r="Z256" s="17">
        <v>35</v>
      </c>
      <c r="AA256" s="18">
        <f t="shared" si="15"/>
        <v>1</v>
      </c>
      <c r="AB256" s="18">
        <f t="shared" si="16"/>
        <v>0</v>
      </c>
      <c r="AC256" s="18">
        <f t="shared" si="17"/>
        <v>0</v>
      </c>
      <c r="AD256" s="19">
        <f t="shared" si="18"/>
        <v>100</v>
      </c>
    </row>
    <row r="257" spans="1:30" ht="12.75" x14ac:dyDescent="0.2">
      <c r="A257" s="156"/>
      <c r="B257" s="152"/>
      <c r="C257" s="137"/>
      <c r="D257" s="141"/>
      <c r="E257" s="141"/>
      <c r="F257" s="141"/>
      <c r="G257" s="141"/>
      <c r="H257" s="115" t="s">
        <v>39</v>
      </c>
      <c r="I257" s="115"/>
      <c r="J257" s="20"/>
      <c r="K257" s="115"/>
      <c r="L257" s="20"/>
      <c r="M257" s="20"/>
      <c r="N257" s="115"/>
      <c r="O257" s="115"/>
      <c r="P257" s="115"/>
      <c r="Q257" s="115"/>
      <c r="R257" s="115"/>
      <c r="S257" s="20"/>
      <c r="T257" s="115"/>
      <c r="U257" s="21"/>
      <c r="V257" s="8"/>
      <c r="W257" s="8"/>
      <c r="X257" s="8"/>
      <c r="Y257" s="9">
        <v>20</v>
      </c>
      <c r="Z257" s="9">
        <v>35</v>
      </c>
      <c r="AA257" s="10">
        <f t="shared" ref="AA257:AA312" si="19">21/(21-L257)</f>
        <v>1</v>
      </c>
      <c r="AB257" s="10">
        <f t="shared" ref="AB257:AB312" si="20">((J257 - S257) / (J257 - Y257)) * (1 / AA257) * 1.88 * (K257 + L257)</f>
        <v>0</v>
      </c>
      <c r="AC257" s="10">
        <f t="shared" ref="AC257:AC312" si="21">(M257 / 100) * Z257</f>
        <v>0</v>
      </c>
      <c r="AD257" s="11">
        <f t="shared" ref="AD257:AD312" si="22">100 - (AB257 + AC257)</f>
        <v>100</v>
      </c>
    </row>
    <row r="258" spans="1:30" ht="12.75" x14ac:dyDescent="0.2">
      <c r="A258" s="156"/>
      <c r="B258" s="152"/>
      <c r="C258" s="138"/>
      <c r="D258" s="138"/>
      <c r="E258" s="138"/>
      <c r="F258" s="138"/>
      <c r="G258" s="138"/>
      <c r="H258" s="13" t="s">
        <v>40</v>
      </c>
      <c r="I258" s="13"/>
      <c r="J258" s="23"/>
      <c r="K258" s="13"/>
      <c r="L258" s="23"/>
      <c r="M258" s="23"/>
      <c r="N258" s="13"/>
      <c r="O258" s="13"/>
      <c r="P258" s="13"/>
      <c r="Q258" s="13"/>
      <c r="R258" s="13"/>
      <c r="S258" s="23"/>
      <c r="T258" s="13"/>
      <c r="U258" s="15"/>
      <c r="V258" s="16"/>
      <c r="W258" s="16"/>
      <c r="X258" s="16"/>
      <c r="Y258" s="17">
        <v>20</v>
      </c>
      <c r="Z258" s="17">
        <v>35</v>
      </c>
      <c r="AA258" s="18">
        <f t="shared" si="19"/>
        <v>1</v>
      </c>
      <c r="AB258" s="18">
        <f t="shared" si="20"/>
        <v>0</v>
      </c>
      <c r="AC258" s="18">
        <f t="shared" si="21"/>
        <v>0</v>
      </c>
      <c r="AD258" s="19">
        <f t="shared" si="22"/>
        <v>100</v>
      </c>
    </row>
    <row r="259" spans="1:30" ht="12.75" x14ac:dyDescent="0.2">
      <c r="A259" s="156"/>
      <c r="B259" s="152"/>
      <c r="C259" s="137"/>
      <c r="D259" s="141"/>
      <c r="E259" s="141"/>
      <c r="F259" s="141"/>
      <c r="G259" s="141"/>
      <c r="H259" s="115" t="s">
        <v>39</v>
      </c>
      <c r="I259" s="115"/>
      <c r="J259" s="20"/>
      <c r="K259" s="115"/>
      <c r="L259" s="20"/>
      <c r="M259" s="20"/>
      <c r="N259" s="115"/>
      <c r="O259" s="115"/>
      <c r="P259" s="115"/>
      <c r="Q259" s="115"/>
      <c r="R259" s="115"/>
      <c r="S259" s="20"/>
      <c r="T259" s="115"/>
      <c r="U259" s="21"/>
      <c r="V259" s="8"/>
      <c r="W259" s="8"/>
      <c r="X259" s="8"/>
      <c r="Y259" s="9">
        <v>20</v>
      </c>
      <c r="Z259" s="9">
        <v>35</v>
      </c>
      <c r="AA259" s="10">
        <f t="shared" si="19"/>
        <v>1</v>
      </c>
      <c r="AB259" s="10">
        <f t="shared" si="20"/>
        <v>0</v>
      </c>
      <c r="AC259" s="10">
        <f t="shared" si="21"/>
        <v>0</v>
      </c>
      <c r="AD259" s="11">
        <f t="shared" si="22"/>
        <v>100</v>
      </c>
    </row>
    <row r="260" spans="1:30" ht="12.75" x14ac:dyDescent="0.2">
      <c r="A260" s="156"/>
      <c r="B260" s="152"/>
      <c r="C260" s="138"/>
      <c r="D260" s="138"/>
      <c r="E260" s="138"/>
      <c r="F260" s="138"/>
      <c r="G260" s="138"/>
      <c r="H260" s="13" t="s">
        <v>40</v>
      </c>
      <c r="I260" s="13"/>
      <c r="J260" s="23"/>
      <c r="K260" s="13"/>
      <c r="L260" s="23"/>
      <c r="M260" s="23"/>
      <c r="N260" s="13"/>
      <c r="O260" s="13"/>
      <c r="P260" s="13"/>
      <c r="Q260" s="13"/>
      <c r="R260" s="13"/>
      <c r="S260" s="23"/>
      <c r="T260" s="13"/>
      <c r="U260" s="15"/>
      <c r="V260" s="16"/>
      <c r="W260" s="16"/>
      <c r="X260" s="16"/>
      <c r="Y260" s="17">
        <v>20</v>
      </c>
      <c r="Z260" s="17">
        <v>35</v>
      </c>
      <c r="AA260" s="18">
        <f t="shared" si="19"/>
        <v>1</v>
      </c>
      <c r="AB260" s="18">
        <f t="shared" si="20"/>
        <v>0</v>
      </c>
      <c r="AC260" s="18">
        <f t="shared" si="21"/>
        <v>0</v>
      </c>
      <c r="AD260" s="19">
        <f t="shared" si="22"/>
        <v>100</v>
      </c>
    </row>
    <row r="261" spans="1:30" ht="12.75" x14ac:dyDescent="0.2">
      <c r="A261" s="156"/>
      <c r="B261" s="152"/>
      <c r="C261" s="137"/>
      <c r="D261" s="141"/>
      <c r="E261" s="141"/>
      <c r="F261" s="141"/>
      <c r="G261" s="141"/>
      <c r="H261" s="115" t="s">
        <v>39</v>
      </c>
      <c r="I261" s="115"/>
      <c r="J261" s="20"/>
      <c r="K261" s="115"/>
      <c r="L261" s="20"/>
      <c r="M261" s="20"/>
      <c r="N261" s="115"/>
      <c r="O261" s="115"/>
      <c r="P261" s="115"/>
      <c r="Q261" s="115"/>
      <c r="R261" s="115"/>
      <c r="S261" s="20"/>
      <c r="T261" s="115"/>
      <c r="U261" s="21"/>
      <c r="V261" s="8"/>
      <c r="W261" s="8"/>
      <c r="X261" s="8"/>
      <c r="Y261" s="9">
        <v>20</v>
      </c>
      <c r="Z261" s="9">
        <v>35</v>
      </c>
      <c r="AA261" s="10">
        <f t="shared" si="19"/>
        <v>1</v>
      </c>
      <c r="AB261" s="10">
        <f t="shared" si="20"/>
        <v>0</v>
      </c>
      <c r="AC261" s="10">
        <f t="shared" si="21"/>
        <v>0</v>
      </c>
      <c r="AD261" s="11">
        <f t="shared" si="22"/>
        <v>100</v>
      </c>
    </row>
    <row r="262" spans="1:30" ht="12.75" x14ac:dyDescent="0.2">
      <c r="A262" s="156"/>
      <c r="B262" s="152"/>
      <c r="C262" s="138"/>
      <c r="D262" s="138"/>
      <c r="E262" s="138"/>
      <c r="F262" s="138"/>
      <c r="G262" s="138"/>
      <c r="H262" s="13" t="s">
        <v>40</v>
      </c>
      <c r="I262" s="13"/>
      <c r="J262" s="23"/>
      <c r="K262" s="13"/>
      <c r="L262" s="23"/>
      <c r="M262" s="23"/>
      <c r="N262" s="13"/>
      <c r="O262" s="13"/>
      <c r="P262" s="13"/>
      <c r="Q262" s="13"/>
      <c r="R262" s="13"/>
      <c r="S262" s="23"/>
      <c r="T262" s="13"/>
      <c r="U262" s="15"/>
      <c r="V262" s="16"/>
      <c r="W262" s="16"/>
      <c r="X262" s="16"/>
      <c r="Y262" s="17">
        <v>20</v>
      </c>
      <c r="Z262" s="17">
        <v>35</v>
      </c>
      <c r="AA262" s="18">
        <f t="shared" si="19"/>
        <v>1</v>
      </c>
      <c r="AB262" s="18">
        <f t="shared" si="20"/>
        <v>0</v>
      </c>
      <c r="AC262" s="18">
        <f t="shared" si="21"/>
        <v>0</v>
      </c>
      <c r="AD262" s="19">
        <f t="shared" si="22"/>
        <v>100</v>
      </c>
    </row>
    <row r="263" spans="1:30" ht="12.75" x14ac:dyDescent="0.2">
      <c r="A263" s="156"/>
      <c r="B263" s="152"/>
      <c r="C263" s="137"/>
      <c r="D263" s="141"/>
      <c r="E263" s="141"/>
      <c r="F263" s="141"/>
      <c r="G263" s="141"/>
      <c r="H263" s="115" t="s">
        <v>39</v>
      </c>
      <c r="I263" s="115"/>
      <c r="J263" s="20"/>
      <c r="K263" s="115"/>
      <c r="L263" s="20"/>
      <c r="M263" s="20"/>
      <c r="N263" s="115"/>
      <c r="O263" s="115"/>
      <c r="P263" s="115"/>
      <c r="Q263" s="115"/>
      <c r="R263" s="115"/>
      <c r="S263" s="20"/>
      <c r="T263" s="115"/>
      <c r="U263" s="21"/>
      <c r="V263" s="8"/>
      <c r="W263" s="8"/>
      <c r="X263" s="8"/>
      <c r="Y263" s="9">
        <v>20</v>
      </c>
      <c r="Z263" s="9">
        <v>35</v>
      </c>
      <c r="AA263" s="10">
        <f t="shared" si="19"/>
        <v>1</v>
      </c>
      <c r="AB263" s="10">
        <f t="shared" si="20"/>
        <v>0</v>
      </c>
      <c r="AC263" s="10">
        <f t="shared" si="21"/>
        <v>0</v>
      </c>
      <c r="AD263" s="11">
        <f t="shared" si="22"/>
        <v>100</v>
      </c>
    </row>
    <row r="264" spans="1:30" ht="12.75" x14ac:dyDescent="0.2">
      <c r="A264" s="156"/>
      <c r="B264" s="152"/>
      <c r="C264" s="138"/>
      <c r="D264" s="138"/>
      <c r="E264" s="138"/>
      <c r="F264" s="138"/>
      <c r="G264" s="138"/>
      <c r="H264" s="13" t="s">
        <v>40</v>
      </c>
      <c r="I264" s="13"/>
      <c r="J264" s="23"/>
      <c r="K264" s="13"/>
      <c r="L264" s="23"/>
      <c r="M264" s="23"/>
      <c r="N264" s="13"/>
      <c r="O264" s="13"/>
      <c r="P264" s="13"/>
      <c r="Q264" s="13"/>
      <c r="R264" s="13"/>
      <c r="S264" s="23"/>
      <c r="T264" s="13"/>
      <c r="U264" s="15"/>
      <c r="V264" s="16"/>
      <c r="W264" s="16"/>
      <c r="X264" s="16"/>
      <c r="Y264" s="17">
        <v>20</v>
      </c>
      <c r="Z264" s="17">
        <v>35</v>
      </c>
      <c r="AA264" s="18">
        <f t="shared" si="19"/>
        <v>1</v>
      </c>
      <c r="AB264" s="18">
        <f t="shared" si="20"/>
        <v>0</v>
      </c>
      <c r="AC264" s="18">
        <f t="shared" si="21"/>
        <v>0</v>
      </c>
      <c r="AD264" s="19">
        <f t="shared" si="22"/>
        <v>100</v>
      </c>
    </row>
    <row r="265" spans="1:30" ht="12.75" x14ac:dyDescent="0.2">
      <c r="A265" s="156"/>
      <c r="B265" s="152"/>
      <c r="C265" s="137"/>
      <c r="D265" s="141"/>
      <c r="E265" s="141"/>
      <c r="F265" s="141"/>
      <c r="G265" s="141"/>
      <c r="H265" s="115" t="s">
        <v>39</v>
      </c>
      <c r="I265" s="115"/>
      <c r="J265" s="20"/>
      <c r="K265" s="115"/>
      <c r="L265" s="20"/>
      <c r="M265" s="20"/>
      <c r="N265" s="115"/>
      <c r="O265" s="115"/>
      <c r="P265" s="115"/>
      <c r="Q265" s="115"/>
      <c r="R265" s="115"/>
      <c r="S265" s="20"/>
      <c r="T265" s="115"/>
      <c r="U265" s="21"/>
      <c r="V265" s="8"/>
      <c r="W265" s="8"/>
      <c r="X265" s="8"/>
      <c r="Y265" s="9">
        <v>20</v>
      </c>
      <c r="Z265" s="9">
        <v>35</v>
      </c>
      <c r="AA265" s="10">
        <f t="shared" si="19"/>
        <v>1</v>
      </c>
      <c r="AB265" s="10">
        <f t="shared" si="20"/>
        <v>0</v>
      </c>
      <c r="AC265" s="10">
        <f t="shared" si="21"/>
        <v>0</v>
      </c>
      <c r="AD265" s="11">
        <f t="shared" si="22"/>
        <v>100</v>
      </c>
    </row>
    <row r="266" spans="1:30" ht="12.75" x14ac:dyDescent="0.2">
      <c r="A266" s="156"/>
      <c r="B266" s="152"/>
      <c r="C266" s="138"/>
      <c r="D266" s="138"/>
      <c r="E266" s="138"/>
      <c r="F266" s="138"/>
      <c r="G266" s="138"/>
      <c r="H266" s="13" t="s">
        <v>40</v>
      </c>
      <c r="I266" s="13"/>
      <c r="J266" s="23"/>
      <c r="K266" s="13"/>
      <c r="L266" s="23"/>
      <c r="M266" s="23"/>
      <c r="N266" s="13"/>
      <c r="O266" s="13"/>
      <c r="P266" s="13"/>
      <c r="Q266" s="13"/>
      <c r="R266" s="13"/>
      <c r="S266" s="23"/>
      <c r="T266" s="13"/>
      <c r="U266" s="15"/>
      <c r="V266" s="16"/>
      <c r="W266" s="16"/>
      <c r="X266" s="16"/>
      <c r="Y266" s="17">
        <v>20</v>
      </c>
      <c r="Z266" s="17">
        <v>35</v>
      </c>
      <c r="AA266" s="18">
        <f t="shared" si="19"/>
        <v>1</v>
      </c>
      <c r="AB266" s="18">
        <f t="shared" si="20"/>
        <v>0</v>
      </c>
      <c r="AC266" s="18">
        <f t="shared" si="21"/>
        <v>0</v>
      </c>
      <c r="AD266" s="19">
        <f t="shared" si="22"/>
        <v>100</v>
      </c>
    </row>
    <row r="267" spans="1:30" ht="12.75" x14ac:dyDescent="0.2">
      <c r="A267" s="156"/>
      <c r="B267" s="152"/>
      <c r="C267" s="137"/>
      <c r="D267" s="141"/>
      <c r="E267" s="141"/>
      <c r="F267" s="141"/>
      <c r="G267" s="141"/>
      <c r="H267" s="115" t="s">
        <v>39</v>
      </c>
      <c r="I267" s="115"/>
      <c r="J267" s="20"/>
      <c r="K267" s="115"/>
      <c r="L267" s="20"/>
      <c r="M267" s="20"/>
      <c r="N267" s="115"/>
      <c r="O267" s="115"/>
      <c r="P267" s="115"/>
      <c r="Q267" s="115"/>
      <c r="R267" s="115"/>
      <c r="S267" s="20"/>
      <c r="T267" s="115"/>
      <c r="U267" s="21"/>
      <c r="V267" s="8"/>
      <c r="W267" s="8"/>
      <c r="X267" s="8"/>
      <c r="Y267" s="9">
        <v>20</v>
      </c>
      <c r="Z267" s="9">
        <v>35</v>
      </c>
      <c r="AA267" s="10">
        <f t="shared" si="19"/>
        <v>1</v>
      </c>
      <c r="AB267" s="10">
        <f t="shared" si="20"/>
        <v>0</v>
      </c>
      <c r="AC267" s="10">
        <f t="shared" si="21"/>
        <v>0</v>
      </c>
      <c r="AD267" s="11">
        <f t="shared" si="22"/>
        <v>100</v>
      </c>
    </row>
    <row r="268" spans="1:30" ht="12.75" x14ac:dyDescent="0.2">
      <c r="A268" s="156"/>
      <c r="B268" s="152"/>
      <c r="C268" s="138"/>
      <c r="D268" s="138"/>
      <c r="E268" s="138"/>
      <c r="F268" s="138"/>
      <c r="G268" s="138"/>
      <c r="H268" s="13" t="s">
        <v>40</v>
      </c>
      <c r="I268" s="13"/>
      <c r="J268" s="23"/>
      <c r="K268" s="13"/>
      <c r="L268" s="23"/>
      <c r="M268" s="23"/>
      <c r="N268" s="13"/>
      <c r="O268" s="13"/>
      <c r="P268" s="13"/>
      <c r="Q268" s="13"/>
      <c r="R268" s="13"/>
      <c r="S268" s="23"/>
      <c r="T268" s="13"/>
      <c r="U268" s="15"/>
      <c r="V268" s="16"/>
      <c r="W268" s="16"/>
      <c r="X268" s="16"/>
      <c r="Y268" s="17">
        <v>20</v>
      </c>
      <c r="Z268" s="17">
        <v>35</v>
      </c>
      <c r="AA268" s="18">
        <f t="shared" si="19"/>
        <v>1</v>
      </c>
      <c r="AB268" s="18">
        <f t="shared" si="20"/>
        <v>0</v>
      </c>
      <c r="AC268" s="18">
        <f t="shared" si="21"/>
        <v>0</v>
      </c>
      <c r="AD268" s="19">
        <f t="shared" si="22"/>
        <v>100</v>
      </c>
    </row>
    <row r="269" spans="1:30" ht="12.75" x14ac:dyDescent="0.2">
      <c r="A269" s="156"/>
      <c r="B269" s="152"/>
      <c r="C269" s="137"/>
      <c r="D269" s="141"/>
      <c r="E269" s="141"/>
      <c r="F269" s="141"/>
      <c r="G269" s="141"/>
      <c r="H269" s="115" t="s">
        <v>39</v>
      </c>
      <c r="I269" s="115"/>
      <c r="J269" s="20"/>
      <c r="K269" s="115"/>
      <c r="L269" s="20"/>
      <c r="M269" s="20"/>
      <c r="N269" s="115"/>
      <c r="O269" s="115"/>
      <c r="P269" s="115"/>
      <c r="Q269" s="115"/>
      <c r="R269" s="115"/>
      <c r="S269" s="20"/>
      <c r="T269" s="115"/>
      <c r="U269" s="21"/>
      <c r="V269" s="8"/>
      <c r="W269" s="8"/>
      <c r="X269" s="8"/>
      <c r="Y269" s="9">
        <v>20</v>
      </c>
      <c r="Z269" s="9">
        <v>35</v>
      </c>
      <c r="AA269" s="10">
        <f t="shared" si="19"/>
        <v>1</v>
      </c>
      <c r="AB269" s="10">
        <f t="shared" si="20"/>
        <v>0</v>
      </c>
      <c r="AC269" s="10">
        <f t="shared" si="21"/>
        <v>0</v>
      </c>
      <c r="AD269" s="11">
        <f t="shared" si="22"/>
        <v>100</v>
      </c>
    </row>
    <row r="270" spans="1:30" ht="12.75" x14ac:dyDescent="0.2">
      <c r="A270" s="156"/>
      <c r="B270" s="152"/>
      <c r="C270" s="138"/>
      <c r="D270" s="138"/>
      <c r="E270" s="138"/>
      <c r="F270" s="138"/>
      <c r="G270" s="138"/>
      <c r="H270" s="13" t="s">
        <v>40</v>
      </c>
      <c r="I270" s="13"/>
      <c r="J270" s="23"/>
      <c r="K270" s="13"/>
      <c r="L270" s="23"/>
      <c r="M270" s="23"/>
      <c r="N270" s="13"/>
      <c r="O270" s="13"/>
      <c r="P270" s="13"/>
      <c r="Q270" s="13"/>
      <c r="R270" s="13"/>
      <c r="S270" s="23"/>
      <c r="T270" s="13"/>
      <c r="U270" s="15"/>
      <c r="V270" s="16"/>
      <c r="W270" s="16"/>
      <c r="X270" s="16"/>
      <c r="Y270" s="17">
        <v>20</v>
      </c>
      <c r="Z270" s="17">
        <v>35</v>
      </c>
      <c r="AA270" s="18">
        <f t="shared" si="19"/>
        <v>1</v>
      </c>
      <c r="AB270" s="18">
        <f t="shared" si="20"/>
        <v>0</v>
      </c>
      <c r="AC270" s="18">
        <f t="shared" si="21"/>
        <v>0</v>
      </c>
      <c r="AD270" s="19">
        <f t="shared" si="22"/>
        <v>100</v>
      </c>
    </row>
    <row r="271" spans="1:30" ht="12.75" x14ac:dyDescent="0.2">
      <c r="A271" s="156"/>
      <c r="B271" s="152"/>
      <c r="C271" s="137"/>
      <c r="D271" s="141"/>
      <c r="E271" s="141"/>
      <c r="F271" s="141"/>
      <c r="G271" s="141"/>
      <c r="H271" s="115" t="s">
        <v>39</v>
      </c>
      <c r="I271" s="115"/>
      <c r="J271" s="20"/>
      <c r="K271" s="115"/>
      <c r="L271" s="20"/>
      <c r="M271" s="20"/>
      <c r="N271" s="115"/>
      <c r="O271" s="115"/>
      <c r="P271" s="115"/>
      <c r="Q271" s="115"/>
      <c r="R271" s="115"/>
      <c r="S271" s="20"/>
      <c r="T271" s="115"/>
      <c r="U271" s="21"/>
      <c r="V271" s="8"/>
      <c r="W271" s="8"/>
      <c r="X271" s="8"/>
      <c r="Y271" s="9">
        <v>20</v>
      </c>
      <c r="Z271" s="9">
        <v>35</v>
      </c>
      <c r="AA271" s="10">
        <f t="shared" si="19"/>
        <v>1</v>
      </c>
      <c r="AB271" s="10">
        <f t="shared" si="20"/>
        <v>0</v>
      </c>
      <c r="AC271" s="10">
        <f t="shared" si="21"/>
        <v>0</v>
      </c>
      <c r="AD271" s="11">
        <f t="shared" si="22"/>
        <v>100</v>
      </c>
    </row>
    <row r="272" spans="1:30" ht="12.75" x14ac:dyDescent="0.2">
      <c r="A272" s="156"/>
      <c r="B272" s="152"/>
      <c r="C272" s="138"/>
      <c r="D272" s="138"/>
      <c r="E272" s="138"/>
      <c r="F272" s="138"/>
      <c r="G272" s="138"/>
      <c r="H272" s="13" t="s">
        <v>40</v>
      </c>
      <c r="I272" s="13"/>
      <c r="J272" s="23"/>
      <c r="K272" s="13"/>
      <c r="L272" s="23"/>
      <c r="M272" s="23"/>
      <c r="N272" s="13"/>
      <c r="O272" s="13"/>
      <c r="P272" s="13"/>
      <c r="Q272" s="13"/>
      <c r="R272" s="13"/>
      <c r="S272" s="23"/>
      <c r="T272" s="13"/>
      <c r="U272" s="15"/>
      <c r="V272" s="16"/>
      <c r="W272" s="16"/>
      <c r="X272" s="16"/>
      <c r="Y272" s="17">
        <v>20</v>
      </c>
      <c r="Z272" s="17">
        <v>35</v>
      </c>
      <c r="AA272" s="18">
        <f t="shared" si="19"/>
        <v>1</v>
      </c>
      <c r="AB272" s="18">
        <f t="shared" si="20"/>
        <v>0</v>
      </c>
      <c r="AC272" s="18">
        <f t="shared" si="21"/>
        <v>0</v>
      </c>
      <c r="AD272" s="19">
        <f t="shared" si="22"/>
        <v>100</v>
      </c>
    </row>
    <row r="273" spans="1:30" ht="12.75" x14ac:dyDescent="0.2">
      <c r="A273" s="156"/>
      <c r="B273" s="152"/>
      <c r="C273" s="137"/>
      <c r="D273" s="141"/>
      <c r="E273" s="141"/>
      <c r="F273" s="141"/>
      <c r="G273" s="141"/>
      <c r="H273" s="115" t="s">
        <v>39</v>
      </c>
      <c r="I273" s="115"/>
      <c r="J273" s="20"/>
      <c r="K273" s="115"/>
      <c r="L273" s="20"/>
      <c r="M273" s="20"/>
      <c r="N273" s="115"/>
      <c r="O273" s="115"/>
      <c r="P273" s="115"/>
      <c r="Q273" s="115"/>
      <c r="R273" s="115"/>
      <c r="S273" s="20"/>
      <c r="T273" s="115"/>
      <c r="U273" s="21"/>
      <c r="V273" s="8"/>
      <c r="W273" s="8"/>
      <c r="X273" s="8"/>
      <c r="Y273" s="9">
        <v>20</v>
      </c>
      <c r="Z273" s="9">
        <v>35</v>
      </c>
      <c r="AA273" s="10">
        <f t="shared" si="19"/>
        <v>1</v>
      </c>
      <c r="AB273" s="10">
        <f t="shared" si="20"/>
        <v>0</v>
      </c>
      <c r="AC273" s="10">
        <f t="shared" si="21"/>
        <v>0</v>
      </c>
      <c r="AD273" s="11">
        <f t="shared" si="22"/>
        <v>100</v>
      </c>
    </row>
    <row r="274" spans="1:30" ht="12.75" x14ac:dyDescent="0.2">
      <c r="A274" s="156"/>
      <c r="B274" s="152"/>
      <c r="C274" s="138"/>
      <c r="D274" s="138"/>
      <c r="E274" s="138"/>
      <c r="F274" s="138"/>
      <c r="G274" s="138"/>
      <c r="H274" s="13" t="s">
        <v>40</v>
      </c>
      <c r="I274" s="13"/>
      <c r="J274" s="23"/>
      <c r="K274" s="13"/>
      <c r="L274" s="23"/>
      <c r="M274" s="23"/>
      <c r="N274" s="13"/>
      <c r="O274" s="13"/>
      <c r="P274" s="13"/>
      <c r="Q274" s="13"/>
      <c r="R274" s="13"/>
      <c r="S274" s="23"/>
      <c r="T274" s="13"/>
      <c r="U274" s="15"/>
      <c r="V274" s="16"/>
      <c r="W274" s="16"/>
      <c r="X274" s="16"/>
      <c r="Y274" s="17">
        <v>20</v>
      </c>
      <c r="Z274" s="17">
        <v>35</v>
      </c>
      <c r="AA274" s="18">
        <f t="shared" si="19"/>
        <v>1</v>
      </c>
      <c r="AB274" s="18">
        <f t="shared" si="20"/>
        <v>0</v>
      </c>
      <c r="AC274" s="18">
        <f t="shared" si="21"/>
        <v>0</v>
      </c>
      <c r="AD274" s="19">
        <f t="shared" si="22"/>
        <v>100</v>
      </c>
    </row>
    <row r="275" spans="1:30" ht="12.75" x14ac:dyDescent="0.2">
      <c r="A275" s="156"/>
      <c r="B275" s="152"/>
      <c r="C275" s="137"/>
      <c r="D275" s="141"/>
      <c r="E275" s="141"/>
      <c r="F275" s="141"/>
      <c r="G275" s="141"/>
      <c r="H275" s="115" t="s">
        <v>39</v>
      </c>
      <c r="I275" s="115"/>
      <c r="J275" s="20"/>
      <c r="K275" s="115"/>
      <c r="L275" s="20"/>
      <c r="M275" s="20"/>
      <c r="N275" s="115"/>
      <c r="O275" s="115"/>
      <c r="P275" s="115"/>
      <c r="Q275" s="115"/>
      <c r="R275" s="115"/>
      <c r="S275" s="20"/>
      <c r="T275" s="115"/>
      <c r="U275" s="21"/>
      <c r="V275" s="8"/>
      <c r="W275" s="8"/>
      <c r="X275" s="8"/>
      <c r="Y275" s="9">
        <v>20</v>
      </c>
      <c r="Z275" s="9">
        <v>35</v>
      </c>
      <c r="AA275" s="10">
        <f t="shared" si="19"/>
        <v>1</v>
      </c>
      <c r="AB275" s="10">
        <f t="shared" si="20"/>
        <v>0</v>
      </c>
      <c r="AC275" s="10">
        <f t="shared" si="21"/>
        <v>0</v>
      </c>
      <c r="AD275" s="11">
        <f t="shared" si="22"/>
        <v>100</v>
      </c>
    </row>
    <row r="276" spans="1:30" ht="12.75" x14ac:dyDescent="0.2">
      <c r="A276" s="156"/>
      <c r="B276" s="152"/>
      <c r="C276" s="138"/>
      <c r="D276" s="138"/>
      <c r="E276" s="138"/>
      <c r="F276" s="138"/>
      <c r="G276" s="138"/>
      <c r="H276" s="13" t="s">
        <v>40</v>
      </c>
      <c r="I276" s="13"/>
      <c r="J276" s="23"/>
      <c r="K276" s="13"/>
      <c r="L276" s="23"/>
      <c r="M276" s="23"/>
      <c r="N276" s="13"/>
      <c r="O276" s="13"/>
      <c r="P276" s="13"/>
      <c r="Q276" s="13"/>
      <c r="R276" s="13"/>
      <c r="S276" s="23"/>
      <c r="T276" s="13"/>
      <c r="U276" s="15"/>
      <c r="V276" s="16"/>
      <c r="W276" s="16"/>
      <c r="X276" s="16"/>
      <c r="Y276" s="17">
        <v>20</v>
      </c>
      <c r="Z276" s="17">
        <v>35</v>
      </c>
      <c r="AA276" s="18">
        <f t="shared" si="19"/>
        <v>1</v>
      </c>
      <c r="AB276" s="18">
        <f t="shared" si="20"/>
        <v>0</v>
      </c>
      <c r="AC276" s="18">
        <f t="shared" si="21"/>
        <v>0</v>
      </c>
      <c r="AD276" s="19">
        <f t="shared" si="22"/>
        <v>100</v>
      </c>
    </row>
    <row r="277" spans="1:30" ht="12.75" x14ac:dyDescent="0.2">
      <c r="A277" s="156"/>
      <c r="B277" s="152"/>
      <c r="C277" s="137"/>
      <c r="D277" s="141"/>
      <c r="E277" s="141"/>
      <c r="F277" s="141"/>
      <c r="G277" s="141"/>
      <c r="H277" s="115" t="s">
        <v>39</v>
      </c>
      <c r="I277" s="115"/>
      <c r="J277" s="20"/>
      <c r="K277" s="115"/>
      <c r="L277" s="20"/>
      <c r="M277" s="20"/>
      <c r="N277" s="115"/>
      <c r="O277" s="115"/>
      <c r="P277" s="115"/>
      <c r="Q277" s="115"/>
      <c r="R277" s="115"/>
      <c r="S277" s="20"/>
      <c r="T277" s="115"/>
      <c r="U277" s="21"/>
      <c r="V277" s="8"/>
      <c r="W277" s="8"/>
      <c r="X277" s="8"/>
      <c r="Y277" s="9">
        <v>20</v>
      </c>
      <c r="Z277" s="9">
        <v>35</v>
      </c>
      <c r="AA277" s="10">
        <f t="shared" si="19"/>
        <v>1</v>
      </c>
      <c r="AB277" s="10">
        <f t="shared" si="20"/>
        <v>0</v>
      </c>
      <c r="AC277" s="10">
        <f t="shared" si="21"/>
        <v>0</v>
      </c>
      <c r="AD277" s="11">
        <f t="shared" si="22"/>
        <v>100</v>
      </c>
    </row>
    <row r="278" spans="1:30" ht="12.75" x14ac:dyDescent="0.2">
      <c r="A278" s="156"/>
      <c r="B278" s="152"/>
      <c r="C278" s="138"/>
      <c r="D278" s="138"/>
      <c r="E278" s="138"/>
      <c r="F278" s="138"/>
      <c r="G278" s="138"/>
      <c r="H278" s="13" t="s">
        <v>40</v>
      </c>
      <c r="I278" s="13"/>
      <c r="J278" s="23"/>
      <c r="K278" s="13"/>
      <c r="L278" s="23"/>
      <c r="M278" s="23"/>
      <c r="N278" s="13"/>
      <c r="O278" s="13"/>
      <c r="P278" s="13"/>
      <c r="Q278" s="13"/>
      <c r="R278" s="13"/>
      <c r="S278" s="23"/>
      <c r="T278" s="13"/>
      <c r="U278" s="15"/>
      <c r="V278" s="16"/>
      <c r="W278" s="16"/>
      <c r="X278" s="16"/>
      <c r="Y278" s="17">
        <v>20</v>
      </c>
      <c r="Z278" s="17">
        <v>35</v>
      </c>
      <c r="AA278" s="18">
        <f t="shared" si="19"/>
        <v>1</v>
      </c>
      <c r="AB278" s="18">
        <f t="shared" si="20"/>
        <v>0</v>
      </c>
      <c r="AC278" s="18">
        <f t="shared" si="21"/>
        <v>0</v>
      </c>
      <c r="AD278" s="19">
        <f t="shared" si="22"/>
        <v>100</v>
      </c>
    </row>
    <row r="279" spans="1:30" ht="12.75" x14ac:dyDescent="0.2">
      <c r="A279" s="156"/>
      <c r="B279" s="152"/>
      <c r="C279" s="137"/>
      <c r="D279" s="141"/>
      <c r="E279" s="141"/>
      <c r="F279" s="141"/>
      <c r="G279" s="141"/>
      <c r="H279" s="115" t="s">
        <v>39</v>
      </c>
      <c r="I279" s="115"/>
      <c r="J279" s="20"/>
      <c r="K279" s="115"/>
      <c r="L279" s="20"/>
      <c r="M279" s="20"/>
      <c r="N279" s="115"/>
      <c r="O279" s="115"/>
      <c r="P279" s="115"/>
      <c r="Q279" s="115"/>
      <c r="R279" s="115"/>
      <c r="S279" s="20"/>
      <c r="T279" s="115"/>
      <c r="U279" s="21"/>
      <c r="V279" s="8"/>
      <c r="W279" s="8"/>
      <c r="X279" s="8"/>
      <c r="Y279" s="9">
        <v>20</v>
      </c>
      <c r="Z279" s="9">
        <v>35</v>
      </c>
      <c r="AA279" s="10">
        <f t="shared" si="19"/>
        <v>1</v>
      </c>
      <c r="AB279" s="10">
        <f t="shared" si="20"/>
        <v>0</v>
      </c>
      <c r="AC279" s="10">
        <f t="shared" si="21"/>
        <v>0</v>
      </c>
      <c r="AD279" s="11">
        <f t="shared" si="22"/>
        <v>100</v>
      </c>
    </row>
    <row r="280" spans="1:30" ht="12.75" x14ac:dyDescent="0.2">
      <c r="A280" s="156"/>
      <c r="B280" s="152"/>
      <c r="C280" s="138"/>
      <c r="D280" s="138"/>
      <c r="E280" s="138"/>
      <c r="F280" s="138"/>
      <c r="G280" s="138"/>
      <c r="H280" s="13" t="s">
        <v>40</v>
      </c>
      <c r="I280" s="13"/>
      <c r="J280" s="23"/>
      <c r="K280" s="13"/>
      <c r="L280" s="23"/>
      <c r="M280" s="23"/>
      <c r="N280" s="13"/>
      <c r="O280" s="13"/>
      <c r="P280" s="13"/>
      <c r="Q280" s="13"/>
      <c r="R280" s="13"/>
      <c r="S280" s="23"/>
      <c r="T280" s="13"/>
      <c r="U280" s="15"/>
      <c r="V280" s="16"/>
      <c r="W280" s="16"/>
      <c r="X280" s="16"/>
      <c r="Y280" s="17">
        <v>20</v>
      </c>
      <c r="Z280" s="17">
        <v>35</v>
      </c>
      <c r="AA280" s="18">
        <f t="shared" si="19"/>
        <v>1</v>
      </c>
      <c r="AB280" s="18">
        <f t="shared" si="20"/>
        <v>0</v>
      </c>
      <c r="AC280" s="18">
        <f t="shared" si="21"/>
        <v>0</v>
      </c>
      <c r="AD280" s="19">
        <f t="shared" si="22"/>
        <v>100</v>
      </c>
    </row>
    <row r="281" spans="1:30" ht="12.75" x14ac:dyDescent="0.2">
      <c r="A281" s="156"/>
      <c r="B281" s="152"/>
      <c r="C281" s="137"/>
      <c r="D281" s="141"/>
      <c r="E281" s="141"/>
      <c r="F281" s="141"/>
      <c r="G281" s="141"/>
      <c r="H281" s="115" t="s">
        <v>39</v>
      </c>
      <c r="I281" s="115"/>
      <c r="J281" s="20"/>
      <c r="K281" s="115"/>
      <c r="L281" s="20"/>
      <c r="M281" s="20"/>
      <c r="N281" s="115"/>
      <c r="O281" s="115"/>
      <c r="P281" s="115"/>
      <c r="Q281" s="115"/>
      <c r="R281" s="115"/>
      <c r="S281" s="20"/>
      <c r="T281" s="115"/>
      <c r="U281" s="21"/>
      <c r="V281" s="8"/>
      <c r="W281" s="8"/>
      <c r="X281" s="8"/>
      <c r="Y281" s="9">
        <v>20</v>
      </c>
      <c r="Z281" s="9">
        <v>35</v>
      </c>
      <c r="AA281" s="10">
        <f t="shared" si="19"/>
        <v>1</v>
      </c>
      <c r="AB281" s="10">
        <f t="shared" si="20"/>
        <v>0</v>
      </c>
      <c r="AC281" s="10">
        <f t="shared" si="21"/>
        <v>0</v>
      </c>
      <c r="AD281" s="11">
        <f t="shared" si="22"/>
        <v>100</v>
      </c>
    </row>
    <row r="282" spans="1:30" ht="12.75" x14ac:dyDescent="0.2">
      <c r="A282" s="156"/>
      <c r="B282" s="152"/>
      <c r="C282" s="138"/>
      <c r="D282" s="138"/>
      <c r="E282" s="138"/>
      <c r="F282" s="138"/>
      <c r="G282" s="138"/>
      <c r="H282" s="13" t="s">
        <v>40</v>
      </c>
      <c r="I282" s="13"/>
      <c r="J282" s="23"/>
      <c r="K282" s="13"/>
      <c r="L282" s="23"/>
      <c r="M282" s="23"/>
      <c r="N282" s="13"/>
      <c r="O282" s="13"/>
      <c r="P282" s="13"/>
      <c r="Q282" s="13"/>
      <c r="R282" s="13"/>
      <c r="S282" s="23"/>
      <c r="T282" s="13"/>
      <c r="U282" s="15"/>
      <c r="V282" s="16"/>
      <c r="W282" s="16"/>
      <c r="X282" s="16"/>
      <c r="Y282" s="17">
        <v>20</v>
      </c>
      <c r="Z282" s="17">
        <v>35</v>
      </c>
      <c r="AA282" s="18">
        <f t="shared" si="19"/>
        <v>1</v>
      </c>
      <c r="AB282" s="18">
        <f t="shared" si="20"/>
        <v>0</v>
      </c>
      <c r="AC282" s="18">
        <f t="shared" si="21"/>
        <v>0</v>
      </c>
      <c r="AD282" s="19">
        <f t="shared" si="22"/>
        <v>100</v>
      </c>
    </row>
    <row r="283" spans="1:30" ht="12.75" x14ac:dyDescent="0.2">
      <c r="A283" s="156"/>
      <c r="B283" s="152"/>
      <c r="C283" s="137"/>
      <c r="D283" s="141"/>
      <c r="E283" s="141"/>
      <c r="F283" s="141"/>
      <c r="G283" s="141"/>
      <c r="H283" s="115" t="s">
        <v>39</v>
      </c>
      <c r="I283" s="115"/>
      <c r="J283" s="20"/>
      <c r="K283" s="115"/>
      <c r="L283" s="20"/>
      <c r="M283" s="20"/>
      <c r="N283" s="115"/>
      <c r="O283" s="115"/>
      <c r="P283" s="115"/>
      <c r="Q283" s="115"/>
      <c r="R283" s="115"/>
      <c r="S283" s="20"/>
      <c r="T283" s="115"/>
      <c r="U283" s="21"/>
      <c r="V283" s="8"/>
      <c r="W283" s="8"/>
      <c r="X283" s="8"/>
      <c r="Y283" s="9">
        <v>20</v>
      </c>
      <c r="Z283" s="9">
        <v>35</v>
      </c>
      <c r="AA283" s="10">
        <f t="shared" si="19"/>
        <v>1</v>
      </c>
      <c r="AB283" s="10">
        <f t="shared" si="20"/>
        <v>0</v>
      </c>
      <c r="AC283" s="10">
        <f t="shared" si="21"/>
        <v>0</v>
      </c>
      <c r="AD283" s="11">
        <f t="shared" si="22"/>
        <v>100</v>
      </c>
    </row>
    <row r="284" spans="1:30" ht="12.75" x14ac:dyDescent="0.2">
      <c r="A284" s="156"/>
      <c r="B284" s="152"/>
      <c r="C284" s="138"/>
      <c r="D284" s="138"/>
      <c r="E284" s="138"/>
      <c r="F284" s="138"/>
      <c r="G284" s="138"/>
      <c r="H284" s="13" t="s">
        <v>40</v>
      </c>
      <c r="I284" s="13"/>
      <c r="J284" s="23"/>
      <c r="K284" s="13"/>
      <c r="L284" s="23"/>
      <c r="M284" s="23"/>
      <c r="N284" s="13"/>
      <c r="O284" s="13"/>
      <c r="P284" s="13"/>
      <c r="Q284" s="13"/>
      <c r="R284" s="13"/>
      <c r="S284" s="23"/>
      <c r="T284" s="13"/>
      <c r="U284" s="15"/>
      <c r="V284" s="16"/>
      <c r="W284" s="16"/>
      <c r="X284" s="16"/>
      <c r="Y284" s="17">
        <v>20</v>
      </c>
      <c r="Z284" s="17">
        <v>35</v>
      </c>
      <c r="AA284" s="18">
        <f t="shared" si="19"/>
        <v>1</v>
      </c>
      <c r="AB284" s="18">
        <f t="shared" si="20"/>
        <v>0</v>
      </c>
      <c r="AC284" s="18">
        <f t="shared" si="21"/>
        <v>0</v>
      </c>
      <c r="AD284" s="19">
        <f t="shared" si="22"/>
        <v>100</v>
      </c>
    </row>
    <row r="285" spans="1:30" ht="12.75" x14ac:dyDescent="0.2">
      <c r="A285" s="156"/>
      <c r="B285" s="152"/>
      <c r="C285" s="137"/>
      <c r="D285" s="141"/>
      <c r="E285" s="141"/>
      <c r="F285" s="141"/>
      <c r="G285" s="141"/>
      <c r="H285" s="115" t="s">
        <v>39</v>
      </c>
      <c r="I285" s="115"/>
      <c r="J285" s="20"/>
      <c r="K285" s="115"/>
      <c r="L285" s="20"/>
      <c r="M285" s="20"/>
      <c r="N285" s="115"/>
      <c r="O285" s="115"/>
      <c r="P285" s="115"/>
      <c r="Q285" s="115"/>
      <c r="R285" s="115"/>
      <c r="S285" s="20"/>
      <c r="T285" s="115"/>
      <c r="U285" s="21"/>
      <c r="V285" s="8"/>
      <c r="W285" s="8"/>
      <c r="X285" s="8"/>
      <c r="Y285" s="9">
        <v>20</v>
      </c>
      <c r="Z285" s="9">
        <v>35</v>
      </c>
      <c r="AA285" s="10">
        <f t="shared" si="19"/>
        <v>1</v>
      </c>
      <c r="AB285" s="10">
        <f t="shared" si="20"/>
        <v>0</v>
      </c>
      <c r="AC285" s="10">
        <f t="shared" si="21"/>
        <v>0</v>
      </c>
      <c r="AD285" s="11">
        <f t="shared" si="22"/>
        <v>100</v>
      </c>
    </row>
    <row r="286" spans="1:30" ht="12.75" x14ac:dyDescent="0.2">
      <c r="A286" s="156"/>
      <c r="B286" s="152"/>
      <c r="C286" s="138"/>
      <c r="D286" s="138"/>
      <c r="E286" s="138"/>
      <c r="F286" s="138"/>
      <c r="G286" s="138"/>
      <c r="H286" s="13" t="s">
        <v>40</v>
      </c>
      <c r="I286" s="13"/>
      <c r="J286" s="23"/>
      <c r="K286" s="13"/>
      <c r="L286" s="23"/>
      <c r="M286" s="23"/>
      <c r="N286" s="13"/>
      <c r="O286" s="13"/>
      <c r="P286" s="13"/>
      <c r="Q286" s="13"/>
      <c r="R286" s="13"/>
      <c r="S286" s="23"/>
      <c r="T286" s="13"/>
      <c r="U286" s="15"/>
      <c r="V286" s="16"/>
      <c r="W286" s="16"/>
      <c r="X286" s="16"/>
      <c r="Y286" s="17">
        <v>20</v>
      </c>
      <c r="Z286" s="17">
        <v>35</v>
      </c>
      <c r="AA286" s="18">
        <f t="shared" si="19"/>
        <v>1</v>
      </c>
      <c r="AB286" s="18">
        <f t="shared" si="20"/>
        <v>0</v>
      </c>
      <c r="AC286" s="18">
        <f t="shared" si="21"/>
        <v>0</v>
      </c>
      <c r="AD286" s="19">
        <f t="shared" si="22"/>
        <v>100</v>
      </c>
    </row>
    <row r="287" spans="1:30" ht="12.75" x14ac:dyDescent="0.2">
      <c r="A287" s="156"/>
      <c r="B287" s="152"/>
      <c r="C287" s="137"/>
      <c r="D287" s="141"/>
      <c r="E287" s="141"/>
      <c r="F287" s="141"/>
      <c r="G287" s="141"/>
      <c r="H287" s="115" t="s">
        <v>39</v>
      </c>
      <c r="I287" s="115"/>
      <c r="J287" s="20"/>
      <c r="K287" s="115"/>
      <c r="L287" s="20"/>
      <c r="M287" s="20"/>
      <c r="N287" s="115"/>
      <c r="O287" s="115"/>
      <c r="P287" s="115"/>
      <c r="Q287" s="115"/>
      <c r="R287" s="115"/>
      <c r="S287" s="20"/>
      <c r="T287" s="115"/>
      <c r="U287" s="21"/>
      <c r="V287" s="8"/>
      <c r="W287" s="8"/>
      <c r="X287" s="8"/>
      <c r="Y287" s="9">
        <v>20</v>
      </c>
      <c r="Z287" s="9">
        <v>35</v>
      </c>
      <c r="AA287" s="10">
        <f t="shared" si="19"/>
        <v>1</v>
      </c>
      <c r="AB287" s="10">
        <f t="shared" si="20"/>
        <v>0</v>
      </c>
      <c r="AC287" s="10">
        <f t="shared" si="21"/>
        <v>0</v>
      </c>
      <c r="AD287" s="11">
        <f t="shared" si="22"/>
        <v>100</v>
      </c>
    </row>
    <row r="288" spans="1:30" ht="12.75" x14ac:dyDescent="0.2">
      <c r="A288" s="156"/>
      <c r="B288" s="152"/>
      <c r="C288" s="138"/>
      <c r="D288" s="138"/>
      <c r="E288" s="138"/>
      <c r="F288" s="138"/>
      <c r="G288" s="138"/>
      <c r="H288" s="13" t="s">
        <v>40</v>
      </c>
      <c r="I288" s="13"/>
      <c r="J288" s="23"/>
      <c r="K288" s="13"/>
      <c r="L288" s="23"/>
      <c r="M288" s="23"/>
      <c r="N288" s="13"/>
      <c r="O288" s="13"/>
      <c r="P288" s="13"/>
      <c r="Q288" s="13"/>
      <c r="R288" s="13"/>
      <c r="S288" s="23"/>
      <c r="T288" s="13"/>
      <c r="U288" s="15"/>
      <c r="V288" s="16"/>
      <c r="W288" s="16"/>
      <c r="X288" s="16"/>
      <c r="Y288" s="17">
        <v>20</v>
      </c>
      <c r="Z288" s="17">
        <v>35</v>
      </c>
      <c r="AA288" s="18">
        <f t="shared" si="19"/>
        <v>1</v>
      </c>
      <c r="AB288" s="18">
        <f t="shared" si="20"/>
        <v>0</v>
      </c>
      <c r="AC288" s="18">
        <f t="shared" si="21"/>
        <v>0</v>
      </c>
      <c r="AD288" s="19">
        <f t="shared" si="22"/>
        <v>100</v>
      </c>
    </row>
    <row r="289" spans="1:30" ht="12.75" x14ac:dyDescent="0.2">
      <c r="A289" s="156"/>
      <c r="B289" s="152"/>
      <c r="C289" s="137"/>
      <c r="D289" s="141"/>
      <c r="E289" s="141"/>
      <c r="F289" s="141"/>
      <c r="G289" s="141"/>
      <c r="H289" s="115" t="s">
        <v>39</v>
      </c>
      <c r="I289" s="115"/>
      <c r="J289" s="20"/>
      <c r="K289" s="115"/>
      <c r="L289" s="20"/>
      <c r="M289" s="20"/>
      <c r="N289" s="115"/>
      <c r="O289" s="115"/>
      <c r="P289" s="115"/>
      <c r="Q289" s="115"/>
      <c r="R289" s="115"/>
      <c r="S289" s="20"/>
      <c r="T289" s="115"/>
      <c r="U289" s="21"/>
      <c r="V289" s="8"/>
      <c r="W289" s="8"/>
      <c r="X289" s="8"/>
      <c r="Y289" s="9">
        <v>20</v>
      </c>
      <c r="Z289" s="9">
        <v>35</v>
      </c>
      <c r="AA289" s="10">
        <f t="shared" si="19"/>
        <v>1</v>
      </c>
      <c r="AB289" s="10">
        <f t="shared" si="20"/>
        <v>0</v>
      </c>
      <c r="AC289" s="10">
        <f t="shared" si="21"/>
        <v>0</v>
      </c>
      <c r="AD289" s="11">
        <f t="shared" si="22"/>
        <v>100</v>
      </c>
    </row>
    <row r="290" spans="1:30" ht="12.75" x14ac:dyDescent="0.2">
      <c r="A290" s="156"/>
      <c r="B290" s="152"/>
      <c r="C290" s="138"/>
      <c r="D290" s="138"/>
      <c r="E290" s="138"/>
      <c r="F290" s="138"/>
      <c r="G290" s="138"/>
      <c r="H290" s="13" t="s">
        <v>40</v>
      </c>
      <c r="I290" s="13"/>
      <c r="J290" s="23"/>
      <c r="K290" s="13"/>
      <c r="L290" s="23"/>
      <c r="M290" s="23"/>
      <c r="N290" s="13"/>
      <c r="O290" s="13"/>
      <c r="P290" s="13"/>
      <c r="Q290" s="13"/>
      <c r="R290" s="13"/>
      <c r="S290" s="23"/>
      <c r="T290" s="13"/>
      <c r="U290" s="15"/>
      <c r="V290" s="16"/>
      <c r="W290" s="16"/>
      <c r="X290" s="16"/>
      <c r="Y290" s="17">
        <v>20</v>
      </c>
      <c r="Z290" s="17">
        <v>35</v>
      </c>
      <c r="AA290" s="18">
        <f t="shared" si="19"/>
        <v>1</v>
      </c>
      <c r="AB290" s="18">
        <f t="shared" si="20"/>
        <v>0</v>
      </c>
      <c r="AC290" s="18">
        <f t="shared" si="21"/>
        <v>0</v>
      </c>
      <c r="AD290" s="19">
        <f t="shared" si="22"/>
        <v>100</v>
      </c>
    </row>
    <row r="291" spans="1:30" ht="12.75" x14ac:dyDescent="0.2">
      <c r="A291" s="156"/>
      <c r="B291" s="152"/>
      <c r="C291" s="137"/>
      <c r="D291" s="141"/>
      <c r="E291" s="141"/>
      <c r="F291" s="141"/>
      <c r="G291" s="141"/>
      <c r="H291" s="115" t="s">
        <v>39</v>
      </c>
      <c r="I291" s="115"/>
      <c r="J291" s="20"/>
      <c r="K291" s="115"/>
      <c r="L291" s="20"/>
      <c r="M291" s="20"/>
      <c r="N291" s="115"/>
      <c r="O291" s="115"/>
      <c r="P291" s="115"/>
      <c r="Q291" s="115"/>
      <c r="R291" s="115"/>
      <c r="S291" s="20"/>
      <c r="T291" s="115"/>
      <c r="U291" s="21"/>
      <c r="V291" s="8"/>
      <c r="W291" s="8"/>
      <c r="X291" s="8"/>
      <c r="Y291" s="9">
        <v>20</v>
      </c>
      <c r="Z291" s="9">
        <v>35</v>
      </c>
      <c r="AA291" s="10">
        <f t="shared" si="19"/>
        <v>1</v>
      </c>
      <c r="AB291" s="10">
        <f t="shared" si="20"/>
        <v>0</v>
      </c>
      <c r="AC291" s="10">
        <f t="shared" si="21"/>
        <v>0</v>
      </c>
      <c r="AD291" s="11">
        <f t="shared" si="22"/>
        <v>100</v>
      </c>
    </row>
    <row r="292" spans="1:30" ht="12.75" x14ac:dyDescent="0.2">
      <c r="A292" s="156"/>
      <c r="B292" s="152"/>
      <c r="C292" s="138"/>
      <c r="D292" s="138"/>
      <c r="E292" s="138"/>
      <c r="F292" s="138"/>
      <c r="G292" s="138"/>
      <c r="H292" s="13" t="s">
        <v>40</v>
      </c>
      <c r="I292" s="13"/>
      <c r="J292" s="23"/>
      <c r="K292" s="13"/>
      <c r="L292" s="23"/>
      <c r="M292" s="23"/>
      <c r="N292" s="13"/>
      <c r="O292" s="13"/>
      <c r="P292" s="13"/>
      <c r="Q292" s="13"/>
      <c r="R292" s="13"/>
      <c r="S292" s="23"/>
      <c r="T292" s="13"/>
      <c r="U292" s="15"/>
      <c r="V292" s="16"/>
      <c r="W292" s="16"/>
      <c r="X292" s="16"/>
      <c r="Y292" s="17">
        <v>20</v>
      </c>
      <c r="Z292" s="17">
        <v>35</v>
      </c>
      <c r="AA292" s="18">
        <f t="shared" si="19"/>
        <v>1</v>
      </c>
      <c r="AB292" s="18">
        <f t="shared" si="20"/>
        <v>0</v>
      </c>
      <c r="AC292" s="18">
        <f t="shared" si="21"/>
        <v>0</v>
      </c>
      <c r="AD292" s="19">
        <f t="shared" si="22"/>
        <v>100</v>
      </c>
    </row>
    <row r="293" spans="1:30" ht="12.75" x14ac:dyDescent="0.2">
      <c r="A293" s="156"/>
      <c r="B293" s="152"/>
      <c r="C293" s="137"/>
      <c r="D293" s="141"/>
      <c r="E293" s="141"/>
      <c r="F293" s="141"/>
      <c r="G293" s="141"/>
      <c r="H293" s="115" t="s">
        <v>39</v>
      </c>
      <c r="I293" s="115"/>
      <c r="J293" s="20"/>
      <c r="K293" s="115"/>
      <c r="L293" s="20"/>
      <c r="M293" s="20"/>
      <c r="N293" s="115"/>
      <c r="O293" s="115"/>
      <c r="P293" s="115"/>
      <c r="Q293" s="115"/>
      <c r="R293" s="115"/>
      <c r="S293" s="20"/>
      <c r="T293" s="115"/>
      <c r="U293" s="21"/>
      <c r="V293" s="8"/>
      <c r="W293" s="8"/>
      <c r="X293" s="8"/>
      <c r="Y293" s="9">
        <v>20</v>
      </c>
      <c r="Z293" s="9">
        <v>35</v>
      </c>
      <c r="AA293" s="10">
        <f t="shared" si="19"/>
        <v>1</v>
      </c>
      <c r="AB293" s="10">
        <f t="shared" si="20"/>
        <v>0</v>
      </c>
      <c r="AC293" s="10">
        <f t="shared" si="21"/>
        <v>0</v>
      </c>
      <c r="AD293" s="11">
        <f t="shared" si="22"/>
        <v>100</v>
      </c>
    </row>
    <row r="294" spans="1:30" ht="12.75" x14ac:dyDescent="0.2">
      <c r="A294" s="156"/>
      <c r="B294" s="152"/>
      <c r="C294" s="138"/>
      <c r="D294" s="138"/>
      <c r="E294" s="138"/>
      <c r="F294" s="138"/>
      <c r="G294" s="138"/>
      <c r="H294" s="13" t="s">
        <v>40</v>
      </c>
      <c r="I294" s="13"/>
      <c r="J294" s="23"/>
      <c r="K294" s="13"/>
      <c r="L294" s="23"/>
      <c r="M294" s="23"/>
      <c r="N294" s="13"/>
      <c r="O294" s="13"/>
      <c r="P294" s="13"/>
      <c r="Q294" s="13"/>
      <c r="R294" s="13"/>
      <c r="S294" s="23"/>
      <c r="T294" s="13"/>
      <c r="U294" s="15"/>
      <c r="V294" s="16"/>
      <c r="W294" s="16"/>
      <c r="X294" s="16"/>
      <c r="Y294" s="17">
        <v>20</v>
      </c>
      <c r="Z294" s="17">
        <v>35</v>
      </c>
      <c r="AA294" s="18">
        <f t="shared" si="19"/>
        <v>1</v>
      </c>
      <c r="AB294" s="18">
        <f t="shared" si="20"/>
        <v>0</v>
      </c>
      <c r="AC294" s="18">
        <f t="shared" si="21"/>
        <v>0</v>
      </c>
      <c r="AD294" s="19">
        <f t="shared" si="22"/>
        <v>100</v>
      </c>
    </row>
    <row r="295" spans="1:30" ht="12.75" x14ac:dyDescent="0.2">
      <c r="A295" s="156"/>
      <c r="B295" s="152"/>
      <c r="C295" s="137"/>
      <c r="D295" s="141"/>
      <c r="E295" s="141"/>
      <c r="F295" s="141"/>
      <c r="G295" s="141"/>
      <c r="H295" s="115" t="s">
        <v>39</v>
      </c>
      <c r="I295" s="115"/>
      <c r="J295" s="20"/>
      <c r="K295" s="115"/>
      <c r="L295" s="20"/>
      <c r="M295" s="20"/>
      <c r="N295" s="115"/>
      <c r="O295" s="115"/>
      <c r="P295" s="115"/>
      <c r="Q295" s="115"/>
      <c r="R295" s="115"/>
      <c r="S295" s="20"/>
      <c r="T295" s="115"/>
      <c r="U295" s="21"/>
      <c r="V295" s="8"/>
      <c r="W295" s="8"/>
      <c r="X295" s="8"/>
      <c r="Y295" s="9">
        <v>20</v>
      </c>
      <c r="Z295" s="9">
        <v>35</v>
      </c>
      <c r="AA295" s="10">
        <f t="shared" si="19"/>
        <v>1</v>
      </c>
      <c r="AB295" s="10">
        <f t="shared" si="20"/>
        <v>0</v>
      </c>
      <c r="AC295" s="10">
        <f t="shared" si="21"/>
        <v>0</v>
      </c>
      <c r="AD295" s="11">
        <f t="shared" si="22"/>
        <v>100</v>
      </c>
    </row>
    <row r="296" spans="1:30" ht="12.75" x14ac:dyDescent="0.2">
      <c r="A296" s="156"/>
      <c r="B296" s="152"/>
      <c r="C296" s="138"/>
      <c r="D296" s="138"/>
      <c r="E296" s="138"/>
      <c r="F296" s="138"/>
      <c r="G296" s="138"/>
      <c r="H296" s="13" t="s">
        <v>40</v>
      </c>
      <c r="I296" s="13"/>
      <c r="J296" s="23"/>
      <c r="K296" s="13"/>
      <c r="L296" s="23"/>
      <c r="M296" s="23"/>
      <c r="N296" s="13"/>
      <c r="O296" s="13"/>
      <c r="P296" s="13"/>
      <c r="Q296" s="13"/>
      <c r="R296" s="13"/>
      <c r="S296" s="23"/>
      <c r="T296" s="13"/>
      <c r="U296" s="15"/>
      <c r="V296" s="16"/>
      <c r="W296" s="16"/>
      <c r="X296" s="16"/>
      <c r="Y296" s="17">
        <v>20</v>
      </c>
      <c r="Z296" s="17">
        <v>35</v>
      </c>
      <c r="AA296" s="18">
        <f t="shared" si="19"/>
        <v>1</v>
      </c>
      <c r="AB296" s="18">
        <f t="shared" si="20"/>
        <v>0</v>
      </c>
      <c r="AC296" s="18">
        <f t="shared" si="21"/>
        <v>0</v>
      </c>
      <c r="AD296" s="19">
        <f t="shared" si="22"/>
        <v>100</v>
      </c>
    </row>
    <row r="297" spans="1:30" ht="12.75" x14ac:dyDescent="0.2">
      <c r="A297" s="156"/>
      <c r="B297" s="152"/>
      <c r="C297" s="137"/>
      <c r="D297" s="141"/>
      <c r="E297" s="141"/>
      <c r="F297" s="141"/>
      <c r="G297" s="141"/>
      <c r="H297" s="115" t="s">
        <v>39</v>
      </c>
      <c r="I297" s="115"/>
      <c r="J297" s="20"/>
      <c r="K297" s="115"/>
      <c r="L297" s="20"/>
      <c r="M297" s="20"/>
      <c r="N297" s="115"/>
      <c r="O297" s="115"/>
      <c r="P297" s="115"/>
      <c r="Q297" s="115"/>
      <c r="R297" s="115"/>
      <c r="S297" s="20"/>
      <c r="T297" s="115"/>
      <c r="U297" s="21"/>
      <c r="V297" s="8"/>
      <c r="W297" s="8"/>
      <c r="X297" s="8"/>
      <c r="Y297" s="9">
        <v>20</v>
      </c>
      <c r="Z297" s="9">
        <v>35</v>
      </c>
      <c r="AA297" s="10">
        <f t="shared" si="19"/>
        <v>1</v>
      </c>
      <c r="AB297" s="10">
        <f t="shared" si="20"/>
        <v>0</v>
      </c>
      <c r="AC297" s="10">
        <f t="shared" si="21"/>
        <v>0</v>
      </c>
      <c r="AD297" s="11">
        <f t="shared" si="22"/>
        <v>100</v>
      </c>
    </row>
    <row r="298" spans="1:30" ht="12.75" x14ac:dyDescent="0.2">
      <c r="A298" s="156"/>
      <c r="B298" s="152"/>
      <c r="C298" s="138"/>
      <c r="D298" s="138"/>
      <c r="E298" s="138"/>
      <c r="F298" s="138"/>
      <c r="G298" s="138"/>
      <c r="H298" s="13" t="s">
        <v>40</v>
      </c>
      <c r="I298" s="13"/>
      <c r="J298" s="23"/>
      <c r="K298" s="13"/>
      <c r="L298" s="23"/>
      <c r="M298" s="23"/>
      <c r="N298" s="13"/>
      <c r="O298" s="13"/>
      <c r="P298" s="13"/>
      <c r="Q298" s="13"/>
      <c r="R298" s="13"/>
      <c r="S298" s="23"/>
      <c r="T298" s="13"/>
      <c r="U298" s="15"/>
      <c r="V298" s="16"/>
      <c r="W298" s="16"/>
      <c r="X298" s="16"/>
      <c r="Y298" s="17">
        <v>20</v>
      </c>
      <c r="Z298" s="17">
        <v>35</v>
      </c>
      <c r="AA298" s="18">
        <f t="shared" si="19"/>
        <v>1</v>
      </c>
      <c r="AB298" s="18">
        <f t="shared" si="20"/>
        <v>0</v>
      </c>
      <c r="AC298" s="18">
        <f t="shared" si="21"/>
        <v>0</v>
      </c>
      <c r="AD298" s="19">
        <f t="shared" si="22"/>
        <v>100</v>
      </c>
    </row>
    <row r="299" spans="1:30" ht="12.75" x14ac:dyDescent="0.2">
      <c r="A299" s="156"/>
      <c r="B299" s="152"/>
      <c r="C299" s="137"/>
      <c r="D299" s="141"/>
      <c r="E299" s="141"/>
      <c r="F299" s="141"/>
      <c r="G299" s="141"/>
      <c r="H299" s="115" t="s">
        <v>39</v>
      </c>
      <c r="I299" s="115"/>
      <c r="J299" s="20"/>
      <c r="K299" s="115"/>
      <c r="L299" s="20"/>
      <c r="M299" s="20"/>
      <c r="N299" s="115"/>
      <c r="O299" s="115"/>
      <c r="P299" s="115"/>
      <c r="Q299" s="115"/>
      <c r="R299" s="115"/>
      <c r="S299" s="20"/>
      <c r="T299" s="115"/>
      <c r="U299" s="21"/>
      <c r="V299" s="8"/>
      <c r="W299" s="8"/>
      <c r="X299" s="8"/>
      <c r="Y299" s="9">
        <v>20</v>
      </c>
      <c r="Z299" s="9">
        <v>35</v>
      </c>
      <c r="AA299" s="10">
        <f t="shared" si="19"/>
        <v>1</v>
      </c>
      <c r="AB299" s="10">
        <f t="shared" si="20"/>
        <v>0</v>
      </c>
      <c r="AC299" s="10">
        <f t="shared" si="21"/>
        <v>0</v>
      </c>
      <c r="AD299" s="11">
        <f t="shared" si="22"/>
        <v>100</v>
      </c>
    </row>
    <row r="300" spans="1:30" ht="12.75" x14ac:dyDescent="0.2">
      <c r="A300" s="156"/>
      <c r="B300" s="152"/>
      <c r="C300" s="138"/>
      <c r="D300" s="138"/>
      <c r="E300" s="138"/>
      <c r="F300" s="138"/>
      <c r="G300" s="138"/>
      <c r="H300" s="13" t="s">
        <v>40</v>
      </c>
      <c r="I300" s="13"/>
      <c r="J300" s="23"/>
      <c r="K300" s="13"/>
      <c r="L300" s="23"/>
      <c r="M300" s="23"/>
      <c r="N300" s="13"/>
      <c r="O300" s="13"/>
      <c r="P300" s="13"/>
      <c r="Q300" s="13"/>
      <c r="R300" s="13"/>
      <c r="S300" s="23"/>
      <c r="T300" s="13"/>
      <c r="U300" s="15"/>
      <c r="V300" s="16"/>
      <c r="W300" s="16"/>
      <c r="X300" s="16"/>
      <c r="Y300" s="17">
        <v>20</v>
      </c>
      <c r="Z300" s="17">
        <v>35</v>
      </c>
      <c r="AA300" s="18">
        <f t="shared" si="19"/>
        <v>1</v>
      </c>
      <c r="AB300" s="18">
        <f t="shared" si="20"/>
        <v>0</v>
      </c>
      <c r="AC300" s="18">
        <f t="shared" si="21"/>
        <v>0</v>
      </c>
      <c r="AD300" s="19">
        <f t="shared" si="22"/>
        <v>100</v>
      </c>
    </row>
    <row r="301" spans="1:30" ht="12.75" x14ac:dyDescent="0.2">
      <c r="A301" s="156"/>
      <c r="B301" s="152"/>
      <c r="C301" s="137"/>
      <c r="D301" s="141"/>
      <c r="E301" s="141"/>
      <c r="F301" s="141"/>
      <c r="G301" s="141"/>
      <c r="H301" s="115" t="s">
        <v>39</v>
      </c>
      <c r="I301" s="115"/>
      <c r="J301" s="20"/>
      <c r="K301" s="115"/>
      <c r="L301" s="20"/>
      <c r="M301" s="20"/>
      <c r="N301" s="115"/>
      <c r="O301" s="115"/>
      <c r="P301" s="115"/>
      <c r="Q301" s="115"/>
      <c r="R301" s="115"/>
      <c r="S301" s="20"/>
      <c r="T301" s="115"/>
      <c r="U301" s="21"/>
      <c r="V301" s="8"/>
      <c r="W301" s="8"/>
      <c r="X301" s="8"/>
      <c r="Y301" s="9">
        <v>20</v>
      </c>
      <c r="Z301" s="9">
        <v>35</v>
      </c>
      <c r="AA301" s="10">
        <f t="shared" si="19"/>
        <v>1</v>
      </c>
      <c r="AB301" s="10">
        <f t="shared" si="20"/>
        <v>0</v>
      </c>
      <c r="AC301" s="10">
        <f t="shared" si="21"/>
        <v>0</v>
      </c>
      <c r="AD301" s="11">
        <f t="shared" si="22"/>
        <v>100</v>
      </c>
    </row>
    <row r="302" spans="1:30" ht="12.75" x14ac:dyDescent="0.2">
      <c r="A302" s="156"/>
      <c r="B302" s="152"/>
      <c r="C302" s="138"/>
      <c r="D302" s="138"/>
      <c r="E302" s="138"/>
      <c r="F302" s="138"/>
      <c r="G302" s="138"/>
      <c r="H302" s="13" t="s">
        <v>40</v>
      </c>
      <c r="I302" s="13"/>
      <c r="J302" s="23"/>
      <c r="K302" s="13"/>
      <c r="L302" s="23"/>
      <c r="M302" s="23"/>
      <c r="N302" s="13"/>
      <c r="O302" s="13"/>
      <c r="P302" s="13"/>
      <c r="Q302" s="13"/>
      <c r="R302" s="13"/>
      <c r="S302" s="23"/>
      <c r="T302" s="13"/>
      <c r="U302" s="15"/>
      <c r="V302" s="16"/>
      <c r="W302" s="16"/>
      <c r="X302" s="16"/>
      <c r="Y302" s="17">
        <v>20</v>
      </c>
      <c r="Z302" s="17">
        <v>35</v>
      </c>
      <c r="AA302" s="18">
        <f t="shared" si="19"/>
        <v>1</v>
      </c>
      <c r="AB302" s="18">
        <f t="shared" si="20"/>
        <v>0</v>
      </c>
      <c r="AC302" s="18">
        <f t="shared" si="21"/>
        <v>0</v>
      </c>
      <c r="AD302" s="19">
        <f t="shared" si="22"/>
        <v>100</v>
      </c>
    </row>
    <row r="303" spans="1:30" ht="12.75" x14ac:dyDescent="0.2">
      <c r="A303" s="156"/>
      <c r="B303" s="152"/>
      <c r="C303" s="137"/>
      <c r="D303" s="141"/>
      <c r="E303" s="141"/>
      <c r="F303" s="141"/>
      <c r="G303" s="141"/>
      <c r="H303" s="115" t="s">
        <v>39</v>
      </c>
      <c r="I303" s="115"/>
      <c r="J303" s="20"/>
      <c r="K303" s="115"/>
      <c r="L303" s="20"/>
      <c r="M303" s="20"/>
      <c r="N303" s="115"/>
      <c r="O303" s="115"/>
      <c r="P303" s="115"/>
      <c r="Q303" s="115"/>
      <c r="R303" s="115"/>
      <c r="S303" s="20"/>
      <c r="T303" s="115"/>
      <c r="U303" s="21"/>
      <c r="V303" s="8"/>
      <c r="W303" s="8"/>
      <c r="X303" s="8"/>
      <c r="Y303" s="9">
        <v>20</v>
      </c>
      <c r="Z303" s="9">
        <v>35</v>
      </c>
      <c r="AA303" s="10">
        <f t="shared" si="19"/>
        <v>1</v>
      </c>
      <c r="AB303" s="10">
        <f t="shared" si="20"/>
        <v>0</v>
      </c>
      <c r="AC303" s="10">
        <f t="shared" si="21"/>
        <v>0</v>
      </c>
      <c r="AD303" s="11">
        <f t="shared" si="22"/>
        <v>100</v>
      </c>
    </row>
    <row r="304" spans="1:30" ht="12.75" x14ac:dyDescent="0.2">
      <c r="A304" s="156"/>
      <c r="B304" s="152"/>
      <c r="C304" s="138"/>
      <c r="D304" s="138"/>
      <c r="E304" s="138"/>
      <c r="F304" s="138"/>
      <c r="G304" s="138"/>
      <c r="H304" s="13" t="s">
        <v>40</v>
      </c>
      <c r="I304" s="13"/>
      <c r="J304" s="23"/>
      <c r="K304" s="13"/>
      <c r="L304" s="23"/>
      <c r="M304" s="23"/>
      <c r="N304" s="13"/>
      <c r="O304" s="13"/>
      <c r="P304" s="13"/>
      <c r="Q304" s="13"/>
      <c r="R304" s="13"/>
      <c r="S304" s="23"/>
      <c r="T304" s="13"/>
      <c r="U304" s="15"/>
      <c r="V304" s="16"/>
      <c r="W304" s="16"/>
      <c r="X304" s="16"/>
      <c r="Y304" s="17">
        <v>20</v>
      </c>
      <c r="Z304" s="17">
        <v>35</v>
      </c>
      <c r="AA304" s="18">
        <f t="shared" si="19"/>
        <v>1</v>
      </c>
      <c r="AB304" s="18">
        <f t="shared" si="20"/>
        <v>0</v>
      </c>
      <c r="AC304" s="18">
        <f t="shared" si="21"/>
        <v>0</v>
      </c>
      <c r="AD304" s="19">
        <f t="shared" si="22"/>
        <v>100</v>
      </c>
    </row>
    <row r="305" spans="1:30" ht="12.75" x14ac:dyDescent="0.2">
      <c r="A305" s="156"/>
      <c r="B305" s="152"/>
      <c r="C305" s="137"/>
      <c r="D305" s="141"/>
      <c r="E305" s="141"/>
      <c r="F305" s="141"/>
      <c r="G305" s="141"/>
      <c r="H305" s="115" t="s">
        <v>39</v>
      </c>
      <c r="I305" s="115"/>
      <c r="J305" s="20"/>
      <c r="K305" s="115"/>
      <c r="L305" s="20"/>
      <c r="M305" s="20"/>
      <c r="N305" s="115"/>
      <c r="O305" s="115"/>
      <c r="P305" s="115"/>
      <c r="Q305" s="115"/>
      <c r="R305" s="115"/>
      <c r="S305" s="20"/>
      <c r="T305" s="115"/>
      <c r="U305" s="21"/>
      <c r="V305" s="8"/>
      <c r="W305" s="8"/>
      <c r="X305" s="8"/>
      <c r="Y305" s="9">
        <v>20</v>
      </c>
      <c r="Z305" s="9">
        <v>35</v>
      </c>
      <c r="AA305" s="10">
        <f t="shared" si="19"/>
        <v>1</v>
      </c>
      <c r="AB305" s="10">
        <f t="shared" si="20"/>
        <v>0</v>
      </c>
      <c r="AC305" s="10">
        <f t="shared" si="21"/>
        <v>0</v>
      </c>
      <c r="AD305" s="11">
        <f t="shared" si="22"/>
        <v>100</v>
      </c>
    </row>
    <row r="306" spans="1:30" ht="12.75" x14ac:dyDescent="0.2">
      <c r="A306" s="156"/>
      <c r="B306" s="152"/>
      <c r="C306" s="138"/>
      <c r="D306" s="138"/>
      <c r="E306" s="138"/>
      <c r="F306" s="138"/>
      <c r="G306" s="138"/>
      <c r="H306" s="13" t="s">
        <v>40</v>
      </c>
      <c r="I306" s="13"/>
      <c r="J306" s="23"/>
      <c r="K306" s="13"/>
      <c r="L306" s="23"/>
      <c r="M306" s="23"/>
      <c r="N306" s="13"/>
      <c r="O306" s="13"/>
      <c r="P306" s="13"/>
      <c r="Q306" s="13"/>
      <c r="R306" s="13"/>
      <c r="S306" s="23"/>
      <c r="T306" s="13"/>
      <c r="U306" s="15"/>
      <c r="V306" s="16"/>
      <c r="W306" s="16"/>
      <c r="X306" s="16"/>
      <c r="Y306" s="17">
        <v>20</v>
      </c>
      <c r="Z306" s="17">
        <v>35</v>
      </c>
      <c r="AA306" s="18">
        <f t="shared" si="19"/>
        <v>1</v>
      </c>
      <c r="AB306" s="18">
        <f t="shared" si="20"/>
        <v>0</v>
      </c>
      <c r="AC306" s="18">
        <f t="shared" si="21"/>
        <v>0</v>
      </c>
      <c r="AD306" s="19">
        <f t="shared" si="22"/>
        <v>100</v>
      </c>
    </row>
    <row r="307" spans="1:30" ht="12.75" x14ac:dyDescent="0.2">
      <c r="A307" s="156"/>
      <c r="B307" s="152"/>
      <c r="C307" s="137"/>
      <c r="D307" s="141"/>
      <c r="E307" s="141"/>
      <c r="F307" s="141"/>
      <c r="G307" s="141"/>
      <c r="H307" s="115" t="s">
        <v>39</v>
      </c>
      <c r="I307" s="115"/>
      <c r="J307" s="20"/>
      <c r="K307" s="115"/>
      <c r="L307" s="20"/>
      <c r="M307" s="20"/>
      <c r="N307" s="115"/>
      <c r="O307" s="115"/>
      <c r="P307" s="115"/>
      <c r="Q307" s="115"/>
      <c r="R307" s="115"/>
      <c r="S307" s="20"/>
      <c r="T307" s="115"/>
      <c r="U307" s="21"/>
      <c r="V307" s="8"/>
      <c r="W307" s="8"/>
      <c r="X307" s="8"/>
      <c r="Y307" s="9">
        <v>20</v>
      </c>
      <c r="Z307" s="9">
        <v>35</v>
      </c>
      <c r="AA307" s="10">
        <f t="shared" si="19"/>
        <v>1</v>
      </c>
      <c r="AB307" s="10">
        <f t="shared" si="20"/>
        <v>0</v>
      </c>
      <c r="AC307" s="10">
        <f t="shared" si="21"/>
        <v>0</v>
      </c>
      <c r="AD307" s="11">
        <f t="shared" si="22"/>
        <v>100</v>
      </c>
    </row>
    <row r="308" spans="1:30" ht="12.75" x14ac:dyDescent="0.2">
      <c r="A308" s="156"/>
      <c r="B308" s="152"/>
      <c r="C308" s="138"/>
      <c r="D308" s="138"/>
      <c r="E308" s="138"/>
      <c r="F308" s="138"/>
      <c r="G308" s="138"/>
      <c r="H308" s="13" t="s">
        <v>40</v>
      </c>
      <c r="I308" s="13"/>
      <c r="J308" s="23"/>
      <c r="K308" s="13"/>
      <c r="L308" s="23"/>
      <c r="M308" s="23"/>
      <c r="N308" s="13"/>
      <c r="O308" s="13"/>
      <c r="P308" s="13"/>
      <c r="Q308" s="13"/>
      <c r="R308" s="13"/>
      <c r="S308" s="23"/>
      <c r="T308" s="13"/>
      <c r="U308" s="15"/>
      <c r="V308" s="16"/>
      <c r="W308" s="16"/>
      <c r="X308" s="16"/>
      <c r="Y308" s="17">
        <v>20</v>
      </c>
      <c r="Z308" s="17">
        <v>35</v>
      </c>
      <c r="AA308" s="18">
        <f t="shared" si="19"/>
        <v>1</v>
      </c>
      <c r="AB308" s="18">
        <f t="shared" si="20"/>
        <v>0</v>
      </c>
      <c r="AC308" s="18">
        <f t="shared" si="21"/>
        <v>0</v>
      </c>
      <c r="AD308" s="19">
        <f t="shared" si="22"/>
        <v>100</v>
      </c>
    </row>
    <row r="309" spans="1:30" ht="12.75" x14ac:dyDescent="0.2">
      <c r="A309" s="156"/>
      <c r="B309" s="152"/>
      <c r="C309" s="137"/>
      <c r="D309" s="141"/>
      <c r="E309" s="141"/>
      <c r="F309" s="141"/>
      <c r="G309" s="141"/>
      <c r="H309" s="115" t="s">
        <v>39</v>
      </c>
      <c r="I309" s="115"/>
      <c r="J309" s="20"/>
      <c r="K309" s="115"/>
      <c r="L309" s="20"/>
      <c r="M309" s="20"/>
      <c r="N309" s="115"/>
      <c r="O309" s="115"/>
      <c r="P309" s="115"/>
      <c r="Q309" s="115"/>
      <c r="R309" s="115"/>
      <c r="S309" s="20"/>
      <c r="T309" s="115"/>
      <c r="U309" s="21"/>
      <c r="V309" s="8"/>
      <c r="W309" s="8"/>
      <c r="X309" s="8"/>
      <c r="Y309" s="9">
        <v>20</v>
      </c>
      <c r="Z309" s="9">
        <v>35</v>
      </c>
      <c r="AA309" s="10">
        <f t="shared" si="19"/>
        <v>1</v>
      </c>
      <c r="AB309" s="10">
        <f t="shared" si="20"/>
        <v>0</v>
      </c>
      <c r="AC309" s="10">
        <f t="shared" si="21"/>
        <v>0</v>
      </c>
      <c r="AD309" s="11">
        <f t="shared" si="22"/>
        <v>100</v>
      </c>
    </row>
    <row r="310" spans="1:30" ht="12.75" x14ac:dyDescent="0.2">
      <c r="A310" s="156"/>
      <c r="B310" s="152"/>
      <c r="C310" s="138"/>
      <c r="D310" s="138"/>
      <c r="E310" s="138"/>
      <c r="F310" s="138"/>
      <c r="G310" s="138"/>
      <c r="H310" s="13" t="s">
        <v>40</v>
      </c>
      <c r="I310" s="13"/>
      <c r="J310" s="23"/>
      <c r="K310" s="13"/>
      <c r="L310" s="23"/>
      <c r="M310" s="23"/>
      <c r="N310" s="13"/>
      <c r="O310" s="13"/>
      <c r="P310" s="13"/>
      <c r="Q310" s="13"/>
      <c r="R310" s="13"/>
      <c r="S310" s="23"/>
      <c r="T310" s="13"/>
      <c r="U310" s="15"/>
      <c r="V310" s="16"/>
      <c r="W310" s="16"/>
      <c r="X310" s="16"/>
      <c r="Y310" s="17">
        <v>20</v>
      </c>
      <c r="Z310" s="17">
        <v>35</v>
      </c>
      <c r="AA310" s="18">
        <f t="shared" si="19"/>
        <v>1</v>
      </c>
      <c r="AB310" s="18">
        <f t="shared" si="20"/>
        <v>0</v>
      </c>
      <c r="AC310" s="18">
        <f t="shared" si="21"/>
        <v>0</v>
      </c>
      <c r="AD310" s="19">
        <f t="shared" si="22"/>
        <v>100</v>
      </c>
    </row>
    <row r="311" spans="1:30" ht="12.75" x14ac:dyDescent="0.2">
      <c r="A311" s="156"/>
      <c r="B311" s="152"/>
      <c r="C311" s="137"/>
      <c r="D311" s="141"/>
      <c r="E311" s="141"/>
      <c r="F311" s="141"/>
      <c r="G311" s="141"/>
      <c r="H311" s="115" t="s">
        <v>39</v>
      </c>
      <c r="I311" s="115"/>
      <c r="J311" s="20"/>
      <c r="K311" s="115"/>
      <c r="L311" s="20"/>
      <c r="M311" s="20"/>
      <c r="N311" s="115"/>
      <c r="O311" s="115"/>
      <c r="P311" s="115"/>
      <c r="Q311" s="115"/>
      <c r="R311" s="115"/>
      <c r="S311" s="20"/>
      <c r="T311" s="115"/>
      <c r="U311" s="21"/>
      <c r="V311" s="8"/>
      <c r="W311" s="8"/>
      <c r="X311" s="8"/>
      <c r="Y311" s="9">
        <v>20</v>
      </c>
      <c r="Z311" s="9">
        <v>35</v>
      </c>
      <c r="AA311" s="10">
        <f t="shared" si="19"/>
        <v>1</v>
      </c>
      <c r="AB311" s="10">
        <f t="shared" si="20"/>
        <v>0</v>
      </c>
      <c r="AC311" s="10">
        <f t="shared" si="21"/>
        <v>0</v>
      </c>
      <c r="AD311" s="11">
        <f t="shared" si="22"/>
        <v>100</v>
      </c>
    </row>
    <row r="312" spans="1:30" ht="12.75" x14ac:dyDescent="0.2">
      <c r="A312" s="156"/>
      <c r="B312" s="152"/>
      <c r="C312" s="138"/>
      <c r="D312" s="138"/>
      <c r="E312" s="138"/>
      <c r="F312" s="138"/>
      <c r="G312" s="138"/>
      <c r="H312" s="13" t="s">
        <v>40</v>
      </c>
      <c r="I312" s="13"/>
      <c r="J312" s="23"/>
      <c r="K312" s="13"/>
      <c r="L312" s="23"/>
      <c r="M312" s="23"/>
      <c r="N312" s="13"/>
      <c r="O312" s="13"/>
      <c r="P312" s="13"/>
      <c r="Q312" s="13"/>
      <c r="R312" s="13"/>
      <c r="S312" s="23"/>
      <c r="T312" s="13"/>
      <c r="U312" s="15"/>
      <c r="V312" s="16"/>
      <c r="W312" s="16"/>
      <c r="X312" s="16"/>
      <c r="Y312" s="17">
        <v>20</v>
      </c>
      <c r="Z312" s="17">
        <v>35</v>
      </c>
      <c r="AA312" s="18">
        <f t="shared" si="19"/>
        <v>1</v>
      </c>
      <c r="AB312" s="18">
        <f t="shared" si="20"/>
        <v>0</v>
      </c>
      <c r="AC312" s="18">
        <f t="shared" si="21"/>
        <v>0</v>
      </c>
      <c r="AD312" s="19">
        <f t="shared" si="22"/>
        <v>100</v>
      </c>
    </row>
    <row r="313" spans="1:30" ht="12.75" x14ac:dyDescent="0.2">
      <c r="A313" s="156"/>
      <c r="B313" s="152"/>
      <c r="C313" s="13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</row>
    <row r="314" spans="1:30" ht="12.75" x14ac:dyDescent="0.2">
      <c r="A314" s="156"/>
      <c r="B314" s="152"/>
      <c r="C314" s="138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</row>
    <row r="315" spans="1:30" ht="12.75" x14ac:dyDescent="0.2">
      <c r="A315" s="156"/>
      <c r="B315" s="152"/>
      <c r="C315" s="13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</row>
    <row r="316" spans="1:30" ht="12.75" x14ac:dyDescent="0.2">
      <c r="A316" s="156"/>
      <c r="B316" s="152"/>
      <c r="C316" s="138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</row>
    <row r="317" spans="1:30" ht="12.75" x14ac:dyDescent="0.2">
      <c r="A317" s="156"/>
      <c r="B317" s="152"/>
      <c r="C317" s="13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</row>
    <row r="318" spans="1:30" ht="12.75" x14ac:dyDescent="0.2">
      <c r="A318" s="156"/>
      <c r="B318" s="152"/>
      <c r="C318" s="138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</row>
    <row r="319" spans="1:30" ht="12.75" x14ac:dyDescent="0.2">
      <c r="A319" s="156"/>
      <c r="B319" s="152"/>
      <c r="C319" s="13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</row>
    <row r="320" spans="1:30" ht="12.75" x14ac:dyDescent="0.2">
      <c r="A320" s="156"/>
      <c r="B320" s="152"/>
      <c r="C320" s="138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</row>
    <row r="321" spans="1:20" ht="12.75" x14ac:dyDescent="0.2">
      <c r="A321" s="156"/>
      <c r="B321" s="152"/>
      <c r="C321" s="13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</row>
    <row r="322" spans="1:20" ht="12.75" x14ac:dyDescent="0.2">
      <c r="A322" s="156"/>
      <c r="B322" s="152"/>
      <c r="C322" s="138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</row>
    <row r="323" spans="1:20" ht="12.75" x14ac:dyDescent="0.2">
      <c r="A323" s="156"/>
      <c r="B323" s="152"/>
      <c r="C323" s="13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</row>
    <row r="324" spans="1:20" ht="12.75" x14ac:dyDescent="0.2">
      <c r="A324" s="156"/>
      <c r="B324" s="152"/>
      <c r="C324" s="138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</row>
    <row r="325" spans="1:20" ht="12.75" x14ac:dyDescent="0.2">
      <c r="A325" s="156"/>
      <c r="B325" s="152"/>
      <c r="C325" s="13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</row>
    <row r="326" spans="1:20" ht="12.75" x14ac:dyDescent="0.2">
      <c r="A326" s="156"/>
      <c r="B326" s="152"/>
      <c r="C326" s="138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</row>
    <row r="327" spans="1:20" ht="12.75" x14ac:dyDescent="0.2">
      <c r="A327" s="156"/>
      <c r="B327" s="152"/>
      <c r="C327" s="13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</row>
    <row r="328" spans="1:20" ht="12.75" x14ac:dyDescent="0.2">
      <c r="A328" s="156"/>
      <c r="B328" s="152"/>
      <c r="C328" s="138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</row>
    <row r="329" spans="1:20" ht="12.75" x14ac:dyDescent="0.2">
      <c r="A329" s="156"/>
      <c r="B329" s="152"/>
      <c r="C329" s="13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</row>
    <row r="330" spans="1:20" ht="12.75" x14ac:dyDescent="0.2">
      <c r="A330" s="156"/>
      <c r="B330" s="152"/>
      <c r="C330" s="138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</row>
    <row r="331" spans="1:20" ht="12.75" x14ac:dyDescent="0.2">
      <c r="A331" s="156"/>
      <c r="B331" s="152"/>
      <c r="C331" s="13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</row>
    <row r="332" spans="1:20" ht="12.75" x14ac:dyDescent="0.2">
      <c r="A332" s="156"/>
      <c r="B332" s="152"/>
      <c r="C332" s="138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</row>
    <row r="333" spans="1:20" ht="12.75" x14ac:dyDescent="0.2">
      <c r="A333" s="156"/>
      <c r="B333" s="152"/>
      <c r="C333" s="13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</row>
    <row r="334" spans="1:20" ht="12.75" x14ac:dyDescent="0.2">
      <c r="A334" s="156"/>
      <c r="B334" s="152"/>
      <c r="C334" s="138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</row>
    <row r="335" spans="1:20" ht="12.75" x14ac:dyDescent="0.2">
      <c r="A335" s="156"/>
      <c r="B335" s="152"/>
      <c r="C335" s="13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</row>
    <row r="336" spans="1:20" ht="12.75" x14ac:dyDescent="0.2">
      <c r="A336" s="156"/>
      <c r="B336" s="152"/>
      <c r="C336" s="138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</row>
    <row r="337" spans="1:20" ht="12.75" x14ac:dyDescent="0.2">
      <c r="A337" s="156"/>
      <c r="B337" s="152"/>
      <c r="C337" s="13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</row>
    <row r="338" spans="1:20" ht="12.75" x14ac:dyDescent="0.2">
      <c r="A338" s="156"/>
      <c r="B338" s="152"/>
      <c r="C338" s="138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</row>
    <row r="339" spans="1:20" ht="12.75" x14ac:dyDescent="0.2">
      <c r="A339" s="156"/>
      <c r="B339" s="152"/>
      <c r="C339" s="13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</row>
    <row r="340" spans="1:20" ht="12.75" x14ac:dyDescent="0.2">
      <c r="A340" s="156"/>
      <c r="B340" s="152"/>
      <c r="C340" s="138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</row>
    <row r="341" spans="1:20" ht="12.75" x14ac:dyDescent="0.2">
      <c r="A341" s="156"/>
      <c r="B341" s="152"/>
      <c r="C341" s="13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</row>
    <row r="342" spans="1:20" ht="12.75" x14ac:dyDescent="0.2">
      <c r="A342" s="156"/>
      <c r="B342" s="152"/>
      <c r="C342" s="138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</row>
    <row r="343" spans="1:20" ht="12.75" x14ac:dyDescent="0.2">
      <c r="A343" s="156"/>
      <c r="B343" s="152"/>
      <c r="C343" s="13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</row>
    <row r="344" spans="1:20" ht="12.75" x14ac:dyDescent="0.2">
      <c r="A344" s="156"/>
      <c r="B344" s="152"/>
      <c r="C344" s="138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</row>
    <row r="345" spans="1:20" ht="12.75" x14ac:dyDescent="0.2">
      <c r="A345" s="156"/>
      <c r="B345" s="152"/>
      <c r="C345" s="13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</row>
    <row r="346" spans="1:20" ht="12.75" x14ac:dyDescent="0.2">
      <c r="A346" s="156"/>
      <c r="B346" s="152"/>
      <c r="C346" s="138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</row>
    <row r="347" spans="1:20" ht="12.75" x14ac:dyDescent="0.2">
      <c r="A347" s="156"/>
      <c r="B347" s="152"/>
      <c r="C347" s="13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</row>
    <row r="348" spans="1:20" ht="12.75" x14ac:dyDescent="0.2">
      <c r="A348" s="156"/>
      <c r="B348" s="152"/>
      <c r="C348" s="138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</row>
    <row r="349" spans="1:20" ht="12.75" x14ac:dyDescent="0.2">
      <c r="A349" s="156"/>
      <c r="B349" s="152"/>
      <c r="C349" s="13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</row>
    <row r="350" spans="1:20" ht="12.75" x14ac:dyDescent="0.2">
      <c r="A350" s="156"/>
      <c r="B350" s="152"/>
      <c r="C350" s="138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</row>
    <row r="351" spans="1:20" ht="12.75" x14ac:dyDescent="0.2">
      <c r="A351" s="156"/>
      <c r="B351" s="152"/>
      <c r="C351" s="13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</row>
    <row r="352" spans="1:20" ht="12.75" x14ac:dyDescent="0.2">
      <c r="A352" s="156"/>
      <c r="B352" s="152"/>
      <c r="C352" s="138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</row>
    <row r="353" spans="1:20" ht="12.75" x14ac:dyDescent="0.2">
      <c r="A353" s="156"/>
      <c r="B353" s="152"/>
      <c r="C353" s="13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</row>
    <row r="354" spans="1:20" ht="12.75" x14ac:dyDescent="0.2">
      <c r="A354" s="156"/>
      <c r="B354" s="152"/>
      <c r="C354" s="138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</row>
    <row r="355" spans="1:20" ht="12.75" x14ac:dyDescent="0.2">
      <c r="A355" s="156"/>
      <c r="B355" s="152"/>
      <c r="C355" s="13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</row>
    <row r="356" spans="1:20" ht="12.75" x14ac:dyDescent="0.2">
      <c r="A356" s="156"/>
      <c r="B356" s="152"/>
      <c r="C356" s="138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</row>
    <row r="357" spans="1:20" ht="12.75" x14ac:dyDescent="0.2">
      <c r="A357" s="156"/>
      <c r="B357" s="152"/>
      <c r="C357" s="13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</row>
    <row r="358" spans="1:20" ht="12.75" x14ac:dyDescent="0.2">
      <c r="A358" s="156"/>
      <c r="B358" s="152"/>
      <c r="C358" s="138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</row>
    <row r="359" spans="1:20" ht="12.75" x14ac:dyDescent="0.2">
      <c r="A359" s="156"/>
      <c r="B359" s="152"/>
      <c r="C359" s="13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</row>
    <row r="360" spans="1:20" ht="12.75" x14ac:dyDescent="0.2">
      <c r="A360" s="156"/>
      <c r="B360" s="152"/>
      <c r="C360" s="138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</row>
    <row r="361" spans="1:20" ht="12.75" x14ac:dyDescent="0.2">
      <c r="A361" s="156"/>
      <c r="B361" s="152"/>
      <c r="C361" s="13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</row>
    <row r="362" spans="1:20" ht="12.75" x14ac:dyDescent="0.2">
      <c r="A362" s="156"/>
      <c r="B362" s="152"/>
      <c r="C362" s="138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</row>
    <row r="363" spans="1:20" ht="12.75" x14ac:dyDescent="0.2">
      <c r="A363" s="156"/>
      <c r="B363" s="152"/>
      <c r="C363" s="13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</row>
    <row r="364" spans="1:20" ht="12.75" x14ac:dyDescent="0.2">
      <c r="A364" s="156"/>
      <c r="B364" s="152"/>
      <c r="C364" s="138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</row>
    <row r="365" spans="1:20" ht="12.75" x14ac:dyDescent="0.2">
      <c r="A365" s="156"/>
      <c r="B365" s="152"/>
      <c r="C365" s="13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</row>
    <row r="366" spans="1:20" ht="12.75" x14ac:dyDescent="0.2">
      <c r="A366" s="156"/>
      <c r="B366" s="152"/>
      <c r="C366" s="138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</row>
    <row r="367" spans="1:20" ht="12.75" x14ac:dyDescent="0.2">
      <c r="A367" s="156"/>
      <c r="B367" s="152"/>
      <c r="C367" s="13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</row>
    <row r="368" spans="1:20" ht="12.75" x14ac:dyDescent="0.2">
      <c r="A368" s="156"/>
      <c r="B368" s="152"/>
      <c r="C368" s="138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</row>
    <row r="369" spans="1:20" ht="12.75" x14ac:dyDescent="0.2">
      <c r="A369" s="156"/>
      <c r="B369" s="152"/>
      <c r="C369" s="13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</row>
    <row r="370" spans="1:20" ht="12.75" x14ac:dyDescent="0.2">
      <c r="A370" s="156"/>
      <c r="B370" s="152"/>
      <c r="C370" s="138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</row>
    <row r="371" spans="1:20" ht="12.75" x14ac:dyDescent="0.2">
      <c r="A371" s="156"/>
      <c r="B371" s="152"/>
      <c r="C371" s="13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</row>
    <row r="372" spans="1:20" ht="12.75" x14ac:dyDescent="0.2">
      <c r="A372" s="156"/>
      <c r="B372" s="152"/>
      <c r="C372" s="138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</row>
    <row r="373" spans="1:20" ht="12.75" x14ac:dyDescent="0.2">
      <c r="A373" s="156"/>
      <c r="B373" s="152"/>
      <c r="C373" s="13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</row>
    <row r="374" spans="1:20" ht="12.75" x14ac:dyDescent="0.2">
      <c r="A374" s="156"/>
      <c r="B374" s="152"/>
      <c r="C374" s="138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</row>
    <row r="375" spans="1:20" ht="12.75" x14ac:dyDescent="0.2">
      <c r="A375" s="156"/>
      <c r="B375" s="152"/>
      <c r="C375" s="13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</row>
    <row r="376" spans="1:20" ht="12.75" x14ac:dyDescent="0.2">
      <c r="A376" s="156"/>
      <c r="B376" s="152"/>
      <c r="C376" s="138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</row>
    <row r="377" spans="1:20" ht="12.75" x14ac:dyDescent="0.2">
      <c r="A377" s="156"/>
      <c r="B377" s="152"/>
      <c r="C377" s="13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</row>
    <row r="378" spans="1:20" ht="12.75" x14ac:dyDescent="0.2">
      <c r="A378" s="156"/>
      <c r="B378" s="152"/>
      <c r="C378" s="138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</row>
    <row r="379" spans="1:20" ht="12.75" x14ac:dyDescent="0.2">
      <c r="A379" s="156"/>
      <c r="B379" s="152"/>
      <c r="C379" s="13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</row>
    <row r="380" spans="1:20" ht="12.75" x14ac:dyDescent="0.2">
      <c r="A380" s="156"/>
      <c r="B380" s="152"/>
      <c r="C380" s="138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</row>
    <row r="381" spans="1:20" ht="12.75" x14ac:dyDescent="0.2">
      <c r="A381" s="156"/>
      <c r="B381" s="152"/>
      <c r="C381" s="13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</row>
    <row r="382" spans="1:20" ht="12.75" x14ac:dyDescent="0.2">
      <c r="A382" s="156"/>
      <c r="B382" s="152"/>
      <c r="C382" s="138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</row>
    <row r="383" spans="1:20" ht="12.75" x14ac:dyDescent="0.2">
      <c r="A383" s="156"/>
      <c r="B383" s="152"/>
      <c r="C383" s="13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</row>
    <row r="384" spans="1:20" ht="12.75" x14ac:dyDescent="0.2">
      <c r="A384" s="156"/>
      <c r="B384" s="152"/>
      <c r="C384" s="138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</row>
    <row r="385" spans="1:20" ht="12.75" x14ac:dyDescent="0.2">
      <c r="A385" s="156"/>
      <c r="B385" s="152"/>
      <c r="C385" s="13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</row>
    <row r="386" spans="1:20" ht="12.75" x14ac:dyDescent="0.2">
      <c r="A386" s="156"/>
      <c r="B386" s="152"/>
      <c r="C386" s="138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</row>
    <row r="387" spans="1:20" ht="12.75" x14ac:dyDescent="0.2">
      <c r="A387" s="156"/>
      <c r="B387" s="152"/>
      <c r="C387" s="13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</row>
    <row r="388" spans="1:20" ht="12.75" x14ac:dyDescent="0.2">
      <c r="A388" s="156"/>
      <c r="B388" s="152"/>
      <c r="C388" s="138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</row>
    <row r="389" spans="1:20" ht="12.75" x14ac:dyDescent="0.2">
      <c r="A389" s="156"/>
      <c r="B389" s="152"/>
      <c r="C389" s="13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</row>
    <row r="390" spans="1:20" ht="12.75" x14ac:dyDescent="0.2">
      <c r="A390" s="156"/>
      <c r="B390" s="152"/>
      <c r="C390" s="138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</row>
    <row r="391" spans="1:20" ht="12.75" x14ac:dyDescent="0.2">
      <c r="A391" s="156"/>
      <c r="B391" s="152"/>
      <c r="C391" s="13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</row>
    <row r="392" spans="1:20" ht="12.75" x14ac:dyDescent="0.2">
      <c r="A392" s="156"/>
      <c r="B392" s="152"/>
      <c r="C392" s="138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</row>
    <row r="393" spans="1:20" ht="12.75" x14ac:dyDescent="0.2">
      <c r="A393" s="156"/>
      <c r="B393" s="152"/>
      <c r="C393" s="13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</row>
    <row r="394" spans="1:20" ht="12.75" x14ac:dyDescent="0.2">
      <c r="A394" s="156"/>
      <c r="B394" s="152"/>
      <c r="C394" s="138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</row>
    <row r="395" spans="1:20" ht="12.75" x14ac:dyDescent="0.2">
      <c r="A395" s="156"/>
      <c r="B395" s="152"/>
      <c r="C395" s="13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</row>
    <row r="396" spans="1:20" ht="12.75" x14ac:dyDescent="0.2">
      <c r="A396" s="156"/>
      <c r="B396" s="152"/>
      <c r="C396" s="138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</row>
    <row r="397" spans="1:20" ht="12.75" x14ac:dyDescent="0.2">
      <c r="A397" s="156"/>
      <c r="B397" s="152"/>
      <c r="C397" s="13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</row>
    <row r="398" spans="1:20" ht="12.75" x14ac:dyDescent="0.2">
      <c r="A398" s="156"/>
      <c r="B398" s="152"/>
      <c r="C398" s="138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</row>
    <row r="399" spans="1:20" ht="12.75" x14ac:dyDescent="0.2">
      <c r="A399" s="156"/>
      <c r="B399" s="152"/>
      <c r="C399" s="13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</row>
    <row r="400" spans="1:20" ht="12.75" x14ac:dyDescent="0.2">
      <c r="A400" s="156"/>
      <c r="B400" s="152"/>
      <c r="C400" s="138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</row>
    <row r="401" spans="1:20" ht="12.75" x14ac:dyDescent="0.2">
      <c r="A401" s="156"/>
      <c r="B401" s="152"/>
      <c r="C401" s="13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</row>
    <row r="402" spans="1:20" ht="12.75" x14ac:dyDescent="0.2">
      <c r="A402" s="156"/>
      <c r="B402" s="152"/>
      <c r="C402" s="138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</row>
    <row r="403" spans="1:20" ht="12.75" x14ac:dyDescent="0.2">
      <c r="A403" s="156"/>
      <c r="B403" s="152"/>
      <c r="C403" s="13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</row>
    <row r="404" spans="1:20" ht="12.75" x14ac:dyDescent="0.2">
      <c r="A404" s="156"/>
      <c r="B404" s="152"/>
      <c r="C404" s="138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</row>
    <row r="405" spans="1:20" ht="12.75" x14ac:dyDescent="0.2">
      <c r="A405" s="156"/>
      <c r="B405" s="152"/>
      <c r="C405" s="13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</row>
    <row r="406" spans="1:20" ht="12.75" x14ac:dyDescent="0.2">
      <c r="A406" s="156"/>
      <c r="B406" s="152"/>
      <c r="C406" s="138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</row>
    <row r="407" spans="1:20" ht="12.75" x14ac:dyDescent="0.2">
      <c r="A407" s="156"/>
      <c r="B407" s="152"/>
      <c r="C407" s="13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</row>
    <row r="408" spans="1:20" ht="12.75" x14ac:dyDescent="0.2">
      <c r="A408" s="156"/>
      <c r="B408" s="152"/>
      <c r="C408" s="138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</row>
    <row r="409" spans="1:20" ht="12.75" x14ac:dyDescent="0.2">
      <c r="A409" s="156"/>
      <c r="B409" s="152"/>
      <c r="C409" s="13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</row>
    <row r="410" spans="1:20" ht="12.75" x14ac:dyDescent="0.2">
      <c r="A410" s="156"/>
      <c r="B410" s="152"/>
      <c r="C410" s="138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</row>
    <row r="411" spans="1:20" ht="12.75" x14ac:dyDescent="0.2">
      <c r="A411" s="156"/>
      <c r="B411" s="152"/>
      <c r="C411" s="13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</row>
    <row r="412" spans="1:20" ht="12.75" x14ac:dyDescent="0.2">
      <c r="A412" s="156"/>
      <c r="B412" s="152"/>
      <c r="C412" s="138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</row>
    <row r="413" spans="1:20" ht="12.75" x14ac:dyDescent="0.2">
      <c r="A413" s="156"/>
      <c r="B413" s="152"/>
      <c r="C413" s="13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</row>
    <row r="414" spans="1:20" ht="12.75" x14ac:dyDescent="0.2">
      <c r="A414" s="156"/>
      <c r="B414" s="152"/>
      <c r="C414" s="138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</row>
    <row r="415" spans="1:20" ht="12.75" x14ac:dyDescent="0.2">
      <c r="A415" s="117"/>
      <c r="B415" s="25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</row>
    <row r="416" spans="1:20" ht="12.75" x14ac:dyDescent="0.2">
      <c r="A416" s="117"/>
      <c r="B416" s="25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</row>
    <row r="417" spans="1:20" ht="12.75" x14ac:dyDescent="0.2">
      <c r="A417" s="117"/>
      <c r="B417" s="25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</row>
    <row r="418" spans="1:20" ht="12.75" x14ac:dyDescent="0.2">
      <c r="A418" s="117"/>
      <c r="B418" s="25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</row>
    <row r="419" spans="1:20" ht="12.75" x14ac:dyDescent="0.2">
      <c r="A419" s="117"/>
      <c r="B419" s="25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</row>
    <row r="420" spans="1:20" ht="12.75" x14ac:dyDescent="0.2">
      <c r="A420" s="117"/>
      <c r="B420" s="25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</row>
    <row r="421" spans="1:20" ht="12.75" x14ac:dyDescent="0.2">
      <c r="A421" s="117"/>
      <c r="B421" s="25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</row>
    <row r="422" spans="1:20" ht="12.75" x14ac:dyDescent="0.2">
      <c r="A422" s="117"/>
      <c r="B422" s="25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</row>
    <row r="423" spans="1:20" ht="12.75" x14ac:dyDescent="0.2">
      <c r="A423" s="117"/>
      <c r="B423" s="25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</row>
    <row r="424" spans="1:20" ht="12.75" x14ac:dyDescent="0.2">
      <c r="A424" s="117"/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</row>
    <row r="425" spans="1:20" ht="12.75" x14ac:dyDescent="0.2">
      <c r="A425" s="117"/>
      <c r="B425" s="25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</row>
    <row r="426" spans="1:20" ht="12.75" x14ac:dyDescent="0.2">
      <c r="A426" s="117"/>
      <c r="B426" s="25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</row>
    <row r="427" spans="1:20" ht="12.75" x14ac:dyDescent="0.2">
      <c r="A427" s="117"/>
      <c r="B427" s="25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</row>
    <row r="428" spans="1:20" ht="12.75" x14ac:dyDescent="0.2">
      <c r="A428" s="117"/>
      <c r="B428" s="25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</row>
    <row r="429" spans="1:20" ht="12.75" x14ac:dyDescent="0.2">
      <c r="A429" s="117"/>
      <c r="B429" s="25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</row>
    <row r="430" spans="1:20" ht="12.75" x14ac:dyDescent="0.2">
      <c r="A430" s="117"/>
      <c r="B430" s="25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</row>
    <row r="431" spans="1:20" ht="12.75" x14ac:dyDescent="0.2">
      <c r="A431" s="117"/>
      <c r="B431" s="25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</row>
    <row r="432" spans="1:20" ht="12.75" x14ac:dyDescent="0.2">
      <c r="A432" s="117"/>
      <c r="B432" s="25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</row>
    <row r="433" spans="1:20" ht="12.75" x14ac:dyDescent="0.2">
      <c r="A433" s="117"/>
      <c r="B433" s="25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</row>
    <row r="434" spans="1:20" ht="12.75" x14ac:dyDescent="0.2">
      <c r="A434" s="117"/>
      <c r="B434" s="25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</row>
    <row r="435" spans="1:20" ht="12.75" x14ac:dyDescent="0.2">
      <c r="A435" s="117"/>
      <c r="B435" s="25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</row>
    <row r="436" spans="1:20" ht="12.75" x14ac:dyDescent="0.2">
      <c r="A436" s="117"/>
      <c r="B436" s="25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</row>
    <row r="437" spans="1:20" ht="12.75" x14ac:dyDescent="0.2">
      <c r="A437" s="117"/>
      <c r="B437" s="25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</row>
    <row r="438" spans="1:20" ht="12.75" x14ac:dyDescent="0.2">
      <c r="A438" s="117"/>
      <c r="B438" s="25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</row>
    <row r="439" spans="1:20" ht="12.75" x14ac:dyDescent="0.2">
      <c r="A439" s="117"/>
      <c r="B439" s="25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</row>
    <row r="440" spans="1:20" ht="12.75" x14ac:dyDescent="0.2">
      <c r="A440" s="117"/>
      <c r="B440" s="25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</row>
    <row r="441" spans="1:20" ht="12.75" x14ac:dyDescent="0.2">
      <c r="A441" s="117"/>
      <c r="B441" s="25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</row>
    <row r="442" spans="1:20" ht="12.75" x14ac:dyDescent="0.2">
      <c r="A442" s="117"/>
      <c r="B442" s="25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</row>
    <row r="443" spans="1:20" ht="12.75" x14ac:dyDescent="0.2">
      <c r="A443" s="117"/>
      <c r="B443" s="25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</row>
    <row r="444" spans="1:20" ht="12.75" x14ac:dyDescent="0.2">
      <c r="A444" s="117"/>
      <c r="B444" s="25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</row>
    <row r="445" spans="1:20" ht="12.75" x14ac:dyDescent="0.2">
      <c r="A445" s="117"/>
      <c r="B445" s="25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</row>
    <row r="446" spans="1:20" ht="12.75" x14ac:dyDescent="0.2">
      <c r="A446" s="117"/>
      <c r="B446" s="25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</row>
    <row r="447" spans="1:20" ht="12.75" x14ac:dyDescent="0.2">
      <c r="A447" s="117"/>
      <c r="B447" s="25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</row>
    <row r="448" spans="1:20" ht="12.75" x14ac:dyDescent="0.2">
      <c r="A448" s="117"/>
      <c r="B448" s="25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</row>
    <row r="449" spans="1:20" ht="12.75" x14ac:dyDescent="0.2">
      <c r="A449" s="117"/>
      <c r="B449" s="25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</row>
    <row r="450" spans="1:20" ht="12.75" x14ac:dyDescent="0.2">
      <c r="A450" s="117"/>
      <c r="B450" s="25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</row>
    <row r="451" spans="1:20" ht="12.75" x14ac:dyDescent="0.2">
      <c r="A451" s="117"/>
      <c r="B451" s="25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</row>
    <row r="452" spans="1:20" ht="12.75" x14ac:dyDescent="0.2">
      <c r="A452" s="117"/>
      <c r="B452" s="25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</row>
    <row r="453" spans="1:20" ht="12.75" x14ac:dyDescent="0.2">
      <c r="A453" s="117"/>
      <c r="B453" s="25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</row>
    <row r="454" spans="1:20" ht="12.75" x14ac:dyDescent="0.2">
      <c r="A454" s="117"/>
      <c r="B454" s="25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</row>
    <row r="455" spans="1:20" ht="12.75" x14ac:dyDescent="0.2">
      <c r="A455" s="117"/>
      <c r="B455" s="25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</row>
    <row r="456" spans="1:20" ht="12.75" x14ac:dyDescent="0.2">
      <c r="A456" s="117"/>
      <c r="B456" s="25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</row>
    <row r="457" spans="1:20" ht="12.75" x14ac:dyDescent="0.2">
      <c r="A457" s="117"/>
      <c r="B457" s="25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</row>
    <row r="458" spans="1:20" ht="12.75" x14ac:dyDescent="0.2">
      <c r="A458" s="117"/>
      <c r="B458" s="25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</row>
    <row r="459" spans="1:20" ht="12.75" x14ac:dyDescent="0.2">
      <c r="A459" s="117"/>
      <c r="B459" s="25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</row>
    <row r="460" spans="1:20" ht="12.75" x14ac:dyDescent="0.2">
      <c r="A460" s="117"/>
      <c r="B460" s="25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</row>
    <row r="461" spans="1:20" ht="12.75" x14ac:dyDescent="0.2">
      <c r="A461" s="117"/>
      <c r="B461" s="25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</row>
    <row r="462" spans="1:20" ht="12.75" x14ac:dyDescent="0.2">
      <c r="A462" s="117"/>
      <c r="B462" s="25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</row>
    <row r="463" spans="1:20" ht="12.75" x14ac:dyDescent="0.2">
      <c r="A463" s="117"/>
      <c r="B463" s="25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</row>
    <row r="464" spans="1:20" ht="12.75" x14ac:dyDescent="0.2">
      <c r="A464" s="117"/>
      <c r="B464" s="25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</row>
    <row r="465" spans="1:20" ht="12.75" x14ac:dyDescent="0.2">
      <c r="A465" s="117"/>
      <c r="B465" s="25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</row>
    <row r="466" spans="1:20" ht="12.75" x14ac:dyDescent="0.2">
      <c r="A466" s="117"/>
      <c r="B466" s="25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</row>
    <row r="467" spans="1:20" ht="12.75" x14ac:dyDescent="0.2">
      <c r="A467" s="117"/>
      <c r="B467" s="25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</row>
    <row r="468" spans="1:20" ht="12.75" x14ac:dyDescent="0.2">
      <c r="A468" s="117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</row>
    <row r="469" spans="1:20" ht="12.75" x14ac:dyDescent="0.2">
      <c r="A469" s="117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</row>
    <row r="470" spans="1:20" ht="12.75" x14ac:dyDescent="0.2">
      <c r="A470" s="117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</row>
    <row r="471" spans="1:20" ht="12.75" x14ac:dyDescent="0.2">
      <c r="A471" s="117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</row>
    <row r="472" spans="1:20" ht="12.75" x14ac:dyDescent="0.2">
      <c r="A472" s="117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</row>
    <row r="473" spans="1:20" ht="12.75" x14ac:dyDescent="0.2">
      <c r="A473" s="117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</row>
    <row r="474" spans="1:20" ht="12.75" x14ac:dyDescent="0.2">
      <c r="A474" s="117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</row>
    <row r="475" spans="1:20" ht="12.75" x14ac:dyDescent="0.2">
      <c r="A475" s="117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</row>
    <row r="476" spans="1:20" ht="12.75" x14ac:dyDescent="0.2">
      <c r="A476" s="117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</row>
    <row r="477" spans="1:20" ht="12.75" x14ac:dyDescent="0.2">
      <c r="A477" s="117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</row>
    <row r="478" spans="1:20" ht="12.75" x14ac:dyDescent="0.2">
      <c r="A478" s="117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</row>
    <row r="479" spans="1:20" ht="12.75" x14ac:dyDescent="0.2">
      <c r="A479" s="117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</row>
    <row r="480" spans="1:20" ht="12.75" x14ac:dyDescent="0.2">
      <c r="A480" s="117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</row>
    <row r="481" spans="1:20" ht="12.75" x14ac:dyDescent="0.2">
      <c r="A481" s="117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</row>
    <row r="482" spans="1:20" ht="12.75" x14ac:dyDescent="0.2">
      <c r="A482" s="117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</row>
    <row r="483" spans="1:20" ht="12.75" x14ac:dyDescent="0.2">
      <c r="A483" s="117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</row>
    <row r="484" spans="1:20" ht="12.75" x14ac:dyDescent="0.2">
      <c r="A484" s="117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</row>
    <row r="485" spans="1:20" ht="12.75" x14ac:dyDescent="0.2">
      <c r="A485" s="117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</row>
    <row r="486" spans="1:20" ht="12.75" x14ac:dyDescent="0.2">
      <c r="A486" s="117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</row>
    <row r="487" spans="1:20" ht="12.75" x14ac:dyDescent="0.2">
      <c r="A487" s="117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</row>
    <row r="488" spans="1:20" ht="12.75" x14ac:dyDescent="0.2">
      <c r="A488" s="117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</row>
    <row r="489" spans="1:20" ht="12.75" x14ac:dyDescent="0.2">
      <c r="A489" s="117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</row>
    <row r="490" spans="1:20" ht="12.75" x14ac:dyDescent="0.2">
      <c r="A490" s="117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</row>
    <row r="491" spans="1:20" ht="12.75" x14ac:dyDescent="0.2">
      <c r="A491" s="117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</row>
    <row r="492" spans="1:20" ht="12.75" x14ac:dyDescent="0.2">
      <c r="A492" s="117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</row>
    <row r="493" spans="1:20" ht="12.75" x14ac:dyDescent="0.2">
      <c r="A493" s="117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</row>
    <row r="494" spans="1:20" ht="12.75" x14ac:dyDescent="0.2">
      <c r="A494" s="117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</row>
    <row r="495" spans="1:20" ht="12.75" x14ac:dyDescent="0.2">
      <c r="A495" s="117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</row>
    <row r="496" spans="1:20" ht="12.75" x14ac:dyDescent="0.2">
      <c r="A496" s="117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</row>
    <row r="497" spans="1:20" ht="12.75" x14ac:dyDescent="0.2">
      <c r="A497" s="117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</row>
    <row r="498" spans="1:20" ht="12.75" x14ac:dyDescent="0.2">
      <c r="A498" s="117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</row>
    <row r="499" spans="1:20" ht="12.75" x14ac:dyDescent="0.2">
      <c r="A499" s="117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</row>
    <row r="500" spans="1:20" ht="12.75" x14ac:dyDescent="0.2">
      <c r="A500" s="117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</row>
    <row r="501" spans="1:20" ht="12.75" x14ac:dyDescent="0.2">
      <c r="A501" s="117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</row>
    <row r="502" spans="1:20" ht="12.75" x14ac:dyDescent="0.2">
      <c r="A502" s="117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</row>
    <row r="503" spans="1:20" ht="12.75" x14ac:dyDescent="0.2">
      <c r="A503" s="117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</row>
    <row r="504" spans="1:20" ht="12.75" x14ac:dyDescent="0.2">
      <c r="A504" s="117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</row>
    <row r="505" spans="1:20" ht="12.75" x14ac:dyDescent="0.2">
      <c r="A505" s="117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</row>
    <row r="506" spans="1:20" ht="12.75" x14ac:dyDescent="0.2">
      <c r="A506" s="117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</row>
    <row r="507" spans="1:20" ht="12.75" x14ac:dyDescent="0.2">
      <c r="A507" s="117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</row>
    <row r="508" spans="1:20" ht="12.75" x14ac:dyDescent="0.2">
      <c r="A508" s="117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</row>
    <row r="509" spans="1:20" ht="12.75" x14ac:dyDescent="0.2">
      <c r="A509" s="117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</row>
    <row r="510" spans="1:20" ht="12.75" x14ac:dyDescent="0.2">
      <c r="A510" s="117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</row>
    <row r="511" spans="1:20" ht="12.75" x14ac:dyDescent="0.2">
      <c r="A511" s="117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</row>
    <row r="512" spans="1:20" ht="12.75" x14ac:dyDescent="0.2">
      <c r="A512" s="117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</row>
    <row r="513" spans="1:20" ht="12.75" x14ac:dyDescent="0.2">
      <c r="A513" s="117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</row>
    <row r="514" spans="1:20" ht="12.75" x14ac:dyDescent="0.2">
      <c r="A514" s="117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</row>
    <row r="515" spans="1:20" ht="12.75" x14ac:dyDescent="0.2">
      <c r="A515" s="117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</row>
    <row r="516" spans="1:20" ht="12.75" x14ac:dyDescent="0.2">
      <c r="A516" s="117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</row>
    <row r="517" spans="1:20" ht="12.75" x14ac:dyDescent="0.2">
      <c r="A517" s="117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</row>
    <row r="518" spans="1:20" ht="12.75" x14ac:dyDescent="0.2">
      <c r="A518" s="117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</row>
    <row r="519" spans="1:20" ht="12.75" x14ac:dyDescent="0.2">
      <c r="A519" s="117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</row>
    <row r="520" spans="1:20" ht="12.75" x14ac:dyDescent="0.2">
      <c r="A520" s="117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</row>
    <row r="521" spans="1:20" ht="12.75" x14ac:dyDescent="0.2">
      <c r="A521" s="117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</row>
    <row r="522" spans="1:20" ht="12.75" x14ac:dyDescent="0.2">
      <c r="A522" s="117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</row>
    <row r="523" spans="1:20" ht="12.75" x14ac:dyDescent="0.2">
      <c r="A523" s="117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</row>
    <row r="524" spans="1:20" ht="12.75" x14ac:dyDescent="0.2">
      <c r="A524" s="117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</row>
    <row r="525" spans="1:20" ht="12.75" x14ac:dyDescent="0.2">
      <c r="A525" s="117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</row>
    <row r="526" spans="1:20" ht="12.75" x14ac:dyDescent="0.2">
      <c r="A526" s="117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</row>
    <row r="527" spans="1:20" ht="12.75" x14ac:dyDescent="0.2">
      <c r="A527" s="117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</row>
    <row r="528" spans="1:20" ht="12.75" x14ac:dyDescent="0.2">
      <c r="A528" s="117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</row>
    <row r="529" spans="1:20" ht="12.75" x14ac:dyDescent="0.2">
      <c r="A529" s="117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</row>
    <row r="530" spans="1:20" ht="12.75" x14ac:dyDescent="0.2">
      <c r="A530" s="117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</row>
    <row r="531" spans="1:20" ht="12.75" x14ac:dyDescent="0.2">
      <c r="A531" s="117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</row>
    <row r="532" spans="1:20" ht="12.75" x14ac:dyDescent="0.2">
      <c r="A532" s="117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</row>
    <row r="533" spans="1:20" ht="12.75" x14ac:dyDescent="0.2">
      <c r="A533" s="117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</row>
    <row r="534" spans="1:20" ht="12.75" x14ac:dyDescent="0.2">
      <c r="A534" s="117"/>
      <c r="B534" s="25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</row>
    <row r="535" spans="1:20" ht="12.75" x14ac:dyDescent="0.2">
      <c r="A535" s="117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</row>
    <row r="536" spans="1:20" ht="12.75" x14ac:dyDescent="0.2">
      <c r="A536" s="117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</row>
    <row r="537" spans="1:20" ht="12.75" x14ac:dyDescent="0.2">
      <c r="A537" s="117"/>
      <c r="B537" s="25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</row>
    <row r="538" spans="1:20" ht="12.75" x14ac:dyDescent="0.2">
      <c r="A538" s="117"/>
      <c r="B538" s="25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</row>
    <row r="539" spans="1:20" ht="12.75" x14ac:dyDescent="0.2">
      <c r="A539" s="117"/>
      <c r="B539" s="25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</row>
    <row r="540" spans="1:20" ht="12.75" x14ac:dyDescent="0.2">
      <c r="A540" s="117"/>
      <c r="B540" s="25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</row>
    <row r="541" spans="1:20" ht="12.75" x14ac:dyDescent="0.2">
      <c r="A541" s="117"/>
      <c r="B541" s="25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</row>
    <row r="542" spans="1:20" ht="12.75" x14ac:dyDescent="0.2">
      <c r="A542" s="117"/>
      <c r="B542" s="25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</row>
    <row r="543" spans="1:20" ht="12.75" x14ac:dyDescent="0.2">
      <c r="A543" s="117"/>
      <c r="B543" s="25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</row>
    <row r="544" spans="1:20" ht="12.75" x14ac:dyDescent="0.2">
      <c r="A544" s="117"/>
      <c r="B544" s="25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</row>
    <row r="545" spans="1:20" ht="12.75" x14ac:dyDescent="0.2">
      <c r="A545" s="117"/>
      <c r="B545" s="25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</row>
    <row r="546" spans="1:20" ht="12.75" x14ac:dyDescent="0.2">
      <c r="A546" s="117"/>
      <c r="B546" s="25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</row>
    <row r="547" spans="1:20" ht="12.75" x14ac:dyDescent="0.2">
      <c r="A547" s="117"/>
      <c r="B547" s="25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</row>
    <row r="548" spans="1:20" ht="12.75" x14ac:dyDescent="0.2">
      <c r="A548" s="117"/>
      <c r="B548" s="25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</row>
    <row r="549" spans="1:20" ht="12.75" x14ac:dyDescent="0.2">
      <c r="A549" s="117"/>
      <c r="B549" s="25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</row>
    <row r="550" spans="1:20" ht="12.75" x14ac:dyDescent="0.2">
      <c r="A550" s="117"/>
      <c r="B550" s="25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</row>
    <row r="551" spans="1:20" ht="12.75" x14ac:dyDescent="0.2">
      <c r="A551" s="117"/>
      <c r="B551" s="25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</row>
    <row r="552" spans="1:20" ht="12.75" x14ac:dyDescent="0.2">
      <c r="A552" s="117"/>
      <c r="B552" s="25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</row>
    <row r="553" spans="1:20" ht="12.75" x14ac:dyDescent="0.2">
      <c r="A553" s="117"/>
      <c r="B553" s="25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</row>
    <row r="554" spans="1:20" ht="12.75" x14ac:dyDescent="0.2">
      <c r="A554" s="117"/>
      <c r="B554" s="25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</row>
    <row r="555" spans="1:20" ht="12.75" x14ac:dyDescent="0.2">
      <c r="A555" s="117"/>
      <c r="B555" s="25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</row>
    <row r="556" spans="1:20" ht="12.75" x14ac:dyDescent="0.2">
      <c r="A556" s="117"/>
      <c r="B556" s="25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</row>
    <row r="557" spans="1:20" ht="12.75" x14ac:dyDescent="0.2">
      <c r="A557" s="117"/>
      <c r="B557" s="25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</row>
    <row r="558" spans="1:20" ht="12.75" x14ac:dyDescent="0.2">
      <c r="A558" s="117"/>
      <c r="B558" s="25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</row>
    <row r="559" spans="1:20" ht="12.75" x14ac:dyDescent="0.2">
      <c r="A559" s="117"/>
      <c r="B559" s="25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</row>
    <row r="560" spans="1:20" ht="12.75" x14ac:dyDescent="0.2">
      <c r="A560" s="117"/>
      <c r="B560" s="25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</row>
    <row r="561" spans="1:20" ht="12.75" x14ac:dyDescent="0.2">
      <c r="A561" s="117"/>
      <c r="B561" s="25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</row>
    <row r="562" spans="1:20" ht="12.75" x14ac:dyDescent="0.2">
      <c r="A562" s="117"/>
      <c r="B562" s="25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</row>
    <row r="563" spans="1:20" ht="12.75" x14ac:dyDescent="0.2">
      <c r="A563" s="117"/>
      <c r="B563" s="25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</row>
    <row r="564" spans="1:20" ht="12.75" x14ac:dyDescent="0.2">
      <c r="A564" s="117"/>
      <c r="B564" s="25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</row>
    <row r="565" spans="1:20" ht="12.75" x14ac:dyDescent="0.2">
      <c r="A565" s="117"/>
      <c r="B565" s="25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</row>
    <row r="566" spans="1:20" ht="12.75" x14ac:dyDescent="0.2">
      <c r="A566" s="117"/>
      <c r="B566" s="25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</row>
    <row r="567" spans="1:20" ht="12.75" x14ac:dyDescent="0.2">
      <c r="A567" s="117"/>
      <c r="B567" s="25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</row>
    <row r="568" spans="1:20" ht="12.75" x14ac:dyDescent="0.2">
      <c r="A568" s="117"/>
      <c r="B568" s="25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</row>
    <row r="569" spans="1:20" ht="12.75" x14ac:dyDescent="0.2">
      <c r="A569" s="117"/>
      <c r="B569" s="25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</row>
    <row r="570" spans="1:20" ht="12.75" x14ac:dyDescent="0.2">
      <c r="A570" s="117"/>
      <c r="B570" s="25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</row>
    <row r="571" spans="1:20" ht="12.75" x14ac:dyDescent="0.2">
      <c r="A571" s="117"/>
      <c r="B571" s="25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</row>
    <row r="572" spans="1:20" ht="12.75" x14ac:dyDescent="0.2">
      <c r="A572" s="117"/>
      <c r="B572" s="25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</row>
    <row r="573" spans="1:20" ht="12.75" x14ac:dyDescent="0.2">
      <c r="A573" s="117"/>
      <c r="B573" s="25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</row>
    <row r="574" spans="1:20" ht="12.75" x14ac:dyDescent="0.2">
      <c r="A574" s="117"/>
      <c r="B574" s="25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</row>
    <row r="575" spans="1:20" ht="12.75" x14ac:dyDescent="0.2">
      <c r="A575" s="117"/>
      <c r="B575" s="25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</row>
    <row r="576" spans="1:20" ht="12.75" x14ac:dyDescent="0.2">
      <c r="A576" s="117"/>
      <c r="B576" s="25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</row>
    <row r="577" spans="1:20" ht="12.75" x14ac:dyDescent="0.2">
      <c r="A577" s="117"/>
      <c r="B577" s="25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</row>
    <row r="578" spans="1:20" ht="12.75" x14ac:dyDescent="0.2">
      <c r="A578" s="117"/>
      <c r="B578" s="25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</row>
    <row r="579" spans="1:20" ht="12.75" x14ac:dyDescent="0.2">
      <c r="A579" s="117"/>
      <c r="B579" s="25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</row>
    <row r="580" spans="1:20" ht="12.75" x14ac:dyDescent="0.2">
      <c r="A580" s="117"/>
      <c r="B580" s="25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</row>
    <row r="581" spans="1:20" ht="12.75" x14ac:dyDescent="0.2">
      <c r="A581" s="117"/>
      <c r="B581" s="25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</row>
    <row r="582" spans="1:20" ht="12.75" x14ac:dyDescent="0.2">
      <c r="A582" s="117"/>
      <c r="B582" s="25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</row>
    <row r="583" spans="1:20" ht="12.75" x14ac:dyDescent="0.2">
      <c r="A583" s="117"/>
      <c r="B583" s="25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</row>
    <row r="584" spans="1:20" ht="12.75" x14ac:dyDescent="0.2">
      <c r="A584" s="117"/>
      <c r="B584" s="25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</row>
    <row r="585" spans="1:20" ht="12.75" x14ac:dyDescent="0.2">
      <c r="A585" s="117"/>
      <c r="B585" s="25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</row>
    <row r="586" spans="1:20" ht="12.75" x14ac:dyDescent="0.2">
      <c r="A586" s="117"/>
      <c r="B586" s="25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</row>
    <row r="587" spans="1:20" ht="12.75" x14ac:dyDescent="0.2">
      <c r="A587" s="117"/>
      <c r="B587" s="25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</row>
    <row r="588" spans="1:20" ht="12.75" x14ac:dyDescent="0.2">
      <c r="A588" s="117"/>
      <c r="B588" s="25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</row>
    <row r="589" spans="1:20" ht="12.75" x14ac:dyDescent="0.2">
      <c r="A589" s="117"/>
      <c r="B589" s="25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</row>
    <row r="590" spans="1:20" ht="12.75" x14ac:dyDescent="0.2">
      <c r="A590" s="117"/>
      <c r="B590" s="25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</row>
    <row r="591" spans="1:20" ht="12.75" x14ac:dyDescent="0.2">
      <c r="A591" s="117"/>
      <c r="B591" s="25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</row>
    <row r="592" spans="1:20" ht="12.75" x14ac:dyDescent="0.2">
      <c r="A592" s="117"/>
      <c r="B592" s="25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</row>
    <row r="593" spans="1:20" ht="12.75" x14ac:dyDescent="0.2">
      <c r="A593" s="117"/>
      <c r="B593" s="25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</row>
    <row r="594" spans="1:20" ht="12.75" x14ac:dyDescent="0.2">
      <c r="A594" s="117"/>
      <c r="B594" s="25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</row>
    <row r="595" spans="1:20" ht="12.75" x14ac:dyDescent="0.2">
      <c r="A595" s="117"/>
      <c r="B595" s="25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</row>
    <row r="596" spans="1:20" ht="12.75" x14ac:dyDescent="0.2">
      <c r="A596" s="117"/>
      <c r="B596" s="25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</row>
    <row r="597" spans="1:20" ht="12.75" x14ac:dyDescent="0.2">
      <c r="A597" s="117"/>
      <c r="B597" s="25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</row>
    <row r="598" spans="1:20" ht="12.75" x14ac:dyDescent="0.2">
      <c r="A598" s="117"/>
      <c r="B598" s="25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</row>
    <row r="599" spans="1:20" ht="12.75" x14ac:dyDescent="0.2">
      <c r="A599" s="117"/>
      <c r="B599" s="25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</row>
    <row r="600" spans="1:20" ht="12.75" x14ac:dyDescent="0.2">
      <c r="A600" s="117"/>
      <c r="B600" s="25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</row>
    <row r="601" spans="1:20" ht="12.75" x14ac:dyDescent="0.2">
      <c r="A601" s="117"/>
      <c r="B601" s="25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</row>
    <row r="602" spans="1:20" ht="12.75" x14ac:dyDescent="0.2">
      <c r="A602" s="117"/>
      <c r="B602" s="25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</row>
    <row r="603" spans="1:20" ht="12.75" x14ac:dyDescent="0.2">
      <c r="A603" s="117"/>
      <c r="B603" s="25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</row>
    <row r="604" spans="1:20" ht="12.75" x14ac:dyDescent="0.2">
      <c r="A604" s="117"/>
      <c r="B604" s="25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</row>
    <row r="605" spans="1:20" ht="12.75" x14ac:dyDescent="0.2">
      <c r="A605" s="117"/>
      <c r="B605" s="25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</row>
    <row r="606" spans="1:20" ht="12.75" x14ac:dyDescent="0.2">
      <c r="A606" s="117"/>
      <c r="B606" s="25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</row>
    <row r="607" spans="1:20" ht="12.75" x14ac:dyDescent="0.2">
      <c r="A607" s="117"/>
      <c r="B607" s="25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</row>
    <row r="608" spans="1:20" ht="12.75" x14ac:dyDescent="0.2">
      <c r="A608" s="117"/>
      <c r="B608" s="25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</row>
    <row r="609" spans="1:20" ht="12.75" x14ac:dyDescent="0.2">
      <c r="A609" s="117"/>
      <c r="B609" s="25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</row>
    <row r="610" spans="1:20" ht="12.75" x14ac:dyDescent="0.2">
      <c r="A610" s="117"/>
      <c r="B610" s="25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</row>
    <row r="611" spans="1:20" ht="12.75" x14ac:dyDescent="0.2">
      <c r="A611" s="117"/>
      <c r="B611" s="25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</row>
    <row r="612" spans="1:20" ht="12.75" x14ac:dyDescent="0.2">
      <c r="A612" s="117"/>
      <c r="B612" s="25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</row>
    <row r="613" spans="1:20" ht="12.75" x14ac:dyDescent="0.2">
      <c r="A613" s="117"/>
      <c r="B613" s="25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</row>
    <row r="614" spans="1:20" ht="12.75" x14ac:dyDescent="0.2">
      <c r="A614" s="117"/>
      <c r="B614" s="25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</row>
    <row r="615" spans="1:20" ht="12.75" x14ac:dyDescent="0.2">
      <c r="A615" s="117"/>
      <c r="B615" s="25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</row>
    <row r="616" spans="1:20" ht="12.75" x14ac:dyDescent="0.2">
      <c r="A616" s="117"/>
      <c r="B616" s="25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</row>
    <row r="617" spans="1:20" ht="12.75" x14ac:dyDescent="0.2">
      <c r="A617" s="117"/>
      <c r="B617" s="25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</row>
    <row r="618" spans="1:20" ht="12.75" x14ac:dyDescent="0.2">
      <c r="A618" s="117"/>
      <c r="B618" s="25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</row>
    <row r="619" spans="1:20" ht="12.75" x14ac:dyDescent="0.2">
      <c r="A619" s="117"/>
      <c r="B619" s="25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</row>
    <row r="620" spans="1:20" ht="12.75" x14ac:dyDescent="0.2">
      <c r="A620" s="117"/>
      <c r="B620" s="25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</row>
    <row r="621" spans="1:20" ht="12.75" x14ac:dyDescent="0.2">
      <c r="A621" s="117"/>
      <c r="B621" s="25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</row>
    <row r="622" spans="1:20" ht="12.75" x14ac:dyDescent="0.2">
      <c r="A622" s="117"/>
      <c r="B622" s="25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</row>
    <row r="623" spans="1:20" ht="12.75" x14ac:dyDescent="0.2">
      <c r="A623" s="117"/>
      <c r="B623" s="25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</row>
    <row r="624" spans="1:20" ht="12.75" x14ac:dyDescent="0.2">
      <c r="A624" s="117"/>
      <c r="B624" s="25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</row>
    <row r="625" spans="1:20" ht="12.75" x14ac:dyDescent="0.2">
      <c r="A625" s="117"/>
      <c r="B625" s="25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</row>
    <row r="626" spans="1:20" ht="12.75" x14ac:dyDescent="0.2">
      <c r="A626" s="117"/>
      <c r="B626" s="25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</row>
    <row r="627" spans="1:20" ht="12.75" x14ac:dyDescent="0.2">
      <c r="A627" s="117"/>
      <c r="B627" s="25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</row>
    <row r="628" spans="1:20" ht="12.75" x14ac:dyDescent="0.2">
      <c r="A628" s="117"/>
      <c r="B628" s="25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</row>
    <row r="629" spans="1:20" ht="12.75" x14ac:dyDescent="0.2">
      <c r="A629" s="117"/>
      <c r="B629" s="25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</row>
    <row r="630" spans="1:20" ht="12.75" x14ac:dyDescent="0.2">
      <c r="A630" s="117"/>
      <c r="B630" s="25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</row>
    <row r="631" spans="1:20" ht="12.75" x14ac:dyDescent="0.2">
      <c r="A631" s="117"/>
      <c r="B631" s="25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</row>
    <row r="632" spans="1:20" ht="12.75" x14ac:dyDescent="0.2">
      <c r="A632" s="117"/>
      <c r="B632" s="25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</row>
    <row r="633" spans="1:20" ht="12.75" x14ac:dyDescent="0.2">
      <c r="A633" s="117"/>
      <c r="B633" s="25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</row>
    <row r="634" spans="1:20" ht="12.75" x14ac:dyDescent="0.2">
      <c r="A634" s="117"/>
      <c r="B634" s="25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</row>
    <row r="635" spans="1:20" ht="12.75" x14ac:dyDescent="0.2">
      <c r="A635" s="117"/>
      <c r="B635" s="25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</row>
    <row r="636" spans="1:20" ht="12.75" x14ac:dyDescent="0.2">
      <c r="A636" s="117"/>
      <c r="B636" s="25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</row>
    <row r="637" spans="1:20" ht="12.75" x14ac:dyDescent="0.2">
      <c r="A637" s="117"/>
      <c r="B637" s="25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</row>
    <row r="638" spans="1:20" ht="12.75" x14ac:dyDescent="0.2">
      <c r="A638" s="117"/>
      <c r="B638" s="25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</row>
    <row r="639" spans="1:20" ht="12.75" x14ac:dyDescent="0.2">
      <c r="A639" s="117"/>
      <c r="B639" s="25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</row>
    <row r="640" spans="1:20" ht="12.75" x14ac:dyDescent="0.2">
      <c r="A640" s="117"/>
      <c r="B640" s="25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</row>
    <row r="641" spans="1:20" ht="12.75" x14ac:dyDescent="0.2">
      <c r="A641" s="117"/>
      <c r="B641" s="25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</row>
    <row r="642" spans="1:20" ht="12.75" x14ac:dyDescent="0.2">
      <c r="A642" s="117"/>
      <c r="B642" s="25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</row>
    <row r="643" spans="1:20" ht="12.75" x14ac:dyDescent="0.2">
      <c r="A643" s="117"/>
      <c r="B643" s="25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</row>
    <row r="644" spans="1:20" ht="12.75" x14ac:dyDescent="0.2">
      <c r="A644" s="117"/>
      <c r="B644" s="25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</row>
    <row r="645" spans="1:20" ht="12.75" x14ac:dyDescent="0.2">
      <c r="A645" s="117"/>
      <c r="B645" s="25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</row>
    <row r="646" spans="1:20" ht="12.75" x14ac:dyDescent="0.2">
      <c r="A646" s="117"/>
      <c r="B646" s="25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</row>
    <row r="647" spans="1:20" ht="12.75" x14ac:dyDescent="0.2">
      <c r="A647" s="117"/>
      <c r="B647" s="25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</row>
    <row r="648" spans="1:20" ht="12.75" x14ac:dyDescent="0.2">
      <c r="A648" s="117"/>
      <c r="B648" s="25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</row>
    <row r="649" spans="1:20" ht="12.75" x14ac:dyDescent="0.2">
      <c r="A649" s="117"/>
      <c r="B649" s="25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</row>
    <row r="650" spans="1:20" ht="12.75" x14ac:dyDescent="0.2">
      <c r="A650" s="117"/>
      <c r="B650" s="25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</row>
    <row r="651" spans="1:20" ht="12.75" x14ac:dyDescent="0.2">
      <c r="A651" s="117"/>
      <c r="B651" s="25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</row>
    <row r="652" spans="1:20" ht="12.75" x14ac:dyDescent="0.2">
      <c r="A652" s="117"/>
      <c r="B652" s="25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</row>
    <row r="653" spans="1:20" ht="12.75" x14ac:dyDescent="0.2">
      <c r="A653" s="117"/>
      <c r="B653" s="25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</row>
    <row r="654" spans="1:20" ht="12.75" x14ac:dyDescent="0.2">
      <c r="A654" s="117"/>
      <c r="B654" s="25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</row>
    <row r="655" spans="1:20" ht="12.75" x14ac:dyDescent="0.2">
      <c r="A655" s="117"/>
      <c r="B655" s="25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</row>
    <row r="656" spans="1:20" ht="12.75" x14ac:dyDescent="0.2">
      <c r="A656" s="117"/>
      <c r="B656" s="25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</row>
    <row r="657" spans="1:20" ht="12.75" x14ac:dyDescent="0.2">
      <c r="A657" s="117"/>
      <c r="B657" s="25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</row>
    <row r="658" spans="1:20" ht="12.75" x14ac:dyDescent="0.2">
      <c r="A658" s="117"/>
      <c r="B658" s="25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</row>
    <row r="659" spans="1:20" ht="12.75" x14ac:dyDescent="0.2">
      <c r="A659" s="117"/>
      <c r="B659" s="25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</row>
    <row r="660" spans="1:20" ht="12.75" x14ac:dyDescent="0.2">
      <c r="A660" s="117"/>
      <c r="B660" s="25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</row>
    <row r="661" spans="1:20" ht="12.75" x14ac:dyDescent="0.2">
      <c r="A661" s="117"/>
      <c r="B661" s="25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</row>
    <row r="662" spans="1:20" ht="12.75" x14ac:dyDescent="0.2">
      <c r="A662" s="117"/>
      <c r="B662" s="25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</row>
    <row r="663" spans="1:20" ht="12.75" x14ac:dyDescent="0.2">
      <c r="A663" s="117"/>
      <c r="B663" s="25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</row>
    <row r="664" spans="1:20" ht="12.75" x14ac:dyDescent="0.2">
      <c r="A664" s="117"/>
      <c r="B664" s="25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</row>
    <row r="665" spans="1:20" ht="12.75" x14ac:dyDescent="0.2">
      <c r="A665" s="117"/>
      <c r="B665" s="25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</row>
    <row r="666" spans="1:20" ht="12.75" x14ac:dyDescent="0.2">
      <c r="A666" s="117"/>
      <c r="B666" s="25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</row>
    <row r="667" spans="1:20" ht="12.75" x14ac:dyDescent="0.2">
      <c r="A667" s="117"/>
      <c r="B667" s="25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</row>
    <row r="668" spans="1:20" ht="12.75" x14ac:dyDescent="0.2">
      <c r="A668" s="117"/>
      <c r="B668" s="25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</row>
    <row r="669" spans="1:20" ht="12.75" x14ac:dyDescent="0.2">
      <c r="A669" s="117"/>
      <c r="B669" s="25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</row>
    <row r="670" spans="1:20" ht="12.75" x14ac:dyDescent="0.2">
      <c r="A670" s="117"/>
      <c r="B670" s="25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</row>
    <row r="671" spans="1:20" ht="12.75" x14ac:dyDescent="0.2">
      <c r="A671" s="117"/>
      <c r="B671" s="25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</row>
    <row r="672" spans="1:20" ht="12.75" x14ac:dyDescent="0.2">
      <c r="A672" s="117"/>
      <c r="B672" s="25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</row>
    <row r="673" spans="1:20" ht="12.75" x14ac:dyDescent="0.2">
      <c r="A673" s="117"/>
      <c r="B673" s="25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</row>
    <row r="674" spans="1:20" ht="12.75" x14ac:dyDescent="0.2">
      <c r="A674" s="117"/>
      <c r="B674" s="25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</row>
    <row r="675" spans="1:20" ht="12.75" x14ac:dyDescent="0.2">
      <c r="A675" s="117"/>
      <c r="B675" s="25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</row>
    <row r="676" spans="1:20" ht="12.75" x14ac:dyDescent="0.2">
      <c r="A676" s="117"/>
      <c r="B676" s="25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</row>
    <row r="677" spans="1:20" ht="12.75" x14ac:dyDescent="0.2">
      <c r="A677" s="117"/>
      <c r="B677" s="25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</row>
    <row r="678" spans="1:20" ht="12.75" x14ac:dyDescent="0.2">
      <c r="A678" s="117"/>
      <c r="B678" s="25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</row>
    <row r="679" spans="1:20" ht="12.75" x14ac:dyDescent="0.2">
      <c r="A679" s="117"/>
      <c r="B679" s="25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</row>
    <row r="680" spans="1:20" ht="12.75" x14ac:dyDescent="0.2">
      <c r="A680" s="117"/>
      <c r="B680" s="25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</row>
    <row r="681" spans="1:20" ht="12.75" x14ac:dyDescent="0.2">
      <c r="A681" s="117"/>
      <c r="B681" s="25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</row>
    <row r="682" spans="1:20" ht="12.75" x14ac:dyDescent="0.2">
      <c r="A682" s="117"/>
      <c r="B682" s="25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</row>
    <row r="683" spans="1:20" ht="12.75" x14ac:dyDescent="0.2">
      <c r="A683" s="117"/>
      <c r="B683" s="25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</row>
    <row r="684" spans="1:20" ht="12.75" x14ac:dyDescent="0.2">
      <c r="A684" s="117"/>
      <c r="B684" s="25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</row>
    <row r="685" spans="1:20" ht="12.75" x14ac:dyDescent="0.2">
      <c r="A685" s="117"/>
      <c r="B685" s="25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</row>
    <row r="686" spans="1:20" ht="12.75" x14ac:dyDescent="0.2">
      <c r="A686" s="117"/>
      <c r="B686" s="25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</row>
    <row r="687" spans="1:20" ht="12.75" x14ac:dyDescent="0.2">
      <c r="A687" s="117"/>
      <c r="B687" s="25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</row>
    <row r="688" spans="1:20" ht="12.75" x14ac:dyDescent="0.2">
      <c r="A688" s="117"/>
      <c r="B688" s="25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</row>
    <row r="689" spans="1:20" ht="12.75" x14ac:dyDescent="0.2">
      <c r="A689" s="117"/>
      <c r="B689" s="25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</row>
    <row r="690" spans="1:20" ht="12.75" x14ac:dyDescent="0.2">
      <c r="A690" s="117"/>
      <c r="B690" s="25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</row>
    <row r="691" spans="1:20" ht="12.75" x14ac:dyDescent="0.2">
      <c r="A691" s="117"/>
      <c r="B691" s="25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</row>
    <row r="692" spans="1:20" ht="12.75" x14ac:dyDescent="0.2">
      <c r="A692" s="117"/>
      <c r="B692" s="25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</row>
    <row r="693" spans="1:20" ht="12.75" x14ac:dyDescent="0.2">
      <c r="A693" s="117"/>
      <c r="B693" s="25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</row>
    <row r="694" spans="1:20" ht="12.75" x14ac:dyDescent="0.2">
      <c r="A694" s="117"/>
      <c r="B694" s="25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</row>
    <row r="695" spans="1:20" ht="12.75" x14ac:dyDescent="0.2">
      <c r="A695" s="117"/>
      <c r="B695" s="25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</row>
    <row r="696" spans="1:20" ht="12.75" x14ac:dyDescent="0.2">
      <c r="A696" s="117"/>
      <c r="B696" s="25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</row>
    <row r="697" spans="1:20" ht="12.75" x14ac:dyDescent="0.2">
      <c r="A697" s="117"/>
      <c r="B697" s="25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</row>
    <row r="698" spans="1:20" ht="12.75" x14ac:dyDescent="0.2">
      <c r="A698" s="117"/>
      <c r="B698" s="25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</row>
    <row r="699" spans="1:20" ht="12.75" x14ac:dyDescent="0.2">
      <c r="A699" s="117"/>
      <c r="B699" s="25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</row>
    <row r="700" spans="1:20" ht="12.75" x14ac:dyDescent="0.2">
      <c r="A700" s="117"/>
      <c r="B700" s="25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</row>
    <row r="701" spans="1:20" ht="12.75" x14ac:dyDescent="0.2">
      <c r="A701" s="117"/>
      <c r="B701" s="25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</row>
    <row r="702" spans="1:20" ht="12.75" x14ac:dyDescent="0.2">
      <c r="A702" s="117"/>
      <c r="B702" s="25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</row>
    <row r="703" spans="1:20" ht="12.75" x14ac:dyDescent="0.2">
      <c r="A703" s="117"/>
      <c r="B703" s="25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</row>
    <row r="704" spans="1:20" ht="12.75" x14ac:dyDescent="0.2">
      <c r="A704" s="117"/>
      <c r="B704" s="25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</row>
    <row r="705" spans="1:20" ht="12.75" x14ac:dyDescent="0.2">
      <c r="A705" s="117"/>
      <c r="B705" s="25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</row>
    <row r="706" spans="1:20" ht="12.75" x14ac:dyDescent="0.2">
      <c r="A706" s="117"/>
      <c r="B706" s="25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</row>
    <row r="707" spans="1:20" ht="12.75" x14ac:dyDescent="0.2">
      <c r="A707" s="117"/>
      <c r="B707" s="25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</row>
    <row r="708" spans="1:20" ht="12.75" x14ac:dyDescent="0.2">
      <c r="A708" s="117"/>
      <c r="B708" s="25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</row>
    <row r="709" spans="1:20" ht="12.75" x14ac:dyDescent="0.2">
      <c r="A709" s="117"/>
      <c r="B709" s="25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</row>
    <row r="710" spans="1:20" ht="12.75" x14ac:dyDescent="0.2">
      <c r="A710" s="117"/>
      <c r="B710" s="25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</row>
    <row r="711" spans="1:20" ht="12.75" x14ac:dyDescent="0.2">
      <c r="A711" s="117"/>
      <c r="B711" s="25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</row>
    <row r="712" spans="1:20" ht="12.75" x14ac:dyDescent="0.2">
      <c r="A712" s="117"/>
      <c r="B712" s="25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</row>
    <row r="713" spans="1:20" ht="12.75" x14ac:dyDescent="0.2">
      <c r="A713" s="117"/>
      <c r="B713" s="25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</row>
    <row r="714" spans="1:20" ht="12.75" x14ac:dyDescent="0.2">
      <c r="A714" s="117"/>
      <c r="B714" s="25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</row>
    <row r="715" spans="1:20" ht="12.75" x14ac:dyDescent="0.2">
      <c r="A715" s="117"/>
      <c r="B715" s="25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</row>
    <row r="716" spans="1:20" ht="12.75" x14ac:dyDescent="0.2">
      <c r="A716" s="117"/>
      <c r="B716" s="25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</row>
    <row r="717" spans="1:20" ht="12.75" x14ac:dyDescent="0.2">
      <c r="A717" s="117"/>
      <c r="B717" s="25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</row>
    <row r="718" spans="1:20" ht="12.75" x14ac:dyDescent="0.2">
      <c r="A718" s="117"/>
      <c r="B718" s="25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</row>
    <row r="719" spans="1:20" ht="12.75" x14ac:dyDescent="0.2">
      <c r="A719" s="117"/>
      <c r="B719" s="25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</row>
    <row r="720" spans="1:20" ht="12.75" x14ac:dyDescent="0.2">
      <c r="A720" s="117"/>
      <c r="B720" s="25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</row>
    <row r="721" spans="1:20" ht="12.75" x14ac:dyDescent="0.2">
      <c r="A721" s="117"/>
      <c r="B721" s="25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</row>
    <row r="722" spans="1:20" ht="12.75" x14ac:dyDescent="0.2">
      <c r="A722" s="117"/>
      <c r="B722" s="25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</row>
    <row r="723" spans="1:20" ht="12.75" x14ac:dyDescent="0.2">
      <c r="A723" s="117"/>
      <c r="B723" s="25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</row>
    <row r="724" spans="1:20" ht="12.75" x14ac:dyDescent="0.2">
      <c r="A724" s="117"/>
      <c r="B724" s="25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</row>
    <row r="725" spans="1:20" ht="12.75" x14ac:dyDescent="0.2">
      <c r="A725" s="117"/>
      <c r="B725" s="25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</row>
    <row r="726" spans="1:20" ht="12.75" x14ac:dyDescent="0.2">
      <c r="A726" s="117"/>
      <c r="B726" s="25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</row>
    <row r="727" spans="1:20" ht="12.75" x14ac:dyDescent="0.2">
      <c r="A727" s="117"/>
      <c r="B727" s="25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</row>
    <row r="728" spans="1:20" ht="12.75" x14ac:dyDescent="0.2">
      <c r="A728" s="117"/>
      <c r="B728" s="25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</row>
    <row r="729" spans="1:20" ht="12.75" x14ac:dyDescent="0.2">
      <c r="A729" s="117"/>
      <c r="B729" s="25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</row>
    <row r="730" spans="1:20" ht="12.75" x14ac:dyDescent="0.2">
      <c r="A730" s="117"/>
      <c r="B730" s="25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</row>
    <row r="731" spans="1:20" ht="12.75" x14ac:dyDescent="0.2">
      <c r="A731" s="117"/>
      <c r="B731" s="25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</row>
    <row r="732" spans="1:20" ht="12.75" x14ac:dyDescent="0.2">
      <c r="A732" s="117"/>
      <c r="B732" s="25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</row>
    <row r="733" spans="1:20" ht="12.75" x14ac:dyDescent="0.2">
      <c r="A733" s="117"/>
      <c r="B733" s="25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</row>
    <row r="734" spans="1:20" ht="12.75" x14ac:dyDescent="0.2">
      <c r="A734" s="117"/>
      <c r="B734" s="25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</row>
    <row r="735" spans="1:20" ht="12.75" x14ac:dyDescent="0.2">
      <c r="A735" s="117"/>
      <c r="B735" s="25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</row>
    <row r="736" spans="1:20" ht="12.75" x14ac:dyDescent="0.2">
      <c r="A736" s="117"/>
      <c r="B736" s="25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</row>
    <row r="737" spans="1:20" ht="12.75" x14ac:dyDescent="0.2">
      <c r="A737" s="117"/>
      <c r="B737" s="25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</row>
    <row r="738" spans="1:20" ht="12.75" x14ac:dyDescent="0.2">
      <c r="A738" s="117"/>
      <c r="B738" s="25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</row>
    <row r="739" spans="1:20" ht="12.75" x14ac:dyDescent="0.2">
      <c r="A739" s="117"/>
      <c r="B739" s="25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</row>
    <row r="740" spans="1:20" ht="12.75" x14ac:dyDescent="0.2">
      <c r="A740" s="117"/>
      <c r="B740" s="25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</row>
    <row r="741" spans="1:20" ht="12.75" x14ac:dyDescent="0.2">
      <c r="A741" s="117"/>
      <c r="B741" s="25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</row>
    <row r="742" spans="1:20" ht="12.75" x14ac:dyDescent="0.2">
      <c r="A742" s="117"/>
      <c r="B742" s="25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</row>
    <row r="743" spans="1:20" ht="12.75" x14ac:dyDescent="0.2">
      <c r="A743" s="117"/>
      <c r="B743" s="25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</row>
    <row r="744" spans="1:20" ht="12.75" x14ac:dyDescent="0.2">
      <c r="A744" s="117"/>
      <c r="B744" s="25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</row>
    <row r="745" spans="1:20" ht="12.75" x14ac:dyDescent="0.2">
      <c r="A745" s="117"/>
      <c r="B745" s="25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</row>
    <row r="746" spans="1:20" ht="12.75" x14ac:dyDescent="0.2">
      <c r="A746" s="117"/>
      <c r="B746" s="25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</row>
    <row r="747" spans="1:20" ht="12.75" x14ac:dyDescent="0.2">
      <c r="A747" s="117"/>
      <c r="B747" s="25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</row>
    <row r="748" spans="1:20" ht="12.75" x14ac:dyDescent="0.2">
      <c r="A748" s="117"/>
      <c r="B748" s="25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</row>
    <row r="749" spans="1:20" ht="12.75" x14ac:dyDescent="0.2">
      <c r="A749" s="117"/>
      <c r="B749" s="25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</row>
    <row r="750" spans="1:20" ht="12.75" x14ac:dyDescent="0.2">
      <c r="A750" s="117"/>
      <c r="B750" s="25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</row>
    <row r="751" spans="1:20" ht="12.75" x14ac:dyDescent="0.2">
      <c r="A751" s="117"/>
      <c r="B751" s="25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</row>
    <row r="752" spans="1:20" ht="12.75" x14ac:dyDescent="0.2">
      <c r="A752" s="117"/>
      <c r="B752" s="25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</row>
    <row r="753" spans="1:20" ht="12.75" x14ac:dyDescent="0.2">
      <c r="A753" s="117"/>
      <c r="B753" s="25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</row>
    <row r="754" spans="1:20" ht="12.75" x14ac:dyDescent="0.2">
      <c r="A754" s="117"/>
      <c r="B754" s="25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</row>
    <row r="755" spans="1:20" ht="12.75" x14ac:dyDescent="0.2">
      <c r="A755" s="117"/>
      <c r="B755" s="25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</row>
    <row r="756" spans="1:20" ht="12.75" x14ac:dyDescent="0.2">
      <c r="A756" s="117"/>
      <c r="B756" s="25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</row>
    <row r="757" spans="1:20" ht="12.75" x14ac:dyDescent="0.2">
      <c r="A757" s="117"/>
      <c r="B757" s="25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</row>
    <row r="758" spans="1:20" ht="12.75" x14ac:dyDescent="0.2">
      <c r="A758" s="117"/>
      <c r="B758" s="25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</row>
    <row r="759" spans="1:20" ht="12.75" x14ac:dyDescent="0.2">
      <c r="A759" s="117"/>
      <c r="B759" s="25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</row>
    <row r="760" spans="1:20" ht="12.75" x14ac:dyDescent="0.2">
      <c r="A760" s="117"/>
      <c r="B760" s="25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</row>
    <row r="761" spans="1:20" ht="12.75" x14ac:dyDescent="0.2">
      <c r="A761" s="117"/>
      <c r="B761" s="25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</row>
    <row r="762" spans="1:20" ht="12.75" x14ac:dyDescent="0.2">
      <c r="A762" s="117"/>
      <c r="B762" s="25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</row>
    <row r="763" spans="1:20" ht="12.75" x14ac:dyDescent="0.2">
      <c r="A763" s="117"/>
      <c r="B763" s="25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</row>
    <row r="764" spans="1:20" ht="12.75" x14ac:dyDescent="0.2">
      <c r="A764" s="117"/>
      <c r="B764" s="25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</row>
    <row r="765" spans="1:20" ht="12.75" x14ac:dyDescent="0.2">
      <c r="A765" s="117"/>
      <c r="B765" s="25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</row>
    <row r="766" spans="1:20" ht="12.75" x14ac:dyDescent="0.2">
      <c r="A766" s="117"/>
      <c r="B766" s="25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</row>
    <row r="767" spans="1:20" ht="12.75" x14ac:dyDescent="0.2">
      <c r="A767" s="117"/>
      <c r="B767" s="25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</row>
    <row r="768" spans="1:20" ht="12.75" x14ac:dyDescent="0.2">
      <c r="A768" s="117"/>
      <c r="B768" s="25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</row>
    <row r="769" spans="1:20" ht="12.75" x14ac:dyDescent="0.2">
      <c r="A769" s="117"/>
      <c r="B769" s="25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</row>
    <row r="770" spans="1:20" ht="12.75" x14ac:dyDescent="0.2">
      <c r="A770" s="117"/>
      <c r="B770" s="25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</row>
    <row r="771" spans="1:20" ht="12.75" x14ac:dyDescent="0.2">
      <c r="A771" s="117"/>
      <c r="B771" s="25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</row>
    <row r="772" spans="1:20" ht="12.75" x14ac:dyDescent="0.2">
      <c r="A772" s="117"/>
      <c r="B772" s="25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</row>
    <row r="773" spans="1:20" ht="12.75" x14ac:dyDescent="0.2">
      <c r="A773" s="117"/>
      <c r="B773" s="25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</row>
    <row r="774" spans="1:20" ht="12.75" x14ac:dyDescent="0.2">
      <c r="A774" s="117"/>
      <c r="B774" s="25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</row>
    <row r="775" spans="1:20" ht="12.75" x14ac:dyDescent="0.2">
      <c r="A775" s="117"/>
      <c r="B775" s="25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</row>
    <row r="776" spans="1:20" ht="12.75" x14ac:dyDescent="0.2">
      <c r="A776" s="117"/>
      <c r="B776" s="25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</row>
    <row r="777" spans="1:20" ht="12.75" x14ac:dyDescent="0.2">
      <c r="A777" s="117"/>
      <c r="B777" s="25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</row>
    <row r="778" spans="1:20" ht="12.75" x14ac:dyDescent="0.2">
      <c r="A778" s="117"/>
      <c r="B778" s="25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</row>
    <row r="779" spans="1:20" ht="12.75" x14ac:dyDescent="0.2">
      <c r="A779" s="117"/>
      <c r="B779" s="25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</row>
    <row r="780" spans="1:20" ht="12.75" x14ac:dyDescent="0.2">
      <c r="A780" s="117"/>
      <c r="B780" s="25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</row>
    <row r="781" spans="1:20" ht="12.75" x14ac:dyDescent="0.2">
      <c r="A781" s="117"/>
      <c r="B781" s="25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</row>
    <row r="782" spans="1:20" ht="12.75" x14ac:dyDescent="0.2">
      <c r="A782" s="117"/>
      <c r="B782" s="25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</row>
    <row r="783" spans="1:20" ht="12.75" x14ac:dyDescent="0.2">
      <c r="A783" s="117"/>
      <c r="B783" s="25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</row>
    <row r="784" spans="1:20" ht="12.75" x14ac:dyDescent="0.2">
      <c r="A784" s="117"/>
      <c r="B784" s="25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</row>
    <row r="785" spans="1:20" ht="12.75" x14ac:dyDescent="0.2">
      <c r="A785" s="117"/>
      <c r="B785" s="25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</row>
    <row r="786" spans="1:20" ht="12.75" x14ac:dyDescent="0.2">
      <c r="A786" s="117"/>
      <c r="B786" s="25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</row>
    <row r="787" spans="1:20" ht="12.75" x14ac:dyDescent="0.2">
      <c r="A787" s="117"/>
      <c r="B787" s="25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</row>
    <row r="788" spans="1:20" ht="12.75" x14ac:dyDescent="0.2">
      <c r="A788" s="117"/>
      <c r="B788" s="25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</row>
    <row r="789" spans="1:20" ht="12.75" x14ac:dyDescent="0.2">
      <c r="A789" s="117"/>
      <c r="B789" s="25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</row>
    <row r="790" spans="1:20" ht="12.75" x14ac:dyDescent="0.2">
      <c r="A790" s="117"/>
      <c r="B790" s="25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</row>
    <row r="791" spans="1:20" ht="12.75" x14ac:dyDescent="0.2">
      <c r="A791" s="117"/>
      <c r="B791" s="25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</row>
    <row r="792" spans="1:20" ht="12.75" x14ac:dyDescent="0.2">
      <c r="A792" s="117"/>
      <c r="B792" s="25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</row>
    <row r="793" spans="1:20" ht="12.75" x14ac:dyDescent="0.2">
      <c r="A793" s="117"/>
      <c r="B793" s="25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</row>
    <row r="794" spans="1:20" ht="12.75" x14ac:dyDescent="0.2">
      <c r="A794" s="117"/>
      <c r="B794" s="25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</row>
    <row r="795" spans="1:20" ht="12.75" x14ac:dyDescent="0.2">
      <c r="A795" s="117"/>
      <c r="B795" s="25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</row>
    <row r="796" spans="1:20" ht="12.75" x14ac:dyDescent="0.2">
      <c r="A796" s="117"/>
      <c r="B796" s="25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</row>
    <row r="797" spans="1:20" ht="12.75" x14ac:dyDescent="0.2">
      <c r="A797" s="117"/>
      <c r="B797" s="25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</row>
    <row r="798" spans="1:20" ht="12.75" x14ac:dyDescent="0.2">
      <c r="A798" s="117"/>
      <c r="B798" s="25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</row>
    <row r="799" spans="1:20" ht="12.75" x14ac:dyDescent="0.2">
      <c r="A799" s="117"/>
      <c r="B799" s="25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</row>
    <row r="800" spans="1:20" ht="12.75" x14ac:dyDescent="0.2">
      <c r="A800" s="117"/>
      <c r="B800" s="25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</row>
    <row r="801" spans="1:20" ht="12.75" x14ac:dyDescent="0.2">
      <c r="A801" s="117"/>
      <c r="B801" s="25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</row>
    <row r="802" spans="1:20" ht="12.75" x14ac:dyDescent="0.2">
      <c r="A802" s="117"/>
      <c r="B802" s="25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</row>
    <row r="803" spans="1:20" ht="12.75" x14ac:dyDescent="0.2">
      <c r="A803" s="117"/>
      <c r="B803" s="25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</row>
    <row r="804" spans="1:20" ht="12.75" x14ac:dyDescent="0.2">
      <c r="A804" s="117"/>
      <c r="B804" s="25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</row>
    <row r="805" spans="1:20" ht="12.75" x14ac:dyDescent="0.2">
      <c r="A805" s="117"/>
      <c r="B805" s="25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</row>
    <row r="806" spans="1:20" ht="12.75" x14ac:dyDescent="0.2">
      <c r="A806" s="117"/>
      <c r="B806" s="25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</row>
    <row r="807" spans="1:20" ht="12.75" x14ac:dyDescent="0.2">
      <c r="A807" s="117"/>
      <c r="B807" s="25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</row>
    <row r="808" spans="1:20" ht="12.75" x14ac:dyDescent="0.2">
      <c r="A808" s="117"/>
      <c r="B808" s="25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</row>
    <row r="809" spans="1:20" ht="12.75" x14ac:dyDescent="0.2">
      <c r="A809" s="117"/>
      <c r="B809" s="25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</row>
    <row r="810" spans="1:20" ht="12.75" x14ac:dyDescent="0.2">
      <c r="A810" s="117"/>
      <c r="B810" s="25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</row>
    <row r="811" spans="1:20" ht="12.75" x14ac:dyDescent="0.2">
      <c r="A811" s="117"/>
      <c r="B811" s="25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</row>
    <row r="812" spans="1:20" ht="12.75" x14ac:dyDescent="0.2">
      <c r="A812" s="117"/>
      <c r="B812" s="25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</row>
    <row r="813" spans="1:20" ht="12.75" x14ac:dyDescent="0.2">
      <c r="A813" s="117"/>
      <c r="B813" s="25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</row>
    <row r="814" spans="1:20" ht="12.75" x14ac:dyDescent="0.2">
      <c r="A814" s="117"/>
      <c r="B814" s="25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</row>
    <row r="815" spans="1:20" ht="12.75" x14ac:dyDescent="0.2">
      <c r="A815" s="117"/>
      <c r="B815" s="25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</row>
    <row r="816" spans="1:20" ht="12.75" x14ac:dyDescent="0.2">
      <c r="A816" s="117"/>
      <c r="B816" s="25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</row>
    <row r="817" spans="1:20" ht="12.75" x14ac:dyDescent="0.2">
      <c r="A817" s="117"/>
      <c r="B817" s="25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</row>
    <row r="818" spans="1:20" ht="12.75" x14ac:dyDescent="0.2">
      <c r="A818" s="117"/>
      <c r="B818" s="25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</row>
    <row r="819" spans="1:20" ht="12.75" x14ac:dyDescent="0.2">
      <c r="A819" s="117"/>
      <c r="B819" s="25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</row>
    <row r="820" spans="1:20" ht="12.75" x14ac:dyDescent="0.2">
      <c r="A820" s="117"/>
      <c r="B820" s="25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</row>
    <row r="821" spans="1:20" ht="12.75" x14ac:dyDescent="0.2">
      <c r="A821" s="117"/>
      <c r="B821" s="25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</row>
    <row r="822" spans="1:20" ht="12.75" x14ac:dyDescent="0.2">
      <c r="A822" s="117"/>
      <c r="B822" s="25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</row>
    <row r="823" spans="1:20" ht="12.75" x14ac:dyDescent="0.2">
      <c r="A823" s="117"/>
      <c r="B823" s="25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</row>
    <row r="824" spans="1:20" ht="12.75" x14ac:dyDescent="0.2">
      <c r="A824" s="117"/>
      <c r="B824" s="25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</row>
    <row r="825" spans="1:20" ht="12.75" x14ac:dyDescent="0.2">
      <c r="A825" s="117"/>
      <c r="B825" s="25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</row>
    <row r="826" spans="1:20" ht="12.75" x14ac:dyDescent="0.2">
      <c r="A826" s="117"/>
      <c r="B826" s="25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</row>
    <row r="827" spans="1:20" ht="12.75" x14ac:dyDescent="0.2">
      <c r="A827" s="117"/>
      <c r="B827" s="25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</row>
    <row r="828" spans="1:20" ht="12.75" x14ac:dyDescent="0.2">
      <c r="A828" s="117"/>
      <c r="B828" s="25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</row>
    <row r="829" spans="1:20" ht="12.75" x14ac:dyDescent="0.2">
      <c r="A829" s="117"/>
      <c r="B829" s="25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</row>
    <row r="830" spans="1:20" ht="12.75" x14ac:dyDescent="0.2">
      <c r="A830" s="117"/>
      <c r="B830" s="25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</row>
    <row r="831" spans="1:20" ht="12.75" x14ac:dyDescent="0.2">
      <c r="A831" s="117"/>
      <c r="B831" s="25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</row>
    <row r="832" spans="1:20" ht="12.75" x14ac:dyDescent="0.2">
      <c r="A832" s="117"/>
      <c r="B832" s="25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</row>
    <row r="833" spans="1:20" ht="12.75" x14ac:dyDescent="0.2">
      <c r="A833" s="117"/>
      <c r="B833" s="25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</row>
    <row r="834" spans="1:20" ht="12.75" x14ac:dyDescent="0.2">
      <c r="A834" s="117"/>
      <c r="B834" s="25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</row>
    <row r="835" spans="1:20" ht="12.75" x14ac:dyDescent="0.2">
      <c r="A835" s="117"/>
      <c r="B835" s="25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</row>
    <row r="836" spans="1:20" ht="12.75" x14ac:dyDescent="0.2">
      <c r="A836" s="117"/>
      <c r="B836" s="25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</row>
    <row r="837" spans="1:20" ht="12.75" x14ac:dyDescent="0.2">
      <c r="A837" s="117"/>
      <c r="B837" s="25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</row>
    <row r="838" spans="1:20" ht="12.75" x14ac:dyDescent="0.2">
      <c r="A838" s="117"/>
      <c r="B838" s="25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</row>
    <row r="839" spans="1:20" ht="12.75" x14ac:dyDescent="0.2">
      <c r="A839" s="117"/>
      <c r="B839" s="25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</row>
    <row r="840" spans="1:20" ht="12.75" x14ac:dyDescent="0.2">
      <c r="A840" s="117"/>
      <c r="B840" s="25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</row>
    <row r="841" spans="1:20" ht="12.75" x14ac:dyDescent="0.2">
      <c r="A841" s="117"/>
      <c r="B841" s="25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</row>
    <row r="842" spans="1:20" ht="12.75" x14ac:dyDescent="0.2">
      <c r="A842" s="117"/>
      <c r="B842" s="25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</row>
    <row r="843" spans="1:20" ht="12.75" x14ac:dyDescent="0.2">
      <c r="A843" s="117"/>
      <c r="B843" s="25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</row>
    <row r="844" spans="1:20" ht="12.75" x14ac:dyDescent="0.2">
      <c r="A844" s="117"/>
      <c r="B844" s="25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</row>
    <row r="845" spans="1:20" ht="12.75" x14ac:dyDescent="0.2">
      <c r="A845" s="117"/>
      <c r="B845" s="25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</row>
    <row r="846" spans="1:20" ht="12.75" x14ac:dyDescent="0.2">
      <c r="A846" s="117"/>
      <c r="B846" s="25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</row>
    <row r="847" spans="1:20" ht="12.75" x14ac:dyDescent="0.2">
      <c r="A847" s="117"/>
      <c r="B847" s="25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</row>
    <row r="848" spans="1:20" ht="12.75" x14ac:dyDescent="0.2">
      <c r="A848" s="117"/>
      <c r="B848" s="25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</row>
    <row r="849" spans="1:20" ht="12.75" x14ac:dyDescent="0.2">
      <c r="A849" s="117"/>
      <c r="B849" s="25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</row>
    <row r="850" spans="1:20" ht="12.75" x14ac:dyDescent="0.2">
      <c r="A850" s="117"/>
      <c r="B850" s="25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</row>
    <row r="851" spans="1:20" ht="12.75" x14ac:dyDescent="0.2">
      <c r="A851" s="117"/>
      <c r="B851" s="25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</row>
    <row r="852" spans="1:20" ht="12.75" x14ac:dyDescent="0.2">
      <c r="A852" s="117"/>
      <c r="B852" s="25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</row>
    <row r="853" spans="1:20" ht="12.75" x14ac:dyDescent="0.2">
      <c r="A853" s="117"/>
      <c r="B853" s="25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</row>
    <row r="854" spans="1:20" ht="12.75" x14ac:dyDescent="0.2">
      <c r="A854" s="117"/>
      <c r="B854" s="25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</row>
    <row r="855" spans="1:20" ht="12.75" x14ac:dyDescent="0.2">
      <c r="A855" s="117"/>
      <c r="B855" s="25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</row>
    <row r="856" spans="1:20" ht="12.75" x14ac:dyDescent="0.2">
      <c r="A856" s="117"/>
      <c r="B856" s="25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</row>
    <row r="857" spans="1:20" ht="12.75" x14ac:dyDescent="0.2">
      <c r="A857" s="117"/>
      <c r="B857" s="25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</row>
    <row r="858" spans="1:20" ht="12.75" x14ac:dyDescent="0.2">
      <c r="A858" s="117"/>
      <c r="B858" s="25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</row>
    <row r="859" spans="1:20" ht="12.75" x14ac:dyDescent="0.2">
      <c r="A859" s="117"/>
      <c r="B859" s="25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</row>
    <row r="860" spans="1:20" ht="12.75" x14ac:dyDescent="0.2">
      <c r="A860" s="117"/>
      <c r="B860" s="25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</row>
    <row r="861" spans="1:20" ht="12.75" x14ac:dyDescent="0.2">
      <c r="A861" s="117"/>
      <c r="B861" s="25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</row>
    <row r="862" spans="1:20" ht="12.75" x14ac:dyDescent="0.2">
      <c r="A862" s="117"/>
      <c r="B862" s="25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</row>
    <row r="863" spans="1:20" ht="12.75" x14ac:dyDescent="0.2">
      <c r="A863" s="117"/>
      <c r="B863" s="25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</row>
    <row r="864" spans="1:20" ht="12.75" x14ac:dyDescent="0.2">
      <c r="A864" s="117"/>
      <c r="B864" s="25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</row>
    <row r="865" spans="1:20" ht="12.75" x14ac:dyDescent="0.2">
      <c r="A865" s="117"/>
      <c r="B865" s="25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</row>
    <row r="866" spans="1:20" ht="12.75" x14ac:dyDescent="0.2">
      <c r="A866" s="117"/>
      <c r="B866" s="25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</row>
    <row r="867" spans="1:20" ht="12.75" x14ac:dyDescent="0.2">
      <c r="A867" s="117"/>
      <c r="B867" s="25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</row>
    <row r="868" spans="1:20" ht="12.75" x14ac:dyDescent="0.2">
      <c r="A868" s="117"/>
      <c r="B868" s="25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</row>
    <row r="869" spans="1:20" ht="12.75" x14ac:dyDescent="0.2">
      <c r="A869" s="117"/>
      <c r="B869" s="25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</row>
    <row r="870" spans="1:20" ht="12.75" x14ac:dyDescent="0.2">
      <c r="A870" s="117"/>
      <c r="B870" s="25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</row>
    <row r="871" spans="1:20" ht="12.75" x14ac:dyDescent="0.2">
      <c r="A871" s="117"/>
      <c r="B871" s="25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</row>
    <row r="872" spans="1:20" ht="12.75" x14ac:dyDescent="0.2">
      <c r="A872" s="117"/>
      <c r="B872" s="25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</row>
    <row r="873" spans="1:20" ht="12.75" x14ac:dyDescent="0.2">
      <c r="A873" s="117"/>
      <c r="B873" s="25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</row>
    <row r="874" spans="1:20" ht="12.75" x14ac:dyDescent="0.2">
      <c r="A874" s="117"/>
      <c r="B874" s="25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</row>
    <row r="875" spans="1:20" ht="12.75" x14ac:dyDescent="0.2">
      <c r="A875" s="117"/>
      <c r="B875" s="25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</row>
    <row r="876" spans="1:20" ht="12.75" x14ac:dyDescent="0.2">
      <c r="A876" s="117"/>
      <c r="B876" s="25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</row>
    <row r="877" spans="1:20" ht="12.75" x14ac:dyDescent="0.2">
      <c r="A877" s="117"/>
      <c r="B877" s="25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</row>
    <row r="878" spans="1:20" ht="12.75" x14ac:dyDescent="0.2">
      <c r="A878" s="117"/>
      <c r="B878" s="25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</row>
    <row r="879" spans="1:20" ht="12.75" x14ac:dyDescent="0.2">
      <c r="A879" s="117"/>
      <c r="B879" s="25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</row>
    <row r="880" spans="1:20" ht="12.75" x14ac:dyDescent="0.2">
      <c r="A880" s="117"/>
      <c r="B880" s="25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</row>
    <row r="881" spans="1:20" ht="12.75" x14ac:dyDescent="0.2">
      <c r="A881" s="117"/>
      <c r="B881" s="25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</row>
    <row r="882" spans="1:20" ht="12.75" x14ac:dyDescent="0.2">
      <c r="A882" s="117"/>
      <c r="B882" s="25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</row>
    <row r="883" spans="1:20" ht="12.75" x14ac:dyDescent="0.2">
      <c r="A883" s="117"/>
      <c r="B883" s="25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</row>
    <row r="884" spans="1:20" ht="12.75" x14ac:dyDescent="0.2">
      <c r="A884" s="117"/>
      <c r="B884" s="25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</row>
    <row r="885" spans="1:20" ht="12.75" x14ac:dyDescent="0.2">
      <c r="A885" s="117"/>
      <c r="B885" s="25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</row>
    <row r="886" spans="1:20" ht="12.75" x14ac:dyDescent="0.2">
      <c r="A886" s="117"/>
      <c r="B886" s="25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</row>
    <row r="887" spans="1:20" ht="12.75" x14ac:dyDescent="0.2">
      <c r="A887" s="117"/>
      <c r="B887" s="25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</row>
    <row r="888" spans="1:20" ht="12.75" x14ac:dyDescent="0.2">
      <c r="A888" s="117"/>
      <c r="B888" s="25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</row>
    <row r="889" spans="1:20" ht="12.75" x14ac:dyDescent="0.2">
      <c r="A889" s="117"/>
      <c r="B889" s="25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</row>
    <row r="890" spans="1:20" ht="12.75" x14ac:dyDescent="0.2">
      <c r="A890" s="117"/>
      <c r="B890" s="25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</row>
    <row r="891" spans="1:20" ht="12.75" x14ac:dyDescent="0.2">
      <c r="A891" s="117"/>
      <c r="B891" s="25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</row>
    <row r="892" spans="1:20" ht="12.75" x14ac:dyDescent="0.2">
      <c r="A892" s="117"/>
      <c r="B892" s="25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</row>
    <row r="893" spans="1:20" ht="12.75" x14ac:dyDescent="0.2">
      <c r="A893" s="117"/>
      <c r="B893" s="25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</row>
    <row r="894" spans="1:20" ht="12.75" x14ac:dyDescent="0.2">
      <c r="A894" s="117"/>
      <c r="B894" s="25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</row>
    <row r="895" spans="1:20" ht="12.75" x14ac:dyDescent="0.2">
      <c r="A895" s="117"/>
      <c r="B895" s="25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</row>
    <row r="896" spans="1:20" ht="12.75" x14ac:dyDescent="0.2">
      <c r="A896" s="117"/>
      <c r="B896" s="25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</row>
    <row r="897" spans="1:20" ht="12.75" x14ac:dyDescent="0.2">
      <c r="A897" s="117"/>
      <c r="B897" s="25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</row>
    <row r="898" spans="1:20" ht="12.75" x14ac:dyDescent="0.2">
      <c r="A898" s="117"/>
      <c r="B898" s="25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</row>
    <row r="899" spans="1:20" ht="12.75" x14ac:dyDescent="0.2">
      <c r="A899" s="117"/>
      <c r="B899" s="25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</row>
    <row r="900" spans="1:20" ht="12.75" x14ac:dyDescent="0.2">
      <c r="A900" s="117"/>
      <c r="B900" s="25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</row>
    <row r="901" spans="1:20" ht="12.75" x14ac:dyDescent="0.2">
      <c r="A901" s="117"/>
      <c r="B901" s="25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</row>
    <row r="902" spans="1:20" ht="12.75" x14ac:dyDescent="0.2">
      <c r="A902" s="117"/>
      <c r="B902" s="25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</row>
    <row r="903" spans="1:20" ht="12.75" x14ac:dyDescent="0.2">
      <c r="A903" s="117"/>
      <c r="B903" s="25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</row>
    <row r="904" spans="1:20" ht="12.75" x14ac:dyDescent="0.2">
      <c r="A904" s="117"/>
      <c r="B904" s="25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</row>
    <row r="905" spans="1:20" ht="12.75" x14ac:dyDescent="0.2">
      <c r="A905" s="117"/>
      <c r="B905" s="25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</row>
    <row r="906" spans="1:20" ht="12.75" x14ac:dyDescent="0.2">
      <c r="A906" s="117"/>
      <c r="B906" s="25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</row>
    <row r="907" spans="1:20" ht="12.75" x14ac:dyDescent="0.2">
      <c r="A907" s="117"/>
      <c r="B907" s="25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</row>
    <row r="908" spans="1:20" ht="12.75" x14ac:dyDescent="0.2">
      <c r="A908" s="117"/>
      <c r="B908" s="25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</row>
    <row r="909" spans="1:20" ht="12.75" x14ac:dyDescent="0.2">
      <c r="A909" s="117"/>
      <c r="B909" s="25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</row>
    <row r="910" spans="1:20" ht="12.75" x14ac:dyDescent="0.2">
      <c r="A910" s="117"/>
      <c r="B910" s="25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</row>
    <row r="911" spans="1:20" ht="12.75" x14ac:dyDescent="0.2">
      <c r="A911" s="117"/>
      <c r="B911" s="25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</row>
    <row r="912" spans="1:20" ht="12.75" x14ac:dyDescent="0.2">
      <c r="A912" s="117"/>
      <c r="B912" s="25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</row>
    <row r="913" spans="1:20" ht="12.75" x14ac:dyDescent="0.2">
      <c r="A913" s="117"/>
      <c r="B913" s="25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</row>
    <row r="914" spans="1:20" ht="12.75" x14ac:dyDescent="0.2">
      <c r="A914" s="117"/>
      <c r="B914" s="25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</row>
    <row r="915" spans="1:20" ht="12.75" x14ac:dyDescent="0.2">
      <c r="A915" s="117"/>
      <c r="B915" s="25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</row>
    <row r="916" spans="1:20" ht="12.75" x14ac:dyDescent="0.2">
      <c r="A916" s="117"/>
      <c r="B916" s="25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</row>
    <row r="917" spans="1:20" ht="12.75" x14ac:dyDescent="0.2">
      <c r="A917" s="117"/>
      <c r="B917" s="25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</row>
    <row r="918" spans="1:20" ht="12.75" x14ac:dyDescent="0.2">
      <c r="A918" s="117"/>
      <c r="B918" s="25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</row>
    <row r="919" spans="1:20" ht="12.75" x14ac:dyDescent="0.2">
      <c r="A919" s="117"/>
      <c r="B919" s="25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</row>
    <row r="920" spans="1:20" ht="12.75" x14ac:dyDescent="0.2">
      <c r="A920" s="117"/>
      <c r="B920" s="25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</row>
    <row r="921" spans="1:20" ht="12.75" x14ac:dyDescent="0.2">
      <c r="A921" s="117"/>
      <c r="B921" s="25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</row>
    <row r="922" spans="1:20" ht="12.75" x14ac:dyDescent="0.2">
      <c r="A922" s="117"/>
      <c r="B922" s="25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</row>
  </sheetData>
  <mergeCells count="1245">
    <mergeCell ref="A413:A414"/>
    <mergeCell ref="B413:B414"/>
    <mergeCell ref="C413:C414"/>
    <mergeCell ref="A407:A408"/>
    <mergeCell ref="B407:B408"/>
    <mergeCell ref="C407:C408"/>
    <mergeCell ref="A409:A410"/>
    <mergeCell ref="B409:B410"/>
    <mergeCell ref="C409:C410"/>
    <mergeCell ref="A411:A412"/>
    <mergeCell ref="B411:B412"/>
    <mergeCell ref="C411:C412"/>
    <mergeCell ref="A401:A402"/>
    <mergeCell ref="B401:B402"/>
    <mergeCell ref="C401:C402"/>
    <mergeCell ref="A403:A404"/>
    <mergeCell ref="B403:B404"/>
    <mergeCell ref="C403:C404"/>
    <mergeCell ref="A405:A406"/>
    <mergeCell ref="B405:B406"/>
    <mergeCell ref="C405:C406"/>
    <mergeCell ref="A395:A396"/>
    <mergeCell ref="B395:B396"/>
    <mergeCell ref="C395:C396"/>
    <mergeCell ref="A397:A398"/>
    <mergeCell ref="B397:B398"/>
    <mergeCell ref="C397:C398"/>
    <mergeCell ref="A399:A400"/>
    <mergeCell ref="B399:B400"/>
    <mergeCell ref="C399:C400"/>
    <mergeCell ref="A389:A390"/>
    <mergeCell ref="B389:B390"/>
    <mergeCell ref="C389:C390"/>
    <mergeCell ref="A391:A392"/>
    <mergeCell ref="B391:B392"/>
    <mergeCell ref="C391:C392"/>
    <mergeCell ref="A393:A394"/>
    <mergeCell ref="B393:B394"/>
    <mergeCell ref="C393:C394"/>
    <mergeCell ref="A383:A384"/>
    <mergeCell ref="B383:B384"/>
    <mergeCell ref="C383:C384"/>
    <mergeCell ref="A385:A386"/>
    <mergeCell ref="B385:B386"/>
    <mergeCell ref="C385:C386"/>
    <mergeCell ref="A387:A388"/>
    <mergeCell ref="B387:B388"/>
    <mergeCell ref="C387:C388"/>
    <mergeCell ref="A377:A378"/>
    <mergeCell ref="B377:B378"/>
    <mergeCell ref="C377:C378"/>
    <mergeCell ref="A379:A380"/>
    <mergeCell ref="B379:B380"/>
    <mergeCell ref="C379:C380"/>
    <mergeCell ref="A381:A382"/>
    <mergeCell ref="B381:B382"/>
    <mergeCell ref="C381:C382"/>
    <mergeCell ref="A371:A372"/>
    <mergeCell ref="B371:B372"/>
    <mergeCell ref="C371:C372"/>
    <mergeCell ref="A373:A374"/>
    <mergeCell ref="B373:B374"/>
    <mergeCell ref="C373:C374"/>
    <mergeCell ref="A375:A376"/>
    <mergeCell ref="B375:B376"/>
    <mergeCell ref="C375:C376"/>
    <mergeCell ref="A365:A366"/>
    <mergeCell ref="B365:B366"/>
    <mergeCell ref="C365:C366"/>
    <mergeCell ref="A367:A368"/>
    <mergeCell ref="B367:B368"/>
    <mergeCell ref="C367:C368"/>
    <mergeCell ref="A369:A370"/>
    <mergeCell ref="B369:B370"/>
    <mergeCell ref="C369:C370"/>
    <mergeCell ref="A359:A360"/>
    <mergeCell ref="B359:B360"/>
    <mergeCell ref="C359:C360"/>
    <mergeCell ref="A361:A362"/>
    <mergeCell ref="B361:B362"/>
    <mergeCell ref="C361:C362"/>
    <mergeCell ref="A363:A364"/>
    <mergeCell ref="B363:B364"/>
    <mergeCell ref="C363:C364"/>
    <mergeCell ref="A353:A354"/>
    <mergeCell ref="B353:B354"/>
    <mergeCell ref="C353:C354"/>
    <mergeCell ref="A355:A356"/>
    <mergeCell ref="B355:B356"/>
    <mergeCell ref="C355:C356"/>
    <mergeCell ref="A357:A358"/>
    <mergeCell ref="B357:B358"/>
    <mergeCell ref="C357:C358"/>
    <mergeCell ref="A347:A348"/>
    <mergeCell ref="B347:B348"/>
    <mergeCell ref="C347:C348"/>
    <mergeCell ref="A349:A350"/>
    <mergeCell ref="B349:B350"/>
    <mergeCell ref="C349:C350"/>
    <mergeCell ref="A351:A352"/>
    <mergeCell ref="B351:B352"/>
    <mergeCell ref="C351:C352"/>
    <mergeCell ref="A341:A342"/>
    <mergeCell ref="B341:B342"/>
    <mergeCell ref="C341:C342"/>
    <mergeCell ref="A343:A344"/>
    <mergeCell ref="B343:B344"/>
    <mergeCell ref="C343:C344"/>
    <mergeCell ref="A345:A346"/>
    <mergeCell ref="B345:B346"/>
    <mergeCell ref="C345:C346"/>
    <mergeCell ref="A335:A336"/>
    <mergeCell ref="B335:B336"/>
    <mergeCell ref="C335:C336"/>
    <mergeCell ref="A337:A338"/>
    <mergeCell ref="B337:B338"/>
    <mergeCell ref="C337:C338"/>
    <mergeCell ref="A339:A340"/>
    <mergeCell ref="B339:B340"/>
    <mergeCell ref="C339:C340"/>
    <mergeCell ref="A329:A330"/>
    <mergeCell ref="B329:B330"/>
    <mergeCell ref="C329:C330"/>
    <mergeCell ref="A331:A332"/>
    <mergeCell ref="B331:B332"/>
    <mergeCell ref="C331:C332"/>
    <mergeCell ref="A333:A334"/>
    <mergeCell ref="B333:B334"/>
    <mergeCell ref="C333:C334"/>
    <mergeCell ref="A323:A324"/>
    <mergeCell ref="B323:B324"/>
    <mergeCell ref="C323:C324"/>
    <mergeCell ref="A325:A326"/>
    <mergeCell ref="B325:B326"/>
    <mergeCell ref="C325:C326"/>
    <mergeCell ref="A327:A328"/>
    <mergeCell ref="B327:B328"/>
    <mergeCell ref="C327:C328"/>
    <mergeCell ref="A317:A318"/>
    <mergeCell ref="B317:B318"/>
    <mergeCell ref="C317:C318"/>
    <mergeCell ref="A319:A320"/>
    <mergeCell ref="B319:B320"/>
    <mergeCell ref="C319:C320"/>
    <mergeCell ref="A321:A322"/>
    <mergeCell ref="B321:B322"/>
    <mergeCell ref="C321:C322"/>
    <mergeCell ref="A309:A310"/>
    <mergeCell ref="B309:B310"/>
    <mergeCell ref="A311:A312"/>
    <mergeCell ref="B311:B312"/>
    <mergeCell ref="A313:A314"/>
    <mergeCell ref="B313:B314"/>
    <mergeCell ref="C313:C314"/>
    <mergeCell ref="A315:A316"/>
    <mergeCell ref="B315:B316"/>
    <mergeCell ref="C315:C316"/>
    <mergeCell ref="A299:A300"/>
    <mergeCell ref="B299:B300"/>
    <mergeCell ref="A301:A302"/>
    <mergeCell ref="B301:B302"/>
    <mergeCell ref="A303:A304"/>
    <mergeCell ref="B303:B304"/>
    <mergeCell ref="A305:A306"/>
    <mergeCell ref="B305:B306"/>
    <mergeCell ref="A307:A308"/>
    <mergeCell ref="B307:B308"/>
    <mergeCell ref="C309:C310"/>
    <mergeCell ref="C301:C302"/>
    <mergeCell ref="A289:A290"/>
    <mergeCell ref="B289:B290"/>
    <mergeCell ref="A291:A292"/>
    <mergeCell ref="B291:B292"/>
    <mergeCell ref="A293:A294"/>
    <mergeCell ref="B293:B294"/>
    <mergeCell ref="A295:A296"/>
    <mergeCell ref="B295:B296"/>
    <mergeCell ref="A297:A298"/>
    <mergeCell ref="B297:B298"/>
    <mergeCell ref="A279:A280"/>
    <mergeCell ref="B279:B280"/>
    <mergeCell ref="A281:A282"/>
    <mergeCell ref="B281:B282"/>
    <mergeCell ref="A283:A284"/>
    <mergeCell ref="B283:B284"/>
    <mergeCell ref="A285:A286"/>
    <mergeCell ref="B285:B286"/>
    <mergeCell ref="A287:A288"/>
    <mergeCell ref="B287:B288"/>
    <mergeCell ref="A269:A270"/>
    <mergeCell ref="B269:B270"/>
    <mergeCell ref="A271:A272"/>
    <mergeCell ref="B271:B272"/>
    <mergeCell ref="A273:A274"/>
    <mergeCell ref="B273:B274"/>
    <mergeCell ref="A275:A276"/>
    <mergeCell ref="B275:B276"/>
    <mergeCell ref="A277:A278"/>
    <mergeCell ref="B277:B278"/>
    <mergeCell ref="A259:A260"/>
    <mergeCell ref="B259:B260"/>
    <mergeCell ref="A261:A262"/>
    <mergeCell ref="B261:B262"/>
    <mergeCell ref="A263:A264"/>
    <mergeCell ref="B263:B264"/>
    <mergeCell ref="A265:A266"/>
    <mergeCell ref="B265:B266"/>
    <mergeCell ref="A267:A268"/>
    <mergeCell ref="B267:B268"/>
    <mergeCell ref="A249:A250"/>
    <mergeCell ref="B249:B250"/>
    <mergeCell ref="A251:A252"/>
    <mergeCell ref="B251:B252"/>
    <mergeCell ref="A253:A254"/>
    <mergeCell ref="B253:B254"/>
    <mergeCell ref="A255:A256"/>
    <mergeCell ref="B255:B256"/>
    <mergeCell ref="A257:A258"/>
    <mergeCell ref="B257:B258"/>
    <mergeCell ref="A239:A240"/>
    <mergeCell ref="B239:B240"/>
    <mergeCell ref="A241:A242"/>
    <mergeCell ref="B241:B242"/>
    <mergeCell ref="A243:A244"/>
    <mergeCell ref="B243:B244"/>
    <mergeCell ref="A245:A246"/>
    <mergeCell ref="B245:B246"/>
    <mergeCell ref="A247:A248"/>
    <mergeCell ref="B247:B248"/>
    <mergeCell ref="A229:A230"/>
    <mergeCell ref="B229:B230"/>
    <mergeCell ref="A231:A232"/>
    <mergeCell ref="B231:B232"/>
    <mergeCell ref="A233:A234"/>
    <mergeCell ref="B233:B234"/>
    <mergeCell ref="A235:A236"/>
    <mergeCell ref="B235:B236"/>
    <mergeCell ref="A237:A238"/>
    <mergeCell ref="B237:B238"/>
    <mergeCell ref="A219:A220"/>
    <mergeCell ref="B219:B220"/>
    <mergeCell ref="A221:A222"/>
    <mergeCell ref="B221:B222"/>
    <mergeCell ref="A223:A224"/>
    <mergeCell ref="B223:B224"/>
    <mergeCell ref="A225:A226"/>
    <mergeCell ref="B225:B226"/>
    <mergeCell ref="A227:A228"/>
    <mergeCell ref="B227:B228"/>
    <mergeCell ref="A209:A210"/>
    <mergeCell ref="B209:B210"/>
    <mergeCell ref="A211:A212"/>
    <mergeCell ref="B211:B212"/>
    <mergeCell ref="A213:A214"/>
    <mergeCell ref="B213:B214"/>
    <mergeCell ref="A215:A216"/>
    <mergeCell ref="B215:B216"/>
    <mergeCell ref="A217:A218"/>
    <mergeCell ref="B217:B218"/>
    <mergeCell ref="A199:A200"/>
    <mergeCell ref="B199:B200"/>
    <mergeCell ref="A201:A202"/>
    <mergeCell ref="B201:B202"/>
    <mergeCell ref="A203:A204"/>
    <mergeCell ref="B203:B204"/>
    <mergeCell ref="A205:A206"/>
    <mergeCell ref="B205:B206"/>
    <mergeCell ref="A207:A208"/>
    <mergeCell ref="B207:B208"/>
    <mergeCell ref="A189:A190"/>
    <mergeCell ref="B189:B190"/>
    <mergeCell ref="A191:A192"/>
    <mergeCell ref="B191:B192"/>
    <mergeCell ref="A193:A194"/>
    <mergeCell ref="B193:B194"/>
    <mergeCell ref="A195:A196"/>
    <mergeCell ref="B195:B196"/>
    <mergeCell ref="A197:A198"/>
    <mergeCell ref="B197:B198"/>
    <mergeCell ref="A179:A180"/>
    <mergeCell ref="B179:B180"/>
    <mergeCell ref="A181:A182"/>
    <mergeCell ref="B181:B182"/>
    <mergeCell ref="A183:A184"/>
    <mergeCell ref="B183:B184"/>
    <mergeCell ref="A185:A186"/>
    <mergeCell ref="B185:B186"/>
    <mergeCell ref="A187:A188"/>
    <mergeCell ref="B187:B188"/>
    <mergeCell ref="A169:A170"/>
    <mergeCell ref="B169:B170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A159:A160"/>
    <mergeCell ref="B159:B160"/>
    <mergeCell ref="A161:A162"/>
    <mergeCell ref="B161:B162"/>
    <mergeCell ref="A163:A164"/>
    <mergeCell ref="B163:B164"/>
    <mergeCell ref="A165:A166"/>
    <mergeCell ref="B165:B166"/>
    <mergeCell ref="A167:A168"/>
    <mergeCell ref="B167:B168"/>
    <mergeCell ref="A149:A150"/>
    <mergeCell ref="B149:B150"/>
    <mergeCell ref="A151:A152"/>
    <mergeCell ref="B151:B152"/>
    <mergeCell ref="A153:A154"/>
    <mergeCell ref="B153:B154"/>
    <mergeCell ref="A155:A156"/>
    <mergeCell ref="B155:B156"/>
    <mergeCell ref="A157:A158"/>
    <mergeCell ref="B157:B158"/>
    <mergeCell ref="A139:A140"/>
    <mergeCell ref="B139:B140"/>
    <mergeCell ref="A141:A142"/>
    <mergeCell ref="B141:B142"/>
    <mergeCell ref="A143:A144"/>
    <mergeCell ref="B143:B144"/>
    <mergeCell ref="A145:A146"/>
    <mergeCell ref="B145:B146"/>
    <mergeCell ref="A147:A148"/>
    <mergeCell ref="B147:B148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27:A128"/>
    <mergeCell ref="B127:B128"/>
    <mergeCell ref="A113:A114"/>
    <mergeCell ref="B113:B114"/>
    <mergeCell ref="A115:A116"/>
    <mergeCell ref="B115:B116"/>
    <mergeCell ref="A117:A118"/>
    <mergeCell ref="B117:B118"/>
    <mergeCell ref="A99:A100"/>
    <mergeCell ref="B99:B100"/>
    <mergeCell ref="A101:A102"/>
    <mergeCell ref="B101:B102"/>
    <mergeCell ref="A103:A104"/>
    <mergeCell ref="B103:B104"/>
    <mergeCell ref="A105:A106"/>
    <mergeCell ref="B105:B106"/>
    <mergeCell ref="A107:A108"/>
    <mergeCell ref="B107:B108"/>
    <mergeCell ref="A129:A130"/>
    <mergeCell ref="B129:B130"/>
    <mergeCell ref="A95:A96"/>
    <mergeCell ref="B95:B96"/>
    <mergeCell ref="A97:A98"/>
    <mergeCell ref="B97:B9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109:A110"/>
    <mergeCell ref="B109:B110"/>
    <mergeCell ref="A111:A112"/>
    <mergeCell ref="B111:B112"/>
    <mergeCell ref="A77:A78"/>
    <mergeCell ref="B77:B78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89:A90"/>
    <mergeCell ref="B89:B90"/>
    <mergeCell ref="A91:A92"/>
    <mergeCell ref="B91:B92"/>
    <mergeCell ref="A93:A94"/>
    <mergeCell ref="B93:B94"/>
    <mergeCell ref="A59:A60"/>
    <mergeCell ref="A29:A30"/>
    <mergeCell ref="A31:A32"/>
    <mergeCell ref="A33:A34"/>
    <mergeCell ref="A35:A36"/>
    <mergeCell ref="A69:A70"/>
    <mergeCell ref="B69:B70"/>
    <mergeCell ref="A71:A72"/>
    <mergeCell ref="B71:B72"/>
    <mergeCell ref="A73:A74"/>
    <mergeCell ref="B73:B74"/>
    <mergeCell ref="A75:A76"/>
    <mergeCell ref="B75:B76"/>
    <mergeCell ref="B45:B46"/>
    <mergeCell ref="B43:B44"/>
    <mergeCell ref="B41:B42"/>
    <mergeCell ref="B39:B40"/>
    <mergeCell ref="B37:B38"/>
    <mergeCell ref="B35:B36"/>
    <mergeCell ref="B33:B34"/>
    <mergeCell ref="B31:B32"/>
    <mergeCell ref="B29:B30"/>
    <mergeCell ref="B57:B58"/>
    <mergeCell ref="A57:A58"/>
    <mergeCell ref="A55:A56"/>
    <mergeCell ref="B55:B56"/>
    <mergeCell ref="B53:B54"/>
    <mergeCell ref="A53:A54"/>
    <mergeCell ref="B9:B10"/>
    <mergeCell ref="B7:B8"/>
    <mergeCell ref="A5:A6"/>
    <mergeCell ref="A7:A8"/>
    <mergeCell ref="A9:A10"/>
    <mergeCell ref="A11:A12"/>
    <mergeCell ref="A13:A14"/>
    <mergeCell ref="A15:A16"/>
    <mergeCell ref="A17:A18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  <mergeCell ref="A19:A20"/>
    <mergeCell ref="A21:A22"/>
    <mergeCell ref="A23:A24"/>
    <mergeCell ref="A25:A26"/>
    <mergeCell ref="A27:A28"/>
    <mergeCell ref="B51:B52"/>
    <mergeCell ref="B49:B50"/>
    <mergeCell ref="B47:B48"/>
    <mergeCell ref="A37:A38"/>
    <mergeCell ref="A39:A40"/>
    <mergeCell ref="A41:A42"/>
    <mergeCell ref="A43:A44"/>
    <mergeCell ref="A45:A46"/>
    <mergeCell ref="A47:A48"/>
    <mergeCell ref="A49:A50"/>
    <mergeCell ref="A51:A52"/>
    <mergeCell ref="D309:D310"/>
    <mergeCell ref="E309:E310"/>
    <mergeCell ref="F309:F310"/>
    <mergeCell ref="G309:G310"/>
    <mergeCell ref="C311:C312"/>
    <mergeCell ref="D311:D312"/>
    <mergeCell ref="E311:E312"/>
    <mergeCell ref="F311:F312"/>
    <mergeCell ref="G311:G312"/>
    <mergeCell ref="C305:C306"/>
    <mergeCell ref="D305:D306"/>
    <mergeCell ref="E305:E306"/>
    <mergeCell ref="F305:F306"/>
    <mergeCell ref="G305:G306"/>
    <mergeCell ref="C307:C308"/>
    <mergeCell ref="D307:D308"/>
    <mergeCell ref="E307:E308"/>
    <mergeCell ref="F307:F308"/>
    <mergeCell ref="G307:G308"/>
    <mergeCell ref="D301:D302"/>
    <mergeCell ref="E301:E302"/>
    <mergeCell ref="F301:F302"/>
    <mergeCell ref="G301:G302"/>
    <mergeCell ref="C303:C304"/>
    <mergeCell ref="D303:D304"/>
    <mergeCell ref="E303:E304"/>
    <mergeCell ref="F303:F304"/>
    <mergeCell ref="G303:G304"/>
    <mergeCell ref="C297:C298"/>
    <mergeCell ref="D297:D298"/>
    <mergeCell ref="E297:E298"/>
    <mergeCell ref="F297:F298"/>
    <mergeCell ref="G297:G298"/>
    <mergeCell ref="C299:C300"/>
    <mergeCell ref="D299:D300"/>
    <mergeCell ref="E299:E300"/>
    <mergeCell ref="F299:F300"/>
    <mergeCell ref="G299:G300"/>
    <mergeCell ref="C293:C294"/>
    <mergeCell ref="D293:D294"/>
    <mergeCell ref="E293:E294"/>
    <mergeCell ref="F293:F294"/>
    <mergeCell ref="G293:G294"/>
    <mergeCell ref="C295:C296"/>
    <mergeCell ref="D295:D296"/>
    <mergeCell ref="E295:E296"/>
    <mergeCell ref="F295:F296"/>
    <mergeCell ref="G295:G296"/>
    <mergeCell ref="C289:C290"/>
    <mergeCell ref="D289:D290"/>
    <mergeCell ref="E289:E290"/>
    <mergeCell ref="F289:F290"/>
    <mergeCell ref="G289:G290"/>
    <mergeCell ref="C291:C292"/>
    <mergeCell ref="D291:D292"/>
    <mergeCell ref="E291:E292"/>
    <mergeCell ref="F291:F292"/>
    <mergeCell ref="G291:G292"/>
    <mergeCell ref="C285:C286"/>
    <mergeCell ref="D285:D286"/>
    <mergeCell ref="E285:E286"/>
    <mergeCell ref="F285:F286"/>
    <mergeCell ref="G285:G286"/>
    <mergeCell ref="C287:C288"/>
    <mergeCell ref="D287:D288"/>
    <mergeCell ref="E287:E288"/>
    <mergeCell ref="F287:F288"/>
    <mergeCell ref="G287:G288"/>
    <mergeCell ref="C281:C282"/>
    <mergeCell ref="D281:D282"/>
    <mergeCell ref="E281:E282"/>
    <mergeCell ref="F281:F282"/>
    <mergeCell ref="G281:G282"/>
    <mergeCell ref="C283:C284"/>
    <mergeCell ref="D283:D284"/>
    <mergeCell ref="E283:E284"/>
    <mergeCell ref="F283:F284"/>
    <mergeCell ref="G283:G284"/>
    <mergeCell ref="C277:C278"/>
    <mergeCell ref="D277:D278"/>
    <mergeCell ref="E277:E278"/>
    <mergeCell ref="F277:F278"/>
    <mergeCell ref="G277:G278"/>
    <mergeCell ref="C279:C280"/>
    <mergeCell ref="D279:D280"/>
    <mergeCell ref="E279:E280"/>
    <mergeCell ref="F279:F280"/>
    <mergeCell ref="G279:G280"/>
    <mergeCell ref="C273:C274"/>
    <mergeCell ref="D273:D274"/>
    <mergeCell ref="E273:E274"/>
    <mergeCell ref="F273:F274"/>
    <mergeCell ref="G273:G274"/>
    <mergeCell ref="C275:C276"/>
    <mergeCell ref="D275:D276"/>
    <mergeCell ref="E275:E276"/>
    <mergeCell ref="F275:F276"/>
    <mergeCell ref="G275:G276"/>
    <mergeCell ref="C269:C270"/>
    <mergeCell ref="D269:D270"/>
    <mergeCell ref="E269:E270"/>
    <mergeCell ref="F269:F270"/>
    <mergeCell ref="G269:G270"/>
    <mergeCell ref="C271:C272"/>
    <mergeCell ref="D271:D272"/>
    <mergeCell ref="E271:E272"/>
    <mergeCell ref="F271:F272"/>
    <mergeCell ref="G271:G272"/>
    <mergeCell ref="C265:C266"/>
    <mergeCell ref="D265:D266"/>
    <mergeCell ref="E265:E266"/>
    <mergeCell ref="F265:F266"/>
    <mergeCell ref="G265:G266"/>
    <mergeCell ref="C267:C268"/>
    <mergeCell ref="D267:D268"/>
    <mergeCell ref="E267:E268"/>
    <mergeCell ref="F267:F268"/>
    <mergeCell ref="G267:G268"/>
    <mergeCell ref="C261:C262"/>
    <mergeCell ref="D261:D262"/>
    <mergeCell ref="E261:E262"/>
    <mergeCell ref="F261:F262"/>
    <mergeCell ref="G261:G262"/>
    <mergeCell ref="C263:C264"/>
    <mergeCell ref="D263:D264"/>
    <mergeCell ref="E263:E264"/>
    <mergeCell ref="F263:F264"/>
    <mergeCell ref="G263:G264"/>
    <mergeCell ref="C257:C258"/>
    <mergeCell ref="D257:D258"/>
    <mergeCell ref="E257:E258"/>
    <mergeCell ref="F257:F258"/>
    <mergeCell ref="G257:G258"/>
    <mergeCell ref="C259:C260"/>
    <mergeCell ref="D259:D260"/>
    <mergeCell ref="E259:E260"/>
    <mergeCell ref="F259:F260"/>
    <mergeCell ref="G259:G260"/>
    <mergeCell ref="C253:C254"/>
    <mergeCell ref="D253:D254"/>
    <mergeCell ref="E253:E254"/>
    <mergeCell ref="F253:F254"/>
    <mergeCell ref="G253:G254"/>
    <mergeCell ref="C255:C256"/>
    <mergeCell ref="D255:D256"/>
    <mergeCell ref="E255:E256"/>
    <mergeCell ref="F255:F256"/>
    <mergeCell ref="G255:G256"/>
    <mergeCell ref="C249:C250"/>
    <mergeCell ref="D249:D250"/>
    <mergeCell ref="E249:E250"/>
    <mergeCell ref="F249:F250"/>
    <mergeCell ref="G249:G250"/>
    <mergeCell ref="C251:C252"/>
    <mergeCell ref="D251:D252"/>
    <mergeCell ref="E251:E252"/>
    <mergeCell ref="F251:F252"/>
    <mergeCell ref="G251:G252"/>
    <mergeCell ref="C245:C246"/>
    <mergeCell ref="D245:D246"/>
    <mergeCell ref="E245:E246"/>
    <mergeCell ref="F245:F246"/>
    <mergeCell ref="G245:G246"/>
    <mergeCell ref="C247:C248"/>
    <mergeCell ref="D247:D248"/>
    <mergeCell ref="E247:E248"/>
    <mergeCell ref="F247:F248"/>
    <mergeCell ref="G247:G248"/>
    <mergeCell ref="C241:C242"/>
    <mergeCell ref="D241:D242"/>
    <mergeCell ref="E241:E242"/>
    <mergeCell ref="F241:F242"/>
    <mergeCell ref="G241:G242"/>
    <mergeCell ref="C243:C244"/>
    <mergeCell ref="D243:D244"/>
    <mergeCell ref="E243:E244"/>
    <mergeCell ref="F243:F244"/>
    <mergeCell ref="G243:G244"/>
    <mergeCell ref="C237:C238"/>
    <mergeCell ref="D237:D238"/>
    <mergeCell ref="E237:E238"/>
    <mergeCell ref="F237:F238"/>
    <mergeCell ref="G237:G238"/>
    <mergeCell ref="C239:C240"/>
    <mergeCell ref="D239:D240"/>
    <mergeCell ref="E239:E240"/>
    <mergeCell ref="F239:F240"/>
    <mergeCell ref="G239:G240"/>
    <mergeCell ref="C233:C234"/>
    <mergeCell ref="D233:D234"/>
    <mergeCell ref="E233:E234"/>
    <mergeCell ref="F233:F234"/>
    <mergeCell ref="G233:G234"/>
    <mergeCell ref="C235:C236"/>
    <mergeCell ref="D235:D236"/>
    <mergeCell ref="E235:E236"/>
    <mergeCell ref="F235:F236"/>
    <mergeCell ref="G235:G236"/>
    <mergeCell ref="C229:C230"/>
    <mergeCell ref="D229:D230"/>
    <mergeCell ref="E229:E230"/>
    <mergeCell ref="F229:F230"/>
    <mergeCell ref="G229:G230"/>
    <mergeCell ref="C231:C232"/>
    <mergeCell ref="D231:D232"/>
    <mergeCell ref="E231:E232"/>
    <mergeCell ref="F231:F232"/>
    <mergeCell ref="G231:G232"/>
    <mergeCell ref="C225:C226"/>
    <mergeCell ref="D225:D226"/>
    <mergeCell ref="E225:E226"/>
    <mergeCell ref="F225:F226"/>
    <mergeCell ref="G225:G226"/>
    <mergeCell ref="C227:C228"/>
    <mergeCell ref="D227:D228"/>
    <mergeCell ref="E227:E228"/>
    <mergeCell ref="F227:F228"/>
    <mergeCell ref="G227:G228"/>
    <mergeCell ref="C221:C222"/>
    <mergeCell ref="D221:D222"/>
    <mergeCell ref="E221:E222"/>
    <mergeCell ref="F221:F222"/>
    <mergeCell ref="G221:G222"/>
    <mergeCell ref="C223:C224"/>
    <mergeCell ref="D223:D224"/>
    <mergeCell ref="E223:E224"/>
    <mergeCell ref="F223:F224"/>
    <mergeCell ref="G223:G224"/>
    <mergeCell ref="C217:C218"/>
    <mergeCell ref="D217:D218"/>
    <mergeCell ref="E217:E218"/>
    <mergeCell ref="F217:F218"/>
    <mergeCell ref="G217:G218"/>
    <mergeCell ref="C219:C220"/>
    <mergeCell ref="D219:D220"/>
    <mergeCell ref="E219:E220"/>
    <mergeCell ref="F219:F220"/>
    <mergeCell ref="G219:G220"/>
    <mergeCell ref="C213:C214"/>
    <mergeCell ref="D213:D214"/>
    <mergeCell ref="E213:E214"/>
    <mergeCell ref="F213:F214"/>
    <mergeCell ref="G213:G214"/>
    <mergeCell ref="C215:C216"/>
    <mergeCell ref="D215:D216"/>
    <mergeCell ref="E215:E216"/>
    <mergeCell ref="F215:F216"/>
    <mergeCell ref="G215:G216"/>
    <mergeCell ref="C209:C210"/>
    <mergeCell ref="D209:D210"/>
    <mergeCell ref="E209:E210"/>
    <mergeCell ref="F209:F210"/>
    <mergeCell ref="G209:G210"/>
    <mergeCell ref="C211:C212"/>
    <mergeCell ref="D211:D212"/>
    <mergeCell ref="E211:E212"/>
    <mergeCell ref="F211:F212"/>
    <mergeCell ref="G211:G212"/>
    <mergeCell ref="C205:C206"/>
    <mergeCell ref="D205:D206"/>
    <mergeCell ref="E205:E206"/>
    <mergeCell ref="F205:F206"/>
    <mergeCell ref="G205:G206"/>
    <mergeCell ref="C207:C208"/>
    <mergeCell ref="D207:D208"/>
    <mergeCell ref="E207:E208"/>
    <mergeCell ref="F207:F208"/>
    <mergeCell ref="G207:G208"/>
    <mergeCell ref="C201:C202"/>
    <mergeCell ref="D201:D202"/>
    <mergeCell ref="E201:E202"/>
    <mergeCell ref="F201:F202"/>
    <mergeCell ref="G201:G202"/>
    <mergeCell ref="C203:C204"/>
    <mergeCell ref="D203:D204"/>
    <mergeCell ref="E203:E204"/>
    <mergeCell ref="F203:F204"/>
    <mergeCell ref="G203:G204"/>
    <mergeCell ref="C197:C198"/>
    <mergeCell ref="D197:D198"/>
    <mergeCell ref="E197:E198"/>
    <mergeCell ref="F197:F198"/>
    <mergeCell ref="G197:G198"/>
    <mergeCell ref="C199:C200"/>
    <mergeCell ref="D199:D200"/>
    <mergeCell ref="E199:E200"/>
    <mergeCell ref="F199:F200"/>
    <mergeCell ref="G199:G200"/>
    <mergeCell ref="C193:C194"/>
    <mergeCell ref="D193:D194"/>
    <mergeCell ref="E193:E194"/>
    <mergeCell ref="F193:F194"/>
    <mergeCell ref="G193:G194"/>
    <mergeCell ref="C195:C196"/>
    <mergeCell ref="D195:D196"/>
    <mergeCell ref="E195:E196"/>
    <mergeCell ref="F195:F196"/>
    <mergeCell ref="G195:G196"/>
    <mergeCell ref="C189:C190"/>
    <mergeCell ref="D189:D190"/>
    <mergeCell ref="E189:E190"/>
    <mergeCell ref="F189:F190"/>
    <mergeCell ref="G189:G190"/>
    <mergeCell ref="C191:C192"/>
    <mergeCell ref="D191:D192"/>
    <mergeCell ref="E191:E192"/>
    <mergeCell ref="F191:F192"/>
    <mergeCell ref="G191:G192"/>
    <mergeCell ref="C185:C186"/>
    <mergeCell ref="D185:D186"/>
    <mergeCell ref="E185:E186"/>
    <mergeCell ref="F185:F186"/>
    <mergeCell ref="G185:G186"/>
    <mergeCell ref="C187:C188"/>
    <mergeCell ref="D187:D188"/>
    <mergeCell ref="E187:E188"/>
    <mergeCell ref="F187:F188"/>
    <mergeCell ref="G187:G188"/>
    <mergeCell ref="C181:C182"/>
    <mergeCell ref="D181:D182"/>
    <mergeCell ref="E181:E182"/>
    <mergeCell ref="F181:F182"/>
    <mergeCell ref="G181:G182"/>
    <mergeCell ref="C183:C184"/>
    <mergeCell ref="D183:D184"/>
    <mergeCell ref="E183:E184"/>
    <mergeCell ref="F183:F184"/>
    <mergeCell ref="G183:G184"/>
    <mergeCell ref="C177:C178"/>
    <mergeCell ref="D177:D178"/>
    <mergeCell ref="E177:E178"/>
    <mergeCell ref="F177:F178"/>
    <mergeCell ref="G177:G178"/>
    <mergeCell ref="C179:C180"/>
    <mergeCell ref="D179:D180"/>
    <mergeCell ref="E179:E180"/>
    <mergeCell ref="F179:F180"/>
    <mergeCell ref="G179:G180"/>
    <mergeCell ref="C173:C174"/>
    <mergeCell ref="D173:D174"/>
    <mergeCell ref="E173:E174"/>
    <mergeCell ref="F173:F174"/>
    <mergeCell ref="G173:G174"/>
    <mergeCell ref="C175:C176"/>
    <mergeCell ref="D175:D176"/>
    <mergeCell ref="E175:E176"/>
    <mergeCell ref="F175:F176"/>
    <mergeCell ref="G175:G176"/>
    <mergeCell ref="C169:C170"/>
    <mergeCell ref="D169:D170"/>
    <mergeCell ref="E169:E170"/>
    <mergeCell ref="F169:F170"/>
    <mergeCell ref="G169:G170"/>
    <mergeCell ref="C171:C172"/>
    <mergeCell ref="D171:D172"/>
    <mergeCell ref="E171:E172"/>
    <mergeCell ref="F171:F172"/>
    <mergeCell ref="G171:G172"/>
    <mergeCell ref="C165:C166"/>
    <mergeCell ref="D165:D166"/>
    <mergeCell ref="E165:E166"/>
    <mergeCell ref="F165:F166"/>
    <mergeCell ref="G165:G166"/>
    <mergeCell ref="C167:C168"/>
    <mergeCell ref="D167:D168"/>
    <mergeCell ref="E167:E168"/>
    <mergeCell ref="F167:F168"/>
    <mergeCell ref="G167:G168"/>
    <mergeCell ref="C161:C162"/>
    <mergeCell ref="D161:D162"/>
    <mergeCell ref="E161:E162"/>
    <mergeCell ref="F161:F162"/>
    <mergeCell ref="G161:G162"/>
    <mergeCell ref="C163:C164"/>
    <mergeCell ref="D163:D164"/>
    <mergeCell ref="E163:E164"/>
    <mergeCell ref="F163:F164"/>
    <mergeCell ref="G163:G164"/>
    <mergeCell ref="C157:C158"/>
    <mergeCell ref="D157:D158"/>
    <mergeCell ref="E157:E158"/>
    <mergeCell ref="F157:F158"/>
    <mergeCell ref="G157:G158"/>
    <mergeCell ref="C159:C160"/>
    <mergeCell ref="D159:D160"/>
    <mergeCell ref="E159:E160"/>
    <mergeCell ref="F159:F160"/>
    <mergeCell ref="G159:G160"/>
    <mergeCell ref="C153:C154"/>
    <mergeCell ref="D153:D154"/>
    <mergeCell ref="E153:E154"/>
    <mergeCell ref="F153:F154"/>
    <mergeCell ref="G153:G154"/>
    <mergeCell ref="C155:C156"/>
    <mergeCell ref="D155:D156"/>
    <mergeCell ref="E155:E156"/>
    <mergeCell ref="F155:F156"/>
    <mergeCell ref="G155:G156"/>
    <mergeCell ref="C149:C150"/>
    <mergeCell ref="D149:D150"/>
    <mergeCell ref="E149:E150"/>
    <mergeCell ref="F149:F150"/>
    <mergeCell ref="G149:G150"/>
    <mergeCell ref="C151:C152"/>
    <mergeCell ref="D151:D152"/>
    <mergeCell ref="E151:E152"/>
    <mergeCell ref="F151:F152"/>
    <mergeCell ref="G151:G152"/>
    <mergeCell ref="C145:C146"/>
    <mergeCell ref="D145:D146"/>
    <mergeCell ref="E145:E146"/>
    <mergeCell ref="F145:F146"/>
    <mergeCell ref="G145:G146"/>
    <mergeCell ref="C147:C148"/>
    <mergeCell ref="D147:D148"/>
    <mergeCell ref="E147:E148"/>
    <mergeCell ref="F147:F148"/>
    <mergeCell ref="G147:G148"/>
    <mergeCell ref="C141:C142"/>
    <mergeCell ref="D141:D142"/>
    <mergeCell ref="E141:E142"/>
    <mergeCell ref="F141:F142"/>
    <mergeCell ref="G141:G142"/>
    <mergeCell ref="C143:C144"/>
    <mergeCell ref="D143:D144"/>
    <mergeCell ref="E143:E144"/>
    <mergeCell ref="F143:F144"/>
    <mergeCell ref="G143:G144"/>
    <mergeCell ref="C137:C138"/>
    <mergeCell ref="D137:D138"/>
    <mergeCell ref="E137:E138"/>
    <mergeCell ref="F137:F138"/>
    <mergeCell ref="G137:G138"/>
    <mergeCell ref="C139:C140"/>
    <mergeCell ref="D139:D140"/>
    <mergeCell ref="E139:E140"/>
    <mergeCell ref="F139:F140"/>
    <mergeCell ref="G139:G140"/>
    <mergeCell ref="C133:C134"/>
    <mergeCell ref="D133:D134"/>
    <mergeCell ref="E133:E134"/>
    <mergeCell ref="F133:F134"/>
    <mergeCell ref="G133:G134"/>
    <mergeCell ref="C135:C136"/>
    <mergeCell ref="D135:D136"/>
    <mergeCell ref="E135:E136"/>
    <mergeCell ref="F135:F136"/>
    <mergeCell ref="G135:G136"/>
    <mergeCell ref="C129:C130"/>
    <mergeCell ref="D129:D130"/>
    <mergeCell ref="E129:E130"/>
    <mergeCell ref="F129:F130"/>
    <mergeCell ref="G129:G130"/>
    <mergeCell ref="C131:C132"/>
    <mergeCell ref="D131:D132"/>
    <mergeCell ref="E131:E132"/>
    <mergeCell ref="F131:F132"/>
    <mergeCell ref="G131:G132"/>
    <mergeCell ref="C125:C126"/>
    <mergeCell ref="D125:D126"/>
    <mergeCell ref="E125:E126"/>
    <mergeCell ref="F125:F126"/>
    <mergeCell ref="G125:G126"/>
    <mergeCell ref="C127:C128"/>
    <mergeCell ref="D127:D128"/>
    <mergeCell ref="E127:E128"/>
    <mergeCell ref="F127:F128"/>
    <mergeCell ref="G127:G128"/>
    <mergeCell ref="C121:C122"/>
    <mergeCell ref="D121:D122"/>
    <mergeCell ref="E121:E122"/>
    <mergeCell ref="F121:F122"/>
    <mergeCell ref="G121:G122"/>
    <mergeCell ref="C123:C124"/>
    <mergeCell ref="D123:D124"/>
    <mergeCell ref="E123:E124"/>
    <mergeCell ref="F123:F124"/>
    <mergeCell ref="G123:G124"/>
    <mergeCell ref="C117:C118"/>
    <mergeCell ref="D117:D118"/>
    <mergeCell ref="E117:E118"/>
    <mergeCell ref="F117:F118"/>
    <mergeCell ref="G117:G118"/>
    <mergeCell ref="C119:C120"/>
    <mergeCell ref="D119:D120"/>
    <mergeCell ref="E119:E120"/>
    <mergeCell ref="F119:F120"/>
    <mergeCell ref="G119:G120"/>
    <mergeCell ref="C113:C114"/>
    <mergeCell ref="D113:D114"/>
    <mergeCell ref="E113:E114"/>
    <mergeCell ref="F113:F114"/>
    <mergeCell ref="G113:G114"/>
    <mergeCell ref="C115:C116"/>
    <mergeCell ref="D115:D116"/>
    <mergeCell ref="E115:E116"/>
    <mergeCell ref="F115:F116"/>
    <mergeCell ref="G115:G116"/>
    <mergeCell ref="C109:C110"/>
    <mergeCell ref="D109:D110"/>
    <mergeCell ref="E109:E110"/>
    <mergeCell ref="F109:F110"/>
    <mergeCell ref="G109:G110"/>
    <mergeCell ref="C111:C112"/>
    <mergeCell ref="D111:D112"/>
    <mergeCell ref="E111:E112"/>
    <mergeCell ref="F111:F112"/>
    <mergeCell ref="G111:G112"/>
    <mergeCell ref="C105:C106"/>
    <mergeCell ref="D105:D106"/>
    <mergeCell ref="E105:E106"/>
    <mergeCell ref="F105:F106"/>
    <mergeCell ref="G105:G106"/>
    <mergeCell ref="C107:C108"/>
    <mergeCell ref="D107:D108"/>
    <mergeCell ref="E107:E108"/>
    <mergeCell ref="F107:F108"/>
    <mergeCell ref="G107:G108"/>
    <mergeCell ref="C101:C102"/>
    <mergeCell ref="D101:D102"/>
    <mergeCell ref="E101:E102"/>
    <mergeCell ref="F101:F102"/>
    <mergeCell ref="G101:G102"/>
    <mergeCell ref="C103:C104"/>
    <mergeCell ref="D103:D104"/>
    <mergeCell ref="E103:E104"/>
    <mergeCell ref="F103:F104"/>
    <mergeCell ref="G103:G104"/>
    <mergeCell ref="C97:C98"/>
    <mergeCell ref="D97:D98"/>
    <mergeCell ref="E97:E98"/>
    <mergeCell ref="F97:F98"/>
    <mergeCell ref="G97:G98"/>
    <mergeCell ref="C99:C100"/>
    <mergeCell ref="D99:D100"/>
    <mergeCell ref="E99:E100"/>
    <mergeCell ref="F99:F100"/>
    <mergeCell ref="G99:G100"/>
    <mergeCell ref="C93:C94"/>
    <mergeCell ref="D93:D94"/>
    <mergeCell ref="E93:E94"/>
    <mergeCell ref="F93:F94"/>
    <mergeCell ref="G93:G94"/>
    <mergeCell ref="C95:C96"/>
    <mergeCell ref="D95:D96"/>
    <mergeCell ref="E95:E96"/>
    <mergeCell ref="F95:F96"/>
    <mergeCell ref="G95:G96"/>
    <mergeCell ref="C89:C90"/>
    <mergeCell ref="D89:D90"/>
    <mergeCell ref="E89:E90"/>
    <mergeCell ref="F89:F90"/>
    <mergeCell ref="G89:G90"/>
    <mergeCell ref="C91:C92"/>
    <mergeCell ref="D91:D92"/>
    <mergeCell ref="E91:E92"/>
    <mergeCell ref="F91:F92"/>
    <mergeCell ref="G91:G92"/>
    <mergeCell ref="C85:C86"/>
    <mergeCell ref="D85:D86"/>
    <mergeCell ref="E85:E86"/>
    <mergeCell ref="F85:F86"/>
    <mergeCell ref="G85:G86"/>
    <mergeCell ref="C87:C88"/>
    <mergeCell ref="D87:D88"/>
    <mergeCell ref="E87:E88"/>
    <mergeCell ref="F87:F88"/>
    <mergeCell ref="G87:G88"/>
    <mergeCell ref="C81:C82"/>
    <mergeCell ref="D81:D82"/>
    <mergeCell ref="E81:E82"/>
    <mergeCell ref="F81:F82"/>
    <mergeCell ref="G81:G82"/>
    <mergeCell ref="C83:C84"/>
    <mergeCell ref="D83:D84"/>
    <mergeCell ref="E83:E84"/>
    <mergeCell ref="F83:F84"/>
    <mergeCell ref="G83:G84"/>
    <mergeCell ref="F75:F76"/>
    <mergeCell ref="G75:G76"/>
    <mergeCell ref="C77:C78"/>
    <mergeCell ref="D77:D78"/>
    <mergeCell ref="E77:E78"/>
    <mergeCell ref="F77:F78"/>
    <mergeCell ref="G77:G78"/>
    <mergeCell ref="C79:C80"/>
    <mergeCell ref="D79:D80"/>
    <mergeCell ref="E79:E80"/>
    <mergeCell ref="F79:F80"/>
    <mergeCell ref="G79:G80"/>
    <mergeCell ref="F65:F66"/>
    <mergeCell ref="G65:G66"/>
    <mergeCell ref="F67:F68"/>
    <mergeCell ref="G67:G68"/>
    <mergeCell ref="F69:F70"/>
    <mergeCell ref="G69:G70"/>
    <mergeCell ref="F71:F72"/>
    <mergeCell ref="G71:G72"/>
    <mergeCell ref="F73:F74"/>
    <mergeCell ref="G73:G74"/>
    <mergeCell ref="D69:D70"/>
    <mergeCell ref="E69:E70"/>
    <mergeCell ref="C65:C66"/>
    <mergeCell ref="D65:D66"/>
    <mergeCell ref="E65:E66"/>
    <mergeCell ref="C67:C68"/>
    <mergeCell ref="D67:D68"/>
    <mergeCell ref="E67:E68"/>
    <mergeCell ref="C69:C70"/>
    <mergeCell ref="E33:E34"/>
    <mergeCell ref="E35:E36"/>
    <mergeCell ref="E37:E38"/>
    <mergeCell ref="E39:E40"/>
    <mergeCell ref="E41:E42"/>
    <mergeCell ref="E43:E44"/>
    <mergeCell ref="E45:E46"/>
    <mergeCell ref="E47:E48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1:G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E19:E20"/>
    <mergeCell ref="D17:D18"/>
    <mergeCell ref="F17:F18"/>
    <mergeCell ref="E1:E2"/>
    <mergeCell ref="E3:E4"/>
    <mergeCell ref="E5:E6"/>
    <mergeCell ref="E7:E8"/>
    <mergeCell ref="E11:E12"/>
    <mergeCell ref="E13:E14"/>
    <mergeCell ref="E15:E16"/>
    <mergeCell ref="E21:E22"/>
    <mergeCell ref="E23:E24"/>
    <mergeCell ref="E29:E30"/>
    <mergeCell ref="D11:D12"/>
    <mergeCell ref="F11:F12"/>
    <mergeCell ref="E9:E10"/>
    <mergeCell ref="F15:F16"/>
    <mergeCell ref="C31:C32"/>
    <mergeCell ref="D31:D32"/>
    <mergeCell ref="F31:F32"/>
    <mergeCell ref="C33:C34"/>
    <mergeCell ref="D39:D40"/>
    <mergeCell ref="F39:F40"/>
    <mergeCell ref="C35:C36"/>
    <mergeCell ref="D35:D36"/>
    <mergeCell ref="F35:F36"/>
    <mergeCell ref="C37:C38"/>
    <mergeCell ref="D37:D38"/>
    <mergeCell ref="F37:F38"/>
    <mergeCell ref="C39:C40"/>
    <mergeCell ref="C17:C18"/>
    <mergeCell ref="D21:D22"/>
    <mergeCell ref="F21:F22"/>
    <mergeCell ref="C19:C20"/>
    <mergeCell ref="D19:D20"/>
    <mergeCell ref="F19:F20"/>
    <mergeCell ref="C21:C22"/>
    <mergeCell ref="E27:E28"/>
    <mergeCell ref="C23:C24"/>
    <mergeCell ref="D23:D24"/>
    <mergeCell ref="F23:F24"/>
    <mergeCell ref="E25:E26"/>
    <mergeCell ref="D27:D28"/>
    <mergeCell ref="F27:F28"/>
    <mergeCell ref="C25:C26"/>
    <mergeCell ref="D25:D26"/>
    <mergeCell ref="F25:F26"/>
    <mergeCell ref="C27:C28"/>
    <mergeCell ref="E31:E32"/>
    <mergeCell ref="D45:D46"/>
    <mergeCell ref="F45:F46"/>
    <mergeCell ref="C41:C42"/>
    <mergeCell ref="D41:D42"/>
    <mergeCell ref="F41:F42"/>
    <mergeCell ref="C43:C44"/>
    <mergeCell ref="D43:D44"/>
    <mergeCell ref="F43:F44"/>
    <mergeCell ref="C45:C46"/>
    <mergeCell ref="D75:D76"/>
    <mergeCell ref="E75:E76"/>
    <mergeCell ref="C71:C72"/>
    <mergeCell ref="D71:D72"/>
    <mergeCell ref="E71:E72"/>
    <mergeCell ref="C73:C74"/>
    <mergeCell ref="D73:D74"/>
    <mergeCell ref="E73:E74"/>
    <mergeCell ref="C75:C76"/>
    <mergeCell ref="E51:E52"/>
    <mergeCell ref="E55:E56"/>
    <mergeCell ref="C51:C52"/>
    <mergeCell ref="D51:D52"/>
    <mergeCell ref="F51:F52"/>
    <mergeCell ref="E53:E54"/>
    <mergeCell ref="D63:D64"/>
    <mergeCell ref="F63:F64"/>
    <mergeCell ref="C59:C60"/>
    <mergeCell ref="D59:D60"/>
    <mergeCell ref="F59:F60"/>
    <mergeCell ref="C61:C62"/>
    <mergeCell ref="D61:D62"/>
    <mergeCell ref="F61:F62"/>
    <mergeCell ref="D33:D34"/>
    <mergeCell ref="F33:F34"/>
    <mergeCell ref="C29:C30"/>
    <mergeCell ref="D29:D30"/>
    <mergeCell ref="F29:F30"/>
    <mergeCell ref="A1:A2"/>
    <mergeCell ref="B1:B2"/>
    <mergeCell ref="C1:C2"/>
    <mergeCell ref="D1:D2"/>
    <mergeCell ref="F1:F2"/>
    <mergeCell ref="D3:D4"/>
    <mergeCell ref="F3:F4"/>
    <mergeCell ref="C3:C4"/>
    <mergeCell ref="C5:C6"/>
    <mergeCell ref="D5:D6"/>
    <mergeCell ref="F5:F6"/>
    <mergeCell ref="B3:B4"/>
    <mergeCell ref="A3:A4"/>
    <mergeCell ref="B5:B6"/>
    <mergeCell ref="C7:C8"/>
    <mergeCell ref="D7:D8"/>
    <mergeCell ref="F7:F8"/>
    <mergeCell ref="C9:C10"/>
    <mergeCell ref="D9:D10"/>
    <mergeCell ref="F9:F10"/>
    <mergeCell ref="C11:C12"/>
    <mergeCell ref="E17:E18"/>
    <mergeCell ref="C13:C14"/>
    <mergeCell ref="D13:D14"/>
    <mergeCell ref="F13:F14"/>
    <mergeCell ref="C15:C16"/>
    <mergeCell ref="D15:D16"/>
    <mergeCell ref="C63:C64"/>
    <mergeCell ref="C47:C48"/>
    <mergeCell ref="D47:D48"/>
    <mergeCell ref="F47:F48"/>
    <mergeCell ref="E49:E50"/>
    <mergeCell ref="D57:D58"/>
    <mergeCell ref="F57:F58"/>
    <mergeCell ref="C53:C54"/>
    <mergeCell ref="D53:D54"/>
    <mergeCell ref="F53:F54"/>
    <mergeCell ref="C55:C56"/>
    <mergeCell ref="D55:D56"/>
    <mergeCell ref="F55:F56"/>
    <mergeCell ref="G49:G50"/>
    <mergeCell ref="E57:E58"/>
    <mergeCell ref="E63:E64"/>
    <mergeCell ref="E59:E60"/>
    <mergeCell ref="E61:E62"/>
    <mergeCell ref="C49:C50"/>
    <mergeCell ref="D49:D50"/>
    <mergeCell ref="F49:F50"/>
    <mergeCell ref="G51:G52"/>
    <mergeCell ref="G53:G54"/>
    <mergeCell ref="G55:G56"/>
    <mergeCell ref="C57:C58"/>
    <mergeCell ref="G57:G58"/>
    <mergeCell ref="G59:G60"/>
    <mergeCell ref="G61:G62"/>
    <mergeCell ref="G63:G64"/>
  </mergeCells>
  <conditionalFormatting sqref="M1:M11 M13:M312">
    <cfRule type="cellIs" dxfId="156" priority="143" operator="between">
      <formula>0</formula>
      <formula>100</formula>
    </cfRule>
  </conditionalFormatting>
  <conditionalFormatting sqref="AA3:AA312">
    <cfRule type="cellIs" dxfId="155" priority="144" operator="greaterThan">
      <formula>1.3</formula>
    </cfRule>
  </conditionalFormatting>
  <conditionalFormatting sqref="AA3:AA312">
    <cfRule type="cellIs" dxfId="154" priority="145" operator="equal">
      <formula>1</formula>
    </cfRule>
  </conditionalFormatting>
  <conditionalFormatting sqref="AA3:AA312">
    <cfRule type="cellIs" dxfId="153" priority="146" operator="lessThan">
      <formula>1.1</formula>
    </cfRule>
  </conditionalFormatting>
  <conditionalFormatting sqref="AD3:AD312">
    <cfRule type="cellIs" dxfId="152" priority="147" operator="equal">
      <formula>100</formula>
    </cfRule>
  </conditionalFormatting>
  <conditionalFormatting sqref="AB3:AC312">
    <cfRule type="cellIs" dxfId="151" priority="148" operator="equal">
      <formula>0</formula>
    </cfRule>
  </conditionalFormatting>
  <conditionalFormatting sqref="M1:M11 M13:M312">
    <cfRule type="cellIs" dxfId="150" priority="149" operator="notBetween">
      <formula>0</formula>
      <formula>100</formula>
    </cfRule>
  </conditionalFormatting>
  <conditionalFormatting sqref="L1:L11 L14:L312">
    <cfRule type="cellIs" dxfId="149" priority="150" operator="between">
      <formula>2</formula>
      <formula>4</formula>
    </cfRule>
  </conditionalFormatting>
  <conditionalFormatting sqref="L1:L11 L14:L312">
    <cfRule type="cellIs" dxfId="148" priority="151" operator="notBetween">
      <formula>"&lt;2"</formula>
      <formula>"&gt;4"</formula>
    </cfRule>
  </conditionalFormatting>
  <conditionalFormatting sqref="K1:K11 K14:K312">
    <cfRule type="cellIs" dxfId="147" priority="152" operator="between">
      <formula>8</formula>
      <formula>11</formula>
    </cfRule>
  </conditionalFormatting>
  <conditionalFormatting sqref="K1:K11 K14:K312">
    <cfRule type="cellIs" dxfId="146" priority="153" operator="notBetween">
      <formula>8</formula>
      <formula>11</formula>
    </cfRule>
  </conditionalFormatting>
  <conditionalFormatting sqref="J1:J11 J13:J312">
    <cfRule type="cellIs" dxfId="145" priority="154" operator="between">
      <formula>80</formula>
      <formula>180</formula>
    </cfRule>
  </conditionalFormatting>
  <conditionalFormatting sqref="J1:J11 J13:J312">
    <cfRule type="cellIs" dxfId="144" priority="155" operator="notBetween">
      <formula>80</formula>
      <formula>180</formula>
    </cfRule>
  </conditionalFormatting>
  <conditionalFormatting sqref="I1:I312">
    <cfRule type="cellIs" dxfId="143" priority="156" operator="between">
      <formula>20</formula>
      <formula>300</formula>
    </cfRule>
  </conditionalFormatting>
  <conditionalFormatting sqref="I1:I312">
    <cfRule type="cellIs" dxfId="142" priority="157" operator="notBetween">
      <formula>20</formula>
      <formula>300</formula>
    </cfRule>
  </conditionalFormatting>
  <conditionalFormatting sqref="M12">
    <cfRule type="cellIs" dxfId="141" priority="135" operator="between">
      <formula>0</formula>
      <formula>100</formula>
    </cfRule>
  </conditionalFormatting>
  <conditionalFormatting sqref="M12">
    <cfRule type="cellIs" dxfId="140" priority="136" operator="notBetween">
      <formula>0</formula>
      <formula>100</formula>
    </cfRule>
  </conditionalFormatting>
  <conditionalFormatting sqref="L12">
    <cfRule type="cellIs" dxfId="139" priority="137" operator="between">
      <formula>2</formula>
      <formula>4</formula>
    </cfRule>
  </conditionalFormatting>
  <conditionalFormatting sqref="L12">
    <cfRule type="cellIs" dxfId="138" priority="138" operator="notBetween">
      <formula>"&lt;2"</formula>
      <formula>"&gt;4"</formula>
    </cfRule>
  </conditionalFormatting>
  <conditionalFormatting sqref="K12">
    <cfRule type="cellIs" dxfId="137" priority="139" operator="between">
      <formula>8</formula>
      <formula>11</formula>
    </cfRule>
  </conditionalFormatting>
  <conditionalFormatting sqref="K12">
    <cfRule type="cellIs" dxfId="136" priority="140" operator="notBetween">
      <formula>8</formula>
      <formula>11</formula>
    </cfRule>
  </conditionalFormatting>
  <conditionalFormatting sqref="J12">
    <cfRule type="cellIs" dxfId="135" priority="141" operator="between">
      <formula>80</formula>
      <formula>180</formula>
    </cfRule>
  </conditionalFormatting>
  <conditionalFormatting sqref="J12">
    <cfRule type="cellIs" dxfId="134" priority="142" operator="notBetween">
      <formula>80</formula>
      <formula>180</formula>
    </cfRule>
  </conditionalFormatting>
  <conditionalFormatting sqref="L13">
    <cfRule type="cellIs" dxfId="133" priority="131" operator="between">
      <formula>2</formula>
      <formula>4</formula>
    </cfRule>
  </conditionalFormatting>
  <conditionalFormatting sqref="L13">
    <cfRule type="cellIs" dxfId="132" priority="132" operator="notBetween">
      <formula>"&lt;2"</formula>
      <formula>"&gt;4"</formula>
    </cfRule>
  </conditionalFormatting>
  <conditionalFormatting sqref="K13">
    <cfRule type="cellIs" dxfId="131" priority="133" operator="between">
      <formula>8</formula>
      <formula>11</formula>
    </cfRule>
  </conditionalFormatting>
  <conditionalFormatting sqref="K13">
    <cfRule type="cellIs" dxfId="130" priority="134" operator="notBetween">
      <formula>8</formula>
      <formula>11</formula>
    </cfRule>
  </conditionalFormatting>
  <conditionalFormatting sqref="C1:C70 C415:C1048576">
    <cfRule type="cellIs" dxfId="129" priority="126" operator="equal">
      <formula>"№5"</formula>
    </cfRule>
    <cfRule type="cellIs" dxfId="128" priority="127" operator="equal">
      <formula>"№4"</formula>
    </cfRule>
    <cfRule type="cellIs" dxfId="127" priority="128" operator="equal">
      <formula>"№3"</formula>
    </cfRule>
    <cfRule type="cellIs" dxfId="126" priority="129" operator="equal">
      <formula>"№2"</formula>
    </cfRule>
    <cfRule type="cellIs" dxfId="125" priority="130" operator="equal">
      <formula>"№1"</formula>
    </cfRule>
  </conditionalFormatting>
  <conditionalFormatting sqref="C71:C84">
    <cfRule type="cellIs" dxfId="124" priority="121" operator="equal">
      <formula>"№5"</formula>
    </cfRule>
    <cfRule type="cellIs" dxfId="123" priority="122" operator="equal">
      <formula>"№4"</formula>
    </cfRule>
    <cfRule type="cellIs" dxfId="122" priority="123" operator="equal">
      <formula>"№3"</formula>
    </cfRule>
    <cfRule type="cellIs" dxfId="121" priority="124" operator="equal">
      <formula>"№2"</formula>
    </cfRule>
    <cfRule type="cellIs" dxfId="120" priority="125" operator="equal">
      <formula>"№1"</formula>
    </cfRule>
  </conditionalFormatting>
  <conditionalFormatting sqref="C85:C98">
    <cfRule type="cellIs" dxfId="119" priority="116" operator="equal">
      <formula>"№5"</formula>
    </cfRule>
    <cfRule type="cellIs" dxfId="118" priority="117" operator="equal">
      <formula>"№4"</formula>
    </cfRule>
    <cfRule type="cellIs" dxfId="117" priority="118" operator="equal">
      <formula>"№3"</formula>
    </cfRule>
    <cfRule type="cellIs" dxfId="116" priority="119" operator="equal">
      <formula>"№2"</formula>
    </cfRule>
    <cfRule type="cellIs" dxfId="115" priority="120" operator="equal">
      <formula>"№1"</formula>
    </cfRule>
  </conditionalFormatting>
  <conditionalFormatting sqref="C99:C112">
    <cfRule type="cellIs" dxfId="114" priority="111" operator="equal">
      <formula>"№5"</formula>
    </cfRule>
    <cfRule type="cellIs" dxfId="113" priority="112" operator="equal">
      <formula>"№4"</formula>
    </cfRule>
    <cfRule type="cellIs" dxfId="112" priority="113" operator="equal">
      <formula>"№3"</formula>
    </cfRule>
    <cfRule type="cellIs" dxfId="111" priority="114" operator="equal">
      <formula>"№2"</formula>
    </cfRule>
    <cfRule type="cellIs" dxfId="110" priority="115" operator="equal">
      <formula>"№1"</formula>
    </cfRule>
  </conditionalFormatting>
  <conditionalFormatting sqref="C113:C126">
    <cfRule type="cellIs" dxfId="109" priority="106" operator="equal">
      <formula>"№5"</formula>
    </cfRule>
    <cfRule type="cellIs" dxfId="108" priority="107" operator="equal">
      <formula>"№4"</formula>
    </cfRule>
    <cfRule type="cellIs" dxfId="107" priority="108" operator="equal">
      <formula>"№3"</formula>
    </cfRule>
    <cfRule type="cellIs" dxfId="106" priority="109" operator="equal">
      <formula>"№2"</formula>
    </cfRule>
    <cfRule type="cellIs" dxfId="105" priority="110" operator="equal">
      <formula>"№1"</formula>
    </cfRule>
  </conditionalFormatting>
  <conditionalFormatting sqref="C127:C140">
    <cfRule type="cellIs" dxfId="104" priority="101" operator="equal">
      <formula>"№5"</formula>
    </cfRule>
    <cfRule type="cellIs" dxfId="103" priority="102" operator="equal">
      <formula>"№4"</formula>
    </cfRule>
    <cfRule type="cellIs" dxfId="102" priority="103" operator="equal">
      <formula>"№3"</formula>
    </cfRule>
    <cfRule type="cellIs" dxfId="101" priority="104" operator="equal">
      <formula>"№2"</formula>
    </cfRule>
    <cfRule type="cellIs" dxfId="100" priority="105" operator="equal">
      <formula>"№1"</formula>
    </cfRule>
  </conditionalFormatting>
  <conditionalFormatting sqref="C141:C154">
    <cfRule type="cellIs" dxfId="99" priority="96" operator="equal">
      <formula>"№5"</formula>
    </cfRule>
    <cfRule type="cellIs" dxfId="98" priority="97" operator="equal">
      <formula>"№4"</formula>
    </cfRule>
    <cfRule type="cellIs" dxfId="97" priority="98" operator="equal">
      <formula>"№3"</formula>
    </cfRule>
    <cfRule type="cellIs" dxfId="96" priority="99" operator="equal">
      <formula>"№2"</formula>
    </cfRule>
    <cfRule type="cellIs" dxfId="95" priority="100" operator="equal">
      <formula>"№1"</formula>
    </cfRule>
  </conditionalFormatting>
  <conditionalFormatting sqref="C155:C168">
    <cfRule type="cellIs" dxfId="94" priority="91" operator="equal">
      <formula>"№5"</formula>
    </cfRule>
    <cfRule type="cellIs" dxfId="93" priority="92" operator="equal">
      <formula>"№4"</formula>
    </cfRule>
    <cfRule type="cellIs" dxfId="92" priority="93" operator="equal">
      <formula>"№3"</formula>
    </cfRule>
    <cfRule type="cellIs" dxfId="91" priority="94" operator="equal">
      <formula>"№2"</formula>
    </cfRule>
    <cfRule type="cellIs" dxfId="90" priority="95" operator="equal">
      <formula>"№1"</formula>
    </cfRule>
  </conditionalFormatting>
  <conditionalFormatting sqref="C169:C182">
    <cfRule type="cellIs" dxfId="89" priority="86" operator="equal">
      <formula>"№5"</formula>
    </cfRule>
    <cfRule type="cellIs" dxfId="88" priority="87" operator="equal">
      <formula>"№4"</formula>
    </cfRule>
    <cfRule type="cellIs" dxfId="87" priority="88" operator="equal">
      <formula>"№3"</formula>
    </cfRule>
    <cfRule type="cellIs" dxfId="86" priority="89" operator="equal">
      <formula>"№2"</formula>
    </cfRule>
    <cfRule type="cellIs" dxfId="85" priority="90" operator="equal">
      <formula>"№1"</formula>
    </cfRule>
  </conditionalFormatting>
  <conditionalFormatting sqref="C183:C196">
    <cfRule type="cellIs" dxfId="84" priority="81" operator="equal">
      <formula>"№5"</formula>
    </cfRule>
    <cfRule type="cellIs" dxfId="83" priority="82" operator="equal">
      <formula>"№4"</formula>
    </cfRule>
    <cfRule type="cellIs" dxfId="82" priority="83" operator="equal">
      <formula>"№3"</formula>
    </cfRule>
    <cfRule type="cellIs" dxfId="81" priority="84" operator="equal">
      <formula>"№2"</formula>
    </cfRule>
    <cfRule type="cellIs" dxfId="80" priority="85" operator="equal">
      <formula>"№1"</formula>
    </cfRule>
  </conditionalFormatting>
  <conditionalFormatting sqref="C197:C210">
    <cfRule type="cellIs" dxfId="79" priority="76" operator="equal">
      <formula>"№5"</formula>
    </cfRule>
    <cfRule type="cellIs" dxfId="78" priority="77" operator="equal">
      <formula>"№4"</formula>
    </cfRule>
    <cfRule type="cellIs" dxfId="77" priority="78" operator="equal">
      <formula>"№3"</formula>
    </cfRule>
    <cfRule type="cellIs" dxfId="76" priority="79" operator="equal">
      <formula>"№2"</formula>
    </cfRule>
    <cfRule type="cellIs" dxfId="75" priority="80" operator="equal">
      <formula>"№1"</formula>
    </cfRule>
  </conditionalFormatting>
  <conditionalFormatting sqref="C211:C224">
    <cfRule type="cellIs" dxfId="74" priority="71" operator="equal">
      <formula>"№5"</formula>
    </cfRule>
    <cfRule type="cellIs" dxfId="73" priority="72" operator="equal">
      <formula>"№4"</formula>
    </cfRule>
    <cfRule type="cellIs" dxfId="72" priority="73" operator="equal">
      <formula>"№3"</formula>
    </cfRule>
    <cfRule type="cellIs" dxfId="71" priority="74" operator="equal">
      <formula>"№2"</formula>
    </cfRule>
    <cfRule type="cellIs" dxfId="70" priority="75" operator="equal">
      <formula>"№1"</formula>
    </cfRule>
  </conditionalFormatting>
  <conditionalFormatting sqref="C225:C238">
    <cfRule type="cellIs" dxfId="69" priority="66" operator="equal">
      <formula>"№5"</formula>
    </cfRule>
    <cfRule type="cellIs" dxfId="68" priority="67" operator="equal">
      <formula>"№4"</formula>
    </cfRule>
    <cfRule type="cellIs" dxfId="67" priority="68" operator="equal">
      <formula>"№3"</formula>
    </cfRule>
    <cfRule type="cellIs" dxfId="66" priority="69" operator="equal">
      <formula>"№2"</formula>
    </cfRule>
    <cfRule type="cellIs" dxfId="65" priority="70" operator="equal">
      <formula>"№1"</formula>
    </cfRule>
  </conditionalFormatting>
  <conditionalFormatting sqref="C239:C246">
    <cfRule type="cellIs" dxfId="64" priority="61" operator="equal">
      <formula>"№5"</formula>
    </cfRule>
    <cfRule type="cellIs" dxfId="63" priority="62" operator="equal">
      <formula>"№4"</formula>
    </cfRule>
    <cfRule type="cellIs" dxfId="62" priority="63" operator="equal">
      <formula>"№3"</formula>
    </cfRule>
    <cfRule type="cellIs" dxfId="61" priority="64" operator="equal">
      <formula>"№2"</formula>
    </cfRule>
    <cfRule type="cellIs" dxfId="60" priority="65" operator="equal">
      <formula>"№1"</formula>
    </cfRule>
  </conditionalFormatting>
  <conditionalFormatting sqref="C247:C260">
    <cfRule type="cellIs" dxfId="59" priority="56" operator="equal">
      <formula>"№5"</formula>
    </cfRule>
    <cfRule type="cellIs" dxfId="58" priority="57" operator="equal">
      <formula>"№4"</formula>
    </cfRule>
    <cfRule type="cellIs" dxfId="57" priority="58" operator="equal">
      <formula>"№3"</formula>
    </cfRule>
    <cfRule type="cellIs" dxfId="56" priority="59" operator="equal">
      <formula>"№2"</formula>
    </cfRule>
    <cfRule type="cellIs" dxfId="55" priority="60" operator="equal">
      <formula>"№1"</formula>
    </cfRule>
  </conditionalFormatting>
  <conditionalFormatting sqref="C261:C274">
    <cfRule type="cellIs" dxfId="54" priority="51" operator="equal">
      <formula>"№5"</formula>
    </cfRule>
    <cfRule type="cellIs" dxfId="53" priority="52" operator="equal">
      <formula>"№4"</formula>
    </cfRule>
    <cfRule type="cellIs" dxfId="52" priority="53" operator="equal">
      <formula>"№3"</formula>
    </cfRule>
    <cfRule type="cellIs" dxfId="51" priority="54" operator="equal">
      <formula>"№2"</formula>
    </cfRule>
    <cfRule type="cellIs" dxfId="50" priority="55" operator="equal">
      <formula>"№1"</formula>
    </cfRule>
  </conditionalFormatting>
  <conditionalFormatting sqref="C275:C288">
    <cfRule type="cellIs" dxfId="49" priority="46" operator="equal">
      <formula>"№5"</formula>
    </cfRule>
    <cfRule type="cellIs" dxfId="48" priority="47" operator="equal">
      <formula>"№4"</formula>
    </cfRule>
    <cfRule type="cellIs" dxfId="47" priority="48" operator="equal">
      <formula>"№3"</formula>
    </cfRule>
    <cfRule type="cellIs" dxfId="46" priority="49" operator="equal">
      <formula>"№2"</formula>
    </cfRule>
    <cfRule type="cellIs" dxfId="45" priority="50" operator="equal">
      <formula>"№1"</formula>
    </cfRule>
  </conditionalFormatting>
  <conditionalFormatting sqref="C289:C302">
    <cfRule type="cellIs" dxfId="44" priority="41" operator="equal">
      <formula>"№5"</formula>
    </cfRule>
    <cfRule type="cellIs" dxfId="43" priority="42" operator="equal">
      <formula>"№4"</formula>
    </cfRule>
    <cfRule type="cellIs" dxfId="42" priority="43" operator="equal">
      <formula>"№3"</formula>
    </cfRule>
    <cfRule type="cellIs" dxfId="41" priority="44" operator="equal">
      <formula>"№2"</formula>
    </cfRule>
    <cfRule type="cellIs" dxfId="40" priority="45" operator="equal">
      <formula>"№1"</formula>
    </cfRule>
  </conditionalFormatting>
  <conditionalFormatting sqref="C303:C316">
    <cfRule type="cellIs" dxfId="39" priority="36" operator="equal">
      <formula>"№5"</formula>
    </cfRule>
    <cfRule type="cellIs" dxfId="38" priority="37" operator="equal">
      <formula>"№4"</formula>
    </cfRule>
    <cfRule type="cellIs" dxfId="37" priority="38" operator="equal">
      <formula>"№3"</formula>
    </cfRule>
    <cfRule type="cellIs" dxfId="36" priority="39" operator="equal">
      <formula>"№2"</formula>
    </cfRule>
    <cfRule type="cellIs" dxfId="35" priority="40" operator="equal">
      <formula>"№1"</formula>
    </cfRule>
  </conditionalFormatting>
  <conditionalFormatting sqref="C317:C330">
    <cfRule type="cellIs" dxfId="34" priority="31" operator="equal">
      <formula>"№5"</formula>
    </cfRule>
    <cfRule type="cellIs" dxfId="33" priority="32" operator="equal">
      <formula>"№4"</formula>
    </cfRule>
    <cfRule type="cellIs" dxfId="32" priority="33" operator="equal">
      <formula>"№3"</formula>
    </cfRule>
    <cfRule type="cellIs" dxfId="31" priority="34" operator="equal">
      <formula>"№2"</formula>
    </cfRule>
    <cfRule type="cellIs" dxfId="30" priority="35" operator="equal">
      <formula>"№1"</formula>
    </cfRule>
  </conditionalFormatting>
  <conditionalFormatting sqref="C331:C344">
    <cfRule type="cellIs" dxfId="29" priority="26" operator="equal">
      <formula>"№5"</formula>
    </cfRule>
    <cfRule type="cellIs" dxfId="28" priority="27" operator="equal">
      <formula>"№4"</formula>
    </cfRule>
    <cfRule type="cellIs" dxfId="27" priority="28" operator="equal">
      <formula>"№3"</formula>
    </cfRule>
    <cfRule type="cellIs" dxfId="26" priority="29" operator="equal">
      <formula>"№2"</formula>
    </cfRule>
    <cfRule type="cellIs" dxfId="25" priority="30" operator="equal">
      <formula>"№1"</formula>
    </cfRule>
  </conditionalFormatting>
  <conditionalFormatting sqref="C345:C358">
    <cfRule type="cellIs" dxfId="24" priority="21" operator="equal">
      <formula>"№5"</formula>
    </cfRule>
    <cfRule type="cellIs" dxfId="23" priority="22" operator="equal">
      <formula>"№4"</formula>
    </cfRule>
    <cfRule type="cellIs" dxfId="22" priority="23" operator="equal">
      <formula>"№3"</formula>
    </cfRule>
    <cfRule type="cellIs" dxfId="21" priority="24" operator="equal">
      <formula>"№2"</formula>
    </cfRule>
    <cfRule type="cellIs" dxfId="20" priority="25" operator="equal">
      <formula>"№1"</formula>
    </cfRule>
  </conditionalFormatting>
  <conditionalFormatting sqref="C359:C372">
    <cfRule type="cellIs" dxfId="19" priority="16" operator="equal">
      <formula>"№5"</formula>
    </cfRule>
    <cfRule type="cellIs" dxfId="18" priority="17" operator="equal">
      <formula>"№4"</formula>
    </cfRule>
    <cfRule type="cellIs" dxfId="17" priority="18" operator="equal">
      <formula>"№3"</formula>
    </cfRule>
    <cfRule type="cellIs" dxfId="16" priority="19" operator="equal">
      <formula>"№2"</formula>
    </cfRule>
    <cfRule type="cellIs" dxfId="15" priority="20" operator="equal">
      <formula>"№1"</formula>
    </cfRule>
  </conditionalFormatting>
  <conditionalFormatting sqref="C373:C386">
    <cfRule type="cellIs" dxfId="14" priority="11" operator="equal">
      <formula>"№5"</formula>
    </cfRule>
    <cfRule type="cellIs" dxfId="13" priority="12" operator="equal">
      <formula>"№4"</formula>
    </cfRule>
    <cfRule type="cellIs" dxfId="12" priority="13" operator="equal">
      <formula>"№3"</formula>
    </cfRule>
    <cfRule type="cellIs" dxfId="11" priority="14" operator="equal">
      <formula>"№2"</formula>
    </cfRule>
    <cfRule type="cellIs" dxfId="10" priority="15" operator="equal">
      <formula>"№1"</formula>
    </cfRule>
  </conditionalFormatting>
  <conditionalFormatting sqref="C387:C400">
    <cfRule type="cellIs" dxfId="9" priority="6" operator="equal">
      <formula>"№5"</formula>
    </cfRule>
    <cfRule type="cellIs" dxfId="8" priority="7" operator="equal">
      <formula>"№4"</formula>
    </cfRule>
    <cfRule type="cellIs" dxfId="7" priority="8" operator="equal">
      <formula>"№3"</formula>
    </cfRule>
    <cfRule type="cellIs" dxfId="6" priority="9" operator="equal">
      <formula>"№2"</formula>
    </cfRule>
    <cfRule type="cellIs" dxfId="5" priority="10" operator="equal">
      <formula>"№1"</formula>
    </cfRule>
  </conditionalFormatting>
  <conditionalFormatting sqref="C401:C414">
    <cfRule type="cellIs" dxfId="4" priority="1" operator="equal">
      <formula>"№5"</formula>
    </cfRule>
    <cfRule type="cellIs" dxfId="3" priority="2" operator="equal">
      <formula>"№4"</formula>
    </cfRule>
    <cfRule type="cellIs" dxfId="2" priority="3" operator="equal">
      <formula>"№3"</formula>
    </cfRule>
    <cfRule type="cellIs" dxfId="1" priority="4" operator="equal">
      <formula>"№2"</formula>
    </cfRule>
    <cfRule type="cellIs" dxfId="0" priority="5" operator="equal">
      <formula>"№1"</formula>
    </cfRule>
  </conditionalFormatting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09">
        <x14:dataValidation type="list" allowBlank="1" showInputMessage="1" showErrorMessage="1">
          <x14:formula1>
            <xm:f>'Данные для УРК'!$D:$D</xm:f>
          </x14:formula1>
          <xm:sqref>B5</xm:sqref>
        </x14:dataValidation>
        <x14:dataValidation type="list" allowBlank="1" showInputMessage="1" showErrorMessage="1">
          <x14:formula1>
            <xm:f>'Данные для УРК'!$D:$D</xm:f>
          </x14:formula1>
          <xm:sqref>B55</xm:sqref>
        </x14:dataValidation>
        <x14:dataValidation type="list" allowBlank="1" showInputMessage="1" showErrorMessage="1">
          <x14:formula1>
            <xm:f>'Данные для УРК'!$D:$D</xm:f>
          </x14:formula1>
          <xm:sqref>B53</xm:sqref>
        </x14:dataValidation>
        <x14:dataValidation type="list" allowBlank="1" showInputMessage="1" showErrorMessage="1">
          <x14:formula1>
            <xm:f>'Данные для УРК'!$D:$D</xm:f>
          </x14:formula1>
          <xm:sqref>B51</xm:sqref>
        </x14:dataValidation>
        <x14:dataValidation type="list" allowBlank="1" showInputMessage="1" showErrorMessage="1">
          <x14:formula1>
            <xm:f>'Данные для УРК'!$D:$D</xm:f>
          </x14:formula1>
          <xm:sqref>B49</xm:sqref>
        </x14:dataValidation>
        <x14:dataValidation type="list" allowBlank="1" showInputMessage="1" showErrorMessage="1">
          <x14:formula1>
            <xm:f>'Данные для УРК'!$D:$D</xm:f>
          </x14:formula1>
          <xm:sqref>B47</xm:sqref>
        </x14:dataValidation>
        <x14:dataValidation type="list" allowBlank="1" showInputMessage="1" showErrorMessage="1">
          <x14:formula1>
            <xm:f>'Данные для УРК'!$D:$D</xm:f>
          </x14:formula1>
          <xm:sqref>B45</xm:sqref>
        </x14:dataValidation>
        <x14:dataValidation type="list" allowBlank="1" showInputMessage="1" showErrorMessage="1">
          <x14:formula1>
            <xm:f>'Данные для УРК'!$D:$D</xm:f>
          </x14:formula1>
          <xm:sqref>B43</xm:sqref>
        </x14:dataValidation>
        <x14:dataValidation type="list" allowBlank="1" showInputMessage="1" showErrorMessage="1">
          <x14:formula1>
            <xm:f>'Данные для УРК'!$D:$D</xm:f>
          </x14:formula1>
          <xm:sqref>B41</xm:sqref>
        </x14:dataValidation>
        <x14:dataValidation type="list" allowBlank="1" showInputMessage="1" showErrorMessage="1">
          <x14:formula1>
            <xm:f>'Данные для УРК'!$D:$D</xm:f>
          </x14:formula1>
          <xm:sqref>B39</xm:sqref>
        </x14:dataValidation>
        <x14:dataValidation type="list" allowBlank="1" showInputMessage="1" showErrorMessage="1">
          <x14:formula1>
            <xm:f>'Данные для УРК'!$D:$D</xm:f>
          </x14:formula1>
          <xm:sqref>B37</xm:sqref>
        </x14:dataValidation>
        <x14:dataValidation type="list" allowBlank="1" showInputMessage="1" showErrorMessage="1">
          <x14:formula1>
            <xm:f>'Данные для УРК'!$D:$D</xm:f>
          </x14:formula1>
          <xm:sqref>B35</xm:sqref>
        </x14:dataValidation>
        <x14:dataValidation type="list" allowBlank="1" showInputMessage="1" showErrorMessage="1">
          <x14:formula1>
            <xm:f>'Данные для УРК'!$D:$D</xm:f>
          </x14:formula1>
          <xm:sqref>B33</xm:sqref>
        </x14:dataValidation>
        <x14:dataValidation type="list" allowBlank="1" showInputMessage="1" showErrorMessage="1">
          <x14:formula1>
            <xm:f>'Данные для УРК'!$D:$D</xm:f>
          </x14:formula1>
          <xm:sqref>B31</xm:sqref>
        </x14:dataValidation>
        <x14:dataValidation type="list" allowBlank="1" showInputMessage="1" showErrorMessage="1">
          <x14:formula1>
            <xm:f>'Данные для УРК'!$D:$D</xm:f>
          </x14:formula1>
          <xm:sqref>B29</xm:sqref>
        </x14:dataValidation>
        <x14:dataValidation type="list" allowBlank="1" showInputMessage="1" showErrorMessage="1">
          <x14:formula1>
            <xm:f>'Данные для УРК'!$D:$D</xm:f>
          </x14:formula1>
          <xm:sqref>B27</xm:sqref>
        </x14:dataValidation>
        <x14:dataValidation type="list" allowBlank="1" showInputMessage="1" showErrorMessage="1">
          <x14:formula1>
            <xm:f>'Данные для УРК'!$D:$D</xm:f>
          </x14:formula1>
          <xm:sqref>B25</xm:sqref>
        </x14:dataValidation>
        <x14:dataValidation type="list" allowBlank="1" showInputMessage="1" showErrorMessage="1">
          <x14:formula1>
            <xm:f>'Данные для УРК'!$D:$D</xm:f>
          </x14:formula1>
          <xm:sqref>B23</xm:sqref>
        </x14:dataValidation>
        <x14:dataValidation type="list" allowBlank="1" showInputMessage="1" showErrorMessage="1">
          <x14:formula1>
            <xm:f>'Данные для УРК'!$D:$D</xm:f>
          </x14:formula1>
          <xm:sqref>B21</xm:sqref>
        </x14:dataValidation>
        <x14:dataValidation type="list" allowBlank="1" showInputMessage="1" showErrorMessage="1">
          <x14:formula1>
            <xm:f>'Данные для УРК'!$D:$D</xm:f>
          </x14:formula1>
          <xm:sqref>B19</xm:sqref>
        </x14:dataValidation>
        <x14:dataValidation type="list" allowBlank="1" showInputMessage="1" showErrorMessage="1">
          <x14:formula1>
            <xm:f>'Данные для УРК'!$D:$D</xm:f>
          </x14:formula1>
          <xm:sqref>B17</xm:sqref>
        </x14:dataValidation>
        <x14:dataValidation type="list" allowBlank="1" showInputMessage="1" showErrorMessage="1">
          <x14:formula1>
            <xm:f>'Данные для УРК'!$D:$D</xm:f>
          </x14:formula1>
          <xm:sqref>B15</xm:sqref>
        </x14:dataValidation>
        <x14:dataValidation type="list" allowBlank="1" showInputMessage="1" showErrorMessage="1">
          <x14:formula1>
            <xm:f>'Данные для УРК'!$D:$D</xm:f>
          </x14:formula1>
          <xm:sqref>B13</xm:sqref>
        </x14:dataValidation>
        <x14:dataValidation type="list" allowBlank="1" showInputMessage="1" showErrorMessage="1">
          <x14:formula1>
            <xm:f>'Данные для УРК'!$D:$D</xm:f>
          </x14:formula1>
          <xm:sqref>B11</xm:sqref>
        </x14:dataValidation>
        <x14:dataValidation type="list" allowBlank="1" showInputMessage="1" showErrorMessage="1">
          <x14:formula1>
            <xm:f>'Данные для УРК'!$D:$D</xm:f>
          </x14:formula1>
          <xm:sqref>B9</xm:sqref>
        </x14:dataValidation>
        <x14:dataValidation type="list" allowBlank="1" showInputMessage="1" showErrorMessage="1">
          <x14:formula1>
            <xm:f>'Данные для УРК'!$D:$D</xm:f>
          </x14:formula1>
          <xm:sqref>B7</xm:sqref>
        </x14:dataValidation>
        <x14:dataValidation type="list" allowBlank="1" showInputMessage="1" showErrorMessage="1">
          <x14:formula1>
            <xm:f>'Данные для УРК'!$D:$D</xm:f>
          </x14:formula1>
          <xm:sqref>B3</xm:sqref>
        </x14:dataValidation>
        <x14:dataValidation type="list" allowBlank="1" showInputMessage="1" showErrorMessage="1">
          <x14:formula1>
            <xm:f>'Данные для УРК'!$D:$D</xm:f>
          </x14:formula1>
          <xm:sqref>B63</xm:sqref>
        </x14:dataValidation>
        <x14:dataValidation type="list" allowBlank="1" showInputMessage="1" showErrorMessage="1">
          <x14:formula1>
            <xm:f>'Данные для УРК'!$D:$D</xm:f>
          </x14:formula1>
          <xm:sqref>B57</xm:sqref>
        </x14:dataValidation>
        <x14:dataValidation type="list" allowBlank="1" showInputMessage="1" showErrorMessage="1">
          <x14:formula1>
            <xm:f>'Данные для УРК'!$D:$D</xm:f>
          </x14:formula1>
          <xm:sqref>B61</xm:sqref>
        </x14:dataValidation>
        <x14:dataValidation type="list" allowBlank="1" showInputMessage="1" showErrorMessage="1">
          <x14:formula1>
            <xm:f>'Данные для УРК'!$D:$D</xm:f>
          </x14:formula1>
          <xm:sqref>B59</xm:sqref>
        </x14:dataValidation>
        <x14:dataValidation type="list" allowBlank="1" showInputMessage="1" showErrorMessage="1">
          <x14:formula1>
            <xm:f>'Данные для УРК'!$D:$D</xm:f>
          </x14:formula1>
          <xm:sqref>B67</xm:sqref>
        </x14:dataValidation>
        <x14:dataValidation type="list" allowBlank="1" showInputMessage="1" showErrorMessage="1">
          <x14:formula1>
            <xm:f>'Данные для УРК'!$D:$D</xm:f>
          </x14:formula1>
          <xm:sqref>B69</xm:sqref>
        </x14:dataValidation>
        <x14:dataValidation type="list" allowBlank="1" showInputMessage="1" showErrorMessage="1">
          <x14:formula1>
            <xm:f>'Данные для УРК'!$D:$D</xm:f>
          </x14:formula1>
          <xm:sqref>B65</xm:sqref>
        </x14:dataValidation>
        <x14:dataValidation type="list" allowBlank="1" showInputMessage="1" showErrorMessage="1">
          <x14:formula1>
            <xm:f>'Данные для УРК'!$D:$D</xm:f>
          </x14:formula1>
          <xm:sqref>B79</xm:sqref>
        </x14:dataValidation>
        <x14:dataValidation type="list" allowBlank="1" showInputMessage="1" showErrorMessage="1">
          <x14:formula1>
            <xm:f>'Данные для УРК'!$D:$D</xm:f>
          </x14:formula1>
          <xm:sqref>B77</xm:sqref>
        </x14:dataValidation>
        <x14:dataValidation type="list" allowBlank="1" showInputMessage="1" showErrorMessage="1">
          <x14:formula1>
            <xm:f>'Данные для УРК'!$D:$D</xm:f>
          </x14:formula1>
          <xm:sqref>B71</xm:sqref>
        </x14:dataValidation>
        <x14:dataValidation type="list" allowBlank="1" showInputMessage="1" showErrorMessage="1">
          <x14:formula1>
            <xm:f>'Данные для УРК'!$D:$D</xm:f>
          </x14:formula1>
          <xm:sqref>B75</xm:sqref>
        </x14:dataValidation>
        <x14:dataValidation type="list" allowBlank="1" showInputMessage="1" showErrorMessage="1">
          <x14:formula1>
            <xm:f>'Данные для УРК'!$D:$D</xm:f>
          </x14:formula1>
          <xm:sqref>B73</xm:sqref>
        </x14:dataValidation>
        <x14:dataValidation type="list" allowBlank="1" showInputMessage="1" showErrorMessage="1">
          <x14:formula1>
            <xm:f>'Данные для УРК'!$D:$D</xm:f>
          </x14:formula1>
          <xm:sqref>B81</xm:sqref>
        </x14:dataValidation>
        <x14:dataValidation type="list" allowBlank="1" showInputMessage="1" showErrorMessage="1">
          <x14:formula1>
            <xm:f>'Данные для УРК'!$D:$D</xm:f>
          </x14:formula1>
          <xm:sqref>B83</xm:sqref>
        </x14:dataValidation>
        <x14:dataValidation type="list" allowBlank="1" showInputMessage="1" showErrorMessage="1">
          <x14:formula1>
            <xm:f>'Данные для УРК'!$D:$D</xm:f>
          </x14:formula1>
          <xm:sqref>B93</xm:sqref>
        </x14:dataValidation>
        <x14:dataValidation type="list" allowBlank="1" showInputMessage="1" showErrorMessage="1">
          <x14:formula1>
            <xm:f>'Данные для УРК'!$D:$D</xm:f>
          </x14:formula1>
          <xm:sqref>B91</xm:sqref>
        </x14:dataValidation>
        <x14:dataValidation type="list" allowBlank="1" showInputMessage="1" showErrorMessage="1">
          <x14:formula1>
            <xm:f>'Данные для УРК'!$D:$D</xm:f>
          </x14:formula1>
          <xm:sqref>B85</xm:sqref>
        </x14:dataValidation>
        <x14:dataValidation type="list" allowBlank="1" showInputMessage="1" showErrorMessage="1">
          <x14:formula1>
            <xm:f>'Данные для УРК'!$D:$D</xm:f>
          </x14:formula1>
          <xm:sqref>B89</xm:sqref>
        </x14:dataValidation>
        <x14:dataValidation type="list" allowBlank="1" showInputMessage="1" showErrorMessage="1">
          <x14:formula1>
            <xm:f>'Данные для УРК'!$D:$D</xm:f>
          </x14:formula1>
          <xm:sqref>B87</xm:sqref>
        </x14:dataValidation>
        <x14:dataValidation type="list" allowBlank="1" showInputMessage="1" showErrorMessage="1">
          <x14:formula1>
            <xm:f>'Данные для УРК'!$D:$D</xm:f>
          </x14:formula1>
          <xm:sqref>B95</xm:sqref>
        </x14:dataValidation>
        <x14:dataValidation type="list" allowBlank="1" showInputMessage="1" showErrorMessage="1">
          <x14:formula1>
            <xm:f>'Данные для УРК'!$D:$D</xm:f>
          </x14:formula1>
          <xm:sqref>B97</xm:sqref>
        </x14:dataValidation>
        <x14:dataValidation type="list" allowBlank="1" showInputMessage="1" showErrorMessage="1">
          <x14:formula1>
            <xm:f>'Данные для УРК'!$D:$D</xm:f>
          </x14:formula1>
          <xm:sqref>B107</xm:sqref>
        </x14:dataValidation>
        <x14:dataValidation type="list" allowBlank="1" showInputMessage="1" showErrorMessage="1">
          <x14:formula1>
            <xm:f>'Данные для УРК'!$D:$D</xm:f>
          </x14:formula1>
          <xm:sqref>B105</xm:sqref>
        </x14:dataValidation>
        <x14:dataValidation type="list" allowBlank="1" showInputMessage="1" showErrorMessage="1">
          <x14:formula1>
            <xm:f>'Данные для УРК'!$D:$D</xm:f>
          </x14:formula1>
          <xm:sqref>B99</xm:sqref>
        </x14:dataValidation>
        <x14:dataValidation type="list" allowBlank="1" showInputMessage="1" showErrorMessage="1">
          <x14:formula1>
            <xm:f>'Данные для УРК'!$D:$D</xm:f>
          </x14:formula1>
          <xm:sqref>B103</xm:sqref>
        </x14:dataValidation>
        <x14:dataValidation type="list" allowBlank="1" showInputMessage="1" showErrorMessage="1">
          <x14:formula1>
            <xm:f>'Данные для УРК'!$D:$D</xm:f>
          </x14:formula1>
          <xm:sqref>B101</xm:sqref>
        </x14:dataValidation>
        <x14:dataValidation type="list" allowBlank="1" showInputMessage="1" showErrorMessage="1">
          <x14:formula1>
            <xm:f>'Данные для УРК'!$D:$D</xm:f>
          </x14:formula1>
          <xm:sqref>B109</xm:sqref>
        </x14:dataValidation>
        <x14:dataValidation type="list" allowBlank="1" showInputMessage="1" showErrorMessage="1">
          <x14:formula1>
            <xm:f>'Данные для УРК'!$D:$D</xm:f>
          </x14:formula1>
          <xm:sqref>B111</xm:sqref>
        </x14:dataValidation>
        <x14:dataValidation type="list" allowBlank="1" showInputMessage="1" showErrorMessage="1">
          <x14:formula1>
            <xm:f>'Данные для УРК'!$D:$D</xm:f>
          </x14:formula1>
          <xm:sqref>B121</xm:sqref>
        </x14:dataValidation>
        <x14:dataValidation type="list" allowBlank="1" showInputMessage="1" showErrorMessage="1">
          <x14:formula1>
            <xm:f>'Данные для УРК'!$D:$D</xm:f>
          </x14:formula1>
          <xm:sqref>B119</xm:sqref>
        </x14:dataValidation>
        <x14:dataValidation type="list" allowBlank="1" showInputMessage="1" showErrorMessage="1">
          <x14:formula1>
            <xm:f>'Данные для УРК'!$D:$D</xm:f>
          </x14:formula1>
          <xm:sqref>B113</xm:sqref>
        </x14:dataValidation>
        <x14:dataValidation type="list" allowBlank="1" showInputMessage="1" showErrorMessage="1">
          <x14:formula1>
            <xm:f>'Данные для УРК'!$D:$D</xm:f>
          </x14:formula1>
          <xm:sqref>B117</xm:sqref>
        </x14:dataValidation>
        <x14:dataValidation type="list" allowBlank="1" showInputMessage="1" showErrorMessage="1">
          <x14:formula1>
            <xm:f>'Данные для УРК'!$D:$D</xm:f>
          </x14:formula1>
          <xm:sqref>B115</xm:sqref>
        </x14:dataValidation>
        <x14:dataValidation type="list" allowBlank="1" showInputMessage="1" showErrorMessage="1">
          <x14:formula1>
            <xm:f>'Данные для УРК'!$D:$D</xm:f>
          </x14:formula1>
          <xm:sqref>B123</xm:sqref>
        </x14:dataValidation>
        <x14:dataValidation type="list" allowBlank="1" showInputMessage="1" showErrorMessage="1">
          <x14:formula1>
            <xm:f>'Данные для УРК'!$D:$D</xm:f>
          </x14:formula1>
          <xm:sqref>B125</xm:sqref>
        </x14:dataValidation>
        <x14:dataValidation type="list" allowBlank="1" showInputMessage="1" showErrorMessage="1">
          <x14:formula1>
            <xm:f>'Данные для УРК'!$D:$D</xm:f>
          </x14:formula1>
          <xm:sqref>B135</xm:sqref>
        </x14:dataValidation>
        <x14:dataValidation type="list" allowBlank="1" showInputMessage="1" showErrorMessage="1">
          <x14:formula1>
            <xm:f>'Данные для УРК'!$D:$D</xm:f>
          </x14:formula1>
          <xm:sqref>B133</xm:sqref>
        </x14:dataValidation>
        <x14:dataValidation type="list" allowBlank="1" showInputMessage="1" showErrorMessage="1">
          <x14:formula1>
            <xm:f>'Данные для УРК'!$D:$D</xm:f>
          </x14:formula1>
          <xm:sqref>B127</xm:sqref>
        </x14:dataValidation>
        <x14:dataValidation type="list" allowBlank="1" showInputMessage="1" showErrorMessage="1">
          <x14:formula1>
            <xm:f>'Данные для УРК'!$D:$D</xm:f>
          </x14:formula1>
          <xm:sqref>B131</xm:sqref>
        </x14:dataValidation>
        <x14:dataValidation type="list" allowBlank="1" showInputMessage="1" showErrorMessage="1">
          <x14:formula1>
            <xm:f>'Данные для УРК'!$D:$D</xm:f>
          </x14:formula1>
          <xm:sqref>B129</xm:sqref>
        </x14:dataValidation>
        <x14:dataValidation type="list" allowBlank="1" showInputMessage="1" showErrorMessage="1">
          <x14:formula1>
            <xm:f>'Данные для УРК'!$D:$D</xm:f>
          </x14:formula1>
          <xm:sqref>B137</xm:sqref>
        </x14:dataValidation>
        <x14:dataValidation type="list" allowBlank="1" showInputMessage="1" showErrorMessage="1">
          <x14:formula1>
            <xm:f>'Данные для УРК'!$D:$D</xm:f>
          </x14:formula1>
          <xm:sqref>B139</xm:sqref>
        </x14:dataValidation>
        <x14:dataValidation type="list" allowBlank="1" showInputMessage="1" showErrorMessage="1">
          <x14:formula1>
            <xm:f>'Данные для УРК'!$D:$D</xm:f>
          </x14:formula1>
          <xm:sqref>B153</xm:sqref>
        </x14:dataValidation>
        <x14:dataValidation type="list" allowBlank="1" showInputMessage="1" showErrorMessage="1">
          <x14:formula1>
            <xm:f>'Данные для УРК'!$D:$D</xm:f>
          </x14:formula1>
          <xm:sqref>B149</xm:sqref>
        </x14:dataValidation>
        <x14:dataValidation type="list" allowBlank="1" showInputMessage="1" showErrorMessage="1">
          <x14:formula1>
            <xm:f>'Данные для УРК'!$D:$D</xm:f>
          </x14:formula1>
          <xm:sqref>B147</xm:sqref>
        </x14:dataValidation>
        <x14:dataValidation type="list" allowBlank="1" showInputMessage="1" showErrorMessage="1">
          <x14:formula1>
            <xm:f>'Данные для УРК'!$D:$D</xm:f>
          </x14:formula1>
          <xm:sqref>B141</xm:sqref>
        </x14:dataValidation>
        <x14:dataValidation type="list" allowBlank="1" showInputMessage="1" showErrorMessage="1">
          <x14:formula1>
            <xm:f>'Данные для УРК'!$D:$D</xm:f>
          </x14:formula1>
          <xm:sqref>B145</xm:sqref>
        </x14:dataValidation>
        <x14:dataValidation type="list" allowBlank="1" showInputMessage="1" showErrorMessage="1">
          <x14:formula1>
            <xm:f>'Данные для УРК'!$D:$D</xm:f>
          </x14:formula1>
          <xm:sqref>B143</xm:sqref>
        </x14:dataValidation>
        <x14:dataValidation type="list" allowBlank="1" showInputMessage="1" showErrorMessage="1">
          <x14:formula1>
            <xm:f>'Данные для УРК'!$D:$D</xm:f>
          </x14:formula1>
          <xm:sqref>B151</xm:sqref>
        </x14:dataValidation>
        <x14:dataValidation type="list" allowBlank="1" showInputMessage="1" showErrorMessage="1">
          <x14:formula1>
            <xm:f>'Данные для УРК'!$D:$D</xm:f>
          </x14:formula1>
          <xm:sqref>B167</xm:sqref>
        </x14:dataValidation>
        <x14:dataValidation type="list" allowBlank="1" showInputMessage="1" showErrorMessage="1">
          <x14:formula1>
            <xm:f>'Данные для УРК'!$D:$D</xm:f>
          </x14:formula1>
          <xm:sqref>B163</xm:sqref>
        </x14:dataValidation>
        <x14:dataValidation type="list" allowBlank="1" showInputMessage="1" showErrorMessage="1">
          <x14:formula1>
            <xm:f>'Данные для УРК'!$D:$D</xm:f>
          </x14:formula1>
          <xm:sqref>B161</xm:sqref>
        </x14:dataValidation>
        <x14:dataValidation type="list" allowBlank="1" showInputMessage="1" showErrorMessage="1">
          <x14:formula1>
            <xm:f>'Данные для УРК'!$D:$D</xm:f>
          </x14:formula1>
          <xm:sqref>B155</xm:sqref>
        </x14:dataValidation>
        <x14:dataValidation type="list" allowBlank="1" showInputMessage="1" showErrorMessage="1">
          <x14:formula1>
            <xm:f>'Данные для УРК'!$D:$D</xm:f>
          </x14:formula1>
          <xm:sqref>B159</xm:sqref>
        </x14:dataValidation>
        <x14:dataValidation type="list" allowBlank="1" showInputMessage="1" showErrorMessage="1">
          <x14:formula1>
            <xm:f>'Данные для УРК'!$D:$D</xm:f>
          </x14:formula1>
          <xm:sqref>B157</xm:sqref>
        </x14:dataValidation>
        <x14:dataValidation type="list" allowBlank="1" showInputMessage="1" showErrorMessage="1">
          <x14:formula1>
            <xm:f>'Данные для УРК'!$D:$D</xm:f>
          </x14:formula1>
          <xm:sqref>B165</xm:sqref>
        </x14:dataValidation>
        <x14:dataValidation type="list" allowBlank="1" showInputMessage="1" showErrorMessage="1">
          <x14:formula1>
            <xm:f>'Данные для УРК'!$D:$D</xm:f>
          </x14:formula1>
          <xm:sqref>B181</xm:sqref>
        </x14:dataValidation>
        <x14:dataValidation type="list" allowBlank="1" showInputMessage="1" showErrorMessage="1">
          <x14:formula1>
            <xm:f>'Данные для УРК'!$D:$D</xm:f>
          </x14:formula1>
          <xm:sqref>B177</xm:sqref>
        </x14:dataValidation>
        <x14:dataValidation type="list" allowBlank="1" showInputMessage="1" showErrorMessage="1">
          <x14:formula1>
            <xm:f>'Данные для УРК'!$D:$D</xm:f>
          </x14:formula1>
          <xm:sqref>B175</xm:sqref>
        </x14:dataValidation>
        <x14:dataValidation type="list" allowBlank="1" showInputMessage="1" showErrorMessage="1">
          <x14:formula1>
            <xm:f>'Данные для УРК'!$D:$D</xm:f>
          </x14:formula1>
          <xm:sqref>B169</xm:sqref>
        </x14:dataValidation>
        <x14:dataValidation type="list" allowBlank="1" showInputMessage="1" showErrorMessage="1">
          <x14:formula1>
            <xm:f>'Данные для УРК'!$D:$D</xm:f>
          </x14:formula1>
          <xm:sqref>B173</xm:sqref>
        </x14:dataValidation>
        <x14:dataValidation type="list" allowBlank="1" showInputMessage="1" showErrorMessage="1">
          <x14:formula1>
            <xm:f>'Данные для УРК'!$D:$D</xm:f>
          </x14:formula1>
          <xm:sqref>B171</xm:sqref>
        </x14:dataValidation>
        <x14:dataValidation type="list" allowBlank="1" showInputMessage="1" showErrorMessage="1">
          <x14:formula1>
            <xm:f>'Данные для УРК'!$D:$D</xm:f>
          </x14:formula1>
          <xm:sqref>B179</xm:sqref>
        </x14:dataValidation>
        <x14:dataValidation type="list" allowBlank="1" showInputMessage="1" showErrorMessage="1">
          <x14:formula1>
            <xm:f>'Данные для УРК'!$D:$D</xm:f>
          </x14:formula1>
          <xm:sqref>B195</xm:sqref>
        </x14:dataValidation>
        <x14:dataValidation type="list" allowBlank="1" showInputMessage="1" showErrorMessage="1">
          <x14:formula1>
            <xm:f>'Данные для УРК'!$D:$D</xm:f>
          </x14:formula1>
          <xm:sqref>B191</xm:sqref>
        </x14:dataValidation>
        <x14:dataValidation type="list" allowBlank="1" showInputMessage="1" showErrorMessage="1">
          <x14:formula1>
            <xm:f>'Данные для УРК'!$D:$D</xm:f>
          </x14:formula1>
          <xm:sqref>B189</xm:sqref>
        </x14:dataValidation>
        <x14:dataValidation type="list" allowBlank="1" showInputMessage="1" showErrorMessage="1">
          <x14:formula1>
            <xm:f>'Данные для УРК'!$D:$D</xm:f>
          </x14:formula1>
          <xm:sqref>B183</xm:sqref>
        </x14:dataValidation>
        <x14:dataValidation type="list" allowBlank="1" showInputMessage="1" showErrorMessage="1">
          <x14:formula1>
            <xm:f>'Данные для УРК'!$D:$D</xm:f>
          </x14:formula1>
          <xm:sqref>B187</xm:sqref>
        </x14:dataValidation>
        <x14:dataValidation type="list" allowBlank="1" showInputMessage="1" showErrorMessage="1">
          <x14:formula1>
            <xm:f>'Данные для УРК'!$D:$D</xm:f>
          </x14:formula1>
          <xm:sqref>B185</xm:sqref>
        </x14:dataValidation>
        <x14:dataValidation type="list" allowBlank="1" showInputMessage="1" showErrorMessage="1">
          <x14:formula1>
            <xm:f>'Данные для УРК'!$D:$D</xm:f>
          </x14:formula1>
          <xm:sqref>B193</xm:sqref>
        </x14:dataValidation>
        <x14:dataValidation type="list" allowBlank="1" showInputMessage="1" showErrorMessage="1">
          <x14:formula1>
            <xm:f>'Данные для УРК'!$D:$D</xm:f>
          </x14:formula1>
          <xm:sqref>B209</xm:sqref>
        </x14:dataValidation>
        <x14:dataValidation type="list" allowBlank="1" showInputMessage="1" showErrorMessage="1">
          <x14:formula1>
            <xm:f>'Данные для УРК'!$D:$D</xm:f>
          </x14:formula1>
          <xm:sqref>B205</xm:sqref>
        </x14:dataValidation>
        <x14:dataValidation type="list" allowBlank="1" showInputMessage="1" showErrorMessage="1">
          <x14:formula1>
            <xm:f>'Данные для УРК'!$D:$D</xm:f>
          </x14:formula1>
          <xm:sqref>B203</xm:sqref>
        </x14:dataValidation>
        <x14:dataValidation type="list" allowBlank="1" showInputMessage="1" showErrorMessage="1">
          <x14:formula1>
            <xm:f>'Данные для УРК'!$D:$D</xm:f>
          </x14:formula1>
          <xm:sqref>B197</xm:sqref>
        </x14:dataValidation>
        <x14:dataValidation type="list" allowBlank="1" showInputMessage="1" showErrorMessage="1">
          <x14:formula1>
            <xm:f>'Данные для УРК'!$D:$D</xm:f>
          </x14:formula1>
          <xm:sqref>B201</xm:sqref>
        </x14:dataValidation>
        <x14:dataValidation type="list" allowBlank="1" showInputMessage="1" showErrorMessage="1">
          <x14:formula1>
            <xm:f>'Данные для УРК'!$D:$D</xm:f>
          </x14:formula1>
          <xm:sqref>B199</xm:sqref>
        </x14:dataValidation>
        <x14:dataValidation type="list" allowBlank="1" showInputMessage="1" showErrorMessage="1">
          <x14:formula1>
            <xm:f>'Данные для УРК'!$D:$D</xm:f>
          </x14:formula1>
          <xm:sqref>B207</xm:sqref>
        </x14:dataValidation>
        <x14:dataValidation type="list" allowBlank="1" showInputMessage="1" showErrorMessage="1">
          <x14:formula1>
            <xm:f>'Данные для УРК'!$D:$D</xm:f>
          </x14:formula1>
          <xm:sqref>B223</xm:sqref>
        </x14:dataValidation>
        <x14:dataValidation type="list" allowBlank="1" showInputMessage="1" showErrorMessage="1">
          <x14:formula1>
            <xm:f>'Данные для УРК'!$D:$D</xm:f>
          </x14:formula1>
          <xm:sqref>B219</xm:sqref>
        </x14:dataValidation>
        <x14:dataValidation type="list" allowBlank="1" showInputMessage="1" showErrorMessage="1">
          <x14:formula1>
            <xm:f>'Данные для УРК'!$D:$D</xm:f>
          </x14:formula1>
          <xm:sqref>B217</xm:sqref>
        </x14:dataValidation>
        <x14:dataValidation type="list" allowBlank="1" showInputMessage="1" showErrorMessage="1">
          <x14:formula1>
            <xm:f>'Данные для УРК'!$D:$D</xm:f>
          </x14:formula1>
          <xm:sqref>B211</xm:sqref>
        </x14:dataValidation>
        <x14:dataValidation type="list" allowBlank="1" showInputMessage="1" showErrorMessage="1">
          <x14:formula1>
            <xm:f>'Данные для УРК'!$D:$D</xm:f>
          </x14:formula1>
          <xm:sqref>B215</xm:sqref>
        </x14:dataValidation>
        <x14:dataValidation type="list" allowBlank="1" showInputMessage="1" showErrorMessage="1">
          <x14:formula1>
            <xm:f>'Данные для УРК'!$D:$D</xm:f>
          </x14:formula1>
          <xm:sqref>B213</xm:sqref>
        </x14:dataValidation>
        <x14:dataValidation type="list" allowBlank="1" showInputMessage="1" showErrorMessage="1">
          <x14:formula1>
            <xm:f>'Данные для УРК'!$D:$D</xm:f>
          </x14:formula1>
          <xm:sqref>B221</xm:sqref>
        </x14:dataValidation>
        <x14:dataValidation type="list" allowBlank="1" showInputMessage="1" showErrorMessage="1">
          <x14:formula1>
            <xm:f>'Данные для УРК'!$D:$D</xm:f>
          </x14:formula1>
          <xm:sqref>B237</xm:sqref>
        </x14:dataValidation>
        <x14:dataValidation type="list" allowBlank="1" showInputMessage="1" showErrorMessage="1">
          <x14:formula1>
            <xm:f>'Данные для УРК'!$D:$D</xm:f>
          </x14:formula1>
          <xm:sqref>B233</xm:sqref>
        </x14:dataValidation>
        <x14:dataValidation type="list" allowBlank="1" showInputMessage="1" showErrorMessage="1">
          <x14:formula1>
            <xm:f>'Данные для УРК'!$D:$D</xm:f>
          </x14:formula1>
          <xm:sqref>B231</xm:sqref>
        </x14:dataValidation>
        <x14:dataValidation type="list" allowBlank="1" showInputMessage="1" showErrorMessage="1">
          <x14:formula1>
            <xm:f>'Данные для УРК'!$D:$D</xm:f>
          </x14:formula1>
          <xm:sqref>B225</xm:sqref>
        </x14:dataValidation>
        <x14:dataValidation type="list" allowBlank="1" showInputMessage="1" showErrorMessage="1">
          <x14:formula1>
            <xm:f>'Данные для УРК'!$D:$D</xm:f>
          </x14:formula1>
          <xm:sqref>B229</xm:sqref>
        </x14:dataValidation>
        <x14:dataValidation type="list" allowBlank="1" showInputMessage="1" showErrorMessage="1">
          <x14:formula1>
            <xm:f>'Данные для УРК'!$D:$D</xm:f>
          </x14:formula1>
          <xm:sqref>B227</xm:sqref>
        </x14:dataValidation>
        <x14:dataValidation type="list" allowBlank="1" showInputMessage="1" showErrorMessage="1">
          <x14:formula1>
            <xm:f>'Данные для УРК'!$D:$D</xm:f>
          </x14:formula1>
          <xm:sqref>B235</xm:sqref>
        </x14:dataValidation>
        <x14:dataValidation type="list" allowBlank="1" showInputMessage="1" showErrorMessage="1">
          <x14:formula1>
            <xm:f>'Данные для УРК'!$D:$D</xm:f>
          </x14:formula1>
          <xm:sqref>B415:B1048576</xm:sqref>
        </x14:dataValidation>
        <x14:dataValidation type="list" allowBlank="1" showInputMessage="1" showErrorMessage="1">
          <x14:formula1>
            <xm:f>'Данные для УРК'!$D:$D</xm:f>
          </x14:formula1>
          <xm:sqref>B239</xm:sqref>
        </x14:dataValidation>
        <x14:dataValidation type="list" allowBlank="1" showInputMessage="1" showErrorMessage="1">
          <x14:formula1>
            <xm:f>'Данные для УРК'!$D:$D</xm:f>
          </x14:formula1>
          <xm:sqref>B243</xm:sqref>
        </x14:dataValidation>
        <x14:dataValidation type="list" allowBlank="1" showInputMessage="1" showErrorMessage="1">
          <x14:formula1>
            <xm:f>'Данные для УРК'!$D:$D</xm:f>
          </x14:formula1>
          <xm:sqref>B245</xm:sqref>
        </x14:dataValidation>
        <x14:dataValidation type="list" allowBlank="1" showInputMessage="1" showErrorMessage="1">
          <x14:formula1>
            <xm:f>'Данные для УРК'!$D:$D</xm:f>
          </x14:formula1>
          <xm:sqref>B241</xm:sqref>
        </x14:dataValidation>
        <x14:dataValidation type="list" allowBlank="1" showInputMessage="1" showErrorMessage="1">
          <x14:formula1>
            <xm:f>'Данные для УРК'!$D:$D</xm:f>
          </x14:formula1>
          <xm:sqref>B255</xm:sqref>
        </x14:dataValidation>
        <x14:dataValidation type="list" allowBlank="1" showInputMessage="1" showErrorMessage="1">
          <x14:formula1>
            <xm:f>'Данные для УРК'!$D:$D</xm:f>
          </x14:formula1>
          <xm:sqref>B253</xm:sqref>
        </x14:dataValidation>
        <x14:dataValidation type="list" allowBlank="1" showInputMessage="1" showErrorMessage="1">
          <x14:formula1>
            <xm:f>'Данные для УРК'!$D:$D</xm:f>
          </x14:formula1>
          <xm:sqref>B247</xm:sqref>
        </x14:dataValidation>
        <x14:dataValidation type="list" allowBlank="1" showInputMessage="1" showErrorMessage="1">
          <x14:formula1>
            <xm:f>'Данные для УРК'!$D:$D</xm:f>
          </x14:formula1>
          <xm:sqref>B251</xm:sqref>
        </x14:dataValidation>
        <x14:dataValidation type="list" allowBlank="1" showInputMessage="1" showErrorMessage="1">
          <x14:formula1>
            <xm:f>'Данные для УРК'!$D:$D</xm:f>
          </x14:formula1>
          <xm:sqref>B249</xm:sqref>
        </x14:dataValidation>
        <x14:dataValidation type="list" allowBlank="1" showInputMessage="1" showErrorMessage="1">
          <x14:formula1>
            <xm:f>'Данные для УРК'!$D:$D</xm:f>
          </x14:formula1>
          <xm:sqref>B257</xm:sqref>
        </x14:dataValidation>
        <x14:dataValidation type="list" allowBlank="1" showInputMessage="1" showErrorMessage="1">
          <x14:formula1>
            <xm:f>'Данные для УРК'!$D:$D</xm:f>
          </x14:formula1>
          <xm:sqref>B259</xm:sqref>
        </x14:dataValidation>
        <x14:dataValidation type="list" allowBlank="1" showInputMessage="1" showErrorMessage="1">
          <x14:formula1>
            <xm:f>'Данные для УРК'!$D:$D</xm:f>
          </x14:formula1>
          <xm:sqref>B269</xm:sqref>
        </x14:dataValidation>
        <x14:dataValidation type="list" allowBlank="1" showInputMessage="1" showErrorMessage="1">
          <x14:formula1>
            <xm:f>'Данные для УРК'!$D:$D</xm:f>
          </x14:formula1>
          <xm:sqref>B267</xm:sqref>
        </x14:dataValidation>
        <x14:dataValidation type="list" allowBlank="1" showInputMessage="1" showErrorMessage="1">
          <x14:formula1>
            <xm:f>'Данные для УРК'!$D:$D</xm:f>
          </x14:formula1>
          <xm:sqref>B261</xm:sqref>
        </x14:dataValidation>
        <x14:dataValidation type="list" allowBlank="1" showInputMessage="1" showErrorMessage="1">
          <x14:formula1>
            <xm:f>'Данные для УРК'!$D:$D</xm:f>
          </x14:formula1>
          <xm:sqref>B265</xm:sqref>
        </x14:dataValidation>
        <x14:dataValidation type="list" allowBlank="1" showInputMessage="1" showErrorMessage="1">
          <x14:formula1>
            <xm:f>'Данные для УРК'!$D:$D</xm:f>
          </x14:formula1>
          <xm:sqref>B263</xm:sqref>
        </x14:dataValidation>
        <x14:dataValidation type="list" allowBlank="1" showInputMessage="1" showErrorMessage="1">
          <x14:formula1>
            <xm:f>'Данные для УРК'!$D:$D</xm:f>
          </x14:formula1>
          <xm:sqref>B271</xm:sqref>
        </x14:dataValidation>
        <x14:dataValidation type="list" allowBlank="1" showInputMessage="1" showErrorMessage="1">
          <x14:formula1>
            <xm:f>'Данные для УРК'!$D:$D</xm:f>
          </x14:formula1>
          <xm:sqref>B273</xm:sqref>
        </x14:dataValidation>
        <x14:dataValidation type="list" allowBlank="1" showInputMessage="1" showErrorMessage="1">
          <x14:formula1>
            <xm:f>'Данные для УРК'!$D:$D</xm:f>
          </x14:formula1>
          <xm:sqref>B283</xm:sqref>
        </x14:dataValidation>
        <x14:dataValidation type="list" allowBlank="1" showInputMessage="1" showErrorMessage="1">
          <x14:formula1>
            <xm:f>'Данные для УРК'!$D:$D</xm:f>
          </x14:formula1>
          <xm:sqref>B281</xm:sqref>
        </x14:dataValidation>
        <x14:dataValidation type="list" allowBlank="1" showInputMessage="1" showErrorMessage="1">
          <x14:formula1>
            <xm:f>'Данные для УРК'!$D:$D</xm:f>
          </x14:formula1>
          <xm:sqref>B275</xm:sqref>
        </x14:dataValidation>
        <x14:dataValidation type="list" allowBlank="1" showInputMessage="1" showErrorMessage="1">
          <x14:formula1>
            <xm:f>'Данные для УРК'!$D:$D</xm:f>
          </x14:formula1>
          <xm:sqref>B279</xm:sqref>
        </x14:dataValidation>
        <x14:dataValidation type="list" allowBlank="1" showInputMessage="1" showErrorMessage="1">
          <x14:formula1>
            <xm:f>'Данные для УРК'!$D:$D</xm:f>
          </x14:formula1>
          <xm:sqref>B277</xm:sqref>
        </x14:dataValidation>
        <x14:dataValidation type="list" allowBlank="1" showInputMessage="1" showErrorMessage="1">
          <x14:formula1>
            <xm:f>'Данные для УРК'!$D:$D</xm:f>
          </x14:formula1>
          <xm:sqref>B285</xm:sqref>
        </x14:dataValidation>
        <x14:dataValidation type="list" allowBlank="1" showInputMessage="1" showErrorMessage="1">
          <x14:formula1>
            <xm:f>'Данные для УРК'!$D:$D</xm:f>
          </x14:formula1>
          <xm:sqref>B287</xm:sqref>
        </x14:dataValidation>
        <x14:dataValidation type="list" allowBlank="1" showInputMessage="1" showErrorMessage="1">
          <x14:formula1>
            <xm:f>'Данные для УРК'!$D:$D</xm:f>
          </x14:formula1>
          <xm:sqref>B297</xm:sqref>
        </x14:dataValidation>
        <x14:dataValidation type="list" allowBlank="1" showInputMessage="1" showErrorMessage="1">
          <x14:formula1>
            <xm:f>'Данные для УРК'!$D:$D</xm:f>
          </x14:formula1>
          <xm:sqref>B295</xm:sqref>
        </x14:dataValidation>
        <x14:dataValidation type="list" allowBlank="1" showInputMessage="1" showErrorMessage="1">
          <x14:formula1>
            <xm:f>'Данные для УРК'!$D:$D</xm:f>
          </x14:formula1>
          <xm:sqref>B289</xm:sqref>
        </x14:dataValidation>
        <x14:dataValidation type="list" allowBlank="1" showInputMessage="1" showErrorMessage="1">
          <x14:formula1>
            <xm:f>'Данные для УРК'!$D:$D</xm:f>
          </x14:formula1>
          <xm:sqref>B293</xm:sqref>
        </x14:dataValidation>
        <x14:dataValidation type="list" allowBlank="1" showInputMessage="1" showErrorMessage="1">
          <x14:formula1>
            <xm:f>'Данные для УРК'!$D:$D</xm:f>
          </x14:formula1>
          <xm:sqref>B291</xm:sqref>
        </x14:dataValidation>
        <x14:dataValidation type="list" allowBlank="1" showInputMessage="1" showErrorMessage="1">
          <x14:formula1>
            <xm:f>'Данные для УРК'!$D:$D</xm:f>
          </x14:formula1>
          <xm:sqref>B299</xm:sqref>
        </x14:dataValidation>
        <x14:dataValidation type="list" allowBlank="1" showInputMessage="1" showErrorMessage="1">
          <x14:formula1>
            <xm:f>'Данные для УРК'!$D:$D</xm:f>
          </x14:formula1>
          <xm:sqref>B301</xm:sqref>
        </x14:dataValidation>
        <x14:dataValidation type="list" allowBlank="1" showInputMessage="1" showErrorMessage="1">
          <x14:formula1>
            <xm:f>'Данные для УРК'!$D:$D</xm:f>
          </x14:formula1>
          <xm:sqref>B311</xm:sqref>
        </x14:dataValidation>
        <x14:dataValidation type="list" allowBlank="1" showInputMessage="1" showErrorMessage="1">
          <x14:formula1>
            <xm:f>'Данные для УРК'!$D:$D</xm:f>
          </x14:formula1>
          <xm:sqref>B309</xm:sqref>
        </x14:dataValidation>
        <x14:dataValidation type="list" allowBlank="1" showInputMessage="1" showErrorMessage="1">
          <x14:formula1>
            <xm:f>'Данные для УРК'!$D:$D</xm:f>
          </x14:formula1>
          <xm:sqref>B303</xm:sqref>
        </x14:dataValidation>
        <x14:dataValidation type="list" allowBlank="1" showInputMessage="1" showErrorMessage="1">
          <x14:formula1>
            <xm:f>'Данные для УРК'!$D:$D</xm:f>
          </x14:formula1>
          <xm:sqref>B307</xm:sqref>
        </x14:dataValidation>
        <x14:dataValidation type="list" allowBlank="1" showInputMessage="1" showErrorMessage="1">
          <x14:formula1>
            <xm:f>'Данные для УРК'!$D:$D</xm:f>
          </x14:formula1>
          <xm:sqref>B305</xm:sqref>
        </x14:dataValidation>
        <x14:dataValidation type="list" allowBlank="1" showInputMessage="1" showErrorMessage="1">
          <x14:formula1>
            <xm:f>'Данные для УРК'!$D:$D</xm:f>
          </x14:formula1>
          <xm:sqref>B313</xm:sqref>
        </x14:dataValidation>
        <x14:dataValidation type="list" allowBlank="1" showInputMessage="1" showErrorMessage="1">
          <x14:formula1>
            <xm:f>'Данные для УРК'!$D:$D</xm:f>
          </x14:formula1>
          <xm:sqref>B315</xm:sqref>
        </x14:dataValidation>
        <x14:dataValidation type="list" allowBlank="1" showInputMessage="1" showErrorMessage="1">
          <x14:formula1>
            <xm:f>'Данные для УРК'!$D:$D</xm:f>
          </x14:formula1>
          <xm:sqref>B329</xm:sqref>
        </x14:dataValidation>
        <x14:dataValidation type="list" allowBlank="1" showInputMessage="1" showErrorMessage="1">
          <x14:formula1>
            <xm:f>'Данные для УРК'!$D:$D</xm:f>
          </x14:formula1>
          <xm:sqref>B325</xm:sqref>
        </x14:dataValidation>
        <x14:dataValidation type="list" allowBlank="1" showInputMessage="1" showErrorMessage="1">
          <x14:formula1>
            <xm:f>'Данные для УРК'!$D:$D</xm:f>
          </x14:formula1>
          <xm:sqref>B323</xm:sqref>
        </x14:dataValidation>
        <x14:dataValidation type="list" allowBlank="1" showInputMessage="1" showErrorMessage="1">
          <x14:formula1>
            <xm:f>'Данные для УРК'!$D:$D</xm:f>
          </x14:formula1>
          <xm:sqref>B317</xm:sqref>
        </x14:dataValidation>
        <x14:dataValidation type="list" allowBlank="1" showInputMessage="1" showErrorMessage="1">
          <x14:formula1>
            <xm:f>'Данные для УРК'!$D:$D</xm:f>
          </x14:formula1>
          <xm:sqref>B321</xm:sqref>
        </x14:dataValidation>
        <x14:dataValidation type="list" allowBlank="1" showInputMessage="1" showErrorMessage="1">
          <x14:formula1>
            <xm:f>'Данные для УРК'!$D:$D</xm:f>
          </x14:formula1>
          <xm:sqref>B319</xm:sqref>
        </x14:dataValidation>
        <x14:dataValidation type="list" allowBlank="1" showInputMessage="1" showErrorMessage="1">
          <x14:formula1>
            <xm:f>'Данные для УРК'!$D:$D</xm:f>
          </x14:formula1>
          <xm:sqref>B327</xm:sqref>
        </x14:dataValidation>
        <x14:dataValidation type="list" allowBlank="1" showInputMessage="1" showErrorMessage="1">
          <x14:formula1>
            <xm:f>'Данные для УРК'!$D:$D</xm:f>
          </x14:formula1>
          <xm:sqref>B343</xm:sqref>
        </x14:dataValidation>
        <x14:dataValidation type="list" allowBlank="1" showInputMessage="1" showErrorMessage="1">
          <x14:formula1>
            <xm:f>'Данные для УРК'!$D:$D</xm:f>
          </x14:formula1>
          <xm:sqref>B339</xm:sqref>
        </x14:dataValidation>
        <x14:dataValidation type="list" allowBlank="1" showInputMessage="1" showErrorMessage="1">
          <x14:formula1>
            <xm:f>'Данные для УРК'!$D:$D</xm:f>
          </x14:formula1>
          <xm:sqref>B337</xm:sqref>
        </x14:dataValidation>
        <x14:dataValidation type="list" allowBlank="1" showInputMessage="1" showErrorMessage="1">
          <x14:formula1>
            <xm:f>'Данные для УРК'!$D:$D</xm:f>
          </x14:formula1>
          <xm:sqref>B331</xm:sqref>
        </x14:dataValidation>
        <x14:dataValidation type="list" allowBlank="1" showInputMessage="1" showErrorMessage="1">
          <x14:formula1>
            <xm:f>'Данные для УРК'!$D:$D</xm:f>
          </x14:formula1>
          <xm:sqref>B335</xm:sqref>
        </x14:dataValidation>
        <x14:dataValidation type="list" allowBlank="1" showInputMessage="1" showErrorMessage="1">
          <x14:formula1>
            <xm:f>'Данные для УРК'!$D:$D</xm:f>
          </x14:formula1>
          <xm:sqref>B333</xm:sqref>
        </x14:dataValidation>
        <x14:dataValidation type="list" allowBlank="1" showInputMessage="1" showErrorMessage="1">
          <x14:formula1>
            <xm:f>'Данные для УРК'!$D:$D</xm:f>
          </x14:formula1>
          <xm:sqref>B341</xm:sqref>
        </x14:dataValidation>
        <x14:dataValidation type="list" allowBlank="1" showInputMessage="1" showErrorMessage="1">
          <x14:formula1>
            <xm:f>'Данные для УРК'!$D:$D</xm:f>
          </x14:formula1>
          <xm:sqref>B357</xm:sqref>
        </x14:dataValidation>
        <x14:dataValidation type="list" allowBlank="1" showInputMessage="1" showErrorMessage="1">
          <x14:formula1>
            <xm:f>'Данные для УРК'!$D:$D</xm:f>
          </x14:formula1>
          <xm:sqref>B353</xm:sqref>
        </x14:dataValidation>
        <x14:dataValidation type="list" allowBlank="1" showInputMessage="1" showErrorMessage="1">
          <x14:formula1>
            <xm:f>'Данные для УРК'!$D:$D</xm:f>
          </x14:formula1>
          <xm:sqref>B351</xm:sqref>
        </x14:dataValidation>
        <x14:dataValidation type="list" allowBlank="1" showInputMessage="1" showErrorMessage="1">
          <x14:formula1>
            <xm:f>'Данные для УРК'!$D:$D</xm:f>
          </x14:formula1>
          <xm:sqref>B345</xm:sqref>
        </x14:dataValidation>
        <x14:dataValidation type="list" allowBlank="1" showInputMessage="1" showErrorMessage="1">
          <x14:formula1>
            <xm:f>'Данные для УРК'!$D:$D</xm:f>
          </x14:formula1>
          <xm:sqref>B349</xm:sqref>
        </x14:dataValidation>
        <x14:dataValidation type="list" allowBlank="1" showInputMessage="1" showErrorMessage="1">
          <x14:formula1>
            <xm:f>'Данные для УРК'!$D:$D</xm:f>
          </x14:formula1>
          <xm:sqref>B347</xm:sqref>
        </x14:dataValidation>
        <x14:dataValidation type="list" allowBlank="1" showInputMessage="1" showErrorMessage="1">
          <x14:formula1>
            <xm:f>'Данные для УРК'!$D:$D</xm:f>
          </x14:formula1>
          <xm:sqref>B355</xm:sqref>
        </x14:dataValidation>
        <x14:dataValidation type="list" allowBlank="1" showInputMessage="1" showErrorMessage="1">
          <x14:formula1>
            <xm:f>'Данные для УРК'!$D:$D</xm:f>
          </x14:formula1>
          <xm:sqref>B371</xm:sqref>
        </x14:dataValidation>
        <x14:dataValidation type="list" allowBlank="1" showInputMessage="1" showErrorMessage="1">
          <x14:formula1>
            <xm:f>'Данные для УРК'!$D:$D</xm:f>
          </x14:formula1>
          <xm:sqref>B367</xm:sqref>
        </x14:dataValidation>
        <x14:dataValidation type="list" allowBlank="1" showInputMessage="1" showErrorMessage="1">
          <x14:formula1>
            <xm:f>'Данные для УРК'!$D:$D</xm:f>
          </x14:formula1>
          <xm:sqref>B365</xm:sqref>
        </x14:dataValidation>
        <x14:dataValidation type="list" allowBlank="1" showInputMessage="1" showErrorMessage="1">
          <x14:formula1>
            <xm:f>'Данные для УРК'!$D:$D</xm:f>
          </x14:formula1>
          <xm:sqref>B359</xm:sqref>
        </x14:dataValidation>
        <x14:dataValidation type="list" allowBlank="1" showInputMessage="1" showErrorMessage="1">
          <x14:formula1>
            <xm:f>'Данные для УРК'!$D:$D</xm:f>
          </x14:formula1>
          <xm:sqref>B363</xm:sqref>
        </x14:dataValidation>
        <x14:dataValidation type="list" allowBlank="1" showInputMessage="1" showErrorMessage="1">
          <x14:formula1>
            <xm:f>'Данные для УРК'!$D:$D</xm:f>
          </x14:formula1>
          <xm:sqref>B361</xm:sqref>
        </x14:dataValidation>
        <x14:dataValidation type="list" allowBlank="1" showInputMessage="1" showErrorMessage="1">
          <x14:formula1>
            <xm:f>'Данные для УРК'!$D:$D</xm:f>
          </x14:formula1>
          <xm:sqref>B369</xm:sqref>
        </x14:dataValidation>
        <x14:dataValidation type="list" allowBlank="1" showInputMessage="1" showErrorMessage="1">
          <x14:formula1>
            <xm:f>'Данные для УРК'!$D:$D</xm:f>
          </x14:formula1>
          <xm:sqref>B385</xm:sqref>
        </x14:dataValidation>
        <x14:dataValidation type="list" allowBlank="1" showInputMessage="1" showErrorMessage="1">
          <x14:formula1>
            <xm:f>'Данные для УРК'!$D:$D</xm:f>
          </x14:formula1>
          <xm:sqref>B381</xm:sqref>
        </x14:dataValidation>
        <x14:dataValidation type="list" allowBlank="1" showInputMessage="1" showErrorMessage="1">
          <x14:formula1>
            <xm:f>'Данные для УРК'!$D:$D</xm:f>
          </x14:formula1>
          <xm:sqref>B379</xm:sqref>
        </x14:dataValidation>
        <x14:dataValidation type="list" allowBlank="1" showInputMessage="1" showErrorMessage="1">
          <x14:formula1>
            <xm:f>'Данные для УРК'!$D:$D</xm:f>
          </x14:formula1>
          <xm:sqref>B373</xm:sqref>
        </x14:dataValidation>
        <x14:dataValidation type="list" allowBlank="1" showInputMessage="1" showErrorMessage="1">
          <x14:formula1>
            <xm:f>'Данные для УРК'!$D:$D</xm:f>
          </x14:formula1>
          <xm:sqref>B377</xm:sqref>
        </x14:dataValidation>
        <x14:dataValidation type="list" allowBlank="1" showInputMessage="1" showErrorMessage="1">
          <x14:formula1>
            <xm:f>'Данные для УРК'!$D:$D</xm:f>
          </x14:formula1>
          <xm:sqref>B375</xm:sqref>
        </x14:dataValidation>
        <x14:dataValidation type="list" allowBlank="1" showInputMessage="1" showErrorMessage="1">
          <x14:formula1>
            <xm:f>'Данные для УРК'!$D:$D</xm:f>
          </x14:formula1>
          <xm:sqref>B383</xm:sqref>
        </x14:dataValidation>
        <x14:dataValidation type="list" allowBlank="1" showInputMessage="1" showErrorMessage="1">
          <x14:formula1>
            <xm:f>'Данные для УРК'!$D:$D</xm:f>
          </x14:formula1>
          <xm:sqref>B399</xm:sqref>
        </x14:dataValidation>
        <x14:dataValidation type="list" allowBlank="1" showInputMessage="1" showErrorMessage="1">
          <x14:formula1>
            <xm:f>'Данные для УРК'!$D:$D</xm:f>
          </x14:formula1>
          <xm:sqref>B395</xm:sqref>
        </x14:dataValidation>
        <x14:dataValidation type="list" allowBlank="1" showInputMessage="1" showErrorMessage="1">
          <x14:formula1>
            <xm:f>'Данные для УРК'!$D:$D</xm:f>
          </x14:formula1>
          <xm:sqref>B393</xm:sqref>
        </x14:dataValidation>
        <x14:dataValidation type="list" allowBlank="1" showInputMessage="1" showErrorMessage="1">
          <x14:formula1>
            <xm:f>'Данные для УРК'!$D:$D</xm:f>
          </x14:formula1>
          <xm:sqref>B387</xm:sqref>
        </x14:dataValidation>
        <x14:dataValidation type="list" allowBlank="1" showInputMessage="1" showErrorMessage="1">
          <x14:formula1>
            <xm:f>'Данные для УРК'!$D:$D</xm:f>
          </x14:formula1>
          <xm:sqref>B391</xm:sqref>
        </x14:dataValidation>
        <x14:dataValidation type="list" allowBlank="1" showInputMessage="1" showErrorMessage="1">
          <x14:formula1>
            <xm:f>'Данные для УРК'!$D:$D</xm:f>
          </x14:formula1>
          <xm:sqref>B389</xm:sqref>
        </x14:dataValidation>
        <x14:dataValidation type="list" allowBlank="1" showInputMessage="1" showErrorMessage="1">
          <x14:formula1>
            <xm:f>'Данные для УРК'!$D:$D</xm:f>
          </x14:formula1>
          <xm:sqref>B397</xm:sqref>
        </x14:dataValidation>
        <x14:dataValidation type="list" allowBlank="1" showInputMessage="1" showErrorMessage="1">
          <x14:formula1>
            <xm:f>'Данные для УРК'!$D:$D</xm:f>
          </x14:formula1>
          <xm:sqref>B413</xm:sqref>
        </x14:dataValidation>
        <x14:dataValidation type="list" allowBlank="1" showInputMessage="1" showErrorMessage="1">
          <x14:formula1>
            <xm:f>'Данные для УРК'!$D:$D</xm:f>
          </x14:formula1>
          <xm:sqref>B409</xm:sqref>
        </x14:dataValidation>
        <x14:dataValidation type="list" allowBlank="1" showInputMessage="1" showErrorMessage="1">
          <x14:formula1>
            <xm:f>'Данные для УРК'!$D:$D</xm:f>
          </x14:formula1>
          <xm:sqref>B407</xm:sqref>
        </x14:dataValidation>
        <x14:dataValidation type="list" allowBlank="1" showInputMessage="1" showErrorMessage="1">
          <x14:formula1>
            <xm:f>'Данные для УРК'!$D:$D</xm:f>
          </x14:formula1>
          <xm:sqref>B401</xm:sqref>
        </x14:dataValidation>
        <x14:dataValidation type="list" allowBlank="1" showInputMessage="1" showErrorMessage="1">
          <x14:formula1>
            <xm:f>'Данные для УРК'!$D:$D</xm:f>
          </x14:formula1>
          <xm:sqref>B405</xm:sqref>
        </x14:dataValidation>
        <x14:dataValidation type="list" allowBlank="1" showInputMessage="1" showErrorMessage="1">
          <x14:formula1>
            <xm:f>'Данные для УРК'!$D:$D</xm:f>
          </x14:formula1>
          <xm:sqref>B403</xm:sqref>
        </x14:dataValidation>
        <x14:dataValidation type="list" allowBlank="1" showInputMessage="1" showErrorMessage="1">
          <x14:formula1>
            <xm:f>'Данные для УРК'!$D:$D</xm:f>
          </x14:formula1>
          <xm:sqref>B411</xm:sqref>
        </x14:dataValidation>
        <x14:dataValidation type="list" allowBlank="1" showErrorMessage="1">
          <x14:formula1>
            <xm:f>'Данные для УРК'!$A:$A</xm:f>
          </x14:formula1>
          <xm:sqref>C3:C1048576</xm:sqref>
        </x14:dataValidation>
        <x14:dataValidation type="list" allowBlank="1" showInputMessage="1" showErrorMessage="1">
          <x14:formula1>
            <xm:f>'Данные для УРК'!$F:$F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9"/>
  <sheetViews>
    <sheetView workbookViewId="0">
      <selection activeCell="E10" sqref="E10"/>
    </sheetView>
  </sheetViews>
  <sheetFormatPr defaultRowHeight="12.75" x14ac:dyDescent="0.2"/>
  <cols>
    <col min="1" max="3" width="9.140625" style="66"/>
    <col min="4" max="4" width="36.85546875" style="66" customWidth="1"/>
    <col min="5" max="5" width="25" style="66" customWidth="1"/>
    <col min="6" max="6" width="9.140625" style="66"/>
    <col min="7" max="8" width="9.140625" style="45"/>
    <col min="9" max="9" width="45.5703125" style="90" customWidth="1"/>
    <col min="10" max="10" width="16.140625" style="90" customWidth="1"/>
    <col min="11" max="13" width="9.140625" style="90"/>
    <col min="14" max="14" width="9.140625" style="90" customWidth="1"/>
    <col min="15" max="15" width="22" style="90" customWidth="1"/>
  </cols>
  <sheetData>
    <row r="1" spans="1:15" x14ac:dyDescent="0.2">
      <c r="A1" s="46" t="s">
        <v>151</v>
      </c>
      <c r="B1" s="46" t="s">
        <v>171</v>
      </c>
      <c r="C1" s="45" t="s">
        <v>206</v>
      </c>
      <c r="D1" s="46" t="s">
        <v>150</v>
      </c>
      <c r="E1" s="46" t="s">
        <v>474</v>
      </c>
      <c r="F1" s="46" t="s">
        <v>239</v>
      </c>
      <c r="G1" s="45" t="s">
        <v>206</v>
      </c>
      <c r="H1" s="45" t="s">
        <v>239</v>
      </c>
      <c r="I1" s="90" t="s">
        <v>208</v>
      </c>
      <c r="J1" s="90" t="s">
        <v>209</v>
      </c>
      <c r="K1" s="90" t="s">
        <v>239</v>
      </c>
      <c r="L1" s="90" t="s">
        <v>68</v>
      </c>
      <c r="M1" s="90" t="s">
        <v>69</v>
      </c>
      <c r="N1" s="90" t="s">
        <v>240</v>
      </c>
      <c r="O1" s="90" t="s">
        <v>328</v>
      </c>
    </row>
    <row r="2" spans="1:15" x14ac:dyDescent="0.2">
      <c r="A2" s="46" t="s">
        <v>153</v>
      </c>
      <c r="B2" s="46" t="s">
        <v>174</v>
      </c>
      <c r="C2" s="45">
        <v>0</v>
      </c>
      <c r="D2" s="46" t="s">
        <v>154</v>
      </c>
      <c r="E2" s="46" t="s">
        <v>475</v>
      </c>
      <c r="F2" s="46" t="s">
        <v>68</v>
      </c>
      <c r="G2" s="45" t="s">
        <v>204</v>
      </c>
      <c r="H2" s="64">
        <v>7595</v>
      </c>
      <c r="I2" s="91" t="s">
        <v>349</v>
      </c>
    </row>
    <row r="3" spans="1:15" x14ac:dyDescent="0.2">
      <c r="A3" s="46" t="s">
        <v>156</v>
      </c>
      <c r="B3" s="46" t="s">
        <v>244</v>
      </c>
      <c r="C3" s="65">
        <v>0.1</v>
      </c>
      <c r="D3" s="46" t="s">
        <v>155</v>
      </c>
      <c r="E3" s="46" t="s">
        <v>476</v>
      </c>
      <c r="F3" s="46" t="s">
        <v>240</v>
      </c>
      <c r="G3" s="45" t="s">
        <v>261</v>
      </c>
      <c r="H3" s="45">
        <v>7683</v>
      </c>
      <c r="I3" s="90" t="s">
        <v>332</v>
      </c>
      <c r="J3" s="91" t="s">
        <v>358</v>
      </c>
      <c r="K3" s="92">
        <v>0.01</v>
      </c>
      <c r="L3" s="92">
        <v>0.8</v>
      </c>
      <c r="M3" s="92" t="s">
        <v>206</v>
      </c>
      <c r="N3" s="92">
        <v>0.5</v>
      </c>
      <c r="O3" s="90" t="s">
        <v>333</v>
      </c>
    </row>
    <row r="4" spans="1:15" x14ac:dyDescent="0.2">
      <c r="A4" s="46" t="s">
        <v>172</v>
      </c>
      <c r="B4" s="46" t="s">
        <v>245</v>
      </c>
      <c r="C4" s="65">
        <v>0.2</v>
      </c>
      <c r="D4" s="46" t="s">
        <v>157</v>
      </c>
      <c r="E4" s="46" t="s">
        <v>477</v>
      </c>
      <c r="F4" s="46" t="s">
        <v>69</v>
      </c>
      <c r="G4" s="45" t="s">
        <v>212</v>
      </c>
      <c r="H4" s="64">
        <v>7771</v>
      </c>
      <c r="I4" s="90" t="s">
        <v>334</v>
      </c>
      <c r="J4" s="91" t="s">
        <v>358</v>
      </c>
      <c r="K4" s="92">
        <v>1</v>
      </c>
      <c r="L4" s="92">
        <v>1.5</v>
      </c>
      <c r="M4" s="92" t="s">
        <v>206</v>
      </c>
      <c r="N4" s="92">
        <v>1.2</v>
      </c>
      <c r="O4" s="90" t="s">
        <v>333</v>
      </c>
    </row>
    <row r="5" spans="1:15" x14ac:dyDescent="0.2">
      <c r="A5" s="46" t="s">
        <v>173</v>
      </c>
      <c r="B5" s="46" t="s">
        <v>246</v>
      </c>
      <c r="C5" s="65">
        <v>0.3</v>
      </c>
      <c r="D5" s="46" t="s">
        <v>159</v>
      </c>
      <c r="E5" s="46" t="s">
        <v>472</v>
      </c>
      <c r="F5" s="46"/>
      <c r="G5" s="45" t="s">
        <v>281</v>
      </c>
      <c r="H5" s="45">
        <v>7859</v>
      </c>
      <c r="I5" s="91" t="s">
        <v>350</v>
      </c>
      <c r="K5" s="92"/>
      <c r="L5" s="92"/>
      <c r="M5" s="92"/>
      <c r="N5" s="92"/>
    </row>
    <row r="6" spans="1:15" x14ac:dyDescent="0.2">
      <c r="A6" s="46" t="s">
        <v>255</v>
      </c>
      <c r="B6" s="46"/>
      <c r="C6" s="65">
        <v>0.4</v>
      </c>
      <c r="D6" s="46" t="s">
        <v>160</v>
      </c>
      <c r="E6" s="46" t="s">
        <v>478</v>
      </c>
      <c r="F6" s="46"/>
      <c r="G6" s="45" t="s">
        <v>358</v>
      </c>
      <c r="H6" s="64">
        <v>7983</v>
      </c>
      <c r="I6" s="90" t="s">
        <v>335</v>
      </c>
      <c r="J6" s="91" t="s">
        <v>358</v>
      </c>
      <c r="K6" s="95">
        <v>3.0000000000000001E-3</v>
      </c>
      <c r="L6" s="96">
        <v>3.0000000000000001E-3</v>
      </c>
      <c r="M6" s="92" t="s">
        <v>206</v>
      </c>
      <c r="N6" s="96">
        <v>2E-3</v>
      </c>
      <c r="O6" s="90" t="s">
        <v>333</v>
      </c>
    </row>
    <row r="7" spans="1:15" x14ac:dyDescent="0.2">
      <c r="A7" s="46" t="s">
        <v>256</v>
      </c>
      <c r="B7" s="46"/>
      <c r="C7" s="65">
        <v>0.5</v>
      </c>
      <c r="D7" s="46" t="s">
        <v>162</v>
      </c>
      <c r="E7" s="46" t="s">
        <v>479</v>
      </c>
      <c r="F7" s="46"/>
      <c r="H7" s="45">
        <v>8107</v>
      </c>
      <c r="I7" s="90" t="s">
        <v>470</v>
      </c>
      <c r="J7" s="91" t="s">
        <v>205</v>
      </c>
      <c r="K7" s="92">
        <v>500</v>
      </c>
      <c r="L7" s="92">
        <v>500</v>
      </c>
      <c r="M7" s="92">
        <v>500</v>
      </c>
      <c r="N7" s="92">
        <v>500</v>
      </c>
      <c r="O7" s="91" t="s">
        <v>357</v>
      </c>
    </row>
    <row r="8" spans="1:15" x14ac:dyDescent="0.2">
      <c r="A8" s="46"/>
      <c r="B8" s="46"/>
      <c r="C8" s="65">
        <v>0.6</v>
      </c>
      <c r="D8" s="46" t="s">
        <v>164</v>
      </c>
      <c r="E8" s="46" t="s">
        <v>483</v>
      </c>
      <c r="F8" s="46"/>
      <c r="H8" s="64">
        <v>8231</v>
      </c>
      <c r="I8" s="91" t="s">
        <v>351</v>
      </c>
      <c r="K8" s="92"/>
      <c r="L8" s="92"/>
      <c r="M8" s="92"/>
      <c r="N8" s="92"/>
    </row>
    <row r="9" spans="1:15" x14ac:dyDescent="0.2">
      <c r="A9" s="46"/>
      <c r="B9" s="46"/>
      <c r="C9" s="65">
        <v>0.7</v>
      </c>
      <c r="D9" s="46" t="s">
        <v>166</v>
      </c>
      <c r="E9" s="46" t="s">
        <v>480</v>
      </c>
      <c r="F9" s="46"/>
      <c r="H9" s="45" t="s">
        <v>68</v>
      </c>
      <c r="I9" s="90" t="s">
        <v>338</v>
      </c>
      <c r="J9" s="91" t="s">
        <v>358</v>
      </c>
      <c r="K9" s="92">
        <v>2</v>
      </c>
      <c r="L9" s="92">
        <v>2</v>
      </c>
      <c r="M9" s="92">
        <v>2</v>
      </c>
      <c r="N9" s="92">
        <v>2</v>
      </c>
      <c r="O9" s="90" t="s">
        <v>333</v>
      </c>
    </row>
    <row r="10" spans="1:15" x14ac:dyDescent="0.2">
      <c r="A10" s="46"/>
      <c r="B10" s="46"/>
      <c r="C10" s="65">
        <v>0.8</v>
      </c>
      <c r="D10" s="46" t="s">
        <v>168</v>
      </c>
      <c r="E10" s="46" t="s">
        <v>484</v>
      </c>
      <c r="F10" s="46"/>
      <c r="H10" s="45">
        <v>9568</v>
      </c>
      <c r="I10" s="90" t="s">
        <v>339</v>
      </c>
      <c r="J10" s="91" t="s">
        <v>358</v>
      </c>
      <c r="K10" s="92">
        <v>7</v>
      </c>
      <c r="L10" s="92">
        <v>7</v>
      </c>
      <c r="M10" s="92">
        <v>7.5</v>
      </c>
      <c r="N10" s="92">
        <v>7</v>
      </c>
      <c r="O10" s="90" t="s">
        <v>333</v>
      </c>
    </row>
    <row r="11" spans="1:15" x14ac:dyDescent="0.2">
      <c r="A11" s="46"/>
      <c r="B11" s="46"/>
      <c r="C11" s="65">
        <v>0.9</v>
      </c>
      <c r="D11" s="46" t="s">
        <v>170</v>
      </c>
      <c r="E11" s="46" t="s">
        <v>462</v>
      </c>
      <c r="F11" s="46"/>
      <c r="H11" s="45">
        <v>9623</v>
      </c>
      <c r="I11" s="90" t="s">
        <v>340</v>
      </c>
      <c r="J11" s="90" t="s">
        <v>28</v>
      </c>
      <c r="K11" s="92">
        <v>95</v>
      </c>
      <c r="L11" s="92">
        <v>105</v>
      </c>
      <c r="M11" s="92">
        <v>115</v>
      </c>
      <c r="N11" s="92">
        <v>100</v>
      </c>
      <c r="O11" s="90" t="s">
        <v>333</v>
      </c>
    </row>
    <row r="12" spans="1:15" x14ac:dyDescent="0.2">
      <c r="A12" s="46"/>
      <c r="B12" s="46"/>
      <c r="C12" s="65">
        <v>1</v>
      </c>
      <c r="D12" s="46" t="s">
        <v>176</v>
      </c>
      <c r="E12" s="46" t="s">
        <v>473</v>
      </c>
      <c r="F12" s="46"/>
      <c r="H12" s="45">
        <v>9678</v>
      </c>
      <c r="K12" s="92"/>
      <c r="L12" s="92"/>
      <c r="M12" s="92"/>
      <c r="N12" s="92"/>
    </row>
    <row r="13" spans="1:15" x14ac:dyDescent="0.2">
      <c r="A13" s="46"/>
      <c r="B13" s="46"/>
      <c r="C13" s="65">
        <v>1.1000000000000001</v>
      </c>
      <c r="D13" s="46" t="s">
        <v>170</v>
      </c>
      <c r="E13" s="46" t="s">
        <v>481</v>
      </c>
      <c r="F13" s="46"/>
      <c r="H13" s="45">
        <v>9733</v>
      </c>
      <c r="I13" s="91" t="s">
        <v>352</v>
      </c>
    </row>
    <row r="14" spans="1:15" x14ac:dyDescent="0.2">
      <c r="A14" s="46"/>
      <c r="B14" s="46"/>
      <c r="C14" s="65">
        <v>1.2</v>
      </c>
      <c r="D14" s="46" t="s">
        <v>177</v>
      </c>
      <c r="E14" s="46" t="s">
        <v>482</v>
      </c>
      <c r="F14" s="46"/>
      <c r="H14" s="45">
        <v>9788</v>
      </c>
      <c r="I14" s="90" t="s">
        <v>342</v>
      </c>
      <c r="J14" s="90" t="s">
        <v>206</v>
      </c>
      <c r="K14" s="90" t="s">
        <v>343</v>
      </c>
      <c r="L14" s="90" t="s">
        <v>343</v>
      </c>
      <c r="M14" s="90" t="s">
        <v>343</v>
      </c>
      <c r="N14" s="90" t="s">
        <v>343</v>
      </c>
      <c r="O14" s="90" t="s">
        <v>333</v>
      </c>
    </row>
    <row r="15" spans="1:15" x14ac:dyDescent="0.2">
      <c r="A15" s="46"/>
      <c r="B15" s="46"/>
      <c r="C15" s="65">
        <v>1.3</v>
      </c>
      <c r="D15" s="46" t="s">
        <v>179</v>
      </c>
      <c r="E15" s="46"/>
      <c r="F15" s="46"/>
      <c r="H15" s="45">
        <v>9843</v>
      </c>
      <c r="I15" s="90" t="s">
        <v>344</v>
      </c>
      <c r="J15" s="90" t="s">
        <v>28</v>
      </c>
      <c r="K15" s="90" t="s">
        <v>206</v>
      </c>
      <c r="L15" s="90">
        <v>80</v>
      </c>
      <c r="M15" s="90" t="s">
        <v>206</v>
      </c>
      <c r="N15" s="90" t="s">
        <v>206</v>
      </c>
      <c r="O15" s="91" t="s">
        <v>337</v>
      </c>
    </row>
    <row r="16" spans="1:15" x14ac:dyDescent="0.2">
      <c r="A16" s="46"/>
      <c r="B16" s="46"/>
      <c r="C16" s="65">
        <v>1.4</v>
      </c>
      <c r="D16" s="46" t="s">
        <v>181</v>
      </c>
      <c r="E16" s="46"/>
      <c r="F16" s="46"/>
      <c r="H16" s="45">
        <v>9898</v>
      </c>
      <c r="I16" s="90" t="s">
        <v>346</v>
      </c>
      <c r="J16" s="90" t="s">
        <v>29</v>
      </c>
      <c r="K16" s="90" t="s">
        <v>206</v>
      </c>
      <c r="L16" s="90" t="s">
        <v>206</v>
      </c>
      <c r="M16" s="90">
        <v>20</v>
      </c>
      <c r="N16" s="90" t="s">
        <v>206</v>
      </c>
      <c r="O16" s="91" t="s">
        <v>345</v>
      </c>
    </row>
    <row r="17" spans="1:15" x14ac:dyDescent="0.2">
      <c r="A17" s="46"/>
      <c r="B17" s="46"/>
      <c r="C17" s="65">
        <v>1.5</v>
      </c>
      <c r="D17" s="46" t="s">
        <v>183</v>
      </c>
      <c r="E17" s="46"/>
      <c r="F17" s="46"/>
      <c r="H17" s="45" t="s">
        <v>240</v>
      </c>
      <c r="I17" s="91" t="s">
        <v>353</v>
      </c>
    </row>
    <row r="18" spans="1:15" x14ac:dyDescent="0.2">
      <c r="A18" s="46"/>
      <c r="B18" s="46"/>
      <c r="C18" s="65">
        <v>1.6</v>
      </c>
      <c r="D18" s="46" t="s">
        <v>184</v>
      </c>
      <c r="E18" s="46"/>
      <c r="F18" s="46"/>
      <c r="H18" s="45">
        <v>10040</v>
      </c>
      <c r="I18" s="90" t="s">
        <v>210</v>
      </c>
      <c r="J18" s="90" t="s">
        <v>206</v>
      </c>
      <c r="K18" s="90" t="s">
        <v>343</v>
      </c>
      <c r="L18" s="90" t="s">
        <v>343</v>
      </c>
      <c r="M18" s="90" t="s">
        <v>343</v>
      </c>
      <c r="N18" s="90" t="s">
        <v>343</v>
      </c>
      <c r="O18" s="90" t="s">
        <v>333</v>
      </c>
    </row>
    <row r="19" spans="1:15" x14ac:dyDescent="0.2">
      <c r="A19" s="46"/>
      <c r="B19" s="46"/>
      <c r="C19" s="65">
        <v>1.7</v>
      </c>
      <c r="D19" s="46" t="s">
        <v>186</v>
      </c>
      <c r="E19" s="46"/>
      <c r="F19" s="46"/>
      <c r="H19" s="45">
        <v>10098</v>
      </c>
      <c r="I19" s="90" t="s">
        <v>348</v>
      </c>
      <c r="J19" s="90" t="s">
        <v>206</v>
      </c>
      <c r="K19" s="90" t="s">
        <v>206</v>
      </c>
      <c r="L19" s="90" t="s">
        <v>206</v>
      </c>
      <c r="M19" s="90" t="s">
        <v>343</v>
      </c>
      <c r="N19" s="90" t="s">
        <v>206</v>
      </c>
      <c r="O19" s="90" t="s">
        <v>333</v>
      </c>
    </row>
    <row r="20" spans="1:15" x14ac:dyDescent="0.2">
      <c r="A20" s="46"/>
      <c r="B20" s="46"/>
      <c r="C20" s="65">
        <v>1.8</v>
      </c>
      <c r="D20" s="46" t="s">
        <v>187</v>
      </c>
      <c r="E20" s="46"/>
      <c r="F20" s="46"/>
      <c r="H20" s="45">
        <v>10156</v>
      </c>
    </row>
    <row r="21" spans="1:15" x14ac:dyDescent="0.2">
      <c r="A21" s="46"/>
      <c r="B21" s="46"/>
      <c r="C21" s="65">
        <v>1.9</v>
      </c>
      <c r="D21" s="46" t="s">
        <v>189</v>
      </c>
      <c r="E21" s="46"/>
      <c r="F21" s="46"/>
      <c r="H21" s="45">
        <v>10214</v>
      </c>
    </row>
    <row r="22" spans="1:15" x14ac:dyDescent="0.2">
      <c r="A22" s="46"/>
      <c r="B22" s="46"/>
      <c r="C22" s="65">
        <v>2</v>
      </c>
      <c r="D22" s="46" t="s">
        <v>191</v>
      </c>
      <c r="E22" s="46"/>
      <c r="F22" s="46"/>
      <c r="H22" s="45">
        <v>10272</v>
      </c>
    </row>
    <row r="23" spans="1:15" x14ac:dyDescent="0.2">
      <c r="A23" s="46"/>
      <c r="B23" s="46"/>
      <c r="C23" s="65">
        <v>2.1</v>
      </c>
      <c r="D23" s="46" t="s">
        <v>192</v>
      </c>
      <c r="E23" s="46"/>
      <c r="F23" s="46"/>
      <c r="H23" s="45">
        <v>10330</v>
      </c>
    </row>
    <row r="24" spans="1:15" x14ac:dyDescent="0.2">
      <c r="A24" s="46"/>
      <c r="B24" s="46"/>
      <c r="C24" s="65">
        <v>2.2000000000000002</v>
      </c>
      <c r="D24" s="46" t="s">
        <v>194</v>
      </c>
      <c r="E24" s="46"/>
      <c r="F24" s="46"/>
      <c r="H24" s="45">
        <v>10388</v>
      </c>
    </row>
    <row r="25" spans="1:15" x14ac:dyDescent="0.2">
      <c r="A25" s="46"/>
      <c r="B25" s="46"/>
      <c r="C25" s="65">
        <v>2.2999999999999998</v>
      </c>
      <c r="D25" s="46" t="s">
        <v>196</v>
      </c>
      <c r="E25" s="46"/>
      <c r="F25" s="46"/>
      <c r="H25" s="45" t="s">
        <v>69</v>
      </c>
    </row>
    <row r="26" spans="1:15" x14ac:dyDescent="0.2">
      <c r="A26" s="46"/>
      <c r="B26" s="46"/>
      <c r="C26" s="65">
        <v>2.4</v>
      </c>
      <c r="D26" s="46"/>
      <c r="E26" s="46"/>
      <c r="F26" s="46"/>
      <c r="H26" s="45">
        <v>5789</v>
      </c>
    </row>
    <row r="27" spans="1:15" x14ac:dyDescent="0.2">
      <c r="A27" s="46"/>
      <c r="B27" s="46"/>
      <c r="C27" s="65">
        <v>2.5</v>
      </c>
      <c r="D27" s="46"/>
      <c r="E27" s="46"/>
      <c r="F27" s="46"/>
      <c r="H27" s="45">
        <v>5991</v>
      </c>
    </row>
    <row r="28" spans="1:15" x14ac:dyDescent="0.2">
      <c r="A28" s="46"/>
      <c r="B28" s="46"/>
      <c r="C28" s="65">
        <v>2.6</v>
      </c>
      <c r="D28" s="46"/>
      <c r="E28" s="46"/>
      <c r="F28" s="46"/>
      <c r="H28" s="45">
        <v>6193</v>
      </c>
    </row>
    <row r="29" spans="1:15" x14ac:dyDescent="0.2">
      <c r="A29" s="46"/>
      <c r="B29" s="46"/>
      <c r="C29" s="65">
        <v>2.7</v>
      </c>
      <c r="D29" s="46"/>
      <c r="E29" s="46"/>
      <c r="F29" s="46"/>
      <c r="H29" s="45">
        <v>6395</v>
      </c>
    </row>
    <row r="30" spans="1:15" x14ac:dyDescent="0.2">
      <c r="A30" s="46"/>
      <c r="B30" s="46"/>
      <c r="C30" s="65">
        <v>2.8</v>
      </c>
      <c r="D30" s="46"/>
      <c r="E30" s="46"/>
      <c r="F30" s="46"/>
      <c r="H30" s="45">
        <v>6597</v>
      </c>
    </row>
    <row r="31" spans="1:15" x14ac:dyDescent="0.2">
      <c r="A31" s="46"/>
      <c r="B31" s="46"/>
      <c r="C31" s="65">
        <v>2.9</v>
      </c>
      <c r="D31" s="46"/>
      <c r="E31" s="46"/>
      <c r="F31" s="46"/>
      <c r="H31" s="45">
        <v>6799</v>
      </c>
    </row>
    <row r="32" spans="1:15" x14ac:dyDescent="0.2">
      <c r="A32" s="46"/>
      <c r="B32" s="46"/>
      <c r="C32" s="65">
        <v>3</v>
      </c>
      <c r="D32" s="46"/>
      <c r="E32" s="46"/>
      <c r="F32" s="46"/>
      <c r="H32" s="45">
        <v>7001</v>
      </c>
    </row>
    <row r="33" spans="1:6" x14ac:dyDescent="0.2">
      <c r="A33" s="46"/>
      <c r="B33" s="46"/>
      <c r="C33" s="65">
        <v>3.1</v>
      </c>
      <c r="D33" s="46"/>
      <c r="E33" s="46"/>
      <c r="F33" s="46"/>
    </row>
    <row r="34" spans="1:6" x14ac:dyDescent="0.2">
      <c r="A34" s="46"/>
      <c r="B34" s="46"/>
      <c r="C34" s="65">
        <v>3.2</v>
      </c>
      <c r="D34" s="46"/>
      <c r="E34" s="46"/>
      <c r="F34" s="46"/>
    </row>
    <row r="35" spans="1:6" x14ac:dyDescent="0.2">
      <c r="A35" s="46"/>
      <c r="B35" s="46"/>
      <c r="C35" s="65">
        <v>3.3</v>
      </c>
      <c r="D35" s="46"/>
      <c r="E35" s="46"/>
      <c r="F35" s="46"/>
    </row>
    <row r="36" spans="1:6" x14ac:dyDescent="0.2">
      <c r="A36" s="46"/>
      <c r="B36" s="46"/>
      <c r="C36" s="65">
        <v>3.4</v>
      </c>
      <c r="D36" s="46"/>
      <c r="E36" s="46"/>
      <c r="F36" s="46"/>
    </row>
    <row r="37" spans="1:6" x14ac:dyDescent="0.2">
      <c r="A37" s="46"/>
      <c r="B37" s="46"/>
      <c r="C37" s="65">
        <v>3.5</v>
      </c>
      <c r="D37" s="46"/>
      <c r="E37" s="46"/>
      <c r="F37" s="46"/>
    </row>
    <row r="38" spans="1:6" x14ac:dyDescent="0.2">
      <c r="A38" s="46"/>
      <c r="B38" s="46"/>
      <c r="C38" s="65">
        <v>3.6</v>
      </c>
      <c r="D38" s="46"/>
      <c r="E38" s="46"/>
      <c r="F38" s="46"/>
    </row>
    <row r="39" spans="1:6" x14ac:dyDescent="0.2">
      <c r="A39" s="46"/>
      <c r="B39" s="46"/>
      <c r="C39" s="65">
        <v>3.7</v>
      </c>
      <c r="D39" s="46"/>
      <c r="E39" s="46"/>
      <c r="F39" s="46"/>
    </row>
    <row r="40" spans="1:6" x14ac:dyDescent="0.2">
      <c r="A40" s="46"/>
      <c r="B40" s="46"/>
      <c r="C40" s="65">
        <v>3.8</v>
      </c>
      <c r="D40" s="46"/>
      <c r="E40" s="46"/>
      <c r="F40" s="46"/>
    </row>
    <row r="41" spans="1:6" x14ac:dyDescent="0.2">
      <c r="A41" s="46"/>
      <c r="B41" s="46"/>
      <c r="C41" s="65">
        <v>3.9</v>
      </c>
      <c r="D41" s="46"/>
      <c r="E41" s="46"/>
      <c r="F41" s="46"/>
    </row>
    <row r="42" spans="1:6" x14ac:dyDescent="0.2">
      <c r="A42" s="46"/>
      <c r="B42" s="46"/>
      <c r="C42" s="65">
        <v>4</v>
      </c>
      <c r="D42" s="46"/>
      <c r="E42" s="46"/>
      <c r="F42" s="46"/>
    </row>
    <row r="43" spans="1:6" x14ac:dyDescent="0.2">
      <c r="A43" s="46"/>
      <c r="B43" s="46"/>
      <c r="C43" s="65">
        <v>4.0999999999999996</v>
      </c>
      <c r="D43" s="46"/>
      <c r="E43" s="46"/>
      <c r="F43" s="46"/>
    </row>
    <row r="44" spans="1:6" x14ac:dyDescent="0.2">
      <c r="A44" s="46"/>
      <c r="B44" s="46"/>
      <c r="C44" s="65">
        <v>4.2</v>
      </c>
      <c r="D44" s="46"/>
      <c r="E44" s="46"/>
      <c r="F44" s="46"/>
    </row>
    <row r="45" spans="1:6" x14ac:dyDescent="0.2">
      <c r="A45" s="46"/>
      <c r="B45" s="46"/>
      <c r="C45" s="65">
        <v>4.3</v>
      </c>
      <c r="D45" s="46"/>
      <c r="E45" s="46"/>
      <c r="F45" s="46"/>
    </row>
    <row r="46" spans="1:6" x14ac:dyDescent="0.2">
      <c r="A46" s="46"/>
      <c r="B46" s="46"/>
      <c r="C46" s="65">
        <v>4.4000000000000004</v>
      </c>
      <c r="D46" s="46"/>
      <c r="E46" s="46"/>
      <c r="F46" s="46"/>
    </row>
    <row r="47" spans="1:6" x14ac:dyDescent="0.2">
      <c r="A47" s="46"/>
      <c r="B47" s="46"/>
      <c r="C47" s="65">
        <v>4.5</v>
      </c>
      <c r="D47" s="46"/>
      <c r="E47" s="46"/>
      <c r="F47" s="46"/>
    </row>
    <row r="48" spans="1:6" x14ac:dyDescent="0.2">
      <c r="A48" s="46"/>
      <c r="B48" s="46"/>
      <c r="C48" s="65">
        <v>4.5999999999999996</v>
      </c>
      <c r="D48" s="46"/>
      <c r="E48" s="46"/>
      <c r="F48" s="46"/>
    </row>
    <row r="49" spans="1:6" x14ac:dyDescent="0.2">
      <c r="A49" s="46"/>
      <c r="B49" s="46"/>
      <c r="C49" s="65">
        <v>4.7</v>
      </c>
      <c r="D49" s="46"/>
      <c r="E49" s="46"/>
      <c r="F49" s="46"/>
    </row>
    <row r="50" spans="1:6" x14ac:dyDescent="0.2">
      <c r="A50" s="46"/>
      <c r="B50" s="46"/>
      <c r="C50" s="65">
        <v>4.8</v>
      </c>
      <c r="D50" s="46"/>
      <c r="E50" s="46"/>
      <c r="F50" s="46"/>
    </row>
    <row r="51" spans="1:6" x14ac:dyDescent="0.2">
      <c r="C51" s="65">
        <v>4.9000000000000004</v>
      </c>
    </row>
    <row r="52" spans="1:6" x14ac:dyDescent="0.2">
      <c r="C52" s="65">
        <v>5</v>
      </c>
    </row>
    <row r="53" spans="1:6" x14ac:dyDescent="0.2">
      <c r="C53" s="65">
        <v>5.0999999999999996</v>
      </c>
    </row>
    <row r="54" spans="1:6" x14ac:dyDescent="0.2">
      <c r="C54" s="65">
        <v>5.2</v>
      </c>
    </row>
    <row r="55" spans="1:6" x14ac:dyDescent="0.2">
      <c r="C55" s="65">
        <v>5.3</v>
      </c>
    </row>
    <row r="56" spans="1:6" x14ac:dyDescent="0.2">
      <c r="C56" s="65">
        <v>5.4</v>
      </c>
    </row>
    <row r="57" spans="1:6" x14ac:dyDescent="0.2">
      <c r="C57" s="65">
        <v>5.5</v>
      </c>
    </row>
    <row r="58" spans="1:6" x14ac:dyDescent="0.2">
      <c r="C58" s="65">
        <v>5.6</v>
      </c>
    </row>
    <row r="59" spans="1:6" x14ac:dyDescent="0.2">
      <c r="C59" s="65">
        <v>5.7</v>
      </c>
    </row>
    <row r="60" spans="1:6" x14ac:dyDescent="0.2">
      <c r="C60" s="65">
        <v>5.8</v>
      </c>
    </row>
    <row r="61" spans="1:6" x14ac:dyDescent="0.2">
      <c r="C61" s="65">
        <v>5.9</v>
      </c>
    </row>
    <row r="62" spans="1:6" x14ac:dyDescent="0.2">
      <c r="C62" s="65">
        <v>6</v>
      </c>
    </row>
    <row r="63" spans="1:6" x14ac:dyDescent="0.2">
      <c r="C63" s="65">
        <v>6.1</v>
      </c>
    </row>
    <row r="64" spans="1:6" x14ac:dyDescent="0.2">
      <c r="C64" s="65">
        <v>6.2</v>
      </c>
    </row>
    <row r="65" spans="3:3" x14ac:dyDescent="0.2">
      <c r="C65" s="65">
        <v>6.3</v>
      </c>
    </row>
    <row r="66" spans="3:3" x14ac:dyDescent="0.2">
      <c r="C66" s="65">
        <v>6.3999999999999897</v>
      </c>
    </row>
    <row r="67" spans="3:3" x14ac:dyDescent="0.2">
      <c r="C67" s="65">
        <v>6.4999999999999902</v>
      </c>
    </row>
    <row r="68" spans="3:3" x14ac:dyDescent="0.2">
      <c r="C68" s="65">
        <v>6.5999999999999899</v>
      </c>
    </row>
    <row r="69" spans="3:3" x14ac:dyDescent="0.2">
      <c r="C69" s="65">
        <v>6.6999999999999904</v>
      </c>
    </row>
    <row r="70" spans="3:3" x14ac:dyDescent="0.2">
      <c r="C70" s="65">
        <v>6.7999999999999901</v>
      </c>
    </row>
    <row r="71" spans="3:3" x14ac:dyDescent="0.2">
      <c r="C71" s="65">
        <v>6.8999999999999897</v>
      </c>
    </row>
    <row r="72" spans="3:3" x14ac:dyDescent="0.2">
      <c r="C72" s="65">
        <v>6.9999999999999902</v>
      </c>
    </row>
    <row r="73" spans="3:3" x14ac:dyDescent="0.2">
      <c r="C73" s="65">
        <v>7.0999999999999899</v>
      </c>
    </row>
    <row r="74" spans="3:3" x14ac:dyDescent="0.2">
      <c r="C74" s="65">
        <v>7.1999999999999904</v>
      </c>
    </row>
    <row r="75" spans="3:3" x14ac:dyDescent="0.2">
      <c r="C75" s="65">
        <v>7.2999999999999901</v>
      </c>
    </row>
    <row r="76" spans="3:3" x14ac:dyDescent="0.2">
      <c r="C76" s="65">
        <v>7.3999999999999897</v>
      </c>
    </row>
    <row r="77" spans="3:3" x14ac:dyDescent="0.2">
      <c r="C77" s="65">
        <v>7.4999999999999902</v>
      </c>
    </row>
    <row r="78" spans="3:3" x14ac:dyDescent="0.2">
      <c r="C78" s="65">
        <v>7.5999999999999899</v>
      </c>
    </row>
    <row r="79" spans="3:3" x14ac:dyDescent="0.2">
      <c r="C79" s="65">
        <v>7.6999999999999904</v>
      </c>
    </row>
    <row r="80" spans="3:3" x14ac:dyDescent="0.2">
      <c r="C80" s="65">
        <v>7.7999999999999901</v>
      </c>
    </row>
    <row r="81" spans="3:3" x14ac:dyDescent="0.2">
      <c r="C81" s="65">
        <v>7.8999999999999897</v>
      </c>
    </row>
    <row r="82" spans="3:3" x14ac:dyDescent="0.2">
      <c r="C82" s="65">
        <v>7.9999999999999902</v>
      </c>
    </row>
    <row r="83" spans="3:3" x14ac:dyDescent="0.2">
      <c r="C83" s="65">
        <v>8.0999999999999908</v>
      </c>
    </row>
    <row r="84" spans="3:3" x14ac:dyDescent="0.2">
      <c r="C84" s="65">
        <v>8.1999999999999904</v>
      </c>
    </row>
    <row r="85" spans="3:3" x14ac:dyDescent="0.2">
      <c r="C85" s="65">
        <v>8.2999999999999901</v>
      </c>
    </row>
    <row r="86" spans="3:3" x14ac:dyDescent="0.2">
      <c r="C86" s="65">
        <v>8.3999999999999897</v>
      </c>
    </row>
    <row r="87" spans="3:3" x14ac:dyDescent="0.2">
      <c r="C87" s="65">
        <v>8.4999999999999893</v>
      </c>
    </row>
    <row r="88" spans="3:3" x14ac:dyDescent="0.2">
      <c r="C88" s="65">
        <v>8.5999999999999908</v>
      </c>
    </row>
    <row r="89" spans="3:3" x14ac:dyDescent="0.2">
      <c r="C89" s="65">
        <v>8.6999999999999904</v>
      </c>
    </row>
    <row r="90" spans="3:3" x14ac:dyDescent="0.2">
      <c r="C90" s="65">
        <v>8.7999999999999901</v>
      </c>
    </row>
    <row r="91" spans="3:3" x14ac:dyDescent="0.2">
      <c r="C91" s="65">
        <v>8.8999999999999897</v>
      </c>
    </row>
    <row r="92" spans="3:3" x14ac:dyDescent="0.2">
      <c r="C92" s="65">
        <v>8.9999999999999893</v>
      </c>
    </row>
    <row r="93" spans="3:3" x14ac:dyDescent="0.2">
      <c r="C93" s="65">
        <v>9.0999999999999908</v>
      </c>
    </row>
    <row r="94" spans="3:3" x14ac:dyDescent="0.2">
      <c r="C94" s="65">
        <v>9.1999999999999797</v>
      </c>
    </row>
    <row r="95" spans="3:3" x14ac:dyDescent="0.2">
      <c r="C95" s="65">
        <v>9.2999999999999794</v>
      </c>
    </row>
    <row r="96" spans="3:3" x14ac:dyDescent="0.2">
      <c r="C96" s="65">
        <v>9.3999999999999808</v>
      </c>
    </row>
    <row r="97" spans="3:3" x14ac:dyDescent="0.2">
      <c r="C97" s="65">
        <v>9.4999999999999805</v>
      </c>
    </row>
    <row r="98" spans="3:3" x14ac:dyDescent="0.2">
      <c r="C98" s="65">
        <v>9.5999999999999801</v>
      </c>
    </row>
    <row r="99" spans="3:3" x14ac:dyDescent="0.2">
      <c r="C99" s="65">
        <v>9.6999999999999797</v>
      </c>
    </row>
    <row r="100" spans="3:3" x14ac:dyDescent="0.2">
      <c r="C100" s="65">
        <v>9.7999999999999794</v>
      </c>
    </row>
    <row r="101" spans="3:3" x14ac:dyDescent="0.2">
      <c r="C101" s="65">
        <v>9.8999999999999808</v>
      </c>
    </row>
    <row r="102" spans="3:3" x14ac:dyDescent="0.2">
      <c r="C102" s="65">
        <v>9.9999999999999805</v>
      </c>
    </row>
    <row r="103" spans="3:3" x14ac:dyDescent="0.2">
      <c r="C103" s="65">
        <v>10.1</v>
      </c>
    </row>
    <row r="104" spans="3:3" x14ac:dyDescent="0.2">
      <c r="C104" s="65">
        <v>10.199999999999999</v>
      </c>
    </row>
    <row r="105" spans="3:3" x14ac:dyDescent="0.2">
      <c r="C105" s="65">
        <v>10.3</v>
      </c>
    </row>
    <row r="106" spans="3:3" x14ac:dyDescent="0.2">
      <c r="C106" s="65">
        <v>10.4</v>
      </c>
    </row>
    <row r="107" spans="3:3" x14ac:dyDescent="0.2">
      <c r="C107" s="65">
        <v>10.5</v>
      </c>
    </row>
    <row r="108" spans="3:3" x14ac:dyDescent="0.2">
      <c r="C108" s="65">
        <v>10.6</v>
      </c>
    </row>
    <row r="109" spans="3:3" x14ac:dyDescent="0.2">
      <c r="C109" s="65">
        <v>10.7</v>
      </c>
    </row>
    <row r="110" spans="3:3" x14ac:dyDescent="0.2">
      <c r="C110" s="65">
        <v>10.8</v>
      </c>
    </row>
    <row r="111" spans="3:3" x14ac:dyDescent="0.2">
      <c r="C111" s="65">
        <v>10.9</v>
      </c>
    </row>
    <row r="112" spans="3:3" x14ac:dyDescent="0.2">
      <c r="C112" s="65">
        <v>11</v>
      </c>
    </row>
    <row r="113" spans="3:3" x14ac:dyDescent="0.2">
      <c r="C113" s="65">
        <v>11.1</v>
      </c>
    </row>
    <row r="114" spans="3:3" x14ac:dyDescent="0.2">
      <c r="C114" s="65">
        <v>11.2</v>
      </c>
    </row>
    <row r="115" spans="3:3" x14ac:dyDescent="0.2">
      <c r="C115" s="65">
        <v>11.3</v>
      </c>
    </row>
    <row r="116" spans="3:3" x14ac:dyDescent="0.2">
      <c r="C116" s="65">
        <v>11.4</v>
      </c>
    </row>
    <row r="117" spans="3:3" x14ac:dyDescent="0.2">
      <c r="C117" s="65">
        <v>11.5</v>
      </c>
    </row>
    <row r="118" spans="3:3" x14ac:dyDescent="0.2">
      <c r="C118" s="65">
        <v>11.6</v>
      </c>
    </row>
    <row r="119" spans="3:3" x14ac:dyDescent="0.2">
      <c r="C119" s="65">
        <v>11.7</v>
      </c>
    </row>
    <row r="120" spans="3:3" x14ac:dyDescent="0.2">
      <c r="C120" s="65">
        <v>11.8</v>
      </c>
    </row>
    <row r="121" spans="3:3" x14ac:dyDescent="0.2">
      <c r="C121" s="65">
        <v>11.9</v>
      </c>
    </row>
    <row r="122" spans="3:3" x14ac:dyDescent="0.2">
      <c r="C122" s="65">
        <v>12</v>
      </c>
    </row>
    <row r="123" spans="3:3" x14ac:dyDescent="0.2">
      <c r="C123" s="65">
        <v>12.1</v>
      </c>
    </row>
    <row r="124" spans="3:3" x14ac:dyDescent="0.2">
      <c r="C124" s="65">
        <v>12.2</v>
      </c>
    </row>
    <row r="125" spans="3:3" x14ac:dyDescent="0.2">
      <c r="C125" s="65">
        <v>12.3</v>
      </c>
    </row>
    <row r="126" spans="3:3" x14ac:dyDescent="0.2">
      <c r="C126" s="65">
        <v>12.4</v>
      </c>
    </row>
    <row r="127" spans="3:3" x14ac:dyDescent="0.2">
      <c r="C127" s="65">
        <v>12.5</v>
      </c>
    </row>
    <row r="128" spans="3:3" x14ac:dyDescent="0.2">
      <c r="C128" s="65">
        <v>12.6</v>
      </c>
    </row>
    <row r="129" spans="3:3" x14ac:dyDescent="0.2">
      <c r="C129" s="65">
        <v>12.7</v>
      </c>
    </row>
    <row r="130" spans="3:3" x14ac:dyDescent="0.2">
      <c r="C130" s="65">
        <v>12.8</v>
      </c>
    </row>
    <row r="131" spans="3:3" x14ac:dyDescent="0.2">
      <c r="C131" s="65">
        <v>12.9</v>
      </c>
    </row>
    <row r="132" spans="3:3" x14ac:dyDescent="0.2">
      <c r="C132" s="65">
        <v>13</v>
      </c>
    </row>
    <row r="133" spans="3:3" x14ac:dyDescent="0.2">
      <c r="C133" s="45">
        <v>14</v>
      </c>
    </row>
    <row r="134" spans="3:3" x14ac:dyDescent="0.2">
      <c r="C134" s="45">
        <v>15</v>
      </c>
    </row>
    <row r="135" spans="3:3" x14ac:dyDescent="0.2">
      <c r="C135" s="45">
        <v>16</v>
      </c>
    </row>
    <row r="136" spans="3:3" x14ac:dyDescent="0.2">
      <c r="C136" s="45">
        <v>17</v>
      </c>
    </row>
    <row r="137" spans="3:3" x14ac:dyDescent="0.2">
      <c r="C137" s="45">
        <v>18</v>
      </c>
    </row>
    <row r="138" spans="3:3" x14ac:dyDescent="0.2">
      <c r="C138" s="45">
        <v>19</v>
      </c>
    </row>
    <row r="139" spans="3:3" x14ac:dyDescent="0.2">
      <c r="C139" s="45">
        <v>20</v>
      </c>
    </row>
    <row r="140" spans="3:3" x14ac:dyDescent="0.2">
      <c r="C140" s="45">
        <v>21</v>
      </c>
    </row>
    <row r="141" spans="3:3" x14ac:dyDescent="0.2">
      <c r="C141" s="45">
        <v>22</v>
      </c>
    </row>
    <row r="142" spans="3:3" x14ac:dyDescent="0.2">
      <c r="C142" s="45">
        <v>23</v>
      </c>
    </row>
    <row r="143" spans="3:3" x14ac:dyDescent="0.2">
      <c r="C143" s="45">
        <v>24</v>
      </c>
    </row>
    <row r="144" spans="3:3" x14ac:dyDescent="0.2">
      <c r="C144" s="45">
        <v>25</v>
      </c>
    </row>
    <row r="145" spans="3:3" x14ac:dyDescent="0.2">
      <c r="C145" s="45">
        <v>26</v>
      </c>
    </row>
    <row r="146" spans="3:3" x14ac:dyDescent="0.2">
      <c r="C146" s="45">
        <v>27</v>
      </c>
    </row>
    <row r="147" spans="3:3" x14ac:dyDescent="0.2">
      <c r="C147" s="45">
        <v>28</v>
      </c>
    </row>
    <row r="148" spans="3:3" x14ac:dyDescent="0.2">
      <c r="C148" s="45">
        <v>29</v>
      </c>
    </row>
    <row r="149" spans="3:3" x14ac:dyDescent="0.2">
      <c r="C149" s="45">
        <v>30</v>
      </c>
    </row>
    <row r="150" spans="3:3" x14ac:dyDescent="0.2">
      <c r="C150" s="45">
        <v>31</v>
      </c>
    </row>
    <row r="151" spans="3:3" x14ac:dyDescent="0.2">
      <c r="C151" s="45">
        <v>32</v>
      </c>
    </row>
    <row r="152" spans="3:3" x14ac:dyDescent="0.2">
      <c r="C152" s="45">
        <v>33</v>
      </c>
    </row>
    <row r="153" spans="3:3" x14ac:dyDescent="0.2">
      <c r="C153" s="45">
        <v>34</v>
      </c>
    </row>
    <row r="154" spans="3:3" x14ac:dyDescent="0.2">
      <c r="C154" s="45">
        <v>35</v>
      </c>
    </row>
    <row r="155" spans="3:3" x14ac:dyDescent="0.2">
      <c r="C155" s="45">
        <v>36</v>
      </c>
    </row>
    <row r="156" spans="3:3" x14ac:dyDescent="0.2">
      <c r="C156" s="45">
        <v>37</v>
      </c>
    </row>
    <row r="157" spans="3:3" x14ac:dyDescent="0.2">
      <c r="C157" s="45">
        <v>38</v>
      </c>
    </row>
    <row r="158" spans="3:3" x14ac:dyDescent="0.2">
      <c r="C158" s="45">
        <v>39</v>
      </c>
    </row>
    <row r="159" spans="3:3" x14ac:dyDescent="0.2">
      <c r="C159" s="45">
        <v>40</v>
      </c>
    </row>
    <row r="160" spans="3:3" x14ac:dyDescent="0.2">
      <c r="C160" s="45">
        <v>41</v>
      </c>
    </row>
    <row r="161" spans="3:3" x14ac:dyDescent="0.2">
      <c r="C161" s="45">
        <v>42</v>
      </c>
    </row>
    <row r="162" spans="3:3" x14ac:dyDescent="0.2">
      <c r="C162" s="45">
        <v>43</v>
      </c>
    </row>
    <row r="163" spans="3:3" x14ac:dyDescent="0.2">
      <c r="C163" s="45">
        <v>44</v>
      </c>
    </row>
    <row r="164" spans="3:3" x14ac:dyDescent="0.2">
      <c r="C164" s="45">
        <v>45</v>
      </c>
    </row>
    <row r="165" spans="3:3" x14ac:dyDescent="0.2">
      <c r="C165" s="45">
        <v>46</v>
      </c>
    </row>
    <row r="166" spans="3:3" x14ac:dyDescent="0.2">
      <c r="C166" s="45">
        <v>47</v>
      </c>
    </row>
    <row r="167" spans="3:3" x14ac:dyDescent="0.2">
      <c r="C167" s="45">
        <v>48</v>
      </c>
    </row>
    <row r="168" spans="3:3" x14ac:dyDescent="0.2">
      <c r="C168" s="45">
        <v>49</v>
      </c>
    </row>
    <row r="169" spans="3:3" x14ac:dyDescent="0.2">
      <c r="C169" s="45">
        <v>50</v>
      </c>
    </row>
    <row r="170" spans="3:3" x14ac:dyDescent="0.2">
      <c r="C170" s="45">
        <v>51</v>
      </c>
    </row>
    <row r="171" spans="3:3" x14ac:dyDescent="0.2">
      <c r="C171" s="45">
        <v>52</v>
      </c>
    </row>
    <row r="172" spans="3:3" x14ac:dyDescent="0.2">
      <c r="C172" s="45">
        <v>53</v>
      </c>
    </row>
    <row r="173" spans="3:3" x14ac:dyDescent="0.2">
      <c r="C173" s="45">
        <v>54</v>
      </c>
    </row>
    <row r="174" spans="3:3" x14ac:dyDescent="0.2">
      <c r="C174" s="45">
        <v>55</v>
      </c>
    </row>
    <row r="175" spans="3:3" x14ac:dyDescent="0.2">
      <c r="C175" s="45">
        <v>56</v>
      </c>
    </row>
    <row r="176" spans="3:3" x14ac:dyDescent="0.2">
      <c r="C176" s="45">
        <v>57</v>
      </c>
    </row>
    <row r="177" spans="3:3" x14ac:dyDescent="0.2">
      <c r="C177" s="45">
        <v>58</v>
      </c>
    </row>
    <row r="178" spans="3:3" x14ac:dyDescent="0.2">
      <c r="C178" s="45">
        <v>59</v>
      </c>
    </row>
    <row r="179" spans="3:3" x14ac:dyDescent="0.2">
      <c r="C179" s="45">
        <v>60</v>
      </c>
    </row>
    <row r="180" spans="3:3" x14ac:dyDescent="0.2">
      <c r="C180" s="45">
        <v>61</v>
      </c>
    </row>
    <row r="181" spans="3:3" x14ac:dyDescent="0.2">
      <c r="C181" s="45">
        <v>62</v>
      </c>
    </row>
    <row r="182" spans="3:3" x14ac:dyDescent="0.2">
      <c r="C182" s="45">
        <v>63</v>
      </c>
    </row>
    <row r="183" spans="3:3" x14ac:dyDescent="0.2">
      <c r="C183" s="45">
        <v>64</v>
      </c>
    </row>
    <row r="184" spans="3:3" x14ac:dyDescent="0.2">
      <c r="C184" s="45">
        <v>65</v>
      </c>
    </row>
    <row r="185" spans="3:3" x14ac:dyDescent="0.2">
      <c r="C185" s="45">
        <v>66</v>
      </c>
    </row>
    <row r="186" spans="3:3" x14ac:dyDescent="0.2">
      <c r="C186" s="45">
        <v>67</v>
      </c>
    </row>
    <row r="187" spans="3:3" x14ac:dyDescent="0.2">
      <c r="C187" s="45">
        <v>68</v>
      </c>
    </row>
    <row r="188" spans="3:3" x14ac:dyDescent="0.2">
      <c r="C188" s="45">
        <v>69</v>
      </c>
    </row>
    <row r="189" spans="3:3" x14ac:dyDescent="0.2">
      <c r="C189" s="45">
        <v>70</v>
      </c>
    </row>
    <row r="190" spans="3:3" x14ac:dyDescent="0.2">
      <c r="C190" s="45">
        <v>71</v>
      </c>
    </row>
    <row r="191" spans="3:3" x14ac:dyDescent="0.2">
      <c r="C191" s="45">
        <v>72</v>
      </c>
    </row>
    <row r="192" spans="3:3" x14ac:dyDescent="0.2">
      <c r="C192" s="45">
        <v>73</v>
      </c>
    </row>
    <row r="193" spans="3:3" x14ac:dyDescent="0.2">
      <c r="C193" s="45">
        <v>74</v>
      </c>
    </row>
    <row r="194" spans="3:3" x14ac:dyDescent="0.2">
      <c r="C194" s="45">
        <v>75</v>
      </c>
    </row>
    <row r="195" spans="3:3" x14ac:dyDescent="0.2">
      <c r="C195" s="45">
        <v>76</v>
      </c>
    </row>
    <row r="196" spans="3:3" x14ac:dyDescent="0.2">
      <c r="C196" s="45">
        <v>77</v>
      </c>
    </row>
    <row r="197" spans="3:3" x14ac:dyDescent="0.2">
      <c r="C197" s="45">
        <v>78</v>
      </c>
    </row>
    <row r="198" spans="3:3" x14ac:dyDescent="0.2">
      <c r="C198" s="45">
        <v>79</v>
      </c>
    </row>
    <row r="199" spans="3:3" x14ac:dyDescent="0.2">
      <c r="C199" s="45">
        <v>80</v>
      </c>
    </row>
    <row r="200" spans="3:3" x14ac:dyDescent="0.2">
      <c r="C200" s="45">
        <v>81</v>
      </c>
    </row>
    <row r="201" spans="3:3" x14ac:dyDescent="0.2">
      <c r="C201" s="45">
        <v>82</v>
      </c>
    </row>
    <row r="202" spans="3:3" x14ac:dyDescent="0.2">
      <c r="C202" s="45">
        <v>83</v>
      </c>
    </row>
    <row r="203" spans="3:3" x14ac:dyDescent="0.2">
      <c r="C203" s="45">
        <v>84</v>
      </c>
    </row>
    <row r="204" spans="3:3" x14ac:dyDescent="0.2">
      <c r="C204" s="45">
        <v>85</v>
      </c>
    </row>
    <row r="205" spans="3:3" x14ac:dyDescent="0.2">
      <c r="C205" s="45">
        <v>86</v>
      </c>
    </row>
    <row r="206" spans="3:3" x14ac:dyDescent="0.2">
      <c r="C206" s="45">
        <v>87</v>
      </c>
    </row>
    <row r="207" spans="3:3" x14ac:dyDescent="0.2">
      <c r="C207" s="45">
        <v>88</v>
      </c>
    </row>
    <row r="208" spans="3:3" x14ac:dyDescent="0.2">
      <c r="C208" s="45">
        <v>89</v>
      </c>
    </row>
    <row r="209" spans="3:3" x14ac:dyDescent="0.2">
      <c r="C209" s="45">
        <v>90</v>
      </c>
    </row>
    <row r="210" spans="3:3" x14ac:dyDescent="0.2">
      <c r="C210" s="45">
        <v>91</v>
      </c>
    </row>
    <row r="211" spans="3:3" x14ac:dyDescent="0.2">
      <c r="C211" s="45">
        <v>92</v>
      </c>
    </row>
    <row r="212" spans="3:3" x14ac:dyDescent="0.2">
      <c r="C212" s="45">
        <v>93</v>
      </c>
    </row>
    <row r="213" spans="3:3" x14ac:dyDescent="0.2">
      <c r="C213" s="45">
        <v>94</v>
      </c>
    </row>
    <row r="214" spans="3:3" x14ac:dyDescent="0.2">
      <c r="C214" s="45">
        <v>95</v>
      </c>
    </row>
    <row r="215" spans="3:3" x14ac:dyDescent="0.2">
      <c r="C215" s="45">
        <v>96</v>
      </c>
    </row>
    <row r="216" spans="3:3" x14ac:dyDescent="0.2">
      <c r="C216" s="45">
        <v>97</v>
      </c>
    </row>
    <row r="217" spans="3:3" x14ac:dyDescent="0.2">
      <c r="C217" s="45">
        <v>98</v>
      </c>
    </row>
    <row r="218" spans="3:3" x14ac:dyDescent="0.2">
      <c r="C218" s="45">
        <v>99</v>
      </c>
    </row>
    <row r="219" spans="3:3" x14ac:dyDescent="0.2">
      <c r="C219" s="45">
        <v>100</v>
      </c>
    </row>
    <row r="220" spans="3:3" x14ac:dyDescent="0.2">
      <c r="C220" s="45">
        <v>105</v>
      </c>
    </row>
    <row r="221" spans="3:3" x14ac:dyDescent="0.2">
      <c r="C221" s="45">
        <v>110</v>
      </c>
    </row>
    <row r="222" spans="3:3" x14ac:dyDescent="0.2">
      <c r="C222" s="45">
        <v>115</v>
      </c>
    </row>
    <row r="223" spans="3:3" x14ac:dyDescent="0.2">
      <c r="C223" s="45">
        <v>120</v>
      </c>
    </row>
    <row r="224" spans="3:3" x14ac:dyDescent="0.2">
      <c r="C224" s="45">
        <v>125</v>
      </c>
    </row>
    <row r="225" spans="3:3" x14ac:dyDescent="0.2">
      <c r="C225" s="45">
        <v>130</v>
      </c>
    </row>
    <row r="226" spans="3:3" x14ac:dyDescent="0.2">
      <c r="C226" s="45">
        <v>135</v>
      </c>
    </row>
    <row r="227" spans="3:3" x14ac:dyDescent="0.2">
      <c r="C227" s="45">
        <v>140</v>
      </c>
    </row>
    <row r="228" spans="3:3" x14ac:dyDescent="0.2">
      <c r="C228" s="45">
        <v>145</v>
      </c>
    </row>
    <row r="229" spans="3:3" x14ac:dyDescent="0.2">
      <c r="C229" s="45">
        <v>150</v>
      </c>
    </row>
    <row r="230" spans="3:3" x14ac:dyDescent="0.2">
      <c r="C230" s="45">
        <v>155</v>
      </c>
    </row>
    <row r="231" spans="3:3" x14ac:dyDescent="0.2">
      <c r="C231" s="45">
        <v>160</v>
      </c>
    </row>
    <row r="232" spans="3:3" x14ac:dyDescent="0.2">
      <c r="C232" s="45">
        <v>165</v>
      </c>
    </row>
    <row r="233" spans="3:3" x14ac:dyDescent="0.2">
      <c r="C233" s="45">
        <v>170</v>
      </c>
    </row>
    <row r="234" spans="3:3" x14ac:dyDescent="0.2">
      <c r="C234" s="45">
        <v>175</v>
      </c>
    </row>
    <row r="235" spans="3:3" x14ac:dyDescent="0.2">
      <c r="C235" s="45">
        <v>180</v>
      </c>
    </row>
    <row r="236" spans="3:3" x14ac:dyDescent="0.2">
      <c r="C236" s="45">
        <v>185</v>
      </c>
    </row>
    <row r="237" spans="3:3" x14ac:dyDescent="0.2">
      <c r="C237" s="45">
        <v>190</v>
      </c>
    </row>
    <row r="238" spans="3:3" x14ac:dyDescent="0.2">
      <c r="C238" s="45">
        <v>195</v>
      </c>
    </row>
    <row r="239" spans="3:3" x14ac:dyDescent="0.2">
      <c r="C239" s="45">
        <v>200</v>
      </c>
    </row>
    <row r="240" spans="3:3" x14ac:dyDescent="0.2">
      <c r="C240" s="45">
        <v>205</v>
      </c>
    </row>
    <row r="241" spans="3:3" x14ac:dyDescent="0.2">
      <c r="C241" s="45">
        <v>210</v>
      </c>
    </row>
    <row r="242" spans="3:3" x14ac:dyDescent="0.2">
      <c r="C242" s="45">
        <v>215</v>
      </c>
    </row>
    <row r="243" spans="3:3" x14ac:dyDescent="0.2">
      <c r="C243" s="45">
        <v>220</v>
      </c>
    </row>
    <row r="244" spans="3:3" x14ac:dyDescent="0.2">
      <c r="C244" s="45">
        <v>225</v>
      </c>
    </row>
    <row r="245" spans="3:3" x14ac:dyDescent="0.2">
      <c r="C245" s="45">
        <v>230</v>
      </c>
    </row>
    <row r="246" spans="3:3" x14ac:dyDescent="0.2">
      <c r="C246" s="45">
        <v>235</v>
      </c>
    </row>
    <row r="247" spans="3:3" x14ac:dyDescent="0.2">
      <c r="C247" s="45">
        <v>240</v>
      </c>
    </row>
    <row r="248" spans="3:3" x14ac:dyDescent="0.2">
      <c r="C248" s="45">
        <v>245</v>
      </c>
    </row>
    <row r="249" spans="3:3" x14ac:dyDescent="0.2">
      <c r="C249" s="45">
        <v>250</v>
      </c>
    </row>
    <row r="250" spans="3:3" x14ac:dyDescent="0.2">
      <c r="C250" s="45">
        <v>255</v>
      </c>
    </row>
    <row r="251" spans="3:3" x14ac:dyDescent="0.2">
      <c r="C251" s="45">
        <v>260</v>
      </c>
    </row>
    <row r="252" spans="3:3" x14ac:dyDescent="0.2">
      <c r="C252" s="45">
        <v>265</v>
      </c>
    </row>
    <row r="253" spans="3:3" x14ac:dyDescent="0.2">
      <c r="C253" s="45">
        <v>270</v>
      </c>
    </row>
    <row r="254" spans="3:3" x14ac:dyDescent="0.2">
      <c r="C254" s="45">
        <v>275</v>
      </c>
    </row>
    <row r="255" spans="3:3" x14ac:dyDescent="0.2">
      <c r="C255" s="45">
        <v>280</v>
      </c>
    </row>
    <row r="256" spans="3:3" x14ac:dyDescent="0.2">
      <c r="C256" s="45">
        <v>285</v>
      </c>
    </row>
    <row r="257" spans="3:3" x14ac:dyDescent="0.2">
      <c r="C257" s="45">
        <v>290</v>
      </c>
    </row>
    <row r="258" spans="3:3" x14ac:dyDescent="0.2">
      <c r="C258" s="45">
        <v>295</v>
      </c>
    </row>
    <row r="259" spans="3:3" x14ac:dyDescent="0.2">
      <c r="C259" s="45">
        <v>300</v>
      </c>
    </row>
    <row r="260" spans="3:3" x14ac:dyDescent="0.2">
      <c r="C260" s="45">
        <v>305</v>
      </c>
    </row>
    <row r="261" spans="3:3" x14ac:dyDescent="0.2">
      <c r="C261" s="45">
        <v>310</v>
      </c>
    </row>
    <row r="262" spans="3:3" x14ac:dyDescent="0.2">
      <c r="C262" s="45">
        <v>315</v>
      </c>
    </row>
    <row r="263" spans="3:3" x14ac:dyDescent="0.2">
      <c r="C263" s="45">
        <v>320</v>
      </c>
    </row>
    <row r="264" spans="3:3" x14ac:dyDescent="0.2">
      <c r="C264" s="45">
        <v>325</v>
      </c>
    </row>
    <row r="265" spans="3:3" x14ac:dyDescent="0.2">
      <c r="C265" s="45">
        <v>330</v>
      </c>
    </row>
    <row r="266" spans="3:3" x14ac:dyDescent="0.2">
      <c r="C266" s="45">
        <v>335</v>
      </c>
    </row>
    <row r="267" spans="3:3" x14ac:dyDescent="0.2">
      <c r="C267" s="45">
        <v>340</v>
      </c>
    </row>
    <row r="268" spans="3:3" x14ac:dyDescent="0.2">
      <c r="C268" s="45">
        <v>345</v>
      </c>
    </row>
    <row r="269" spans="3:3" x14ac:dyDescent="0.2">
      <c r="C269" s="45">
        <v>350</v>
      </c>
    </row>
    <row r="270" spans="3:3" x14ac:dyDescent="0.2">
      <c r="C270" s="45">
        <v>355</v>
      </c>
    </row>
    <row r="271" spans="3:3" x14ac:dyDescent="0.2">
      <c r="C271" s="45">
        <v>360</v>
      </c>
    </row>
    <row r="272" spans="3:3" x14ac:dyDescent="0.2">
      <c r="C272" s="45">
        <v>365</v>
      </c>
    </row>
    <row r="273" spans="3:3" x14ac:dyDescent="0.2">
      <c r="C273" s="45">
        <v>370</v>
      </c>
    </row>
    <row r="274" spans="3:3" x14ac:dyDescent="0.2">
      <c r="C274" s="45">
        <v>375</v>
      </c>
    </row>
    <row r="275" spans="3:3" x14ac:dyDescent="0.2">
      <c r="C275" s="45">
        <v>380</v>
      </c>
    </row>
    <row r="276" spans="3:3" x14ac:dyDescent="0.2">
      <c r="C276" s="45">
        <v>385</v>
      </c>
    </row>
    <row r="277" spans="3:3" x14ac:dyDescent="0.2">
      <c r="C277" s="45">
        <v>390</v>
      </c>
    </row>
    <row r="278" spans="3:3" x14ac:dyDescent="0.2">
      <c r="C278" s="45">
        <v>395</v>
      </c>
    </row>
    <row r="279" spans="3:3" x14ac:dyDescent="0.2">
      <c r="C279" s="45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2"/>
  <sheetViews>
    <sheetView tabSelected="1" topLeftCell="B34" workbookViewId="0">
      <selection activeCell="F59" sqref="F59"/>
    </sheetView>
  </sheetViews>
  <sheetFormatPr defaultColWidth="14.42578125" defaultRowHeight="15.75" customHeight="1" x14ac:dyDescent="0.2"/>
  <cols>
    <col min="1" max="1" width="29.7109375" customWidth="1"/>
    <col min="2" max="2" width="41" customWidth="1"/>
    <col min="4" max="4" width="14.85546875" style="105" customWidth="1"/>
    <col min="6" max="6" width="19.5703125" style="97" customWidth="1"/>
    <col min="7" max="7" width="20.42578125" customWidth="1"/>
    <col min="8" max="8" width="20.42578125" style="98" customWidth="1"/>
    <col min="9" max="9" width="20.28515625" customWidth="1"/>
    <col min="10" max="10" width="23.7109375" style="111" customWidth="1"/>
  </cols>
  <sheetData>
    <row r="1" spans="1:12" ht="15.75" customHeight="1" x14ac:dyDescent="0.2">
      <c r="A1" s="28" t="s">
        <v>146</v>
      </c>
      <c r="B1" s="29" t="s">
        <v>147</v>
      </c>
      <c r="C1" s="28" t="s">
        <v>2</v>
      </c>
      <c r="D1" s="32" t="s">
        <v>461</v>
      </c>
      <c r="E1" s="28" t="s">
        <v>148</v>
      </c>
      <c r="F1" s="32"/>
      <c r="G1" s="28" t="s">
        <v>130</v>
      </c>
      <c r="H1" s="32"/>
      <c r="I1" s="30" t="s">
        <v>0</v>
      </c>
      <c r="J1" s="110" t="s">
        <v>149</v>
      </c>
      <c r="K1" s="27" t="s">
        <v>471</v>
      </c>
      <c r="L1" s="113"/>
    </row>
    <row r="2" spans="1:12" ht="15.75" customHeight="1" x14ac:dyDescent="0.2">
      <c r="A2" s="99" t="s">
        <v>56</v>
      </c>
      <c r="B2" s="99" t="s">
        <v>150</v>
      </c>
      <c r="C2" s="99" t="s">
        <v>151</v>
      </c>
      <c r="D2" s="106" t="s">
        <v>448</v>
      </c>
      <c r="E2" s="99" t="s">
        <v>57</v>
      </c>
      <c r="F2" s="99" t="s">
        <v>480</v>
      </c>
      <c r="G2" s="99" t="s">
        <v>152</v>
      </c>
      <c r="H2" s="99" t="s">
        <v>424</v>
      </c>
      <c r="I2" s="100">
        <v>45376</v>
      </c>
      <c r="J2" s="100">
        <f>IF($G2="газ",DATE(YEAR(VALUE($I2))+3,MONTH(VALUE($I2)),DAY(VALUE($I2))),DATE(YEAR(VALUE($I2))+5,MONTH(VALUE($I2)),DAY(VALUE($I2))))</f>
        <v>46471</v>
      </c>
      <c r="K2" s="3"/>
    </row>
    <row r="3" spans="1:12" ht="15.75" customHeight="1" x14ac:dyDescent="0.2">
      <c r="A3" s="99" t="s">
        <v>56</v>
      </c>
      <c r="B3" s="99" t="s">
        <v>150</v>
      </c>
      <c r="C3" s="99" t="s">
        <v>153</v>
      </c>
      <c r="D3" s="106" t="s">
        <v>448</v>
      </c>
      <c r="E3" s="99" t="s">
        <v>57</v>
      </c>
      <c r="F3" s="99" t="s">
        <v>480</v>
      </c>
      <c r="G3" s="99" t="s">
        <v>152</v>
      </c>
      <c r="H3" s="99" t="s">
        <v>424</v>
      </c>
      <c r="I3" s="100">
        <v>45375</v>
      </c>
      <c r="J3" s="100">
        <f t="shared" ref="J3:J72" si="0">IF($G3="газ",DATE(YEAR(VALUE($I3))+3,MONTH(VALUE($I3)),DAY(VALUE($I3))),DATE(YEAR(VALUE($I3))+5,MONTH(VALUE($I3)),DAY(VALUE($I3))))</f>
        <v>46470</v>
      </c>
      <c r="K3" s="3"/>
    </row>
    <row r="4" spans="1:12" ht="15.75" customHeight="1" x14ac:dyDescent="0.2">
      <c r="A4" s="99" t="s">
        <v>46</v>
      </c>
      <c r="B4" s="99" t="s">
        <v>154</v>
      </c>
      <c r="C4" s="99" t="s">
        <v>151</v>
      </c>
      <c r="D4" s="107" t="s">
        <v>449</v>
      </c>
      <c r="E4" s="99" t="s">
        <v>430</v>
      </c>
      <c r="F4" s="99" t="s">
        <v>475</v>
      </c>
      <c r="G4" s="99" t="s">
        <v>152</v>
      </c>
      <c r="H4" s="99"/>
      <c r="I4" s="100">
        <v>45194</v>
      </c>
      <c r="J4" s="100">
        <f t="shared" si="0"/>
        <v>46290</v>
      </c>
      <c r="K4" s="100">
        <v>46254</v>
      </c>
    </row>
    <row r="5" spans="1:12" ht="15.75" customHeight="1" x14ac:dyDescent="0.2">
      <c r="A5" s="99" t="s">
        <v>46</v>
      </c>
      <c r="B5" s="99" t="s">
        <v>154</v>
      </c>
      <c r="C5" s="99" t="s">
        <v>153</v>
      </c>
      <c r="D5" s="107" t="s">
        <v>449</v>
      </c>
      <c r="E5" s="99" t="s">
        <v>430</v>
      </c>
      <c r="F5" s="99" t="s">
        <v>475</v>
      </c>
      <c r="G5" s="99" t="s">
        <v>152</v>
      </c>
      <c r="H5" s="99"/>
      <c r="I5" s="100">
        <v>45352</v>
      </c>
      <c r="J5" s="100">
        <f t="shared" si="0"/>
        <v>46447</v>
      </c>
      <c r="K5" s="3"/>
    </row>
    <row r="6" spans="1:12" ht="15.75" customHeight="1" x14ac:dyDescent="0.2">
      <c r="A6" s="99" t="s">
        <v>62</v>
      </c>
      <c r="B6" s="99" t="s">
        <v>155</v>
      </c>
      <c r="C6" s="99" t="s">
        <v>151</v>
      </c>
      <c r="D6" s="107" t="s">
        <v>449</v>
      </c>
      <c r="E6" s="99" t="s">
        <v>430</v>
      </c>
      <c r="F6" s="99" t="s">
        <v>473</v>
      </c>
      <c r="G6" s="99" t="s">
        <v>152</v>
      </c>
      <c r="H6" s="99"/>
      <c r="I6" s="100">
        <v>45613</v>
      </c>
      <c r="J6" s="100">
        <f t="shared" si="0"/>
        <v>46708</v>
      </c>
      <c r="K6" s="3"/>
    </row>
    <row r="7" spans="1:12" ht="15.75" customHeight="1" x14ac:dyDescent="0.2">
      <c r="A7" s="99" t="s">
        <v>62</v>
      </c>
      <c r="B7" s="99" t="s">
        <v>155</v>
      </c>
      <c r="C7" s="99" t="s">
        <v>153</v>
      </c>
      <c r="D7" s="107" t="s">
        <v>449</v>
      </c>
      <c r="E7" s="99" t="s">
        <v>430</v>
      </c>
      <c r="F7" s="99" t="s">
        <v>475</v>
      </c>
      <c r="G7" s="99" t="s">
        <v>152</v>
      </c>
      <c r="H7" s="99"/>
      <c r="I7" s="100">
        <v>45372</v>
      </c>
      <c r="J7" s="100">
        <f t="shared" si="0"/>
        <v>46467</v>
      </c>
      <c r="K7" s="31"/>
    </row>
    <row r="8" spans="1:12" ht="15.75" customHeight="1" x14ac:dyDescent="0.2">
      <c r="A8" s="99" t="s">
        <v>62</v>
      </c>
      <c r="B8" s="99" t="s">
        <v>155</v>
      </c>
      <c r="C8" s="99" t="s">
        <v>156</v>
      </c>
      <c r="D8" s="107" t="s">
        <v>449</v>
      </c>
      <c r="E8" s="99" t="s">
        <v>430</v>
      </c>
      <c r="F8" s="99" t="s">
        <v>475</v>
      </c>
      <c r="G8" s="99" t="s">
        <v>152</v>
      </c>
      <c r="H8" s="99"/>
      <c r="I8" s="100">
        <v>44966</v>
      </c>
      <c r="J8" s="100">
        <f t="shared" si="0"/>
        <v>46062</v>
      </c>
      <c r="K8" s="100">
        <v>46058</v>
      </c>
    </row>
    <row r="9" spans="1:12" ht="15.75" customHeight="1" x14ac:dyDescent="0.2">
      <c r="A9" s="99" t="s">
        <v>63</v>
      </c>
      <c r="B9" s="99" t="s">
        <v>157</v>
      </c>
      <c r="C9" s="99" t="s">
        <v>151</v>
      </c>
      <c r="D9" s="107" t="s">
        <v>450</v>
      </c>
      <c r="E9" s="99" t="s">
        <v>431</v>
      </c>
      <c r="F9" s="99"/>
      <c r="G9" s="99" t="s">
        <v>158</v>
      </c>
      <c r="H9" s="99" t="s">
        <v>425</v>
      </c>
      <c r="I9" s="100">
        <v>45699</v>
      </c>
      <c r="J9" s="100">
        <f t="shared" si="0"/>
        <v>47525</v>
      </c>
      <c r="K9" s="31"/>
    </row>
    <row r="10" spans="1:12" ht="15.75" customHeight="1" x14ac:dyDescent="0.2">
      <c r="A10" s="99" t="s">
        <v>63</v>
      </c>
      <c r="B10" s="99" t="s">
        <v>157</v>
      </c>
      <c r="C10" s="99" t="s">
        <v>153</v>
      </c>
      <c r="D10" s="107" t="s">
        <v>450</v>
      </c>
      <c r="E10" s="99" t="s">
        <v>431</v>
      </c>
      <c r="F10" s="99" t="s">
        <v>483</v>
      </c>
      <c r="G10" s="99" t="s">
        <v>158</v>
      </c>
      <c r="H10" s="99" t="s">
        <v>425</v>
      </c>
      <c r="I10" s="100">
        <v>45699</v>
      </c>
      <c r="J10" s="100">
        <f t="shared" si="0"/>
        <v>47525</v>
      </c>
      <c r="K10" s="31"/>
    </row>
    <row r="11" spans="1:12" ht="15.75" customHeight="1" x14ac:dyDescent="0.2">
      <c r="A11" s="99" t="s">
        <v>64</v>
      </c>
      <c r="B11" s="99" t="s">
        <v>159</v>
      </c>
      <c r="C11" s="99" t="s">
        <v>151</v>
      </c>
      <c r="D11" s="107" t="s">
        <v>449</v>
      </c>
      <c r="E11" s="99" t="s">
        <v>430</v>
      </c>
      <c r="F11" s="99" t="s">
        <v>479</v>
      </c>
      <c r="G11" s="99" t="s">
        <v>152</v>
      </c>
      <c r="H11" s="99" t="s">
        <v>424</v>
      </c>
      <c r="I11" s="100">
        <v>45737</v>
      </c>
      <c r="J11" s="100">
        <f t="shared" si="0"/>
        <v>46833</v>
      </c>
      <c r="K11" s="31"/>
    </row>
    <row r="12" spans="1:12" ht="15.75" customHeight="1" x14ac:dyDescent="0.2">
      <c r="A12" s="99" t="s">
        <v>64</v>
      </c>
      <c r="B12" s="99" t="s">
        <v>159</v>
      </c>
      <c r="C12" s="99" t="s">
        <v>153</v>
      </c>
      <c r="D12" s="107" t="s">
        <v>449</v>
      </c>
      <c r="E12" s="99" t="s">
        <v>430</v>
      </c>
      <c r="F12" s="99" t="s">
        <v>479</v>
      </c>
      <c r="G12" s="99" t="s">
        <v>152</v>
      </c>
      <c r="H12" s="99" t="s">
        <v>424</v>
      </c>
      <c r="I12" s="100">
        <v>45345</v>
      </c>
      <c r="J12" s="100">
        <f t="shared" si="0"/>
        <v>46441</v>
      </c>
      <c r="K12" s="31"/>
    </row>
    <row r="13" spans="1:12" ht="15.75" customHeight="1" x14ac:dyDescent="0.2">
      <c r="A13" s="99" t="s">
        <v>52</v>
      </c>
      <c r="B13" s="99" t="s">
        <v>160</v>
      </c>
      <c r="C13" s="99" t="s">
        <v>151</v>
      </c>
      <c r="D13" s="107" t="s">
        <v>451</v>
      </c>
      <c r="E13" s="99" t="s">
        <v>433</v>
      </c>
      <c r="F13" s="99"/>
      <c r="G13" s="99" t="s">
        <v>152</v>
      </c>
      <c r="H13" s="99"/>
      <c r="I13" s="100">
        <v>44887</v>
      </c>
      <c r="J13" s="100">
        <f t="shared" si="0"/>
        <v>45983</v>
      </c>
      <c r="K13" s="31"/>
    </row>
    <row r="14" spans="1:12" ht="15.75" customHeight="1" x14ac:dyDescent="0.2">
      <c r="A14" s="99" t="s">
        <v>52</v>
      </c>
      <c r="B14" s="99" t="s">
        <v>160</v>
      </c>
      <c r="C14" s="99" t="s">
        <v>153</v>
      </c>
      <c r="D14" s="107" t="s">
        <v>451</v>
      </c>
      <c r="E14" s="99" t="s">
        <v>433</v>
      </c>
      <c r="F14" s="99" t="s">
        <v>481</v>
      </c>
      <c r="G14" s="99" t="s">
        <v>152</v>
      </c>
      <c r="H14" s="99"/>
      <c r="I14" s="100">
        <v>45525</v>
      </c>
      <c r="J14" s="100">
        <f t="shared" si="0"/>
        <v>46620</v>
      </c>
      <c r="K14" s="31"/>
    </row>
    <row r="15" spans="1:12" ht="15.75" customHeight="1" x14ac:dyDescent="0.2">
      <c r="A15" s="99" t="s">
        <v>161</v>
      </c>
      <c r="B15" s="99" t="s">
        <v>162</v>
      </c>
      <c r="C15" s="99" t="s">
        <v>151</v>
      </c>
      <c r="D15" s="107" t="s">
        <v>449</v>
      </c>
      <c r="E15" s="99" t="s">
        <v>430</v>
      </c>
      <c r="F15" s="99" t="s">
        <v>475</v>
      </c>
      <c r="G15" s="99" t="s">
        <v>152</v>
      </c>
      <c r="H15" s="99" t="s">
        <v>424</v>
      </c>
      <c r="I15" s="100">
        <v>45372</v>
      </c>
      <c r="J15" s="100">
        <f t="shared" si="0"/>
        <v>46467</v>
      </c>
      <c r="K15" s="31"/>
    </row>
    <row r="16" spans="1:12" ht="15.75" customHeight="1" x14ac:dyDescent="0.2">
      <c r="A16" s="99" t="s">
        <v>161</v>
      </c>
      <c r="B16" s="99" t="s">
        <v>162</v>
      </c>
      <c r="C16" s="99" t="s">
        <v>153</v>
      </c>
      <c r="D16" s="107" t="s">
        <v>449</v>
      </c>
      <c r="E16" s="99" t="s">
        <v>430</v>
      </c>
      <c r="F16" s="99" t="s">
        <v>475</v>
      </c>
      <c r="G16" s="99" t="s">
        <v>152</v>
      </c>
      <c r="H16" s="99" t="s">
        <v>424</v>
      </c>
      <c r="I16" s="100">
        <v>45394</v>
      </c>
      <c r="J16" s="100">
        <f t="shared" si="0"/>
        <v>46489</v>
      </c>
      <c r="K16" s="31"/>
    </row>
    <row r="17" spans="1:11" ht="15.75" customHeight="1" x14ac:dyDescent="0.2">
      <c r="A17" s="99" t="s">
        <v>161</v>
      </c>
      <c r="B17" s="99" t="s">
        <v>162</v>
      </c>
      <c r="C17" s="99" t="s">
        <v>156</v>
      </c>
      <c r="D17" s="107" t="s">
        <v>449</v>
      </c>
      <c r="E17" s="99" t="s">
        <v>430</v>
      </c>
      <c r="F17" s="99" t="s">
        <v>462</v>
      </c>
      <c r="G17" s="99" t="s">
        <v>152</v>
      </c>
      <c r="H17" s="99"/>
      <c r="I17" s="100">
        <v>45017</v>
      </c>
      <c r="J17" s="100">
        <f t="shared" si="0"/>
        <v>46113</v>
      </c>
      <c r="K17" s="31"/>
    </row>
    <row r="18" spans="1:11" ht="15.75" customHeight="1" x14ac:dyDescent="0.2">
      <c r="A18" s="99" t="s">
        <v>163</v>
      </c>
      <c r="B18" s="99" t="s">
        <v>164</v>
      </c>
      <c r="C18" s="99" t="s">
        <v>151</v>
      </c>
      <c r="D18" s="107" t="s">
        <v>449</v>
      </c>
      <c r="E18" s="99" t="s">
        <v>430</v>
      </c>
      <c r="F18" s="99" t="s">
        <v>476</v>
      </c>
      <c r="G18" s="99" t="s">
        <v>152</v>
      </c>
      <c r="H18" s="99"/>
      <c r="I18" s="100">
        <v>45292</v>
      </c>
      <c r="J18" s="100">
        <f t="shared" si="0"/>
        <v>46388</v>
      </c>
      <c r="K18" s="31"/>
    </row>
    <row r="19" spans="1:11" ht="15.75" customHeight="1" x14ac:dyDescent="0.2">
      <c r="A19" s="99" t="s">
        <v>163</v>
      </c>
      <c r="B19" s="99" t="s">
        <v>164</v>
      </c>
      <c r="C19" s="99" t="s">
        <v>153</v>
      </c>
      <c r="D19" s="107" t="s">
        <v>449</v>
      </c>
      <c r="E19" s="99" t="s">
        <v>430</v>
      </c>
      <c r="F19" s="99" t="s">
        <v>478</v>
      </c>
      <c r="G19" s="99" t="s">
        <v>152</v>
      </c>
      <c r="H19" s="99" t="s">
        <v>424</v>
      </c>
      <c r="I19" s="109">
        <v>45716</v>
      </c>
      <c r="J19" s="100">
        <f t="shared" si="0"/>
        <v>46811</v>
      </c>
      <c r="K19" s="31"/>
    </row>
    <row r="20" spans="1:11" ht="15.75" customHeight="1" x14ac:dyDescent="0.2">
      <c r="A20" s="99" t="s">
        <v>165</v>
      </c>
      <c r="B20" s="99" t="s">
        <v>166</v>
      </c>
      <c r="C20" s="99" t="s">
        <v>151</v>
      </c>
      <c r="D20" s="107" t="s">
        <v>452</v>
      </c>
      <c r="E20" s="99" t="s">
        <v>432</v>
      </c>
      <c r="F20" s="99" t="s">
        <v>477</v>
      </c>
      <c r="G20" s="99" t="s">
        <v>152</v>
      </c>
      <c r="H20" s="99" t="s">
        <v>424</v>
      </c>
      <c r="I20" s="100">
        <v>45383</v>
      </c>
      <c r="J20" s="100">
        <f t="shared" si="0"/>
        <v>46478</v>
      </c>
      <c r="K20" s="31"/>
    </row>
    <row r="21" spans="1:11" ht="15.75" customHeight="1" x14ac:dyDescent="0.2">
      <c r="A21" s="99" t="s">
        <v>165</v>
      </c>
      <c r="B21" s="99" t="s">
        <v>166</v>
      </c>
      <c r="C21" s="99" t="s">
        <v>153</v>
      </c>
      <c r="D21" s="107" t="s">
        <v>449</v>
      </c>
      <c r="E21" s="99" t="s">
        <v>430</v>
      </c>
      <c r="F21" s="99" t="s">
        <v>475</v>
      </c>
      <c r="G21" s="99" t="s">
        <v>152</v>
      </c>
      <c r="H21" s="99" t="s">
        <v>424</v>
      </c>
      <c r="I21" s="100">
        <v>45345</v>
      </c>
      <c r="J21" s="100">
        <f t="shared" si="0"/>
        <v>46441</v>
      </c>
      <c r="K21" s="31"/>
    </row>
    <row r="22" spans="1:11" s="111" customFormat="1" ht="15.75" customHeight="1" x14ac:dyDescent="0.2">
      <c r="A22" s="99" t="s">
        <v>167</v>
      </c>
      <c r="B22" s="99" t="s">
        <v>168</v>
      </c>
      <c r="C22" s="99" t="s">
        <v>151</v>
      </c>
      <c r="D22" s="107" t="s">
        <v>453</v>
      </c>
      <c r="E22" s="99" t="s">
        <v>434</v>
      </c>
      <c r="F22" s="99"/>
      <c r="G22" s="99" t="s">
        <v>152</v>
      </c>
      <c r="H22" s="99"/>
      <c r="I22" s="100">
        <v>44621</v>
      </c>
      <c r="J22" s="100">
        <f t="shared" si="0"/>
        <v>45717</v>
      </c>
      <c r="K22" s="112"/>
    </row>
    <row r="23" spans="1:11" s="111" customFormat="1" ht="15.75" customHeight="1" x14ac:dyDescent="0.2">
      <c r="A23" s="99" t="s">
        <v>167</v>
      </c>
      <c r="B23" s="99" t="s">
        <v>168</v>
      </c>
      <c r="C23" s="99" t="s">
        <v>153</v>
      </c>
      <c r="D23" s="107" t="s">
        <v>453</v>
      </c>
      <c r="E23" s="99" t="s">
        <v>434</v>
      </c>
      <c r="F23" s="99"/>
      <c r="G23" s="99" t="s">
        <v>152</v>
      </c>
      <c r="H23" s="99"/>
      <c r="I23" s="100">
        <v>44621</v>
      </c>
      <c r="J23" s="100">
        <f t="shared" si="0"/>
        <v>45717</v>
      </c>
      <c r="K23" s="112"/>
    </row>
    <row r="24" spans="1:11" s="111" customFormat="1" ht="15.75" customHeight="1" x14ac:dyDescent="0.2">
      <c r="A24" s="99" t="s">
        <v>167</v>
      </c>
      <c r="B24" s="99" t="s">
        <v>168</v>
      </c>
      <c r="C24" s="99" t="s">
        <v>153</v>
      </c>
      <c r="D24" s="107" t="s">
        <v>454</v>
      </c>
      <c r="E24" s="99" t="s">
        <v>435</v>
      </c>
      <c r="F24" s="99"/>
      <c r="G24" s="99" t="s">
        <v>429</v>
      </c>
      <c r="H24" s="99"/>
      <c r="I24" s="100">
        <v>44621</v>
      </c>
      <c r="J24" s="100">
        <f t="shared" si="0"/>
        <v>46447</v>
      </c>
      <c r="K24" s="112"/>
    </row>
    <row r="25" spans="1:11" s="111" customFormat="1" ht="15.75" customHeight="1" x14ac:dyDescent="0.2">
      <c r="A25" s="99" t="s">
        <v>167</v>
      </c>
      <c r="B25" s="99" t="s">
        <v>168</v>
      </c>
      <c r="C25" s="99" t="s">
        <v>151</v>
      </c>
      <c r="D25" s="107" t="s">
        <v>454</v>
      </c>
      <c r="E25" s="99" t="s">
        <v>435</v>
      </c>
      <c r="F25" s="99"/>
      <c r="G25" s="99" t="s">
        <v>429</v>
      </c>
      <c r="H25" s="99"/>
      <c r="I25" s="100">
        <v>43525</v>
      </c>
      <c r="J25" s="100">
        <f t="shared" si="0"/>
        <v>45352</v>
      </c>
      <c r="K25" s="112"/>
    </row>
    <row r="26" spans="1:11" s="111" customFormat="1" ht="15.75" customHeight="1" x14ac:dyDescent="0.2">
      <c r="A26" s="99" t="s">
        <v>169</v>
      </c>
      <c r="B26" s="99" t="s">
        <v>170</v>
      </c>
      <c r="C26" s="99" t="s">
        <v>151</v>
      </c>
      <c r="D26" s="107" t="s">
        <v>459</v>
      </c>
      <c r="E26" s="99" t="s">
        <v>437</v>
      </c>
      <c r="F26" s="99"/>
      <c r="G26" s="99" t="s">
        <v>152</v>
      </c>
      <c r="H26" s="99"/>
      <c r="I26" s="100">
        <v>44986</v>
      </c>
      <c r="J26" s="100">
        <f t="shared" ref="J26:J33" si="1">IF($G26="газ",DATE(YEAR(VALUE($I26))+3,MONTH(VALUE($I26)),DAY(VALUE($I26))),DATE(YEAR(VALUE($I26))+5,MONTH(VALUE($I26)),DAY(VALUE($I26))))</f>
        <v>46082</v>
      </c>
      <c r="K26" s="112"/>
    </row>
    <row r="27" spans="1:11" s="111" customFormat="1" ht="15.75" customHeight="1" x14ac:dyDescent="0.2">
      <c r="A27" s="99" t="s">
        <v>169</v>
      </c>
      <c r="B27" s="99" t="s">
        <v>170</v>
      </c>
      <c r="C27" s="99" t="s">
        <v>153</v>
      </c>
      <c r="D27" s="107" t="s">
        <v>459</v>
      </c>
      <c r="E27" s="99" t="s">
        <v>437</v>
      </c>
      <c r="F27" s="99"/>
      <c r="G27" s="99" t="s">
        <v>152</v>
      </c>
      <c r="H27" s="99"/>
      <c r="I27" s="100">
        <v>46011</v>
      </c>
      <c r="J27" s="100">
        <f t="shared" si="1"/>
        <v>47107</v>
      </c>
      <c r="K27" s="112"/>
    </row>
    <row r="28" spans="1:11" s="104" customFormat="1" ht="15.75" customHeight="1" x14ac:dyDescent="0.2">
      <c r="A28" s="101" t="s">
        <v>169</v>
      </c>
      <c r="B28" s="101" t="s">
        <v>170</v>
      </c>
      <c r="C28" s="101" t="s">
        <v>156</v>
      </c>
      <c r="D28" s="107" t="s">
        <v>459</v>
      </c>
      <c r="E28" s="101" t="s">
        <v>437</v>
      </c>
      <c r="F28" s="101"/>
      <c r="G28" s="101" t="s">
        <v>152</v>
      </c>
      <c r="H28" s="101"/>
      <c r="I28" s="102">
        <v>46011</v>
      </c>
      <c r="J28" s="100">
        <f t="shared" si="1"/>
        <v>47107</v>
      </c>
      <c r="K28" s="103"/>
    </row>
    <row r="29" spans="1:11" s="111" customFormat="1" ht="15.75" customHeight="1" x14ac:dyDescent="0.2">
      <c r="A29" s="99" t="s">
        <v>169</v>
      </c>
      <c r="B29" s="99" t="s">
        <v>170</v>
      </c>
      <c r="C29" s="99" t="s">
        <v>172</v>
      </c>
      <c r="D29" s="107" t="s">
        <v>460</v>
      </c>
      <c r="E29" s="99" t="s">
        <v>436</v>
      </c>
      <c r="F29" s="99"/>
      <c r="G29" s="99" t="s">
        <v>152</v>
      </c>
      <c r="H29" s="99"/>
      <c r="I29" s="100">
        <v>46102</v>
      </c>
      <c r="J29" s="100">
        <f t="shared" si="1"/>
        <v>47198</v>
      </c>
      <c r="K29" s="112"/>
    </row>
    <row r="30" spans="1:11" s="104" customFormat="1" ht="15.75" customHeight="1" x14ac:dyDescent="0.2">
      <c r="A30" s="101" t="s">
        <v>169</v>
      </c>
      <c r="B30" s="101" t="s">
        <v>170</v>
      </c>
      <c r="C30" s="101" t="s">
        <v>173</v>
      </c>
      <c r="D30" s="107" t="s">
        <v>460</v>
      </c>
      <c r="E30" s="101" t="s">
        <v>436</v>
      </c>
      <c r="F30" s="101"/>
      <c r="G30" s="101" t="s">
        <v>152</v>
      </c>
      <c r="H30" s="101"/>
      <c r="I30" s="102">
        <v>44501</v>
      </c>
      <c r="J30" s="100">
        <f t="shared" si="1"/>
        <v>45597</v>
      </c>
      <c r="K30" s="103"/>
    </row>
    <row r="31" spans="1:11" s="111" customFormat="1" ht="15.75" customHeight="1" x14ac:dyDescent="0.2">
      <c r="A31" s="99" t="s">
        <v>169</v>
      </c>
      <c r="B31" s="99" t="s">
        <v>170</v>
      </c>
      <c r="C31" s="99" t="s">
        <v>151</v>
      </c>
      <c r="D31" s="107" t="s">
        <v>459</v>
      </c>
      <c r="E31" s="99" t="s">
        <v>437</v>
      </c>
      <c r="F31" s="99"/>
      <c r="G31" s="99" t="s">
        <v>178</v>
      </c>
      <c r="H31" s="99"/>
      <c r="I31" s="100">
        <v>45717</v>
      </c>
      <c r="J31" s="100">
        <f t="shared" si="1"/>
        <v>47543</v>
      </c>
      <c r="K31" s="112"/>
    </row>
    <row r="32" spans="1:11" s="111" customFormat="1" ht="15.75" customHeight="1" x14ac:dyDescent="0.2">
      <c r="A32" s="99" t="s">
        <v>169</v>
      </c>
      <c r="B32" s="99" t="s">
        <v>170</v>
      </c>
      <c r="C32" s="99" t="s">
        <v>153</v>
      </c>
      <c r="D32" s="107" t="s">
        <v>459</v>
      </c>
      <c r="E32" s="99" t="s">
        <v>437</v>
      </c>
      <c r="F32" s="99"/>
      <c r="G32" s="99" t="s">
        <v>178</v>
      </c>
      <c r="H32" s="99"/>
      <c r="I32" s="100">
        <v>46011</v>
      </c>
      <c r="J32" s="100">
        <f t="shared" si="1"/>
        <v>47837</v>
      </c>
      <c r="K32" s="112"/>
    </row>
    <row r="33" spans="1:11" s="104" customFormat="1" ht="15.75" customHeight="1" x14ac:dyDescent="0.2">
      <c r="A33" s="101" t="s">
        <v>169</v>
      </c>
      <c r="B33" s="101" t="s">
        <v>170</v>
      </c>
      <c r="C33" s="101" t="s">
        <v>153</v>
      </c>
      <c r="D33" s="107" t="s">
        <v>459</v>
      </c>
      <c r="E33" s="101" t="s">
        <v>437</v>
      </c>
      <c r="F33" s="101"/>
      <c r="G33" s="101" t="s">
        <v>178</v>
      </c>
      <c r="H33" s="101"/>
      <c r="I33" s="102">
        <v>46011</v>
      </c>
      <c r="J33" s="100">
        <f t="shared" si="1"/>
        <v>47837</v>
      </c>
      <c r="K33" s="103"/>
    </row>
    <row r="34" spans="1:11" s="111" customFormat="1" ht="15.75" customHeight="1" x14ac:dyDescent="0.2">
      <c r="A34" s="99" t="s">
        <v>169</v>
      </c>
      <c r="B34" s="99" t="s">
        <v>170</v>
      </c>
      <c r="C34" s="99" t="s">
        <v>172</v>
      </c>
      <c r="D34" s="107" t="s">
        <v>460</v>
      </c>
      <c r="E34" s="99" t="s">
        <v>436</v>
      </c>
      <c r="F34" s="99"/>
      <c r="G34" s="99" t="s">
        <v>178</v>
      </c>
      <c r="H34" s="99"/>
      <c r="I34" s="100">
        <v>45737</v>
      </c>
      <c r="J34" s="100">
        <f t="shared" si="0"/>
        <v>47563</v>
      </c>
      <c r="K34" s="112"/>
    </row>
    <row r="35" spans="1:11" s="104" customFormat="1" ht="15.75" customHeight="1" x14ac:dyDescent="0.2">
      <c r="A35" s="101" t="s">
        <v>169</v>
      </c>
      <c r="B35" s="101" t="s">
        <v>170</v>
      </c>
      <c r="C35" s="101" t="s">
        <v>173</v>
      </c>
      <c r="D35" s="107" t="s">
        <v>460</v>
      </c>
      <c r="E35" s="101" t="s">
        <v>436</v>
      </c>
      <c r="F35" s="101"/>
      <c r="G35" s="101" t="s">
        <v>178</v>
      </c>
      <c r="H35" s="101"/>
      <c r="I35" s="102">
        <v>43862</v>
      </c>
      <c r="J35" s="100">
        <f t="shared" si="0"/>
        <v>45689</v>
      </c>
      <c r="K35" s="103"/>
    </row>
    <row r="36" spans="1:11" s="111" customFormat="1" ht="15.75" customHeight="1" x14ac:dyDescent="0.2">
      <c r="A36" s="99" t="s">
        <v>175</v>
      </c>
      <c r="B36" s="99" t="s">
        <v>176</v>
      </c>
      <c r="C36" s="99" t="s">
        <v>151</v>
      </c>
      <c r="D36" s="107" t="s">
        <v>450</v>
      </c>
      <c r="E36" s="99" t="s">
        <v>438</v>
      </c>
      <c r="F36" s="99"/>
      <c r="G36" s="99" t="s">
        <v>158</v>
      </c>
      <c r="H36" s="99"/>
      <c r="I36" s="100">
        <v>43160</v>
      </c>
      <c r="J36" s="100">
        <f t="shared" si="0"/>
        <v>44986</v>
      </c>
      <c r="K36" s="112"/>
    </row>
    <row r="37" spans="1:11" s="111" customFormat="1" ht="15.75" customHeight="1" x14ac:dyDescent="0.2">
      <c r="A37" s="99" t="s">
        <v>175</v>
      </c>
      <c r="B37" s="99" t="s">
        <v>176</v>
      </c>
      <c r="C37" s="99" t="s">
        <v>151</v>
      </c>
      <c r="D37" s="107" t="s">
        <v>450</v>
      </c>
      <c r="E37" s="99" t="s">
        <v>438</v>
      </c>
      <c r="F37" s="99"/>
      <c r="G37" s="99" t="s">
        <v>152</v>
      </c>
      <c r="H37" s="99"/>
      <c r="I37" s="100">
        <v>44621</v>
      </c>
      <c r="J37" s="100">
        <f t="shared" si="0"/>
        <v>45717</v>
      </c>
      <c r="K37" s="112"/>
    </row>
    <row r="38" spans="1:11" s="111" customFormat="1" ht="15" x14ac:dyDescent="0.2">
      <c r="A38" s="99" t="s">
        <v>175</v>
      </c>
      <c r="B38" s="99" t="s">
        <v>176</v>
      </c>
      <c r="C38" s="99" t="s">
        <v>153</v>
      </c>
      <c r="D38" s="107" t="s">
        <v>450</v>
      </c>
      <c r="E38" s="99" t="s">
        <v>438</v>
      </c>
      <c r="F38" s="99"/>
      <c r="G38" s="99" t="s">
        <v>158</v>
      </c>
      <c r="H38" s="99"/>
      <c r="I38" s="100">
        <v>43160</v>
      </c>
      <c r="J38" s="100">
        <f t="shared" si="0"/>
        <v>44986</v>
      </c>
      <c r="K38" s="112"/>
    </row>
    <row r="39" spans="1:11" s="111" customFormat="1" ht="15" x14ac:dyDescent="0.2">
      <c r="A39" s="99" t="s">
        <v>175</v>
      </c>
      <c r="B39" s="99" t="s">
        <v>176</v>
      </c>
      <c r="C39" s="99" t="s">
        <v>153</v>
      </c>
      <c r="D39" s="107" t="s">
        <v>450</v>
      </c>
      <c r="E39" s="99" t="s">
        <v>438</v>
      </c>
      <c r="F39" s="99"/>
      <c r="G39" s="99" t="s">
        <v>152</v>
      </c>
      <c r="H39" s="99"/>
      <c r="I39" s="100">
        <v>44621</v>
      </c>
      <c r="J39" s="100">
        <f t="shared" si="0"/>
        <v>45717</v>
      </c>
      <c r="K39" s="112"/>
    </row>
    <row r="40" spans="1:11" s="98" customFormat="1" ht="15" x14ac:dyDescent="0.2">
      <c r="A40" s="32" t="s">
        <v>426</v>
      </c>
      <c r="B40" s="32" t="s">
        <v>177</v>
      </c>
      <c r="C40" s="32" t="s">
        <v>151</v>
      </c>
      <c r="D40" s="106" t="s">
        <v>448</v>
      </c>
      <c r="E40" s="32" t="s">
        <v>439</v>
      </c>
      <c r="F40" s="32"/>
      <c r="G40" s="32" t="s">
        <v>178</v>
      </c>
      <c r="H40" s="32" t="s">
        <v>425</v>
      </c>
      <c r="I40" s="30">
        <v>45698</v>
      </c>
      <c r="J40" s="100">
        <f t="shared" si="0"/>
        <v>47524</v>
      </c>
      <c r="K40" s="31"/>
    </row>
    <row r="41" spans="1:11" ht="15" x14ac:dyDescent="0.2">
      <c r="A41" s="28" t="s">
        <v>426</v>
      </c>
      <c r="B41" s="29" t="s">
        <v>177</v>
      </c>
      <c r="C41" s="28" t="s">
        <v>153</v>
      </c>
      <c r="D41" s="106" t="s">
        <v>448</v>
      </c>
      <c r="E41" s="32" t="s">
        <v>439</v>
      </c>
      <c r="F41" s="32"/>
      <c r="G41" s="28" t="s">
        <v>178</v>
      </c>
      <c r="H41" s="32"/>
      <c r="I41" s="30">
        <v>44862</v>
      </c>
      <c r="J41" s="100">
        <f t="shared" si="0"/>
        <v>46688</v>
      </c>
      <c r="K41" s="31"/>
    </row>
    <row r="42" spans="1:11" ht="15" x14ac:dyDescent="0.2">
      <c r="A42" s="99" t="s">
        <v>427</v>
      </c>
      <c r="B42" s="99" t="s">
        <v>179</v>
      </c>
      <c r="C42" s="99" t="s">
        <v>151</v>
      </c>
      <c r="D42" s="107" t="s">
        <v>456</v>
      </c>
      <c r="E42" s="99" t="s">
        <v>440</v>
      </c>
      <c r="F42" s="99"/>
      <c r="G42" s="99" t="s">
        <v>429</v>
      </c>
      <c r="H42" s="99" t="s">
        <v>425</v>
      </c>
      <c r="I42" s="100">
        <v>45726</v>
      </c>
      <c r="J42" s="100">
        <f t="shared" si="0"/>
        <v>47552</v>
      </c>
      <c r="K42" s="31"/>
    </row>
    <row r="43" spans="1:11" ht="15" x14ac:dyDescent="0.2">
      <c r="A43" s="99" t="s">
        <v>427</v>
      </c>
      <c r="B43" s="99" t="s">
        <v>179</v>
      </c>
      <c r="C43" s="99" t="s">
        <v>153</v>
      </c>
      <c r="D43" s="107" t="s">
        <v>456</v>
      </c>
      <c r="E43" s="99" t="s">
        <v>440</v>
      </c>
      <c r="F43" s="99"/>
      <c r="G43" s="99" t="s">
        <v>429</v>
      </c>
      <c r="H43" s="99" t="s">
        <v>425</v>
      </c>
      <c r="I43" s="100">
        <v>45698</v>
      </c>
      <c r="J43" s="100">
        <f t="shared" si="0"/>
        <v>47524</v>
      </c>
      <c r="K43" s="31"/>
    </row>
    <row r="44" spans="1:11" ht="15" x14ac:dyDescent="0.2">
      <c r="A44" s="99" t="s">
        <v>180</v>
      </c>
      <c r="B44" s="99" t="s">
        <v>181</v>
      </c>
      <c r="C44" s="99" t="s">
        <v>151</v>
      </c>
      <c r="D44" s="107" t="s">
        <v>455</v>
      </c>
      <c r="E44" s="99" t="s">
        <v>441</v>
      </c>
      <c r="F44" s="99"/>
      <c r="G44" s="99" t="s">
        <v>178</v>
      </c>
      <c r="H44" s="99" t="s">
        <v>425</v>
      </c>
      <c r="I44" s="100">
        <v>45772</v>
      </c>
      <c r="J44" s="100">
        <f t="shared" si="0"/>
        <v>47598</v>
      </c>
      <c r="K44" s="31"/>
    </row>
    <row r="45" spans="1:11" ht="15" x14ac:dyDescent="0.2">
      <c r="A45" s="99" t="s">
        <v>180</v>
      </c>
      <c r="B45" s="99" t="s">
        <v>181</v>
      </c>
      <c r="C45" s="99" t="s">
        <v>153</v>
      </c>
      <c r="D45" s="107" t="s">
        <v>455</v>
      </c>
      <c r="E45" s="99" t="s">
        <v>441</v>
      </c>
      <c r="F45" s="99"/>
      <c r="G45" s="99" t="s">
        <v>178</v>
      </c>
      <c r="H45" s="99" t="s">
        <v>425</v>
      </c>
      <c r="I45" s="100">
        <v>45756</v>
      </c>
      <c r="J45" s="100">
        <f t="shared" si="0"/>
        <v>47582</v>
      </c>
      <c r="K45" s="31"/>
    </row>
    <row r="46" spans="1:11" ht="15" x14ac:dyDescent="0.2">
      <c r="A46" s="99" t="s">
        <v>180</v>
      </c>
      <c r="B46" s="99" t="s">
        <v>181</v>
      </c>
      <c r="C46" s="99" t="s">
        <v>156</v>
      </c>
      <c r="D46" s="107" t="s">
        <v>449</v>
      </c>
      <c r="E46" s="99" t="s">
        <v>442</v>
      </c>
      <c r="F46" s="99"/>
      <c r="G46" s="99" t="s">
        <v>178</v>
      </c>
      <c r="H46" s="99"/>
      <c r="I46" s="100">
        <v>44862</v>
      </c>
      <c r="J46" s="100">
        <f t="shared" si="0"/>
        <v>46688</v>
      </c>
      <c r="K46" s="31"/>
    </row>
    <row r="47" spans="1:11" ht="15" x14ac:dyDescent="0.2">
      <c r="A47" s="99" t="s">
        <v>182</v>
      </c>
      <c r="B47" s="99" t="s">
        <v>183</v>
      </c>
      <c r="C47" s="99" t="s">
        <v>151</v>
      </c>
      <c r="D47" s="107" t="s">
        <v>449</v>
      </c>
      <c r="E47" s="99" t="s">
        <v>439</v>
      </c>
      <c r="F47" s="99"/>
      <c r="G47" s="99" t="s">
        <v>178</v>
      </c>
      <c r="H47" s="99"/>
      <c r="I47" s="100">
        <v>45198</v>
      </c>
      <c r="J47" s="100">
        <f t="shared" si="0"/>
        <v>47025</v>
      </c>
      <c r="K47" s="31"/>
    </row>
    <row r="48" spans="1:11" ht="15" x14ac:dyDescent="0.2">
      <c r="A48" s="99" t="s">
        <v>182</v>
      </c>
      <c r="B48" s="99" t="s">
        <v>183</v>
      </c>
      <c r="C48" s="99" t="s">
        <v>153</v>
      </c>
      <c r="D48" s="107" t="s">
        <v>449</v>
      </c>
      <c r="E48" s="99" t="s">
        <v>439</v>
      </c>
      <c r="F48" s="99"/>
      <c r="G48" s="99" t="s">
        <v>178</v>
      </c>
      <c r="H48" s="99" t="s">
        <v>425</v>
      </c>
      <c r="I48" s="100">
        <v>45698</v>
      </c>
      <c r="J48" s="100">
        <f t="shared" si="0"/>
        <v>47524</v>
      </c>
      <c r="K48" s="31"/>
    </row>
    <row r="49" spans="1:11" ht="15" x14ac:dyDescent="0.2">
      <c r="A49" s="99" t="s">
        <v>48</v>
      </c>
      <c r="B49" s="99" t="s">
        <v>184</v>
      </c>
      <c r="C49" s="99" t="s">
        <v>153</v>
      </c>
      <c r="D49" s="107" t="s">
        <v>449</v>
      </c>
      <c r="E49" s="99" t="s">
        <v>443</v>
      </c>
      <c r="F49" s="97" t="s">
        <v>475</v>
      </c>
      <c r="G49" s="99" t="s">
        <v>152</v>
      </c>
      <c r="H49" s="99"/>
      <c r="I49" s="100">
        <v>45204</v>
      </c>
      <c r="J49" s="100">
        <f t="shared" si="0"/>
        <v>46300</v>
      </c>
      <c r="K49" s="31"/>
    </row>
    <row r="50" spans="1:11" ht="15" x14ac:dyDescent="0.2">
      <c r="A50" s="99" t="s">
        <v>48</v>
      </c>
      <c r="B50" s="99" t="s">
        <v>184</v>
      </c>
      <c r="C50" s="99" t="s">
        <v>156</v>
      </c>
      <c r="D50" s="107" t="s">
        <v>449</v>
      </c>
      <c r="E50" s="99" t="s">
        <v>430</v>
      </c>
      <c r="F50" s="99"/>
      <c r="G50" s="99" t="s">
        <v>152</v>
      </c>
      <c r="H50" s="99"/>
      <c r="I50" s="100">
        <v>45566</v>
      </c>
      <c r="J50" s="100">
        <f t="shared" si="0"/>
        <v>46661</v>
      </c>
      <c r="K50" s="31"/>
    </row>
    <row r="51" spans="1:11" ht="15" x14ac:dyDescent="0.2">
      <c r="A51" s="99" t="s">
        <v>185</v>
      </c>
      <c r="B51" s="99" t="s">
        <v>186</v>
      </c>
      <c r="C51" s="99" t="s">
        <v>151</v>
      </c>
      <c r="D51" s="106" t="s">
        <v>448</v>
      </c>
      <c r="E51" s="99" t="s">
        <v>444</v>
      </c>
      <c r="F51" s="99"/>
      <c r="G51" s="99" t="s">
        <v>178</v>
      </c>
      <c r="H51" s="99"/>
      <c r="I51" s="100">
        <v>45938</v>
      </c>
      <c r="J51" s="100">
        <f t="shared" si="0"/>
        <v>47764</v>
      </c>
      <c r="K51" s="31"/>
    </row>
    <row r="52" spans="1:11" ht="15" x14ac:dyDescent="0.2">
      <c r="A52" s="99" t="s">
        <v>185</v>
      </c>
      <c r="B52" s="99" t="s">
        <v>186</v>
      </c>
      <c r="C52" s="99" t="s">
        <v>153</v>
      </c>
      <c r="D52" s="107" t="s">
        <v>451</v>
      </c>
      <c r="E52" s="99" t="s">
        <v>445</v>
      </c>
      <c r="F52" s="99"/>
      <c r="G52" s="99" t="s">
        <v>178</v>
      </c>
      <c r="H52" s="99"/>
      <c r="I52" s="100">
        <v>44297</v>
      </c>
      <c r="J52" s="100">
        <f t="shared" si="0"/>
        <v>46123</v>
      </c>
      <c r="K52" s="31"/>
    </row>
    <row r="53" spans="1:11" ht="15" x14ac:dyDescent="0.2">
      <c r="A53" s="99" t="s">
        <v>50</v>
      </c>
      <c r="B53" s="99" t="s">
        <v>187</v>
      </c>
      <c r="C53" s="99" t="s">
        <v>151</v>
      </c>
      <c r="D53" s="107" t="s">
        <v>449</v>
      </c>
      <c r="E53" s="99" t="s">
        <v>430</v>
      </c>
      <c r="F53" s="99"/>
      <c r="G53" s="99" t="s">
        <v>178</v>
      </c>
      <c r="H53" s="99"/>
      <c r="I53" s="100">
        <v>45748</v>
      </c>
      <c r="J53" s="100">
        <f t="shared" si="0"/>
        <v>47574</v>
      </c>
      <c r="K53" s="31"/>
    </row>
    <row r="54" spans="1:11" ht="15" x14ac:dyDescent="0.2">
      <c r="A54" s="99" t="s">
        <v>50</v>
      </c>
      <c r="B54" s="99" t="s">
        <v>187</v>
      </c>
      <c r="C54" s="99" t="s">
        <v>153</v>
      </c>
      <c r="D54" s="107" t="s">
        <v>449</v>
      </c>
      <c r="E54" s="99" t="s">
        <v>430</v>
      </c>
      <c r="F54" s="99"/>
      <c r="G54" s="99" t="s">
        <v>178</v>
      </c>
      <c r="H54" s="99" t="s">
        <v>425</v>
      </c>
      <c r="I54" s="100">
        <v>45383</v>
      </c>
      <c r="J54" s="100">
        <f t="shared" si="0"/>
        <v>47209</v>
      </c>
      <c r="K54" s="31"/>
    </row>
    <row r="55" spans="1:11" ht="15" x14ac:dyDescent="0.2">
      <c r="A55" s="99" t="s">
        <v>50</v>
      </c>
      <c r="B55" s="99" t="s">
        <v>187</v>
      </c>
      <c r="C55" s="99" t="s">
        <v>156</v>
      </c>
      <c r="D55" s="107" t="s">
        <v>449</v>
      </c>
      <c r="E55" s="99" t="s">
        <v>430</v>
      </c>
      <c r="F55" s="99"/>
      <c r="G55" s="99" t="s">
        <v>178</v>
      </c>
      <c r="H55" s="99"/>
      <c r="I55" s="100">
        <v>44166</v>
      </c>
      <c r="J55" s="100">
        <f t="shared" si="0"/>
        <v>45992</v>
      </c>
      <c r="K55" s="31"/>
    </row>
    <row r="56" spans="1:11" s="104" customFormat="1" ht="15" x14ac:dyDescent="0.2">
      <c r="A56" s="101" t="s">
        <v>50</v>
      </c>
      <c r="B56" s="101" t="s">
        <v>187</v>
      </c>
      <c r="C56" s="101" t="s">
        <v>172</v>
      </c>
      <c r="D56" s="107" t="s">
        <v>449</v>
      </c>
      <c r="E56" s="101" t="s">
        <v>430</v>
      </c>
      <c r="F56" s="101"/>
      <c r="G56" s="101" t="s">
        <v>178</v>
      </c>
      <c r="H56" s="101"/>
      <c r="I56" s="102">
        <v>44166</v>
      </c>
      <c r="J56" s="100">
        <f t="shared" si="0"/>
        <v>45992</v>
      </c>
      <c r="K56" s="103"/>
    </row>
    <row r="57" spans="1:11" ht="15" x14ac:dyDescent="0.2">
      <c r="A57" s="99" t="s">
        <v>428</v>
      </c>
      <c r="B57" s="99" t="s">
        <v>187</v>
      </c>
      <c r="C57" s="99" t="s">
        <v>151</v>
      </c>
      <c r="D57" s="107" t="s">
        <v>449</v>
      </c>
      <c r="E57" s="99" t="s">
        <v>430</v>
      </c>
      <c r="F57" s="99"/>
      <c r="G57" s="99" t="s">
        <v>152</v>
      </c>
      <c r="H57" s="99"/>
      <c r="I57" s="100">
        <v>45658</v>
      </c>
      <c r="J57" s="100">
        <f t="shared" si="0"/>
        <v>46753</v>
      </c>
      <c r="K57" s="31"/>
    </row>
    <row r="58" spans="1:11" ht="15" x14ac:dyDescent="0.2">
      <c r="A58" s="99" t="s">
        <v>428</v>
      </c>
      <c r="B58" s="99" t="s">
        <v>187</v>
      </c>
      <c r="C58" s="99" t="s">
        <v>153</v>
      </c>
      <c r="D58" s="107" t="s">
        <v>449</v>
      </c>
      <c r="E58" s="99" t="s">
        <v>430</v>
      </c>
      <c r="F58" s="99"/>
      <c r="G58" s="99" t="s">
        <v>152</v>
      </c>
      <c r="H58" s="99"/>
      <c r="I58" s="100">
        <v>45658</v>
      </c>
      <c r="J58" s="100">
        <f t="shared" si="0"/>
        <v>46753</v>
      </c>
      <c r="K58" s="31"/>
    </row>
    <row r="59" spans="1:11" ht="15" x14ac:dyDescent="0.2">
      <c r="A59" s="99" t="s">
        <v>188</v>
      </c>
      <c r="B59" s="99" t="s">
        <v>189</v>
      </c>
      <c r="C59" s="99" t="s">
        <v>151</v>
      </c>
      <c r="D59" s="107" t="s">
        <v>457</v>
      </c>
      <c r="E59" s="99" t="s">
        <v>37</v>
      </c>
      <c r="F59" s="99" t="s">
        <v>484</v>
      </c>
      <c r="G59" s="99" t="s">
        <v>152</v>
      </c>
      <c r="H59" s="99"/>
      <c r="I59" s="100">
        <v>44918</v>
      </c>
      <c r="J59" s="100">
        <f t="shared" si="0"/>
        <v>46014</v>
      </c>
      <c r="K59" s="3"/>
    </row>
    <row r="60" spans="1:11" ht="15" x14ac:dyDescent="0.2">
      <c r="A60" s="99" t="s">
        <v>188</v>
      </c>
      <c r="B60" s="99" t="s">
        <v>189</v>
      </c>
      <c r="C60" s="99" t="s">
        <v>153</v>
      </c>
      <c r="D60" s="107" t="s">
        <v>457</v>
      </c>
      <c r="E60" s="99" t="s">
        <v>37</v>
      </c>
      <c r="F60" s="99" t="s">
        <v>474</v>
      </c>
      <c r="G60" s="99" t="s">
        <v>152</v>
      </c>
      <c r="H60" s="99"/>
      <c r="I60" s="100">
        <v>45174</v>
      </c>
      <c r="J60" s="100">
        <f t="shared" si="0"/>
        <v>46270</v>
      </c>
      <c r="K60" s="31"/>
    </row>
    <row r="61" spans="1:11" ht="15" x14ac:dyDescent="0.2">
      <c r="A61" s="99" t="s">
        <v>190</v>
      </c>
      <c r="B61" s="99" t="s">
        <v>191</v>
      </c>
      <c r="C61" s="99" t="s">
        <v>151</v>
      </c>
      <c r="D61" s="107" t="s">
        <v>449</v>
      </c>
      <c r="E61" s="99" t="s">
        <v>430</v>
      </c>
      <c r="F61" s="99" t="s">
        <v>475</v>
      </c>
      <c r="G61" s="99" t="s">
        <v>152</v>
      </c>
      <c r="H61" s="99"/>
      <c r="I61" s="100">
        <v>44917</v>
      </c>
      <c r="J61" s="100">
        <f t="shared" si="0"/>
        <v>46013</v>
      </c>
      <c r="K61" s="31"/>
    </row>
    <row r="62" spans="1:11" ht="15" x14ac:dyDescent="0.2">
      <c r="A62" s="99" t="s">
        <v>190</v>
      </c>
      <c r="B62" s="99" t="s">
        <v>191</v>
      </c>
      <c r="C62" s="99" t="s">
        <v>153</v>
      </c>
      <c r="D62" s="107" t="s">
        <v>449</v>
      </c>
      <c r="E62" s="99" t="s">
        <v>430</v>
      </c>
      <c r="F62" s="99" t="s">
        <v>475</v>
      </c>
      <c r="G62" s="99" t="s">
        <v>152</v>
      </c>
      <c r="H62" s="99"/>
      <c r="I62" s="100">
        <v>44907</v>
      </c>
      <c r="J62" s="100">
        <f t="shared" si="0"/>
        <v>46003</v>
      </c>
      <c r="K62" s="31"/>
    </row>
    <row r="63" spans="1:11" ht="15" x14ac:dyDescent="0.2">
      <c r="A63" s="99" t="s">
        <v>190</v>
      </c>
      <c r="B63" s="99" t="s">
        <v>191</v>
      </c>
      <c r="C63" s="99" t="s">
        <v>156</v>
      </c>
      <c r="D63" s="107" t="s">
        <v>457</v>
      </c>
      <c r="E63" s="99" t="s">
        <v>37</v>
      </c>
      <c r="F63" s="99" t="s">
        <v>476</v>
      </c>
      <c r="G63" s="99" t="s">
        <v>152</v>
      </c>
      <c r="H63" s="99"/>
      <c r="I63" s="100">
        <v>45100</v>
      </c>
      <c r="J63" s="100">
        <f t="shared" si="0"/>
        <v>46196</v>
      </c>
      <c r="K63" s="31"/>
    </row>
    <row r="64" spans="1:11" ht="15" x14ac:dyDescent="0.2">
      <c r="A64" s="99" t="s">
        <v>51</v>
      </c>
      <c r="B64" s="99" t="s">
        <v>192</v>
      </c>
      <c r="C64" s="99" t="s">
        <v>151</v>
      </c>
      <c r="D64" s="107" t="s">
        <v>449</v>
      </c>
      <c r="E64" s="99" t="s">
        <v>430</v>
      </c>
      <c r="F64" s="99" t="s">
        <v>475</v>
      </c>
      <c r="G64" s="99" t="s">
        <v>152</v>
      </c>
      <c r="H64" s="99"/>
      <c r="I64" s="100">
        <v>45352</v>
      </c>
      <c r="J64" s="100">
        <f t="shared" si="0"/>
        <v>46447</v>
      </c>
      <c r="K64" s="31"/>
    </row>
    <row r="65" spans="1:11" ht="15" x14ac:dyDescent="0.2">
      <c r="A65" s="99" t="s">
        <v>51</v>
      </c>
      <c r="B65" s="99" t="s">
        <v>192</v>
      </c>
      <c r="C65" s="99" t="s">
        <v>153</v>
      </c>
      <c r="D65" s="107" t="s">
        <v>449</v>
      </c>
      <c r="E65" s="99" t="s">
        <v>430</v>
      </c>
      <c r="F65" s="99" t="s">
        <v>475</v>
      </c>
      <c r="G65" s="99" t="s">
        <v>152</v>
      </c>
      <c r="H65" s="99"/>
      <c r="I65" s="100">
        <v>45737</v>
      </c>
      <c r="J65" s="100">
        <f t="shared" si="0"/>
        <v>46833</v>
      </c>
      <c r="K65" s="31"/>
    </row>
    <row r="66" spans="1:11" ht="15" x14ac:dyDescent="0.2">
      <c r="A66" s="99" t="s">
        <v>51</v>
      </c>
      <c r="B66" s="99" t="s">
        <v>192</v>
      </c>
      <c r="C66" s="99" t="s">
        <v>156</v>
      </c>
      <c r="D66" s="107" t="s">
        <v>449</v>
      </c>
      <c r="E66" s="99" t="s">
        <v>430</v>
      </c>
      <c r="F66" s="99" t="s">
        <v>475</v>
      </c>
      <c r="G66" s="99" t="s">
        <v>152</v>
      </c>
      <c r="H66" s="99"/>
      <c r="I66" s="100">
        <v>45730</v>
      </c>
      <c r="J66" s="100">
        <f t="shared" si="0"/>
        <v>46826</v>
      </c>
      <c r="K66" s="31"/>
    </row>
    <row r="67" spans="1:11" s="111" customFormat="1" ht="15" x14ac:dyDescent="0.2">
      <c r="A67" s="99" t="s">
        <v>193</v>
      </c>
      <c r="B67" s="99" t="s">
        <v>194</v>
      </c>
      <c r="C67" s="99" t="s">
        <v>151</v>
      </c>
      <c r="D67" s="107" t="s">
        <v>458</v>
      </c>
      <c r="E67" s="99" t="s">
        <v>446</v>
      </c>
      <c r="F67" s="99" t="s">
        <v>482</v>
      </c>
      <c r="G67" s="99" t="s">
        <v>178</v>
      </c>
      <c r="H67" s="99" t="s">
        <v>425</v>
      </c>
      <c r="I67" s="100">
        <v>45748</v>
      </c>
      <c r="J67" s="100">
        <f t="shared" si="0"/>
        <v>47574</v>
      </c>
      <c r="K67" s="112"/>
    </row>
    <row r="68" spans="1:11" s="111" customFormat="1" ht="15" x14ac:dyDescent="0.2">
      <c r="A68" s="99" t="s">
        <v>193</v>
      </c>
      <c r="B68" s="99" t="s">
        <v>194</v>
      </c>
      <c r="C68" s="99" t="s">
        <v>153</v>
      </c>
      <c r="D68" s="107" t="s">
        <v>458</v>
      </c>
      <c r="E68" s="99" t="s">
        <v>446</v>
      </c>
      <c r="F68" s="99" t="s">
        <v>482</v>
      </c>
      <c r="G68" s="99" t="s">
        <v>178</v>
      </c>
      <c r="H68" s="99" t="s">
        <v>425</v>
      </c>
      <c r="I68" s="100">
        <v>45717</v>
      </c>
      <c r="J68" s="100">
        <f t="shared" si="0"/>
        <v>47543</v>
      </c>
      <c r="K68" s="112"/>
    </row>
    <row r="69" spans="1:11" s="105" customFormat="1" ht="15" x14ac:dyDescent="0.2">
      <c r="A69" s="32" t="s">
        <v>193</v>
      </c>
      <c r="B69" s="32" t="s">
        <v>194</v>
      </c>
      <c r="C69" s="32" t="s">
        <v>151</v>
      </c>
      <c r="D69" s="107" t="s">
        <v>449</v>
      </c>
      <c r="E69" s="99" t="s">
        <v>430</v>
      </c>
      <c r="F69" s="32"/>
      <c r="G69" s="32" t="s">
        <v>429</v>
      </c>
      <c r="H69" s="99"/>
      <c r="I69" s="30">
        <v>45748</v>
      </c>
      <c r="J69" s="100">
        <f t="shared" si="0"/>
        <v>47574</v>
      </c>
      <c r="K69" s="31"/>
    </row>
    <row r="70" spans="1:11" s="105" customFormat="1" ht="15" x14ac:dyDescent="0.2">
      <c r="A70" s="32" t="s">
        <v>193</v>
      </c>
      <c r="B70" s="32" t="s">
        <v>194</v>
      </c>
      <c r="C70" s="32" t="s">
        <v>153</v>
      </c>
      <c r="D70" s="107" t="s">
        <v>449</v>
      </c>
      <c r="E70" s="99" t="s">
        <v>430</v>
      </c>
      <c r="F70" s="32"/>
      <c r="G70" s="32" t="s">
        <v>429</v>
      </c>
      <c r="H70" s="99"/>
      <c r="I70" s="30">
        <v>45717</v>
      </c>
      <c r="J70" s="100">
        <f t="shared" si="0"/>
        <v>47543</v>
      </c>
      <c r="K70" s="31"/>
    </row>
    <row r="71" spans="1:11" ht="15" x14ac:dyDescent="0.2">
      <c r="A71" s="28" t="s">
        <v>195</v>
      </c>
      <c r="B71" s="29" t="s">
        <v>196</v>
      </c>
      <c r="C71" s="28" t="s">
        <v>151</v>
      </c>
      <c r="D71" s="107" t="s">
        <v>456</v>
      </c>
      <c r="E71" s="32" t="s">
        <v>440</v>
      </c>
      <c r="G71" s="32" t="s">
        <v>429</v>
      </c>
      <c r="H71" s="99" t="s">
        <v>425</v>
      </c>
      <c r="I71" s="30">
        <v>45658</v>
      </c>
      <c r="J71" s="100">
        <f t="shared" si="0"/>
        <v>47484</v>
      </c>
    </row>
    <row r="72" spans="1:11" ht="15" x14ac:dyDescent="0.2">
      <c r="A72" s="28" t="s">
        <v>195</v>
      </c>
      <c r="B72" s="29" t="s">
        <v>196</v>
      </c>
      <c r="C72" s="28" t="s">
        <v>153</v>
      </c>
      <c r="D72" s="107" t="s">
        <v>456</v>
      </c>
      <c r="E72" s="32" t="s">
        <v>447</v>
      </c>
      <c r="F72" s="32"/>
      <c r="G72" s="32" t="s">
        <v>429</v>
      </c>
      <c r="H72" s="99" t="s">
        <v>425</v>
      </c>
      <c r="I72" s="30">
        <v>45658</v>
      </c>
      <c r="J72" s="100">
        <f t="shared" si="0"/>
        <v>47484</v>
      </c>
    </row>
    <row r="73" spans="1:11" ht="12.75" x14ac:dyDescent="0.2">
      <c r="I73" s="33"/>
    </row>
    <row r="74" spans="1:11" ht="12.75" x14ac:dyDescent="0.2">
      <c r="I74" s="33"/>
    </row>
    <row r="75" spans="1:11" ht="12.75" x14ac:dyDescent="0.2">
      <c r="I75" s="33"/>
    </row>
    <row r="76" spans="1:11" ht="12.75" x14ac:dyDescent="0.2">
      <c r="I76" s="33"/>
    </row>
    <row r="77" spans="1:11" ht="12.75" x14ac:dyDescent="0.2">
      <c r="I77" s="33"/>
    </row>
    <row r="78" spans="1:11" ht="12.75" x14ac:dyDescent="0.2">
      <c r="I78" s="33"/>
    </row>
    <row r="79" spans="1:11" ht="12.75" x14ac:dyDescent="0.2">
      <c r="I79" s="33"/>
    </row>
    <row r="80" spans="1:11" ht="12.75" x14ac:dyDescent="0.2">
      <c r="I80" s="33"/>
    </row>
    <row r="81" spans="9:9" ht="12.75" x14ac:dyDescent="0.2">
      <c r="I81" s="33"/>
    </row>
    <row r="82" spans="9:9" ht="12.75" x14ac:dyDescent="0.2">
      <c r="I82" s="33"/>
    </row>
    <row r="83" spans="9:9" ht="12.75" x14ac:dyDescent="0.2">
      <c r="I83" s="33"/>
    </row>
    <row r="84" spans="9:9" ht="12.75" x14ac:dyDescent="0.2">
      <c r="I84" s="33"/>
    </row>
    <row r="85" spans="9:9" ht="12.75" x14ac:dyDescent="0.2">
      <c r="I85" s="33"/>
    </row>
    <row r="86" spans="9:9" ht="12.75" x14ac:dyDescent="0.2">
      <c r="I86" s="33"/>
    </row>
    <row r="87" spans="9:9" ht="12.75" x14ac:dyDescent="0.2">
      <c r="I87" s="33"/>
    </row>
    <row r="88" spans="9:9" ht="12.75" x14ac:dyDescent="0.2">
      <c r="I88" s="33"/>
    </row>
    <row r="89" spans="9:9" ht="12.75" x14ac:dyDescent="0.2">
      <c r="I89" s="33"/>
    </row>
    <row r="90" spans="9:9" ht="12.75" x14ac:dyDescent="0.2">
      <c r="I90" s="33"/>
    </row>
    <row r="91" spans="9:9" ht="12.75" x14ac:dyDescent="0.2">
      <c r="I91" s="33"/>
    </row>
    <row r="92" spans="9:9" ht="12.75" x14ac:dyDescent="0.2">
      <c r="I92" s="33"/>
    </row>
    <row r="93" spans="9:9" ht="12.75" x14ac:dyDescent="0.2">
      <c r="I93" s="33"/>
    </row>
    <row r="94" spans="9:9" ht="12.75" x14ac:dyDescent="0.2">
      <c r="I94" s="33"/>
    </row>
    <row r="95" spans="9:9" ht="12.75" x14ac:dyDescent="0.2">
      <c r="I95" s="33"/>
    </row>
    <row r="96" spans="9:9" ht="12.75" x14ac:dyDescent="0.2">
      <c r="I96" s="33"/>
    </row>
    <row r="97" spans="9:9" ht="12.75" x14ac:dyDescent="0.2">
      <c r="I97" s="33"/>
    </row>
    <row r="98" spans="9:9" ht="12.75" x14ac:dyDescent="0.2">
      <c r="I98" s="33"/>
    </row>
    <row r="99" spans="9:9" ht="12.75" x14ac:dyDescent="0.2">
      <c r="I99" s="33"/>
    </row>
    <row r="100" spans="9:9" ht="12.75" x14ac:dyDescent="0.2">
      <c r="I100" s="33"/>
    </row>
    <row r="101" spans="9:9" ht="12.75" x14ac:dyDescent="0.2">
      <c r="I101" s="33"/>
    </row>
    <row r="102" spans="9:9" ht="12.75" x14ac:dyDescent="0.2">
      <c r="I102" s="33"/>
    </row>
    <row r="103" spans="9:9" ht="12.75" x14ac:dyDescent="0.2">
      <c r="I103" s="33"/>
    </row>
    <row r="104" spans="9:9" ht="12.75" x14ac:dyDescent="0.2">
      <c r="I104" s="33"/>
    </row>
    <row r="105" spans="9:9" ht="12.75" x14ac:dyDescent="0.2">
      <c r="I105" s="33"/>
    </row>
    <row r="106" spans="9:9" ht="12.75" x14ac:dyDescent="0.2">
      <c r="I106" s="33"/>
    </row>
    <row r="107" spans="9:9" ht="12.75" x14ac:dyDescent="0.2">
      <c r="I107" s="33"/>
    </row>
    <row r="108" spans="9:9" ht="12.75" x14ac:dyDescent="0.2">
      <c r="I108" s="33"/>
    </row>
    <row r="109" spans="9:9" ht="12.75" x14ac:dyDescent="0.2">
      <c r="I109" s="33"/>
    </row>
    <row r="110" spans="9:9" ht="12.75" x14ac:dyDescent="0.2">
      <c r="I110" s="33"/>
    </row>
    <row r="111" spans="9:9" ht="12.75" x14ac:dyDescent="0.2">
      <c r="I111" s="33"/>
    </row>
    <row r="112" spans="9:9" ht="12.75" x14ac:dyDescent="0.2">
      <c r="I112" s="33"/>
    </row>
    <row r="113" spans="9:9" ht="12.75" x14ac:dyDescent="0.2">
      <c r="I113" s="33"/>
    </row>
    <row r="114" spans="9:9" ht="12.75" x14ac:dyDescent="0.2">
      <c r="I114" s="33"/>
    </row>
    <row r="115" spans="9:9" ht="12.75" x14ac:dyDescent="0.2">
      <c r="I115" s="33"/>
    </row>
    <row r="116" spans="9:9" ht="12.75" x14ac:dyDescent="0.2">
      <c r="I116" s="33"/>
    </row>
    <row r="117" spans="9:9" ht="12.75" x14ac:dyDescent="0.2">
      <c r="I117" s="33"/>
    </row>
    <row r="118" spans="9:9" ht="12.75" x14ac:dyDescent="0.2">
      <c r="I118" s="33"/>
    </row>
    <row r="119" spans="9:9" ht="12.75" x14ac:dyDescent="0.2">
      <c r="I119" s="33"/>
    </row>
    <row r="120" spans="9:9" ht="12.75" x14ac:dyDescent="0.2">
      <c r="I120" s="33"/>
    </row>
    <row r="121" spans="9:9" ht="12.75" x14ac:dyDescent="0.2">
      <c r="I121" s="33"/>
    </row>
    <row r="122" spans="9:9" ht="12.75" x14ac:dyDescent="0.2">
      <c r="I122" s="33"/>
    </row>
    <row r="123" spans="9:9" ht="12.75" x14ac:dyDescent="0.2">
      <c r="I123" s="33"/>
    </row>
    <row r="124" spans="9:9" ht="12.75" x14ac:dyDescent="0.2">
      <c r="I124" s="33"/>
    </row>
    <row r="125" spans="9:9" ht="12.75" x14ac:dyDescent="0.2">
      <c r="I125" s="33"/>
    </row>
    <row r="126" spans="9:9" ht="12.75" x14ac:dyDescent="0.2">
      <c r="I126" s="33"/>
    </row>
    <row r="127" spans="9:9" ht="12.75" x14ac:dyDescent="0.2">
      <c r="I127" s="33"/>
    </row>
    <row r="128" spans="9:9" ht="12.75" x14ac:dyDescent="0.2">
      <c r="I128" s="33"/>
    </row>
    <row r="129" spans="9:9" ht="12.75" x14ac:dyDescent="0.2">
      <c r="I129" s="33"/>
    </row>
    <row r="130" spans="9:9" ht="12.75" x14ac:dyDescent="0.2">
      <c r="I130" s="33"/>
    </row>
    <row r="131" spans="9:9" ht="12.75" x14ac:dyDescent="0.2">
      <c r="I131" s="33"/>
    </row>
    <row r="132" spans="9:9" ht="12.75" x14ac:dyDescent="0.2">
      <c r="I132" s="33"/>
    </row>
    <row r="133" spans="9:9" ht="12.75" x14ac:dyDescent="0.2">
      <c r="I133" s="33"/>
    </row>
    <row r="134" spans="9:9" ht="12.75" x14ac:dyDescent="0.2">
      <c r="I134" s="33"/>
    </row>
    <row r="135" spans="9:9" ht="12.75" x14ac:dyDescent="0.2">
      <c r="I135" s="33"/>
    </row>
    <row r="136" spans="9:9" ht="12.75" x14ac:dyDescent="0.2">
      <c r="I136" s="33"/>
    </row>
    <row r="137" spans="9:9" ht="12.75" x14ac:dyDescent="0.2">
      <c r="I137" s="33"/>
    </row>
    <row r="138" spans="9:9" ht="12.75" x14ac:dyDescent="0.2">
      <c r="I138" s="33"/>
    </row>
    <row r="139" spans="9:9" ht="12.75" x14ac:dyDescent="0.2">
      <c r="I139" s="33"/>
    </row>
    <row r="140" spans="9:9" ht="12.75" x14ac:dyDescent="0.2">
      <c r="I140" s="33"/>
    </row>
    <row r="141" spans="9:9" ht="12.75" x14ac:dyDescent="0.2">
      <c r="I141" s="33"/>
    </row>
    <row r="142" spans="9:9" ht="12.75" x14ac:dyDescent="0.2">
      <c r="I142" s="33"/>
    </row>
    <row r="143" spans="9:9" ht="12.75" x14ac:dyDescent="0.2">
      <c r="I143" s="33"/>
    </row>
    <row r="144" spans="9:9" ht="12.75" x14ac:dyDescent="0.2">
      <c r="I144" s="33"/>
    </row>
    <row r="145" spans="9:9" ht="12.75" x14ac:dyDescent="0.2">
      <c r="I145" s="33"/>
    </row>
    <row r="146" spans="9:9" ht="12.75" x14ac:dyDescent="0.2">
      <c r="I146" s="33"/>
    </row>
    <row r="147" spans="9:9" ht="12.75" x14ac:dyDescent="0.2">
      <c r="I147" s="33"/>
    </row>
    <row r="148" spans="9:9" ht="12.75" x14ac:dyDescent="0.2">
      <c r="I148" s="33"/>
    </row>
    <row r="149" spans="9:9" ht="12.75" x14ac:dyDescent="0.2">
      <c r="I149" s="33"/>
    </row>
    <row r="150" spans="9:9" ht="12.75" x14ac:dyDescent="0.2">
      <c r="I150" s="33"/>
    </row>
    <row r="151" spans="9:9" ht="12.75" x14ac:dyDescent="0.2">
      <c r="I151" s="33"/>
    </row>
    <row r="152" spans="9:9" ht="12.75" x14ac:dyDescent="0.2">
      <c r="I152" s="33"/>
    </row>
    <row r="153" spans="9:9" ht="12.75" x14ac:dyDescent="0.2">
      <c r="I153" s="33"/>
    </row>
    <row r="154" spans="9:9" ht="12.75" x14ac:dyDescent="0.2">
      <c r="I154" s="33"/>
    </row>
    <row r="155" spans="9:9" ht="12.75" x14ac:dyDescent="0.2">
      <c r="I155" s="33"/>
    </row>
    <row r="156" spans="9:9" ht="12.75" x14ac:dyDescent="0.2">
      <c r="I156" s="33"/>
    </row>
    <row r="157" spans="9:9" ht="12.75" x14ac:dyDescent="0.2">
      <c r="I157" s="33"/>
    </row>
    <row r="158" spans="9:9" ht="12.75" x14ac:dyDescent="0.2">
      <c r="I158" s="33"/>
    </row>
    <row r="159" spans="9:9" ht="12.75" x14ac:dyDescent="0.2">
      <c r="I159" s="33"/>
    </row>
    <row r="160" spans="9:9" ht="12.75" x14ac:dyDescent="0.2">
      <c r="I160" s="33"/>
    </row>
    <row r="161" spans="9:9" ht="12.75" x14ac:dyDescent="0.2">
      <c r="I161" s="33"/>
    </row>
    <row r="162" spans="9:9" ht="12.75" x14ac:dyDescent="0.2">
      <c r="I162" s="33"/>
    </row>
    <row r="163" spans="9:9" ht="12.75" x14ac:dyDescent="0.2">
      <c r="I163" s="33"/>
    </row>
    <row r="164" spans="9:9" ht="12.75" x14ac:dyDescent="0.2">
      <c r="I164" s="33"/>
    </row>
    <row r="165" spans="9:9" ht="12.75" x14ac:dyDescent="0.2">
      <c r="I165" s="33"/>
    </row>
    <row r="166" spans="9:9" ht="12.75" x14ac:dyDescent="0.2">
      <c r="I166" s="33"/>
    </row>
    <row r="167" spans="9:9" ht="12.75" x14ac:dyDescent="0.2">
      <c r="I167" s="33"/>
    </row>
    <row r="168" spans="9:9" ht="12.75" x14ac:dyDescent="0.2">
      <c r="I168" s="33"/>
    </row>
    <row r="169" spans="9:9" ht="12.75" x14ac:dyDescent="0.2">
      <c r="I169" s="33"/>
    </row>
    <row r="170" spans="9:9" ht="12.75" x14ac:dyDescent="0.2">
      <c r="I170" s="33"/>
    </row>
    <row r="171" spans="9:9" ht="12.75" x14ac:dyDescent="0.2">
      <c r="I171" s="33"/>
    </row>
    <row r="172" spans="9:9" ht="12.75" x14ac:dyDescent="0.2">
      <c r="I172" s="33"/>
    </row>
    <row r="173" spans="9:9" ht="12.75" x14ac:dyDescent="0.2">
      <c r="I173" s="33"/>
    </row>
    <row r="174" spans="9:9" ht="12.75" x14ac:dyDescent="0.2">
      <c r="I174" s="33"/>
    </row>
    <row r="175" spans="9:9" ht="12.75" x14ac:dyDescent="0.2">
      <c r="I175" s="33"/>
    </row>
    <row r="176" spans="9:9" ht="12.75" x14ac:dyDescent="0.2">
      <c r="I176" s="33"/>
    </row>
    <row r="177" spans="9:9" ht="12.75" x14ac:dyDescent="0.2">
      <c r="I177" s="33"/>
    </row>
    <row r="178" spans="9:9" ht="12.75" x14ac:dyDescent="0.2">
      <c r="I178" s="33"/>
    </row>
    <row r="179" spans="9:9" ht="12.75" x14ac:dyDescent="0.2">
      <c r="I179" s="33"/>
    </row>
    <row r="180" spans="9:9" ht="12.75" x14ac:dyDescent="0.2">
      <c r="I180" s="33"/>
    </row>
    <row r="181" spans="9:9" ht="12.75" x14ac:dyDescent="0.2">
      <c r="I181" s="33"/>
    </row>
    <row r="182" spans="9:9" ht="12.75" x14ac:dyDescent="0.2">
      <c r="I182" s="33"/>
    </row>
    <row r="183" spans="9:9" ht="12.75" x14ac:dyDescent="0.2">
      <c r="I183" s="33"/>
    </row>
    <row r="184" spans="9:9" ht="12.75" x14ac:dyDescent="0.2">
      <c r="I184" s="33"/>
    </row>
    <row r="185" spans="9:9" ht="12.75" x14ac:dyDescent="0.2">
      <c r="I185" s="33"/>
    </row>
    <row r="186" spans="9:9" ht="12.75" x14ac:dyDescent="0.2">
      <c r="I186" s="33"/>
    </row>
    <row r="187" spans="9:9" ht="12.75" x14ac:dyDescent="0.2">
      <c r="I187" s="33"/>
    </row>
    <row r="188" spans="9:9" ht="12.75" x14ac:dyDescent="0.2">
      <c r="I188" s="33"/>
    </row>
    <row r="189" spans="9:9" ht="12.75" x14ac:dyDescent="0.2">
      <c r="I189" s="33"/>
    </row>
    <row r="190" spans="9:9" ht="12.75" x14ac:dyDescent="0.2">
      <c r="I190" s="33"/>
    </row>
    <row r="191" spans="9:9" ht="12.75" x14ac:dyDescent="0.2">
      <c r="I191" s="33"/>
    </row>
    <row r="192" spans="9:9" ht="12.75" x14ac:dyDescent="0.2">
      <c r="I192" s="33"/>
    </row>
    <row r="193" spans="9:9" ht="12.75" x14ac:dyDescent="0.2">
      <c r="I193" s="33"/>
    </row>
    <row r="194" spans="9:9" ht="12.75" x14ac:dyDescent="0.2">
      <c r="I194" s="33"/>
    </row>
    <row r="195" spans="9:9" ht="12.75" x14ac:dyDescent="0.2">
      <c r="I195" s="33"/>
    </row>
    <row r="196" spans="9:9" ht="12.75" x14ac:dyDescent="0.2">
      <c r="I196" s="33"/>
    </row>
    <row r="197" spans="9:9" ht="12.75" x14ac:dyDescent="0.2">
      <c r="I197" s="33"/>
    </row>
    <row r="198" spans="9:9" ht="12.75" x14ac:dyDescent="0.2">
      <c r="I198" s="33"/>
    </row>
    <row r="199" spans="9:9" ht="12.75" x14ac:dyDescent="0.2">
      <c r="I199" s="33"/>
    </row>
    <row r="200" spans="9:9" ht="12.75" x14ac:dyDescent="0.2">
      <c r="I200" s="33"/>
    </row>
    <row r="201" spans="9:9" ht="12.75" x14ac:dyDescent="0.2">
      <c r="I201" s="33"/>
    </row>
    <row r="202" spans="9:9" ht="12.75" x14ac:dyDescent="0.2">
      <c r="I202" s="33"/>
    </row>
    <row r="203" spans="9:9" ht="12.75" x14ac:dyDescent="0.2">
      <c r="I203" s="33"/>
    </row>
    <row r="204" spans="9:9" ht="12.75" x14ac:dyDescent="0.2">
      <c r="I204" s="33"/>
    </row>
    <row r="205" spans="9:9" ht="12.75" x14ac:dyDescent="0.2">
      <c r="I205" s="33"/>
    </row>
    <row r="206" spans="9:9" ht="12.75" x14ac:dyDescent="0.2">
      <c r="I206" s="33"/>
    </row>
    <row r="207" spans="9:9" ht="12.75" x14ac:dyDescent="0.2">
      <c r="I207" s="33"/>
    </row>
    <row r="208" spans="9:9" ht="12.75" x14ac:dyDescent="0.2">
      <c r="I208" s="33"/>
    </row>
    <row r="209" spans="9:9" ht="12.75" x14ac:dyDescent="0.2">
      <c r="I209" s="33"/>
    </row>
    <row r="210" spans="9:9" ht="12.75" x14ac:dyDescent="0.2">
      <c r="I210" s="33"/>
    </row>
    <row r="211" spans="9:9" ht="12.75" x14ac:dyDescent="0.2">
      <c r="I211" s="33"/>
    </row>
    <row r="212" spans="9:9" ht="12.75" x14ac:dyDescent="0.2">
      <c r="I212" s="33"/>
    </row>
    <row r="213" spans="9:9" ht="12.75" x14ac:dyDescent="0.2">
      <c r="I213" s="33"/>
    </row>
    <row r="214" spans="9:9" ht="12.75" x14ac:dyDescent="0.2">
      <c r="I214" s="33"/>
    </row>
    <row r="215" spans="9:9" ht="12.75" x14ac:dyDescent="0.2">
      <c r="I215" s="33"/>
    </row>
    <row r="216" spans="9:9" ht="12.75" x14ac:dyDescent="0.2">
      <c r="I216" s="33"/>
    </row>
    <row r="217" spans="9:9" ht="12.75" x14ac:dyDescent="0.2">
      <c r="I217" s="33"/>
    </row>
    <row r="218" spans="9:9" ht="12.75" x14ac:dyDescent="0.2">
      <c r="I218" s="33"/>
    </row>
    <row r="219" spans="9:9" ht="12.75" x14ac:dyDescent="0.2">
      <c r="I219" s="33"/>
    </row>
    <row r="220" spans="9:9" ht="12.75" x14ac:dyDescent="0.2">
      <c r="I220" s="33"/>
    </row>
    <row r="221" spans="9:9" ht="12.75" x14ac:dyDescent="0.2">
      <c r="I221" s="33"/>
    </row>
    <row r="222" spans="9:9" ht="12.75" x14ac:dyDescent="0.2">
      <c r="I222" s="33"/>
    </row>
    <row r="223" spans="9:9" ht="12.75" x14ac:dyDescent="0.2">
      <c r="I223" s="33"/>
    </row>
    <row r="224" spans="9:9" ht="12.75" x14ac:dyDescent="0.2">
      <c r="I224" s="33"/>
    </row>
    <row r="225" spans="9:9" ht="12.75" x14ac:dyDescent="0.2">
      <c r="I225" s="33"/>
    </row>
    <row r="226" spans="9:9" ht="12.75" x14ac:dyDescent="0.2">
      <c r="I226" s="33"/>
    </row>
    <row r="227" spans="9:9" ht="12.75" x14ac:dyDescent="0.2">
      <c r="I227" s="33"/>
    </row>
    <row r="228" spans="9:9" ht="12.75" x14ac:dyDescent="0.2">
      <c r="I228" s="33"/>
    </row>
    <row r="229" spans="9:9" ht="12.75" x14ac:dyDescent="0.2">
      <c r="I229" s="33"/>
    </row>
    <row r="230" spans="9:9" ht="12.75" x14ac:dyDescent="0.2">
      <c r="I230" s="33"/>
    </row>
    <row r="231" spans="9:9" ht="12.75" x14ac:dyDescent="0.2">
      <c r="I231" s="33"/>
    </row>
    <row r="232" spans="9:9" ht="12.75" x14ac:dyDescent="0.2">
      <c r="I232" s="33"/>
    </row>
    <row r="233" spans="9:9" ht="12.75" x14ac:dyDescent="0.2">
      <c r="I233" s="33"/>
    </row>
    <row r="234" spans="9:9" ht="12.75" x14ac:dyDescent="0.2">
      <c r="I234" s="33"/>
    </row>
    <row r="235" spans="9:9" ht="12.75" x14ac:dyDescent="0.2">
      <c r="I235" s="33"/>
    </row>
    <row r="236" spans="9:9" ht="12.75" x14ac:dyDescent="0.2">
      <c r="I236" s="33"/>
    </row>
    <row r="237" spans="9:9" ht="12.75" x14ac:dyDescent="0.2">
      <c r="I237" s="33"/>
    </row>
    <row r="238" spans="9:9" ht="12.75" x14ac:dyDescent="0.2">
      <c r="I238" s="33"/>
    </row>
    <row r="239" spans="9:9" ht="12.75" x14ac:dyDescent="0.2">
      <c r="I239" s="33"/>
    </row>
    <row r="240" spans="9:9" ht="12.75" x14ac:dyDescent="0.2">
      <c r="I240" s="33"/>
    </row>
    <row r="241" spans="9:9" ht="12.75" x14ac:dyDescent="0.2">
      <c r="I241" s="33"/>
    </row>
    <row r="242" spans="9:9" ht="12.75" x14ac:dyDescent="0.2">
      <c r="I242" s="33"/>
    </row>
    <row r="243" spans="9:9" ht="12.75" x14ac:dyDescent="0.2">
      <c r="I243" s="33"/>
    </row>
    <row r="244" spans="9:9" ht="12.75" x14ac:dyDescent="0.2">
      <c r="I244" s="33"/>
    </row>
    <row r="245" spans="9:9" ht="12.75" x14ac:dyDescent="0.2">
      <c r="I245" s="33"/>
    </row>
    <row r="246" spans="9:9" ht="12.75" x14ac:dyDescent="0.2">
      <c r="I246" s="33"/>
    </row>
    <row r="247" spans="9:9" ht="12.75" x14ac:dyDescent="0.2">
      <c r="I247" s="33"/>
    </row>
    <row r="248" spans="9:9" ht="12.75" x14ac:dyDescent="0.2">
      <c r="I248" s="33"/>
    </row>
    <row r="249" spans="9:9" ht="12.75" x14ac:dyDescent="0.2">
      <c r="I249" s="33"/>
    </row>
    <row r="250" spans="9:9" ht="12.75" x14ac:dyDescent="0.2">
      <c r="I250" s="33"/>
    </row>
    <row r="251" spans="9:9" ht="12.75" x14ac:dyDescent="0.2">
      <c r="I251" s="33"/>
    </row>
    <row r="252" spans="9:9" ht="12.75" x14ac:dyDescent="0.2">
      <c r="I252" s="33"/>
    </row>
    <row r="253" spans="9:9" ht="12.75" x14ac:dyDescent="0.2">
      <c r="I253" s="33"/>
    </row>
    <row r="254" spans="9:9" ht="12.75" x14ac:dyDescent="0.2">
      <c r="I254" s="33"/>
    </row>
    <row r="255" spans="9:9" ht="12.75" x14ac:dyDescent="0.2">
      <c r="I255" s="33"/>
    </row>
    <row r="256" spans="9:9" ht="12.75" x14ac:dyDescent="0.2">
      <c r="I256" s="33"/>
    </row>
    <row r="257" spans="9:9" ht="12.75" x14ac:dyDescent="0.2">
      <c r="I257" s="33"/>
    </row>
    <row r="258" spans="9:9" ht="12.75" x14ac:dyDescent="0.2">
      <c r="I258" s="33"/>
    </row>
    <row r="259" spans="9:9" ht="12.75" x14ac:dyDescent="0.2">
      <c r="I259" s="33"/>
    </row>
    <row r="260" spans="9:9" ht="12.75" x14ac:dyDescent="0.2">
      <c r="I260" s="33"/>
    </row>
    <row r="261" spans="9:9" ht="12.75" x14ac:dyDescent="0.2">
      <c r="I261" s="33"/>
    </row>
    <row r="262" spans="9:9" ht="12.75" x14ac:dyDescent="0.2">
      <c r="I262" s="33"/>
    </row>
    <row r="263" spans="9:9" ht="12.75" x14ac:dyDescent="0.2">
      <c r="I263" s="33"/>
    </row>
    <row r="264" spans="9:9" ht="12.75" x14ac:dyDescent="0.2">
      <c r="I264" s="33"/>
    </row>
    <row r="265" spans="9:9" ht="12.75" x14ac:dyDescent="0.2">
      <c r="I265" s="33"/>
    </row>
    <row r="266" spans="9:9" ht="12.75" x14ac:dyDescent="0.2">
      <c r="I266" s="33"/>
    </row>
    <row r="267" spans="9:9" ht="12.75" x14ac:dyDescent="0.2">
      <c r="I267" s="33"/>
    </row>
    <row r="268" spans="9:9" ht="12.75" x14ac:dyDescent="0.2">
      <c r="I268" s="33"/>
    </row>
    <row r="269" spans="9:9" ht="12.75" x14ac:dyDescent="0.2">
      <c r="I269" s="33"/>
    </row>
    <row r="270" spans="9:9" ht="12.75" x14ac:dyDescent="0.2">
      <c r="I270" s="33"/>
    </row>
    <row r="271" spans="9:9" ht="12.75" x14ac:dyDescent="0.2">
      <c r="I271" s="33"/>
    </row>
    <row r="272" spans="9:9" ht="12.75" x14ac:dyDescent="0.2">
      <c r="I272" s="33"/>
    </row>
    <row r="273" spans="9:9" ht="12.75" x14ac:dyDescent="0.2">
      <c r="I273" s="33"/>
    </row>
    <row r="274" spans="9:9" ht="12.75" x14ac:dyDescent="0.2">
      <c r="I274" s="33"/>
    </row>
    <row r="275" spans="9:9" ht="12.75" x14ac:dyDescent="0.2">
      <c r="I275" s="33"/>
    </row>
    <row r="276" spans="9:9" ht="12.75" x14ac:dyDescent="0.2">
      <c r="I276" s="33"/>
    </row>
    <row r="277" spans="9:9" ht="12.75" x14ac:dyDescent="0.2">
      <c r="I277" s="33"/>
    </row>
    <row r="278" spans="9:9" ht="12.75" x14ac:dyDescent="0.2">
      <c r="I278" s="33"/>
    </row>
    <row r="279" spans="9:9" ht="12.75" x14ac:dyDescent="0.2">
      <c r="I279" s="33"/>
    </row>
    <row r="280" spans="9:9" ht="12.75" x14ac:dyDescent="0.2">
      <c r="I280" s="33"/>
    </row>
    <row r="281" spans="9:9" ht="12.75" x14ac:dyDescent="0.2">
      <c r="I281" s="33"/>
    </row>
    <row r="282" spans="9:9" ht="12.75" x14ac:dyDescent="0.2">
      <c r="I282" s="33"/>
    </row>
    <row r="283" spans="9:9" ht="12.75" x14ac:dyDescent="0.2">
      <c r="I283" s="33"/>
    </row>
    <row r="284" spans="9:9" ht="12.75" x14ac:dyDescent="0.2">
      <c r="I284" s="33"/>
    </row>
    <row r="285" spans="9:9" ht="12.75" x14ac:dyDescent="0.2">
      <c r="I285" s="33"/>
    </row>
    <row r="286" spans="9:9" ht="12.75" x14ac:dyDescent="0.2">
      <c r="I286" s="33"/>
    </row>
    <row r="287" spans="9:9" ht="12.75" x14ac:dyDescent="0.2">
      <c r="I287" s="33"/>
    </row>
    <row r="288" spans="9:9" ht="12.75" x14ac:dyDescent="0.2">
      <c r="I288" s="33"/>
    </row>
    <row r="289" spans="9:9" ht="12.75" x14ac:dyDescent="0.2">
      <c r="I289" s="33"/>
    </row>
    <row r="290" spans="9:9" ht="12.75" x14ac:dyDescent="0.2">
      <c r="I290" s="33"/>
    </row>
    <row r="291" spans="9:9" ht="12.75" x14ac:dyDescent="0.2">
      <c r="I291" s="33"/>
    </row>
    <row r="292" spans="9:9" ht="12.75" x14ac:dyDescent="0.2">
      <c r="I292" s="33"/>
    </row>
    <row r="293" spans="9:9" ht="12.75" x14ac:dyDescent="0.2">
      <c r="I293" s="33"/>
    </row>
    <row r="294" spans="9:9" ht="12.75" x14ac:dyDescent="0.2">
      <c r="I294" s="33"/>
    </row>
    <row r="295" spans="9:9" ht="12.75" x14ac:dyDescent="0.2">
      <c r="I295" s="33"/>
    </row>
    <row r="296" spans="9:9" ht="12.75" x14ac:dyDescent="0.2">
      <c r="I296" s="33"/>
    </row>
    <row r="297" spans="9:9" ht="12.75" x14ac:dyDescent="0.2">
      <c r="I297" s="33"/>
    </row>
    <row r="298" spans="9:9" ht="12.75" x14ac:dyDescent="0.2">
      <c r="I298" s="33"/>
    </row>
    <row r="299" spans="9:9" ht="12.75" x14ac:dyDescent="0.2">
      <c r="I299" s="33"/>
    </row>
    <row r="300" spans="9:9" ht="12.75" x14ac:dyDescent="0.2">
      <c r="I300" s="33"/>
    </row>
    <row r="301" spans="9:9" ht="12.75" x14ac:dyDescent="0.2">
      <c r="I301" s="33"/>
    </row>
    <row r="302" spans="9:9" ht="12.75" x14ac:dyDescent="0.2">
      <c r="I302" s="33"/>
    </row>
    <row r="303" spans="9:9" ht="12.75" x14ac:dyDescent="0.2">
      <c r="I303" s="33"/>
    </row>
    <row r="304" spans="9:9" ht="12.75" x14ac:dyDescent="0.2">
      <c r="I304" s="33"/>
    </row>
    <row r="305" spans="9:9" ht="12.75" x14ac:dyDescent="0.2">
      <c r="I305" s="33"/>
    </row>
    <row r="306" spans="9:9" ht="12.75" x14ac:dyDescent="0.2">
      <c r="I306" s="33"/>
    </row>
    <row r="307" spans="9:9" ht="12.75" x14ac:dyDescent="0.2">
      <c r="I307" s="33"/>
    </row>
    <row r="308" spans="9:9" ht="12.75" x14ac:dyDescent="0.2">
      <c r="I308" s="33"/>
    </row>
    <row r="309" spans="9:9" ht="12.75" x14ac:dyDescent="0.2">
      <c r="I309" s="33"/>
    </row>
    <row r="310" spans="9:9" ht="12.75" x14ac:dyDescent="0.2">
      <c r="I310" s="33"/>
    </row>
    <row r="311" spans="9:9" ht="12.75" x14ac:dyDescent="0.2">
      <c r="I311" s="33"/>
    </row>
    <row r="312" spans="9:9" ht="12.75" x14ac:dyDescent="0.2">
      <c r="I312" s="33"/>
    </row>
    <row r="313" spans="9:9" ht="12.75" x14ac:dyDescent="0.2">
      <c r="I313" s="33"/>
    </row>
    <row r="314" spans="9:9" ht="12.75" x14ac:dyDescent="0.2">
      <c r="I314" s="33"/>
    </row>
    <row r="315" spans="9:9" ht="12.75" x14ac:dyDescent="0.2">
      <c r="I315" s="33"/>
    </row>
    <row r="316" spans="9:9" ht="12.75" x14ac:dyDescent="0.2">
      <c r="I316" s="33"/>
    </row>
    <row r="317" spans="9:9" ht="12.75" x14ac:dyDescent="0.2">
      <c r="I317" s="33"/>
    </row>
    <row r="318" spans="9:9" ht="12.75" x14ac:dyDescent="0.2">
      <c r="I318" s="33"/>
    </row>
    <row r="319" spans="9:9" ht="12.75" x14ac:dyDescent="0.2">
      <c r="I319" s="33"/>
    </row>
    <row r="320" spans="9:9" ht="12.75" x14ac:dyDescent="0.2">
      <c r="I320" s="33"/>
    </row>
    <row r="321" spans="9:9" ht="12.75" x14ac:dyDescent="0.2">
      <c r="I321" s="33"/>
    </row>
    <row r="322" spans="9:9" ht="12.75" x14ac:dyDescent="0.2">
      <c r="I322" s="33"/>
    </row>
    <row r="323" spans="9:9" ht="12.75" x14ac:dyDescent="0.2">
      <c r="I323" s="33"/>
    </row>
    <row r="324" spans="9:9" ht="12.75" x14ac:dyDescent="0.2">
      <c r="I324" s="33"/>
    </row>
    <row r="325" spans="9:9" ht="12.75" x14ac:dyDescent="0.2">
      <c r="I325" s="33"/>
    </row>
    <row r="326" spans="9:9" ht="12.75" x14ac:dyDescent="0.2">
      <c r="I326" s="33"/>
    </row>
    <row r="327" spans="9:9" ht="12.75" x14ac:dyDescent="0.2">
      <c r="I327" s="33"/>
    </row>
    <row r="328" spans="9:9" ht="12.75" x14ac:dyDescent="0.2">
      <c r="I328" s="33"/>
    </row>
    <row r="329" spans="9:9" ht="12.75" x14ac:dyDescent="0.2">
      <c r="I329" s="33"/>
    </row>
    <row r="330" spans="9:9" ht="12.75" x14ac:dyDescent="0.2">
      <c r="I330" s="33"/>
    </row>
    <row r="331" spans="9:9" ht="12.75" x14ac:dyDescent="0.2">
      <c r="I331" s="33"/>
    </row>
    <row r="332" spans="9:9" ht="12.75" x14ac:dyDescent="0.2">
      <c r="I332" s="33"/>
    </row>
    <row r="333" spans="9:9" ht="12.75" x14ac:dyDescent="0.2">
      <c r="I333" s="33"/>
    </row>
    <row r="334" spans="9:9" ht="12.75" x14ac:dyDescent="0.2">
      <c r="I334" s="33"/>
    </row>
    <row r="335" spans="9:9" ht="12.75" x14ac:dyDescent="0.2">
      <c r="I335" s="33"/>
    </row>
    <row r="336" spans="9:9" ht="12.75" x14ac:dyDescent="0.2">
      <c r="I336" s="33"/>
    </row>
    <row r="337" spans="9:9" ht="12.75" x14ac:dyDescent="0.2">
      <c r="I337" s="33"/>
    </row>
    <row r="338" spans="9:9" ht="12.75" x14ac:dyDescent="0.2">
      <c r="I338" s="33"/>
    </row>
    <row r="339" spans="9:9" ht="12.75" x14ac:dyDescent="0.2">
      <c r="I339" s="33"/>
    </row>
    <row r="340" spans="9:9" ht="12.75" x14ac:dyDescent="0.2">
      <c r="I340" s="33"/>
    </row>
    <row r="341" spans="9:9" ht="12.75" x14ac:dyDescent="0.2">
      <c r="I341" s="33"/>
    </row>
    <row r="342" spans="9:9" ht="12.75" x14ac:dyDescent="0.2">
      <c r="I342" s="33"/>
    </row>
    <row r="343" spans="9:9" ht="12.75" x14ac:dyDescent="0.2">
      <c r="I343" s="33"/>
    </row>
    <row r="344" spans="9:9" ht="12.75" x14ac:dyDescent="0.2">
      <c r="I344" s="33"/>
    </row>
    <row r="345" spans="9:9" ht="12.75" x14ac:dyDescent="0.2">
      <c r="I345" s="33"/>
    </row>
    <row r="346" spans="9:9" ht="12.75" x14ac:dyDescent="0.2">
      <c r="I346" s="33"/>
    </row>
    <row r="347" spans="9:9" ht="12.75" x14ac:dyDescent="0.2">
      <c r="I347" s="33"/>
    </row>
    <row r="348" spans="9:9" ht="12.75" x14ac:dyDescent="0.2">
      <c r="I348" s="33"/>
    </row>
    <row r="349" spans="9:9" ht="12.75" x14ac:dyDescent="0.2">
      <c r="I349" s="33"/>
    </row>
    <row r="350" spans="9:9" ht="12.75" x14ac:dyDescent="0.2">
      <c r="I350" s="33"/>
    </row>
    <row r="351" spans="9:9" ht="12.75" x14ac:dyDescent="0.2">
      <c r="I351" s="33"/>
    </row>
    <row r="352" spans="9:9" ht="12.75" x14ac:dyDescent="0.2">
      <c r="I352" s="33"/>
    </row>
    <row r="353" spans="9:9" ht="12.75" x14ac:dyDescent="0.2">
      <c r="I353" s="33"/>
    </row>
    <row r="354" spans="9:9" ht="12.75" x14ac:dyDescent="0.2">
      <c r="I354" s="33"/>
    </row>
    <row r="355" spans="9:9" ht="12.75" x14ac:dyDescent="0.2">
      <c r="I355" s="33"/>
    </row>
    <row r="356" spans="9:9" ht="12.75" x14ac:dyDescent="0.2">
      <c r="I356" s="33"/>
    </row>
    <row r="357" spans="9:9" ht="12.75" x14ac:dyDescent="0.2">
      <c r="I357" s="33"/>
    </row>
    <row r="358" spans="9:9" ht="12.75" x14ac:dyDescent="0.2">
      <c r="I358" s="33"/>
    </row>
    <row r="359" spans="9:9" ht="12.75" x14ac:dyDescent="0.2">
      <c r="I359" s="33"/>
    </row>
    <row r="360" spans="9:9" ht="12.75" x14ac:dyDescent="0.2">
      <c r="I360" s="33"/>
    </row>
    <row r="361" spans="9:9" ht="12.75" x14ac:dyDescent="0.2">
      <c r="I361" s="33"/>
    </row>
    <row r="362" spans="9:9" ht="12.75" x14ac:dyDescent="0.2">
      <c r="I362" s="33"/>
    </row>
    <row r="363" spans="9:9" ht="12.75" x14ac:dyDescent="0.2">
      <c r="I363" s="33"/>
    </row>
    <row r="364" spans="9:9" ht="12.75" x14ac:dyDescent="0.2">
      <c r="I364" s="33"/>
    </row>
    <row r="365" spans="9:9" ht="12.75" x14ac:dyDescent="0.2">
      <c r="I365" s="33"/>
    </row>
    <row r="366" spans="9:9" ht="12.75" x14ac:dyDescent="0.2">
      <c r="I366" s="33"/>
    </row>
    <row r="367" spans="9:9" ht="12.75" x14ac:dyDescent="0.2">
      <c r="I367" s="33"/>
    </row>
    <row r="368" spans="9:9" ht="12.75" x14ac:dyDescent="0.2">
      <c r="I368" s="33"/>
    </row>
    <row r="369" spans="9:9" ht="12.75" x14ac:dyDescent="0.2">
      <c r="I369" s="33"/>
    </row>
    <row r="370" spans="9:9" ht="12.75" x14ac:dyDescent="0.2">
      <c r="I370" s="33"/>
    </row>
    <row r="371" spans="9:9" ht="12.75" x14ac:dyDescent="0.2">
      <c r="I371" s="33"/>
    </row>
    <row r="372" spans="9:9" ht="12.75" x14ac:dyDescent="0.2">
      <c r="I372" s="33"/>
    </row>
    <row r="373" spans="9:9" ht="12.75" x14ac:dyDescent="0.2">
      <c r="I373" s="33"/>
    </row>
    <row r="374" spans="9:9" ht="12.75" x14ac:dyDescent="0.2">
      <c r="I374" s="33"/>
    </row>
    <row r="375" spans="9:9" ht="12.75" x14ac:dyDescent="0.2">
      <c r="I375" s="33"/>
    </row>
    <row r="376" spans="9:9" ht="12.75" x14ac:dyDescent="0.2">
      <c r="I376" s="33"/>
    </row>
    <row r="377" spans="9:9" ht="12.75" x14ac:dyDescent="0.2">
      <c r="I377" s="33"/>
    </row>
    <row r="378" spans="9:9" ht="12.75" x14ac:dyDescent="0.2">
      <c r="I378" s="33"/>
    </row>
    <row r="379" spans="9:9" ht="12.75" x14ac:dyDescent="0.2">
      <c r="I379" s="33"/>
    </row>
    <row r="380" spans="9:9" ht="12.75" x14ac:dyDescent="0.2">
      <c r="I380" s="33"/>
    </row>
    <row r="381" spans="9:9" ht="12.75" x14ac:dyDescent="0.2">
      <c r="I381" s="33"/>
    </row>
    <row r="382" spans="9:9" ht="12.75" x14ac:dyDescent="0.2">
      <c r="I382" s="33"/>
    </row>
    <row r="383" spans="9:9" ht="12.75" x14ac:dyDescent="0.2">
      <c r="I383" s="33"/>
    </row>
    <row r="384" spans="9:9" ht="12.75" x14ac:dyDescent="0.2">
      <c r="I384" s="33"/>
    </row>
    <row r="385" spans="9:9" ht="12.75" x14ac:dyDescent="0.2">
      <c r="I385" s="33"/>
    </row>
    <row r="386" spans="9:9" ht="12.75" x14ac:dyDescent="0.2">
      <c r="I386" s="33"/>
    </row>
    <row r="387" spans="9:9" ht="12.75" x14ac:dyDescent="0.2">
      <c r="I387" s="33"/>
    </row>
    <row r="388" spans="9:9" ht="12.75" x14ac:dyDescent="0.2">
      <c r="I388" s="33"/>
    </row>
    <row r="389" spans="9:9" ht="12.75" x14ac:dyDescent="0.2">
      <c r="I389" s="33"/>
    </row>
    <row r="390" spans="9:9" ht="12.75" x14ac:dyDescent="0.2">
      <c r="I390" s="33"/>
    </row>
    <row r="391" spans="9:9" ht="12.75" x14ac:dyDescent="0.2">
      <c r="I391" s="33"/>
    </row>
    <row r="392" spans="9:9" ht="12.75" x14ac:dyDescent="0.2">
      <c r="I392" s="33"/>
    </row>
    <row r="393" spans="9:9" ht="12.75" x14ac:dyDescent="0.2">
      <c r="I393" s="33"/>
    </row>
    <row r="394" spans="9:9" ht="12.75" x14ac:dyDescent="0.2">
      <c r="I394" s="33"/>
    </row>
    <row r="395" spans="9:9" ht="12.75" x14ac:dyDescent="0.2">
      <c r="I395" s="33"/>
    </row>
    <row r="396" spans="9:9" ht="12.75" x14ac:dyDescent="0.2">
      <c r="I396" s="33"/>
    </row>
    <row r="397" spans="9:9" ht="12.75" x14ac:dyDescent="0.2">
      <c r="I397" s="33"/>
    </row>
    <row r="398" spans="9:9" ht="12.75" x14ac:dyDescent="0.2">
      <c r="I398" s="33"/>
    </row>
    <row r="399" spans="9:9" ht="12.75" x14ac:dyDescent="0.2">
      <c r="I399" s="33"/>
    </row>
    <row r="400" spans="9:9" ht="12.75" x14ac:dyDescent="0.2">
      <c r="I400" s="33"/>
    </row>
    <row r="401" spans="9:9" ht="12.75" x14ac:dyDescent="0.2">
      <c r="I401" s="33"/>
    </row>
    <row r="402" spans="9:9" ht="12.75" x14ac:dyDescent="0.2">
      <c r="I402" s="33"/>
    </row>
    <row r="403" spans="9:9" ht="12.75" x14ac:dyDescent="0.2">
      <c r="I403" s="33"/>
    </row>
    <row r="404" spans="9:9" ht="12.75" x14ac:dyDescent="0.2">
      <c r="I404" s="33"/>
    </row>
    <row r="405" spans="9:9" ht="12.75" x14ac:dyDescent="0.2">
      <c r="I405" s="33"/>
    </row>
    <row r="406" spans="9:9" ht="12.75" x14ac:dyDescent="0.2">
      <c r="I406" s="33"/>
    </row>
    <row r="407" spans="9:9" ht="12.75" x14ac:dyDescent="0.2">
      <c r="I407" s="33"/>
    </row>
    <row r="408" spans="9:9" ht="12.75" x14ac:dyDescent="0.2">
      <c r="I408" s="33"/>
    </row>
    <row r="409" spans="9:9" ht="12.75" x14ac:dyDescent="0.2">
      <c r="I409" s="33"/>
    </row>
    <row r="410" spans="9:9" ht="12.75" x14ac:dyDescent="0.2">
      <c r="I410" s="33"/>
    </row>
    <row r="411" spans="9:9" ht="12.75" x14ac:dyDescent="0.2">
      <c r="I411" s="33"/>
    </row>
    <row r="412" spans="9:9" ht="12.75" x14ac:dyDescent="0.2">
      <c r="I412" s="33"/>
    </row>
    <row r="413" spans="9:9" ht="12.75" x14ac:dyDescent="0.2">
      <c r="I413" s="33"/>
    </row>
    <row r="414" spans="9:9" ht="12.75" x14ac:dyDescent="0.2">
      <c r="I414" s="33"/>
    </row>
    <row r="415" spans="9:9" ht="12.75" x14ac:dyDescent="0.2">
      <c r="I415" s="33"/>
    </row>
    <row r="416" spans="9:9" ht="12.75" x14ac:dyDescent="0.2">
      <c r="I416" s="33"/>
    </row>
    <row r="417" spans="9:9" ht="12.75" x14ac:dyDescent="0.2">
      <c r="I417" s="33"/>
    </row>
    <row r="418" spans="9:9" ht="12.75" x14ac:dyDescent="0.2">
      <c r="I418" s="33"/>
    </row>
    <row r="419" spans="9:9" ht="12.75" x14ac:dyDescent="0.2">
      <c r="I419" s="33"/>
    </row>
    <row r="420" spans="9:9" ht="12.75" x14ac:dyDescent="0.2">
      <c r="I420" s="33"/>
    </row>
    <row r="421" spans="9:9" ht="12.75" x14ac:dyDescent="0.2">
      <c r="I421" s="33"/>
    </row>
    <row r="422" spans="9:9" ht="12.75" x14ac:dyDescent="0.2">
      <c r="I422" s="33"/>
    </row>
    <row r="423" spans="9:9" ht="12.75" x14ac:dyDescent="0.2">
      <c r="I423" s="33"/>
    </row>
    <row r="424" spans="9:9" ht="12.75" x14ac:dyDescent="0.2">
      <c r="I424" s="33"/>
    </row>
    <row r="425" spans="9:9" ht="12.75" x14ac:dyDescent="0.2">
      <c r="I425" s="33"/>
    </row>
    <row r="426" spans="9:9" ht="12.75" x14ac:dyDescent="0.2">
      <c r="I426" s="33"/>
    </row>
    <row r="427" spans="9:9" ht="12.75" x14ac:dyDescent="0.2">
      <c r="I427" s="33"/>
    </row>
    <row r="428" spans="9:9" ht="12.75" x14ac:dyDescent="0.2">
      <c r="I428" s="33"/>
    </row>
    <row r="429" spans="9:9" ht="12.75" x14ac:dyDescent="0.2">
      <c r="I429" s="33"/>
    </row>
    <row r="430" spans="9:9" ht="12.75" x14ac:dyDescent="0.2">
      <c r="I430" s="33"/>
    </row>
    <row r="431" spans="9:9" ht="12.75" x14ac:dyDescent="0.2">
      <c r="I431" s="33"/>
    </row>
    <row r="432" spans="9:9" ht="12.75" x14ac:dyDescent="0.2">
      <c r="I432" s="33"/>
    </row>
    <row r="433" spans="9:9" ht="12.75" x14ac:dyDescent="0.2">
      <c r="I433" s="33"/>
    </row>
    <row r="434" spans="9:9" ht="12.75" x14ac:dyDescent="0.2">
      <c r="I434" s="33"/>
    </row>
    <row r="435" spans="9:9" ht="12.75" x14ac:dyDescent="0.2">
      <c r="I435" s="33"/>
    </row>
    <row r="436" spans="9:9" ht="12.75" x14ac:dyDescent="0.2">
      <c r="I436" s="33"/>
    </row>
    <row r="437" spans="9:9" ht="12.75" x14ac:dyDescent="0.2">
      <c r="I437" s="33"/>
    </row>
    <row r="438" spans="9:9" ht="12.75" x14ac:dyDescent="0.2">
      <c r="I438" s="33"/>
    </row>
    <row r="439" spans="9:9" ht="12.75" x14ac:dyDescent="0.2">
      <c r="I439" s="33"/>
    </row>
    <row r="440" spans="9:9" ht="12.75" x14ac:dyDescent="0.2">
      <c r="I440" s="33"/>
    </row>
    <row r="441" spans="9:9" ht="12.75" x14ac:dyDescent="0.2">
      <c r="I441" s="33"/>
    </row>
    <row r="442" spans="9:9" ht="12.75" x14ac:dyDescent="0.2">
      <c r="I442" s="33"/>
    </row>
    <row r="443" spans="9:9" ht="12.75" x14ac:dyDescent="0.2">
      <c r="I443" s="33"/>
    </row>
    <row r="444" spans="9:9" ht="12.75" x14ac:dyDescent="0.2">
      <c r="I444" s="33"/>
    </row>
    <row r="445" spans="9:9" ht="12.75" x14ac:dyDescent="0.2">
      <c r="I445" s="33"/>
    </row>
    <row r="446" spans="9:9" ht="12.75" x14ac:dyDescent="0.2">
      <c r="I446" s="33"/>
    </row>
    <row r="447" spans="9:9" ht="12.75" x14ac:dyDescent="0.2">
      <c r="I447" s="33"/>
    </row>
    <row r="448" spans="9:9" ht="12.75" x14ac:dyDescent="0.2">
      <c r="I448" s="33"/>
    </row>
    <row r="449" spans="9:9" ht="12.75" x14ac:dyDescent="0.2">
      <c r="I449" s="33"/>
    </row>
    <row r="450" spans="9:9" ht="12.75" x14ac:dyDescent="0.2">
      <c r="I450" s="33"/>
    </row>
    <row r="451" spans="9:9" ht="12.75" x14ac:dyDescent="0.2">
      <c r="I451" s="33"/>
    </row>
    <row r="452" spans="9:9" ht="12.75" x14ac:dyDescent="0.2">
      <c r="I452" s="33"/>
    </row>
    <row r="453" spans="9:9" ht="12.75" x14ac:dyDescent="0.2">
      <c r="I453" s="33"/>
    </row>
    <row r="454" spans="9:9" ht="12.75" x14ac:dyDescent="0.2">
      <c r="I454" s="33"/>
    </row>
    <row r="455" spans="9:9" ht="12.75" x14ac:dyDescent="0.2">
      <c r="I455" s="33"/>
    </row>
    <row r="456" spans="9:9" ht="12.75" x14ac:dyDescent="0.2">
      <c r="I456" s="33"/>
    </row>
    <row r="457" spans="9:9" ht="12.75" x14ac:dyDescent="0.2">
      <c r="I457" s="33"/>
    </row>
    <row r="458" spans="9:9" ht="12.75" x14ac:dyDescent="0.2">
      <c r="I458" s="33"/>
    </row>
    <row r="459" spans="9:9" ht="12.75" x14ac:dyDescent="0.2">
      <c r="I459" s="33"/>
    </row>
    <row r="460" spans="9:9" ht="12.75" x14ac:dyDescent="0.2">
      <c r="I460" s="33"/>
    </row>
    <row r="461" spans="9:9" ht="12.75" x14ac:dyDescent="0.2">
      <c r="I461" s="33"/>
    </row>
    <row r="462" spans="9:9" ht="12.75" x14ac:dyDescent="0.2">
      <c r="I462" s="33"/>
    </row>
    <row r="463" spans="9:9" ht="12.75" x14ac:dyDescent="0.2">
      <c r="I463" s="33"/>
    </row>
    <row r="464" spans="9:9" ht="12.75" x14ac:dyDescent="0.2">
      <c r="I464" s="33"/>
    </row>
    <row r="465" spans="9:9" ht="12.75" x14ac:dyDescent="0.2">
      <c r="I465" s="33"/>
    </row>
    <row r="466" spans="9:9" ht="12.75" x14ac:dyDescent="0.2">
      <c r="I466" s="33"/>
    </row>
    <row r="467" spans="9:9" ht="12.75" x14ac:dyDescent="0.2">
      <c r="I467" s="33"/>
    </row>
    <row r="468" spans="9:9" ht="12.75" x14ac:dyDescent="0.2">
      <c r="I468" s="33"/>
    </row>
    <row r="469" spans="9:9" ht="12.75" x14ac:dyDescent="0.2">
      <c r="I469" s="33"/>
    </row>
    <row r="470" spans="9:9" ht="12.75" x14ac:dyDescent="0.2">
      <c r="I470" s="33"/>
    </row>
    <row r="471" spans="9:9" ht="12.75" x14ac:dyDescent="0.2">
      <c r="I471" s="33"/>
    </row>
    <row r="472" spans="9:9" ht="12.75" x14ac:dyDescent="0.2">
      <c r="I472" s="33"/>
    </row>
    <row r="473" spans="9:9" ht="12.75" x14ac:dyDescent="0.2">
      <c r="I473" s="33"/>
    </row>
    <row r="474" spans="9:9" ht="12.75" x14ac:dyDescent="0.2">
      <c r="I474" s="33"/>
    </row>
    <row r="475" spans="9:9" ht="12.75" x14ac:dyDescent="0.2">
      <c r="I475" s="33"/>
    </row>
    <row r="476" spans="9:9" ht="12.75" x14ac:dyDescent="0.2">
      <c r="I476" s="33"/>
    </row>
    <row r="477" spans="9:9" ht="12.75" x14ac:dyDescent="0.2">
      <c r="I477" s="33"/>
    </row>
    <row r="478" spans="9:9" ht="12.75" x14ac:dyDescent="0.2">
      <c r="I478" s="33"/>
    </row>
    <row r="479" spans="9:9" ht="12.75" x14ac:dyDescent="0.2">
      <c r="I479" s="33"/>
    </row>
    <row r="480" spans="9:9" ht="12.75" x14ac:dyDescent="0.2">
      <c r="I480" s="33"/>
    </row>
    <row r="481" spans="9:9" ht="12.75" x14ac:dyDescent="0.2">
      <c r="I481" s="33"/>
    </row>
    <row r="482" spans="9:9" ht="12.75" x14ac:dyDescent="0.2">
      <c r="I482" s="33"/>
    </row>
    <row r="483" spans="9:9" ht="12.75" x14ac:dyDescent="0.2">
      <c r="I483" s="33"/>
    </row>
    <row r="484" spans="9:9" ht="12.75" x14ac:dyDescent="0.2">
      <c r="I484" s="33"/>
    </row>
    <row r="485" spans="9:9" ht="12.75" x14ac:dyDescent="0.2">
      <c r="I485" s="33"/>
    </row>
    <row r="486" spans="9:9" ht="12.75" x14ac:dyDescent="0.2">
      <c r="I486" s="33"/>
    </row>
    <row r="487" spans="9:9" ht="12.75" x14ac:dyDescent="0.2">
      <c r="I487" s="33"/>
    </row>
    <row r="488" spans="9:9" ht="12.75" x14ac:dyDescent="0.2">
      <c r="I488" s="33"/>
    </row>
    <row r="489" spans="9:9" ht="12.75" x14ac:dyDescent="0.2">
      <c r="I489" s="33"/>
    </row>
    <row r="490" spans="9:9" ht="12.75" x14ac:dyDescent="0.2">
      <c r="I490" s="33"/>
    </row>
    <row r="491" spans="9:9" ht="12.75" x14ac:dyDescent="0.2">
      <c r="I491" s="33"/>
    </row>
    <row r="492" spans="9:9" ht="12.75" x14ac:dyDescent="0.2">
      <c r="I492" s="33"/>
    </row>
    <row r="493" spans="9:9" ht="12.75" x14ac:dyDescent="0.2">
      <c r="I493" s="33"/>
    </row>
    <row r="494" spans="9:9" ht="12.75" x14ac:dyDescent="0.2">
      <c r="I494" s="33"/>
    </row>
    <row r="495" spans="9:9" ht="12.75" x14ac:dyDescent="0.2">
      <c r="I495" s="33"/>
    </row>
    <row r="496" spans="9:9" ht="12.75" x14ac:dyDescent="0.2">
      <c r="I496" s="33"/>
    </row>
    <row r="497" spans="9:9" ht="12.75" x14ac:dyDescent="0.2">
      <c r="I497" s="33"/>
    </row>
    <row r="498" spans="9:9" ht="12.75" x14ac:dyDescent="0.2">
      <c r="I498" s="33"/>
    </row>
    <row r="499" spans="9:9" ht="12.75" x14ac:dyDescent="0.2">
      <c r="I499" s="33"/>
    </row>
    <row r="500" spans="9:9" ht="12.75" x14ac:dyDescent="0.2">
      <c r="I500" s="33"/>
    </row>
    <row r="501" spans="9:9" ht="12.75" x14ac:dyDescent="0.2">
      <c r="I501" s="33"/>
    </row>
    <row r="502" spans="9:9" ht="12.75" x14ac:dyDescent="0.2">
      <c r="I502" s="33"/>
    </row>
    <row r="503" spans="9:9" ht="12.75" x14ac:dyDescent="0.2">
      <c r="I503" s="33"/>
    </row>
    <row r="504" spans="9:9" ht="12.75" x14ac:dyDescent="0.2">
      <c r="I504" s="33"/>
    </row>
    <row r="505" spans="9:9" ht="12.75" x14ac:dyDescent="0.2">
      <c r="I505" s="33"/>
    </row>
    <row r="506" spans="9:9" ht="12.75" x14ac:dyDescent="0.2">
      <c r="I506" s="33"/>
    </row>
    <row r="507" spans="9:9" ht="12.75" x14ac:dyDescent="0.2">
      <c r="I507" s="33"/>
    </row>
    <row r="508" spans="9:9" ht="12.75" x14ac:dyDescent="0.2">
      <c r="I508" s="33"/>
    </row>
    <row r="509" spans="9:9" ht="12.75" x14ac:dyDescent="0.2">
      <c r="I509" s="33"/>
    </row>
    <row r="510" spans="9:9" ht="12.75" x14ac:dyDescent="0.2">
      <c r="I510" s="33"/>
    </row>
    <row r="511" spans="9:9" ht="12.75" x14ac:dyDescent="0.2">
      <c r="I511" s="33"/>
    </row>
    <row r="512" spans="9:9" ht="12.75" x14ac:dyDescent="0.2">
      <c r="I512" s="33"/>
    </row>
    <row r="513" spans="9:9" ht="12.75" x14ac:dyDescent="0.2">
      <c r="I513" s="33"/>
    </row>
    <row r="514" spans="9:9" ht="12.75" x14ac:dyDescent="0.2">
      <c r="I514" s="33"/>
    </row>
    <row r="515" spans="9:9" ht="12.75" x14ac:dyDescent="0.2">
      <c r="I515" s="33"/>
    </row>
    <row r="516" spans="9:9" ht="12.75" x14ac:dyDescent="0.2">
      <c r="I516" s="33"/>
    </row>
    <row r="517" spans="9:9" ht="12.75" x14ac:dyDescent="0.2">
      <c r="I517" s="33"/>
    </row>
    <row r="518" spans="9:9" ht="12.75" x14ac:dyDescent="0.2">
      <c r="I518" s="33"/>
    </row>
    <row r="519" spans="9:9" ht="12.75" x14ac:dyDescent="0.2">
      <c r="I519" s="33"/>
    </row>
    <row r="520" spans="9:9" ht="12.75" x14ac:dyDescent="0.2">
      <c r="I520" s="33"/>
    </row>
    <row r="521" spans="9:9" ht="12.75" x14ac:dyDescent="0.2">
      <c r="I521" s="33"/>
    </row>
    <row r="522" spans="9:9" ht="12.75" x14ac:dyDescent="0.2">
      <c r="I522" s="33"/>
    </row>
    <row r="523" spans="9:9" ht="12.75" x14ac:dyDescent="0.2">
      <c r="I523" s="33"/>
    </row>
    <row r="524" spans="9:9" ht="12.75" x14ac:dyDescent="0.2">
      <c r="I524" s="33"/>
    </row>
    <row r="525" spans="9:9" ht="12.75" x14ac:dyDescent="0.2">
      <c r="I525" s="33"/>
    </row>
    <row r="526" spans="9:9" ht="12.75" x14ac:dyDescent="0.2">
      <c r="I526" s="33"/>
    </row>
    <row r="527" spans="9:9" ht="12.75" x14ac:dyDescent="0.2">
      <c r="I527" s="33"/>
    </row>
    <row r="528" spans="9:9" ht="12.75" x14ac:dyDescent="0.2">
      <c r="I528" s="33"/>
    </row>
    <row r="529" spans="9:9" ht="12.75" x14ac:dyDescent="0.2">
      <c r="I529" s="33"/>
    </row>
    <row r="530" spans="9:9" ht="12.75" x14ac:dyDescent="0.2">
      <c r="I530" s="33"/>
    </row>
    <row r="531" spans="9:9" ht="12.75" x14ac:dyDescent="0.2">
      <c r="I531" s="33"/>
    </row>
    <row r="532" spans="9:9" ht="12.75" x14ac:dyDescent="0.2">
      <c r="I532" s="33"/>
    </row>
    <row r="533" spans="9:9" ht="12.75" x14ac:dyDescent="0.2">
      <c r="I533" s="33"/>
    </row>
    <row r="534" spans="9:9" ht="12.75" x14ac:dyDescent="0.2">
      <c r="I534" s="33"/>
    </row>
    <row r="535" spans="9:9" ht="12.75" x14ac:dyDescent="0.2">
      <c r="I535" s="33"/>
    </row>
    <row r="536" spans="9:9" ht="12.75" x14ac:dyDescent="0.2">
      <c r="I536" s="33"/>
    </row>
    <row r="537" spans="9:9" ht="12.75" x14ac:dyDescent="0.2">
      <c r="I537" s="33"/>
    </row>
    <row r="538" spans="9:9" ht="12.75" x14ac:dyDescent="0.2">
      <c r="I538" s="33"/>
    </row>
    <row r="539" spans="9:9" ht="12.75" x14ac:dyDescent="0.2">
      <c r="I539" s="33"/>
    </row>
    <row r="540" spans="9:9" ht="12.75" x14ac:dyDescent="0.2">
      <c r="I540" s="33"/>
    </row>
    <row r="541" spans="9:9" ht="12.75" x14ac:dyDescent="0.2">
      <c r="I541" s="33"/>
    </row>
    <row r="542" spans="9:9" ht="12.75" x14ac:dyDescent="0.2">
      <c r="I542" s="33"/>
    </row>
    <row r="543" spans="9:9" ht="12.75" x14ac:dyDescent="0.2">
      <c r="I543" s="33"/>
    </row>
    <row r="544" spans="9:9" ht="12.75" x14ac:dyDescent="0.2">
      <c r="I544" s="33"/>
    </row>
    <row r="545" spans="9:9" ht="12.75" x14ac:dyDescent="0.2">
      <c r="I545" s="33"/>
    </row>
    <row r="546" spans="9:9" ht="12.75" x14ac:dyDescent="0.2">
      <c r="I546" s="33"/>
    </row>
    <row r="547" spans="9:9" ht="12.75" x14ac:dyDescent="0.2">
      <c r="I547" s="33"/>
    </row>
    <row r="548" spans="9:9" ht="12.75" x14ac:dyDescent="0.2">
      <c r="I548" s="33"/>
    </row>
    <row r="549" spans="9:9" ht="12.75" x14ac:dyDescent="0.2">
      <c r="I549" s="33"/>
    </row>
    <row r="550" spans="9:9" ht="12.75" x14ac:dyDescent="0.2">
      <c r="I550" s="33"/>
    </row>
    <row r="551" spans="9:9" ht="12.75" x14ac:dyDescent="0.2">
      <c r="I551" s="33"/>
    </row>
    <row r="552" spans="9:9" ht="12.75" x14ac:dyDescent="0.2">
      <c r="I552" s="33"/>
    </row>
    <row r="553" spans="9:9" ht="12.75" x14ac:dyDescent="0.2">
      <c r="I553" s="33"/>
    </row>
    <row r="554" spans="9:9" ht="12.75" x14ac:dyDescent="0.2">
      <c r="I554" s="33"/>
    </row>
    <row r="555" spans="9:9" ht="12.75" x14ac:dyDescent="0.2">
      <c r="I555" s="33"/>
    </row>
    <row r="556" spans="9:9" ht="12.75" x14ac:dyDescent="0.2">
      <c r="I556" s="33"/>
    </row>
    <row r="557" spans="9:9" ht="12.75" x14ac:dyDescent="0.2">
      <c r="I557" s="33"/>
    </row>
    <row r="558" spans="9:9" ht="12.75" x14ac:dyDescent="0.2">
      <c r="I558" s="33"/>
    </row>
    <row r="559" spans="9:9" ht="12.75" x14ac:dyDescent="0.2">
      <c r="I559" s="33"/>
    </row>
    <row r="560" spans="9:9" ht="12.75" x14ac:dyDescent="0.2">
      <c r="I560" s="33"/>
    </row>
    <row r="561" spans="9:9" ht="12.75" x14ac:dyDescent="0.2">
      <c r="I561" s="33"/>
    </row>
    <row r="562" spans="9:9" ht="12.75" x14ac:dyDescent="0.2">
      <c r="I562" s="33"/>
    </row>
    <row r="563" spans="9:9" ht="12.75" x14ac:dyDescent="0.2">
      <c r="I563" s="33"/>
    </row>
    <row r="564" spans="9:9" ht="12.75" x14ac:dyDescent="0.2">
      <c r="I564" s="33"/>
    </row>
    <row r="565" spans="9:9" ht="12.75" x14ac:dyDescent="0.2">
      <c r="I565" s="33"/>
    </row>
    <row r="566" spans="9:9" ht="12.75" x14ac:dyDescent="0.2">
      <c r="I566" s="33"/>
    </row>
    <row r="567" spans="9:9" ht="12.75" x14ac:dyDescent="0.2">
      <c r="I567" s="33"/>
    </row>
    <row r="568" spans="9:9" ht="12.75" x14ac:dyDescent="0.2">
      <c r="I568" s="33"/>
    </row>
    <row r="569" spans="9:9" ht="12.75" x14ac:dyDescent="0.2">
      <c r="I569" s="33"/>
    </row>
    <row r="570" spans="9:9" ht="12.75" x14ac:dyDescent="0.2">
      <c r="I570" s="33"/>
    </row>
    <row r="571" spans="9:9" ht="12.75" x14ac:dyDescent="0.2">
      <c r="I571" s="33"/>
    </row>
    <row r="572" spans="9:9" ht="12.75" x14ac:dyDescent="0.2">
      <c r="I572" s="33"/>
    </row>
    <row r="573" spans="9:9" ht="12.75" x14ac:dyDescent="0.2">
      <c r="I573" s="33"/>
    </row>
    <row r="574" spans="9:9" ht="12.75" x14ac:dyDescent="0.2">
      <c r="I574" s="33"/>
    </row>
    <row r="575" spans="9:9" ht="12.75" x14ac:dyDescent="0.2">
      <c r="I575" s="33"/>
    </row>
    <row r="576" spans="9:9" ht="12.75" x14ac:dyDescent="0.2">
      <c r="I576" s="33"/>
    </row>
    <row r="577" spans="9:9" ht="12.75" x14ac:dyDescent="0.2">
      <c r="I577" s="33"/>
    </row>
    <row r="578" spans="9:9" ht="12.75" x14ac:dyDescent="0.2">
      <c r="I578" s="33"/>
    </row>
    <row r="579" spans="9:9" ht="12.75" x14ac:dyDescent="0.2">
      <c r="I579" s="33"/>
    </row>
    <row r="580" spans="9:9" ht="12.75" x14ac:dyDescent="0.2">
      <c r="I580" s="33"/>
    </row>
    <row r="581" spans="9:9" ht="12.75" x14ac:dyDescent="0.2">
      <c r="I581" s="33"/>
    </row>
    <row r="582" spans="9:9" ht="12.75" x14ac:dyDescent="0.2">
      <c r="I582" s="33"/>
    </row>
    <row r="583" spans="9:9" ht="12.75" x14ac:dyDescent="0.2">
      <c r="I583" s="33"/>
    </row>
    <row r="584" spans="9:9" ht="12.75" x14ac:dyDescent="0.2">
      <c r="I584" s="33"/>
    </row>
    <row r="585" spans="9:9" ht="12.75" x14ac:dyDescent="0.2">
      <c r="I585" s="33"/>
    </row>
    <row r="586" spans="9:9" ht="12.75" x14ac:dyDescent="0.2">
      <c r="I586" s="33"/>
    </row>
    <row r="587" spans="9:9" ht="12.75" x14ac:dyDescent="0.2">
      <c r="I587" s="33"/>
    </row>
    <row r="588" spans="9:9" ht="12.75" x14ac:dyDescent="0.2">
      <c r="I588" s="33"/>
    </row>
    <row r="589" spans="9:9" ht="12.75" x14ac:dyDescent="0.2">
      <c r="I589" s="33"/>
    </row>
    <row r="590" spans="9:9" ht="12.75" x14ac:dyDescent="0.2">
      <c r="I590" s="33"/>
    </row>
    <row r="591" spans="9:9" ht="12.75" x14ac:dyDescent="0.2">
      <c r="I591" s="33"/>
    </row>
    <row r="592" spans="9:9" ht="12.75" x14ac:dyDescent="0.2">
      <c r="I592" s="33"/>
    </row>
    <row r="593" spans="9:9" ht="12.75" x14ac:dyDescent="0.2">
      <c r="I593" s="33"/>
    </row>
    <row r="594" spans="9:9" ht="12.75" x14ac:dyDescent="0.2">
      <c r="I594" s="33"/>
    </row>
    <row r="595" spans="9:9" ht="12.75" x14ac:dyDescent="0.2">
      <c r="I595" s="33"/>
    </row>
    <row r="596" spans="9:9" ht="12.75" x14ac:dyDescent="0.2">
      <c r="I596" s="33"/>
    </row>
    <row r="597" spans="9:9" ht="12.75" x14ac:dyDescent="0.2">
      <c r="I597" s="33"/>
    </row>
    <row r="598" spans="9:9" ht="12.75" x14ac:dyDescent="0.2">
      <c r="I598" s="33"/>
    </row>
    <row r="599" spans="9:9" ht="12.75" x14ac:dyDescent="0.2">
      <c r="I599" s="33"/>
    </row>
    <row r="600" spans="9:9" ht="12.75" x14ac:dyDescent="0.2">
      <c r="I600" s="33"/>
    </row>
    <row r="601" spans="9:9" ht="12.75" x14ac:dyDescent="0.2">
      <c r="I601" s="33"/>
    </row>
    <row r="602" spans="9:9" ht="12.75" x14ac:dyDescent="0.2">
      <c r="I602" s="33"/>
    </row>
    <row r="603" spans="9:9" ht="12.75" x14ac:dyDescent="0.2">
      <c r="I603" s="33"/>
    </row>
    <row r="604" spans="9:9" ht="12.75" x14ac:dyDescent="0.2">
      <c r="I604" s="33"/>
    </row>
    <row r="605" spans="9:9" ht="12.75" x14ac:dyDescent="0.2">
      <c r="I605" s="33"/>
    </row>
    <row r="606" spans="9:9" ht="12.75" x14ac:dyDescent="0.2">
      <c r="I606" s="33"/>
    </row>
    <row r="607" spans="9:9" ht="12.75" x14ac:dyDescent="0.2">
      <c r="I607" s="33"/>
    </row>
    <row r="608" spans="9:9" ht="12.75" x14ac:dyDescent="0.2">
      <c r="I608" s="33"/>
    </row>
    <row r="609" spans="9:9" ht="12.75" x14ac:dyDescent="0.2">
      <c r="I609" s="33"/>
    </row>
    <row r="610" spans="9:9" ht="12.75" x14ac:dyDescent="0.2">
      <c r="I610" s="33"/>
    </row>
    <row r="611" spans="9:9" ht="12.75" x14ac:dyDescent="0.2">
      <c r="I611" s="33"/>
    </row>
    <row r="612" spans="9:9" ht="12.75" x14ac:dyDescent="0.2">
      <c r="I612" s="33"/>
    </row>
    <row r="613" spans="9:9" ht="12.75" x14ac:dyDescent="0.2">
      <c r="I613" s="33"/>
    </row>
    <row r="614" spans="9:9" ht="12.75" x14ac:dyDescent="0.2">
      <c r="I614" s="33"/>
    </row>
    <row r="615" spans="9:9" ht="12.75" x14ac:dyDescent="0.2">
      <c r="I615" s="33"/>
    </row>
    <row r="616" spans="9:9" ht="12.75" x14ac:dyDescent="0.2">
      <c r="I616" s="33"/>
    </row>
    <row r="617" spans="9:9" ht="12.75" x14ac:dyDescent="0.2">
      <c r="I617" s="33"/>
    </row>
    <row r="618" spans="9:9" ht="12.75" x14ac:dyDescent="0.2">
      <c r="I618" s="33"/>
    </row>
    <row r="619" spans="9:9" ht="12.75" x14ac:dyDescent="0.2">
      <c r="I619" s="33"/>
    </row>
    <row r="620" spans="9:9" ht="12.75" x14ac:dyDescent="0.2">
      <c r="I620" s="33"/>
    </row>
    <row r="621" spans="9:9" ht="12.75" x14ac:dyDescent="0.2">
      <c r="I621" s="33"/>
    </row>
    <row r="622" spans="9:9" ht="12.75" x14ac:dyDescent="0.2">
      <c r="I622" s="33"/>
    </row>
    <row r="623" spans="9:9" ht="12.75" x14ac:dyDescent="0.2">
      <c r="I623" s="33"/>
    </row>
    <row r="624" spans="9:9" ht="12.75" x14ac:dyDescent="0.2">
      <c r="I624" s="33"/>
    </row>
    <row r="625" spans="9:9" ht="12.75" x14ac:dyDescent="0.2">
      <c r="I625" s="33"/>
    </row>
    <row r="626" spans="9:9" ht="12.75" x14ac:dyDescent="0.2">
      <c r="I626" s="33"/>
    </row>
    <row r="627" spans="9:9" ht="12.75" x14ac:dyDescent="0.2">
      <c r="I627" s="33"/>
    </row>
    <row r="628" spans="9:9" ht="12.75" x14ac:dyDescent="0.2">
      <c r="I628" s="33"/>
    </row>
    <row r="629" spans="9:9" ht="12.75" x14ac:dyDescent="0.2">
      <c r="I629" s="33"/>
    </row>
    <row r="630" spans="9:9" ht="12.75" x14ac:dyDescent="0.2">
      <c r="I630" s="33"/>
    </row>
    <row r="631" spans="9:9" ht="12.75" x14ac:dyDescent="0.2">
      <c r="I631" s="33"/>
    </row>
    <row r="632" spans="9:9" ht="12.75" x14ac:dyDescent="0.2">
      <c r="I632" s="33"/>
    </row>
    <row r="633" spans="9:9" ht="12.75" x14ac:dyDescent="0.2">
      <c r="I633" s="33"/>
    </row>
    <row r="634" spans="9:9" ht="12.75" x14ac:dyDescent="0.2">
      <c r="I634" s="33"/>
    </row>
    <row r="635" spans="9:9" ht="12.75" x14ac:dyDescent="0.2">
      <c r="I635" s="33"/>
    </row>
    <row r="636" spans="9:9" ht="12.75" x14ac:dyDescent="0.2">
      <c r="I636" s="33"/>
    </row>
    <row r="637" spans="9:9" ht="12.75" x14ac:dyDescent="0.2">
      <c r="I637" s="33"/>
    </row>
    <row r="638" spans="9:9" ht="12.75" x14ac:dyDescent="0.2">
      <c r="I638" s="33"/>
    </row>
    <row r="639" spans="9:9" ht="12.75" x14ac:dyDescent="0.2">
      <c r="I639" s="33"/>
    </row>
    <row r="640" spans="9:9" ht="12.75" x14ac:dyDescent="0.2">
      <c r="I640" s="33"/>
    </row>
    <row r="641" spans="9:9" ht="12.75" x14ac:dyDescent="0.2">
      <c r="I641" s="33"/>
    </row>
    <row r="642" spans="9:9" ht="12.75" x14ac:dyDescent="0.2">
      <c r="I642" s="33"/>
    </row>
    <row r="643" spans="9:9" ht="12.75" x14ac:dyDescent="0.2">
      <c r="I643" s="33"/>
    </row>
    <row r="644" spans="9:9" ht="12.75" x14ac:dyDescent="0.2">
      <c r="I644" s="33"/>
    </row>
    <row r="645" spans="9:9" ht="12.75" x14ac:dyDescent="0.2">
      <c r="I645" s="33"/>
    </row>
    <row r="646" spans="9:9" ht="12.75" x14ac:dyDescent="0.2">
      <c r="I646" s="33"/>
    </row>
    <row r="647" spans="9:9" ht="12.75" x14ac:dyDescent="0.2">
      <c r="I647" s="33"/>
    </row>
    <row r="648" spans="9:9" ht="12.75" x14ac:dyDescent="0.2">
      <c r="I648" s="33"/>
    </row>
    <row r="649" spans="9:9" ht="12.75" x14ac:dyDescent="0.2">
      <c r="I649" s="33"/>
    </row>
    <row r="650" spans="9:9" ht="12.75" x14ac:dyDescent="0.2">
      <c r="I650" s="33"/>
    </row>
    <row r="651" spans="9:9" ht="12.75" x14ac:dyDescent="0.2">
      <c r="I651" s="33"/>
    </row>
    <row r="652" spans="9:9" ht="12.75" x14ac:dyDescent="0.2">
      <c r="I652" s="33"/>
    </row>
    <row r="653" spans="9:9" ht="12.75" x14ac:dyDescent="0.2">
      <c r="I653" s="33"/>
    </row>
    <row r="654" spans="9:9" ht="12.75" x14ac:dyDescent="0.2">
      <c r="I654" s="33"/>
    </row>
    <row r="655" spans="9:9" ht="12.75" x14ac:dyDescent="0.2">
      <c r="I655" s="33"/>
    </row>
    <row r="656" spans="9:9" ht="12.75" x14ac:dyDescent="0.2">
      <c r="I656" s="33"/>
    </row>
    <row r="657" spans="9:9" ht="12.75" x14ac:dyDescent="0.2">
      <c r="I657" s="33"/>
    </row>
    <row r="658" spans="9:9" ht="12.75" x14ac:dyDescent="0.2">
      <c r="I658" s="33"/>
    </row>
    <row r="659" spans="9:9" ht="12.75" x14ac:dyDescent="0.2">
      <c r="I659" s="33"/>
    </row>
    <row r="660" spans="9:9" ht="12.75" x14ac:dyDescent="0.2">
      <c r="I660" s="33"/>
    </row>
    <row r="661" spans="9:9" ht="12.75" x14ac:dyDescent="0.2">
      <c r="I661" s="33"/>
    </row>
    <row r="662" spans="9:9" ht="12.75" x14ac:dyDescent="0.2">
      <c r="I662" s="33"/>
    </row>
    <row r="663" spans="9:9" ht="12.75" x14ac:dyDescent="0.2">
      <c r="I663" s="33"/>
    </row>
    <row r="664" spans="9:9" ht="12.75" x14ac:dyDescent="0.2">
      <c r="I664" s="33"/>
    </row>
    <row r="665" spans="9:9" ht="12.75" x14ac:dyDescent="0.2">
      <c r="I665" s="33"/>
    </row>
    <row r="666" spans="9:9" ht="12.75" x14ac:dyDescent="0.2">
      <c r="I666" s="33"/>
    </row>
    <row r="667" spans="9:9" ht="12.75" x14ac:dyDescent="0.2">
      <c r="I667" s="33"/>
    </row>
    <row r="668" spans="9:9" ht="12.75" x14ac:dyDescent="0.2">
      <c r="I668" s="33"/>
    </row>
    <row r="669" spans="9:9" ht="12.75" x14ac:dyDescent="0.2">
      <c r="I669" s="33"/>
    </row>
    <row r="670" spans="9:9" ht="12.75" x14ac:dyDescent="0.2">
      <c r="I670" s="33"/>
    </row>
    <row r="671" spans="9:9" ht="12.75" x14ac:dyDescent="0.2">
      <c r="I671" s="33"/>
    </row>
    <row r="672" spans="9:9" ht="12.75" x14ac:dyDescent="0.2">
      <c r="I672" s="33"/>
    </row>
    <row r="673" spans="9:9" ht="12.75" x14ac:dyDescent="0.2">
      <c r="I673" s="33"/>
    </row>
    <row r="674" spans="9:9" ht="12.75" x14ac:dyDescent="0.2">
      <c r="I674" s="33"/>
    </row>
    <row r="675" spans="9:9" ht="12.75" x14ac:dyDescent="0.2">
      <c r="I675" s="33"/>
    </row>
    <row r="676" spans="9:9" ht="12.75" x14ac:dyDescent="0.2">
      <c r="I676" s="33"/>
    </row>
    <row r="677" spans="9:9" ht="12.75" x14ac:dyDescent="0.2">
      <c r="I677" s="33"/>
    </row>
    <row r="678" spans="9:9" ht="12.75" x14ac:dyDescent="0.2">
      <c r="I678" s="33"/>
    </row>
    <row r="679" spans="9:9" ht="12.75" x14ac:dyDescent="0.2">
      <c r="I679" s="33"/>
    </row>
    <row r="680" spans="9:9" ht="12.75" x14ac:dyDescent="0.2">
      <c r="I680" s="33"/>
    </row>
    <row r="681" spans="9:9" ht="12.75" x14ac:dyDescent="0.2">
      <c r="I681" s="33"/>
    </row>
    <row r="682" spans="9:9" ht="12.75" x14ac:dyDescent="0.2">
      <c r="I682" s="33"/>
    </row>
    <row r="683" spans="9:9" ht="12.75" x14ac:dyDescent="0.2">
      <c r="I683" s="33"/>
    </row>
    <row r="684" spans="9:9" ht="12.75" x14ac:dyDescent="0.2">
      <c r="I684" s="33"/>
    </row>
    <row r="685" spans="9:9" ht="12.75" x14ac:dyDescent="0.2">
      <c r="I685" s="33"/>
    </row>
    <row r="686" spans="9:9" ht="12.75" x14ac:dyDescent="0.2">
      <c r="I686" s="33"/>
    </row>
    <row r="687" spans="9:9" ht="12.75" x14ac:dyDescent="0.2">
      <c r="I687" s="33"/>
    </row>
    <row r="688" spans="9:9" ht="12.75" x14ac:dyDescent="0.2">
      <c r="I688" s="33"/>
    </row>
    <row r="689" spans="9:9" ht="12.75" x14ac:dyDescent="0.2">
      <c r="I689" s="33"/>
    </row>
    <row r="690" spans="9:9" ht="12.75" x14ac:dyDescent="0.2">
      <c r="I690" s="33"/>
    </row>
    <row r="691" spans="9:9" ht="12.75" x14ac:dyDescent="0.2">
      <c r="I691" s="33"/>
    </row>
    <row r="692" spans="9:9" ht="12.75" x14ac:dyDescent="0.2">
      <c r="I692" s="33"/>
    </row>
    <row r="693" spans="9:9" ht="12.75" x14ac:dyDescent="0.2">
      <c r="I693" s="33"/>
    </row>
    <row r="694" spans="9:9" ht="12.75" x14ac:dyDescent="0.2">
      <c r="I694" s="33"/>
    </row>
    <row r="695" spans="9:9" ht="12.75" x14ac:dyDescent="0.2">
      <c r="I695" s="33"/>
    </row>
    <row r="696" spans="9:9" ht="12.75" x14ac:dyDescent="0.2">
      <c r="I696" s="33"/>
    </row>
    <row r="697" spans="9:9" ht="12.75" x14ac:dyDescent="0.2">
      <c r="I697" s="33"/>
    </row>
    <row r="698" spans="9:9" ht="12.75" x14ac:dyDescent="0.2">
      <c r="I698" s="33"/>
    </row>
    <row r="699" spans="9:9" ht="12.75" x14ac:dyDescent="0.2">
      <c r="I699" s="33"/>
    </row>
    <row r="700" spans="9:9" ht="12.75" x14ac:dyDescent="0.2">
      <c r="I700" s="33"/>
    </row>
    <row r="701" spans="9:9" ht="12.75" x14ac:dyDescent="0.2">
      <c r="I701" s="33"/>
    </row>
    <row r="702" spans="9:9" ht="12.75" x14ac:dyDescent="0.2">
      <c r="I702" s="33"/>
    </row>
    <row r="703" spans="9:9" ht="12.75" x14ac:dyDescent="0.2">
      <c r="I703" s="33"/>
    </row>
    <row r="704" spans="9:9" ht="12.75" x14ac:dyDescent="0.2">
      <c r="I704" s="33"/>
    </row>
    <row r="705" spans="9:9" ht="12.75" x14ac:dyDescent="0.2">
      <c r="I705" s="33"/>
    </row>
    <row r="706" spans="9:9" ht="12.75" x14ac:dyDescent="0.2">
      <c r="I706" s="33"/>
    </row>
    <row r="707" spans="9:9" ht="12.75" x14ac:dyDescent="0.2">
      <c r="I707" s="33"/>
    </row>
    <row r="708" spans="9:9" ht="12.75" x14ac:dyDescent="0.2">
      <c r="I708" s="33"/>
    </row>
    <row r="709" spans="9:9" ht="12.75" x14ac:dyDescent="0.2">
      <c r="I709" s="33"/>
    </row>
    <row r="710" spans="9:9" ht="12.75" x14ac:dyDescent="0.2">
      <c r="I710" s="33"/>
    </row>
    <row r="711" spans="9:9" ht="12.75" x14ac:dyDescent="0.2">
      <c r="I711" s="33"/>
    </row>
    <row r="712" spans="9:9" ht="12.75" x14ac:dyDescent="0.2">
      <c r="I712" s="33"/>
    </row>
    <row r="713" spans="9:9" ht="12.75" x14ac:dyDescent="0.2">
      <c r="I713" s="33"/>
    </row>
    <row r="714" spans="9:9" ht="12.75" x14ac:dyDescent="0.2">
      <c r="I714" s="33"/>
    </row>
    <row r="715" spans="9:9" ht="12.75" x14ac:dyDescent="0.2">
      <c r="I715" s="33"/>
    </row>
    <row r="716" spans="9:9" ht="12.75" x14ac:dyDescent="0.2">
      <c r="I716" s="33"/>
    </row>
    <row r="717" spans="9:9" ht="12.75" x14ac:dyDescent="0.2">
      <c r="I717" s="33"/>
    </row>
    <row r="718" spans="9:9" ht="12.75" x14ac:dyDescent="0.2">
      <c r="I718" s="33"/>
    </row>
    <row r="719" spans="9:9" ht="12.75" x14ac:dyDescent="0.2">
      <c r="I719" s="33"/>
    </row>
    <row r="720" spans="9:9" ht="12.75" x14ac:dyDescent="0.2">
      <c r="I720" s="33"/>
    </row>
    <row r="721" spans="9:9" ht="12.75" x14ac:dyDescent="0.2">
      <c r="I721" s="33"/>
    </row>
    <row r="722" spans="9:9" ht="12.75" x14ac:dyDescent="0.2">
      <c r="I722" s="33"/>
    </row>
    <row r="723" spans="9:9" ht="12.75" x14ac:dyDescent="0.2">
      <c r="I723" s="33"/>
    </row>
    <row r="724" spans="9:9" ht="12.75" x14ac:dyDescent="0.2">
      <c r="I724" s="33"/>
    </row>
    <row r="725" spans="9:9" ht="12.75" x14ac:dyDescent="0.2">
      <c r="I725" s="33"/>
    </row>
    <row r="726" spans="9:9" ht="12.75" x14ac:dyDescent="0.2">
      <c r="I726" s="33"/>
    </row>
    <row r="727" spans="9:9" ht="12.75" x14ac:dyDescent="0.2">
      <c r="I727" s="33"/>
    </row>
    <row r="728" spans="9:9" ht="12.75" x14ac:dyDescent="0.2">
      <c r="I728" s="33"/>
    </row>
    <row r="729" spans="9:9" ht="12.75" x14ac:dyDescent="0.2">
      <c r="I729" s="33"/>
    </row>
    <row r="730" spans="9:9" ht="12.75" x14ac:dyDescent="0.2">
      <c r="I730" s="33"/>
    </row>
    <row r="731" spans="9:9" ht="12.75" x14ac:dyDescent="0.2">
      <c r="I731" s="33"/>
    </row>
    <row r="732" spans="9:9" ht="12.75" x14ac:dyDescent="0.2">
      <c r="I732" s="33"/>
    </row>
    <row r="733" spans="9:9" ht="12.75" x14ac:dyDescent="0.2">
      <c r="I733" s="33"/>
    </row>
    <row r="734" spans="9:9" ht="12.75" x14ac:dyDescent="0.2">
      <c r="I734" s="33"/>
    </row>
    <row r="735" spans="9:9" ht="12.75" x14ac:dyDescent="0.2">
      <c r="I735" s="33"/>
    </row>
    <row r="736" spans="9:9" ht="12.75" x14ac:dyDescent="0.2">
      <c r="I736" s="33"/>
    </row>
    <row r="737" spans="9:9" ht="12.75" x14ac:dyDescent="0.2">
      <c r="I737" s="33"/>
    </row>
    <row r="738" spans="9:9" ht="12.75" x14ac:dyDescent="0.2">
      <c r="I738" s="33"/>
    </row>
    <row r="739" spans="9:9" ht="12.75" x14ac:dyDescent="0.2">
      <c r="I739" s="33"/>
    </row>
    <row r="740" spans="9:9" ht="12.75" x14ac:dyDescent="0.2">
      <c r="I740" s="33"/>
    </row>
    <row r="741" spans="9:9" ht="12.75" x14ac:dyDescent="0.2">
      <c r="I741" s="33"/>
    </row>
    <row r="742" spans="9:9" ht="12.75" x14ac:dyDescent="0.2">
      <c r="I742" s="33"/>
    </row>
    <row r="743" spans="9:9" ht="12.75" x14ac:dyDescent="0.2">
      <c r="I743" s="33"/>
    </row>
    <row r="744" spans="9:9" ht="12.75" x14ac:dyDescent="0.2">
      <c r="I744" s="33"/>
    </row>
    <row r="745" spans="9:9" ht="12.75" x14ac:dyDescent="0.2">
      <c r="I745" s="33"/>
    </row>
    <row r="746" spans="9:9" ht="12.75" x14ac:dyDescent="0.2">
      <c r="I746" s="33"/>
    </row>
    <row r="747" spans="9:9" ht="12.75" x14ac:dyDescent="0.2">
      <c r="I747" s="33"/>
    </row>
    <row r="748" spans="9:9" ht="12.75" x14ac:dyDescent="0.2">
      <c r="I748" s="33"/>
    </row>
    <row r="749" spans="9:9" ht="12.75" x14ac:dyDescent="0.2">
      <c r="I749" s="33"/>
    </row>
    <row r="750" spans="9:9" ht="12.75" x14ac:dyDescent="0.2">
      <c r="I750" s="33"/>
    </row>
    <row r="751" spans="9:9" ht="12.75" x14ac:dyDescent="0.2">
      <c r="I751" s="33"/>
    </row>
    <row r="752" spans="9:9" ht="12.75" x14ac:dyDescent="0.2">
      <c r="I752" s="33"/>
    </row>
    <row r="753" spans="9:9" ht="12.75" x14ac:dyDescent="0.2">
      <c r="I753" s="33"/>
    </row>
    <row r="754" spans="9:9" ht="12.75" x14ac:dyDescent="0.2">
      <c r="I754" s="33"/>
    </row>
    <row r="755" spans="9:9" ht="12.75" x14ac:dyDescent="0.2">
      <c r="I755" s="33"/>
    </row>
    <row r="756" spans="9:9" ht="12.75" x14ac:dyDescent="0.2">
      <c r="I756" s="33"/>
    </row>
    <row r="757" spans="9:9" ht="12.75" x14ac:dyDescent="0.2">
      <c r="I757" s="33"/>
    </row>
    <row r="758" spans="9:9" ht="12.75" x14ac:dyDescent="0.2">
      <c r="I758" s="33"/>
    </row>
    <row r="759" spans="9:9" ht="12.75" x14ac:dyDescent="0.2">
      <c r="I759" s="33"/>
    </row>
    <row r="760" spans="9:9" ht="12.75" x14ac:dyDescent="0.2">
      <c r="I760" s="33"/>
    </row>
    <row r="761" spans="9:9" ht="12.75" x14ac:dyDescent="0.2">
      <c r="I761" s="33"/>
    </row>
    <row r="762" spans="9:9" ht="12.75" x14ac:dyDescent="0.2">
      <c r="I762" s="33"/>
    </row>
    <row r="763" spans="9:9" ht="12.75" x14ac:dyDescent="0.2">
      <c r="I763" s="33"/>
    </row>
    <row r="764" spans="9:9" ht="12.75" x14ac:dyDescent="0.2">
      <c r="I764" s="33"/>
    </row>
    <row r="765" spans="9:9" ht="12.75" x14ac:dyDescent="0.2">
      <c r="I765" s="33"/>
    </row>
    <row r="766" spans="9:9" ht="12.75" x14ac:dyDescent="0.2">
      <c r="I766" s="33"/>
    </row>
    <row r="767" spans="9:9" ht="12.75" x14ac:dyDescent="0.2">
      <c r="I767" s="33"/>
    </row>
    <row r="768" spans="9:9" ht="12.75" x14ac:dyDescent="0.2">
      <c r="I768" s="33"/>
    </row>
    <row r="769" spans="9:9" ht="12.75" x14ac:dyDescent="0.2">
      <c r="I769" s="33"/>
    </row>
    <row r="770" spans="9:9" ht="12.75" x14ac:dyDescent="0.2">
      <c r="I770" s="33"/>
    </row>
    <row r="771" spans="9:9" ht="12.75" x14ac:dyDescent="0.2">
      <c r="I771" s="33"/>
    </row>
    <row r="772" spans="9:9" ht="12.75" x14ac:dyDescent="0.2">
      <c r="I772" s="33"/>
    </row>
    <row r="773" spans="9:9" ht="12.75" x14ac:dyDescent="0.2">
      <c r="I773" s="33"/>
    </row>
    <row r="774" spans="9:9" ht="12.75" x14ac:dyDescent="0.2">
      <c r="I774" s="33"/>
    </row>
    <row r="775" spans="9:9" ht="12.75" x14ac:dyDescent="0.2">
      <c r="I775" s="33"/>
    </row>
    <row r="776" spans="9:9" ht="12.75" x14ac:dyDescent="0.2">
      <c r="I776" s="33"/>
    </row>
    <row r="777" spans="9:9" ht="12.75" x14ac:dyDescent="0.2">
      <c r="I777" s="33"/>
    </row>
    <row r="778" spans="9:9" ht="12.75" x14ac:dyDescent="0.2">
      <c r="I778" s="33"/>
    </row>
    <row r="779" spans="9:9" ht="12.75" x14ac:dyDescent="0.2">
      <c r="I779" s="33"/>
    </row>
    <row r="780" spans="9:9" ht="12.75" x14ac:dyDescent="0.2">
      <c r="I780" s="33"/>
    </row>
    <row r="781" spans="9:9" ht="12.75" x14ac:dyDescent="0.2">
      <c r="I781" s="33"/>
    </row>
    <row r="782" spans="9:9" ht="12.75" x14ac:dyDescent="0.2">
      <c r="I782" s="33"/>
    </row>
    <row r="783" spans="9:9" ht="12.75" x14ac:dyDescent="0.2">
      <c r="I783" s="33"/>
    </row>
    <row r="784" spans="9:9" ht="12.75" x14ac:dyDescent="0.2">
      <c r="I784" s="33"/>
    </row>
    <row r="785" spans="9:9" ht="12.75" x14ac:dyDescent="0.2">
      <c r="I785" s="33"/>
    </row>
    <row r="786" spans="9:9" ht="12.75" x14ac:dyDescent="0.2">
      <c r="I786" s="33"/>
    </row>
    <row r="787" spans="9:9" ht="12.75" x14ac:dyDescent="0.2">
      <c r="I787" s="33"/>
    </row>
    <row r="788" spans="9:9" ht="12.75" x14ac:dyDescent="0.2">
      <c r="I788" s="33"/>
    </row>
    <row r="789" spans="9:9" ht="12.75" x14ac:dyDescent="0.2">
      <c r="I789" s="33"/>
    </row>
    <row r="790" spans="9:9" ht="12.75" x14ac:dyDescent="0.2">
      <c r="I790" s="33"/>
    </row>
    <row r="791" spans="9:9" ht="12.75" x14ac:dyDescent="0.2">
      <c r="I791" s="33"/>
    </row>
    <row r="792" spans="9:9" ht="12.75" x14ac:dyDescent="0.2">
      <c r="I792" s="33"/>
    </row>
    <row r="793" spans="9:9" ht="12.75" x14ac:dyDescent="0.2">
      <c r="I793" s="33"/>
    </row>
    <row r="794" spans="9:9" ht="12.75" x14ac:dyDescent="0.2">
      <c r="I794" s="33"/>
    </row>
    <row r="795" spans="9:9" ht="12.75" x14ac:dyDescent="0.2">
      <c r="I795" s="33"/>
    </row>
    <row r="796" spans="9:9" ht="12.75" x14ac:dyDescent="0.2">
      <c r="I796" s="33"/>
    </row>
    <row r="797" spans="9:9" ht="12.75" x14ac:dyDescent="0.2">
      <c r="I797" s="33"/>
    </row>
    <row r="798" spans="9:9" ht="12.75" x14ac:dyDescent="0.2">
      <c r="I798" s="33"/>
    </row>
    <row r="799" spans="9:9" ht="12.75" x14ac:dyDescent="0.2">
      <c r="I799" s="33"/>
    </row>
    <row r="800" spans="9:9" ht="12.75" x14ac:dyDescent="0.2">
      <c r="I800" s="33"/>
    </row>
    <row r="801" spans="9:9" ht="12.75" x14ac:dyDescent="0.2">
      <c r="I801" s="33"/>
    </row>
    <row r="802" spans="9:9" ht="12.75" x14ac:dyDescent="0.2">
      <c r="I802" s="33"/>
    </row>
    <row r="803" spans="9:9" ht="12.75" x14ac:dyDescent="0.2">
      <c r="I803" s="33"/>
    </row>
    <row r="804" spans="9:9" ht="12.75" x14ac:dyDescent="0.2">
      <c r="I804" s="33"/>
    </row>
    <row r="805" spans="9:9" ht="12.75" x14ac:dyDescent="0.2">
      <c r="I805" s="33"/>
    </row>
    <row r="806" spans="9:9" ht="12.75" x14ac:dyDescent="0.2">
      <c r="I806" s="33"/>
    </row>
    <row r="807" spans="9:9" ht="12.75" x14ac:dyDescent="0.2">
      <c r="I807" s="33"/>
    </row>
    <row r="808" spans="9:9" ht="12.75" x14ac:dyDescent="0.2">
      <c r="I808" s="33"/>
    </row>
    <row r="809" spans="9:9" ht="12.75" x14ac:dyDescent="0.2">
      <c r="I809" s="33"/>
    </row>
    <row r="810" spans="9:9" ht="12.75" x14ac:dyDescent="0.2">
      <c r="I810" s="33"/>
    </row>
    <row r="811" spans="9:9" ht="12.75" x14ac:dyDescent="0.2">
      <c r="I811" s="33"/>
    </row>
    <row r="812" spans="9:9" ht="12.75" x14ac:dyDescent="0.2">
      <c r="I812" s="33"/>
    </row>
    <row r="813" spans="9:9" ht="12.75" x14ac:dyDescent="0.2">
      <c r="I813" s="33"/>
    </row>
    <row r="814" spans="9:9" ht="12.75" x14ac:dyDescent="0.2">
      <c r="I814" s="33"/>
    </row>
    <row r="815" spans="9:9" ht="12.75" x14ac:dyDescent="0.2">
      <c r="I815" s="33"/>
    </row>
    <row r="816" spans="9:9" ht="12.75" x14ac:dyDescent="0.2">
      <c r="I816" s="33"/>
    </row>
    <row r="817" spans="9:9" ht="12.75" x14ac:dyDescent="0.2">
      <c r="I817" s="33"/>
    </row>
    <row r="818" spans="9:9" ht="12.75" x14ac:dyDescent="0.2">
      <c r="I818" s="33"/>
    </row>
    <row r="819" spans="9:9" ht="12.75" x14ac:dyDescent="0.2">
      <c r="I819" s="33"/>
    </row>
    <row r="820" spans="9:9" ht="12.75" x14ac:dyDescent="0.2">
      <c r="I820" s="33"/>
    </row>
    <row r="821" spans="9:9" ht="12.75" x14ac:dyDescent="0.2">
      <c r="I821" s="33"/>
    </row>
    <row r="822" spans="9:9" ht="12.75" x14ac:dyDescent="0.2">
      <c r="I822" s="33"/>
    </row>
    <row r="823" spans="9:9" ht="12.75" x14ac:dyDescent="0.2">
      <c r="I823" s="33"/>
    </row>
    <row r="824" spans="9:9" ht="12.75" x14ac:dyDescent="0.2">
      <c r="I824" s="33"/>
    </row>
    <row r="825" spans="9:9" ht="12.75" x14ac:dyDescent="0.2">
      <c r="I825" s="33"/>
    </row>
    <row r="826" spans="9:9" ht="12.75" x14ac:dyDescent="0.2">
      <c r="I826" s="33"/>
    </row>
    <row r="827" spans="9:9" ht="12.75" x14ac:dyDescent="0.2">
      <c r="I827" s="33"/>
    </row>
    <row r="828" spans="9:9" ht="12.75" x14ac:dyDescent="0.2">
      <c r="I828" s="33"/>
    </row>
    <row r="829" spans="9:9" ht="12.75" x14ac:dyDescent="0.2">
      <c r="I829" s="33"/>
    </row>
    <row r="830" spans="9:9" ht="12.75" x14ac:dyDescent="0.2">
      <c r="I830" s="33"/>
    </row>
    <row r="831" spans="9:9" ht="12.75" x14ac:dyDescent="0.2">
      <c r="I831" s="33"/>
    </row>
    <row r="832" spans="9:9" ht="12.75" x14ac:dyDescent="0.2">
      <c r="I832" s="33"/>
    </row>
    <row r="833" spans="9:9" ht="12.75" x14ac:dyDescent="0.2">
      <c r="I833" s="33"/>
    </row>
    <row r="834" spans="9:9" ht="12.75" x14ac:dyDescent="0.2">
      <c r="I834" s="33"/>
    </row>
    <row r="835" spans="9:9" ht="12.75" x14ac:dyDescent="0.2">
      <c r="I835" s="33"/>
    </row>
    <row r="836" spans="9:9" ht="12.75" x14ac:dyDescent="0.2">
      <c r="I836" s="33"/>
    </row>
    <row r="837" spans="9:9" ht="12.75" x14ac:dyDescent="0.2">
      <c r="I837" s="33"/>
    </row>
    <row r="838" spans="9:9" ht="12.75" x14ac:dyDescent="0.2">
      <c r="I838" s="33"/>
    </row>
    <row r="839" spans="9:9" ht="12.75" x14ac:dyDescent="0.2">
      <c r="I839" s="33"/>
    </row>
    <row r="840" spans="9:9" ht="12.75" x14ac:dyDescent="0.2">
      <c r="I840" s="33"/>
    </row>
    <row r="841" spans="9:9" ht="12.75" x14ac:dyDescent="0.2">
      <c r="I841" s="33"/>
    </row>
    <row r="842" spans="9:9" ht="12.75" x14ac:dyDescent="0.2">
      <c r="I842" s="33"/>
    </row>
    <row r="843" spans="9:9" ht="12.75" x14ac:dyDescent="0.2">
      <c r="I843" s="33"/>
    </row>
    <row r="844" spans="9:9" ht="12.75" x14ac:dyDescent="0.2">
      <c r="I844" s="33"/>
    </row>
    <row r="845" spans="9:9" ht="12.75" x14ac:dyDescent="0.2">
      <c r="I845" s="33"/>
    </row>
    <row r="846" spans="9:9" ht="12.75" x14ac:dyDescent="0.2">
      <c r="I846" s="33"/>
    </row>
    <row r="847" spans="9:9" ht="12.75" x14ac:dyDescent="0.2">
      <c r="I847" s="33"/>
    </row>
    <row r="848" spans="9:9" ht="12.75" x14ac:dyDescent="0.2">
      <c r="I848" s="33"/>
    </row>
    <row r="849" spans="9:9" ht="12.75" x14ac:dyDescent="0.2">
      <c r="I849" s="33"/>
    </row>
    <row r="850" spans="9:9" ht="12.75" x14ac:dyDescent="0.2">
      <c r="I850" s="33"/>
    </row>
    <row r="851" spans="9:9" ht="12.75" x14ac:dyDescent="0.2">
      <c r="I851" s="33"/>
    </row>
    <row r="852" spans="9:9" ht="12.75" x14ac:dyDescent="0.2">
      <c r="I852" s="33"/>
    </row>
    <row r="853" spans="9:9" ht="12.75" x14ac:dyDescent="0.2">
      <c r="I853" s="33"/>
    </row>
    <row r="854" spans="9:9" ht="12.75" x14ac:dyDescent="0.2">
      <c r="I854" s="33"/>
    </row>
    <row r="855" spans="9:9" ht="12.75" x14ac:dyDescent="0.2">
      <c r="I855" s="33"/>
    </row>
    <row r="856" spans="9:9" ht="12.75" x14ac:dyDescent="0.2">
      <c r="I856" s="33"/>
    </row>
    <row r="857" spans="9:9" ht="12.75" x14ac:dyDescent="0.2">
      <c r="I857" s="33"/>
    </row>
    <row r="858" spans="9:9" ht="12.75" x14ac:dyDescent="0.2">
      <c r="I858" s="33"/>
    </row>
    <row r="859" spans="9:9" ht="12.75" x14ac:dyDescent="0.2">
      <c r="I859" s="33"/>
    </row>
    <row r="860" spans="9:9" ht="12.75" x14ac:dyDescent="0.2">
      <c r="I860" s="33"/>
    </row>
    <row r="861" spans="9:9" ht="12.75" x14ac:dyDescent="0.2">
      <c r="I861" s="33"/>
    </row>
    <row r="862" spans="9:9" ht="12.75" x14ac:dyDescent="0.2">
      <c r="I862" s="33"/>
    </row>
    <row r="863" spans="9:9" ht="12.75" x14ac:dyDescent="0.2">
      <c r="I863" s="33"/>
    </row>
    <row r="864" spans="9:9" ht="12.75" x14ac:dyDescent="0.2">
      <c r="I864" s="33"/>
    </row>
    <row r="865" spans="9:9" ht="12.75" x14ac:dyDescent="0.2">
      <c r="I865" s="33"/>
    </row>
    <row r="866" spans="9:9" ht="12.75" x14ac:dyDescent="0.2">
      <c r="I866" s="33"/>
    </row>
    <row r="867" spans="9:9" ht="12.75" x14ac:dyDescent="0.2">
      <c r="I867" s="33"/>
    </row>
    <row r="868" spans="9:9" ht="12.75" x14ac:dyDescent="0.2">
      <c r="I868" s="33"/>
    </row>
    <row r="869" spans="9:9" ht="12.75" x14ac:dyDescent="0.2">
      <c r="I869" s="33"/>
    </row>
    <row r="870" spans="9:9" ht="12.75" x14ac:dyDescent="0.2">
      <c r="I870" s="33"/>
    </row>
    <row r="871" spans="9:9" ht="12.75" x14ac:dyDescent="0.2">
      <c r="I871" s="33"/>
    </row>
    <row r="872" spans="9:9" ht="12.75" x14ac:dyDescent="0.2">
      <c r="I872" s="33"/>
    </row>
    <row r="873" spans="9:9" ht="12.75" x14ac:dyDescent="0.2">
      <c r="I873" s="33"/>
    </row>
    <row r="874" spans="9:9" ht="12.75" x14ac:dyDescent="0.2">
      <c r="I874" s="33"/>
    </row>
    <row r="875" spans="9:9" ht="12.75" x14ac:dyDescent="0.2">
      <c r="I875" s="33"/>
    </row>
    <row r="876" spans="9:9" ht="12.75" x14ac:dyDescent="0.2">
      <c r="I876" s="33"/>
    </row>
    <row r="877" spans="9:9" ht="12.75" x14ac:dyDescent="0.2">
      <c r="I877" s="33"/>
    </row>
    <row r="878" spans="9:9" ht="12.75" x14ac:dyDescent="0.2">
      <c r="I878" s="33"/>
    </row>
    <row r="879" spans="9:9" ht="12.75" x14ac:dyDescent="0.2">
      <c r="I879" s="33"/>
    </row>
    <row r="880" spans="9:9" ht="12.75" x14ac:dyDescent="0.2">
      <c r="I880" s="33"/>
    </row>
    <row r="881" spans="9:9" ht="12.75" x14ac:dyDescent="0.2">
      <c r="I881" s="33"/>
    </row>
    <row r="882" spans="9:9" ht="12.75" x14ac:dyDescent="0.2">
      <c r="I882" s="33"/>
    </row>
    <row r="883" spans="9:9" ht="12.75" x14ac:dyDescent="0.2">
      <c r="I883" s="33"/>
    </row>
    <row r="884" spans="9:9" ht="12.75" x14ac:dyDescent="0.2">
      <c r="I884" s="33"/>
    </row>
    <row r="885" spans="9:9" ht="12.75" x14ac:dyDescent="0.2">
      <c r="I885" s="33"/>
    </row>
    <row r="886" spans="9:9" ht="12.75" x14ac:dyDescent="0.2">
      <c r="I886" s="33"/>
    </row>
    <row r="887" spans="9:9" ht="12.75" x14ac:dyDescent="0.2">
      <c r="I887" s="33"/>
    </row>
    <row r="888" spans="9:9" ht="12.75" x14ac:dyDescent="0.2">
      <c r="I888" s="33"/>
    </row>
    <row r="889" spans="9:9" ht="12.75" x14ac:dyDescent="0.2">
      <c r="I889" s="33"/>
    </row>
    <row r="890" spans="9:9" ht="12.75" x14ac:dyDescent="0.2">
      <c r="I890" s="33"/>
    </row>
    <row r="891" spans="9:9" ht="12.75" x14ac:dyDescent="0.2">
      <c r="I891" s="33"/>
    </row>
    <row r="892" spans="9:9" ht="12.75" x14ac:dyDescent="0.2">
      <c r="I892" s="33"/>
    </row>
    <row r="893" spans="9:9" ht="12.75" x14ac:dyDescent="0.2">
      <c r="I893" s="33"/>
    </row>
    <row r="894" spans="9:9" ht="12.75" x14ac:dyDescent="0.2">
      <c r="I894" s="33"/>
    </row>
    <row r="895" spans="9:9" ht="12.75" x14ac:dyDescent="0.2">
      <c r="I895" s="33"/>
    </row>
    <row r="896" spans="9:9" ht="12.75" x14ac:dyDescent="0.2">
      <c r="I896" s="33"/>
    </row>
    <row r="897" spans="9:9" ht="12.75" x14ac:dyDescent="0.2">
      <c r="I897" s="33"/>
    </row>
    <row r="898" spans="9:9" ht="12.75" x14ac:dyDescent="0.2">
      <c r="I898" s="33"/>
    </row>
    <row r="899" spans="9:9" ht="12.75" x14ac:dyDescent="0.2">
      <c r="I899" s="33"/>
    </row>
    <row r="900" spans="9:9" ht="12.75" x14ac:dyDescent="0.2">
      <c r="I900" s="33"/>
    </row>
    <row r="901" spans="9:9" ht="12.75" x14ac:dyDescent="0.2">
      <c r="I901" s="33"/>
    </row>
    <row r="902" spans="9:9" ht="12.75" x14ac:dyDescent="0.2">
      <c r="I902" s="33"/>
    </row>
    <row r="903" spans="9:9" ht="12.75" x14ac:dyDescent="0.2">
      <c r="I903" s="33"/>
    </row>
    <row r="904" spans="9:9" ht="12.75" x14ac:dyDescent="0.2">
      <c r="I904" s="33"/>
    </row>
    <row r="905" spans="9:9" ht="12.75" x14ac:dyDescent="0.2">
      <c r="I905" s="33"/>
    </row>
    <row r="906" spans="9:9" ht="12.75" x14ac:dyDescent="0.2">
      <c r="I906" s="33"/>
    </row>
    <row r="907" spans="9:9" ht="12.75" x14ac:dyDescent="0.2">
      <c r="I907" s="33"/>
    </row>
    <row r="908" spans="9:9" ht="12.75" x14ac:dyDescent="0.2">
      <c r="I908" s="33"/>
    </row>
    <row r="909" spans="9:9" ht="12.75" x14ac:dyDescent="0.2">
      <c r="I909" s="33"/>
    </row>
    <row r="910" spans="9:9" ht="12.75" x14ac:dyDescent="0.2">
      <c r="I910" s="33"/>
    </row>
    <row r="911" spans="9:9" ht="12.75" x14ac:dyDescent="0.2">
      <c r="I911" s="33"/>
    </row>
    <row r="912" spans="9:9" ht="12.75" x14ac:dyDescent="0.2">
      <c r="I912" s="33"/>
    </row>
    <row r="913" spans="9:9" ht="12.75" x14ac:dyDescent="0.2">
      <c r="I913" s="33"/>
    </row>
    <row r="914" spans="9:9" ht="12.75" x14ac:dyDescent="0.2">
      <c r="I914" s="33"/>
    </row>
    <row r="915" spans="9:9" ht="12.75" x14ac:dyDescent="0.2">
      <c r="I915" s="33"/>
    </row>
    <row r="916" spans="9:9" ht="12.75" x14ac:dyDescent="0.2">
      <c r="I916" s="33"/>
    </row>
    <row r="917" spans="9:9" ht="12.75" x14ac:dyDescent="0.2">
      <c r="I917" s="33"/>
    </row>
    <row r="918" spans="9:9" ht="12.75" x14ac:dyDescent="0.2">
      <c r="I918" s="33"/>
    </row>
    <row r="919" spans="9:9" ht="12.75" x14ac:dyDescent="0.2">
      <c r="I919" s="33"/>
    </row>
    <row r="920" spans="9:9" ht="12.75" x14ac:dyDescent="0.2">
      <c r="I920" s="33"/>
    </row>
    <row r="921" spans="9:9" ht="12.75" x14ac:dyDescent="0.2">
      <c r="I921" s="33"/>
    </row>
    <row r="922" spans="9:9" ht="12.75" x14ac:dyDescent="0.2">
      <c r="I922" s="33"/>
    </row>
    <row r="923" spans="9:9" ht="12.75" x14ac:dyDescent="0.2">
      <c r="I923" s="33"/>
    </row>
    <row r="924" spans="9:9" ht="12.75" x14ac:dyDescent="0.2">
      <c r="I924" s="33"/>
    </row>
    <row r="925" spans="9:9" ht="12.75" x14ac:dyDescent="0.2">
      <c r="I925" s="33"/>
    </row>
    <row r="926" spans="9:9" ht="12.75" x14ac:dyDescent="0.2">
      <c r="I926" s="33"/>
    </row>
    <row r="927" spans="9:9" ht="12.75" x14ac:dyDescent="0.2">
      <c r="I927" s="33"/>
    </row>
    <row r="928" spans="9:9" ht="12.75" x14ac:dyDescent="0.2">
      <c r="I928" s="33"/>
    </row>
    <row r="929" spans="9:9" ht="12.75" x14ac:dyDescent="0.2">
      <c r="I929" s="33"/>
    </row>
    <row r="930" spans="9:9" ht="12.75" x14ac:dyDescent="0.2">
      <c r="I930" s="33"/>
    </row>
    <row r="931" spans="9:9" ht="12.75" x14ac:dyDescent="0.2">
      <c r="I931" s="33"/>
    </row>
    <row r="932" spans="9:9" ht="12.75" x14ac:dyDescent="0.2">
      <c r="I932" s="33"/>
    </row>
    <row r="933" spans="9:9" ht="12.75" x14ac:dyDescent="0.2">
      <c r="I933" s="33"/>
    </row>
    <row r="934" spans="9:9" ht="12.75" x14ac:dyDescent="0.2">
      <c r="I934" s="33"/>
    </row>
    <row r="935" spans="9:9" ht="12.75" x14ac:dyDescent="0.2">
      <c r="I935" s="33"/>
    </row>
    <row r="936" spans="9:9" ht="12.75" x14ac:dyDescent="0.2">
      <c r="I936" s="33"/>
    </row>
    <row r="937" spans="9:9" ht="12.75" x14ac:dyDescent="0.2">
      <c r="I937" s="33"/>
    </row>
    <row r="938" spans="9:9" ht="12.75" x14ac:dyDescent="0.2">
      <c r="I938" s="33"/>
    </row>
    <row r="939" spans="9:9" ht="12.75" x14ac:dyDescent="0.2">
      <c r="I939" s="33"/>
    </row>
    <row r="940" spans="9:9" ht="12.75" x14ac:dyDescent="0.2">
      <c r="I940" s="33"/>
    </row>
    <row r="941" spans="9:9" ht="12.75" x14ac:dyDescent="0.2">
      <c r="I941" s="33"/>
    </row>
    <row r="942" spans="9:9" ht="12.75" x14ac:dyDescent="0.2">
      <c r="I942" s="33"/>
    </row>
    <row r="943" spans="9:9" ht="12.75" x14ac:dyDescent="0.2">
      <c r="I943" s="33"/>
    </row>
    <row r="944" spans="9:9" ht="12.75" x14ac:dyDescent="0.2">
      <c r="I944" s="33"/>
    </row>
    <row r="945" spans="9:9" ht="12.75" x14ac:dyDescent="0.2">
      <c r="I945" s="33"/>
    </row>
    <row r="946" spans="9:9" ht="12.75" x14ac:dyDescent="0.2">
      <c r="I946" s="33"/>
    </row>
    <row r="947" spans="9:9" ht="12.75" x14ac:dyDescent="0.2">
      <c r="I947" s="33"/>
    </row>
    <row r="948" spans="9:9" ht="12.75" x14ac:dyDescent="0.2">
      <c r="I948" s="33"/>
    </row>
    <row r="949" spans="9:9" ht="12.75" x14ac:dyDescent="0.2">
      <c r="I949" s="33"/>
    </row>
    <row r="950" spans="9:9" ht="12.75" x14ac:dyDescent="0.2">
      <c r="I950" s="33"/>
    </row>
    <row r="951" spans="9:9" ht="12.75" x14ac:dyDescent="0.2">
      <c r="I951" s="33"/>
    </row>
    <row r="952" spans="9:9" ht="12.75" x14ac:dyDescent="0.2">
      <c r="I952" s="33"/>
    </row>
    <row r="953" spans="9:9" ht="12.75" x14ac:dyDescent="0.2">
      <c r="I953" s="33"/>
    </row>
    <row r="954" spans="9:9" ht="12.75" x14ac:dyDescent="0.2">
      <c r="I954" s="33"/>
    </row>
    <row r="955" spans="9:9" ht="12.75" x14ac:dyDescent="0.2">
      <c r="I955" s="33"/>
    </row>
    <row r="956" spans="9:9" ht="12.75" x14ac:dyDescent="0.2">
      <c r="I956" s="33"/>
    </row>
    <row r="957" spans="9:9" ht="12.75" x14ac:dyDescent="0.2">
      <c r="I957" s="33"/>
    </row>
    <row r="958" spans="9:9" ht="12.75" x14ac:dyDescent="0.2">
      <c r="I958" s="33"/>
    </row>
    <row r="959" spans="9:9" ht="12.75" x14ac:dyDescent="0.2">
      <c r="I959" s="33"/>
    </row>
    <row r="960" spans="9:9" ht="12.75" x14ac:dyDescent="0.2">
      <c r="I960" s="33"/>
    </row>
    <row r="961" spans="9:9" ht="12.75" x14ac:dyDescent="0.2">
      <c r="I961" s="33"/>
    </row>
    <row r="962" spans="9:9" ht="12.75" x14ac:dyDescent="0.2">
      <c r="I962" s="33"/>
    </row>
    <row r="963" spans="9:9" ht="12.75" x14ac:dyDescent="0.2">
      <c r="I963" s="33"/>
    </row>
    <row r="964" spans="9:9" ht="12.75" x14ac:dyDescent="0.2">
      <c r="I964" s="33"/>
    </row>
    <row r="965" spans="9:9" ht="12.75" x14ac:dyDescent="0.2">
      <c r="I965" s="33"/>
    </row>
    <row r="966" spans="9:9" ht="12.75" x14ac:dyDescent="0.2">
      <c r="I966" s="33"/>
    </row>
    <row r="967" spans="9:9" ht="12.75" x14ac:dyDescent="0.2">
      <c r="I967" s="33"/>
    </row>
    <row r="968" spans="9:9" ht="12.75" x14ac:dyDescent="0.2">
      <c r="I968" s="33"/>
    </row>
    <row r="969" spans="9:9" ht="12.75" x14ac:dyDescent="0.2">
      <c r="I969" s="33"/>
    </row>
    <row r="970" spans="9:9" ht="12.75" x14ac:dyDescent="0.2">
      <c r="I970" s="33"/>
    </row>
    <row r="971" spans="9:9" ht="12.75" x14ac:dyDescent="0.2">
      <c r="I971" s="33"/>
    </row>
    <row r="972" spans="9:9" ht="12.75" x14ac:dyDescent="0.2">
      <c r="I972" s="33"/>
    </row>
    <row r="973" spans="9:9" ht="12.75" x14ac:dyDescent="0.2">
      <c r="I973" s="33"/>
    </row>
    <row r="974" spans="9:9" ht="12.75" x14ac:dyDescent="0.2">
      <c r="I974" s="33"/>
    </row>
    <row r="975" spans="9:9" ht="12.75" x14ac:dyDescent="0.2">
      <c r="I975" s="33"/>
    </row>
    <row r="976" spans="9:9" ht="12.75" x14ac:dyDescent="0.2">
      <c r="I976" s="33"/>
    </row>
    <row r="977" spans="9:9" ht="12.75" x14ac:dyDescent="0.2">
      <c r="I977" s="33"/>
    </row>
    <row r="978" spans="9:9" ht="12.75" x14ac:dyDescent="0.2">
      <c r="I978" s="33"/>
    </row>
    <row r="979" spans="9:9" ht="12.75" x14ac:dyDescent="0.2">
      <c r="I979" s="33"/>
    </row>
    <row r="980" spans="9:9" ht="12.75" x14ac:dyDescent="0.2">
      <c r="I980" s="33"/>
    </row>
    <row r="981" spans="9:9" ht="12.75" x14ac:dyDescent="0.2">
      <c r="I981" s="33"/>
    </row>
    <row r="982" spans="9:9" ht="12.75" x14ac:dyDescent="0.2">
      <c r="I982" s="33"/>
    </row>
    <row r="983" spans="9:9" ht="12.75" x14ac:dyDescent="0.2">
      <c r="I983" s="33"/>
    </row>
    <row r="984" spans="9:9" ht="12.75" x14ac:dyDescent="0.2">
      <c r="I984" s="33"/>
    </row>
    <row r="985" spans="9:9" ht="12.75" x14ac:dyDescent="0.2">
      <c r="I985" s="33"/>
    </row>
    <row r="986" spans="9:9" ht="12.75" x14ac:dyDescent="0.2">
      <c r="I986" s="33"/>
    </row>
    <row r="987" spans="9:9" ht="12.75" x14ac:dyDescent="0.2">
      <c r="I987" s="33"/>
    </row>
    <row r="988" spans="9:9" ht="12.75" x14ac:dyDescent="0.2">
      <c r="I988" s="33"/>
    </row>
    <row r="989" spans="9:9" ht="12.75" x14ac:dyDescent="0.2">
      <c r="I989" s="33"/>
    </row>
    <row r="990" spans="9:9" ht="12.75" x14ac:dyDescent="0.2">
      <c r="I990" s="33"/>
    </row>
    <row r="991" spans="9:9" ht="12.75" x14ac:dyDescent="0.2">
      <c r="I991" s="33"/>
    </row>
    <row r="992" spans="9:9" ht="12.75" x14ac:dyDescent="0.2">
      <c r="I992" s="33"/>
    </row>
    <row r="993" spans="9:9" ht="12.75" x14ac:dyDescent="0.2">
      <c r="I993" s="33"/>
    </row>
    <row r="994" spans="9:9" ht="12.75" x14ac:dyDescent="0.2">
      <c r="I994" s="33"/>
    </row>
    <row r="995" spans="9:9" ht="12.75" x14ac:dyDescent="0.2">
      <c r="I995" s="33"/>
    </row>
    <row r="996" spans="9:9" ht="12.75" x14ac:dyDescent="0.2">
      <c r="I996" s="33"/>
    </row>
    <row r="997" spans="9:9" ht="12.75" x14ac:dyDescent="0.2">
      <c r="I997" s="33"/>
    </row>
    <row r="998" spans="9:9" ht="12.75" x14ac:dyDescent="0.2">
      <c r="I998" s="33"/>
    </row>
    <row r="999" spans="9:9" ht="12.75" x14ac:dyDescent="0.2">
      <c r="I999" s="33"/>
    </row>
    <row r="1000" spans="9:9" ht="12.75" x14ac:dyDescent="0.2">
      <c r="I1000" s="33"/>
    </row>
    <row r="1001" spans="9:9" ht="15.75" customHeight="1" x14ac:dyDescent="0.2">
      <c r="I1001" s="33"/>
    </row>
    <row r="1002" spans="9:9" ht="15.75" customHeight="1" x14ac:dyDescent="0.2">
      <c r="I1002" s="33"/>
    </row>
  </sheetData>
  <autoFilter ref="A1:I72"/>
  <conditionalFormatting sqref="J1:J1048576">
    <cfRule type="iconSet" priority="1">
      <iconSet iconSet="3Symbols">
        <cfvo type="percent" val="0"/>
        <cfvo type="formula" val="TODAY()" gte="0"/>
        <cfvo type="formula" val="TODAY()+90" gte="0"/>
      </iconSet>
    </cfRule>
  </conditionalFormatting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'Данные для УРК'!$E:$E</xm:f>
          </x14:formula1>
          <xm:sqref>F2:F72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E101"/>
  <sheetViews>
    <sheetView workbookViewId="0">
      <selection activeCell="G30" sqref="G30"/>
    </sheetView>
  </sheetViews>
  <sheetFormatPr defaultRowHeight="12.75" x14ac:dyDescent="0.2"/>
  <cols>
    <col min="1" max="1" width="4.7109375" style="35" customWidth="1"/>
    <col min="2" max="2" width="4.85546875" style="50" customWidth="1"/>
    <col min="3" max="3" width="9.140625" style="35" customWidth="1"/>
    <col min="4" max="5" width="9.140625" style="35"/>
    <col min="6" max="6" width="9.5703125" style="35" customWidth="1"/>
    <col min="7" max="7" width="10.7109375" style="35" bestFit="1" customWidth="1"/>
    <col min="8" max="8" width="9.140625" style="35" customWidth="1"/>
    <col min="9" max="10" width="9.140625" style="35"/>
    <col min="11" max="11" width="5.7109375" style="35" customWidth="1"/>
    <col min="12" max="12" width="4.5703125" style="35" customWidth="1"/>
    <col min="13" max="14" width="9.140625" style="35"/>
    <col min="15" max="15" width="25.7109375" style="35" customWidth="1"/>
    <col min="16" max="16" width="38.140625" style="47" customWidth="1"/>
    <col min="17" max="17" width="67.28515625" style="48" customWidth="1"/>
    <col min="18" max="18" width="42.7109375" style="49" customWidth="1"/>
    <col min="19" max="19" width="28.5703125" style="49" customWidth="1"/>
    <col min="20" max="20" width="41.140625" style="47" customWidth="1"/>
    <col min="21" max="21" width="9.140625" style="47"/>
    <col min="22" max="16384" width="9.140625" style="35"/>
  </cols>
  <sheetData>
    <row r="1" spans="2:31" x14ac:dyDescent="0.2">
      <c r="B1" s="51"/>
      <c r="C1" s="34"/>
      <c r="D1" s="34"/>
      <c r="E1" s="34"/>
      <c r="F1" s="34"/>
      <c r="G1" s="42"/>
      <c r="I1" s="37" t="s">
        <v>197</v>
      </c>
      <c r="J1" s="42"/>
      <c r="O1" s="45" t="s">
        <v>301</v>
      </c>
      <c r="P1" s="47" t="s">
        <v>148</v>
      </c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2:31" ht="23.25" customHeight="1" x14ac:dyDescent="0.2">
      <c r="B2" s="51"/>
      <c r="C2" s="43"/>
      <c r="D2" s="43"/>
      <c r="E2" s="43"/>
      <c r="F2" s="34"/>
      <c r="G2" s="42"/>
      <c r="I2" s="177" t="s">
        <v>417</v>
      </c>
      <c r="J2" s="177"/>
      <c r="K2" s="177"/>
      <c r="O2" s="45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2:31" x14ac:dyDescent="0.2">
      <c r="B3" s="51"/>
      <c r="C3" s="43"/>
      <c r="D3" s="43"/>
      <c r="E3" s="43"/>
      <c r="F3" s="34"/>
      <c r="G3" s="42"/>
      <c r="I3" s="37" t="s">
        <v>198</v>
      </c>
      <c r="J3" s="42"/>
      <c r="O3" s="45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2:31" ht="12.75" customHeight="1" x14ac:dyDescent="0.2">
      <c r="B4" s="51"/>
      <c r="C4" s="126"/>
      <c r="D4" s="126"/>
      <c r="E4" s="126"/>
      <c r="F4" s="126"/>
      <c r="G4" s="50"/>
      <c r="I4" s="51" t="s">
        <v>199</v>
      </c>
      <c r="J4" s="50"/>
      <c r="K4" s="52"/>
      <c r="O4" s="45"/>
      <c r="P4" s="47" t="s">
        <v>65</v>
      </c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2:31" x14ac:dyDescent="0.2">
      <c r="B5" s="51"/>
      <c r="C5" s="126"/>
      <c r="D5" s="126"/>
      <c r="E5" s="126"/>
      <c r="F5" s="126"/>
      <c r="G5" s="51"/>
      <c r="I5" s="51" t="s">
        <v>200</v>
      </c>
      <c r="J5" s="51"/>
      <c r="K5" s="52"/>
      <c r="O5" s="45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2:31" ht="15" customHeight="1" x14ac:dyDescent="0.2">
      <c r="B6" s="51"/>
      <c r="C6" s="126"/>
      <c r="D6" s="126"/>
      <c r="E6" s="126"/>
      <c r="F6" s="126"/>
      <c r="G6" s="52"/>
      <c r="I6" s="51" t="s">
        <v>466</v>
      </c>
      <c r="J6" s="50"/>
      <c r="K6" s="52"/>
      <c r="O6" s="45"/>
      <c r="P6" s="82" t="s">
        <v>66</v>
      </c>
      <c r="Q6" s="83" t="s">
        <v>67</v>
      </c>
      <c r="R6" s="84" t="s">
        <v>68</v>
      </c>
      <c r="S6" s="84" t="s">
        <v>69</v>
      </c>
      <c r="T6" s="82" t="s">
        <v>70</v>
      </c>
      <c r="U6" s="82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2:31" x14ac:dyDescent="0.2">
      <c r="B7" s="51"/>
      <c r="C7" s="178" t="s">
        <v>201</v>
      </c>
      <c r="D7" s="178"/>
      <c r="E7" s="178"/>
      <c r="F7" s="178"/>
      <c r="G7" s="178"/>
      <c r="H7" s="178"/>
      <c r="I7" s="178"/>
      <c r="J7" s="178"/>
      <c r="K7" s="52"/>
      <c r="O7" s="45"/>
      <c r="P7" s="82" t="s">
        <v>71</v>
      </c>
      <c r="Q7" s="83" t="s">
        <v>421</v>
      </c>
      <c r="R7" s="84" t="s">
        <v>72</v>
      </c>
      <c r="S7" s="84" t="s">
        <v>73</v>
      </c>
      <c r="T7" s="82" t="s">
        <v>72</v>
      </c>
      <c r="U7" s="82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2:31" s="44" customFormat="1" ht="25.5" x14ac:dyDescent="0.2">
      <c r="B8" s="77" t="s">
        <v>302</v>
      </c>
      <c r="C8" s="122" t="s">
        <v>213</v>
      </c>
      <c r="D8" s="71"/>
      <c r="E8" s="71"/>
      <c r="F8" s="72"/>
      <c r="G8" s="73" t="s">
        <v>329</v>
      </c>
      <c r="H8" s="71"/>
      <c r="I8" s="74"/>
      <c r="J8" s="75"/>
      <c r="K8" s="76" t="s">
        <v>303</v>
      </c>
      <c r="O8" s="69"/>
      <c r="P8" s="82" t="s">
        <v>74</v>
      </c>
      <c r="Q8" s="83" t="s">
        <v>423</v>
      </c>
      <c r="R8" s="84" t="s">
        <v>75</v>
      </c>
      <c r="S8" s="84" t="s">
        <v>76</v>
      </c>
      <c r="T8" s="82" t="s">
        <v>77</v>
      </c>
      <c r="U8" s="85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 spans="2:31" x14ac:dyDescent="0.2">
      <c r="B9" s="79" t="s">
        <v>304</v>
      </c>
      <c r="C9" s="122" t="s">
        <v>247</v>
      </c>
      <c r="D9" s="127"/>
      <c r="E9" s="127"/>
      <c r="F9" s="127"/>
      <c r="G9" s="127"/>
      <c r="H9" s="127"/>
      <c r="I9" s="127"/>
      <c r="J9" s="184"/>
      <c r="K9" s="185"/>
      <c r="O9" s="45"/>
      <c r="P9" s="82" t="s">
        <v>78</v>
      </c>
      <c r="Q9" s="83" t="s">
        <v>422</v>
      </c>
      <c r="R9" s="84" t="s">
        <v>80</v>
      </c>
      <c r="S9" s="84" t="s">
        <v>81</v>
      </c>
      <c r="T9" s="82" t="s">
        <v>82</v>
      </c>
      <c r="U9" s="82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2:31" x14ac:dyDescent="0.2">
      <c r="B10" s="79" t="s">
        <v>215</v>
      </c>
      <c r="C10" s="53" t="s">
        <v>248</v>
      </c>
      <c r="D10" s="54"/>
      <c r="E10" s="54"/>
      <c r="F10" s="55"/>
      <c r="G10" s="186" t="s">
        <v>151</v>
      </c>
      <c r="H10" s="190"/>
      <c r="I10" s="190"/>
      <c r="J10" s="190"/>
      <c r="K10" s="187"/>
      <c r="O10" s="45"/>
      <c r="P10" s="82" t="s">
        <v>83</v>
      </c>
      <c r="Q10" s="83" t="s">
        <v>84</v>
      </c>
      <c r="R10" s="84" t="s">
        <v>84</v>
      </c>
      <c r="S10" s="84" t="s">
        <v>85</v>
      </c>
      <c r="T10" s="82" t="s">
        <v>85</v>
      </c>
      <c r="U10" s="82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2:31" x14ac:dyDescent="0.2">
      <c r="B11" s="58" t="s">
        <v>216</v>
      </c>
      <c r="C11" s="56" t="s">
        <v>249</v>
      </c>
      <c r="D11" s="127"/>
      <c r="E11" s="127"/>
      <c r="F11" s="128"/>
      <c r="G11" s="186" t="s">
        <v>174</v>
      </c>
      <c r="H11" s="190"/>
      <c r="I11" s="190"/>
      <c r="J11" s="190"/>
      <c r="K11" s="187"/>
      <c r="O11" s="45"/>
      <c r="P11" s="82" t="s">
        <v>86</v>
      </c>
      <c r="Q11" s="83" t="s">
        <v>87</v>
      </c>
      <c r="R11" s="84" t="s">
        <v>88</v>
      </c>
      <c r="S11" s="84" t="s">
        <v>88</v>
      </c>
      <c r="T11" s="82" t="s">
        <v>88</v>
      </c>
      <c r="U11" s="82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2:31" x14ac:dyDescent="0.2">
      <c r="B12" s="194" t="s">
        <v>217</v>
      </c>
      <c r="C12" s="196" t="s">
        <v>250</v>
      </c>
      <c r="D12" s="197"/>
      <c r="E12" s="197"/>
      <c r="F12" s="198"/>
      <c r="G12" s="57">
        <v>2.5</v>
      </c>
      <c r="H12" s="58" t="s">
        <v>203</v>
      </c>
      <c r="I12" s="202"/>
      <c r="J12" s="203"/>
      <c r="K12" s="204"/>
      <c r="O12" s="45"/>
      <c r="P12" s="82" t="s">
        <v>89</v>
      </c>
      <c r="Q12" s="83" t="s">
        <v>90</v>
      </c>
      <c r="R12" s="84" t="s">
        <v>91</v>
      </c>
      <c r="S12" s="84" t="s">
        <v>92</v>
      </c>
      <c r="T12" s="82" t="s">
        <v>93</v>
      </c>
      <c r="U12" s="82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2:31" x14ac:dyDescent="0.2">
      <c r="B13" s="195"/>
      <c r="C13" s="199"/>
      <c r="D13" s="200"/>
      <c r="E13" s="200"/>
      <c r="F13" s="201"/>
      <c r="G13" s="59">
        <f>G12/1.163</f>
        <v>2.1496130696474633</v>
      </c>
      <c r="H13" s="58" t="s">
        <v>202</v>
      </c>
      <c r="I13" s="205"/>
      <c r="J13" s="206"/>
      <c r="K13" s="207"/>
      <c r="O13" s="45"/>
      <c r="P13" s="82"/>
      <c r="Q13" s="83"/>
      <c r="R13" s="84"/>
      <c r="S13" s="84"/>
      <c r="T13" s="82"/>
      <c r="U13" s="82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2:31" x14ac:dyDescent="0.2">
      <c r="B14" s="79" t="s">
        <v>305</v>
      </c>
      <c r="C14" s="56" t="s">
        <v>251</v>
      </c>
      <c r="D14" s="127"/>
      <c r="E14" s="127"/>
      <c r="F14" s="128"/>
      <c r="G14" s="186" t="s">
        <v>154</v>
      </c>
      <c r="H14" s="190"/>
      <c r="I14" s="190"/>
      <c r="J14" s="190"/>
      <c r="K14" s="187"/>
      <c r="O14" s="45"/>
      <c r="P14" s="82" t="s">
        <v>94</v>
      </c>
      <c r="Q14" s="83" t="s">
        <v>95</v>
      </c>
      <c r="R14" s="84" t="s">
        <v>96</v>
      </c>
      <c r="S14" s="84" t="s">
        <v>97</v>
      </c>
      <c r="T14" s="82" t="s">
        <v>98</v>
      </c>
      <c r="U14" s="82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2:31" x14ac:dyDescent="0.2">
      <c r="B15" s="58" t="s">
        <v>238</v>
      </c>
      <c r="C15" s="56" t="s">
        <v>252</v>
      </c>
      <c r="D15" s="127"/>
      <c r="E15" s="127"/>
      <c r="F15" s="128"/>
      <c r="G15" s="186" t="s">
        <v>44</v>
      </c>
      <c r="H15" s="190"/>
      <c r="I15" s="190"/>
      <c r="J15" s="190"/>
      <c r="K15" s="187"/>
      <c r="O15" s="45"/>
      <c r="P15" s="82" t="s">
        <v>99</v>
      </c>
      <c r="Q15" s="83" t="s">
        <v>100</v>
      </c>
      <c r="R15" s="84" t="s">
        <v>79</v>
      </c>
      <c r="S15" s="84" t="s">
        <v>82</v>
      </c>
      <c r="T15" s="82" t="s">
        <v>101</v>
      </c>
      <c r="U15" s="82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2:31" x14ac:dyDescent="0.2">
      <c r="B16" s="58" t="s">
        <v>306</v>
      </c>
      <c r="C16" s="56" t="s">
        <v>253</v>
      </c>
      <c r="D16" s="127"/>
      <c r="E16" s="127"/>
      <c r="F16" s="128"/>
      <c r="G16" s="186" t="s">
        <v>239</v>
      </c>
      <c r="H16" s="190"/>
      <c r="I16" s="190"/>
      <c r="J16" s="190"/>
      <c r="K16" s="187"/>
      <c r="O16" s="45"/>
      <c r="P16" s="82" t="s">
        <v>102</v>
      </c>
      <c r="Q16" s="83" t="s">
        <v>103</v>
      </c>
      <c r="R16" s="84" t="s">
        <v>104</v>
      </c>
      <c r="S16" s="84" t="s">
        <v>105</v>
      </c>
      <c r="T16" s="82" t="s">
        <v>106</v>
      </c>
      <c r="U16" s="82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2:31" x14ac:dyDescent="0.2">
      <c r="B17" s="79" t="s">
        <v>237</v>
      </c>
      <c r="C17" s="122" t="s">
        <v>260</v>
      </c>
      <c r="D17" s="127"/>
      <c r="E17" s="127"/>
      <c r="F17" s="127"/>
      <c r="G17" s="127"/>
      <c r="H17" s="118"/>
      <c r="I17" s="127"/>
      <c r="J17" s="184"/>
      <c r="K17" s="185"/>
      <c r="O17" s="45"/>
      <c r="P17" s="82" t="s">
        <v>107</v>
      </c>
      <c r="Q17" s="83" t="s">
        <v>108</v>
      </c>
      <c r="R17" s="84" t="s">
        <v>109</v>
      </c>
      <c r="S17" s="84" t="s">
        <v>110</v>
      </c>
      <c r="T17" s="82" t="s">
        <v>111</v>
      </c>
      <c r="U17" s="82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2:31" x14ac:dyDescent="0.2">
      <c r="B18" s="79" t="s">
        <v>218</v>
      </c>
      <c r="C18" s="119" t="s">
        <v>254</v>
      </c>
      <c r="D18" s="120"/>
      <c r="E18" s="120"/>
      <c r="F18" s="121"/>
      <c r="G18" s="57">
        <v>8231</v>
      </c>
      <c r="H18" s="58" t="str">
        <f>IF(G16="Газ","ккал/м³","ккал/кг")</f>
        <v>ккал/м³</v>
      </c>
      <c r="I18" s="191"/>
      <c r="J18" s="185"/>
      <c r="K18" s="78" t="str">
        <f>IF(G16="Газ","±50","±100")</f>
        <v>±50</v>
      </c>
      <c r="O18" s="45"/>
      <c r="P18" s="82" t="s">
        <v>112</v>
      </c>
      <c r="Q18" s="83" t="s">
        <v>113</v>
      </c>
      <c r="R18" s="84" t="s">
        <v>114</v>
      </c>
      <c r="S18" s="84" t="s">
        <v>115</v>
      </c>
      <c r="T18" s="82" t="s">
        <v>114</v>
      </c>
      <c r="U18" s="82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2:31" x14ac:dyDescent="0.2">
      <c r="B19" s="58" t="s">
        <v>219</v>
      </c>
      <c r="C19" s="122" t="s">
        <v>259</v>
      </c>
      <c r="D19" s="60"/>
      <c r="E19" s="60"/>
      <c r="F19" s="123"/>
      <c r="G19" s="192" t="s">
        <v>257</v>
      </c>
      <c r="H19" s="193"/>
      <c r="I19" s="192" t="s">
        <v>258</v>
      </c>
      <c r="J19" s="193"/>
      <c r="K19" s="78"/>
      <c r="O19" s="45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2:31" x14ac:dyDescent="0.2">
      <c r="B20" s="58" t="s">
        <v>220</v>
      </c>
      <c r="C20" s="56" t="s">
        <v>262</v>
      </c>
      <c r="D20" s="127"/>
      <c r="E20" s="127"/>
      <c r="F20" s="127"/>
      <c r="G20" s="56"/>
      <c r="H20" s="128"/>
      <c r="I20" s="57">
        <v>275</v>
      </c>
      <c r="J20" s="57" t="s">
        <v>204</v>
      </c>
      <c r="K20" s="78" t="s">
        <v>324</v>
      </c>
      <c r="O20" s="45"/>
      <c r="P20" s="47" t="s">
        <v>116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2:31" x14ac:dyDescent="0.2">
      <c r="B21" s="79" t="s">
        <v>221</v>
      </c>
      <c r="C21" s="56" t="s">
        <v>263</v>
      </c>
      <c r="D21" s="127"/>
      <c r="E21" s="127"/>
      <c r="F21" s="128"/>
      <c r="G21" s="57">
        <v>20</v>
      </c>
      <c r="H21" s="57" t="s">
        <v>204</v>
      </c>
      <c r="I21" s="57">
        <v>20</v>
      </c>
      <c r="J21" s="57" t="s">
        <v>204</v>
      </c>
      <c r="K21" s="78" t="s">
        <v>324</v>
      </c>
      <c r="O21" s="45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2:31" x14ac:dyDescent="0.2">
      <c r="B22" s="58" t="s">
        <v>222</v>
      </c>
      <c r="C22" s="56" t="s">
        <v>265</v>
      </c>
      <c r="D22" s="127"/>
      <c r="E22" s="127"/>
      <c r="F22" s="128"/>
      <c r="G22" s="57">
        <v>10</v>
      </c>
      <c r="H22" s="58" t="s">
        <v>29</v>
      </c>
      <c r="I22" s="57">
        <v>45</v>
      </c>
      <c r="J22" s="58" t="s">
        <v>29</v>
      </c>
      <c r="K22" s="78" t="s">
        <v>326</v>
      </c>
      <c r="O22" s="45"/>
      <c r="P22" s="82" t="s">
        <v>117</v>
      </c>
      <c r="Q22" s="84" t="s">
        <v>118</v>
      </c>
      <c r="R22" s="83"/>
      <c r="S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2:31" x14ac:dyDescent="0.2">
      <c r="B23" s="58" t="s">
        <v>223</v>
      </c>
      <c r="C23" s="56" t="s">
        <v>264</v>
      </c>
      <c r="D23" s="127"/>
      <c r="E23" s="127"/>
      <c r="F23" s="128"/>
      <c r="G23" s="57">
        <v>94</v>
      </c>
      <c r="H23" s="58" t="str">
        <f>IF(G16="Газ","м³/ч","кг/ч")</f>
        <v>м³/ч</v>
      </c>
      <c r="I23" s="57">
        <v>210</v>
      </c>
      <c r="J23" s="58" t="str">
        <f>IF(G16="Газ","м³/ч","кг/ч")</f>
        <v>м³/ч</v>
      </c>
      <c r="K23" s="78" t="s">
        <v>327</v>
      </c>
      <c r="O23" s="45"/>
      <c r="P23" s="82" t="s">
        <v>7</v>
      </c>
      <c r="Q23" s="84" t="s">
        <v>418</v>
      </c>
      <c r="R23" s="83"/>
      <c r="S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2:31" x14ac:dyDescent="0.2">
      <c r="B24" s="79" t="s">
        <v>236</v>
      </c>
      <c r="C24" s="56" t="s">
        <v>266</v>
      </c>
      <c r="D24" s="127"/>
      <c r="E24" s="127"/>
      <c r="F24" s="128"/>
      <c r="G24" s="57">
        <v>0.6</v>
      </c>
      <c r="H24" s="57" t="s">
        <v>204</v>
      </c>
      <c r="I24" s="57">
        <v>2.5</v>
      </c>
      <c r="J24" s="57" t="s">
        <v>204</v>
      </c>
      <c r="K24" s="78" t="s">
        <v>327</v>
      </c>
      <c r="O24" s="45"/>
      <c r="P24" s="82" t="s">
        <v>119</v>
      </c>
      <c r="Q24" s="84" t="s">
        <v>420</v>
      </c>
      <c r="R24" s="83"/>
      <c r="S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2:31" x14ac:dyDescent="0.2">
      <c r="B25" s="80" t="s">
        <v>224</v>
      </c>
      <c r="C25" s="56" t="s">
        <v>267</v>
      </c>
      <c r="D25" s="127"/>
      <c r="E25" s="127"/>
      <c r="F25" s="128"/>
      <c r="G25" s="57">
        <v>15</v>
      </c>
      <c r="H25" s="58" t="s">
        <v>29</v>
      </c>
      <c r="I25" s="57">
        <v>95</v>
      </c>
      <c r="J25" s="58" t="s">
        <v>29</v>
      </c>
      <c r="K25" s="78" t="s">
        <v>326</v>
      </c>
      <c r="O25" s="45"/>
      <c r="P25" s="82" t="s">
        <v>120</v>
      </c>
      <c r="Q25" s="84" t="s">
        <v>419</v>
      </c>
      <c r="R25" s="83"/>
      <c r="S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2:31" x14ac:dyDescent="0.2">
      <c r="B26" s="58" t="s">
        <v>307</v>
      </c>
      <c r="C26" s="56" t="s">
        <v>268</v>
      </c>
      <c r="D26" s="127"/>
      <c r="E26" s="127"/>
      <c r="F26" s="128"/>
      <c r="G26" s="57">
        <v>20</v>
      </c>
      <c r="H26" s="58" t="s">
        <v>205</v>
      </c>
      <c r="I26" s="57">
        <v>115</v>
      </c>
      <c r="J26" s="58" t="s">
        <v>205</v>
      </c>
      <c r="K26" s="78" t="s">
        <v>325</v>
      </c>
      <c r="O26" s="45"/>
      <c r="P26" s="82" t="s">
        <v>122</v>
      </c>
      <c r="Q26" s="84" t="s">
        <v>121</v>
      </c>
      <c r="R26" s="83"/>
      <c r="S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2:31" x14ac:dyDescent="0.2">
      <c r="B27" s="58" t="s">
        <v>308</v>
      </c>
      <c r="C27" s="56" t="s">
        <v>269</v>
      </c>
      <c r="D27" s="127"/>
      <c r="E27" s="127"/>
      <c r="F27" s="128"/>
      <c r="G27" s="57" t="s">
        <v>206</v>
      </c>
      <c r="H27" s="58" t="s">
        <v>28</v>
      </c>
      <c r="I27" s="57" t="s">
        <v>206</v>
      </c>
      <c r="J27" s="58" t="s">
        <v>28</v>
      </c>
      <c r="K27" s="78" t="s">
        <v>327</v>
      </c>
      <c r="O27" s="45"/>
      <c r="P27" s="82" t="s">
        <v>123</v>
      </c>
      <c r="Q27" s="84" t="s">
        <v>84</v>
      </c>
      <c r="R27" s="83"/>
      <c r="S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2:31" x14ac:dyDescent="0.2">
      <c r="B28" s="79" t="s">
        <v>309</v>
      </c>
      <c r="C28" s="56" t="s">
        <v>270</v>
      </c>
      <c r="D28" s="127"/>
      <c r="E28" s="127"/>
      <c r="F28" s="128"/>
      <c r="G28" s="57">
        <v>20</v>
      </c>
      <c r="H28" s="58" t="s">
        <v>28</v>
      </c>
      <c r="I28" s="57">
        <v>20</v>
      </c>
      <c r="J28" s="58" t="s">
        <v>28</v>
      </c>
      <c r="K28" s="78" t="s">
        <v>327</v>
      </c>
      <c r="O28" s="45"/>
      <c r="P28" s="82" t="s">
        <v>78</v>
      </c>
      <c r="Q28" s="84" t="s">
        <v>124</v>
      </c>
      <c r="R28" s="83"/>
      <c r="S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2:31" x14ac:dyDescent="0.2">
      <c r="B29" s="58" t="s">
        <v>310</v>
      </c>
      <c r="C29" s="122" t="s">
        <v>271</v>
      </c>
      <c r="D29" s="127"/>
      <c r="E29" s="127"/>
      <c r="F29" s="127"/>
      <c r="G29" s="127"/>
      <c r="H29" s="127"/>
      <c r="I29" s="127"/>
      <c r="J29" s="184"/>
      <c r="K29" s="185"/>
      <c r="O29" s="45"/>
      <c r="P29" s="82" t="s">
        <v>125</v>
      </c>
      <c r="Q29" s="84" t="s">
        <v>126</v>
      </c>
      <c r="R29" s="83"/>
      <c r="S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2:31" x14ac:dyDescent="0.2">
      <c r="B30" s="58" t="s">
        <v>225</v>
      </c>
      <c r="C30" s="56" t="s">
        <v>272</v>
      </c>
      <c r="D30" s="127"/>
      <c r="E30" s="127"/>
      <c r="F30" s="127"/>
      <c r="G30" s="57">
        <v>125</v>
      </c>
      <c r="H30" s="58" t="s">
        <v>28</v>
      </c>
      <c r="I30" s="57">
        <v>155</v>
      </c>
      <c r="J30" s="58" t="s">
        <v>28</v>
      </c>
      <c r="K30" s="78" t="s">
        <v>327</v>
      </c>
      <c r="O30" s="45"/>
      <c r="P30" s="82" t="s">
        <v>127</v>
      </c>
      <c r="Q30" s="84" t="s">
        <v>128</v>
      </c>
      <c r="R30" s="83"/>
      <c r="S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2:31" x14ac:dyDescent="0.2">
      <c r="B31" s="58" t="s">
        <v>226</v>
      </c>
      <c r="C31" s="56" t="s">
        <v>273</v>
      </c>
      <c r="D31" s="127"/>
      <c r="E31" s="127"/>
      <c r="F31" s="128"/>
      <c r="G31" s="57">
        <v>4</v>
      </c>
      <c r="H31" s="125" t="s">
        <v>29</v>
      </c>
      <c r="I31" s="57">
        <v>3</v>
      </c>
      <c r="J31" s="125" t="s">
        <v>29</v>
      </c>
      <c r="K31" s="78" t="s">
        <v>325</v>
      </c>
      <c r="O31" s="45"/>
      <c r="S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2:31" x14ac:dyDescent="0.2">
      <c r="B32" s="58" t="s">
        <v>227</v>
      </c>
      <c r="C32" s="56" t="str">
        <f>IF(G16="Мазут","Углекислый газ (RO₂):","Углекислый газ (CO₂):")</f>
        <v>Углекислый газ (CO₂):</v>
      </c>
      <c r="D32" s="127"/>
      <c r="E32" s="127"/>
      <c r="F32" s="128"/>
      <c r="G32" s="57">
        <v>9</v>
      </c>
      <c r="H32" s="58" t="s">
        <v>29</v>
      </c>
      <c r="I32" s="57">
        <v>9</v>
      </c>
      <c r="J32" s="58" t="s">
        <v>29</v>
      </c>
      <c r="K32" s="78" t="s">
        <v>325</v>
      </c>
      <c r="O32" s="45"/>
      <c r="P32" s="47" t="s">
        <v>129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2:31" x14ac:dyDescent="0.2">
      <c r="B33" s="58" t="s">
        <v>228</v>
      </c>
      <c r="C33" s="56" t="str">
        <f>IF(G16="Мазут","Суммарные оксиды (RO₂):","Оксиды серы (SO₂):")</f>
        <v>Оксиды серы (SO₂):</v>
      </c>
      <c r="D33" s="127"/>
      <c r="E33" s="127"/>
      <c r="F33" s="128"/>
      <c r="G33" s="57" t="s">
        <v>206</v>
      </c>
      <c r="H33" s="58" t="s">
        <v>29</v>
      </c>
      <c r="I33" s="57" t="s">
        <v>206</v>
      </c>
      <c r="J33" s="58" t="s">
        <v>29</v>
      </c>
      <c r="K33" s="78" t="s">
        <v>325</v>
      </c>
      <c r="O33" s="45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2:31" x14ac:dyDescent="0.2">
      <c r="B34" s="58" t="s">
        <v>229</v>
      </c>
      <c r="C34" s="56" t="s">
        <v>274</v>
      </c>
      <c r="D34" s="127"/>
      <c r="E34" s="127"/>
      <c r="F34" s="128"/>
      <c r="G34" s="57">
        <v>0</v>
      </c>
      <c r="H34" s="58" t="s">
        <v>30</v>
      </c>
      <c r="I34" s="57">
        <v>0</v>
      </c>
      <c r="J34" s="58" t="s">
        <v>30</v>
      </c>
      <c r="K34" s="78" t="s">
        <v>325</v>
      </c>
      <c r="O34" s="45"/>
      <c r="P34" s="82" t="s">
        <v>130</v>
      </c>
      <c r="Q34" s="83" t="s">
        <v>131</v>
      </c>
      <c r="R34" s="86" t="s">
        <v>132</v>
      </c>
      <c r="S34" s="8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2:31" x14ac:dyDescent="0.2">
      <c r="B35" s="80" t="s">
        <v>231</v>
      </c>
      <c r="C35" s="56" t="s">
        <v>275</v>
      </c>
      <c r="D35" s="127"/>
      <c r="E35" s="127"/>
      <c r="F35" s="128"/>
      <c r="G35" s="57">
        <v>35</v>
      </c>
      <c r="H35" s="124" t="s">
        <v>30</v>
      </c>
      <c r="I35" s="114">
        <v>150</v>
      </c>
      <c r="J35" s="124" t="s">
        <v>30</v>
      </c>
      <c r="K35" s="78" t="s">
        <v>325</v>
      </c>
      <c r="O35" s="45"/>
      <c r="P35" s="82" t="s">
        <v>67</v>
      </c>
      <c r="Q35" s="83" t="s">
        <v>133</v>
      </c>
      <c r="R35" s="86" t="s">
        <v>134</v>
      </c>
      <c r="S35" s="8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2:31" x14ac:dyDescent="0.2">
      <c r="B36" s="58" t="s">
        <v>232</v>
      </c>
      <c r="C36" s="56" t="s">
        <v>276</v>
      </c>
      <c r="D36" s="127"/>
      <c r="E36" s="127"/>
      <c r="F36" s="128"/>
      <c r="G36" s="186">
        <v>1.3</v>
      </c>
      <c r="H36" s="187"/>
      <c r="I36" s="188">
        <v>1.1000000000000001</v>
      </c>
      <c r="J36" s="189"/>
      <c r="K36" s="78" t="s">
        <v>324</v>
      </c>
      <c r="O36" s="45" t="s">
        <v>297</v>
      </c>
      <c r="P36" s="82" t="s">
        <v>68</v>
      </c>
      <c r="Q36" s="83" t="s">
        <v>135</v>
      </c>
      <c r="R36" s="86" t="s">
        <v>136</v>
      </c>
      <c r="S36" s="8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2:31" x14ac:dyDescent="0.2">
      <c r="B37" s="58" t="s">
        <v>311</v>
      </c>
      <c r="C37" s="122" t="s">
        <v>277</v>
      </c>
      <c r="D37" s="127"/>
      <c r="E37" s="127"/>
      <c r="F37" s="127"/>
      <c r="G37" s="127"/>
      <c r="H37" s="127"/>
      <c r="I37" s="127"/>
      <c r="J37" s="184"/>
      <c r="K37" s="185"/>
      <c r="O37" s="45"/>
      <c r="P37" s="82" t="s">
        <v>69</v>
      </c>
      <c r="Q37" s="83" t="s">
        <v>137</v>
      </c>
      <c r="R37" s="86" t="s">
        <v>138</v>
      </c>
      <c r="S37" s="8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2:31" x14ac:dyDescent="0.2">
      <c r="B38" s="58" t="s">
        <v>312</v>
      </c>
      <c r="C38" s="56" t="s">
        <v>278</v>
      </c>
      <c r="D38" s="127"/>
      <c r="E38" s="127"/>
      <c r="F38" s="128"/>
      <c r="G38" s="57">
        <v>60</v>
      </c>
      <c r="H38" s="58" t="s">
        <v>28</v>
      </c>
      <c r="I38" s="57">
        <v>60</v>
      </c>
      <c r="J38" s="58" t="s">
        <v>28</v>
      </c>
      <c r="K38" s="78" t="s">
        <v>327</v>
      </c>
      <c r="O38" s="45"/>
      <c r="P38" s="82" t="s">
        <v>70</v>
      </c>
      <c r="Q38" s="83" t="s">
        <v>139</v>
      </c>
      <c r="R38" s="86" t="s">
        <v>140</v>
      </c>
      <c r="S38" s="8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2:31" x14ac:dyDescent="0.2">
      <c r="B39" s="58" t="s">
        <v>313</v>
      </c>
      <c r="C39" s="56" t="s">
        <v>279</v>
      </c>
      <c r="D39" s="127"/>
      <c r="E39" s="127"/>
      <c r="F39" s="128"/>
      <c r="G39" s="57">
        <v>69</v>
      </c>
      <c r="H39" s="58" t="s">
        <v>28</v>
      </c>
      <c r="I39" s="57">
        <v>80</v>
      </c>
      <c r="J39" s="58" t="s">
        <v>28</v>
      </c>
      <c r="K39" s="78" t="s">
        <v>327</v>
      </c>
      <c r="O39" s="45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2:31" x14ac:dyDescent="0.2">
      <c r="B40" s="58" t="s">
        <v>314</v>
      </c>
      <c r="C40" s="56" t="s">
        <v>280</v>
      </c>
      <c r="D40" s="127"/>
      <c r="E40" s="127"/>
      <c r="F40" s="128"/>
      <c r="G40" s="68">
        <f>G39-G38</f>
        <v>9</v>
      </c>
      <c r="H40" s="58" t="s">
        <v>28</v>
      </c>
      <c r="I40" s="68">
        <f>I39-I38</f>
        <v>20</v>
      </c>
      <c r="J40" s="58" t="s">
        <v>28</v>
      </c>
      <c r="K40" s="78" t="s">
        <v>327</v>
      </c>
      <c r="O40" s="45" t="s">
        <v>294</v>
      </c>
      <c r="P40" s="47" t="s">
        <v>141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2:31" ht="12.75" customHeight="1" x14ac:dyDescent="0.2">
      <c r="B41" s="58" t="s">
        <v>315</v>
      </c>
      <c r="C41" s="56" t="s">
        <v>282</v>
      </c>
      <c r="D41" s="127"/>
      <c r="E41" s="127"/>
      <c r="F41" s="128"/>
      <c r="G41" s="57">
        <v>5</v>
      </c>
      <c r="H41" s="57" t="s">
        <v>261</v>
      </c>
      <c r="I41" s="57">
        <v>5</v>
      </c>
      <c r="J41" s="57" t="s">
        <v>261</v>
      </c>
      <c r="K41" s="78" t="s">
        <v>325</v>
      </c>
      <c r="O41" s="45"/>
      <c r="P41" s="47" t="s">
        <v>142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2:31" ht="12.75" customHeight="1" x14ac:dyDescent="0.2">
      <c r="B42" s="58" t="s">
        <v>316</v>
      </c>
      <c r="C42" s="56" t="s">
        <v>283</v>
      </c>
      <c r="D42" s="127"/>
      <c r="E42" s="127"/>
      <c r="F42" s="128"/>
      <c r="G42" s="57">
        <v>4</v>
      </c>
      <c r="H42" s="57" t="s">
        <v>261</v>
      </c>
      <c r="I42" s="57">
        <v>4</v>
      </c>
      <c r="J42" s="57" t="s">
        <v>261</v>
      </c>
      <c r="K42" s="78" t="s">
        <v>325</v>
      </c>
      <c r="O42" s="45"/>
      <c r="P42" s="47" t="s">
        <v>143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2:31" ht="12.75" customHeight="1" x14ac:dyDescent="0.2">
      <c r="B43" s="81" t="s">
        <v>317</v>
      </c>
      <c r="C43" s="56" t="s">
        <v>284</v>
      </c>
      <c r="D43" s="127"/>
      <c r="E43" s="127"/>
      <c r="F43" s="128"/>
      <c r="G43" s="68">
        <f>G41-G42</f>
        <v>1</v>
      </c>
      <c r="H43" s="57" t="s">
        <v>261</v>
      </c>
      <c r="I43" s="68">
        <f>I41-I42</f>
        <v>1</v>
      </c>
      <c r="J43" s="57" t="s">
        <v>261</v>
      </c>
      <c r="K43" s="78" t="s">
        <v>325</v>
      </c>
      <c r="O43" s="45"/>
      <c r="P43" s="47" t="s">
        <v>144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2:31" ht="12.75" customHeight="1" x14ac:dyDescent="0.2">
      <c r="B44" s="58" t="s">
        <v>318</v>
      </c>
      <c r="C44" s="56" t="s">
        <v>286</v>
      </c>
      <c r="D44" s="127"/>
      <c r="E44" s="127"/>
      <c r="F44" s="128"/>
      <c r="G44" s="57">
        <v>78</v>
      </c>
      <c r="H44" s="58" t="s">
        <v>230</v>
      </c>
      <c r="I44" s="57">
        <v>78</v>
      </c>
      <c r="J44" s="58" t="s">
        <v>230</v>
      </c>
      <c r="K44" s="78" t="s">
        <v>327</v>
      </c>
      <c r="O44" s="45"/>
      <c r="P44" s="47" t="s">
        <v>145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2:31" x14ac:dyDescent="0.2">
      <c r="B45" s="58" t="s">
        <v>319</v>
      </c>
      <c r="C45" s="122" t="s">
        <v>285</v>
      </c>
      <c r="D45" s="127"/>
      <c r="E45" s="127"/>
      <c r="F45" s="127"/>
      <c r="G45" s="127"/>
      <c r="H45" s="127"/>
      <c r="I45" s="127"/>
      <c r="J45" s="184"/>
      <c r="K45" s="185"/>
      <c r="O45" s="45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2:31" x14ac:dyDescent="0.2">
      <c r="B46" s="163" t="s">
        <v>320</v>
      </c>
      <c r="C46" s="165" t="s">
        <v>287</v>
      </c>
      <c r="D46" s="166"/>
      <c r="E46" s="166"/>
      <c r="F46" s="167"/>
      <c r="G46" s="59">
        <f>(G44*G40)/1000*1.163</f>
        <v>0.81642599999999999</v>
      </c>
      <c r="H46" s="58" t="s">
        <v>203</v>
      </c>
      <c r="I46" s="59">
        <f>(I44*I40)/1000*1.163</f>
        <v>1.8142800000000001</v>
      </c>
      <c r="J46" s="58" t="s">
        <v>203</v>
      </c>
      <c r="K46" s="78"/>
      <c r="O46" s="45"/>
      <c r="P46" s="47" t="s">
        <v>290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2:31" x14ac:dyDescent="0.2">
      <c r="B47" s="164"/>
      <c r="C47" s="168"/>
      <c r="D47" s="169"/>
      <c r="E47" s="169"/>
      <c r="F47" s="170"/>
      <c r="G47" s="61">
        <f>(G44*G40)/1000</f>
        <v>0.70199999999999996</v>
      </c>
      <c r="H47" s="58" t="s">
        <v>202</v>
      </c>
      <c r="I47" s="61">
        <f>(I44*I40)/1000</f>
        <v>1.56</v>
      </c>
      <c r="J47" s="58" t="s">
        <v>202</v>
      </c>
      <c r="K47" s="78"/>
      <c r="O47" s="45"/>
      <c r="P47" s="47" t="s">
        <v>296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2:31" x14ac:dyDescent="0.2">
      <c r="B48" s="58" t="s">
        <v>321</v>
      </c>
      <c r="C48" s="56" t="s">
        <v>288</v>
      </c>
      <c r="D48" s="127"/>
      <c r="E48" s="127"/>
      <c r="F48" s="128"/>
      <c r="G48" s="61">
        <f>G46/G12*100</f>
        <v>32.657039999999995</v>
      </c>
      <c r="H48" s="125" t="s">
        <v>29</v>
      </c>
      <c r="I48" s="61">
        <f>I46/G13*100</f>
        <v>84.40030560000001</v>
      </c>
      <c r="J48" s="125" t="s">
        <v>29</v>
      </c>
      <c r="K48" s="78"/>
      <c r="O48" s="45"/>
      <c r="P48" s="47" t="s">
        <v>291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2:31" x14ac:dyDescent="0.2">
      <c r="B49" s="58" t="s">
        <v>322</v>
      </c>
      <c r="C49" s="56" t="s">
        <v>292</v>
      </c>
      <c r="D49" s="127"/>
      <c r="E49" s="127"/>
      <c r="F49" s="128"/>
      <c r="G49" s="61">
        <f>(G44*1000*G40)/(G23*G18)*100</f>
        <v>90.731200417725404</v>
      </c>
      <c r="H49" s="125" t="s">
        <v>29</v>
      </c>
      <c r="I49" s="61">
        <f>(I44*1000*I40)/(I23*G18)*100</f>
        <v>90.251141156255969</v>
      </c>
      <c r="J49" s="125" t="s">
        <v>29</v>
      </c>
      <c r="K49" s="78"/>
      <c r="O49" s="45" t="s">
        <v>293</v>
      </c>
      <c r="P49" s="47" t="s">
        <v>299</v>
      </c>
      <c r="V49" s="47"/>
      <c r="W49" s="47"/>
      <c r="X49" s="47"/>
      <c r="Y49" s="47" t="s">
        <v>300</v>
      </c>
      <c r="Z49" s="47"/>
      <c r="AA49" s="47"/>
      <c r="AB49" s="47"/>
      <c r="AC49" s="47"/>
      <c r="AD49" s="47"/>
      <c r="AE49" s="47"/>
    </row>
    <row r="50" spans="2:31" x14ac:dyDescent="0.2">
      <c r="B50" s="58" t="s">
        <v>323</v>
      </c>
      <c r="C50" s="56" t="s">
        <v>298</v>
      </c>
      <c r="D50" s="127"/>
      <c r="E50" s="127"/>
      <c r="F50" s="128"/>
      <c r="G50" s="61">
        <f>(142.86*100)/G49</f>
        <v>157.45410547008549</v>
      </c>
      <c r="H50" s="67" t="s">
        <v>211</v>
      </c>
      <c r="I50" s="61">
        <f>(142.86*100)/I49</f>
        <v>158.29162730769232</v>
      </c>
      <c r="J50" s="67" t="s">
        <v>211</v>
      </c>
      <c r="K50" s="78"/>
      <c r="O50" s="45" t="s">
        <v>295</v>
      </c>
      <c r="P50" s="47" t="s">
        <v>289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2:31" ht="3.75" customHeight="1" x14ac:dyDescent="0.2">
      <c r="C51" s="52"/>
      <c r="D51" s="52"/>
      <c r="E51" s="52"/>
      <c r="F51" s="52"/>
      <c r="G51" s="52"/>
      <c r="H51" s="52"/>
      <c r="I51" s="52"/>
      <c r="J51" s="52"/>
      <c r="K51" s="52"/>
      <c r="O51" s="45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2:31" x14ac:dyDescent="0.2">
      <c r="B52" s="51" t="s">
        <v>469</v>
      </c>
      <c r="D52" s="51"/>
      <c r="E52" s="62"/>
      <c r="F52" s="50"/>
      <c r="G52" s="51"/>
      <c r="H52" s="51" t="s">
        <v>207</v>
      </c>
      <c r="J52" s="50"/>
      <c r="K52" s="52"/>
      <c r="O52" s="45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2:31" x14ac:dyDescent="0.2">
      <c r="B53" s="63" t="s">
        <v>467</v>
      </c>
      <c r="D53" s="51"/>
      <c r="E53" s="51"/>
      <c r="F53" s="50"/>
      <c r="G53" s="51"/>
      <c r="H53" s="51" t="s">
        <v>214</v>
      </c>
      <c r="J53" s="50"/>
      <c r="K53" s="52"/>
      <c r="O53" s="45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2:31" x14ac:dyDescent="0.2">
      <c r="B54" s="51" t="s">
        <v>468</v>
      </c>
      <c r="D54" s="62" t="s">
        <v>331</v>
      </c>
      <c r="F54" s="50"/>
      <c r="G54" s="51"/>
      <c r="H54" s="51" t="s">
        <v>331</v>
      </c>
      <c r="J54" s="50"/>
      <c r="K54" s="52"/>
      <c r="O54" s="45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2:31" x14ac:dyDescent="0.2">
      <c r="C55" s="51"/>
      <c r="D55" s="52"/>
      <c r="E55" s="52"/>
      <c r="F55" s="52"/>
      <c r="G55" s="52"/>
      <c r="H55" s="51"/>
      <c r="J55" s="52"/>
      <c r="K55" s="52"/>
      <c r="O55" s="45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2:31" x14ac:dyDescent="0.2">
      <c r="C56" s="52"/>
      <c r="D56" s="52"/>
      <c r="E56" s="52"/>
      <c r="F56" s="52"/>
      <c r="G56" s="52"/>
      <c r="H56" s="52"/>
      <c r="I56" s="52"/>
      <c r="J56" s="52"/>
      <c r="K56" s="52"/>
      <c r="O56" s="45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2:31" x14ac:dyDescent="0.2">
      <c r="B57" s="51"/>
      <c r="C57" s="34"/>
      <c r="D57" s="34"/>
      <c r="E57" s="34"/>
      <c r="F57" s="34"/>
      <c r="G57" s="42"/>
      <c r="I57" s="37" t="s">
        <v>197</v>
      </c>
      <c r="J57" s="42"/>
    </row>
    <row r="58" spans="2:31" ht="25.5" customHeight="1" x14ac:dyDescent="0.2">
      <c r="B58" s="51"/>
      <c r="C58" s="43"/>
      <c r="D58" s="43"/>
      <c r="E58" s="43"/>
      <c r="F58" s="34"/>
      <c r="G58" s="42"/>
      <c r="I58" s="177" t="s">
        <v>417</v>
      </c>
      <c r="J58" s="177"/>
      <c r="K58" s="177"/>
    </row>
    <row r="59" spans="2:31" x14ac:dyDescent="0.2">
      <c r="B59" s="51"/>
      <c r="C59" s="43"/>
      <c r="D59" s="43"/>
      <c r="E59" s="43"/>
      <c r="F59" s="34"/>
      <c r="G59" s="42"/>
      <c r="I59" s="37" t="s">
        <v>198</v>
      </c>
      <c r="J59" s="42"/>
    </row>
    <row r="60" spans="2:31" x14ac:dyDescent="0.2">
      <c r="B60" s="51"/>
      <c r="C60" s="126"/>
      <c r="D60" s="126"/>
      <c r="E60" s="126"/>
      <c r="F60" s="126"/>
      <c r="G60" s="50"/>
      <c r="I60" s="51" t="s">
        <v>199</v>
      </c>
      <c r="J60" s="50"/>
      <c r="K60" s="52"/>
    </row>
    <row r="61" spans="2:31" x14ac:dyDescent="0.2">
      <c r="B61" s="51"/>
      <c r="C61" s="126"/>
      <c r="D61" s="126"/>
      <c r="E61" s="126"/>
      <c r="F61" s="126"/>
      <c r="G61" s="51"/>
      <c r="I61" s="51" t="s">
        <v>200</v>
      </c>
      <c r="J61" s="51"/>
      <c r="K61" s="52"/>
    </row>
    <row r="62" spans="2:31" x14ac:dyDescent="0.2">
      <c r="B62" s="51"/>
      <c r="C62" s="126"/>
      <c r="D62" s="126"/>
      <c r="E62" s="126"/>
      <c r="F62" s="126"/>
      <c r="G62" s="52"/>
      <c r="I62" s="51" t="s">
        <v>466</v>
      </c>
      <c r="J62" s="50"/>
      <c r="K62" s="52"/>
    </row>
    <row r="63" spans="2:31" x14ac:dyDescent="0.2">
      <c r="B63" s="51"/>
      <c r="C63" s="178" t="s">
        <v>330</v>
      </c>
      <c r="D63" s="178"/>
      <c r="E63" s="178"/>
      <c r="F63" s="178"/>
      <c r="G63" s="178"/>
      <c r="H63" s="178"/>
      <c r="I63" s="178"/>
      <c r="J63" s="178"/>
      <c r="K63" s="52"/>
    </row>
    <row r="64" spans="2:31" ht="27.75" customHeight="1" x14ac:dyDescent="0.2">
      <c r="B64" s="77" t="s">
        <v>302</v>
      </c>
      <c r="C64" s="122" t="s">
        <v>213</v>
      </c>
      <c r="D64" s="60"/>
      <c r="E64" s="60"/>
      <c r="F64" s="123"/>
      <c r="G64" s="122" t="s">
        <v>329</v>
      </c>
      <c r="H64" s="60"/>
      <c r="I64" s="179" t="s">
        <v>328</v>
      </c>
      <c r="J64" s="180"/>
      <c r="K64" s="181"/>
      <c r="P64" s="47" t="s">
        <v>359</v>
      </c>
    </row>
    <row r="65" spans="2:20" x14ac:dyDescent="0.2">
      <c r="B65" s="79" t="s">
        <v>304</v>
      </c>
      <c r="C65" s="122" t="s">
        <v>247</v>
      </c>
      <c r="D65" s="127"/>
      <c r="E65" s="127"/>
      <c r="F65" s="127"/>
      <c r="G65" s="127"/>
      <c r="H65" s="127"/>
      <c r="I65" s="127"/>
      <c r="J65" s="182"/>
      <c r="K65" s="183"/>
      <c r="P65" s="82" t="s">
        <v>130</v>
      </c>
      <c r="Q65" s="83" t="s">
        <v>117</v>
      </c>
      <c r="R65" s="84" t="s">
        <v>360</v>
      </c>
      <c r="S65" s="84" t="s">
        <v>361</v>
      </c>
      <c r="T65" s="82" t="s">
        <v>328</v>
      </c>
    </row>
    <row r="66" spans="2:20" x14ac:dyDescent="0.2">
      <c r="B66" s="79" t="s">
        <v>215</v>
      </c>
      <c r="C66" s="53" t="s">
        <v>248</v>
      </c>
      <c r="D66" s="54"/>
      <c r="E66" s="54"/>
      <c r="F66" s="55"/>
      <c r="G66" s="157" t="str">
        <f t="shared" ref="G66:G72" si="0">G10</f>
        <v>№1</v>
      </c>
      <c r="H66" s="158"/>
      <c r="I66" s="158"/>
      <c r="J66" s="158"/>
      <c r="K66" s="159"/>
      <c r="P66" s="82" t="s">
        <v>239</v>
      </c>
      <c r="Q66" s="83" t="s">
        <v>362</v>
      </c>
      <c r="R66" s="84" t="s">
        <v>363</v>
      </c>
      <c r="S66" s="84" t="s">
        <v>364</v>
      </c>
      <c r="T66" s="82" t="s">
        <v>333</v>
      </c>
    </row>
    <row r="67" spans="2:20" x14ac:dyDescent="0.2">
      <c r="B67" s="58" t="s">
        <v>216</v>
      </c>
      <c r="C67" s="56" t="s">
        <v>249</v>
      </c>
      <c r="D67" s="127"/>
      <c r="E67" s="127"/>
      <c r="F67" s="128"/>
      <c r="G67" s="157" t="str">
        <f t="shared" si="0"/>
        <v>КВГМ</v>
      </c>
      <c r="H67" s="158"/>
      <c r="I67" s="158"/>
      <c r="J67" s="158"/>
      <c r="K67" s="159"/>
      <c r="P67" s="82"/>
      <c r="Q67" s="83" t="s">
        <v>365</v>
      </c>
      <c r="R67" s="84" t="s">
        <v>366</v>
      </c>
      <c r="S67" s="84" t="s">
        <v>367</v>
      </c>
      <c r="T67" s="82" t="s">
        <v>333</v>
      </c>
    </row>
    <row r="68" spans="2:20" x14ac:dyDescent="0.2">
      <c r="B68" s="163" t="s">
        <v>217</v>
      </c>
      <c r="C68" s="165" t="s">
        <v>250</v>
      </c>
      <c r="D68" s="166"/>
      <c r="E68" s="166"/>
      <c r="F68" s="167"/>
      <c r="G68" s="68">
        <f t="shared" si="0"/>
        <v>2.5</v>
      </c>
      <c r="H68" s="68" t="s">
        <v>203</v>
      </c>
      <c r="I68" s="171"/>
      <c r="J68" s="172"/>
      <c r="K68" s="173"/>
      <c r="P68" s="82" t="s">
        <v>68</v>
      </c>
      <c r="Q68" s="83" t="s">
        <v>362</v>
      </c>
      <c r="R68" s="84" t="s">
        <v>368</v>
      </c>
      <c r="S68" s="84" t="s">
        <v>369</v>
      </c>
      <c r="T68" s="82" t="s">
        <v>333</v>
      </c>
    </row>
    <row r="69" spans="2:20" x14ac:dyDescent="0.2">
      <c r="B69" s="164"/>
      <c r="C69" s="168"/>
      <c r="D69" s="169"/>
      <c r="E69" s="169"/>
      <c r="F69" s="170"/>
      <c r="G69" s="88">
        <f>G13</f>
        <v>2.1496130696474633</v>
      </c>
      <c r="H69" s="68" t="s">
        <v>202</v>
      </c>
      <c r="I69" s="174"/>
      <c r="J69" s="175"/>
      <c r="K69" s="176"/>
      <c r="P69" s="82"/>
      <c r="Q69" s="83" t="s">
        <v>365</v>
      </c>
      <c r="R69" s="84" t="s">
        <v>370</v>
      </c>
      <c r="S69" s="84" t="s">
        <v>371</v>
      </c>
      <c r="T69" s="82" t="s">
        <v>333</v>
      </c>
    </row>
    <row r="70" spans="2:20" x14ac:dyDescent="0.2">
      <c r="B70" s="79" t="s">
        <v>305</v>
      </c>
      <c r="C70" s="56" t="s">
        <v>251</v>
      </c>
      <c r="D70" s="127"/>
      <c r="E70" s="127"/>
      <c r="F70" s="128"/>
      <c r="G70" s="157" t="str">
        <f t="shared" si="0"/>
        <v>д. Бережки, ул.Придорожная д.2а</v>
      </c>
      <c r="H70" s="158"/>
      <c r="I70" s="158"/>
      <c r="J70" s="158"/>
      <c r="K70" s="159"/>
      <c r="P70" s="82" t="s">
        <v>240</v>
      </c>
      <c r="Q70" s="83" t="s">
        <v>362</v>
      </c>
      <c r="R70" s="84" t="s">
        <v>372</v>
      </c>
      <c r="S70" s="84" t="s">
        <v>373</v>
      </c>
      <c r="T70" s="82" t="s">
        <v>333</v>
      </c>
    </row>
    <row r="71" spans="2:20" x14ac:dyDescent="0.2">
      <c r="B71" s="58" t="s">
        <v>238</v>
      </c>
      <c r="C71" s="56" t="s">
        <v>252</v>
      </c>
      <c r="D71" s="127"/>
      <c r="E71" s="127"/>
      <c r="F71" s="128"/>
      <c r="G71" s="157" t="str">
        <f t="shared" si="0"/>
        <v>R92А  CIB UNIGAS BURNESS</v>
      </c>
      <c r="H71" s="158"/>
      <c r="I71" s="158"/>
      <c r="J71" s="158"/>
      <c r="K71" s="159"/>
      <c r="P71" s="82"/>
      <c r="Q71" s="83" t="s">
        <v>365</v>
      </c>
      <c r="R71" s="84" t="s">
        <v>374</v>
      </c>
      <c r="S71" s="84" t="s">
        <v>375</v>
      </c>
      <c r="T71" s="82" t="s">
        <v>333</v>
      </c>
    </row>
    <row r="72" spans="2:20" x14ac:dyDescent="0.2">
      <c r="B72" s="58" t="s">
        <v>306</v>
      </c>
      <c r="C72" s="56" t="s">
        <v>253</v>
      </c>
      <c r="D72" s="127"/>
      <c r="E72" s="127"/>
      <c r="F72" s="128"/>
      <c r="G72" s="157" t="str">
        <f t="shared" si="0"/>
        <v>Газ</v>
      </c>
      <c r="H72" s="158"/>
      <c r="I72" s="158"/>
      <c r="J72" s="158"/>
      <c r="K72" s="159"/>
      <c r="P72" s="82" t="s">
        <v>69</v>
      </c>
      <c r="Q72" s="83" t="s">
        <v>376</v>
      </c>
      <c r="R72" s="84" t="s">
        <v>377</v>
      </c>
      <c r="S72" s="84" t="s">
        <v>377</v>
      </c>
      <c r="T72" s="82" t="s">
        <v>377</v>
      </c>
    </row>
    <row r="73" spans="2:20" x14ac:dyDescent="0.2">
      <c r="B73" s="79" t="s">
        <v>237</v>
      </c>
      <c r="C73" s="41" t="str">
        <f>'Данные для УРК'!I2</f>
        <v>ДАВЛЕНИЕ ТОПЛИВА</v>
      </c>
      <c r="D73" s="38"/>
      <c r="E73" s="38"/>
      <c r="F73" s="38"/>
      <c r="G73" s="38"/>
      <c r="H73" s="38"/>
      <c r="I73" s="38"/>
      <c r="J73" s="38"/>
      <c r="K73" s="39"/>
    </row>
    <row r="74" spans="2:20" ht="24.75" customHeight="1" x14ac:dyDescent="0.2">
      <c r="B74" s="58" t="s">
        <v>218</v>
      </c>
      <c r="C74" s="160" t="str">
        <f>'Данные для УРК'!I3</f>
        <v>Понижение давления перед клапанами/горелкой</v>
      </c>
      <c r="D74" s="161"/>
      <c r="E74" s="161"/>
      <c r="F74" s="162"/>
      <c r="G74" s="36">
        <f>IF($G$16="Газ",'Данные для УРК'!K3,IF($G$16="Мазут",'Данные для УРК'!L3,IF($G$16="Уголь",'Данные для УРК'!M3,IF($G$16="Дизель",'Данные для УРК'!N3))))</f>
        <v>0.01</v>
      </c>
      <c r="H74" s="36" t="str">
        <f>'Данные для УРК'!J3</f>
        <v>бар</v>
      </c>
      <c r="I74" s="40" t="str">
        <f>'Данные для УРК'!O3</f>
        <v>Без выдержки</v>
      </c>
      <c r="J74" s="38"/>
      <c r="K74" s="39"/>
      <c r="P74" s="47" t="s">
        <v>378</v>
      </c>
    </row>
    <row r="75" spans="2:20" x14ac:dyDescent="0.2">
      <c r="B75" s="58" t="s">
        <v>219</v>
      </c>
      <c r="C75" s="40" t="str">
        <f>'Данные для УРК'!I4</f>
        <v>Повышение давления перед горелкой</v>
      </c>
      <c r="D75" s="127"/>
      <c r="E75" s="127"/>
      <c r="F75" s="128"/>
      <c r="G75" s="36">
        <f>IF($G$16="Газ",'Данные для УРК'!K4,IF($G$16="Мазут",'Данные для УРК'!L4,IF($G$16="Уголь",'Данные для УРК'!M4,IF($G$16="Дизель",'Данные для УРК'!N4))))</f>
        <v>1</v>
      </c>
      <c r="H75" s="36" t="str">
        <f>'Данные для УРК'!J4</f>
        <v>бар</v>
      </c>
      <c r="I75" s="40" t="str">
        <f>'Данные для УРК'!O4</f>
        <v>Без выдержки</v>
      </c>
      <c r="J75" s="38"/>
      <c r="K75" s="39"/>
      <c r="P75" s="82" t="s">
        <v>130</v>
      </c>
      <c r="Q75" s="83" t="s">
        <v>117</v>
      </c>
      <c r="R75" s="84" t="s">
        <v>360</v>
      </c>
      <c r="S75" s="84" t="s">
        <v>361</v>
      </c>
      <c r="T75" s="82" t="s">
        <v>328</v>
      </c>
    </row>
    <row r="76" spans="2:20" x14ac:dyDescent="0.2">
      <c r="B76" s="79" t="s">
        <v>310</v>
      </c>
      <c r="C76" s="41" t="str">
        <f>'Данные для УРК'!I5</f>
        <v>ВОЗДУХ/ТЯГА</v>
      </c>
      <c r="D76" s="38"/>
      <c r="E76" s="38"/>
      <c r="F76" s="38"/>
      <c r="G76" s="38"/>
      <c r="H76" s="38"/>
      <c r="I76" s="38"/>
      <c r="J76" s="38"/>
      <c r="K76" s="39"/>
      <c r="P76" s="82" t="s">
        <v>379</v>
      </c>
      <c r="Q76" s="83" t="s">
        <v>233</v>
      </c>
      <c r="R76" s="84" t="s">
        <v>380</v>
      </c>
      <c r="S76" s="84" t="s">
        <v>381</v>
      </c>
      <c r="T76" s="82" t="s">
        <v>333</v>
      </c>
    </row>
    <row r="77" spans="2:20" ht="24" customHeight="1" x14ac:dyDescent="0.2">
      <c r="B77" s="58" t="s">
        <v>225</v>
      </c>
      <c r="C77" s="160" t="str">
        <f>'Данные для УРК'!I6</f>
        <v>Понижение давления воздуха перед горелкой</v>
      </c>
      <c r="D77" s="161"/>
      <c r="E77" s="161"/>
      <c r="F77" s="162"/>
      <c r="G77" s="36">
        <f>IF($G$16="Газ",'Данные для УРК'!K6,IF($G$16="Мазут",'Данные для УРК'!L6,IF($G$16="Уголь",'Данные для УРК'!M6,IF($G$16="Дизель",'Данные для УРК'!N6))))</f>
        <v>3.0000000000000001E-3</v>
      </c>
      <c r="H77" s="36" t="str">
        <f>'Данные для УРК'!J6</f>
        <v>бар</v>
      </c>
      <c r="I77" s="40" t="str">
        <f>'Данные для УРК'!O6</f>
        <v>Без выдержки</v>
      </c>
      <c r="J77" s="38"/>
      <c r="K77" s="39"/>
      <c r="P77" s="82" t="s">
        <v>239</v>
      </c>
      <c r="Q77" s="83" t="s">
        <v>336</v>
      </c>
      <c r="R77" s="84" t="s">
        <v>382</v>
      </c>
      <c r="S77" s="84" t="s">
        <v>383</v>
      </c>
      <c r="T77" s="82" t="s">
        <v>337</v>
      </c>
    </row>
    <row r="78" spans="2:20" ht="12.75" customHeight="1" x14ac:dyDescent="0.2">
      <c r="B78" s="58" t="s">
        <v>226</v>
      </c>
      <c r="C78" s="40" t="str">
        <f>'Данные для УРК'!I7</f>
        <v>Разрежения в топке</v>
      </c>
      <c r="D78" s="93"/>
      <c r="E78" s="93"/>
      <c r="F78" s="94"/>
      <c r="G78" s="36">
        <f>IF($G$16="Газ",'Данные для УРК'!K7,IF($G$16="Мазут",'Данные для УРК'!L7,IF($G$16="Уголь",'Данные для УРК'!M7,IF($G$16="Дизель",'Данные для УРК'!N7))))</f>
        <v>500</v>
      </c>
      <c r="H78" s="36" t="str">
        <f>'Данные для УРК'!J7</f>
        <v>Па</v>
      </c>
      <c r="I78" s="40" t="str">
        <f>'Данные для УРК'!O7</f>
        <v>≤ 0,5 сек</v>
      </c>
      <c r="J78" s="38"/>
      <c r="K78" s="39"/>
      <c r="P78" s="82" t="s">
        <v>68</v>
      </c>
      <c r="Q78" s="83" t="s">
        <v>336</v>
      </c>
      <c r="R78" s="84" t="s">
        <v>384</v>
      </c>
      <c r="S78" s="84" t="s">
        <v>385</v>
      </c>
      <c r="T78" s="82" t="s">
        <v>337</v>
      </c>
    </row>
    <row r="79" spans="2:20" x14ac:dyDescent="0.2">
      <c r="B79" s="58" t="s">
        <v>311</v>
      </c>
      <c r="C79" s="41" t="str">
        <f>'Данные для УРК'!I8</f>
        <v>ТЕПЛОНОСИТЕЛЬ</v>
      </c>
      <c r="D79" s="38"/>
      <c r="E79" s="38"/>
      <c r="F79" s="38"/>
      <c r="G79" s="38"/>
      <c r="H79" s="38"/>
      <c r="I79" s="38"/>
      <c r="J79" s="38"/>
      <c r="K79" s="39"/>
      <c r="P79" s="82" t="s">
        <v>69</v>
      </c>
      <c r="Q79" s="83" t="s">
        <v>336</v>
      </c>
      <c r="R79" s="84" t="s">
        <v>386</v>
      </c>
      <c r="S79" s="84" t="s">
        <v>387</v>
      </c>
      <c r="T79" s="82" t="s">
        <v>341</v>
      </c>
    </row>
    <row r="80" spans="2:20" x14ac:dyDescent="0.2">
      <c r="B80" s="80" t="s">
        <v>312</v>
      </c>
      <c r="C80" s="40" t="str">
        <f>'Данные для УРК'!I9</f>
        <v>Понижение давления воды в котле</v>
      </c>
      <c r="D80" s="127"/>
      <c r="E80" s="127"/>
      <c r="F80" s="128"/>
      <c r="G80" s="36">
        <f>IF($G$16="Газ",'Данные для УРК'!K9,IF($G$16="Мазут",'Данные для УРК'!L9,IF($G$16="Уголь",'Данные для УРК'!M9,IF($G$16="Дизель",'Данные для УРК'!N9))))</f>
        <v>2</v>
      </c>
      <c r="H80" s="36" t="str">
        <f>'Данные для УРК'!J9</f>
        <v>бар</v>
      </c>
      <c r="I80" s="40" t="str">
        <f>'Данные для УРК'!O9</f>
        <v>Без выдержки</v>
      </c>
      <c r="J80" s="38"/>
      <c r="K80" s="39"/>
      <c r="P80" s="82" t="s">
        <v>240</v>
      </c>
      <c r="Q80" s="83" t="s">
        <v>336</v>
      </c>
      <c r="R80" s="84" t="s">
        <v>388</v>
      </c>
      <c r="S80" s="84" t="s">
        <v>389</v>
      </c>
      <c r="T80" s="82" t="s">
        <v>337</v>
      </c>
    </row>
    <row r="81" spans="2:20" x14ac:dyDescent="0.2">
      <c r="B81" s="58" t="s">
        <v>313</v>
      </c>
      <c r="C81" s="40" t="str">
        <f>'Данные для УРК'!I10</f>
        <v>Повышение давления воды в котле</v>
      </c>
      <c r="D81" s="127"/>
      <c r="E81" s="127"/>
      <c r="F81" s="128"/>
      <c r="G81" s="36">
        <f>IF($G$16="Газ",'Данные для УРК'!K10,IF($G$16="Мазут",'Данные для УРК'!L10,IF($G$16="Уголь",'Данные для УРК'!M10,IF($G$16="Дизель",'Данные для УРК'!N10))))</f>
        <v>7</v>
      </c>
      <c r="H81" s="36" t="str">
        <f>'Данные для УРК'!J10</f>
        <v>бар</v>
      </c>
      <c r="I81" s="40" t="str">
        <f>'Данные для УРК'!O10</f>
        <v>Без выдержки</v>
      </c>
      <c r="J81" s="38"/>
      <c r="K81" s="39"/>
    </row>
    <row r="82" spans="2:20" x14ac:dyDescent="0.2">
      <c r="B82" s="36" t="s">
        <v>314</v>
      </c>
      <c r="C82" s="40" t="str">
        <f>'Данные для УРК'!I11</f>
        <v>Повышение температуры воды на выходе</v>
      </c>
      <c r="D82" s="38"/>
      <c r="E82" s="38"/>
      <c r="F82" s="39"/>
      <c r="G82" s="36">
        <f>IF($G$16="Газ",'Данные для УРК'!K11,IF($G$16="Мазут",'Данные для УРК'!L11,IF($G$16="Уголь",'Данные для УРК'!M11,IF($G$16="Дизель",'Данные для УРК'!N11))))</f>
        <v>95</v>
      </c>
      <c r="H82" s="36" t="str">
        <f>'Данные для УРК'!J11</f>
        <v>°C</v>
      </c>
      <c r="I82" s="40" t="str">
        <f>'Данные для УРК'!O11</f>
        <v>Без выдержки</v>
      </c>
      <c r="J82" s="38"/>
      <c r="K82" s="39"/>
      <c r="P82" s="47" t="s">
        <v>390</v>
      </c>
    </row>
    <row r="83" spans="2:20" x14ac:dyDescent="0.2">
      <c r="B83" s="36" t="s">
        <v>319</v>
      </c>
      <c r="C83" s="41" t="str">
        <f>'Данные для УРК'!I13</f>
        <v>ГОРЕНИЕ/ТОПЛЕВО</v>
      </c>
      <c r="D83" s="38"/>
      <c r="E83" s="38"/>
      <c r="F83" s="38"/>
      <c r="G83" s="38"/>
      <c r="H83" s="38"/>
      <c r="I83" s="38"/>
      <c r="J83" s="38"/>
      <c r="K83" s="39"/>
      <c r="P83" s="82" t="s">
        <v>117</v>
      </c>
      <c r="Q83" s="83" t="s">
        <v>360</v>
      </c>
      <c r="R83" s="84" t="s">
        <v>361</v>
      </c>
      <c r="S83" s="84" t="s">
        <v>328</v>
      </c>
      <c r="T83" s="82"/>
    </row>
    <row r="84" spans="2:20" x14ac:dyDescent="0.2">
      <c r="B84" s="58" t="s">
        <v>320</v>
      </c>
      <c r="C84" s="40" t="str">
        <f>'Данные для УРК'!I14</f>
        <v>Погасание факела/отсутствие горения</v>
      </c>
      <c r="D84" s="38"/>
      <c r="E84" s="38"/>
      <c r="F84" s="39"/>
      <c r="G84" s="36" t="str">
        <f>IF($G$16="Газ",'Данные для УРК'!K14,IF($G$16="Мазут",'Данные для УРК'!L14,IF($G$16="Уголь",'Данные для УРК'!M14,IF($G$16="Дизель",'Данные для УРК'!N14))))</f>
        <v>Контроль</v>
      </c>
      <c r="H84" s="36" t="str">
        <f>'Данные для УРК'!J14</f>
        <v>-</v>
      </c>
      <c r="I84" s="42" t="str">
        <f>'Данные для УРК'!O14</f>
        <v>Без выдержки</v>
      </c>
      <c r="J84" s="42"/>
      <c r="K84" s="39"/>
      <c r="P84" s="82" t="s">
        <v>362</v>
      </c>
      <c r="Q84" s="83" t="s">
        <v>391</v>
      </c>
      <c r="R84" s="84" t="s">
        <v>392</v>
      </c>
      <c r="S84" s="84" t="s">
        <v>333</v>
      </c>
      <c r="T84" s="82"/>
    </row>
    <row r="85" spans="2:20" x14ac:dyDescent="0.2">
      <c r="B85" s="58" t="s">
        <v>321</v>
      </c>
      <c r="C85" s="40" t="str">
        <f>'Данные для УРК'!I15</f>
        <v>Понижение температуры мазута</v>
      </c>
      <c r="D85" s="38"/>
      <c r="E85" s="38"/>
      <c r="F85" s="39"/>
      <c r="G85" s="36" t="str">
        <f>IF($G$16="Газ",'Данные для УРК'!K15,IF($G$16="Мазут",'Данные для УРК'!L15,IF($G$16="Уголь",'Данные для УРК'!M15,IF($G$16="Дизель",'Данные для УРК'!N15))))</f>
        <v>-</v>
      </c>
      <c r="H85" s="36" t="str">
        <f>'Данные для УРК'!J15</f>
        <v>°C</v>
      </c>
      <c r="I85" s="40" t="str">
        <f>'Данные для УРК'!O15</f>
        <v>≤ 5 сек</v>
      </c>
      <c r="J85" s="38"/>
      <c r="K85" s="39"/>
      <c r="P85" s="82" t="s">
        <v>365</v>
      </c>
      <c r="Q85" s="83" t="s">
        <v>393</v>
      </c>
      <c r="R85" s="84" t="s">
        <v>394</v>
      </c>
      <c r="S85" s="84" t="s">
        <v>333</v>
      </c>
      <c r="T85" s="82"/>
    </row>
    <row r="86" spans="2:20" x14ac:dyDescent="0.2">
      <c r="B86" s="58" t="s">
        <v>322</v>
      </c>
      <c r="C86" s="40" t="str">
        <f>'Данные для УРК'!I16</f>
        <v>Понижение уровня угля в бункере</v>
      </c>
      <c r="D86" s="38"/>
      <c r="E86" s="38"/>
      <c r="F86" s="39"/>
      <c r="G86" s="36" t="str">
        <f>IF($G$16="Газ",'Данные для УРК'!K16,IF($G$16="Мазут",'Данные для УРК'!L16,IF($G$16="Уголь",'Данные для УРК'!M16,IF($G$16="Дизель",'Данные для УРК'!N16))))</f>
        <v>-</v>
      </c>
      <c r="H86" s="36" t="str">
        <f>'Данные для УРК'!J16</f>
        <v>%</v>
      </c>
      <c r="I86" s="40" t="str">
        <f>'Данные для УРК'!O16</f>
        <v>≤ 15 сек</v>
      </c>
      <c r="J86" s="38"/>
      <c r="K86" s="39"/>
      <c r="P86" s="82" t="s">
        <v>395</v>
      </c>
      <c r="Q86" s="83"/>
      <c r="R86" s="84"/>
      <c r="S86" s="84"/>
      <c r="T86" s="82"/>
    </row>
    <row r="87" spans="2:20" x14ac:dyDescent="0.2">
      <c r="B87" s="58" t="s">
        <v>354</v>
      </c>
      <c r="C87" s="41" t="str">
        <f>'Данные для УРК'!I17</f>
        <v>ЭЛЕКТРИКА</v>
      </c>
      <c r="D87" s="38"/>
      <c r="E87" s="38"/>
      <c r="F87" s="38"/>
      <c r="G87" s="38"/>
      <c r="H87" s="38"/>
      <c r="I87" s="38"/>
      <c r="J87" s="38"/>
      <c r="K87" s="39"/>
      <c r="P87" s="82" t="s">
        <v>396</v>
      </c>
      <c r="Q87" s="83" t="s">
        <v>397</v>
      </c>
      <c r="R87" s="84" t="s">
        <v>398</v>
      </c>
      <c r="S87" s="84" t="s">
        <v>341</v>
      </c>
      <c r="T87" s="82"/>
    </row>
    <row r="88" spans="2:20" x14ac:dyDescent="0.2">
      <c r="B88" s="58" t="s">
        <v>355</v>
      </c>
      <c r="C88" s="40" t="str">
        <f>'Данные для УРК'!I18</f>
        <v>Исчезновение напряжения в цепях защиты</v>
      </c>
      <c r="D88" s="38"/>
      <c r="E88" s="38"/>
      <c r="F88" s="39"/>
      <c r="G88" s="36" t="str">
        <f>IF($G$16="Газ",'Данные для УРК'!K18,IF($G$16="Мазут",'Данные для УРК'!L18,IF($G$16="Уголь",'Данные для УРК'!M18,IF($G$16="Дизель",'Данные для УРК'!N18))))</f>
        <v>Контроль</v>
      </c>
      <c r="H88" s="36" t="str">
        <f>'Данные для УРК'!J18</f>
        <v>-</v>
      </c>
      <c r="I88" s="40" t="str">
        <f>'Данные для УРК'!O18</f>
        <v>Без выдержки</v>
      </c>
      <c r="J88" s="38"/>
      <c r="K88" s="39"/>
      <c r="P88" s="82" t="s">
        <v>399</v>
      </c>
      <c r="Q88" s="83" t="s">
        <v>400</v>
      </c>
      <c r="R88" s="84" t="s">
        <v>401</v>
      </c>
      <c r="S88" s="84" t="s">
        <v>341</v>
      </c>
      <c r="T88" s="82"/>
    </row>
    <row r="89" spans="2:20" x14ac:dyDescent="0.2">
      <c r="B89" s="58" t="s">
        <v>356</v>
      </c>
      <c r="C89" s="40" t="str">
        <f>'Данные для УРК'!I19</f>
        <v>Остановка топливного конвейера (уголь)</v>
      </c>
      <c r="D89" s="38"/>
      <c r="E89" s="38"/>
      <c r="F89" s="39"/>
      <c r="G89" s="36" t="str">
        <f>IF($G$16="Газ",'Данные для УРК'!K19,IF($G$16="Мазут",'Данные для УРК'!L19,IF($G$16="Уголь",'Данные для УРК'!M19,IF($G$16="Дизель",'Данные для УРК'!N19))))</f>
        <v>-</v>
      </c>
      <c r="H89" s="36" t="str">
        <f>'Данные для УРК'!J19</f>
        <v>-</v>
      </c>
      <c r="I89" s="40" t="str">
        <f>'Данные для УРК'!O19</f>
        <v>Без выдержки</v>
      </c>
      <c r="J89" s="38"/>
      <c r="K89" s="39"/>
      <c r="P89" s="82" t="s">
        <v>402</v>
      </c>
      <c r="Q89" s="83" t="s">
        <v>403</v>
      </c>
      <c r="R89" s="84" t="s">
        <v>404</v>
      </c>
      <c r="S89" s="84" t="s">
        <v>345</v>
      </c>
      <c r="T89" s="82"/>
    </row>
    <row r="90" spans="2:20" ht="12.75" customHeight="1" x14ac:dyDescent="0.2">
      <c r="C90" s="89"/>
      <c r="P90" s="82" t="s">
        <v>405</v>
      </c>
      <c r="Q90" s="83" t="s">
        <v>406</v>
      </c>
      <c r="R90" s="84" t="s">
        <v>407</v>
      </c>
      <c r="S90" s="84" t="s">
        <v>341</v>
      </c>
      <c r="T90" s="82"/>
    </row>
    <row r="91" spans="2:20" x14ac:dyDescent="0.2">
      <c r="B91" s="51" t="s">
        <v>469</v>
      </c>
      <c r="D91" s="51"/>
      <c r="E91" s="62"/>
      <c r="F91" s="50"/>
      <c r="G91" s="51"/>
      <c r="H91" s="51" t="s">
        <v>207</v>
      </c>
      <c r="J91" s="50"/>
      <c r="K91" s="52"/>
    </row>
    <row r="92" spans="2:20" x14ac:dyDescent="0.2">
      <c r="B92" s="63" t="s">
        <v>467</v>
      </c>
      <c r="D92" s="51"/>
      <c r="E92" s="51"/>
      <c r="F92" s="50"/>
      <c r="G92" s="51"/>
      <c r="H92" s="51" t="s">
        <v>214</v>
      </c>
      <c r="J92" s="50"/>
      <c r="K92" s="52"/>
      <c r="P92" s="47" t="s">
        <v>416</v>
      </c>
    </row>
    <row r="93" spans="2:20" x14ac:dyDescent="0.2">
      <c r="B93" s="51" t="s">
        <v>468</v>
      </c>
      <c r="D93" s="62" t="s">
        <v>331</v>
      </c>
      <c r="F93" s="50"/>
      <c r="G93" s="51"/>
      <c r="H93" s="51" t="s">
        <v>331</v>
      </c>
      <c r="J93" s="50"/>
      <c r="K93" s="52"/>
      <c r="P93" s="82" t="s">
        <v>117</v>
      </c>
      <c r="Q93" s="83" t="s">
        <v>361</v>
      </c>
      <c r="R93" s="84" t="s">
        <v>328</v>
      </c>
    </row>
    <row r="94" spans="2:20" x14ac:dyDescent="0.2">
      <c r="C94" s="51"/>
      <c r="D94" s="52"/>
      <c r="E94" s="52"/>
      <c r="F94" s="52"/>
      <c r="G94" s="52"/>
      <c r="H94" s="51"/>
      <c r="J94" s="52"/>
      <c r="K94" s="52"/>
      <c r="P94" s="82" t="s">
        <v>234</v>
      </c>
      <c r="Q94" s="83" t="s">
        <v>408</v>
      </c>
      <c r="R94" s="84" t="s">
        <v>333</v>
      </c>
    </row>
    <row r="95" spans="2:20" x14ac:dyDescent="0.2">
      <c r="C95" s="89"/>
      <c r="P95" s="82" t="s">
        <v>344</v>
      </c>
      <c r="Q95" s="83" t="s">
        <v>409</v>
      </c>
      <c r="R95" s="84" t="s">
        <v>345</v>
      </c>
    </row>
    <row r="96" spans="2:20" x14ac:dyDescent="0.2">
      <c r="C96" s="89"/>
      <c r="P96" s="82" t="s">
        <v>410</v>
      </c>
      <c r="Q96" s="83" t="s">
        <v>411</v>
      </c>
      <c r="R96" s="84" t="s">
        <v>347</v>
      </c>
    </row>
    <row r="97" spans="3:18" x14ac:dyDescent="0.2">
      <c r="C97" s="89"/>
    </row>
    <row r="98" spans="3:18" x14ac:dyDescent="0.2">
      <c r="C98" s="89"/>
      <c r="P98" s="47" t="s">
        <v>412</v>
      </c>
    </row>
    <row r="99" spans="3:18" x14ac:dyDescent="0.2">
      <c r="C99" s="89"/>
      <c r="P99" s="82" t="s">
        <v>117</v>
      </c>
      <c r="Q99" s="83" t="s">
        <v>361</v>
      </c>
      <c r="R99" s="84" t="s">
        <v>328</v>
      </c>
    </row>
    <row r="100" spans="3:18" x14ac:dyDescent="0.2">
      <c r="C100" s="89"/>
      <c r="P100" s="82" t="s">
        <v>235</v>
      </c>
      <c r="Q100" s="83" t="s">
        <v>413</v>
      </c>
      <c r="R100" s="84" t="s">
        <v>333</v>
      </c>
    </row>
    <row r="101" spans="3:18" x14ac:dyDescent="0.2">
      <c r="P101" s="82" t="s">
        <v>414</v>
      </c>
      <c r="Q101" s="83" t="s">
        <v>415</v>
      </c>
      <c r="R101" s="84" t="s">
        <v>333</v>
      </c>
    </row>
  </sheetData>
  <mergeCells count="38">
    <mergeCell ref="B12:B13"/>
    <mergeCell ref="C12:F13"/>
    <mergeCell ref="I12:K12"/>
    <mergeCell ref="I13:K13"/>
    <mergeCell ref="I2:K2"/>
    <mergeCell ref="C7:J7"/>
    <mergeCell ref="J9:K9"/>
    <mergeCell ref="G10:K10"/>
    <mergeCell ref="G11:K11"/>
    <mergeCell ref="B46:B47"/>
    <mergeCell ref="C46:F47"/>
    <mergeCell ref="G14:K14"/>
    <mergeCell ref="G15:K15"/>
    <mergeCell ref="G16:K16"/>
    <mergeCell ref="J17:K17"/>
    <mergeCell ref="I18:J18"/>
    <mergeCell ref="G19:H19"/>
    <mergeCell ref="I19:J19"/>
    <mergeCell ref="G67:K67"/>
    <mergeCell ref="J29:K29"/>
    <mergeCell ref="G36:H36"/>
    <mergeCell ref="I36:J36"/>
    <mergeCell ref="J37:K37"/>
    <mergeCell ref="J45:K45"/>
    <mergeCell ref="I58:K58"/>
    <mergeCell ref="C63:J63"/>
    <mergeCell ref="I64:K64"/>
    <mergeCell ref="J65:K65"/>
    <mergeCell ref="G66:K66"/>
    <mergeCell ref="G72:K72"/>
    <mergeCell ref="C74:F74"/>
    <mergeCell ref="C77:F77"/>
    <mergeCell ref="B68:B69"/>
    <mergeCell ref="C68:F69"/>
    <mergeCell ref="I68:K68"/>
    <mergeCell ref="I69:K69"/>
    <mergeCell ref="G70:K70"/>
    <mergeCell ref="G71:K71"/>
  </mergeCells>
  <dataValidations count="3">
    <dataValidation type="list" allowBlank="1" showInputMessage="1" showErrorMessage="1" sqref="D11 D67">
      <formula1>$P:$P</formula1>
    </dataValidation>
    <dataValidation type="list" allowBlank="1" showInputMessage="1" showErrorMessage="1" sqref="D10 D66">
      <formula1>$O:$O</formula1>
    </dataValidation>
    <dataValidation type="list" allowBlank="1" showInputMessage="1" showErrorMessage="1" sqref="D16 D72">
      <formula1>$N:$N</formula1>
    </dataValidation>
  </dataValidations>
  <pageMargins left="0.7" right="0.7" top="0.75" bottom="0.75" header="0.3" footer="0.3"/>
  <pageSetup paperSize="9" orientation="portrait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>
          <x14:formula1>
            <xm:f>'Данные для УРК'!$G:$G</xm:f>
          </x14:formula1>
          <xm:sqref>H21</xm:sqref>
        </x14:dataValidation>
        <x14:dataValidation type="list" allowBlank="1" showInputMessage="1" showErrorMessage="1">
          <x14:formula1>
            <xm:f>'Данные для УРК'!$G:$G</xm:f>
          </x14:formula1>
          <xm:sqref>H24</xm:sqref>
        </x14:dataValidation>
        <x14:dataValidation type="list" allowBlank="1" showInputMessage="1" showErrorMessage="1">
          <x14:formula1>
            <xm:f>'Данные для УРК'!$G:$G</xm:f>
          </x14:formula1>
          <xm:sqref>J20:J21</xm:sqref>
        </x14:dataValidation>
        <x14:dataValidation type="list" allowBlank="1" showInputMessage="1" showErrorMessage="1">
          <x14:formula1>
            <xm:f>'Данные для УРК'!$G:$G</xm:f>
          </x14:formula1>
          <xm:sqref>J24</xm:sqref>
        </x14:dataValidation>
        <x14:dataValidation type="list" allowBlank="1" showInputMessage="1" showErrorMessage="1">
          <x14:formula1>
            <xm:f>'Данные для УРК'!$G:$G</xm:f>
          </x14:formula1>
          <xm:sqref>H41:H43</xm:sqref>
        </x14:dataValidation>
        <x14:dataValidation type="list" allowBlank="1" showInputMessage="1" showErrorMessage="1">
          <x14:formula1>
            <xm:f>'Данные для УРК'!$G:$G</xm:f>
          </x14:formula1>
          <xm:sqref>J41:J43</xm:sqref>
        </x14:dataValidation>
        <x14:dataValidation type="list" allowBlank="1" showInputMessage="1" showErrorMessage="1">
          <x14:formula1>
            <xm:f>'Данные для УРК'!$H:$H</xm:f>
          </x14:formula1>
          <xm:sqref>G18</xm:sqref>
        </x14:dataValidation>
        <x14:dataValidation type="list" allowBlank="1" showInputMessage="1" showErrorMessage="1">
          <x14:formula1>
            <xm:f>'Данные для УРК'!$F:$F</xm:f>
          </x14:formula1>
          <xm:sqref>G16</xm:sqref>
        </x14:dataValidation>
        <x14:dataValidation type="list" allowBlank="1" showInputMessage="1" showErrorMessage="1">
          <x14:formula1>
            <xm:f>'Данные для УРК'!$A:$A</xm:f>
          </x14:formula1>
          <xm:sqref>G10</xm:sqref>
        </x14:dataValidation>
        <x14:dataValidation type="list" allowBlank="1" showInputMessage="1" showErrorMessage="1">
          <x14:formula1>
            <xm:f>'Данные для УРК'!$B:$B</xm:f>
          </x14:formula1>
          <xm:sqref>G11</xm:sqref>
        </x14:dataValidation>
        <x14:dataValidation type="list" allowBlank="1" showInputMessage="1" showErrorMessage="1">
          <x14:formula1>
            <xm:f>'Данные для УРК'!$E:$E</xm:f>
          </x14:formula1>
          <xm:sqref>G15</xm:sqref>
        </x14:dataValidation>
        <x14:dataValidation type="list" allowBlank="1" showInputMessage="1" showErrorMessage="1">
          <x14:formula1>
            <xm:f>'Данные для УРК'!$D:$D</xm:f>
          </x14:formula1>
          <xm:sqref>G14</xm:sqref>
        </x14:dataValidation>
        <x14:dataValidation type="list" allowBlank="1" showInputMessage="1" showErrorMessage="1">
          <x14:formula1>
            <xm:f>'Данные для УРК'!$C:$C</xm:f>
          </x14:formula1>
          <xm:sqref>G12</xm:sqref>
        </x14:dataValidation>
        <x14:dataValidation type="list" allowBlank="1" showInputMessage="1" showErrorMessage="1">
          <x14:formula1>
            <xm:f>'Данные для УРК'!$C$1:$C$279</xm:f>
          </x14:formula1>
          <xm:sqref>G36:J36 G38:G39 I38 I39 G41 G42 I41 I42 G44 I44</xm:sqref>
        </x14:dataValidation>
        <x14:dataValidation type="list" allowBlank="1" showInputMessage="1" showErrorMessage="1">
          <x14:formula1>
            <xm:f>'Данные для УРК'!$C$1:$C$279</xm:f>
          </x14:formula1>
          <xm:sqref>G21 I20:I35</xm:sqref>
        </x14:dataValidation>
        <x14:dataValidation type="list" allowBlank="1" showInputMessage="1" showErrorMessage="1">
          <x14:formula1>
            <xm:f>'Данные для УРК'!C1:C279</xm:f>
          </x14:formula1>
          <xm:sqref>G22:G28 G30:G35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E101"/>
  <sheetViews>
    <sheetView workbookViewId="0">
      <selection activeCell="N34" sqref="N34"/>
    </sheetView>
  </sheetViews>
  <sheetFormatPr defaultRowHeight="12.75" x14ac:dyDescent="0.2"/>
  <cols>
    <col min="1" max="1" width="4.7109375" style="35" customWidth="1"/>
    <col min="2" max="2" width="4.85546875" style="50" customWidth="1"/>
    <col min="3" max="3" width="9.140625" style="35" customWidth="1"/>
    <col min="4" max="5" width="9.140625" style="35"/>
    <col min="6" max="6" width="9.5703125" style="35" customWidth="1"/>
    <col min="7" max="7" width="10.7109375" style="35" bestFit="1" customWidth="1"/>
    <col min="8" max="8" width="9.140625" style="35" customWidth="1"/>
    <col min="9" max="10" width="9.140625" style="35"/>
    <col min="11" max="11" width="5.7109375" style="35" customWidth="1"/>
    <col min="12" max="12" width="4.5703125" style="35" customWidth="1"/>
    <col min="13" max="14" width="9.140625" style="35"/>
    <col min="15" max="15" width="25.7109375" style="35" customWidth="1"/>
    <col min="16" max="16" width="38.140625" style="47" customWidth="1"/>
    <col min="17" max="17" width="67.28515625" style="48" customWidth="1"/>
    <col min="18" max="18" width="42.7109375" style="49" customWidth="1"/>
    <col min="19" max="19" width="28.5703125" style="49" customWidth="1"/>
    <col min="20" max="20" width="41.140625" style="47" customWidth="1"/>
    <col min="21" max="21" width="9.140625" style="47"/>
    <col min="22" max="16384" width="9.140625" style="35"/>
  </cols>
  <sheetData>
    <row r="1" spans="2:31" x14ac:dyDescent="0.2">
      <c r="B1" s="51"/>
      <c r="C1" s="34"/>
      <c r="D1" s="34"/>
      <c r="E1" s="34"/>
      <c r="F1" s="34"/>
      <c r="G1" s="42"/>
      <c r="I1" s="37" t="s">
        <v>197</v>
      </c>
      <c r="J1" s="42"/>
      <c r="O1" s="45" t="s">
        <v>301</v>
      </c>
      <c r="P1" s="47" t="s">
        <v>148</v>
      </c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2:31" ht="23.25" customHeight="1" x14ac:dyDescent="0.2">
      <c r="B2" s="51"/>
      <c r="C2" s="43"/>
      <c r="D2" s="43"/>
      <c r="E2" s="43"/>
      <c r="F2" s="34"/>
      <c r="G2" s="42"/>
      <c r="I2" s="177" t="s">
        <v>417</v>
      </c>
      <c r="J2" s="177"/>
      <c r="K2" s="177"/>
      <c r="O2" s="45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2:31" x14ac:dyDescent="0.2">
      <c r="B3" s="51"/>
      <c r="C3" s="43"/>
      <c r="D3" s="43"/>
      <c r="E3" s="43"/>
      <c r="F3" s="34"/>
      <c r="G3" s="42"/>
      <c r="I3" s="37" t="s">
        <v>198</v>
      </c>
      <c r="J3" s="42"/>
      <c r="O3" s="45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2:31" ht="12.75" customHeight="1" x14ac:dyDescent="0.2">
      <c r="B4" s="51"/>
      <c r="C4" s="126"/>
      <c r="D4" s="126"/>
      <c r="E4" s="126"/>
      <c r="F4" s="126"/>
      <c r="G4" s="50"/>
      <c r="I4" s="51" t="s">
        <v>199</v>
      </c>
      <c r="J4" s="50"/>
      <c r="K4" s="52"/>
      <c r="O4" s="45"/>
      <c r="P4" s="47" t="s">
        <v>65</v>
      </c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2:31" x14ac:dyDescent="0.2">
      <c r="B5" s="51"/>
      <c r="C5" s="126"/>
      <c r="D5" s="126"/>
      <c r="E5" s="126"/>
      <c r="F5" s="126"/>
      <c r="G5" s="51"/>
      <c r="I5" s="51" t="s">
        <v>200</v>
      </c>
      <c r="J5" s="51"/>
      <c r="K5" s="52"/>
      <c r="O5" s="45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2:31" ht="15" customHeight="1" x14ac:dyDescent="0.2">
      <c r="B6" s="51"/>
      <c r="C6" s="126"/>
      <c r="D6" s="126"/>
      <c r="E6" s="126"/>
      <c r="F6" s="126"/>
      <c r="G6" s="52"/>
      <c r="I6" s="51" t="s">
        <v>466</v>
      </c>
      <c r="J6" s="50"/>
      <c r="K6" s="52"/>
      <c r="O6" s="45"/>
      <c r="P6" s="82" t="s">
        <v>66</v>
      </c>
      <c r="Q6" s="83" t="s">
        <v>67</v>
      </c>
      <c r="R6" s="84" t="s">
        <v>68</v>
      </c>
      <c r="S6" s="84" t="s">
        <v>69</v>
      </c>
      <c r="T6" s="82" t="s">
        <v>70</v>
      </c>
      <c r="U6" s="82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2:31" x14ac:dyDescent="0.2">
      <c r="B7" s="51"/>
      <c r="C7" s="178" t="s">
        <v>201</v>
      </c>
      <c r="D7" s="178"/>
      <c r="E7" s="178"/>
      <c r="F7" s="178"/>
      <c r="G7" s="178"/>
      <c r="H7" s="178"/>
      <c r="I7" s="178"/>
      <c r="J7" s="178"/>
      <c r="K7" s="52"/>
      <c r="O7" s="45"/>
      <c r="P7" s="82" t="s">
        <v>71</v>
      </c>
      <c r="Q7" s="83" t="s">
        <v>421</v>
      </c>
      <c r="R7" s="84" t="s">
        <v>72</v>
      </c>
      <c r="S7" s="84" t="s">
        <v>73</v>
      </c>
      <c r="T7" s="82" t="s">
        <v>72</v>
      </c>
      <c r="U7" s="82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2:31" s="44" customFormat="1" ht="25.5" x14ac:dyDescent="0.2">
      <c r="B8" s="77" t="s">
        <v>302</v>
      </c>
      <c r="C8" s="122" t="s">
        <v>213</v>
      </c>
      <c r="D8" s="71"/>
      <c r="E8" s="71"/>
      <c r="F8" s="72"/>
      <c r="G8" s="73" t="s">
        <v>329</v>
      </c>
      <c r="H8" s="71"/>
      <c r="I8" s="74"/>
      <c r="J8" s="75"/>
      <c r="K8" s="76" t="s">
        <v>303</v>
      </c>
      <c r="O8" s="69"/>
      <c r="P8" s="82" t="s">
        <v>74</v>
      </c>
      <c r="Q8" s="83" t="s">
        <v>423</v>
      </c>
      <c r="R8" s="84" t="s">
        <v>75</v>
      </c>
      <c r="S8" s="84" t="s">
        <v>76</v>
      </c>
      <c r="T8" s="82" t="s">
        <v>77</v>
      </c>
      <c r="U8" s="85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 spans="2:31" x14ac:dyDescent="0.2">
      <c r="B9" s="79" t="s">
        <v>304</v>
      </c>
      <c r="C9" s="122" t="s">
        <v>247</v>
      </c>
      <c r="D9" s="127"/>
      <c r="E9" s="127"/>
      <c r="F9" s="127"/>
      <c r="G9" s="127"/>
      <c r="H9" s="127"/>
      <c r="I9" s="127"/>
      <c r="J9" s="184"/>
      <c r="K9" s="185"/>
      <c r="O9" s="45"/>
      <c r="P9" s="82" t="s">
        <v>78</v>
      </c>
      <c r="Q9" s="83" t="s">
        <v>422</v>
      </c>
      <c r="R9" s="84" t="s">
        <v>80</v>
      </c>
      <c r="S9" s="84" t="s">
        <v>81</v>
      </c>
      <c r="T9" s="82" t="s">
        <v>82</v>
      </c>
      <c r="U9" s="82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2:31" x14ac:dyDescent="0.2">
      <c r="B10" s="79" t="s">
        <v>215</v>
      </c>
      <c r="C10" s="53" t="s">
        <v>248</v>
      </c>
      <c r="D10" s="54"/>
      <c r="E10" s="54"/>
      <c r="F10" s="55"/>
      <c r="G10" s="157" t="s">
        <v>151</v>
      </c>
      <c r="H10" s="158"/>
      <c r="I10" s="158"/>
      <c r="J10" s="158"/>
      <c r="K10" s="159"/>
      <c r="O10" s="45"/>
      <c r="P10" s="82" t="s">
        <v>83</v>
      </c>
      <c r="Q10" s="83" t="s">
        <v>84</v>
      </c>
      <c r="R10" s="84" t="s">
        <v>84</v>
      </c>
      <c r="S10" s="84" t="s">
        <v>85</v>
      </c>
      <c r="T10" s="82" t="s">
        <v>85</v>
      </c>
      <c r="U10" s="82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2:31" x14ac:dyDescent="0.2">
      <c r="B11" s="58" t="s">
        <v>216</v>
      </c>
      <c r="C11" s="56" t="s">
        <v>249</v>
      </c>
      <c r="D11" s="127"/>
      <c r="E11" s="127"/>
      <c r="F11" s="128"/>
      <c r="G11" s="157" t="s">
        <v>174</v>
      </c>
      <c r="H11" s="158"/>
      <c r="I11" s="158"/>
      <c r="J11" s="158"/>
      <c r="K11" s="159"/>
      <c r="O11" s="45"/>
      <c r="P11" s="82" t="s">
        <v>86</v>
      </c>
      <c r="Q11" s="83" t="s">
        <v>87</v>
      </c>
      <c r="R11" s="84" t="s">
        <v>88</v>
      </c>
      <c r="S11" s="84" t="s">
        <v>88</v>
      </c>
      <c r="T11" s="82" t="s">
        <v>88</v>
      </c>
      <c r="U11" s="82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2:31" x14ac:dyDescent="0.2">
      <c r="B12" s="194" t="s">
        <v>217</v>
      </c>
      <c r="C12" s="196" t="s">
        <v>250</v>
      </c>
      <c r="D12" s="197"/>
      <c r="E12" s="197"/>
      <c r="F12" s="198"/>
      <c r="G12" s="68">
        <v>2.5</v>
      </c>
      <c r="H12" s="68" t="s">
        <v>203</v>
      </c>
      <c r="I12" s="215"/>
      <c r="J12" s="216"/>
      <c r="K12" s="217"/>
      <c r="O12" s="45"/>
      <c r="P12" s="82" t="s">
        <v>89</v>
      </c>
      <c r="Q12" s="83" t="s">
        <v>90</v>
      </c>
      <c r="R12" s="84" t="s">
        <v>91</v>
      </c>
      <c r="S12" s="84" t="s">
        <v>92</v>
      </c>
      <c r="T12" s="82" t="s">
        <v>93</v>
      </c>
      <c r="U12" s="82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2:31" x14ac:dyDescent="0.2">
      <c r="B13" s="195"/>
      <c r="C13" s="199"/>
      <c r="D13" s="200"/>
      <c r="E13" s="200"/>
      <c r="F13" s="201"/>
      <c r="G13" s="88">
        <f>G12/1.163</f>
        <v>2.1496130696474633</v>
      </c>
      <c r="H13" s="68" t="s">
        <v>202</v>
      </c>
      <c r="I13" s="218"/>
      <c r="J13" s="219"/>
      <c r="K13" s="220"/>
      <c r="O13" s="45"/>
      <c r="P13" s="82"/>
      <c r="Q13" s="83"/>
      <c r="R13" s="84"/>
      <c r="S13" s="84"/>
      <c r="T13" s="82"/>
      <c r="U13" s="82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2:31" x14ac:dyDescent="0.2">
      <c r="B14" s="79" t="s">
        <v>305</v>
      </c>
      <c r="C14" s="56" t="s">
        <v>251</v>
      </c>
      <c r="D14" s="127"/>
      <c r="E14" s="127"/>
      <c r="F14" s="128"/>
      <c r="G14" s="157" t="s">
        <v>154</v>
      </c>
      <c r="H14" s="158"/>
      <c r="I14" s="158"/>
      <c r="J14" s="158"/>
      <c r="K14" s="159"/>
      <c r="O14" s="45"/>
      <c r="P14" s="82" t="s">
        <v>94</v>
      </c>
      <c r="Q14" s="83" t="s">
        <v>95</v>
      </c>
      <c r="R14" s="84" t="s">
        <v>96</v>
      </c>
      <c r="S14" s="84" t="s">
        <v>97</v>
      </c>
      <c r="T14" s="82" t="s">
        <v>98</v>
      </c>
      <c r="U14" s="82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2:31" x14ac:dyDescent="0.2">
      <c r="B15" s="58" t="s">
        <v>238</v>
      </c>
      <c r="C15" s="56" t="s">
        <v>252</v>
      </c>
      <c r="D15" s="127"/>
      <c r="E15" s="127"/>
      <c r="F15" s="128"/>
      <c r="G15" s="157" t="s">
        <v>44</v>
      </c>
      <c r="H15" s="158"/>
      <c r="I15" s="158"/>
      <c r="J15" s="158"/>
      <c r="K15" s="159"/>
      <c r="O15" s="45"/>
      <c r="P15" s="82" t="s">
        <v>99</v>
      </c>
      <c r="Q15" s="83" t="s">
        <v>100</v>
      </c>
      <c r="R15" s="84" t="s">
        <v>79</v>
      </c>
      <c r="S15" s="84" t="s">
        <v>82</v>
      </c>
      <c r="T15" s="82" t="s">
        <v>101</v>
      </c>
      <c r="U15" s="82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2:31" x14ac:dyDescent="0.2">
      <c r="B16" s="58" t="s">
        <v>306</v>
      </c>
      <c r="C16" s="56" t="s">
        <v>253</v>
      </c>
      <c r="D16" s="127"/>
      <c r="E16" s="127"/>
      <c r="F16" s="128"/>
      <c r="G16" s="157" t="s">
        <v>239</v>
      </c>
      <c r="H16" s="158"/>
      <c r="I16" s="158"/>
      <c r="J16" s="158"/>
      <c r="K16" s="159"/>
      <c r="O16" s="45"/>
      <c r="P16" s="82" t="s">
        <v>102</v>
      </c>
      <c r="Q16" s="83" t="s">
        <v>103</v>
      </c>
      <c r="R16" s="84" t="s">
        <v>104</v>
      </c>
      <c r="S16" s="84" t="s">
        <v>105</v>
      </c>
      <c r="T16" s="82" t="s">
        <v>106</v>
      </c>
      <c r="U16" s="82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2:31" x14ac:dyDescent="0.2">
      <c r="B17" s="79" t="s">
        <v>237</v>
      </c>
      <c r="C17" s="122" t="s">
        <v>260</v>
      </c>
      <c r="D17" s="127"/>
      <c r="E17" s="127"/>
      <c r="F17" s="127"/>
      <c r="G17" s="130"/>
      <c r="H17" s="132"/>
      <c r="I17" s="130"/>
      <c r="J17" s="208"/>
      <c r="K17" s="209"/>
      <c r="O17" s="45"/>
      <c r="P17" s="82" t="s">
        <v>107</v>
      </c>
      <c r="Q17" s="83" t="s">
        <v>108</v>
      </c>
      <c r="R17" s="84" t="s">
        <v>109</v>
      </c>
      <c r="S17" s="84" t="s">
        <v>110</v>
      </c>
      <c r="T17" s="82" t="s">
        <v>111</v>
      </c>
      <c r="U17" s="82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2:31" x14ac:dyDescent="0.2">
      <c r="B18" s="79" t="s">
        <v>218</v>
      </c>
      <c r="C18" s="119" t="s">
        <v>254</v>
      </c>
      <c r="D18" s="120"/>
      <c r="E18" s="120"/>
      <c r="F18" s="121"/>
      <c r="G18" s="68">
        <v>8231</v>
      </c>
      <c r="H18" s="68" t="str">
        <f>IF(G16="Газ","ккал/м³","ккал/кг")</f>
        <v>ккал/м³</v>
      </c>
      <c r="I18" s="212"/>
      <c r="J18" s="209"/>
      <c r="K18" s="133" t="str">
        <f>IF(G16="Газ","±50","±100")</f>
        <v>±50</v>
      </c>
      <c r="O18" s="45"/>
      <c r="P18" s="82" t="s">
        <v>112</v>
      </c>
      <c r="Q18" s="83" t="s">
        <v>113</v>
      </c>
      <c r="R18" s="84" t="s">
        <v>114</v>
      </c>
      <c r="S18" s="84" t="s">
        <v>115</v>
      </c>
      <c r="T18" s="82" t="s">
        <v>114</v>
      </c>
      <c r="U18" s="82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2:31" x14ac:dyDescent="0.2">
      <c r="B19" s="58" t="s">
        <v>219</v>
      </c>
      <c r="C19" s="122" t="s">
        <v>259</v>
      </c>
      <c r="D19" s="60"/>
      <c r="E19" s="60"/>
      <c r="F19" s="123"/>
      <c r="G19" s="213" t="s">
        <v>257</v>
      </c>
      <c r="H19" s="214"/>
      <c r="I19" s="213" t="s">
        <v>258</v>
      </c>
      <c r="J19" s="214"/>
      <c r="K19" s="133"/>
      <c r="O19" s="45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2:31" x14ac:dyDescent="0.2">
      <c r="B20" s="58" t="s">
        <v>220</v>
      </c>
      <c r="C20" s="56" t="s">
        <v>262</v>
      </c>
      <c r="D20" s="127"/>
      <c r="E20" s="127"/>
      <c r="F20" s="127"/>
      <c r="G20" s="129"/>
      <c r="H20" s="131"/>
      <c r="I20" s="68">
        <v>275</v>
      </c>
      <c r="J20" s="68" t="s">
        <v>204</v>
      </c>
      <c r="K20" s="133" t="s">
        <v>324</v>
      </c>
      <c r="O20" s="45"/>
      <c r="P20" s="47" t="s">
        <v>116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2:31" x14ac:dyDescent="0.2">
      <c r="B21" s="79" t="s">
        <v>221</v>
      </c>
      <c r="C21" s="56" t="s">
        <v>263</v>
      </c>
      <c r="D21" s="127"/>
      <c r="E21" s="127"/>
      <c r="F21" s="128"/>
      <c r="G21" s="68">
        <v>20</v>
      </c>
      <c r="H21" s="68" t="s">
        <v>204</v>
      </c>
      <c r="I21" s="68">
        <v>20</v>
      </c>
      <c r="J21" s="68" t="s">
        <v>204</v>
      </c>
      <c r="K21" s="133" t="s">
        <v>324</v>
      </c>
      <c r="O21" s="45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2:31" x14ac:dyDescent="0.2">
      <c r="B22" s="58" t="s">
        <v>222</v>
      </c>
      <c r="C22" s="56" t="s">
        <v>265</v>
      </c>
      <c r="D22" s="127"/>
      <c r="E22" s="127"/>
      <c r="F22" s="128"/>
      <c r="G22" s="68">
        <v>10</v>
      </c>
      <c r="H22" s="68" t="s">
        <v>29</v>
      </c>
      <c r="I22" s="68">
        <v>45</v>
      </c>
      <c r="J22" s="68" t="s">
        <v>29</v>
      </c>
      <c r="K22" s="133" t="s">
        <v>326</v>
      </c>
      <c r="O22" s="45"/>
      <c r="P22" s="82" t="s">
        <v>117</v>
      </c>
      <c r="Q22" s="84" t="s">
        <v>118</v>
      </c>
      <c r="R22" s="83"/>
      <c r="S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2:31" x14ac:dyDescent="0.2">
      <c r="B23" s="58" t="s">
        <v>223</v>
      </c>
      <c r="C23" s="56" t="s">
        <v>264</v>
      </c>
      <c r="D23" s="127"/>
      <c r="E23" s="127"/>
      <c r="F23" s="128"/>
      <c r="G23" s="68">
        <v>94</v>
      </c>
      <c r="H23" s="68" t="str">
        <f>IF(G16="Газ","м³/ч","кг/ч")</f>
        <v>м³/ч</v>
      </c>
      <c r="I23" s="68">
        <v>210</v>
      </c>
      <c r="J23" s="68" t="str">
        <f>IF(G16="Газ","м³/ч","кг/ч")</f>
        <v>м³/ч</v>
      </c>
      <c r="K23" s="133" t="s">
        <v>327</v>
      </c>
      <c r="O23" s="45"/>
      <c r="P23" s="82" t="s">
        <v>7</v>
      </c>
      <c r="Q23" s="84" t="s">
        <v>418</v>
      </c>
      <c r="R23" s="83"/>
      <c r="S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2:31" x14ac:dyDescent="0.2">
      <c r="B24" s="79" t="s">
        <v>236</v>
      </c>
      <c r="C24" s="56" t="s">
        <v>266</v>
      </c>
      <c r="D24" s="127"/>
      <c r="E24" s="127"/>
      <c r="F24" s="128"/>
      <c r="G24" s="68">
        <v>0.6</v>
      </c>
      <c r="H24" s="68" t="s">
        <v>204</v>
      </c>
      <c r="I24" s="68">
        <v>2.5</v>
      </c>
      <c r="J24" s="68" t="s">
        <v>204</v>
      </c>
      <c r="K24" s="133" t="s">
        <v>327</v>
      </c>
      <c r="O24" s="45"/>
      <c r="P24" s="82" t="s">
        <v>119</v>
      </c>
      <c r="Q24" s="84" t="s">
        <v>420</v>
      </c>
      <c r="R24" s="83"/>
      <c r="S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2:31" x14ac:dyDescent="0.2">
      <c r="B25" s="80" t="s">
        <v>224</v>
      </c>
      <c r="C25" s="56" t="s">
        <v>267</v>
      </c>
      <c r="D25" s="127"/>
      <c r="E25" s="127"/>
      <c r="F25" s="128"/>
      <c r="G25" s="68">
        <v>15</v>
      </c>
      <c r="H25" s="68" t="s">
        <v>29</v>
      </c>
      <c r="I25" s="68">
        <v>95</v>
      </c>
      <c r="J25" s="68" t="s">
        <v>29</v>
      </c>
      <c r="K25" s="133" t="s">
        <v>326</v>
      </c>
      <c r="O25" s="45"/>
      <c r="P25" s="82" t="s">
        <v>120</v>
      </c>
      <c r="Q25" s="84" t="s">
        <v>419</v>
      </c>
      <c r="R25" s="83"/>
      <c r="S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2:31" x14ac:dyDescent="0.2">
      <c r="B26" s="58" t="s">
        <v>307</v>
      </c>
      <c r="C26" s="56" t="s">
        <v>268</v>
      </c>
      <c r="D26" s="127"/>
      <c r="E26" s="127"/>
      <c r="F26" s="128"/>
      <c r="G26" s="68">
        <v>20</v>
      </c>
      <c r="H26" s="68" t="s">
        <v>205</v>
      </c>
      <c r="I26" s="68">
        <v>115</v>
      </c>
      <c r="J26" s="68" t="s">
        <v>205</v>
      </c>
      <c r="K26" s="133" t="s">
        <v>325</v>
      </c>
      <c r="O26" s="45"/>
      <c r="P26" s="82" t="s">
        <v>122</v>
      </c>
      <c r="Q26" s="84" t="s">
        <v>121</v>
      </c>
      <c r="R26" s="83"/>
      <c r="S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2:31" x14ac:dyDescent="0.2">
      <c r="B27" s="58" t="s">
        <v>308</v>
      </c>
      <c r="C27" s="56" t="s">
        <v>269</v>
      </c>
      <c r="D27" s="127"/>
      <c r="E27" s="127"/>
      <c r="F27" s="128"/>
      <c r="G27" s="68" t="s">
        <v>206</v>
      </c>
      <c r="H27" s="68" t="s">
        <v>28</v>
      </c>
      <c r="I27" s="68" t="s">
        <v>206</v>
      </c>
      <c r="J27" s="68" t="s">
        <v>28</v>
      </c>
      <c r="K27" s="133" t="s">
        <v>327</v>
      </c>
      <c r="O27" s="45"/>
      <c r="P27" s="82" t="s">
        <v>123</v>
      </c>
      <c r="Q27" s="84" t="s">
        <v>84</v>
      </c>
      <c r="R27" s="83"/>
      <c r="S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2:31" x14ac:dyDescent="0.2">
      <c r="B28" s="79" t="s">
        <v>309</v>
      </c>
      <c r="C28" s="56" t="s">
        <v>270</v>
      </c>
      <c r="D28" s="127"/>
      <c r="E28" s="127"/>
      <c r="F28" s="128"/>
      <c r="G28" s="68">
        <v>20</v>
      </c>
      <c r="H28" s="68" t="s">
        <v>28</v>
      </c>
      <c r="I28" s="68">
        <v>20</v>
      </c>
      <c r="J28" s="68" t="s">
        <v>28</v>
      </c>
      <c r="K28" s="133" t="s">
        <v>327</v>
      </c>
      <c r="O28" s="45"/>
      <c r="P28" s="82" t="s">
        <v>78</v>
      </c>
      <c r="Q28" s="84" t="s">
        <v>124</v>
      </c>
      <c r="R28" s="83"/>
      <c r="S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2:31" x14ac:dyDescent="0.2">
      <c r="B29" s="58" t="s">
        <v>310</v>
      </c>
      <c r="C29" s="122" t="s">
        <v>271</v>
      </c>
      <c r="D29" s="127"/>
      <c r="E29" s="127"/>
      <c r="F29" s="127"/>
      <c r="G29" s="130"/>
      <c r="H29" s="130"/>
      <c r="I29" s="130"/>
      <c r="J29" s="208"/>
      <c r="K29" s="209"/>
      <c r="O29" s="45"/>
      <c r="P29" s="82" t="s">
        <v>125</v>
      </c>
      <c r="Q29" s="84" t="s">
        <v>126</v>
      </c>
      <c r="R29" s="83"/>
      <c r="S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2:31" x14ac:dyDescent="0.2">
      <c r="B30" s="58" t="s">
        <v>225</v>
      </c>
      <c r="C30" s="56" t="s">
        <v>272</v>
      </c>
      <c r="D30" s="127"/>
      <c r="E30" s="127"/>
      <c r="F30" s="127"/>
      <c r="G30" s="68">
        <v>125</v>
      </c>
      <c r="H30" s="68" t="s">
        <v>28</v>
      </c>
      <c r="I30" s="68">
        <v>155</v>
      </c>
      <c r="J30" s="68" t="s">
        <v>28</v>
      </c>
      <c r="K30" s="133" t="s">
        <v>327</v>
      </c>
      <c r="O30" s="45"/>
      <c r="P30" s="82" t="s">
        <v>127</v>
      </c>
      <c r="Q30" s="84" t="s">
        <v>128</v>
      </c>
      <c r="R30" s="83"/>
      <c r="S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2:31" x14ac:dyDescent="0.2">
      <c r="B31" s="58" t="s">
        <v>226</v>
      </c>
      <c r="C31" s="56" t="s">
        <v>273</v>
      </c>
      <c r="D31" s="127"/>
      <c r="E31" s="127"/>
      <c r="F31" s="128"/>
      <c r="G31" s="68">
        <v>4</v>
      </c>
      <c r="H31" s="134" t="s">
        <v>29</v>
      </c>
      <c r="I31" s="68">
        <v>3</v>
      </c>
      <c r="J31" s="134" t="s">
        <v>29</v>
      </c>
      <c r="K31" s="133" t="s">
        <v>325</v>
      </c>
      <c r="O31" s="45"/>
      <c r="S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2:31" x14ac:dyDescent="0.2">
      <c r="B32" s="58" t="s">
        <v>227</v>
      </c>
      <c r="C32" s="56" t="str">
        <f>IF(G16="Мазут","Углекислый газ (RO₂):","Углекислый газ (CO₂):")</f>
        <v>Углекислый газ (CO₂):</v>
      </c>
      <c r="D32" s="127"/>
      <c r="E32" s="127"/>
      <c r="F32" s="128"/>
      <c r="G32" s="68">
        <v>9</v>
      </c>
      <c r="H32" s="68" t="s">
        <v>29</v>
      </c>
      <c r="I32" s="68">
        <v>9</v>
      </c>
      <c r="J32" s="68" t="s">
        <v>29</v>
      </c>
      <c r="K32" s="133" t="s">
        <v>325</v>
      </c>
      <c r="O32" s="45"/>
      <c r="P32" s="47" t="s">
        <v>129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2:31" x14ac:dyDescent="0.2">
      <c r="B33" s="58" t="s">
        <v>228</v>
      </c>
      <c r="C33" s="56" t="str">
        <f>IF(G16="Мазут","Суммарные оксиды (RO₂):","Оксиды серы (SO₂):")</f>
        <v>Оксиды серы (SO₂):</v>
      </c>
      <c r="D33" s="127"/>
      <c r="E33" s="127"/>
      <c r="F33" s="128"/>
      <c r="G33" s="68" t="s">
        <v>206</v>
      </c>
      <c r="H33" s="68" t="s">
        <v>29</v>
      </c>
      <c r="I33" s="68" t="s">
        <v>206</v>
      </c>
      <c r="J33" s="68" t="s">
        <v>29</v>
      </c>
      <c r="K33" s="133" t="s">
        <v>325</v>
      </c>
      <c r="O33" s="45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2:31" x14ac:dyDescent="0.2">
      <c r="B34" s="58" t="s">
        <v>229</v>
      </c>
      <c r="C34" s="56" t="s">
        <v>274</v>
      </c>
      <c r="D34" s="127"/>
      <c r="E34" s="127"/>
      <c r="F34" s="128"/>
      <c r="G34" s="68">
        <v>0</v>
      </c>
      <c r="H34" s="68" t="s">
        <v>30</v>
      </c>
      <c r="I34" s="68">
        <v>0</v>
      </c>
      <c r="J34" s="68" t="s">
        <v>30</v>
      </c>
      <c r="K34" s="133" t="s">
        <v>325</v>
      </c>
      <c r="O34" s="45"/>
      <c r="P34" s="82" t="s">
        <v>130</v>
      </c>
      <c r="Q34" s="83" t="s">
        <v>131</v>
      </c>
      <c r="R34" s="86" t="s">
        <v>132</v>
      </c>
      <c r="S34" s="8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2:31" x14ac:dyDescent="0.2">
      <c r="B35" s="80" t="s">
        <v>231</v>
      </c>
      <c r="C35" s="56" t="s">
        <v>275</v>
      </c>
      <c r="D35" s="127"/>
      <c r="E35" s="127"/>
      <c r="F35" s="128"/>
      <c r="G35" s="68">
        <v>35</v>
      </c>
      <c r="H35" s="135" t="s">
        <v>30</v>
      </c>
      <c r="I35" s="136">
        <v>150</v>
      </c>
      <c r="J35" s="135" t="s">
        <v>30</v>
      </c>
      <c r="K35" s="133" t="s">
        <v>325</v>
      </c>
      <c r="O35" s="45"/>
      <c r="P35" s="82" t="s">
        <v>67</v>
      </c>
      <c r="Q35" s="83" t="s">
        <v>133</v>
      </c>
      <c r="R35" s="86" t="s">
        <v>134</v>
      </c>
      <c r="S35" s="8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2:31" x14ac:dyDescent="0.2">
      <c r="B36" s="58" t="s">
        <v>232</v>
      </c>
      <c r="C36" s="56" t="s">
        <v>276</v>
      </c>
      <c r="D36" s="127"/>
      <c r="E36" s="127"/>
      <c r="F36" s="128"/>
      <c r="G36" s="157">
        <v>1.3</v>
      </c>
      <c r="H36" s="159"/>
      <c r="I36" s="210">
        <v>1.1000000000000001</v>
      </c>
      <c r="J36" s="211"/>
      <c r="K36" s="133" t="s">
        <v>324</v>
      </c>
      <c r="O36" s="45" t="s">
        <v>297</v>
      </c>
      <c r="P36" s="82" t="s">
        <v>68</v>
      </c>
      <c r="Q36" s="83" t="s">
        <v>135</v>
      </c>
      <c r="R36" s="86" t="s">
        <v>136</v>
      </c>
      <c r="S36" s="8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2:31" x14ac:dyDescent="0.2">
      <c r="B37" s="58" t="s">
        <v>311</v>
      </c>
      <c r="C37" s="122" t="s">
        <v>277</v>
      </c>
      <c r="D37" s="127"/>
      <c r="E37" s="127"/>
      <c r="F37" s="127"/>
      <c r="G37" s="130"/>
      <c r="H37" s="130"/>
      <c r="I37" s="130"/>
      <c r="J37" s="208"/>
      <c r="K37" s="209"/>
      <c r="O37" s="45"/>
      <c r="P37" s="82" t="s">
        <v>69</v>
      </c>
      <c r="Q37" s="83" t="s">
        <v>137</v>
      </c>
      <c r="R37" s="86" t="s">
        <v>138</v>
      </c>
      <c r="S37" s="8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2:31" x14ac:dyDescent="0.2">
      <c r="B38" s="58" t="s">
        <v>312</v>
      </c>
      <c r="C38" s="56" t="s">
        <v>278</v>
      </c>
      <c r="D38" s="127"/>
      <c r="E38" s="127"/>
      <c r="F38" s="128"/>
      <c r="G38" s="68">
        <v>60</v>
      </c>
      <c r="H38" s="68" t="s">
        <v>28</v>
      </c>
      <c r="I38" s="68">
        <v>60</v>
      </c>
      <c r="J38" s="68" t="s">
        <v>28</v>
      </c>
      <c r="K38" s="133" t="s">
        <v>327</v>
      </c>
      <c r="O38" s="45"/>
      <c r="P38" s="82" t="s">
        <v>70</v>
      </c>
      <c r="Q38" s="83" t="s">
        <v>139</v>
      </c>
      <c r="R38" s="86" t="s">
        <v>140</v>
      </c>
      <c r="S38" s="8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2:31" x14ac:dyDescent="0.2">
      <c r="B39" s="58" t="s">
        <v>313</v>
      </c>
      <c r="C39" s="56" t="s">
        <v>279</v>
      </c>
      <c r="D39" s="127"/>
      <c r="E39" s="127"/>
      <c r="F39" s="128"/>
      <c r="G39" s="68">
        <v>69</v>
      </c>
      <c r="H39" s="68" t="s">
        <v>28</v>
      </c>
      <c r="I39" s="68">
        <v>80</v>
      </c>
      <c r="J39" s="68" t="s">
        <v>28</v>
      </c>
      <c r="K39" s="133" t="s">
        <v>327</v>
      </c>
      <c r="O39" s="45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2:31" x14ac:dyDescent="0.2">
      <c r="B40" s="58" t="s">
        <v>314</v>
      </c>
      <c r="C40" s="56" t="s">
        <v>280</v>
      </c>
      <c r="D40" s="127"/>
      <c r="E40" s="127"/>
      <c r="F40" s="128"/>
      <c r="G40" s="68">
        <f>G39-G38</f>
        <v>9</v>
      </c>
      <c r="H40" s="68" t="s">
        <v>28</v>
      </c>
      <c r="I40" s="68">
        <f>I39-I38</f>
        <v>20</v>
      </c>
      <c r="J40" s="68" t="s">
        <v>28</v>
      </c>
      <c r="K40" s="133" t="s">
        <v>327</v>
      </c>
      <c r="O40" s="45" t="s">
        <v>294</v>
      </c>
      <c r="P40" s="47" t="s">
        <v>141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2:31" ht="12.75" customHeight="1" x14ac:dyDescent="0.2">
      <c r="B41" s="58" t="s">
        <v>315</v>
      </c>
      <c r="C41" s="56" t="s">
        <v>282</v>
      </c>
      <c r="D41" s="127"/>
      <c r="E41" s="127"/>
      <c r="F41" s="128"/>
      <c r="G41" s="68">
        <v>5</v>
      </c>
      <c r="H41" s="68" t="s">
        <v>261</v>
      </c>
      <c r="I41" s="68">
        <v>5</v>
      </c>
      <c r="J41" s="68" t="s">
        <v>261</v>
      </c>
      <c r="K41" s="133" t="s">
        <v>325</v>
      </c>
      <c r="O41" s="45"/>
      <c r="P41" s="47" t="s">
        <v>142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2:31" ht="12.75" customHeight="1" x14ac:dyDescent="0.2">
      <c r="B42" s="58" t="s">
        <v>316</v>
      </c>
      <c r="C42" s="56" t="s">
        <v>283</v>
      </c>
      <c r="D42" s="127"/>
      <c r="E42" s="127"/>
      <c r="F42" s="128"/>
      <c r="G42" s="68">
        <v>4</v>
      </c>
      <c r="H42" s="68" t="s">
        <v>261</v>
      </c>
      <c r="I42" s="68">
        <v>4</v>
      </c>
      <c r="J42" s="68" t="s">
        <v>261</v>
      </c>
      <c r="K42" s="133" t="s">
        <v>325</v>
      </c>
      <c r="O42" s="45"/>
      <c r="P42" s="47" t="s">
        <v>143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2:31" ht="12.75" customHeight="1" x14ac:dyDescent="0.2">
      <c r="B43" s="81" t="s">
        <v>317</v>
      </c>
      <c r="C43" s="56" t="s">
        <v>284</v>
      </c>
      <c r="D43" s="127"/>
      <c r="E43" s="127"/>
      <c r="F43" s="128"/>
      <c r="G43" s="68">
        <f>G41-G42</f>
        <v>1</v>
      </c>
      <c r="H43" s="68" t="s">
        <v>261</v>
      </c>
      <c r="I43" s="68">
        <f>I41-I42</f>
        <v>1</v>
      </c>
      <c r="J43" s="68" t="s">
        <v>261</v>
      </c>
      <c r="K43" s="133" t="s">
        <v>325</v>
      </c>
      <c r="O43" s="45"/>
      <c r="P43" s="47" t="s">
        <v>144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2:31" ht="12.75" customHeight="1" x14ac:dyDescent="0.2">
      <c r="B44" s="58" t="s">
        <v>318</v>
      </c>
      <c r="C44" s="56" t="s">
        <v>286</v>
      </c>
      <c r="D44" s="127"/>
      <c r="E44" s="127"/>
      <c r="F44" s="128"/>
      <c r="G44" s="68">
        <v>78</v>
      </c>
      <c r="H44" s="68" t="s">
        <v>230</v>
      </c>
      <c r="I44" s="68">
        <v>78</v>
      </c>
      <c r="J44" s="68" t="s">
        <v>230</v>
      </c>
      <c r="K44" s="133" t="s">
        <v>327</v>
      </c>
      <c r="O44" s="45"/>
      <c r="P44" s="47" t="s">
        <v>145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2:31" x14ac:dyDescent="0.2">
      <c r="B45" s="58" t="s">
        <v>319</v>
      </c>
      <c r="C45" s="122" t="s">
        <v>285</v>
      </c>
      <c r="D45" s="127"/>
      <c r="E45" s="127"/>
      <c r="F45" s="127"/>
      <c r="G45" s="127"/>
      <c r="H45" s="127"/>
      <c r="I45" s="127"/>
      <c r="J45" s="184"/>
      <c r="K45" s="185"/>
      <c r="O45" s="45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2:31" x14ac:dyDescent="0.2">
      <c r="B46" s="163" t="s">
        <v>320</v>
      </c>
      <c r="C46" s="165" t="s">
        <v>287</v>
      </c>
      <c r="D46" s="166"/>
      <c r="E46" s="166"/>
      <c r="F46" s="167"/>
      <c r="G46" s="59">
        <f>(G44*G40)/1000*1.163</f>
        <v>0.81642599999999999</v>
      </c>
      <c r="H46" s="58" t="s">
        <v>203</v>
      </c>
      <c r="I46" s="59">
        <f>(I44*I40)/1000*1.163</f>
        <v>1.8142800000000001</v>
      </c>
      <c r="J46" s="58" t="s">
        <v>203</v>
      </c>
      <c r="K46" s="78"/>
      <c r="O46" s="45"/>
      <c r="P46" s="47" t="s">
        <v>290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2:31" x14ac:dyDescent="0.2">
      <c r="B47" s="164"/>
      <c r="C47" s="168"/>
      <c r="D47" s="169"/>
      <c r="E47" s="169"/>
      <c r="F47" s="170"/>
      <c r="G47" s="61">
        <f>(G44*G40)/1000</f>
        <v>0.70199999999999996</v>
      </c>
      <c r="H47" s="58" t="s">
        <v>202</v>
      </c>
      <c r="I47" s="61">
        <f>(I44*I40)/1000</f>
        <v>1.56</v>
      </c>
      <c r="J47" s="58" t="s">
        <v>202</v>
      </c>
      <c r="K47" s="78"/>
      <c r="O47" s="45"/>
      <c r="P47" s="47" t="s">
        <v>296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2:31" x14ac:dyDescent="0.2">
      <c r="B48" s="58" t="s">
        <v>321</v>
      </c>
      <c r="C48" s="56" t="s">
        <v>288</v>
      </c>
      <c r="D48" s="127"/>
      <c r="E48" s="127"/>
      <c r="F48" s="128"/>
      <c r="G48" s="61">
        <f>G46/G12*100</f>
        <v>32.657039999999995</v>
      </c>
      <c r="H48" s="125" t="s">
        <v>29</v>
      </c>
      <c r="I48" s="61">
        <f>I46/G13*100</f>
        <v>84.40030560000001</v>
      </c>
      <c r="J48" s="125" t="s">
        <v>29</v>
      </c>
      <c r="K48" s="78"/>
      <c r="O48" s="45"/>
      <c r="P48" s="47" t="s">
        <v>291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2:31" x14ac:dyDescent="0.2">
      <c r="B49" s="58" t="s">
        <v>322</v>
      </c>
      <c r="C49" s="56" t="s">
        <v>292</v>
      </c>
      <c r="D49" s="127"/>
      <c r="E49" s="127"/>
      <c r="F49" s="128"/>
      <c r="G49" s="61">
        <f>(G44*1000*G40)/(G23*G18)*100</f>
        <v>90.731200417725404</v>
      </c>
      <c r="H49" s="125" t="s">
        <v>29</v>
      </c>
      <c r="I49" s="61">
        <f>(I44*1000*I40)/(I23*G18)*100</f>
        <v>90.251141156255969</v>
      </c>
      <c r="J49" s="125" t="s">
        <v>29</v>
      </c>
      <c r="K49" s="78"/>
      <c r="O49" s="45" t="s">
        <v>293</v>
      </c>
      <c r="P49" s="47" t="s">
        <v>299</v>
      </c>
      <c r="V49" s="47"/>
      <c r="W49" s="47"/>
      <c r="X49" s="47"/>
      <c r="Y49" s="47" t="s">
        <v>300</v>
      </c>
      <c r="Z49" s="47"/>
      <c r="AA49" s="47"/>
      <c r="AB49" s="47"/>
      <c r="AC49" s="47"/>
      <c r="AD49" s="47"/>
      <c r="AE49" s="47"/>
    </row>
    <row r="50" spans="2:31" x14ac:dyDescent="0.2">
      <c r="B50" s="58" t="s">
        <v>323</v>
      </c>
      <c r="C50" s="56" t="s">
        <v>298</v>
      </c>
      <c r="D50" s="127"/>
      <c r="E50" s="127"/>
      <c r="F50" s="128"/>
      <c r="G50" s="61">
        <f>(142.86*100)/G49</f>
        <v>157.45410547008549</v>
      </c>
      <c r="H50" s="67" t="s">
        <v>211</v>
      </c>
      <c r="I50" s="61">
        <f>(142.86*100)/I49</f>
        <v>158.29162730769232</v>
      </c>
      <c r="J50" s="67" t="s">
        <v>211</v>
      </c>
      <c r="K50" s="78"/>
      <c r="O50" s="45" t="s">
        <v>295</v>
      </c>
      <c r="P50" s="47" t="s">
        <v>289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2:31" ht="3.75" customHeight="1" x14ac:dyDescent="0.2">
      <c r="C51" s="52"/>
      <c r="D51" s="52"/>
      <c r="E51" s="52"/>
      <c r="F51" s="52"/>
      <c r="G51" s="52"/>
      <c r="H51" s="52"/>
      <c r="I51" s="52"/>
      <c r="J51" s="52"/>
      <c r="K51" s="52"/>
      <c r="O51" s="45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2:31" x14ac:dyDescent="0.2">
      <c r="B52" s="51" t="s">
        <v>469</v>
      </c>
      <c r="D52" s="51"/>
      <c r="E52" s="62"/>
      <c r="F52" s="50"/>
      <c r="G52" s="51"/>
      <c r="H52" s="51" t="s">
        <v>207</v>
      </c>
      <c r="J52" s="50"/>
      <c r="K52" s="52"/>
      <c r="O52" s="45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2:31" x14ac:dyDescent="0.2">
      <c r="B53" s="63" t="s">
        <v>467</v>
      </c>
      <c r="D53" s="51"/>
      <c r="E53" s="51"/>
      <c r="F53" s="50"/>
      <c r="G53" s="51"/>
      <c r="H53" s="51" t="s">
        <v>214</v>
      </c>
      <c r="J53" s="50"/>
      <c r="K53" s="52"/>
      <c r="O53" s="45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2:31" x14ac:dyDescent="0.2">
      <c r="B54" s="51" t="s">
        <v>468</v>
      </c>
      <c r="D54" s="62" t="s">
        <v>331</v>
      </c>
      <c r="F54" s="50"/>
      <c r="G54" s="51"/>
      <c r="H54" s="51" t="s">
        <v>331</v>
      </c>
      <c r="J54" s="50"/>
      <c r="K54" s="52"/>
      <c r="O54" s="45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2:31" x14ac:dyDescent="0.2">
      <c r="C55" s="51"/>
      <c r="D55" s="52"/>
      <c r="E55" s="52"/>
      <c r="F55" s="52"/>
      <c r="G55" s="52"/>
      <c r="H55" s="51"/>
      <c r="J55" s="52"/>
      <c r="K55" s="52"/>
      <c r="O55" s="45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2:31" x14ac:dyDescent="0.2">
      <c r="C56" s="52"/>
      <c r="D56" s="52"/>
      <c r="E56" s="52"/>
      <c r="F56" s="52"/>
      <c r="G56" s="52"/>
      <c r="H56" s="52"/>
      <c r="I56" s="52"/>
      <c r="J56" s="52"/>
      <c r="K56" s="52"/>
      <c r="O56" s="45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2:31" x14ac:dyDescent="0.2">
      <c r="B57" s="51"/>
      <c r="C57" s="34"/>
      <c r="D57" s="34"/>
      <c r="E57" s="34"/>
      <c r="F57" s="34"/>
      <c r="G57" s="42"/>
      <c r="I57" s="37" t="s">
        <v>197</v>
      </c>
      <c r="J57" s="42"/>
    </row>
    <row r="58" spans="2:31" ht="25.5" customHeight="1" x14ac:dyDescent="0.2">
      <c r="B58" s="51"/>
      <c r="C58" s="43"/>
      <c r="D58" s="43"/>
      <c r="E58" s="43"/>
      <c r="F58" s="34"/>
      <c r="G58" s="42"/>
      <c r="I58" s="177" t="s">
        <v>417</v>
      </c>
      <c r="J58" s="177"/>
      <c r="K58" s="177"/>
    </row>
    <row r="59" spans="2:31" x14ac:dyDescent="0.2">
      <c r="B59" s="51"/>
      <c r="C59" s="43"/>
      <c r="D59" s="43"/>
      <c r="E59" s="43"/>
      <c r="F59" s="34"/>
      <c r="G59" s="42"/>
      <c r="I59" s="37" t="s">
        <v>198</v>
      </c>
      <c r="J59" s="42"/>
    </row>
    <row r="60" spans="2:31" x14ac:dyDescent="0.2">
      <c r="B60" s="51"/>
      <c r="C60" s="126"/>
      <c r="D60" s="126"/>
      <c r="E60" s="126"/>
      <c r="F60" s="126"/>
      <c r="G60" s="50"/>
      <c r="I60" s="51" t="s">
        <v>199</v>
      </c>
      <c r="J60" s="50"/>
      <c r="K60" s="52"/>
    </row>
    <row r="61" spans="2:31" x14ac:dyDescent="0.2">
      <c r="B61" s="51"/>
      <c r="C61" s="126"/>
      <c r="D61" s="126"/>
      <c r="E61" s="126"/>
      <c r="F61" s="126"/>
      <c r="G61" s="51"/>
      <c r="I61" s="51" t="s">
        <v>200</v>
      </c>
      <c r="J61" s="51"/>
      <c r="K61" s="52"/>
    </row>
    <row r="62" spans="2:31" x14ac:dyDescent="0.2">
      <c r="B62" s="51"/>
      <c r="C62" s="126"/>
      <c r="D62" s="126"/>
      <c r="E62" s="126"/>
      <c r="F62" s="126"/>
      <c r="G62" s="52"/>
      <c r="I62" s="51" t="s">
        <v>466</v>
      </c>
      <c r="J62" s="50"/>
      <c r="K62" s="52"/>
    </row>
    <row r="63" spans="2:31" x14ac:dyDescent="0.2">
      <c r="B63" s="51"/>
      <c r="C63" s="178" t="s">
        <v>330</v>
      </c>
      <c r="D63" s="178"/>
      <c r="E63" s="178"/>
      <c r="F63" s="178"/>
      <c r="G63" s="178"/>
      <c r="H63" s="178"/>
      <c r="I63" s="178"/>
      <c r="J63" s="178"/>
      <c r="K63" s="52"/>
    </row>
    <row r="64" spans="2:31" ht="27.75" customHeight="1" x14ac:dyDescent="0.2">
      <c r="B64" s="77" t="s">
        <v>302</v>
      </c>
      <c r="C64" s="122" t="s">
        <v>213</v>
      </c>
      <c r="D64" s="60"/>
      <c r="E64" s="60"/>
      <c r="F64" s="123"/>
      <c r="G64" s="122" t="s">
        <v>329</v>
      </c>
      <c r="H64" s="60"/>
      <c r="I64" s="179" t="s">
        <v>328</v>
      </c>
      <c r="J64" s="180"/>
      <c r="K64" s="181"/>
      <c r="P64" s="47" t="s">
        <v>359</v>
      </c>
    </row>
    <row r="65" spans="2:20" x14ac:dyDescent="0.2">
      <c r="B65" s="79" t="s">
        <v>304</v>
      </c>
      <c r="C65" s="122" t="s">
        <v>247</v>
      </c>
      <c r="D65" s="127"/>
      <c r="E65" s="127"/>
      <c r="F65" s="127"/>
      <c r="G65" s="127"/>
      <c r="H65" s="127"/>
      <c r="I65" s="127"/>
      <c r="J65" s="182"/>
      <c r="K65" s="183"/>
      <c r="P65" s="82" t="s">
        <v>130</v>
      </c>
      <c r="Q65" s="83" t="s">
        <v>117</v>
      </c>
      <c r="R65" s="84" t="s">
        <v>360</v>
      </c>
      <c r="S65" s="84" t="s">
        <v>361</v>
      </c>
      <c r="T65" s="82" t="s">
        <v>328</v>
      </c>
    </row>
    <row r="66" spans="2:20" x14ac:dyDescent="0.2">
      <c r="B66" s="79" t="s">
        <v>215</v>
      </c>
      <c r="C66" s="53" t="s">
        <v>248</v>
      </c>
      <c r="D66" s="54"/>
      <c r="E66" s="54"/>
      <c r="F66" s="55"/>
      <c r="G66" s="157" t="str">
        <f t="shared" ref="G66:G72" si="0">G10</f>
        <v>№1</v>
      </c>
      <c r="H66" s="158"/>
      <c r="I66" s="158"/>
      <c r="J66" s="158"/>
      <c r="K66" s="159"/>
      <c r="P66" s="82" t="s">
        <v>239</v>
      </c>
      <c r="Q66" s="83" t="s">
        <v>362</v>
      </c>
      <c r="R66" s="84" t="s">
        <v>363</v>
      </c>
      <c r="S66" s="84" t="s">
        <v>364</v>
      </c>
      <c r="T66" s="82" t="s">
        <v>333</v>
      </c>
    </row>
    <row r="67" spans="2:20" x14ac:dyDescent="0.2">
      <c r="B67" s="58" t="s">
        <v>216</v>
      </c>
      <c r="C67" s="56" t="s">
        <v>249</v>
      </c>
      <c r="D67" s="127"/>
      <c r="E67" s="127"/>
      <c r="F67" s="128"/>
      <c r="G67" s="157" t="str">
        <f t="shared" si="0"/>
        <v>КВГМ</v>
      </c>
      <c r="H67" s="158"/>
      <c r="I67" s="158"/>
      <c r="J67" s="158"/>
      <c r="K67" s="159"/>
      <c r="P67" s="82"/>
      <c r="Q67" s="83" t="s">
        <v>365</v>
      </c>
      <c r="R67" s="84" t="s">
        <v>366</v>
      </c>
      <c r="S67" s="84" t="s">
        <v>367</v>
      </c>
      <c r="T67" s="82" t="s">
        <v>333</v>
      </c>
    </row>
    <row r="68" spans="2:20" x14ac:dyDescent="0.2">
      <c r="B68" s="163" t="s">
        <v>217</v>
      </c>
      <c r="C68" s="165" t="s">
        <v>250</v>
      </c>
      <c r="D68" s="166"/>
      <c r="E68" s="166"/>
      <c r="F68" s="167"/>
      <c r="G68" s="68">
        <f t="shared" si="0"/>
        <v>2.5</v>
      </c>
      <c r="H68" s="68" t="s">
        <v>203</v>
      </c>
      <c r="I68" s="171"/>
      <c r="J68" s="172"/>
      <c r="K68" s="173"/>
      <c r="P68" s="82" t="s">
        <v>68</v>
      </c>
      <c r="Q68" s="83" t="s">
        <v>362</v>
      </c>
      <c r="R68" s="84" t="s">
        <v>368</v>
      </c>
      <c r="S68" s="84" t="s">
        <v>369</v>
      </c>
      <c r="T68" s="82" t="s">
        <v>333</v>
      </c>
    </row>
    <row r="69" spans="2:20" x14ac:dyDescent="0.2">
      <c r="B69" s="164"/>
      <c r="C69" s="168"/>
      <c r="D69" s="169"/>
      <c r="E69" s="169"/>
      <c r="F69" s="170"/>
      <c r="G69" s="88">
        <f>G13</f>
        <v>2.1496130696474633</v>
      </c>
      <c r="H69" s="68" t="s">
        <v>202</v>
      </c>
      <c r="I69" s="174"/>
      <c r="J69" s="175"/>
      <c r="K69" s="176"/>
      <c r="P69" s="82"/>
      <c r="Q69" s="83" t="s">
        <v>365</v>
      </c>
      <c r="R69" s="84" t="s">
        <v>370</v>
      </c>
      <c r="S69" s="84" t="s">
        <v>371</v>
      </c>
      <c r="T69" s="82" t="s">
        <v>333</v>
      </c>
    </row>
    <row r="70" spans="2:20" x14ac:dyDescent="0.2">
      <c r="B70" s="79" t="s">
        <v>305</v>
      </c>
      <c r="C70" s="56" t="s">
        <v>251</v>
      </c>
      <c r="D70" s="127"/>
      <c r="E70" s="127"/>
      <c r="F70" s="128"/>
      <c r="G70" s="157" t="str">
        <f t="shared" si="0"/>
        <v>д. Бережки, ул.Придорожная д.2а</v>
      </c>
      <c r="H70" s="158"/>
      <c r="I70" s="158"/>
      <c r="J70" s="158"/>
      <c r="K70" s="159"/>
      <c r="P70" s="82" t="s">
        <v>240</v>
      </c>
      <c r="Q70" s="83" t="s">
        <v>362</v>
      </c>
      <c r="R70" s="84" t="s">
        <v>372</v>
      </c>
      <c r="S70" s="84" t="s">
        <v>373</v>
      </c>
      <c r="T70" s="82" t="s">
        <v>333</v>
      </c>
    </row>
    <row r="71" spans="2:20" x14ac:dyDescent="0.2">
      <c r="B71" s="58" t="s">
        <v>238</v>
      </c>
      <c r="C71" s="56" t="s">
        <v>252</v>
      </c>
      <c r="D71" s="127"/>
      <c r="E71" s="127"/>
      <c r="F71" s="128"/>
      <c r="G71" s="157" t="str">
        <f t="shared" si="0"/>
        <v>R92А  CIB UNIGAS BURNESS</v>
      </c>
      <c r="H71" s="158"/>
      <c r="I71" s="158"/>
      <c r="J71" s="158"/>
      <c r="K71" s="159"/>
      <c r="P71" s="82"/>
      <c r="Q71" s="83" t="s">
        <v>365</v>
      </c>
      <c r="R71" s="84" t="s">
        <v>374</v>
      </c>
      <c r="S71" s="84" t="s">
        <v>375</v>
      </c>
      <c r="T71" s="82" t="s">
        <v>333</v>
      </c>
    </row>
    <row r="72" spans="2:20" x14ac:dyDescent="0.2">
      <c r="B72" s="58" t="s">
        <v>306</v>
      </c>
      <c r="C72" s="56" t="s">
        <v>253</v>
      </c>
      <c r="D72" s="127"/>
      <c r="E72" s="127"/>
      <c r="F72" s="128"/>
      <c r="G72" s="157" t="str">
        <f t="shared" si="0"/>
        <v>Газ</v>
      </c>
      <c r="H72" s="158"/>
      <c r="I72" s="158"/>
      <c r="J72" s="158"/>
      <c r="K72" s="159"/>
      <c r="P72" s="82" t="s">
        <v>69</v>
      </c>
      <c r="Q72" s="83" t="s">
        <v>376</v>
      </c>
      <c r="R72" s="84" t="s">
        <v>377</v>
      </c>
      <c r="S72" s="84" t="s">
        <v>377</v>
      </c>
      <c r="T72" s="82" t="s">
        <v>377</v>
      </c>
    </row>
    <row r="73" spans="2:20" x14ac:dyDescent="0.2">
      <c r="B73" s="79" t="s">
        <v>237</v>
      </c>
      <c r="C73" s="41" t="str">
        <f>'Данные для УРК'!I2</f>
        <v>ДАВЛЕНИЕ ТОПЛИВА</v>
      </c>
      <c r="D73" s="38"/>
      <c r="E73" s="38"/>
      <c r="F73" s="38"/>
      <c r="G73" s="38"/>
      <c r="H73" s="38"/>
      <c r="I73" s="38"/>
      <c r="J73" s="38"/>
      <c r="K73" s="39"/>
    </row>
    <row r="74" spans="2:20" ht="24.75" customHeight="1" x14ac:dyDescent="0.2">
      <c r="B74" s="58" t="s">
        <v>218</v>
      </c>
      <c r="C74" s="160" t="str">
        <f>'Данные для УРК'!I3</f>
        <v>Понижение давления перед клапанами/горелкой</v>
      </c>
      <c r="D74" s="161"/>
      <c r="E74" s="161"/>
      <c r="F74" s="162"/>
      <c r="G74" s="36">
        <f>IF($G$16="Газ",'Данные для УРК'!K3,IF($G$16="Мазут",'Данные для УРК'!L3,IF($G$16="Уголь",'Данные для УРК'!M3,IF($G$16="Дизель",'Данные для УРК'!N3))))</f>
        <v>0.01</v>
      </c>
      <c r="H74" s="36" t="str">
        <f>'Данные для УРК'!J3</f>
        <v>бар</v>
      </c>
      <c r="I74" s="40" t="str">
        <f>'Данные для УРК'!O3</f>
        <v>Без выдержки</v>
      </c>
      <c r="J74" s="38"/>
      <c r="K74" s="39"/>
      <c r="P74" s="47" t="s">
        <v>378</v>
      </c>
    </row>
    <row r="75" spans="2:20" x14ac:dyDescent="0.2">
      <c r="B75" s="58" t="s">
        <v>219</v>
      </c>
      <c r="C75" s="40" t="str">
        <f>'Данные для УРК'!I4</f>
        <v>Повышение давления перед горелкой</v>
      </c>
      <c r="D75" s="127"/>
      <c r="E75" s="127"/>
      <c r="F75" s="128"/>
      <c r="G75" s="36">
        <f>IF($G$16="Газ",'Данные для УРК'!K4,IF($G$16="Мазут",'Данные для УРК'!L4,IF($G$16="Уголь",'Данные для УРК'!M4,IF($G$16="Дизель",'Данные для УРК'!N4))))</f>
        <v>1</v>
      </c>
      <c r="H75" s="36" t="str">
        <f>'Данные для УРК'!J4</f>
        <v>бар</v>
      </c>
      <c r="I75" s="40" t="str">
        <f>'Данные для УРК'!O4</f>
        <v>Без выдержки</v>
      </c>
      <c r="J75" s="38"/>
      <c r="K75" s="39"/>
      <c r="P75" s="82" t="s">
        <v>130</v>
      </c>
      <c r="Q75" s="83" t="s">
        <v>117</v>
      </c>
      <c r="R75" s="84" t="s">
        <v>360</v>
      </c>
      <c r="S75" s="84" t="s">
        <v>361</v>
      </c>
      <c r="T75" s="82" t="s">
        <v>328</v>
      </c>
    </row>
    <row r="76" spans="2:20" x14ac:dyDescent="0.2">
      <c r="B76" s="79" t="s">
        <v>310</v>
      </c>
      <c r="C76" s="41" t="str">
        <f>'Данные для УРК'!I5</f>
        <v>ВОЗДУХ/ТЯГА</v>
      </c>
      <c r="D76" s="38"/>
      <c r="E76" s="38"/>
      <c r="F76" s="38"/>
      <c r="G76" s="38"/>
      <c r="H76" s="38"/>
      <c r="I76" s="38"/>
      <c r="J76" s="38"/>
      <c r="K76" s="39"/>
      <c r="P76" s="82" t="s">
        <v>379</v>
      </c>
      <c r="Q76" s="83" t="s">
        <v>233</v>
      </c>
      <c r="R76" s="84" t="s">
        <v>380</v>
      </c>
      <c r="S76" s="84" t="s">
        <v>381</v>
      </c>
      <c r="T76" s="82" t="s">
        <v>333</v>
      </c>
    </row>
    <row r="77" spans="2:20" ht="24" customHeight="1" x14ac:dyDescent="0.2">
      <c r="B77" s="58" t="s">
        <v>225</v>
      </c>
      <c r="C77" s="160" t="str">
        <f>'Данные для УРК'!I6</f>
        <v>Понижение давления воздуха перед горелкой</v>
      </c>
      <c r="D77" s="161"/>
      <c r="E77" s="161"/>
      <c r="F77" s="162"/>
      <c r="G77" s="36">
        <f>IF($G$16="Газ",'Данные для УРК'!K6,IF($G$16="Мазут",'Данные для УРК'!L6,IF($G$16="Уголь",'Данные для УРК'!M6,IF($G$16="Дизель",'Данные для УРК'!N6))))</f>
        <v>3.0000000000000001E-3</v>
      </c>
      <c r="H77" s="36" t="str">
        <f>'Данные для УРК'!J6</f>
        <v>бар</v>
      </c>
      <c r="I77" s="40" t="str">
        <f>'Данные для УРК'!O6</f>
        <v>Без выдержки</v>
      </c>
      <c r="J77" s="38"/>
      <c r="K77" s="39"/>
      <c r="P77" s="82" t="s">
        <v>239</v>
      </c>
      <c r="Q77" s="83" t="s">
        <v>336</v>
      </c>
      <c r="R77" s="84" t="s">
        <v>382</v>
      </c>
      <c r="S77" s="84" t="s">
        <v>383</v>
      </c>
      <c r="T77" s="82" t="s">
        <v>337</v>
      </c>
    </row>
    <row r="78" spans="2:20" ht="12.75" customHeight="1" x14ac:dyDescent="0.2">
      <c r="B78" s="58" t="s">
        <v>226</v>
      </c>
      <c r="C78" s="40" t="str">
        <f>'Данные для УРК'!I7</f>
        <v>Разрежения в топке</v>
      </c>
      <c r="D78" s="93"/>
      <c r="E78" s="93"/>
      <c r="F78" s="94"/>
      <c r="G78" s="36">
        <f>IF($G$16="Газ",'Данные для УРК'!K7,IF($G$16="Мазут",'Данные для УРК'!L7,IF($G$16="Уголь",'Данные для УРК'!M7,IF($G$16="Дизель",'Данные для УРК'!N7))))</f>
        <v>500</v>
      </c>
      <c r="H78" s="36" t="str">
        <f>'Данные для УРК'!J7</f>
        <v>Па</v>
      </c>
      <c r="I78" s="40" t="str">
        <f>'Данные для УРК'!O7</f>
        <v>≤ 0,5 сек</v>
      </c>
      <c r="J78" s="38"/>
      <c r="K78" s="39"/>
      <c r="P78" s="82" t="s">
        <v>68</v>
      </c>
      <c r="Q78" s="83" t="s">
        <v>336</v>
      </c>
      <c r="R78" s="84" t="s">
        <v>384</v>
      </c>
      <c r="S78" s="84" t="s">
        <v>385</v>
      </c>
      <c r="T78" s="82" t="s">
        <v>337</v>
      </c>
    </row>
    <row r="79" spans="2:20" x14ac:dyDescent="0.2">
      <c r="B79" s="58" t="s">
        <v>311</v>
      </c>
      <c r="C79" s="41" t="str">
        <f>'Данные для УРК'!I8</f>
        <v>ТЕПЛОНОСИТЕЛЬ</v>
      </c>
      <c r="D79" s="38"/>
      <c r="E79" s="38"/>
      <c r="F79" s="38"/>
      <c r="G79" s="38"/>
      <c r="H79" s="38"/>
      <c r="I79" s="38"/>
      <c r="J79" s="38"/>
      <c r="K79" s="39"/>
      <c r="P79" s="82" t="s">
        <v>69</v>
      </c>
      <c r="Q79" s="83" t="s">
        <v>336</v>
      </c>
      <c r="R79" s="84" t="s">
        <v>386</v>
      </c>
      <c r="S79" s="84" t="s">
        <v>387</v>
      </c>
      <c r="T79" s="82" t="s">
        <v>341</v>
      </c>
    </row>
    <row r="80" spans="2:20" x14ac:dyDescent="0.2">
      <c r="B80" s="80" t="s">
        <v>312</v>
      </c>
      <c r="C80" s="40" t="str">
        <f>'Данные для УРК'!I9</f>
        <v>Понижение давления воды в котле</v>
      </c>
      <c r="D80" s="127"/>
      <c r="E80" s="127"/>
      <c r="F80" s="128"/>
      <c r="G80" s="36">
        <f>IF($G$16="Газ",'Данные для УРК'!K9,IF($G$16="Мазут",'Данные для УРК'!L9,IF($G$16="Уголь",'Данные для УРК'!M9,IF($G$16="Дизель",'Данные для УРК'!N9))))</f>
        <v>2</v>
      </c>
      <c r="H80" s="36" t="str">
        <f>'Данные для УРК'!J9</f>
        <v>бар</v>
      </c>
      <c r="I80" s="40" t="str">
        <f>'Данные для УРК'!O9</f>
        <v>Без выдержки</v>
      </c>
      <c r="J80" s="38"/>
      <c r="K80" s="39"/>
      <c r="P80" s="82" t="s">
        <v>240</v>
      </c>
      <c r="Q80" s="83" t="s">
        <v>336</v>
      </c>
      <c r="R80" s="84" t="s">
        <v>388</v>
      </c>
      <c r="S80" s="84" t="s">
        <v>389</v>
      </c>
      <c r="T80" s="82" t="s">
        <v>337</v>
      </c>
    </row>
    <row r="81" spans="2:20" x14ac:dyDescent="0.2">
      <c r="B81" s="58" t="s">
        <v>313</v>
      </c>
      <c r="C81" s="40" t="str">
        <f>'Данные для УРК'!I10</f>
        <v>Повышение давления воды в котле</v>
      </c>
      <c r="D81" s="127"/>
      <c r="E81" s="127"/>
      <c r="F81" s="128"/>
      <c r="G81" s="36">
        <f>IF($G$16="Газ",'Данные для УРК'!K10,IF($G$16="Мазут",'Данные для УРК'!L10,IF($G$16="Уголь",'Данные для УРК'!M10,IF($G$16="Дизель",'Данные для УРК'!N10))))</f>
        <v>7</v>
      </c>
      <c r="H81" s="36" t="str">
        <f>'Данные для УРК'!J10</f>
        <v>бар</v>
      </c>
      <c r="I81" s="40" t="str">
        <f>'Данные для УРК'!O10</f>
        <v>Без выдержки</v>
      </c>
      <c r="J81" s="38"/>
      <c r="K81" s="39"/>
    </row>
    <row r="82" spans="2:20" x14ac:dyDescent="0.2">
      <c r="B82" s="36" t="s">
        <v>314</v>
      </c>
      <c r="C82" s="40" t="str">
        <f>'Данные для УРК'!I11</f>
        <v>Повышение температуры воды на выходе</v>
      </c>
      <c r="D82" s="38"/>
      <c r="E82" s="38"/>
      <c r="F82" s="39"/>
      <c r="G82" s="36">
        <f>IF($G$16="Газ",'Данные для УРК'!K11,IF($G$16="Мазут",'Данные для УРК'!L11,IF($G$16="Уголь",'Данные для УРК'!M11,IF($G$16="Дизель",'Данные для УРК'!N11))))</f>
        <v>95</v>
      </c>
      <c r="H82" s="36" t="str">
        <f>'Данные для УРК'!J11</f>
        <v>°C</v>
      </c>
      <c r="I82" s="40" t="str">
        <f>'Данные для УРК'!O11</f>
        <v>Без выдержки</v>
      </c>
      <c r="J82" s="38"/>
      <c r="K82" s="39"/>
      <c r="P82" s="47" t="s">
        <v>390</v>
      </c>
    </row>
    <row r="83" spans="2:20" x14ac:dyDescent="0.2">
      <c r="B83" s="36" t="s">
        <v>319</v>
      </c>
      <c r="C83" s="41" t="str">
        <f>'Данные для УРК'!I13</f>
        <v>ГОРЕНИЕ/ТОПЛЕВО</v>
      </c>
      <c r="D83" s="38"/>
      <c r="E83" s="38"/>
      <c r="F83" s="38"/>
      <c r="G83" s="38"/>
      <c r="H83" s="38"/>
      <c r="I83" s="38"/>
      <c r="J83" s="38"/>
      <c r="K83" s="39"/>
      <c r="P83" s="82" t="s">
        <v>117</v>
      </c>
      <c r="Q83" s="83" t="s">
        <v>360</v>
      </c>
      <c r="R83" s="84" t="s">
        <v>361</v>
      </c>
      <c r="S83" s="84" t="s">
        <v>328</v>
      </c>
      <c r="T83" s="82"/>
    </row>
    <row r="84" spans="2:20" x14ac:dyDescent="0.2">
      <c r="B84" s="58" t="s">
        <v>320</v>
      </c>
      <c r="C84" s="40" t="str">
        <f>'Данные для УРК'!I14</f>
        <v>Погасание факела/отсутствие горения</v>
      </c>
      <c r="D84" s="38"/>
      <c r="E84" s="38"/>
      <c r="F84" s="39"/>
      <c r="G84" s="36" t="str">
        <f>IF($G$16="Газ",'Данные для УРК'!K14,IF($G$16="Мазут",'Данные для УРК'!L14,IF($G$16="Уголь",'Данные для УРК'!M14,IF($G$16="Дизель",'Данные для УРК'!N14))))</f>
        <v>Контроль</v>
      </c>
      <c r="H84" s="36" t="str">
        <f>'Данные для УРК'!J14</f>
        <v>-</v>
      </c>
      <c r="I84" s="42" t="str">
        <f>'Данные для УРК'!O14</f>
        <v>Без выдержки</v>
      </c>
      <c r="J84" s="42"/>
      <c r="K84" s="39"/>
      <c r="P84" s="82" t="s">
        <v>362</v>
      </c>
      <c r="Q84" s="83" t="s">
        <v>391</v>
      </c>
      <c r="R84" s="84" t="s">
        <v>392</v>
      </c>
      <c r="S84" s="84" t="s">
        <v>333</v>
      </c>
      <c r="T84" s="82"/>
    </row>
    <row r="85" spans="2:20" x14ac:dyDescent="0.2">
      <c r="B85" s="58" t="s">
        <v>321</v>
      </c>
      <c r="C85" s="40" t="str">
        <f>'Данные для УРК'!I15</f>
        <v>Понижение температуры мазута</v>
      </c>
      <c r="D85" s="38"/>
      <c r="E85" s="38"/>
      <c r="F85" s="39"/>
      <c r="G85" s="36" t="str">
        <f>IF($G$16="Газ",'Данные для УРК'!K15,IF($G$16="Мазут",'Данные для УРК'!L15,IF($G$16="Уголь",'Данные для УРК'!M15,IF($G$16="Дизель",'Данные для УРК'!N15))))</f>
        <v>-</v>
      </c>
      <c r="H85" s="36" t="str">
        <f>'Данные для УРК'!J15</f>
        <v>°C</v>
      </c>
      <c r="I85" s="40" t="str">
        <f>'Данные для УРК'!O15</f>
        <v>≤ 5 сек</v>
      </c>
      <c r="J85" s="38"/>
      <c r="K85" s="39"/>
      <c r="P85" s="82" t="s">
        <v>365</v>
      </c>
      <c r="Q85" s="83" t="s">
        <v>393</v>
      </c>
      <c r="R85" s="84" t="s">
        <v>394</v>
      </c>
      <c r="S85" s="84" t="s">
        <v>333</v>
      </c>
      <c r="T85" s="82"/>
    </row>
    <row r="86" spans="2:20" x14ac:dyDescent="0.2">
      <c r="B86" s="58" t="s">
        <v>322</v>
      </c>
      <c r="C86" s="40" t="str">
        <f>'Данные для УРК'!I16</f>
        <v>Понижение уровня угля в бункере</v>
      </c>
      <c r="D86" s="38"/>
      <c r="E86" s="38"/>
      <c r="F86" s="39"/>
      <c r="G86" s="36" t="str">
        <f>IF($G$16="Газ",'Данные для УРК'!K16,IF($G$16="Мазут",'Данные для УРК'!L16,IF($G$16="Уголь",'Данные для УРК'!M16,IF($G$16="Дизель",'Данные для УРК'!N16))))</f>
        <v>-</v>
      </c>
      <c r="H86" s="36" t="str">
        <f>'Данные для УРК'!J16</f>
        <v>%</v>
      </c>
      <c r="I86" s="40" t="str">
        <f>'Данные для УРК'!O16</f>
        <v>≤ 15 сек</v>
      </c>
      <c r="J86" s="38"/>
      <c r="K86" s="39"/>
      <c r="P86" s="82" t="s">
        <v>395</v>
      </c>
      <c r="Q86" s="83"/>
      <c r="R86" s="84"/>
      <c r="S86" s="84"/>
      <c r="T86" s="82"/>
    </row>
    <row r="87" spans="2:20" x14ac:dyDescent="0.2">
      <c r="B87" s="58" t="s">
        <v>354</v>
      </c>
      <c r="C87" s="41" t="str">
        <f>'Данные для УРК'!I17</f>
        <v>ЭЛЕКТРИКА</v>
      </c>
      <c r="D87" s="38"/>
      <c r="E87" s="38"/>
      <c r="F87" s="38"/>
      <c r="G87" s="38"/>
      <c r="H87" s="38"/>
      <c r="I87" s="38"/>
      <c r="J87" s="38"/>
      <c r="K87" s="39"/>
      <c r="P87" s="82" t="s">
        <v>396</v>
      </c>
      <c r="Q87" s="83" t="s">
        <v>397</v>
      </c>
      <c r="R87" s="84" t="s">
        <v>398</v>
      </c>
      <c r="S87" s="84" t="s">
        <v>341</v>
      </c>
      <c r="T87" s="82"/>
    </row>
    <row r="88" spans="2:20" x14ac:dyDescent="0.2">
      <c r="B88" s="58" t="s">
        <v>355</v>
      </c>
      <c r="C88" s="40" t="str">
        <f>'Данные для УРК'!I18</f>
        <v>Исчезновение напряжения в цепях защиты</v>
      </c>
      <c r="D88" s="38"/>
      <c r="E88" s="38"/>
      <c r="F88" s="39"/>
      <c r="G88" s="36" t="str">
        <f>IF($G$16="Газ",'Данные для УРК'!K18,IF($G$16="Мазут",'Данные для УРК'!L18,IF($G$16="Уголь",'Данные для УРК'!M18,IF($G$16="Дизель",'Данные для УРК'!N18))))</f>
        <v>Контроль</v>
      </c>
      <c r="H88" s="36" t="str">
        <f>'Данные для УРК'!J18</f>
        <v>-</v>
      </c>
      <c r="I88" s="40" t="str">
        <f>'Данные для УРК'!O18</f>
        <v>Без выдержки</v>
      </c>
      <c r="J88" s="38"/>
      <c r="K88" s="39"/>
      <c r="P88" s="82" t="s">
        <v>399</v>
      </c>
      <c r="Q88" s="83" t="s">
        <v>400</v>
      </c>
      <c r="R88" s="84" t="s">
        <v>401</v>
      </c>
      <c r="S88" s="84" t="s">
        <v>341</v>
      </c>
      <c r="T88" s="82"/>
    </row>
    <row r="89" spans="2:20" x14ac:dyDescent="0.2">
      <c r="B89" s="58" t="s">
        <v>356</v>
      </c>
      <c r="C89" s="40" t="str">
        <f>'Данные для УРК'!I19</f>
        <v>Остановка топливного конвейера (уголь)</v>
      </c>
      <c r="D89" s="38"/>
      <c r="E89" s="38"/>
      <c r="F89" s="39"/>
      <c r="G89" s="36" t="str">
        <f>IF($G$16="Газ",'Данные для УРК'!K19,IF($G$16="Мазут",'Данные для УРК'!L19,IF($G$16="Уголь",'Данные для УРК'!M19,IF($G$16="Дизель",'Данные для УРК'!N19))))</f>
        <v>-</v>
      </c>
      <c r="H89" s="36" t="str">
        <f>'Данные для УРК'!J19</f>
        <v>-</v>
      </c>
      <c r="I89" s="40" t="str">
        <f>'Данные для УРК'!O19</f>
        <v>Без выдержки</v>
      </c>
      <c r="J89" s="38"/>
      <c r="K89" s="39"/>
      <c r="P89" s="82" t="s">
        <v>402</v>
      </c>
      <c r="Q89" s="83" t="s">
        <v>403</v>
      </c>
      <c r="R89" s="84" t="s">
        <v>404</v>
      </c>
      <c r="S89" s="84" t="s">
        <v>345</v>
      </c>
      <c r="T89" s="82"/>
    </row>
    <row r="90" spans="2:20" ht="12.75" customHeight="1" x14ac:dyDescent="0.2">
      <c r="C90" s="89"/>
      <c r="P90" s="82" t="s">
        <v>405</v>
      </c>
      <c r="Q90" s="83" t="s">
        <v>406</v>
      </c>
      <c r="R90" s="84" t="s">
        <v>407</v>
      </c>
      <c r="S90" s="84" t="s">
        <v>341</v>
      </c>
      <c r="T90" s="82"/>
    </row>
    <row r="91" spans="2:20" x14ac:dyDescent="0.2">
      <c r="B91" s="51" t="s">
        <v>469</v>
      </c>
      <c r="D91" s="51"/>
      <c r="E91" s="62"/>
      <c r="F91" s="50"/>
      <c r="G91" s="51"/>
      <c r="H91" s="51" t="s">
        <v>207</v>
      </c>
      <c r="J91" s="50"/>
      <c r="K91" s="52"/>
    </row>
    <row r="92" spans="2:20" x14ac:dyDescent="0.2">
      <c r="B92" s="63" t="s">
        <v>467</v>
      </c>
      <c r="D92" s="51"/>
      <c r="E92" s="51"/>
      <c r="F92" s="50"/>
      <c r="G92" s="51"/>
      <c r="H92" s="51" t="s">
        <v>214</v>
      </c>
      <c r="J92" s="50"/>
      <c r="K92" s="52"/>
      <c r="P92" s="47" t="s">
        <v>416</v>
      </c>
    </row>
    <row r="93" spans="2:20" x14ac:dyDescent="0.2">
      <c r="B93" s="51" t="s">
        <v>468</v>
      </c>
      <c r="D93" s="62" t="s">
        <v>331</v>
      </c>
      <c r="F93" s="50"/>
      <c r="G93" s="51"/>
      <c r="H93" s="51" t="s">
        <v>331</v>
      </c>
      <c r="J93" s="50"/>
      <c r="K93" s="52"/>
      <c r="P93" s="82" t="s">
        <v>117</v>
      </c>
      <c r="Q93" s="83" t="s">
        <v>361</v>
      </c>
      <c r="R93" s="84" t="s">
        <v>328</v>
      </c>
    </row>
    <row r="94" spans="2:20" x14ac:dyDescent="0.2">
      <c r="C94" s="51"/>
      <c r="D94" s="52"/>
      <c r="E94" s="52"/>
      <c r="F94" s="52"/>
      <c r="G94" s="52"/>
      <c r="H94" s="51"/>
      <c r="J94" s="52"/>
      <c r="K94" s="52"/>
      <c r="P94" s="82" t="s">
        <v>234</v>
      </c>
      <c r="Q94" s="83" t="s">
        <v>408</v>
      </c>
      <c r="R94" s="84" t="s">
        <v>333</v>
      </c>
    </row>
    <row r="95" spans="2:20" x14ac:dyDescent="0.2">
      <c r="C95" s="89"/>
      <c r="P95" s="82" t="s">
        <v>344</v>
      </c>
      <c r="Q95" s="83" t="s">
        <v>409</v>
      </c>
      <c r="R95" s="84" t="s">
        <v>345</v>
      </c>
    </row>
    <row r="96" spans="2:20" x14ac:dyDescent="0.2">
      <c r="C96" s="89"/>
      <c r="P96" s="82" t="s">
        <v>410</v>
      </c>
      <c r="Q96" s="83" t="s">
        <v>411</v>
      </c>
      <c r="R96" s="84" t="s">
        <v>347</v>
      </c>
    </row>
    <row r="97" spans="3:18" x14ac:dyDescent="0.2">
      <c r="C97" s="89"/>
    </row>
    <row r="98" spans="3:18" x14ac:dyDescent="0.2">
      <c r="C98" s="89"/>
      <c r="P98" s="47" t="s">
        <v>412</v>
      </c>
    </row>
    <row r="99" spans="3:18" x14ac:dyDescent="0.2">
      <c r="C99" s="89"/>
      <c r="P99" s="82" t="s">
        <v>117</v>
      </c>
      <c r="Q99" s="83" t="s">
        <v>361</v>
      </c>
      <c r="R99" s="84" t="s">
        <v>328</v>
      </c>
    </row>
    <row r="100" spans="3:18" x14ac:dyDescent="0.2">
      <c r="C100" s="89"/>
      <c r="P100" s="82" t="s">
        <v>235</v>
      </c>
      <c r="Q100" s="83" t="s">
        <v>413</v>
      </c>
      <c r="R100" s="84" t="s">
        <v>333</v>
      </c>
    </row>
    <row r="101" spans="3:18" x14ac:dyDescent="0.2">
      <c r="P101" s="82" t="s">
        <v>414</v>
      </c>
      <c r="Q101" s="83" t="s">
        <v>415</v>
      </c>
      <c r="R101" s="84" t="s">
        <v>333</v>
      </c>
    </row>
  </sheetData>
  <mergeCells count="38">
    <mergeCell ref="B12:B13"/>
    <mergeCell ref="C12:F13"/>
    <mergeCell ref="I12:K12"/>
    <mergeCell ref="I13:K13"/>
    <mergeCell ref="I2:K2"/>
    <mergeCell ref="C7:J7"/>
    <mergeCell ref="J9:K9"/>
    <mergeCell ref="G10:K10"/>
    <mergeCell ref="G11:K11"/>
    <mergeCell ref="B46:B47"/>
    <mergeCell ref="C46:F47"/>
    <mergeCell ref="G14:K14"/>
    <mergeCell ref="G15:K15"/>
    <mergeCell ref="G16:K16"/>
    <mergeCell ref="J17:K17"/>
    <mergeCell ref="I18:J18"/>
    <mergeCell ref="G19:H19"/>
    <mergeCell ref="I19:J19"/>
    <mergeCell ref="G67:K67"/>
    <mergeCell ref="J29:K29"/>
    <mergeCell ref="G36:H36"/>
    <mergeCell ref="I36:J36"/>
    <mergeCell ref="J37:K37"/>
    <mergeCell ref="J45:K45"/>
    <mergeCell ref="I58:K58"/>
    <mergeCell ref="C63:J63"/>
    <mergeCell ref="I64:K64"/>
    <mergeCell ref="J65:K65"/>
    <mergeCell ref="G66:K66"/>
    <mergeCell ref="G72:K72"/>
    <mergeCell ref="C74:F74"/>
    <mergeCell ref="C77:F77"/>
    <mergeCell ref="B68:B69"/>
    <mergeCell ref="C68:F69"/>
    <mergeCell ref="I68:K68"/>
    <mergeCell ref="I69:K69"/>
    <mergeCell ref="G70:K70"/>
    <mergeCell ref="G71:K71"/>
  </mergeCells>
  <dataValidations count="3">
    <dataValidation type="list" allowBlank="1" showInputMessage="1" showErrorMessage="1" sqref="D16 D72">
      <formula1>$N:$N</formula1>
    </dataValidation>
    <dataValidation type="list" allowBlank="1" showInputMessage="1" showErrorMessage="1" sqref="D10 D66">
      <formula1>$O:$O</formula1>
    </dataValidation>
    <dataValidation type="list" allowBlank="1" showInputMessage="1" showErrorMessage="1" sqref="D11 D67">
      <formula1>$P:$P</formula1>
    </dataValidation>
  </dataValidations>
  <pageMargins left="0.7" right="0.7" top="0.75" bottom="0.75" header="0.3" footer="0.3"/>
  <pageSetup paperSize="9" orientation="portrait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'Данные для УРК'!C1:C279</xm:f>
          </x14:formula1>
          <xm:sqref>G22:G28 G30:G35</xm:sqref>
        </x14:dataValidation>
        <x14:dataValidation type="list" allowBlank="1" showInputMessage="1" showErrorMessage="1">
          <x14:formula1>
            <xm:f>'Данные для УРК'!$C$1:$C$279</xm:f>
          </x14:formula1>
          <xm:sqref>G21 I20:I35 G36:J36 G38:G39 I38:I39 G41:G42 I41:I42 G44 I44</xm:sqref>
        </x14:dataValidation>
        <x14:dataValidation type="list" allowBlank="1" showInputMessage="1" showErrorMessage="1">
          <x14:formula1>
            <xm:f>'Данные для УРК'!$C:$C</xm:f>
          </x14:formula1>
          <xm:sqref>G12</xm:sqref>
        </x14:dataValidation>
        <x14:dataValidation type="list" allowBlank="1" showInputMessage="1" showErrorMessage="1">
          <x14:formula1>
            <xm:f>'Данные для УРК'!$D:$D</xm:f>
          </x14:formula1>
          <xm:sqref>G14</xm:sqref>
        </x14:dataValidation>
        <x14:dataValidation type="list" allowBlank="1" showInputMessage="1" showErrorMessage="1">
          <x14:formula1>
            <xm:f>'Данные для УРК'!$E:$E</xm:f>
          </x14:formula1>
          <xm:sqref>G15</xm:sqref>
        </x14:dataValidation>
        <x14:dataValidation type="list" allowBlank="1" showInputMessage="1" showErrorMessage="1">
          <x14:formula1>
            <xm:f>'Данные для УРК'!$B:$B</xm:f>
          </x14:formula1>
          <xm:sqref>G11</xm:sqref>
        </x14:dataValidation>
        <x14:dataValidation type="list" allowBlank="1" showInputMessage="1" showErrorMessage="1">
          <x14:formula1>
            <xm:f>'Данные для УРК'!$A:$A</xm:f>
          </x14:formula1>
          <xm:sqref>G10</xm:sqref>
        </x14:dataValidation>
        <x14:dataValidation type="list" allowBlank="1" showInputMessage="1" showErrorMessage="1">
          <x14:formula1>
            <xm:f>'Данные для УРК'!$F:$F</xm:f>
          </x14:formula1>
          <xm:sqref>G16</xm:sqref>
        </x14:dataValidation>
        <x14:dataValidation type="list" allowBlank="1" showInputMessage="1" showErrorMessage="1">
          <x14:formula1>
            <xm:f>'Данные для УРК'!$H:$H</xm:f>
          </x14:formula1>
          <xm:sqref>G18</xm:sqref>
        </x14:dataValidation>
        <x14:dataValidation type="list" allowBlank="1" showInputMessage="1" showErrorMessage="1">
          <x14:formula1>
            <xm:f>'Данные для УРК'!$G:$G</xm:f>
          </x14:formula1>
          <xm:sqref>J41:J43 H41:H43 J24 J20:J21 H24 H21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E101"/>
  <sheetViews>
    <sheetView topLeftCell="A9" workbookViewId="0">
      <selection activeCell="G10" sqref="G10:K44"/>
    </sheetView>
  </sheetViews>
  <sheetFormatPr defaultRowHeight="12.75" x14ac:dyDescent="0.2"/>
  <cols>
    <col min="1" max="1" width="4.7109375" style="35" customWidth="1"/>
    <col min="2" max="2" width="4.85546875" style="50" customWidth="1"/>
    <col min="3" max="3" width="9.140625" style="35" customWidth="1"/>
    <col min="4" max="5" width="9.140625" style="35"/>
    <col min="6" max="6" width="9.5703125" style="35" customWidth="1"/>
    <col min="7" max="7" width="10.7109375" style="35" bestFit="1" customWidth="1"/>
    <col min="8" max="8" width="9.140625" style="35" customWidth="1"/>
    <col min="9" max="10" width="9.140625" style="35"/>
    <col min="11" max="11" width="5.7109375" style="35" customWidth="1"/>
    <col min="12" max="12" width="4.5703125" style="35" customWidth="1"/>
    <col min="13" max="14" width="9.140625" style="35"/>
    <col min="15" max="15" width="25.7109375" style="35" customWidth="1"/>
    <col min="16" max="16" width="38.140625" style="47" customWidth="1"/>
    <col min="17" max="17" width="67.28515625" style="48" customWidth="1"/>
    <col min="18" max="18" width="42.7109375" style="49" customWidth="1"/>
    <col min="19" max="19" width="28.5703125" style="49" customWidth="1"/>
    <col min="20" max="20" width="41.140625" style="47" customWidth="1"/>
    <col min="21" max="21" width="9.140625" style="47"/>
    <col min="22" max="16384" width="9.140625" style="35"/>
  </cols>
  <sheetData>
    <row r="1" spans="2:31" x14ac:dyDescent="0.2">
      <c r="B1" s="51"/>
      <c r="C1" s="34"/>
      <c r="D1" s="34"/>
      <c r="E1" s="34"/>
      <c r="F1" s="34"/>
      <c r="G1" s="42"/>
      <c r="I1" s="37" t="s">
        <v>197</v>
      </c>
      <c r="J1" s="42"/>
      <c r="O1" s="45" t="s">
        <v>301</v>
      </c>
      <c r="P1" s="47" t="s">
        <v>148</v>
      </c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2:31" ht="23.25" customHeight="1" x14ac:dyDescent="0.2">
      <c r="B2" s="51"/>
      <c r="C2" s="43"/>
      <c r="D2" s="43"/>
      <c r="E2" s="43"/>
      <c r="F2" s="34"/>
      <c r="G2" s="42"/>
      <c r="I2" s="177" t="s">
        <v>417</v>
      </c>
      <c r="J2" s="177"/>
      <c r="K2" s="177"/>
      <c r="O2" s="45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2:31" x14ac:dyDescent="0.2">
      <c r="B3" s="51"/>
      <c r="C3" s="43"/>
      <c r="D3" s="43"/>
      <c r="E3" s="43"/>
      <c r="F3" s="34"/>
      <c r="G3" s="42"/>
      <c r="I3" s="37" t="s">
        <v>198</v>
      </c>
      <c r="J3" s="42"/>
      <c r="O3" s="45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2:31" ht="12.75" customHeight="1" x14ac:dyDescent="0.2">
      <c r="B4" s="51"/>
      <c r="C4" s="126"/>
      <c r="D4" s="126"/>
      <c r="E4" s="126"/>
      <c r="F4" s="126"/>
      <c r="G4" s="50"/>
      <c r="I4" s="51" t="s">
        <v>199</v>
      </c>
      <c r="J4" s="50"/>
      <c r="K4" s="52"/>
      <c r="O4" s="45"/>
      <c r="P4" s="47" t="s">
        <v>65</v>
      </c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2:31" x14ac:dyDescent="0.2">
      <c r="B5" s="51"/>
      <c r="C5" s="126"/>
      <c r="D5" s="126"/>
      <c r="E5" s="126"/>
      <c r="F5" s="126"/>
      <c r="G5" s="51"/>
      <c r="I5" s="51" t="s">
        <v>200</v>
      </c>
      <c r="J5" s="51"/>
      <c r="K5" s="52"/>
      <c r="O5" s="45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2:31" ht="15" customHeight="1" x14ac:dyDescent="0.2">
      <c r="B6" s="51"/>
      <c r="C6" s="126"/>
      <c r="D6" s="126"/>
      <c r="E6" s="126"/>
      <c r="F6" s="126"/>
      <c r="G6" s="52"/>
      <c r="I6" s="51" t="s">
        <v>466</v>
      </c>
      <c r="J6" s="50"/>
      <c r="K6" s="52"/>
      <c r="O6" s="45"/>
      <c r="P6" s="82" t="s">
        <v>66</v>
      </c>
      <c r="Q6" s="83" t="s">
        <v>67</v>
      </c>
      <c r="R6" s="84" t="s">
        <v>68</v>
      </c>
      <c r="S6" s="84" t="s">
        <v>69</v>
      </c>
      <c r="T6" s="82" t="s">
        <v>70</v>
      </c>
      <c r="U6" s="82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2:31" x14ac:dyDescent="0.2">
      <c r="B7" s="51"/>
      <c r="C7" s="178" t="s">
        <v>201</v>
      </c>
      <c r="D7" s="178"/>
      <c r="E7" s="178"/>
      <c r="F7" s="178"/>
      <c r="G7" s="178"/>
      <c r="H7" s="178"/>
      <c r="I7" s="178"/>
      <c r="J7" s="178"/>
      <c r="K7" s="52"/>
      <c r="O7" s="45"/>
      <c r="P7" s="82" t="s">
        <v>71</v>
      </c>
      <c r="Q7" s="83" t="s">
        <v>421</v>
      </c>
      <c r="R7" s="84" t="s">
        <v>72</v>
      </c>
      <c r="S7" s="84" t="s">
        <v>73</v>
      </c>
      <c r="T7" s="82" t="s">
        <v>72</v>
      </c>
      <c r="U7" s="82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2:31" s="44" customFormat="1" ht="25.5" x14ac:dyDescent="0.2">
      <c r="B8" s="77" t="s">
        <v>302</v>
      </c>
      <c r="C8" s="122" t="s">
        <v>213</v>
      </c>
      <c r="D8" s="71"/>
      <c r="E8" s="71"/>
      <c r="F8" s="72"/>
      <c r="G8" s="73" t="s">
        <v>329</v>
      </c>
      <c r="H8" s="71"/>
      <c r="I8" s="74"/>
      <c r="J8" s="75"/>
      <c r="K8" s="76" t="s">
        <v>303</v>
      </c>
      <c r="O8" s="69"/>
      <c r="P8" s="82" t="s">
        <v>74</v>
      </c>
      <c r="Q8" s="83" t="s">
        <v>423</v>
      </c>
      <c r="R8" s="84" t="s">
        <v>75</v>
      </c>
      <c r="S8" s="84" t="s">
        <v>76</v>
      </c>
      <c r="T8" s="82" t="s">
        <v>77</v>
      </c>
      <c r="U8" s="85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 spans="2:31" x14ac:dyDescent="0.2">
      <c r="B9" s="79" t="s">
        <v>304</v>
      </c>
      <c r="C9" s="122" t="s">
        <v>247</v>
      </c>
      <c r="D9" s="127"/>
      <c r="E9" s="127"/>
      <c r="F9" s="127"/>
      <c r="G9" s="127"/>
      <c r="H9" s="127"/>
      <c r="I9" s="127"/>
      <c r="J9" s="184"/>
      <c r="K9" s="185"/>
      <c r="O9" s="45"/>
      <c r="P9" s="82" t="s">
        <v>78</v>
      </c>
      <c r="Q9" s="83" t="s">
        <v>422</v>
      </c>
      <c r="R9" s="84" t="s">
        <v>80</v>
      </c>
      <c r="S9" s="84" t="s">
        <v>81</v>
      </c>
      <c r="T9" s="82" t="s">
        <v>82</v>
      </c>
      <c r="U9" s="82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2:31" x14ac:dyDescent="0.2">
      <c r="B10" s="79" t="s">
        <v>215</v>
      </c>
      <c r="C10" s="53" t="s">
        <v>248</v>
      </c>
      <c r="D10" s="54"/>
      <c r="E10" s="54"/>
      <c r="F10" s="55"/>
      <c r="G10" s="157" t="s">
        <v>156</v>
      </c>
      <c r="H10" s="158"/>
      <c r="I10" s="158"/>
      <c r="J10" s="158"/>
      <c r="K10" s="159"/>
      <c r="O10" s="45"/>
      <c r="P10" s="82" t="s">
        <v>83</v>
      </c>
      <c r="Q10" s="83" t="s">
        <v>84</v>
      </c>
      <c r="R10" s="84" t="s">
        <v>84</v>
      </c>
      <c r="S10" s="84" t="s">
        <v>85</v>
      </c>
      <c r="T10" s="82" t="s">
        <v>85</v>
      </c>
      <c r="U10" s="82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2:31" x14ac:dyDescent="0.2">
      <c r="B11" s="58" t="s">
        <v>216</v>
      </c>
      <c r="C11" s="56" t="s">
        <v>249</v>
      </c>
      <c r="D11" s="127"/>
      <c r="E11" s="127"/>
      <c r="F11" s="128"/>
      <c r="G11" s="157" t="s">
        <v>174</v>
      </c>
      <c r="H11" s="158"/>
      <c r="I11" s="158"/>
      <c r="J11" s="158"/>
      <c r="K11" s="159"/>
      <c r="O11" s="45"/>
      <c r="P11" s="82" t="s">
        <v>86</v>
      </c>
      <c r="Q11" s="83" t="s">
        <v>87</v>
      </c>
      <c r="R11" s="84" t="s">
        <v>88</v>
      </c>
      <c r="S11" s="84" t="s">
        <v>88</v>
      </c>
      <c r="T11" s="82" t="s">
        <v>88</v>
      </c>
      <c r="U11" s="82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2:31" x14ac:dyDescent="0.2">
      <c r="B12" s="194" t="s">
        <v>217</v>
      </c>
      <c r="C12" s="196" t="s">
        <v>250</v>
      </c>
      <c r="D12" s="197"/>
      <c r="E12" s="197"/>
      <c r="F12" s="198"/>
      <c r="G12" s="68">
        <v>2.5</v>
      </c>
      <c r="H12" s="68" t="s">
        <v>203</v>
      </c>
      <c r="I12" s="215"/>
      <c r="J12" s="216"/>
      <c r="K12" s="217"/>
      <c r="O12" s="45"/>
      <c r="P12" s="82" t="s">
        <v>89</v>
      </c>
      <c r="Q12" s="83" t="s">
        <v>90</v>
      </c>
      <c r="R12" s="84" t="s">
        <v>91</v>
      </c>
      <c r="S12" s="84" t="s">
        <v>92</v>
      </c>
      <c r="T12" s="82" t="s">
        <v>93</v>
      </c>
      <c r="U12" s="82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2:31" x14ac:dyDescent="0.2">
      <c r="B13" s="195"/>
      <c r="C13" s="199"/>
      <c r="D13" s="200"/>
      <c r="E13" s="200"/>
      <c r="F13" s="201"/>
      <c r="G13" s="88">
        <f>G12/1.163</f>
        <v>2.1496130696474633</v>
      </c>
      <c r="H13" s="68" t="s">
        <v>202</v>
      </c>
      <c r="I13" s="218"/>
      <c r="J13" s="219"/>
      <c r="K13" s="220"/>
      <c r="O13" s="45"/>
      <c r="P13" s="82"/>
      <c r="Q13" s="83"/>
      <c r="R13" s="84"/>
      <c r="S13" s="84"/>
      <c r="T13" s="82"/>
      <c r="U13" s="82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2:31" x14ac:dyDescent="0.2">
      <c r="B14" s="79" t="s">
        <v>305</v>
      </c>
      <c r="C14" s="56" t="s">
        <v>251</v>
      </c>
      <c r="D14" s="127"/>
      <c r="E14" s="127"/>
      <c r="F14" s="128"/>
      <c r="G14" s="157" t="s">
        <v>155</v>
      </c>
      <c r="H14" s="158"/>
      <c r="I14" s="158"/>
      <c r="J14" s="158"/>
      <c r="K14" s="159"/>
      <c r="O14" s="45"/>
      <c r="P14" s="82" t="s">
        <v>94</v>
      </c>
      <c r="Q14" s="83" t="s">
        <v>95</v>
      </c>
      <c r="R14" s="84" t="s">
        <v>96</v>
      </c>
      <c r="S14" s="84" t="s">
        <v>97</v>
      </c>
      <c r="T14" s="82" t="s">
        <v>98</v>
      </c>
      <c r="U14" s="82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2:31" x14ac:dyDescent="0.2">
      <c r="B15" s="58" t="s">
        <v>238</v>
      </c>
      <c r="C15" s="56" t="s">
        <v>252</v>
      </c>
      <c r="D15" s="127"/>
      <c r="E15" s="127"/>
      <c r="F15" s="128"/>
      <c r="G15" s="157" t="s">
        <v>44</v>
      </c>
      <c r="H15" s="158"/>
      <c r="I15" s="158"/>
      <c r="J15" s="158"/>
      <c r="K15" s="159"/>
      <c r="O15" s="45"/>
      <c r="P15" s="82" t="s">
        <v>99</v>
      </c>
      <c r="Q15" s="83" t="s">
        <v>100</v>
      </c>
      <c r="R15" s="84" t="s">
        <v>79</v>
      </c>
      <c r="S15" s="84" t="s">
        <v>82</v>
      </c>
      <c r="T15" s="82" t="s">
        <v>101</v>
      </c>
      <c r="U15" s="82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2:31" x14ac:dyDescent="0.2">
      <c r="B16" s="58" t="s">
        <v>306</v>
      </c>
      <c r="C16" s="56" t="s">
        <v>253</v>
      </c>
      <c r="D16" s="127"/>
      <c r="E16" s="127"/>
      <c r="F16" s="128"/>
      <c r="G16" s="157" t="s">
        <v>239</v>
      </c>
      <c r="H16" s="158"/>
      <c r="I16" s="158"/>
      <c r="J16" s="158"/>
      <c r="K16" s="159"/>
      <c r="O16" s="45"/>
      <c r="P16" s="82" t="s">
        <v>102</v>
      </c>
      <c r="Q16" s="83" t="s">
        <v>103</v>
      </c>
      <c r="R16" s="84" t="s">
        <v>104</v>
      </c>
      <c r="S16" s="84" t="s">
        <v>105</v>
      </c>
      <c r="T16" s="82" t="s">
        <v>106</v>
      </c>
      <c r="U16" s="82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2:31" x14ac:dyDescent="0.2">
      <c r="B17" s="79" t="s">
        <v>237</v>
      </c>
      <c r="C17" s="122" t="s">
        <v>260</v>
      </c>
      <c r="D17" s="127"/>
      <c r="E17" s="127"/>
      <c r="F17" s="127"/>
      <c r="G17" s="130"/>
      <c r="H17" s="132"/>
      <c r="I17" s="130"/>
      <c r="J17" s="208"/>
      <c r="K17" s="209"/>
      <c r="O17" s="45"/>
      <c r="P17" s="82" t="s">
        <v>107</v>
      </c>
      <c r="Q17" s="83" t="s">
        <v>108</v>
      </c>
      <c r="R17" s="84" t="s">
        <v>109</v>
      </c>
      <c r="S17" s="84" t="s">
        <v>110</v>
      </c>
      <c r="T17" s="82" t="s">
        <v>111</v>
      </c>
      <c r="U17" s="82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2:31" x14ac:dyDescent="0.2">
      <c r="B18" s="79" t="s">
        <v>218</v>
      </c>
      <c r="C18" s="119" t="s">
        <v>254</v>
      </c>
      <c r="D18" s="120"/>
      <c r="E18" s="120"/>
      <c r="F18" s="121"/>
      <c r="G18" s="68">
        <v>8107</v>
      </c>
      <c r="H18" s="68" t="str">
        <f>IF(G16="Газ","ккал/м³","ккал/кг")</f>
        <v>ккал/м³</v>
      </c>
      <c r="I18" s="212"/>
      <c r="J18" s="209"/>
      <c r="K18" s="133" t="str">
        <f>IF(G16="Газ","±50","±100")</f>
        <v>±50</v>
      </c>
      <c r="O18" s="45"/>
      <c r="P18" s="82" t="s">
        <v>112</v>
      </c>
      <c r="Q18" s="83" t="s">
        <v>113</v>
      </c>
      <c r="R18" s="84" t="s">
        <v>114</v>
      </c>
      <c r="S18" s="84" t="s">
        <v>115</v>
      </c>
      <c r="T18" s="82" t="s">
        <v>114</v>
      </c>
      <c r="U18" s="82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2:31" x14ac:dyDescent="0.2">
      <c r="B19" s="58" t="s">
        <v>219</v>
      </c>
      <c r="C19" s="122" t="s">
        <v>259</v>
      </c>
      <c r="D19" s="60"/>
      <c r="E19" s="60"/>
      <c r="F19" s="123"/>
      <c r="G19" s="213" t="s">
        <v>257</v>
      </c>
      <c r="H19" s="214"/>
      <c r="I19" s="213" t="s">
        <v>258</v>
      </c>
      <c r="J19" s="214"/>
      <c r="K19" s="133"/>
      <c r="O19" s="45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2:31" x14ac:dyDescent="0.2">
      <c r="B20" s="58" t="s">
        <v>220</v>
      </c>
      <c r="C20" s="56" t="s">
        <v>262</v>
      </c>
      <c r="D20" s="127"/>
      <c r="E20" s="127"/>
      <c r="F20" s="127"/>
      <c r="G20" s="129"/>
      <c r="H20" s="131"/>
      <c r="I20" s="68">
        <v>275</v>
      </c>
      <c r="J20" s="68" t="s">
        <v>204</v>
      </c>
      <c r="K20" s="133" t="s">
        <v>324</v>
      </c>
      <c r="O20" s="45"/>
      <c r="P20" s="47" t="s">
        <v>116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2:31" x14ac:dyDescent="0.2">
      <c r="B21" s="79" t="s">
        <v>221</v>
      </c>
      <c r="C21" s="56" t="s">
        <v>263</v>
      </c>
      <c r="D21" s="127"/>
      <c r="E21" s="127"/>
      <c r="F21" s="128"/>
      <c r="G21" s="68">
        <v>21</v>
      </c>
      <c r="H21" s="68" t="s">
        <v>204</v>
      </c>
      <c r="I21" s="68">
        <v>21</v>
      </c>
      <c r="J21" s="68" t="s">
        <v>204</v>
      </c>
      <c r="K21" s="133" t="s">
        <v>324</v>
      </c>
      <c r="O21" s="45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2:31" x14ac:dyDescent="0.2">
      <c r="B22" s="58" t="s">
        <v>222</v>
      </c>
      <c r="C22" s="56" t="s">
        <v>265</v>
      </c>
      <c r="D22" s="127"/>
      <c r="E22" s="127"/>
      <c r="F22" s="128"/>
      <c r="G22" s="68">
        <v>10</v>
      </c>
      <c r="H22" s="68" t="s">
        <v>29</v>
      </c>
      <c r="I22" s="68">
        <v>45</v>
      </c>
      <c r="J22" s="68" t="s">
        <v>29</v>
      </c>
      <c r="K22" s="133" t="s">
        <v>326</v>
      </c>
      <c r="O22" s="45"/>
      <c r="P22" s="82" t="s">
        <v>117</v>
      </c>
      <c r="Q22" s="84" t="s">
        <v>118</v>
      </c>
      <c r="R22" s="83"/>
      <c r="S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2:31" x14ac:dyDescent="0.2">
      <c r="B23" s="58" t="s">
        <v>223</v>
      </c>
      <c r="C23" s="56" t="s">
        <v>264</v>
      </c>
      <c r="D23" s="127"/>
      <c r="E23" s="127"/>
      <c r="F23" s="128"/>
      <c r="G23" s="68">
        <v>89</v>
      </c>
      <c r="H23" s="68" t="str">
        <f>IF(G16="Газ","м³/ч","кг/ч")</f>
        <v>м³/ч</v>
      </c>
      <c r="I23" s="68">
        <v>215</v>
      </c>
      <c r="J23" s="68" t="str">
        <f>IF(G16="Газ","м³/ч","кг/ч")</f>
        <v>м³/ч</v>
      </c>
      <c r="K23" s="133" t="s">
        <v>327</v>
      </c>
      <c r="O23" s="45"/>
      <c r="P23" s="82" t="s">
        <v>7</v>
      </c>
      <c r="Q23" s="84" t="s">
        <v>418</v>
      </c>
      <c r="R23" s="83"/>
      <c r="S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2:31" x14ac:dyDescent="0.2">
      <c r="B24" s="79" t="s">
        <v>236</v>
      </c>
      <c r="C24" s="56" t="s">
        <v>266</v>
      </c>
      <c r="D24" s="127"/>
      <c r="E24" s="127"/>
      <c r="F24" s="128"/>
      <c r="G24" s="68">
        <v>0.6</v>
      </c>
      <c r="H24" s="68" t="s">
        <v>204</v>
      </c>
      <c r="I24" s="68">
        <v>2.5</v>
      </c>
      <c r="J24" s="68" t="s">
        <v>204</v>
      </c>
      <c r="K24" s="133" t="s">
        <v>327</v>
      </c>
      <c r="O24" s="45"/>
      <c r="P24" s="82" t="s">
        <v>119</v>
      </c>
      <c r="Q24" s="84" t="s">
        <v>420</v>
      </c>
      <c r="R24" s="83"/>
      <c r="S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2:31" x14ac:dyDescent="0.2">
      <c r="B25" s="80" t="s">
        <v>224</v>
      </c>
      <c r="C25" s="56" t="s">
        <v>267</v>
      </c>
      <c r="D25" s="127"/>
      <c r="E25" s="127"/>
      <c r="F25" s="128"/>
      <c r="G25" s="68">
        <v>16</v>
      </c>
      <c r="H25" s="68" t="s">
        <v>29</v>
      </c>
      <c r="I25" s="68">
        <v>96</v>
      </c>
      <c r="J25" s="68" t="s">
        <v>29</v>
      </c>
      <c r="K25" s="133" t="s">
        <v>326</v>
      </c>
      <c r="O25" s="45"/>
      <c r="P25" s="82" t="s">
        <v>120</v>
      </c>
      <c r="Q25" s="84" t="s">
        <v>419</v>
      </c>
      <c r="R25" s="83"/>
      <c r="S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2:31" x14ac:dyDescent="0.2">
      <c r="B26" s="58" t="s">
        <v>307</v>
      </c>
      <c r="C26" s="56" t="s">
        <v>268</v>
      </c>
      <c r="D26" s="127"/>
      <c r="E26" s="127"/>
      <c r="F26" s="128"/>
      <c r="G26" s="68">
        <v>19</v>
      </c>
      <c r="H26" s="68" t="s">
        <v>205</v>
      </c>
      <c r="I26" s="68">
        <v>110</v>
      </c>
      <c r="J26" s="68" t="s">
        <v>205</v>
      </c>
      <c r="K26" s="133" t="s">
        <v>325</v>
      </c>
      <c r="O26" s="45"/>
      <c r="P26" s="82" t="s">
        <v>122</v>
      </c>
      <c r="Q26" s="84" t="s">
        <v>121</v>
      </c>
      <c r="R26" s="83"/>
      <c r="S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2:31" x14ac:dyDescent="0.2">
      <c r="B27" s="58" t="s">
        <v>308</v>
      </c>
      <c r="C27" s="56" t="s">
        <v>269</v>
      </c>
      <c r="D27" s="127"/>
      <c r="E27" s="127"/>
      <c r="F27" s="128"/>
      <c r="G27" s="68" t="s">
        <v>206</v>
      </c>
      <c r="H27" s="68" t="s">
        <v>28</v>
      </c>
      <c r="I27" s="68" t="s">
        <v>206</v>
      </c>
      <c r="J27" s="68" t="s">
        <v>28</v>
      </c>
      <c r="K27" s="133" t="s">
        <v>327</v>
      </c>
      <c r="O27" s="45"/>
      <c r="P27" s="82" t="s">
        <v>123</v>
      </c>
      <c r="Q27" s="84" t="s">
        <v>84</v>
      </c>
      <c r="R27" s="83"/>
      <c r="S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2:31" x14ac:dyDescent="0.2">
      <c r="B28" s="79" t="s">
        <v>309</v>
      </c>
      <c r="C28" s="56" t="s">
        <v>270</v>
      </c>
      <c r="D28" s="127"/>
      <c r="E28" s="127"/>
      <c r="F28" s="128"/>
      <c r="G28" s="68">
        <v>20</v>
      </c>
      <c r="H28" s="68" t="s">
        <v>28</v>
      </c>
      <c r="I28" s="68">
        <v>20</v>
      </c>
      <c r="J28" s="68" t="s">
        <v>28</v>
      </c>
      <c r="K28" s="133" t="s">
        <v>327</v>
      </c>
      <c r="O28" s="45"/>
      <c r="P28" s="82" t="s">
        <v>78</v>
      </c>
      <c r="Q28" s="84" t="s">
        <v>124</v>
      </c>
      <c r="R28" s="83"/>
      <c r="S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2:31" x14ac:dyDescent="0.2">
      <c r="B29" s="58" t="s">
        <v>310</v>
      </c>
      <c r="C29" s="122" t="s">
        <v>271</v>
      </c>
      <c r="D29" s="127"/>
      <c r="E29" s="127"/>
      <c r="F29" s="127"/>
      <c r="G29" s="130"/>
      <c r="H29" s="130"/>
      <c r="I29" s="130"/>
      <c r="J29" s="208"/>
      <c r="K29" s="209"/>
      <c r="O29" s="45"/>
      <c r="P29" s="82" t="s">
        <v>125</v>
      </c>
      <c r="Q29" s="84" t="s">
        <v>126</v>
      </c>
      <c r="R29" s="83"/>
      <c r="S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2:31" x14ac:dyDescent="0.2">
      <c r="B30" s="58" t="s">
        <v>225</v>
      </c>
      <c r="C30" s="56" t="s">
        <v>272</v>
      </c>
      <c r="D30" s="127"/>
      <c r="E30" s="127"/>
      <c r="F30" s="127"/>
      <c r="G30" s="68">
        <v>110</v>
      </c>
      <c r="H30" s="68" t="s">
        <v>28</v>
      </c>
      <c r="I30" s="68">
        <v>160</v>
      </c>
      <c r="J30" s="68" t="s">
        <v>28</v>
      </c>
      <c r="K30" s="133" t="s">
        <v>327</v>
      </c>
      <c r="O30" s="45"/>
      <c r="P30" s="82" t="s">
        <v>127</v>
      </c>
      <c r="Q30" s="84" t="s">
        <v>128</v>
      </c>
      <c r="R30" s="83"/>
      <c r="S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2:31" x14ac:dyDescent="0.2">
      <c r="B31" s="58" t="s">
        <v>226</v>
      </c>
      <c r="C31" s="56" t="s">
        <v>273</v>
      </c>
      <c r="D31" s="127"/>
      <c r="E31" s="127"/>
      <c r="F31" s="128"/>
      <c r="G31" s="68">
        <v>4</v>
      </c>
      <c r="H31" s="134" t="s">
        <v>29</v>
      </c>
      <c r="I31" s="68">
        <v>3</v>
      </c>
      <c r="J31" s="134" t="s">
        <v>29</v>
      </c>
      <c r="K31" s="133" t="s">
        <v>325</v>
      </c>
      <c r="O31" s="45"/>
      <c r="S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2:31" x14ac:dyDescent="0.2">
      <c r="B32" s="58" t="s">
        <v>227</v>
      </c>
      <c r="C32" s="56" t="str">
        <f>IF(G16="Мазут","Углекислый газ (RO₂):","Углекислый газ (CO₂):")</f>
        <v>Углекислый газ (CO₂):</v>
      </c>
      <c r="D32" s="127"/>
      <c r="E32" s="127"/>
      <c r="F32" s="128"/>
      <c r="G32" s="68">
        <v>9</v>
      </c>
      <c r="H32" s="68" t="s">
        <v>29</v>
      </c>
      <c r="I32" s="68">
        <v>9</v>
      </c>
      <c r="J32" s="68" t="s">
        <v>29</v>
      </c>
      <c r="K32" s="133" t="s">
        <v>325</v>
      </c>
      <c r="O32" s="45"/>
      <c r="P32" s="47" t="s">
        <v>129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2:31" x14ac:dyDescent="0.2">
      <c r="B33" s="58" t="s">
        <v>228</v>
      </c>
      <c r="C33" s="56" t="str">
        <f>IF(G16="Мазут","Суммарные оксиды (RO₂):","Оксиды серы (SO₂):")</f>
        <v>Оксиды серы (SO₂):</v>
      </c>
      <c r="D33" s="127"/>
      <c r="E33" s="127"/>
      <c r="F33" s="128"/>
      <c r="G33" s="68" t="s">
        <v>206</v>
      </c>
      <c r="H33" s="68" t="s">
        <v>29</v>
      </c>
      <c r="I33" s="68" t="s">
        <v>206</v>
      </c>
      <c r="J33" s="68" t="s">
        <v>29</v>
      </c>
      <c r="K33" s="133" t="s">
        <v>325</v>
      </c>
      <c r="O33" s="45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2:31" x14ac:dyDescent="0.2">
      <c r="B34" s="58" t="s">
        <v>229</v>
      </c>
      <c r="C34" s="56" t="s">
        <v>274</v>
      </c>
      <c r="D34" s="127"/>
      <c r="E34" s="127"/>
      <c r="F34" s="128"/>
      <c r="G34" s="68">
        <v>0</v>
      </c>
      <c r="H34" s="68" t="s">
        <v>30</v>
      </c>
      <c r="I34" s="68">
        <v>0</v>
      </c>
      <c r="J34" s="68" t="s">
        <v>30</v>
      </c>
      <c r="K34" s="133" t="s">
        <v>325</v>
      </c>
      <c r="O34" s="45"/>
      <c r="P34" s="82" t="s">
        <v>130</v>
      </c>
      <c r="Q34" s="83" t="s">
        <v>131</v>
      </c>
      <c r="R34" s="86" t="s">
        <v>132</v>
      </c>
      <c r="S34" s="8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2:31" x14ac:dyDescent="0.2">
      <c r="B35" s="80" t="s">
        <v>231</v>
      </c>
      <c r="C35" s="56" t="s">
        <v>275</v>
      </c>
      <c r="D35" s="127"/>
      <c r="E35" s="127"/>
      <c r="F35" s="128"/>
      <c r="G35" s="68">
        <v>35</v>
      </c>
      <c r="H35" s="135" t="s">
        <v>30</v>
      </c>
      <c r="I35" s="136">
        <v>150</v>
      </c>
      <c r="J35" s="135" t="s">
        <v>30</v>
      </c>
      <c r="K35" s="133" t="s">
        <v>325</v>
      </c>
      <c r="O35" s="45"/>
      <c r="P35" s="82" t="s">
        <v>67</v>
      </c>
      <c r="Q35" s="83" t="s">
        <v>133</v>
      </c>
      <c r="R35" s="86" t="s">
        <v>134</v>
      </c>
      <c r="S35" s="8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2:31" x14ac:dyDescent="0.2">
      <c r="B36" s="58" t="s">
        <v>232</v>
      </c>
      <c r="C36" s="56" t="s">
        <v>276</v>
      </c>
      <c r="D36" s="127"/>
      <c r="E36" s="127"/>
      <c r="F36" s="128"/>
      <c r="G36" s="157">
        <v>1.3</v>
      </c>
      <c r="H36" s="159"/>
      <c r="I36" s="210">
        <v>1.1000000000000001</v>
      </c>
      <c r="J36" s="211"/>
      <c r="K36" s="133" t="s">
        <v>324</v>
      </c>
      <c r="O36" s="45" t="s">
        <v>297</v>
      </c>
      <c r="P36" s="82" t="s">
        <v>68</v>
      </c>
      <c r="Q36" s="83" t="s">
        <v>135</v>
      </c>
      <c r="R36" s="86" t="s">
        <v>136</v>
      </c>
      <c r="S36" s="8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2:31" x14ac:dyDescent="0.2">
      <c r="B37" s="58" t="s">
        <v>311</v>
      </c>
      <c r="C37" s="122" t="s">
        <v>277</v>
      </c>
      <c r="D37" s="127"/>
      <c r="E37" s="127"/>
      <c r="F37" s="127"/>
      <c r="G37" s="130"/>
      <c r="H37" s="130"/>
      <c r="I37" s="130"/>
      <c r="J37" s="208"/>
      <c r="K37" s="209"/>
      <c r="O37" s="45"/>
      <c r="P37" s="82" t="s">
        <v>69</v>
      </c>
      <c r="Q37" s="83" t="s">
        <v>137</v>
      </c>
      <c r="R37" s="86" t="s">
        <v>138</v>
      </c>
      <c r="S37" s="8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2:31" x14ac:dyDescent="0.2">
      <c r="B38" s="58" t="s">
        <v>312</v>
      </c>
      <c r="C38" s="56" t="s">
        <v>278</v>
      </c>
      <c r="D38" s="127"/>
      <c r="E38" s="127"/>
      <c r="F38" s="128"/>
      <c r="G38" s="68">
        <v>59</v>
      </c>
      <c r="H38" s="68" t="s">
        <v>28</v>
      </c>
      <c r="I38" s="68">
        <v>59</v>
      </c>
      <c r="J38" s="68" t="s">
        <v>28</v>
      </c>
      <c r="K38" s="133" t="s">
        <v>327</v>
      </c>
      <c r="O38" s="45"/>
      <c r="P38" s="82" t="s">
        <v>70</v>
      </c>
      <c r="Q38" s="83" t="s">
        <v>139</v>
      </c>
      <c r="R38" s="86" t="s">
        <v>140</v>
      </c>
      <c r="S38" s="8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2:31" x14ac:dyDescent="0.2">
      <c r="B39" s="58" t="s">
        <v>313</v>
      </c>
      <c r="C39" s="56" t="s">
        <v>279</v>
      </c>
      <c r="D39" s="127"/>
      <c r="E39" s="127"/>
      <c r="F39" s="128"/>
      <c r="G39" s="68">
        <v>68</v>
      </c>
      <c r="H39" s="68" t="s">
        <v>28</v>
      </c>
      <c r="I39" s="68">
        <v>80</v>
      </c>
      <c r="J39" s="68" t="s">
        <v>28</v>
      </c>
      <c r="K39" s="133" t="s">
        <v>327</v>
      </c>
      <c r="O39" s="45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2:31" x14ac:dyDescent="0.2">
      <c r="B40" s="58" t="s">
        <v>314</v>
      </c>
      <c r="C40" s="56" t="s">
        <v>280</v>
      </c>
      <c r="D40" s="127"/>
      <c r="E40" s="127"/>
      <c r="F40" s="128"/>
      <c r="G40" s="68">
        <f>G39-G38</f>
        <v>9</v>
      </c>
      <c r="H40" s="68" t="s">
        <v>28</v>
      </c>
      <c r="I40" s="68">
        <f>I39-I38</f>
        <v>21</v>
      </c>
      <c r="J40" s="68" t="s">
        <v>28</v>
      </c>
      <c r="K40" s="133" t="s">
        <v>327</v>
      </c>
      <c r="O40" s="45" t="s">
        <v>294</v>
      </c>
      <c r="P40" s="47" t="s">
        <v>141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2:31" ht="12.75" customHeight="1" x14ac:dyDescent="0.2">
      <c r="B41" s="58" t="s">
        <v>315</v>
      </c>
      <c r="C41" s="56" t="s">
        <v>282</v>
      </c>
      <c r="D41" s="127"/>
      <c r="E41" s="127"/>
      <c r="F41" s="128"/>
      <c r="G41" s="68">
        <v>5</v>
      </c>
      <c r="H41" s="68" t="s">
        <v>261</v>
      </c>
      <c r="I41" s="68">
        <v>5</v>
      </c>
      <c r="J41" s="68" t="s">
        <v>261</v>
      </c>
      <c r="K41" s="133" t="s">
        <v>325</v>
      </c>
      <c r="O41" s="45"/>
      <c r="P41" s="47" t="s">
        <v>142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2:31" ht="12.75" customHeight="1" x14ac:dyDescent="0.2">
      <c r="B42" s="58" t="s">
        <v>316</v>
      </c>
      <c r="C42" s="56" t="s">
        <v>283</v>
      </c>
      <c r="D42" s="127"/>
      <c r="E42" s="127"/>
      <c r="F42" s="128"/>
      <c r="G42" s="68">
        <v>4</v>
      </c>
      <c r="H42" s="68" t="s">
        <v>261</v>
      </c>
      <c r="I42" s="68">
        <v>4</v>
      </c>
      <c r="J42" s="68" t="s">
        <v>261</v>
      </c>
      <c r="K42" s="133" t="s">
        <v>325</v>
      </c>
      <c r="O42" s="45"/>
      <c r="P42" s="47" t="s">
        <v>143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2:31" ht="12.75" customHeight="1" x14ac:dyDescent="0.2">
      <c r="B43" s="81" t="s">
        <v>317</v>
      </c>
      <c r="C43" s="56" t="s">
        <v>284</v>
      </c>
      <c r="D43" s="127"/>
      <c r="E43" s="127"/>
      <c r="F43" s="128"/>
      <c r="G43" s="68">
        <f>G41-G42</f>
        <v>1</v>
      </c>
      <c r="H43" s="68" t="s">
        <v>261</v>
      </c>
      <c r="I43" s="68">
        <f>I41-I42</f>
        <v>1</v>
      </c>
      <c r="J43" s="68" t="s">
        <v>261</v>
      </c>
      <c r="K43" s="133" t="s">
        <v>325</v>
      </c>
      <c r="O43" s="45"/>
      <c r="P43" s="47" t="s">
        <v>144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2:31" ht="12.75" customHeight="1" x14ac:dyDescent="0.2">
      <c r="B44" s="58" t="s">
        <v>318</v>
      </c>
      <c r="C44" s="56" t="s">
        <v>286</v>
      </c>
      <c r="D44" s="127"/>
      <c r="E44" s="127"/>
      <c r="F44" s="128"/>
      <c r="G44" s="68">
        <v>78</v>
      </c>
      <c r="H44" s="68" t="s">
        <v>230</v>
      </c>
      <c r="I44" s="68">
        <v>78</v>
      </c>
      <c r="J44" s="68" t="s">
        <v>230</v>
      </c>
      <c r="K44" s="133" t="s">
        <v>327</v>
      </c>
      <c r="O44" s="45"/>
      <c r="P44" s="47" t="s">
        <v>145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2:31" x14ac:dyDescent="0.2">
      <c r="B45" s="58" t="s">
        <v>319</v>
      </c>
      <c r="C45" s="122" t="s">
        <v>285</v>
      </c>
      <c r="D45" s="127"/>
      <c r="E45" s="127"/>
      <c r="F45" s="127"/>
      <c r="G45" s="127"/>
      <c r="H45" s="127"/>
      <c r="I45" s="127"/>
      <c r="J45" s="184"/>
      <c r="K45" s="185"/>
      <c r="O45" s="45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2:31" x14ac:dyDescent="0.2">
      <c r="B46" s="163" t="s">
        <v>320</v>
      </c>
      <c r="C46" s="165" t="s">
        <v>287</v>
      </c>
      <c r="D46" s="166"/>
      <c r="E46" s="166"/>
      <c r="F46" s="167"/>
      <c r="G46" s="59">
        <f>(G44*G40)/1000*1.163</f>
        <v>0.81642599999999999</v>
      </c>
      <c r="H46" s="58" t="s">
        <v>203</v>
      </c>
      <c r="I46" s="59">
        <f>(I44*I40)/1000*1.163</f>
        <v>1.9049939999999999</v>
      </c>
      <c r="J46" s="58" t="s">
        <v>203</v>
      </c>
      <c r="K46" s="78"/>
      <c r="O46" s="45"/>
      <c r="P46" s="47" t="s">
        <v>290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2:31" x14ac:dyDescent="0.2">
      <c r="B47" s="164"/>
      <c r="C47" s="168"/>
      <c r="D47" s="169"/>
      <c r="E47" s="169"/>
      <c r="F47" s="170"/>
      <c r="G47" s="61">
        <f>(G44*G40)/1000</f>
        <v>0.70199999999999996</v>
      </c>
      <c r="H47" s="58" t="s">
        <v>202</v>
      </c>
      <c r="I47" s="61">
        <f>(I44*I40)/1000</f>
        <v>1.6379999999999999</v>
      </c>
      <c r="J47" s="58" t="s">
        <v>202</v>
      </c>
      <c r="K47" s="78"/>
      <c r="O47" s="45"/>
      <c r="P47" s="47" t="s">
        <v>296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2:31" x14ac:dyDescent="0.2">
      <c r="B48" s="58" t="s">
        <v>321</v>
      </c>
      <c r="C48" s="56" t="s">
        <v>288</v>
      </c>
      <c r="D48" s="127"/>
      <c r="E48" s="127"/>
      <c r="F48" s="128"/>
      <c r="G48" s="61">
        <f>G46/G12*100</f>
        <v>32.657039999999995</v>
      </c>
      <c r="H48" s="125" t="s">
        <v>29</v>
      </c>
      <c r="I48" s="61">
        <f>I46/G13*100</f>
        <v>88.620320880000008</v>
      </c>
      <c r="J48" s="125" t="s">
        <v>29</v>
      </c>
      <c r="K48" s="78"/>
      <c r="O48" s="45"/>
      <c r="P48" s="47" t="s">
        <v>291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2:31" x14ac:dyDescent="0.2">
      <c r="B49" s="58" t="s">
        <v>322</v>
      </c>
      <c r="C49" s="56" t="s">
        <v>292</v>
      </c>
      <c r="D49" s="127"/>
      <c r="E49" s="127"/>
      <c r="F49" s="128"/>
      <c r="G49" s="61">
        <f>(G44*1000*G40)/(G23*G18)*100</f>
        <v>97.294195749823643</v>
      </c>
      <c r="H49" s="125" t="s">
        <v>29</v>
      </c>
      <c r="I49" s="61">
        <f>(I44*1000*I40)/(I23*G18)*100</f>
        <v>93.975634034325779</v>
      </c>
      <c r="J49" s="125" t="s">
        <v>29</v>
      </c>
      <c r="K49" s="78"/>
      <c r="O49" s="45" t="s">
        <v>293</v>
      </c>
      <c r="P49" s="47" t="s">
        <v>299</v>
      </c>
      <c r="V49" s="47"/>
      <c r="W49" s="47"/>
      <c r="X49" s="47"/>
      <c r="Y49" s="47" t="s">
        <v>300</v>
      </c>
      <c r="Z49" s="47"/>
      <c r="AA49" s="47"/>
      <c r="AB49" s="47"/>
      <c r="AC49" s="47"/>
      <c r="AD49" s="47"/>
      <c r="AE49" s="47"/>
    </row>
    <row r="50" spans="2:31" x14ac:dyDescent="0.2">
      <c r="B50" s="58" t="s">
        <v>323</v>
      </c>
      <c r="C50" s="56" t="s">
        <v>298</v>
      </c>
      <c r="D50" s="127"/>
      <c r="E50" s="127"/>
      <c r="F50" s="128"/>
      <c r="G50" s="61">
        <f>(142.86*100)/G49</f>
        <v>146.83301393162395</v>
      </c>
      <c r="H50" s="67" t="s">
        <v>211</v>
      </c>
      <c r="I50" s="61">
        <f>(142.86*100)/I49</f>
        <v>152.0181283882784</v>
      </c>
      <c r="J50" s="67" t="s">
        <v>211</v>
      </c>
      <c r="K50" s="78"/>
      <c r="O50" s="45" t="s">
        <v>295</v>
      </c>
      <c r="P50" s="47" t="s">
        <v>289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2:31" ht="3.75" customHeight="1" x14ac:dyDescent="0.2">
      <c r="C51" s="52"/>
      <c r="D51" s="52"/>
      <c r="E51" s="52"/>
      <c r="F51" s="52"/>
      <c r="G51" s="52"/>
      <c r="H51" s="52"/>
      <c r="I51" s="52"/>
      <c r="J51" s="52"/>
      <c r="K51" s="52"/>
      <c r="O51" s="45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2:31" x14ac:dyDescent="0.2">
      <c r="B52" s="51" t="s">
        <v>469</v>
      </c>
      <c r="D52" s="51"/>
      <c r="E52" s="62"/>
      <c r="F52" s="50"/>
      <c r="G52" s="51"/>
      <c r="H52" s="51" t="s">
        <v>207</v>
      </c>
      <c r="J52" s="50"/>
      <c r="K52" s="52"/>
      <c r="O52" s="45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2:31" x14ac:dyDescent="0.2">
      <c r="B53" s="63" t="s">
        <v>467</v>
      </c>
      <c r="D53" s="51"/>
      <c r="E53" s="51"/>
      <c r="F53" s="50"/>
      <c r="G53" s="51"/>
      <c r="H53" s="51" t="s">
        <v>214</v>
      </c>
      <c r="J53" s="50"/>
      <c r="K53" s="52"/>
      <c r="O53" s="45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2:31" x14ac:dyDescent="0.2">
      <c r="B54" s="51" t="s">
        <v>468</v>
      </c>
      <c r="D54" s="62" t="s">
        <v>331</v>
      </c>
      <c r="F54" s="50"/>
      <c r="G54" s="51"/>
      <c r="H54" s="51" t="s">
        <v>331</v>
      </c>
      <c r="J54" s="50"/>
      <c r="K54" s="52"/>
      <c r="O54" s="45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2:31" x14ac:dyDescent="0.2">
      <c r="C55" s="51"/>
      <c r="D55" s="52"/>
      <c r="E55" s="52"/>
      <c r="F55" s="52"/>
      <c r="G55" s="52"/>
      <c r="H55" s="51"/>
      <c r="J55" s="52"/>
      <c r="K55" s="52"/>
      <c r="O55" s="45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2:31" x14ac:dyDescent="0.2">
      <c r="C56" s="52"/>
      <c r="D56" s="52"/>
      <c r="E56" s="52"/>
      <c r="F56" s="52"/>
      <c r="G56" s="52"/>
      <c r="H56" s="52"/>
      <c r="I56" s="52"/>
      <c r="J56" s="52"/>
      <c r="K56" s="52"/>
      <c r="O56" s="45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2:31" x14ac:dyDescent="0.2">
      <c r="B57" s="51"/>
      <c r="C57" s="34"/>
      <c r="D57" s="34"/>
      <c r="E57" s="34"/>
      <c r="F57" s="34"/>
      <c r="G57" s="42"/>
      <c r="I57" s="37" t="s">
        <v>197</v>
      </c>
      <c r="J57" s="42"/>
    </row>
    <row r="58" spans="2:31" ht="25.5" customHeight="1" x14ac:dyDescent="0.2">
      <c r="B58" s="51"/>
      <c r="C58" s="43"/>
      <c r="D58" s="43"/>
      <c r="E58" s="43"/>
      <c r="F58" s="34"/>
      <c r="G58" s="42"/>
      <c r="I58" s="177" t="s">
        <v>417</v>
      </c>
      <c r="J58" s="177"/>
      <c r="K58" s="177"/>
    </row>
    <row r="59" spans="2:31" x14ac:dyDescent="0.2">
      <c r="B59" s="51"/>
      <c r="C59" s="43"/>
      <c r="D59" s="43"/>
      <c r="E59" s="43"/>
      <c r="F59" s="34"/>
      <c r="G59" s="42"/>
      <c r="I59" s="37" t="s">
        <v>198</v>
      </c>
      <c r="J59" s="42"/>
    </row>
    <row r="60" spans="2:31" x14ac:dyDescent="0.2">
      <c r="B60" s="51"/>
      <c r="C60" s="126"/>
      <c r="D60" s="126"/>
      <c r="E60" s="126"/>
      <c r="F60" s="126"/>
      <c r="G60" s="50"/>
      <c r="I60" s="51" t="s">
        <v>199</v>
      </c>
      <c r="J60" s="50"/>
      <c r="K60" s="52"/>
    </row>
    <row r="61" spans="2:31" x14ac:dyDescent="0.2">
      <c r="B61" s="51"/>
      <c r="C61" s="126"/>
      <c r="D61" s="126"/>
      <c r="E61" s="126"/>
      <c r="F61" s="126"/>
      <c r="G61" s="51"/>
      <c r="I61" s="51" t="s">
        <v>200</v>
      </c>
      <c r="J61" s="51"/>
      <c r="K61" s="52"/>
    </row>
    <row r="62" spans="2:31" x14ac:dyDescent="0.2">
      <c r="B62" s="51"/>
      <c r="C62" s="126"/>
      <c r="D62" s="126"/>
      <c r="E62" s="126"/>
      <c r="F62" s="126"/>
      <c r="G62" s="52"/>
      <c r="I62" s="51" t="s">
        <v>466</v>
      </c>
      <c r="J62" s="50"/>
      <c r="K62" s="52"/>
    </row>
    <row r="63" spans="2:31" x14ac:dyDescent="0.2">
      <c r="B63" s="51"/>
      <c r="C63" s="178" t="s">
        <v>330</v>
      </c>
      <c r="D63" s="178"/>
      <c r="E63" s="178"/>
      <c r="F63" s="178"/>
      <c r="G63" s="178"/>
      <c r="H63" s="178"/>
      <c r="I63" s="178"/>
      <c r="J63" s="178"/>
      <c r="K63" s="52"/>
    </row>
    <row r="64" spans="2:31" ht="27.75" customHeight="1" x14ac:dyDescent="0.2">
      <c r="B64" s="77" t="s">
        <v>302</v>
      </c>
      <c r="C64" s="122" t="s">
        <v>213</v>
      </c>
      <c r="D64" s="60"/>
      <c r="E64" s="60"/>
      <c r="F64" s="123"/>
      <c r="G64" s="122" t="s">
        <v>329</v>
      </c>
      <c r="H64" s="60"/>
      <c r="I64" s="179" t="s">
        <v>328</v>
      </c>
      <c r="J64" s="180"/>
      <c r="K64" s="181"/>
      <c r="P64" s="47" t="s">
        <v>359</v>
      </c>
    </row>
    <row r="65" spans="2:20" x14ac:dyDescent="0.2">
      <c r="B65" s="79" t="s">
        <v>304</v>
      </c>
      <c r="C65" s="122" t="s">
        <v>247</v>
      </c>
      <c r="D65" s="127"/>
      <c r="E65" s="127"/>
      <c r="F65" s="127"/>
      <c r="G65" s="127"/>
      <c r="H65" s="127"/>
      <c r="I65" s="127"/>
      <c r="J65" s="182"/>
      <c r="K65" s="183"/>
      <c r="P65" s="82" t="s">
        <v>130</v>
      </c>
      <c r="Q65" s="83" t="s">
        <v>117</v>
      </c>
      <c r="R65" s="84" t="s">
        <v>360</v>
      </c>
      <c r="S65" s="84" t="s">
        <v>361</v>
      </c>
      <c r="T65" s="82" t="s">
        <v>328</v>
      </c>
    </row>
    <row r="66" spans="2:20" x14ac:dyDescent="0.2">
      <c r="B66" s="79" t="s">
        <v>215</v>
      </c>
      <c r="C66" s="53" t="s">
        <v>248</v>
      </c>
      <c r="D66" s="54"/>
      <c r="E66" s="54"/>
      <c r="F66" s="55"/>
      <c r="G66" s="157" t="str">
        <f t="shared" ref="G66:G72" si="0">G10</f>
        <v>№3</v>
      </c>
      <c r="H66" s="158"/>
      <c r="I66" s="158"/>
      <c r="J66" s="158"/>
      <c r="K66" s="159"/>
      <c r="P66" s="82" t="s">
        <v>239</v>
      </c>
      <c r="Q66" s="83" t="s">
        <v>362</v>
      </c>
      <c r="R66" s="84" t="s">
        <v>363</v>
      </c>
      <c r="S66" s="84" t="s">
        <v>364</v>
      </c>
      <c r="T66" s="82" t="s">
        <v>333</v>
      </c>
    </row>
    <row r="67" spans="2:20" x14ac:dyDescent="0.2">
      <c r="B67" s="58" t="s">
        <v>216</v>
      </c>
      <c r="C67" s="56" t="s">
        <v>249</v>
      </c>
      <c r="D67" s="127"/>
      <c r="E67" s="127"/>
      <c r="F67" s="128"/>
      <c r="G67" s="157" t="str">
        <f t="shared" si="0"/>
        <v>КВГМ</v>
      </c>
      <c r="H67" s="158"/>
      <c r="I67" s="158"/>
      <c r="J67" s="158"/>
      <c r="K67" s="159"/>
      <c r="P67" s="82"/>
      <c r="Q67" s="83" t="s">
        <v>365</v>
      </c>
      <c r="R67" s="84" t="s">
        <v>366</v>
      </c>
      <c r="S67" s="84" t="s">
        <v>367</v>
      </c>
      <c r="T67" s="82" t="s">
        <v>333</v>
      </c>
    </row>
    <row r="68" spans="2:20" x14ac:dyDescent="0.2">
      <c r="B68" s="163" t="s">
        <v>217</v>
      </c>
      <c r="C68" s="165" t="s">
        <v>250</v>
      </c>
      <c r="D68" s="166"/>
      <c r="E68" s="166"/>
      <c r="F68" s="167"/>
      <c r="G68" s="68">
        <f t="shared" si="0"/>
        <v>2.5</v>
      </c>
      <c r="H68" s="68" t="s">
        <v>203</v>
      </c>
      <c r="I68" s="171"/>
      <c r="J68" s="172"/>
      <c r="K68" s="173"/>
      <c r="P68" s="82" t="s">
        <v>68</v>
      </c>
      <c r="Q68" s="83" t="s">
        <v>362</v>
      </c>
      <c r="R68" s="84" t="s">
        <v>368</v>
      </c>
      <c r="S68" s="84" t="s">
        <v>369</v>
      </c>
      <c r="T68" s="82" t="s">
        <v>333</v>
      </c>
    </row>
    <row r="69" spans="2:20" x14ac:dyDescent="0.2">
      <c r="B69" s="164"/>
      <c r="C69" s="168"/>
      <c r="D69" s="169"/>
      <c r="E69" s="169"/>
      <c r="F69" s="170"/>
      <c r="G69" s="88">
        <f>G13</f>
        <v>2.1496130696474633</v>
      </c>
      <c r="H69" s="68" t="s">
        <v>202</v>
      </c>
      <c r="I69" s="174"/>
      <c r="J69" s="175"/>
      <c r="K69" s="176"/>
      <c r="P69" s="82"/>
      <c r="Q69" s="83" t="s">
        <v>365</v>
      </c>
      <c r="R69" s="84" t="s">
        <v>370</v>
      </c>
      <c r="S69" s="84" t="s">
        <v>371</v>
      </c>
      <c r="T69" s="82" t="s">
        <v>333</v>
      </c>
    </row>
    <row r="70" spans="2:20" x14ac:dyDescent="0.2">
      <c r="B70" s="79" t="s">
        <v>305</v>
      </c>
      <c r="C70" s="56" t="s">
        <v>251</v>
      </c>
      <c r="D70" s="127"/>
      <c r="E70" s="127"/>
      <c r="F70" s="128"/>
      <c r="G70" s="157" t="str">
        <f t="shared" si="0"/>
        <v>д. Вындин Остров ул.Школьная д.33</v>
      </c>
      <c r="H70" s="158"/>
      <c r="I70" s="158"/>
      <c r="J70" s="158"/>
      <c r="K70" s="159"/>
      <c r="P70" s="82" t="s">
        <v>240</v>
      </c>
      <c r="Q70" s="83" t="s">
        <v>362</v>
      </c>
      <c r="R70" s="84" t="s">
        <v>372</v>
      </c>
      <c r="S70" s="84" t="s">
        <v>373</v>
      </c>
      <c r="T70" s="82" t="s">
        <v>333</v>
      </c>
    </row>
    <row r="71" spans="2:20" x14ac:dyDescent="0.2">
      <c r="B71" s="58" t="s">
        <v>238</v>
      </c>
      <c r="C71" s="56" t="s">
        <v>252</v>
      </c>
      <c r="D71" s="127"/>
      <c r="E71" s="127"/>
      <c r="F71" s="128"/>
      <c r="G71" s="157" t="str">
        <f t="shared" si="0"/>
        <v>R92А  CIB UNIGAS BURNESS</v>
      </c>
      <c r="H71" s="158"/>
      <c r="I71" s="158"/>
      <c r="J71" s="158"/>
      <c r="K71" s="159"/>
      <c r="P71" s="82"/>
      <c r="Q71" s="83" t="s">
        <v>365</v>
      </c>
      <c r="R71" s="84" t="s">
        <v>374</v>
      </c>
      <c r="S71" s="84" t="s">
        <v>375</v>
      </c>
      <c r="T71" s="82" t="s">
        <v>333</v>
      </c>
    </row>
    <row r="72" spans="2:20" x14ac:dyDescent="0.2">
      <c r="B72" s="58" t="s">
        <v>306</v>
      </c>
      <c r="C72" s="56" t="s">
        <v>253</v>
      </c>
      <c r="D72" s="127"/>
      <c r="E72" s="127"/>
      <c r="F72" s="128"/>
      <c r="G72" s="157" t="str">
        <f t="shared" si="0"/>
        <v>Газ</v>
      </c>
      <c r="H72" s="158"/>
      <c r="I72" s="158"/>
      <c r="J72" s="158"/>
      <c r="K72" s="159"/>
      <c r="P72" s="82" t="s">
        <v>69</v>
      </c>
      <c r="Q72" s="83" t="s">
        <v>376</v>
      </c>
      <c r="R72" s="84" t="s">
        <v>377</v>
      </c>
      <c r="S72" s="84" t="s">
        <v>377</v>
      </c>
      <c r="T72" s="82" t="s">
        <v>377</v>
      </c>
    </row>
    <row r="73" spans="2:20" x14ac:dyDescent="0.2">
      <c r="B73" s="79" t="s">
        <v>237</v>
      </c>
      <c r="C73" s="41" t="str">
        <f>'Данные для УРК'!I2</f>
        <v>ДАВЛЕНИЕ ТОПЛИВА</v>
      </c>
      <c r="D73" s="38"/>
      <c r="E73" s="38"/>
      <c r="F73" s="38"/>
      <c r="G73" s="38"/>
      <c r="H73" s="38"/>
      <c r="I73" s="38"/>
      <c r="J73" s="38"/>
      <c r="K73" s="39"/>
    </row>
    <row r="74" spans="2:20" ht="24.75" customHeight="1" x14ac:dyDescent="0.2">
      <c r="B74" s="58" t="s">
        <v>218</v>
      </c>
      <c r="C74" s="160" t="str">
        <f>'Данные для УРК'!I3</f>
        <v>Понижение давления перед клапанами/горелкой</v>
      </c>
      <c r="D74" s="161"/>
      <c r="E74" s="161"/>
      <c r="F74" s="162"/>
      <c r="G74" s="36">
        <f>IF($G$16="Газ",'Данные для УРК'!K3,IF($G$16="Мазут",'Данные для УРК'!L3,IF($G$16="Уголь",'Данные для УРК'!M3,IF($G$16="Дизель",'Данные для УРК'!N3))))</f>
        <v>0.01</v>
      </c>
      <c r="H74" s="36" t="str">
        <f>'Данные для УРК'!J3</f>
        <v>бар</v>
      </c>
      <c r="I74" s="40" t="str">
        <f>'Данные для УРК'!O3</f>
        <v>Без выдержки</v>
      </c>
      <c r="J74" s="38"/>
      <c r="K74" s="39"/>
      <c r="P74" s="47" t="s">
        <v>378</v>
      </c>
    </row>
    <row r="75" spans="2:20" x14ac:dyDescent="0.2">
      <c r="B75" s="58" t="s">
        <v>219</v>
      </c>
      <c r="C75" s="40" t="str">
        <f>'Данные для УРК'!I4</f>
        <v>Повышение давления перед горелкой</v>
      </c>
      <c r="D75" s="127"/>
      <c r="E75" s="127"/>
      <c r="F75" s="128"/>
      <c r="G75" s="36">
        <f>IF($G$16="Газ",'Данные для УРК'!K4,IF($G$16="Мазут",'Данные для УРК'!L4,IF($G$16="Уголь",'Данные для УРК'!M4,IF($G$16="Дизель",'Данные для УРК'!N4))))</f>
        <v>1</v>
      </c>
      <c r="H75" s="36" t="str">
        <f>'Данные для УРК'!J4</f>
        <v>бар</v>
      </c>
      <c r="I75" s="40" t="str">
        <f>'Данные для УРК'!O4</f>
        <v>Без выдержки</v>
      </c>
      <c r="J75" s="38"/>
      <c r="K75" s="39"/>
      <c r="P75" s="82" t="s">
        <v>130</v>
      </c>
      <c r="Q75" s="83" t="s">
        <v>117</v>
      </c>
      <c r="R75" s="84" t="s">
        <v>360</v>
      </c>
      <c r="S75" s="84" t="s">
        <v>361</v>
      </c>
      <c r="T75" s="82" t="s">
        <v>328</v>
      </c>
    </row>
    <row r="76" spans="2:20" x14ac:dyDescent="0.2">
      <c r="B76" s="79" t="s">
        <v>310</v>
      </c>
      <c r="C76" s="41" t="str">
        <f>'Данные для УРК'!I5</f>
        <v>ВОЗДУХ/ТЯГА</v>
      </c>
      <c r="D76" s="38"/>
      <c r="E76" s="38"/>
      <c r="F76" s="38"/>
      <c r="G76" s="38"/>
      <c r="H76" s="38"/>
      <c r="I76" s="38"/>
      <c r="J76" s="38"/>
      <c r="K76" s="39"/>
      <c r="P76" s="82" t="s">
        <v>379</v>
      </c>
      <c r="Q76" s="83" t="s">
        <v>233</v>
      </c>
      <c r="R76" s="84" t="s">
        <v>380</v>
      </c>
      <c r="S76" s="84" t="s">
        <v>381</v>
      </c>
      <c r="T76" s="82" t="s">
        <v>333</v>
      </c>
    </row>
    <row r="77" spans="2:20" ht="24" customHeight="1" x14ac:dyDescent="0.2">
      <c r="B77" s="58" t="s">
        <v>225</v>
      </c>
      <c r="C77" s="160" t="str">
        <f>'Данные для УРК'!I6</f>
        <v>Понижение давления воздуха перед горелкой</v>
      </c>
      <c r="D77" s="161"/>
      <c r="E77" s="161"/>
      <c r="F77" s="162"/>
      <c r="G77" s="36">
        <f>IF($G$16="Газ",'Данные для УРК'!K6,IF($G$16="Мазут",'Данные для УРК'!L6,IF($G$16="Уголь",'Данные для УРК'!M6,IF($G$16="Дизель",'Данные для УРК'!N6))))</f>
        <v>3.0000000000000001E-3</v>
      </c>
      <c r="H77" s="36" t="str">
        <f>'Данные для УРК'!J6</f>
        <v>бар</v>
      </c>
      <c r="I77" s="40" t="str">
        <f>'Данные для УРК'!O6</f>
        <v>Без выдержки</v>
      </c>
      <c r="J77" s="38"/>
      <c r="K77" s="39"/>
      <c r="P77" s="82" t="s">
        <v>239</v>
      </c>
      <c r="Q77" s="83" t="s">
        <v>336</v>
      </c>
      <c r="R77" s="84" t="s">
        <v>382</v>
      </c>
      <c r="S77" s="84" t="s">
        <v>383</v>
      </c>
      <c r="T77" s="82" t="s">
        <v>337</v>
      </c>
    </row>
    <row r="78" spans="2:20" ht="12.75" customHeight="1" x14ac:dyDescent="0.2">
      <c r="B78" s="58" t="s">
        <v>226</v>
      </c>
      <c r="C78" s="40" t="str">
        <f>'Данные для УРК'!I7</f>
        <v>Разрежения в топке</v>
      </c>
      <c r="D78" s="93"/>
      <c r="E78" s="93"/>
      <c r="F78" s="94"/>
      <c r="G78" s="36">
        <f>IF($G$16="Газ",'Данные для УРК'!K7,IF($G$16="Мазут",'Данные для УРК'!L7,IF($G$16="Уголь",'Данные для УРК'!M7,IF($G$16="Дизель",'Данные для УРК'!N7))))</f>
        <v>500</v>
      </c>
      <c r="H78" s="36" t="str">
        <f>'Данные для УРК'!J7</f>
        <v>Па</v>
      </c>
      <c r="I78" s="40" t="str">
        <f>'Данные для УРК'!O7</f>
        <v>≤ 0,5 сек</v>
      </c>
      <c r="J78" s="38"/>
      <c r="K78" s="39"/>
      <c r="P78" s="82" t="s">
        <v>68</v>
      </c>
      <c r="Q78" s="83" t="s">
        <v>336</v>
      </c>
      <c r="R78" s="84" t="s">
        <v>384</v>
      </c>
      <c r="S78" s="84" t="s">
        <v>385</v>
      </c>
      <c r="T78" s="82" t="s">
        <v>337</v>
      </c>
    </row>
    <row r="79" spans="2:20" x14ac:dyDescent="0.2">
      <c r="B79" s="58" t="s">
        <v>311</v>
      </c>
      <c r="C79" s="41" t="str">
        <f>'Данные для УРК'!I8</f>
        <v>ТЕПЛОНОСИТЕЛЬ</v>
      </c>
      <c r="D79" s="38"/>
      <c r="E79" s="38"/>
      <c r="F79" s="38"/>
      <c r="G79" s="38"/>
      <c r="H79" s="38"/>
      <c r="I79" s="38"/>
      <c r="J79" s="38"/>
      <c r="K79" s="39"/>
      <c r="P79" s="82" t="s">
        <v>69</v>
      </c>
      <c r="Q79" s="83" t="s">
        <v>336</v>
      </c>
      <c r="R79" s="84" t="s">
        <v>386</v>
      </c>
      <c r="S79" s="84" t="s">
        <v>387</v>
      </c>
      <c r="T79" s="82" t="s">
        <v>341</v>
      </c>
    </row>
    <row r="80" spans="2:20" x14ac:dyDescent="0.2">
      <c r="B80" s="80" t="s">
        <v>312</v>
      </c>
      <c r="C80" s="40" t="str">
        <f>'Данные для УРК'!I9</f>
        <v>Понижение давления воды в котле</v>
      </c>
      <c r="D80" s="127"/>
      <c r="E80" s="127"/>
      <c r="F80" s="128"/>
      <c r="G80" s="36">
        <f>IF($G$16="Газ",'Данные для УРК'!K9,IF($G$16="Мазут",'Данные для УРК'!L9,IF($G$16="Уголь",'Данные для УРК'!M9,IF($G$16="Дизель",'Данные для УРК'!N9))))</f>
        <v>2</v>
      </c>
      <c r="H80" s="36" t="str">
        <f>'Данные для УРК'!J9</f>
        <v>бар</v>
      </c>
      <c r="I80" s="40" t="str">
        <f>'Данные для УРК'!O9</f>
        <v>Без выдержки</v>
      </c>
      <c r="J80" s="38"/>
      <c r="K80" s="39"/>
      <c r="P80" s="82" t="s">
        <v>240</v>
      </c>
      <c r="Q80" s="83" t="s">
        <v>336</v>
      </c>
      <c r="R80" s="84" t="s">
        <v>388</v>
      </c>
      <c r="S80" s="84" t="s">
        <v>389</v>
      </c>
      <c r="T80" s="82" t="s">
        <v>337</v>
      </c>
    </row>
    <row r="81" spans="2:20" x14ac:dyDescent="0.2">
      <c r="B81" s="58" t="s">
        <v>313</v>
      </c>
      <c r="C81" s="40" t="str">
        <f>'Данные для УРК'!I10</f>
        <v>Повышение давления воды в котле</v>
      </c>
      <c r="D81" s="127"/>
      <c r="E81" s="127"/>
      <c r="F81" s="128"/>
      <c r="G81" s="36">
        <f>IF($G$16="Газ",'Данные для УРК'!K10,IF($G$16="Мазут",'Данные для УРК'!L10,IF($G$16="Уголь",'Данные для УРК'!M10,IF($G$16="Дизель",'Данные для УРК'!N10))))</f>
        <v>7</v>
      </c>
      <c r="H81" s="36" t="str">
        <f>'Данные для УРК'!J10</f>
        <v>бар</v>
      </c>
      <c r="I81" s="40" t="str">
        <f>'Данные для УРК'!O10</f>
        <v>Без выдержки</v>
      </c>
      <c r="J81" s="38"/>
      <c r="K81" s="39"/>
    </row>
    <row r="82" spans="2:20" x14ac:dyDescent="0.2">
      <c r="B82" s="36" t="s">
        <v>314</v>
      </c>
      <c r="C82" s="40" t="str">
        <f>'Данные для УРК'!I11</f>
        <v>Повышение температуры воды на выходе</v>
      </c>
      <c r="D82" s="38"/>
      <c r="E82" s="38"/>
      <c r="F82" s="39"/>
      <c r="G82" s="36">
        <f>IF($G$16="Газ",'Данные для УРК'!K11,IF($G$16="Мазут",'Данные для УРК'!L11,IF($G$16="Уголь",'Данные для УРК'!M11,IF($G$16="Дизель",'Данные для УРК'!N11))))</f>
        <v>95</v>
      </c>
      <c r="H82" s="36" t="str">
        <f>'Данные для УРК'!J11</f>
        <v>°C</v>
      </c>
      <c r="I82" s="40" t="str">
        <f>'Данные для УРК'!O11</f>
        <v>Без выдержки</v>
      </c>
      <c r="J82" s="38"/>
      <c r="K82" s="39"/>
      <c r="P82" s="47" t="s">
        <v>390</v>
      </c>
    </row>
    <row r="83" spans="2:20" x14ac:dyDescent="0.2">
      <c r="B83" s="36" t="s">
        <v>319</v>
      </c>
      <c r="C83" s="41" t="str">
        <f>'Данные для УРК'!I13</f>
        <v>ГОРЕНИЕ/ТОПЛЕВО</v>
      </c>
      <c r="D83" s="38"/>
      <c r="E83" s="38"/>
      <c r="F83" s="38"/>
      <c r="G83" s="38"/>
      <c r="H83" s="38"/>
      <c r="I83" s="38"/>
      <c r="J83" s="38"/>
      <c r="K83" s="39"/>
      <c r="P83" s="82" t="s">
        <v>117</v>
      </c>
      <c r="Q83" s="83" t="s">
        <v>360</v>
      </c>
      <c r="R83" s="84" t="s">
        <v>361</v>
      </c>
      <c r="S83" s="84" t="s">
        <v>328</v>
      </c>
      <c r="T83" s="82"/>
    </row>
    <row r="84" spans="2:20" x14ac:dyDescent="0.2">
      <c r="B84" s="58" t="s">
        <v>320</v>
      </c>
      <c r="C84" s="40" t="str">
        <f>'Данные для УРК'!I14</f>
        <v>Погасание факела/отсутствие горения</v>
      </c>
      <c r="D84" s="38"/>
      <c r="E84" s="38"/>
      <c r="F84" s="39"/>
      <c r="G84" s="36" t="str">
        <f>IF($G$16="Газ",'Данные для УРК'!K14,IF($G$16="Мазут",'Данные для УРК'!L14,IF($G$16="Уголь",'Данные для УРК'!M14,IF($G$16="Дизель",'Данные для УРК'!N14))))</f>
        <v>Контроль</v>
      </c>
      <c r="H84" s="36" t="str">
        <f>'Данные для УРК'!J14</f>
        <v>-</v>
      </c>
      <c r="I84" s="42" t="str">
        <f>'Данные для УРК'!O14</f>
        <v>Без выдержки</v>
      </c>
      <c r="J84" s="42"/>
      <c r="K84" s="39"/>
      <c r="P84" s="82" t="s">
        <v>362</v>
      </c>
      <c r="Q84" s="83" t="s">
        <v>391</v>
      </c>
      <c r="R84" s="84" t="s">
        <v>392</v>
      </c>
      <c r="S84" s="84" t="s">
        <v>333</v>
      </c>
      <c r="T84" s="82"/>
    </row>
    <row r="85" spans="2:20" x14ac:dyDescent="0.2">
      <c r="B85" s="58" t="s">
        <v>321</v>
      </c>
      <c r="C85" s="40" t="str">
        <f>'Данные для УРК'!I15</f>
        <v>Понижение температуры мазута</v>
      </c>
      <c r="D85" s="38"/>
      <c r="E85" s="38"/>
      <c r="F85" s="39"/>
      <c r="G85" s="36" t="str">
        <f>IF($G$16="Газ",'Данные для УРК'!K15,IF($G$16="Мазут",'Данные для УРК'!L15,IF($G$16="Уголь",'Данные для УРК'!M15,IF($G$16="Дизель",'Данные для УРК'!N15))))</f>
        <v>-</v>
      </c>
      <c r="H85" s="36" t="str">
        <f>'Данные для УРК'!J15</f>
        <v>°C</v>
      </c>
      <c r="I85" s="40" t="str">
        <f>'Данные для УРК'!O15</f>
        <v>≤ 5 сек</v>
      </c>
      <c r="J85" s="38"/>
      <c r="K85" s="39"/>
      <c r="P85" s="82" t="s">
        <v>365</v>
      </c>
      <c r="Q85" s="83" t="s">
        <v>393</v>
      </c>
      <c r="R85" s="84" t="s">
        <v>394</v>
      </c>
      <c r="S85" s="84" t="s">
        <v>333</v>
      </c>
      <c r="T85" s="82"/>
    </row>
    <row r="86" spans="2:20" x14ac:dyDescent="0.2">
      <c r="B86" s="58" t="s">
        <v>322</v>
      </c>
      <c r="C86" s="40" t="str">
        <f>'Данные для УРК'!I16</f>
        <v>Понижение уровня угля в бункере</v>
      </c>
      <c r="D86" s="38"/>
      <c r="E86" s="38"/>
      <c r="F86" s="39"/>
      <c r="G86" s="36" t="str">
        <f>IF($G$16="Газ",'Данные для УРК'!K16,IF($G$16="Мазут",'Данные для УРК'!L16,IF($G$16="Уголь",'Данные для УРК'!M16,IF($G$16="Дизель",'Данные для УРК'!N16))))</f>
        <v>-</v>
      </c>
      <c r="H86" s="36" t="str">
        <f>'Данные для УРК'!J16</f>
        <v>%</v>
      </c>
      <c r="I86" s="40" t="str">
        <f>'Данные для УРК'!O16</f>
        <v>≤ 15 сек</v>
      </c>
      <c r="J86" s="38"/>
      <c r="K86" s="39"/>
      <c r="P86" s="82" t="s">
        <v>395</v>
      </c>
      <c r="Q86" s="83"/>
      <c r="R86" s="84"/>
      <c r="S86" s="84"/>
      <c r="T86" s="82"/>
    </row>
    <row r="87" spans="2:20" x14ac:dyDescent="0.2">
      <c r="B87" s="58" t="s">
        <v>354</v>
      </c>
      <c r="C87" s="41" t="str">
        <f>'Данные для УРК'!I17</f>
        <v>ЭЛЕКТРИКА</v>
      </c>
      <c r="D87" s="38"/>
      <c r="E87" s="38"/>
      <c r="F87" s="38"/>
      <c r="G87" s="38"/>
      <c r="H87" s="38"/>
      <c r="I87" s="38"/>
      <c r="J87" s="38"/>
      <c r="K87" s="39"/>
      <c r="P87" s="82" t="s">
        <v>396</v>
      </c>
      <c r="Q87" s="83" t="s">
        <v>397</v>
      </c>
      <c r="R87" s="84" t="s">
        <v>398</v>
      </c>
      <c r="S87" s="84" t="s">
        <v>341</v>
      </c>
      <c r="T87" s="82"/>
    </row>
    <row r="88" spans="2:20" x14ac:dyDescent="0.2">
      <c r="B88" s="58" t="s">
        <v>355</v>
      </c>
      <c r="C88" s="40" t="str">
        <f>'Данные для УРК'!I18</f>
        <v>Исчезновение напряжения в цепях защиты</v>
      </c>
      <c r="D88" s="38"/>
      <c r="E88" s="38"/>
      <c r="F88" s="39"/>
      <c r="G88" s="36" t="str">
        <f>IF($G$16="Газ",'Данные для УРК'!K18,IF($G$16="Мазут",'Данные для УРК'!L18,IF($G$16="Уголь",'Данные для УРК'!M18,IF($G$16="Дизель",'Данные для УРК'!N18))))</f>
        <v>Контроль</v>
      </c>
      <c r="H88" s="36" t="str">
        <f>'Данные для УРК'!J18</f>
        <v>-</v>
      </c>
      <c r="I88" s="40" t="str">
        <f>'Данные для УРК'!O18</f>
        <v>Без выдержки</v>
      </c>
      <c r="J88" s="38"/>
      <c r="K88" s="39"/>
      <c r="P88" s="82" t="s">
        <v>399</v>
      </c>
      <c r="Q88" s="83" t="s">
        <v>400</v>
      </c>
      <c r="R88" s="84" t="s">
        <v>401</v>
      </c>
      <c r="S88" s="84" t="s">
        <v>341</v>
      </c>
      <c r="T88" s="82"/>
    </row>
    <row r="89" spans="2:20" x14ac:dyDescent="0.2">
      <c r="B89" s="58" t="s">
        <v>356</v>
      </c>
      <c r="C89" s="40" t="str">
        <f>'Данные для УРК'!I19</f>
        <v>Остановка топливного конвейера (уголь)</v>
      </c>
      <c r="D89" s="38"/>
      <c r="E89" s="38"/>
      <c r="F89" s="39"/>
      <c r="G89" s="36" t="str">
        <f>IF($G$16="Газ",'Данные для УРК'!K19,IF($G$16="Мазут",'Данные для УРК'!L19,IF($G$16="Уголь",'Данные для УРК'!M19,IF($G$16="Дизель",'Данные для УРК'!N19))))</f>
        <v>-</v>
      </c>
      <c r="H89" s="36" t="str">
        <f>'Данные для УРК'!J19</f>
        <v>-</v>
      </c>
      <c r="I89" s="40" t="str">
        <f>'Данные для УРК'!O19</f>
        <v>Без выдержки</v>
      </c>
      <c r="J89" s="38"/>
      <c r="K89" s="39"/>
      <c r="P89" s="82" t="s">
        <v>402</v>
      </c>
      <c r="Q89" s="83" t="s">
        <v>403</v>
      </c>
      <c r="R89" s="84" t="s">
        <v>404</v>
      </c>
      <c r="S89" s="84" t="s">
        <v>345</v>
      </c>
      <c r="T89" s="82"/>
    </row>
    <row r="90" spans="2:20" ht="12.75" customHeight="1" x14ac:dyDescent="0.2">
      <c r="C90" s="89"/>
      <c r="P90" s="82" t="s">
        <v>405</v>
      </c>
      <c r="Q90" s="83" t="s">
        <v>406</v>
      </c>
      <c r="R90" s="84" t="s">
        <v>407</v>
      </c>
      <c r="S90" s="84" t="s">
        <v>341</v>
      </c>
      <c r="T90" s="82"/>
    </row>
    <row r="91" spans="2:20" x14ac:dyDescent="0.2">
      <c r="B91" s="51" t="s">
        <v>469</v>
      </c>
      <c r="D91" s="51"/>
      <c r="E91" s="62"/>
      <c r="F91" s="50"/>
      <c r="G91" s="51"/>
      <c r="H91" s="51" t="s">
        <v>207</v>
      </c>
      <c r="J91" s="50"/>
      <c r="K91" s="52"/>
    </row>
    <row r="92" spans="2:20" x14ac:dyDescent="0.2">
      <c r="B92" s="63" t="s">
        <v>467</v>
      </c>
      <c r="D92" s="51"/>
      <c r="E92" s="51"/>
      <c r="F92" s="50"/>
      <c r="G92" s="51"/>
      <c r="H92" s="51" t="s">
        <v>214</v>
      </c>
      <c r="J92" s="50"/>
      <c r="K92" s="52"/>
      <c r="P92" s="47" t="s">
        <v>416</v>
      </c>
    </row>
    <row r="93" spans="2:20" x14ac:dyDescent="0.2">
      <c r="B93" s="51" t="s">
        <v>468</v>
      </c>
      <c r="D93" s="62" t="s">
        <v>331</v>
      </c>
      <c r="F93" s="50"/>
      <c r="G93" s="51"/>
      <c r="H93" s="51" t="s">
        <v>331</v>
      </c>
      <c r="J93" s="50"/>
      <c r="K93" s="52"/>
      <c r="P93" s="82" t="s">
        <v>117</v>
      </c>
      <c r="Q93" s="83" t="s">
        <v>361</v>
      </c>
      <c r="R93" s="84" t="s">
        <v>328</v>
      </c>
    </row>
    <row r="94" spans="2:20" x14ac:dyDescent="0.2">
      <c r="C94" s="51"/>
      <c r="D94" s="52"/>
      <c r="E94" s="52"/>
      <c r="F94" s="52"/>
      <c r="G94" s="52"/>
      <c r="H94" s="51"/>
      <c r="J94" s="52"/>
      <c r="K94" s="52"/>
      <c r="P94" s="82" t="s">
        <v>234</v>
      </c>
      <c r="Q94" s="83" t="s">
        <v>408</v>
      </c>
      <c r="R94" s="84" t="s">
        <v>333</v>
      </c>
    </row>
    <row r="95" spans="2:20" x14ac:dyDescent="0.2">
      <c r="C95" s="89"/>
      <c r="P95" s="82" t="s">
        <v>344</v>
      </c>
      <c r="Q95" s="83" t="s">
        <v>409</v>
      </c>
      <c r="R95" s="84" t="s">
        <v>345</v>
      </c>
    </row>
    <row r="96" spans="2:20" x14ac:dyDescent="0.2">
      <c r="C96" s="89"/>
      <c r="P96" s="82" t="s">
        <v>410</v>
      </c>
      <c r="Q96" s="83" t="s">
        <v>411</v>
      </c>
      <c r="R96" s="84" t="s">
        <v>347</v>
      </c>
    </row>
    <row r="97" spans="3:18" x14ac:dyDescent="0.2">
      <c r="C97" s="89"/>
    </row>
    <row r="98" spans="3:18" x14ac:dyDescent="0.2">
      <c r="C98" s="89"/>
      <c r="P98" s="47" t="s">
        <v>412</v>
      </c>
    </row>
    <row r="99" spans="3:18" x14ac:dyDescent="0.2">
      <c r="C99" s="89"/>
      <c r="P99" s="82" t="s">
        <v>117</v>
      </c>
      <c r="Q99" s="83" t="s">
        <v>361</v>
      </c>
      <c r="R99" s="84" t="s">
        <v>328</v>
      </c>
    </row>
    <row r="100" spans="3:18" x14ac:dyDescent="0.2">
      <c r="C100" s="89"/>
      <c r="P100" s="82" t="s">
        <v>235</v>
      </c>
      <c r="Q100" s="83" t="s">
        <v>413</v>
      </c>
      <c r="R100" s="84" t="s">
        <v>333</v>
      </c>
    </row>
    <row r="101" spans="3:18" x14ac:dyDescent="0.2">
      <c r="P101" s="82" t="s">
        <v>414</v>
      </c>
      <c r="Q101" s="83" t="s">
        <v>415</v>
      </c>
      <c r="R101" s="84" t="s">
        <v>333</v>
      </c>
    </row>
  </sheetData>
  <mergeCells count="38">
    <mergeCell ref="B12:B13"/>
    <mergeCell ref="C12:F13"/>
    <mergeCell ref="I12:K12"/>
    <mergeCell ref="I13:K13"/>
    <mergeCell ref="I2:K2"/>
    <mergeCell ref="C7:J7"/>
    <mergeCell ref="J9:K9"/>
    <mergeCell ref="G10:K10"/>
    <mergeCell ref="G11:K11"/>
    <mergeCell ref="B46:B47"/>
    <mergeCell ref="C46:F47"/>
    <mergeCell ref="G14:K14"/>
    <mergeCell ref="G15:K15"/>
    <mergeCell ref="G16:K16"/>
    <mergeCell ref="J17:K17"/>
    <mergeCell ref="I18:J18"/>
    <mergeCell ref="G19:H19"/>
    <mergeCell ref="I19:J19"/>
    <mergeCell ref="G67:K67"/>
    <mergeCell ref="J29:K29"/>
    <mergeCell ref="G36:H36"/>
    <mergeCell ref="I36:J36"/>
    <mergeCell ref="J37:K37"/>
    <mergeCell ref="J45:K45"/>
    <mergeCell ref="I58:K58"/>
    <mergeCell ref="C63:J63"/>
    <mergeCell ref="I64:K64"/>
    <mergeCell ref="J65:K65"/>
    <mergeCell ref="G66:K66"/>
    <mergeCell ref="G72:K72"/>
    <mergeCell ref="C74:F74"/>
    <mergeCell ref="C77:F77"/>
    <mergeCell ref="B68:B69"/>
    <mergeCell ref="C68:F69"/>
    <mergeCell ref="I68:K68"/>
    <mergeCell ref="I69:K69"/>
    <mergeCell ref="G70:K70"/>
    <mergeCell ref="G71:K71"/>
  </mergeCells>
  <dataValidations count="3">
    <dataValidation type="list" allowBlank="1" showInputMessage="1" showErrorMessage="1" sqref="D16 D72">
      <formula1>$N:$N</formula1>
    </dataValidation>
    <dataValidation type="list" allowBlank="1" showInputMessage="1" showErrorMessage="1" sqref="D10 D66">
      <formula1>$O:$O</formula1>
    </dataValidation>
    <dataValidation type="list" allowBlank="1" showInputMessage="1" showErrorMessage="1" sqref="D11 D67">
      <formula1>$P:$P</formula1>
    </dataValidation>
  </dataValidations>
  <pageMargins left="0.7" right="0.7" top="0.75" bottom="0.75" header="0.3" footer="0.3"/>
  <pageSetup paperSize="9" orientation="portrait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'Данные для УРК'!C1:C279</xm:f>
          </x14:formula1>
          <xm:sqref>G22:G28 G30:G35</xm:sqref>
        </x14:dataValidation>
        <x14:dataValidation type="list" allowBlank="1" showInputMessage="1" showErrorMessage="1">
          <x14:formula1>
            <xm:f>'Данные для УРК'!$C$1:$C$279</xm:f>
          </x14:formula1>
          <xm:sqref>G21 I20:I35 G36:J36 G38:G39 I38:I39 G41:G42 I41:I42 G44 I44</xm:sqref>
        </x14:dataValidation>
        <x14:dataValidation type="list" allowBlank="1" showInputMessage="1" showErrorMessage="1">
          <x14:formula1>
            <xm:f>'Данные для УРК'!$C:$C</xm:f>
          </x14:formula1>
          <xm:sqref>G12</xm:sqref>
        </x14:dataValidation>
        <x14:dataValidation type="list" allowBlank="1" showInputMessage="1" showErrorMessage="1">
          <x14:formula1>
            <xm:f>'Данные для УРК'!$D:$D</xm:f>
          </x14:formula1>
          <xm:sqref>G14</xm:sqref>
        </x14:dataValidation>
        <x14:dataValidation type="list" allowBlank="1" showInputMessage="1" showErrorMessage="1">
          <x14:formula1>
            <xm:f>'Данные для УРК'!$E:$E</xm:f>
          </x14:formula1>
          <xm:sqref>G15</xm:sqref>
        </x14:dataValidation>
        <x14:dataValidation type="list" allowBlank="1" showInputMessage="1" showErrorMessage="1">
          <x14:formula1>
            <xm:f>'Данные для УРК'!$B:$B</xm:f>
          </x14:formula1>
          <xm:sqref>G11</xm:sqref>
        </x14:dataValidation>
        <x14:dataValidation type="list" allowBlank="1" showInputMessage="1" showErrorMessage="1">
          <x14:formula1>
            <xm:f>'Данные для УРК'!$A:$A</xm:f>
          </x14:formula1>
          <xm:sqref>G10</xm:sqref>
        </x14:dataValidation>
        <x14:dataValidation type="list" allowBlank="1" showInputMessage="1" showErrorMessage="1">
          <x14:formula1>
            <xm:f>'Данные для УРК'!$F:$F</xm:f>
          </x14:formula1>
          <xm:sqref>G16</xm:sqref>
        </x14:dataValidation>
        <x14:dataValidation type="list" allowBlank="1" showInputMessage="1" showErrorMessage="1">
          <x14:formula1>
            <xm:f>'Данные для УРК'!$H:$H</xm:f>
          </x14:formula1>
          <xm:sqref>G18</xm:sqref>
        </x14:dataValidation>
        <x14:dataValidation type="list" allowBlank="1" showInputMessage="1" showErrorMessage="1">
          <x14:formula1>
            <xm:f>'Данные для УРК'!$G:$G</xm:f>
          </x14:formula1>
          <xm:sqref>J41:J43 H41:H43 J24 J20:J21 H24 H21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1:AE101"/>
  <sheetViews>
    <sheetView workbookViewId="0">
      <selection activeCell="O16" sqref="O16"/>
    </sheetView>
  </sheetViews>
  <sheetFormatPr defaultRowHeight="12.75" x14ac:dyDescent="0.2"/>
  <cols>
    <col min="1" max="1" width="4.7109375" style="35" customWidth="1"/>
    <col min="2" max="2" width="4.85546875" style="50" customWidth="1"/>
    <col min="3" max="3" width="9.140625" style="35" customWidth="1"/>
    <col min="4" max="5" width="9.140625" style="35"/>
    <col min="6" max="6" width="9.5703125" style="35" customWidth="1"/>
    <col min="7" max="7" width="10.7109375" style="35" bestFit="1" customWidth="1"/>
    <col min="8" max="8" width="9.140625" style="35" customWidth="1"/>
    <col min="9" max="10" width="9.140625" style="35"/>
    <col min="11" max="11" width="5.7109375" style="35" customWidth="1"/>
    <col min="12" max="12" width="4.5703125" style="35" customWidth="1"/>
    <col min="13" max="14" width="9.140625" style="35"/>
    <col min="15" max="15" width="25.7109375" style="35" customWidth="1"/>
    <col min="16" max="16" width="38.140625" style="47" customWidth="1"/>
    <col min="17" max="17" width="67.28515625" style="48" customWidth="1"/>
    <col min="18" max="18" width="42.7109375" style="49" customWidth="1"/>
    <col min="19" max="19" width="28.5703125" style="49" customWidth="1"/>
    <col min="20" max="20" width="41.140625" style="47" customWidth="1"/>
    <col min="21" max="21" width="9.140625" style="47"/>
    <col min="22" max="16384" width="9.140625" style="35"/>
  </cols>
  <sheetData>
    <row r="1" spans="2:31" x14ac:dyDescent="0.2">
      <c r="B1" s="51"/>
      <c r="C1" s="34"/>
      <c r="D1" s="34"/>
      <c r="E1" s="34"/>
      <c r="F1" s="34"/>
      <c r="G1" s="42"/>
      <c r="I1" s="37" t="s">
        <v>197</v>
      </c>
      <c r="J1" s="42"/>
      <c r="O1" s="45" t="s">
        <v>301</v>
      </c>
      <c r="P1" s="47" t="s">
        <v>148</v>
      </c>
      <c r="V1" s="47"/>
      <c r="W1" s="47"/>
      <c r="X1" s="47"/>
      <c r="Y1" s="47"/>
      <c r="Z1" s="47"/>
      <c r="AA1" s="47"/>
      <c r="AB1" s="47"/>
      <c r="AC1" s="47"/>
      <c r="AD1" s="47"/>
      <c r="AE1" s="47"/>
    </row>
    <row r="2" spans="2:31" ht="23.25" customHeight="1" x14ac:dyDescent="0.2">
      <c r="B2" s="51"/>
      <c r="C2" s="43"/>
      <c r="D2" s="43"/>
      <c r="E2" s="43"/>
      <c r="F2" s="34"/>
      <c r="G2" s="42"/>
      <c r="I2" s="177" t="s">
        <v>417</v>
      </c>
      <c r="J2" s="177"/>
      <c r="K2" s="177"/>
      <c r="O2" s="45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2:31" x14ac:dyDescent="0.2">
      <c r="B3" s="51"/>
      <c r="C3" s="43"/>
      <c r="D3" s="43"/>
      <c r="E3" s="43"/>
      <c r="F3" s="34"/>
      <c r="G3" s="42"/>
      <c r="I3" s="37" t="s">
        <v>198</v>
      </c>
      <c r="J3" s="42"/>
      <c r="O3" s="45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2:31" ht="12.75" customHeight="1" x14ac:dyDescent="0.2">
      <c r="B4" s="51"/>
      <c r="C4" s="126"/>
      <c r="D4" s="126"/>
      <c r="E4" s="126"/>
      <c r="F4" s="126"/>
      <c r="G4" s="50"/>
      <c r="I4" s="51" t="s">
        <v>199</v>
      </c>
      <c r="J4" s="50"/>
      <c r="K4" s="52"/>
      <c r="O4" s="45"/>
      <c r="P4" s="47" t="s">
        <v>65</v>
      </c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2:31" x14ac:dyDescent="0.2">
      <c r="B5" s="51"/>
      <c r="C5" s="126"/>
      <c r="D5" s="126"/>
      <c r="E5" s="126"/>
      <c r="F5" s="126"/>
      <c r="G5" s="51"/>
      <c r="I5" s="51" t="s">
        <v>200</v>
      </c>
      <c r="J5" s="51"/>
      <c r="K5" s="52"/>
      <c r="O5" s="45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2:31" ht="15" customHeight="1" x14ac:dyDescent="0.2">
      <c r="B6" s="51"/>
      <c r="C6" s="126"/>
      <c r="D6" s="126"/>
      <c r="E6" s="126"/>
      <c r="F6" s="126"/>
      <c r="G6" s="52"/>
      <c r="I6" s="51" t="s">
        <v>466</v>
      </c>
      <c r="J6" s="50"/>
      <c r="K6" s="52"/>
      <c r="O6" s="45"/>
      <c r="P6" s="82" t="s">
        <v>66</v>
      </c>
      <c r="Q6" s="83" t="s">
        <v>67</v>
      </c>
      <c r="R6" s="84" t="s">
        <v>68</v>
      </c>
      <c r="S6" s="84" t="s">
        <v>69</v>
      </c>
      <c r="T6" s="82" t="s">
        <v>70</v>
      </c>
      <c r="U6" s="82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2:31" x14ac:dyDescent="0.2">
      <c r="B7" s="51"/>
      <c r="C7" s="178" t="s">
        <v>201</v>
      </c>
      <c r="D7" s="178"/>
      <c r="E7" s="178"/>
      <c r="F7" s="178"/>
      <c r="G7" s="178"/>
      <c r="H7" s="178"/>
      <c r="I7" s="178"/>
      <c r="J7" s="178"/>
      <c r="K7" s="52"/>
      <c r="O7" s="45"/>
      <c r="P7" s="82" t="s">
        <v>71</v>
      </c>
      <c r="Q7" s="83" t="s">
        <v>421</v>
      </c>
      <c r="R7" s="84" t="s">
        <v>72</v>
      </c>
      <c r="S7" s="84" t="s">
        <v>73</v>
      </c>
      <c r="T7" s="82" t="s">
        <v>72</v>
      </c>
      <c r="U7" s="82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2:31" s="44" customFormat="1" ht="25.5" x14ac:dyDescent="0.2">
      <c r="B8" s="77" t="s">
        <v>302</v>
      </c>
      <c r="C8" s="122" t="s">
        <v>213</v>
      </c>
      <c r="D8" s="71"/>
      <c r="E8" s="71"/>
      <c r="F8" s="72"/>
      <c r="G8" s="73" t="s">
        <v>329</v>
      </c>
      <c r="H8" s="71"/>
      <c r="I8" s="74"/>
      <c r="J8" s="75"/>
      <c r="K8" s="76" t="s">
        <v>303</v>
      </c>
      <c r="O8" s="69"/>
      <c r="P8" s="82" t="s">
        <v>74</v>
      </c>
      <c r="Q8" s="83" t="s">
        <v>423</v>
      </c>
      <c r="R8" s="84" t="s">
        <v>75</v>
      </c>
      <c r="S8" s="84" t="s">
        <v>76</v>
      </c>
      <c r="T8" s="82" t="s">
        <v>77</v>
      </c>
      <c r="U8" s="85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 spans="2:31" x14ac:dyDescent="0.2">
      <c r="B9" s="79" t="s">
        <v>304</v>
      </c>
      <c r="C9" s="122" t="s">
        <v>247</v>
      </c>
      <c r="D9" s="127"/>
      <c r="E9" s="127"/>
      <c r="F9" s="127"/>
      <c r="G9" s="127"/>
      <c r="H9" s="127"/>
      <c r="I9" s="127"/>
      <c r="J9" s="184"/>
      <c r="K9" s="185"/>
      <c r="O9" s="45"/>
      <c r="P9" s="82" t="s">
        <v>78</v>
      </c>
      <c r="Q9" s="83" t="s">
        <v>422</v>
      </c>
      <c r="R9" s="84" t="s">
        <v>80</v>
      </c>
      <c r="S9" s="84" t="s">
        <v>81</v>
      </c>
      <c r="T9" s="82" t="s">
        <v>82</v>
      </c>
      <c r="U9" s="82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2:31" x14ac:dyDescent="0.2">
      <c r="B10" s="79" t="s">
        <v>215</v>
      </c>
      <c r="C10" s="53" t="s">
        <v>248</v>
      </c>
      <c r="D10" s="54"/>
      <c r="E10" s="54"/>
      <c r="F10" s="55"/>
      <c r="G10" s="186" t="s">
        <v>151</v>
      </c>
      <c r="H10" s="190"/>
      <c r="I10" s="190"/>
      <c r="J10" s="190"/>
      <c r="K10" s="187"/>
      <c r="O10" s="45"/>
      <c r="P10" s="82" t="s">
        <v>83</v>
      </c>
      <c r="Q10" s="83" t="s">
        <v>84</v>
      </c>
      <c r="R10" s="84" t="s">
        <v>84</v>
      </c>
      <c r="S10" s="84" t="s">
        <v>85</v>
      </c>
      <c r="T10" s="82" t="s">
        <v>85</v>
      </c>
      <c r="U10" s="82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2:31" x14ac:dyDescent="0.2">
      <c r="B11" s="58" t="s">
        <v>216</v>
      </c>
      <c r="C11" s="56" t="s">
        <v>249</v>
      </c>
      <c r="D11" s="127"/>
      <c r="E11" s="127"/>
      <c r="F11" s="128"/>
      <c r="G11" s="186" t="s">
        <v>174</v>
      </c>
      <c r="H11" s="190"/>
      <c r="I11" s="190"/>
      <c r="J11" s="190"/>
      <c r="K11" s="187"/>
      <c r="O11" s="45"/>
      <c r="P11" s="82" t="s">
        <v>86</v>
      </c>
      <c r="Q11" s="83" t="s">
        <v>87</v>
      </c>
      <c r="R11" s="84" t="s">
        <v>88</v>
      </c>
      <c r="S11" s="84" t="s">
        <v>88</v>
      </c>
      <c r="T11" s="82" t="s">
        <v>88</v>
      </c>
      <c r="U11" s="82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2:31" x14ac:dyDescent="0.2">
      <c r="B12" s="194" t="s">
        <v>217</v>
      </c>
      <c r="C12" s="196" t="s">
        <v>250</v>
      </c>
      <c r="D12" s="197"/>
      <c r="E12" s="197"/>
      <c r="F12" s="198"/>
      <c r="G12" s="57">
        <v>0.6</v>
      </c>
      <c r="H12" s="58" t="s">
        <v>203</v>
      </c>
      <c r="I12" s="202"/>
      <c r="J12" s="203"/>
      <c r="K12" s="204"/>
      <c r="O12" s="45"/>
      <c r="P12" s="82" t="s">
        <v>89</v>
      </c>
      <c r="Q12" s="83" t="s">
        <v>90</v>
      </c>
      <c r="R12" s="84" t="s">
        <v>91</v>
      </c>
      <c r="S12" s="84" t="s">
        <v>92</v>
      </c>
      <c r="T12" s="82" t="s">
        <v>93</v>
      </c>
      <c r="U12" s="82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2:31" x14ac:dyDescent="0.2">
      <c r="B13" s="195"/>
      <c r="C13" s="199"/>
      <c r="D13" s="200"/>
      <c r="E13" s="200"/>
      <c r="F13" s="201"/>
      <c r="G13" s="59">
        <f>G12/1.163</f>
        <v>0.51590713671539123</v>
      </c>
      <c r="H13" s="58" t="s">
        <v>202</v>
      </c>
      <c r="I13" s="205"/>
      <c r="J13" s="206"/>
      <c r="K13" s="207"/>
      <c r="O13" s="45"/>
      <c r="P13" s="82"/>
      <c r="Q13" s="83"/>
      <c r="R13" s="84"/>
      <c r="S13" s="84"/>
      <c r="T13" s="82"/>
      <c r="U13" s="82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2:31" x14ac:dyDescent="0.2">
      <c r="B14" s="79" t="s">
        <v>305</v>
      </c>
      <c r="C14" s="56" t="s">
        <v>251</v>
      </c>
      <c r="D14" s="127"/>
      <c r="E14" s="127"/>
      <c r="F14" s="128"/>
      <c r="G14" s="186" t="s">
        <v>160</v>
      </c>
      <c r="H14" s="190"/>
      <c r="I14" s="190"/>
      <c r="J14" s="190"/>
      <c r="K14" s="187"/>
      <c r="O14" s="45"/>
      <c r="P14" s="82" t="s">
        <v>94</v>
      </c>
      <c r="Q14" s="83" t="s">
        <v>95</v>
      </c>
      <c r="R14" s="84" t="s">
        <v>96</v>
      </c>
      <c r="S14" s="84" t="s">
        <v>97</v>
      </c>
      <c r="T14" s="82" t="s">
        <v>98</v>
      </c>
      <c r="U14" s="82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2:31" x14ac:dyDescent="0.2">
      <c r="B15" s="58" t="s">
        <v>238</v>
      </c>
      <c r="C15" s="56" t="s">
        <v>252</v>
      </c>
      <c r="D15" s="127"/>
      <c r="E15" s="127"/>
      <c r="F15" s="128"/>
      <c r="G15" s="221" t="s">
        <v>54</v>
      </c>
      <c r="H15" s="222"/>
      <c r="I15" s="222"/>
      <c r="J15" s="222"/>
      <c r="K15" s="223"/>
      <c r="O15" s="45"/>
      <c r="P15" s="82" t="s">
        <v>99</v>
      </c>
      <c r="Q15" s="83" t="s">
        <v>100</v>
      </c>
      <c r="R15" s="84" t="s">
        <v>79</v>
      </c>
      <c r="S15" s="84" t="s">
        <v>82</v>
      </c>
      <c r="T15" s="82" t="s">
        <v>101</v>
      </c>
      <c r="U15" s="82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2:31" x14ac:dyDescent="0.2">
      <c r="B16" s="58" t="s">
        <v>306</v>
      </c>
      <c r="C16" s="56" t="s">
        <v>253</v>
      </c>
      <c r="D16" s="127"/>
      <c r="E16" s="127"/>
      <c r="F16" s="128"/>
      <c r="G16" s="186" t="s">
        <v>239</v>
      </c>
      <c r="H16" s="190"/>
      <c r="I16" s="190"/>
      <c r="J16" s="190"/>
      <c r="K16" s="187"/>
      <c r="O16" s="45"/>
      <c r="P16" s="82" t="s">
        <v>102</v>
      </c>
      <c r="Q16" s="83" t="s">
        <v>103</v>
      </c>
      <c r="R16" s="84" t="s">
        <v>104</v>
      </c>
      <c r="S16" s="84" t="s">
        <v>105</v>
      </c>
      <c r="T16" s="82" t="s">
        <v>106</v>
      </c>
      <c r="U16" s="82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2:31" x14ac:dyDescent="0.2">
      <c r="B17" s="79" t="s">
        <v>237</v>
      </c>
      <c r="C17" s="122" t="s">
        <v>260</v>
      </c>
      <c r="D17" s="127"/>
      <c r="E17" s="127"/>
      <c r="F17" s="127"/>
      <c r="G17" s="127"/>
      <c r="H17" s="118"/>
      <c r="I17" s="127"/>
      <c r="J17" s="184"/>
      <c r="K17" s="185"/>
      <c r="O17" s="45"/>
      <c r="P17" s="82" t="s">
        <v>107</v>
      </c>
      <c r="Q17" s="83" t="s">
        <v>108</v>
      </c>
      <c r="R17" s="84" t="s">
        <v>109</v>
      </c>
      <c r="S17" s="84" t="s">
        <v>110</v>
      </c>
      <c r="T17" s="82" t="s">
        <v>111</v>
      </c>
      <c r="U17" s="82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2:31" x14ac:dyDescent="0.2">
      <c r="B18" s="79" t="s">
        <v>218</v>
      </c>
      <c r="C18" s="119" t="s">
        <v>254</v>
      </c>
      <c r="D18" s="120"/>
      <c r="E18" s="120"/>
      <c r="F18" s="121"/>
      <c r="G18" s="57">
        <v>8231</v>
      </c>
      <c r="H18" s="58" t="str">
        <f>IF(G16="Газ","ккал/м³","ккал/кг")</f>
        <v>ккал/м³</v>
      </c>
      <c r="I18" s="191"/>
      <c r="J18" s="185"/>
      <c r="K18" s="78" t="str">
        <f>IF(G16="Газ","±50","±100")</f>
        <v>±50</v>
      </c>
      <c r="O18" s="45"/>
      <c r="P18" s="82" t="s">
        <v>112</v>
      </c>
      <c r="Q18" s="83" t="s">
        <v>113</v>
      </c>
      <c r="R18" s="84" t="s">
        <v>114</v>
      </c>
      <c r="S18" s="84" t="s">
        <v>115</v>
      </c>
      <c r="T18" s="82" t="s">
        <v>114</v>
      </c>
      <c r="U18" s="82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2:31" x14ac:dyDescent="0.2">
      <c r="B19" s="58" t="s">
        <v>219</v>
      </c>
      <c r="C19" s="122" t="s">
        <v>259</v>
      </c>
      <c r="D19" s="60"/>
      <c r="E19" s="60"/>
      <c r="F19" s="123"/>
      <c r="G19" s="192" t="s">
        <v>257</v>
      </c>
      <c r="H19" s="193"/>
      <c r="I19" s="192" t="s">
        <v>258</v>
      </c>
      <c r="J19" s="193"/>
      <c r="K19" s="78"/>
      <c r="O19" s="45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2:31" x14ac:dyDescent="0.2">
      <c r="B20" s="58" t="s">
        <v>220</v>
      </c>
      <c r="C20" s="56" t="s">
        <v>262</v>
      </c>
      <c r="D20" s="127"/>
      <c r="E20" s="127"/>
      <c r="F20" s="127"/>
      <c r="G20" s="56"/>
      <c r="H20" s="128"/>
      <c r="I20" s="57">
        <v>275</v>
      </c>
      <c r="J20" s="57" t="s">
        <v>204</v>
      </c>
      <c r="K20" s="78" t="s">
        <v>324</v>
      </c>
      <c r="O20" s="45"/>
      <c r="P20" s="47" t="s">
        <v>116</v>
      </c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2:31" x14ac:dyDescent="0.2">
      <c r="B21" s="79" t="s">
        <v>221</v>
      </c>
      <c r="C21" s="56" t="s">
        <v>263</v>
      </c>
      <c r="D21" s="127"/>
      <c r="E21" s="127"/>
      <c r="F21" s="128"/>
      <c r="G21" s="57">
        <v>20</v>
      </c>
      <c r="H21" s="57" t="s">
        <v>204</v>
      </c>
      <c r="I21" s="57">
        <v>20</v>
      </c>
      <c r="J21" s="57" t="s">
        <v>204</v>
      </c>
      <c r="K21" s="78" t="s">
        <v>324</v>
      </c>
      <c r="O21" s="45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2:31" x14ac:dyDescent="0.2">
      <c r="B22" s="58" t="s">
        <v>222</v>
      </c>
      <c r="C22" s="56" t="s">
        <v>265</v>
      </c>
      <c r="D22" s="127"/>
      <c r="E22" s="127"/>
      <c r="F22" s="128"/>
      <c r="G22" s="57">
        <v>10</v>
      </c>
      <c r="H22" s="58" t="s">
        <v>29</v>
      </c>
      <c r="I22" s="57">
        <v>45</v>
      </c>
      <c r="J22" s="58" t="s">
        <v>29</v>
      </c>
      <c r="K22" s="78" t="s">
        <v>326</v>
      </c>
      <c r="O22" s="45"/>
      <c r="P22" s="82" t="s">
        <v>117</v>
      </c>
      <c r="Q22" s="84" t="s">
        <v>118</v>
      </c>
      <c r="R22" s="83"/>
      <c r="S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2:31" x14ac:dyDescent="0.2">
      <c r="B23" s="58" t="s">
        <v>223</v>
      </c>
      <c r="C23" s="56" t="s">
        <v>264</v>
      </c>
      <c r="D23" s="127"/>
      <c r="E23" s="127"/>
      <c r="F23" s="128"/>
      <c r="G23" s="57">
        <v>94</v>
      </c>
      <c r="H23" s="58" t="str">
        <f>IF(G16="Газ","м³/ч","кг/ч")</f>
        <v>м³/ч</v>
      </c>
      <c r="I23" s="57">
        <v>210</v>
      </c>
      <c r="J23" s="58" t="str">
        <f>IF(G16="Газ","м³/ч","кг/ч")</f>
        <v>м³/ч</v>
      </c>
      <c r="K23" s="78" t="s">
        <v>327</v>
      </c>
      <c r="O23" s="45"/>
      <c r="P23" s="82" t="s">
        <v>7</v>
      </c>
      <c r="Q23" s="84" t="s">
        <v>418</v>
      </c>
      <c r="R23" s="83"/>
      <c r="S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2:31" x14ac:dyDescent="0.2">
      <c r="B24" s="79" t="s">
        <v>236</v>
      </c>
      <c r="C24" s="56" t="s">
        <v>266</v>
      </c>
      <c r="D24" s="127"/>
      <c r="E24" s="127"/>
      <c r="F24" s="128"/>
      <c r="G24" s="57">
        <v>0.6</v>
      </c>
      <c r="H24" s="57" t="s">
        <v>204</v>
      </c>
      <c r="I24" s="57">
        <v>2.5</v>
      </c>
      <c r="J24" s="57" t="s">
        <v>204</v>
      </c>
      <c r="K24" s="78" t="s">
        <v>327</v>
      </c>
      <c r="O24" s="45"/>
      <c r="P24" s="82" t="s">
        <v>119</v>
      </c>
      <c r="Q24" s="84" t="s">
        <v>420</v>
      </c>
      <c r="R24" s="83"/>
      <c r="S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2:31" x14ac:dyDescent="0.2">
      <c r="B25" s="80" t="s">
        <v>224</v>
      </c>
      <c r="C25" s="56" t="s">
        <v>267</v>
      </c>
      <c r="D25" s="127"/>
      <c r="E25" s="127"/>
      <c r="F25" s="128"/>
      <c r="G25" s="57">
        <v>15</v>
      </c>
      <c r="H25" s="58" t="s">
        <v>29</v>
      </c>
      <c r="I25" s="57">
        <v>95</v>
      </c>
      <c r="J25" s="58" t="s">
        <v>29</v>
      </c>
      <c r="K25" s="78" t="s">
        <v>326</v>
      </c>
      <c r="O25" s="45"/>
      <c r="P25" s="82" t="s">
        <v>120</v>
      </c>
      <c r="Q25" s="84" t="s">
        <v>419</v>
      </c>
      <c r="R25" s="83"/>
      <c r="S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2:31" x14ac:dyDescent="0.2">
      <c r="B26" s="58" t="s">
        <v>307</v>
      </c>
      <c r="C26" s="56" t="s">
        <v>268</v>
      </c>
      <c r="D26" s="127"/>
      <c r="E26" s="127"/>
      <c r="F26" s="128"/>
      <c r="G26" s="57">
        <v>20</v>
      </c>
      <c r="H26" s="58" t="s">
        <v>205</v>
      </c>
      <c r="I26" s="57">
        <v>115</v>
      </c>
      <c r="J26" s="58" t="s">
        <v>205</v>
      </c>
      <c r="K26" s="78" t="s">
        <v>325</v>
      </c>
      <c r="O26" s="45"/>
      <c r="P26" s="82" t="s">
        <v>122</v>
      </c>
      <c r="Q26" s="84" t="s">
        <v>121</v>
      </c>
      <c r="R26" s="83"/>
      <c r="S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2:31" x14ac:dyDescent="0.2">
      <c r="B27" s="58" t="s">
        <v>308</v>
      </c>
      <c r="C27" s="56" t="s">
        <v>269</v>
      </c>
      <c r="D27" s="127"/>
      <c r="E27" s="127"/>
      <c r="F27" s="128"/>
      <c r="G27" s="57" t="s">
        <v>206</v>
      </c>
      <c r="H27" s="58" t="s">
        <v>28</v>
      </c>
      <c r="I27" s="57" t="s">
        <v>206</v>
      </c>
      <c r="J27" s="58" t="s">
        <v>28</v>
      </c>
      <c r="K27" s="78" t="s">
        <v>327</v>
      </c>
      <c r="O27" s="45"/>
      <c r="P27" s="82" t="s">
        <v>123</v>
      </c>
      <c r="Q27" s="84" t="s">
        <v>84</v>
      </c>
      <c r="R27" s="83"/>
      <c r="S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2:31" x14ac:dyDescent="0.2">
      <c r="B28" s="79" t="s">
        <v>309</v>
      </c>
      <c r="C28" s="56" t="s">
        <v>270</v>
      </c>
      <c r="D28" s="127"/>
      <c r="E28" s="127"/>
      <c r="F28" s="128"/>
      <c r="G28" s="57">
        <v>20</v>
      </c>
      <c r="H28" s="58" t="s">
        <v>28</v>
      </c>
      <c r="I28" s="57">
        <v>20</v>
      </c>
      <c r="J28" s="58" t="s">
        <v>28</v>
      </c>
      <c r="K28" s="78" t="s">
        <v>327</v>
      </c>
      <c r="O28" s="45"/>
      <c r="P28" s="82" t="s">
        <v>78</v>
      </c>
      <c r="Q28" s="84" t="s">
        <v>124</v>
      </c>
      <c r="R28" s="83"/>
      <c r="S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2:31" x14ac:dyDescent="0.2">
      <c r="B29" s="58" t="s">
        <v>310</v>
      </c>
      <c r="C29" s="122" t="s">
        <v>271</v>
      </c>
      <c r="D29" s="127"/>
      <c r="E29" s="127"/>
      <c r="F29" s="127"/>
      <c r="G29" s="127"/>
      <c r="H29" s="127"/>
      <c r="I29" s="127"/>
      <c r="J29" s="184"/>
      <c r="K29" s="185"/>
      <c r="O29" s="45"/>
      <c r="P29" s="82" t="s">
        <v>125</v>
      </c>
      <c r="Q29" s="84" t="s">
        <v>126</v>
      </c>
      <c r="R29" s="83"/>
      <c r="S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2:31" x14ac:dyDescent="0.2">
      <c r="B30" s="58" t="s">
        <v>225</v>
      </c>
      <c r="C30" s="56" t="s">
        <v>272</v>
      </c>
      <c r="D30" s="127"/>
      <c r="E30" s="127"/>
      <c r="F30" s="127"/>
      <c r="G30" s="57">
        <v>125</v>
      </c>
      <c r="H30" s="58" t="s">
        <v>28</v>
      </c>
      <c r="I30" s="57">
        <v>155</v>
      </c>
      <c r="J30" s="58" t="s">
        <v>28</v>
      </c>
      <c r="K30" s="78" t="s">
        <v>327</v>
      </c>
      <c r="O30" s="45"/>
      <c r="P30" s="82" t="s">
        <v>127</v>
      </c>
      <c r="Q30" s="84" t="s">
        <v>128</v>
      </c>
      <c r="R30" s="83"/>
      <c r="S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2:31" x14ac:dyDescent="0.2">
      <c r="B31" s="58" t="s">
        <v>226</v>
      </c>
      <c r="C31" s="56" t="s">
        <v>273</v>
      </c>
      <c r="D31" s="127"/>
      <c r="E31" s="127"/>
      <c r="F31" s="128"/>
      <c r="G31" s="57">
        <v>4</v>
      </c>
      <c r="H31" s="125" t="s">
        <v>29</v>
      </c>
      <c r="I31" s="57">
        <v>3</v>
      </c>
      <c r="J31" s="125" t="s">
        <v>29</v>
      </c>
      <c r="K31" s="78" t="s">
        <v>325</v>
      </c>
      <c r="O31" s="45"/>
      <c r="S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2:31" x14ac:dyDescent="0.2">
      <c r="B32" s="58" t="s">
        <v>227</v>
      </c>
      <c r="C32" s="56" t="str">
        <f>IF(G16="Мазут","Углекислый газ (RO₂):","Углекислый газ (CO₂):")</f>
        <v>Углекислый газ (CO₂):</v>
      </c>
      <c r="D32" s="127"/>
      <c r="E32" s="127"/>
      <c r="F32" s="128"/>
      <c r="G32" s="57">
        <v>9</v>
      </c>
      <c r="H32" s="58" t="s">
        <v>29</v>
      </c>
      <c r="I32" s="57">
        <v>9</v>
      </c>
      <c r="J32" s="58" t="s">
        <v>29</v>
      </c>
      <c r="K32" s="78" t="s">
        <v>325</v>
      </c>
      <c r="O32" s="45"/>
      <c r="P32" s="47" t="s">
        <v>129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2:31" x14ac:dyDescent="0.2">
      <c r="B33" s="58" t="s">
        <v>228</v>
      </c>
      <c r="C33" s="56" t="str">
        <f>IF(G16="Мазут","Суммарные оксиды (RO₂):","Оксиды серы (SO₂):")</f>
        <v>Оксиды серы (SO₂):</v>
      </c>
      <c r="D33" s="127"/>
      <c r="E33" s="127"/>
      <c r="F33" s="128"/>
      <c r="G33" s="57" t="s">
        <v>206</v>
      </c>
      <c r="H33" s="58" t="s">
        <v>29</v>
      </c>
      <c r="I33" s="57" t="s">
        <v>206</v>
      </c>
      <c r="J33" s="58" t="s">
        <v>29</v>
      </c>
      <c r="K33" s="78" t="s">
        <v>325</v>
      </c>
      <c r="O33" s="45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2:31" x14ac:dyDescent="0.2">
      <c r="B34" s="58" t="s">
        <v>229</v>
      </c>
      <c r="C34" s="56" t="s">
        <v>274</v>
      </c>
      <c r="D34" s="127"/>
      <c r="E34" s="127"/>
      <c r="F34" s="128"/>
      <c r="G34" s="57">
        <v>0</v>
      </c>
      <c r="H34" s="58" t="s">
        <v>30</v>
      </c>
      <c r="I34" s="57">
        <v>0</v>
      </c>
      <c r="J34" s="58" t="s">
        <v>30</v>
      </c>
      <c r="K34" s="78" t="s">
        <v>325</v>
      </c>
      <c r="O34" s="45"/>
      <c r="P34" s="82" t="s">
        <v>130</v>
      </c>
      <c r="Q34" s="83" t="s">
        <v>131</v>
      </c>
      <c r="R34" s="86" t="s">
        <v>132</v>
      </c>
      <c r="S34" s="8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2:31" x14ac:dyDescent="0.2">
      <c r="B35" s="80" t="s">
        <v>231</v>
      </c>
      <c r="C35" s="56" t="s">
        <v>275</v>
      </c>
      <c r="D35" s="127"/>
      <c r="E35" s="127"/>
      <c r="F35" s="128"/>
      <c r="G35" s="57">
        <v>35</v>
      </c>
      <c r="H35" s="124" t="s">
        <v>30</v>
      </c>
      <c r="I35" s="114">
        <v>150</v>
      </c>
      <c r="J35" s="124" t="s">
        <v>30</v>
      </c>
      <c r="K35" s="78" t="s">
        <v>325</v>
      </c>
      <c r="O35" s="45"/>
      <c r="P35" s="82" t="s">
        <v>67</v>
      </c>
      <c r="Q35" s="83" t="s">
        <v>133</v>
      </c>
      <c r="R35" s="86" t="s">
        <v>134</v>
      </c>
      <c r="S35" s="8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2:31" x14ac:dyDescent="0.2">
      <c r="B36" s="58" t="s">
        <v>232</v>
      </c>
      <c r="C36" s="56" t="s">
        <v>276</v>
      </c>
      <c r="D36" s="127"/>
      <c r="E36" s="127"/>
      <c r="F36" s="128"/>
      <c r="G36" s="186">
        <v>1.3</v>
      </c>
      <c r="H36" s="187"/>
      <c r="I36" s="188">
        <v>1.1000000000000001</v>
      </c>
      <c r="J36" s="189"/>
      <c r="K36" s="78" t="s">
        <v>324</v>
      </c>
      <c r="O36" s="45" t="s">
        <v>297</v>
      </c>
      <c r="P36" s="82" t="s">
        <v>68</v>
      </c>
      <c r="Q36" s="83" t="s">
        <v>135</v>
      </c>
      <c r="R36" s="86" t="s">
        <v>136</v>
      </c>
      <c r="S36" s="8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2:31" x14ac:dyDescent="0.2">
      <c r="B37" s="58" t="s">
        <v>311</v>
      </c>
      <c r="C37" s="122" t="s">
        <v>277</v>
      </c>
      <c r="D37" s="127"/>
      <c r="E37" s="127"/>
      <c r="F37" s="127"/>
      <c r="G37" s="127"/>
      <c r="H37" s="127"/>
      <c r="I37" s="127"/>
      <c r="J37" s="184"/>
      <c r="K37" s="185"/>
      <c r="O37" s="45"/>
      <c r="P37" s="82" t="s">
        <v>69</v>
      </c>
      <c r="Q37" s="83" t="s">
        <v>137</v>
      </c>
      <c r="R37" s="86" t="s">
        <v>138</v>
      </c>
      <c r="S37" s="8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2:31" x14ac:dyDescent="0.2">
      <c r="B38" s="58" t="s">
        <v>312</v>
      </c>
      <c r="C38" s="56" t="s">
        <v>278</v>
      </c>
      <c r="D38" s="127"/>
      <c r="E38" s="127"/>
      <c r="F38" s="128"/>
      <c r="G38" s="57">
        <v>60</v>
      </c>
      <c r="H38" s="58" t="s">
        <v>28</v>
      </c>
      <c r="I38" s="57">
        <v>60</v>
      </c>
      <c r="J38" s="58" t="s">
        <v>28</v>
      </c>
      <c r="K38" s="78" t="s">
        <v>327</v>
      </c>
      <c r="O38" s="45"/>
      <c r="P38" s="82" t="s">
        <v>70</v>
      </c>
      <c r="Q38" s="83" t="s">
        <v>139</v>
      </c>
      <c r="R38" s="86" t="s">
        <v>140</v>
      </c>
      <c r="S38" s="8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2:31" x14ac:dyDescent="0.2">
      <c r="B39" s="58" t="s">
        <v>313</v>
      </c>
      <c r="C39" s="56" t="s">
        <v>279</v>
      </c>
      <c r="D39" s="127"/>
      <c r="E39" s="127"/>
      <c r="F39" s="128"/>
      <c r="G39" s="57">
        <v>69</v>
      </c>
      <c r="H39" s="58" t="s">
        <v>28</v>
      </c>
      <c r="I39" s="57">
        <v>80</v>
      </c>
      <c r="J39" s="58" t="s">
        <v>28</v>
      </c>
      <c r="K39" s="78" t="s">
        <v>327</v>
      </c>
      <c r="O39" s="45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2:31" x14ac:dyDescent="0.2">
      <c r="B40" s="58" t="s">
        <v>314</v>
      </c>
      <c r="C40" s="56" t="s">
        <v>280</v>
      </c>
      <c r="D40" s="127"/>
      <c r="E40" s="127"/>
      <c r="F40" s="128"/>
      <c r="G40" s="68">
        <f>G39-G38</f>
        <v>9</v>
      </c>
      <c r="H40" s="58" t="s">
        <v>28</v>
      </c>
      <c r="I40" s="68">
        <f>I39-I38</f>
        <v>20</v>
      </c>
      <c r="J40" s="58" t="s">
        <v>28</v>
      </c>
      <c r="K40" s="78" t="s">
        <v>327</v>
      </c>
      <c r="O40" s="45" t="s">
        <v>294</v>
      </c>
      <c r="P40" s="47" t="s">
        <v>141</v>
      </c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2:31" ht="12.75" customHeight="1" x14ac:dyDescent="0.2">
      <c r="B41" s="58" t="s">
        <v>315</v>
      </c>
      <c r="C41" s="56" t="s">
        <v>282</v>
      </c>
      <c r="D41" s="127"/>
      <c r="E41" s="127"/>
      <c r="F41" s="128"/>
      <c r="G41" s="57">
        <v>5</v>
      </c>
      <c r="H41" s="57" t="s">
        <v>261</v>
      </c>
      <c r="I41" s="57">
        <v>5</v>
      </c>
      <c r="J41" s="57" t="s">
        <v>261</v>
      </c>
      <c r="K41" s="78" t="s">
        <v>325</v>
      </c>
      <c r="O41" s="45"/>
      <c r="P41" s="47" t="s">
        <v>142</v>
      </c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2:31" ht="12.75" customHeight="1" x14ac:dyDescent="0.2">
      <c r="B42" s="58" t="s">
        <v>316</v>
      </c>
      <c r="C42" s="56" t="s">
        <v>283</v>
      </c>
      <c r="D42" s="127"/>
      <c r="E42" s="127"/>
      <c r="F42" s="128"/>
      <c r="G42" s="57">
        <v>4</v>
      </c>
      <c r="H42" s="57" t="s">
        <v>261</v>
      </c>
      <c r="I42" s="57">
        <v>4</v>
      </c>
      <c r="J42" s="57" t="s">
        <v>261</v>
      </c>
      <c r="K42" s="78" t="s">
        <v>325</v>
      </c>
      <c r="O42" s="45"/>
      <c r="P42" s="47" t="s">
        <v>143</v>
      </c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2:31" ht="12.75" customHeight="1" x14ac:dyDescent="0.2">
      <c r="B43" s="81" t="s">
        <v>317</v>
      </c>
      <c r="C43" s="56" t="s">
        <v>284</v>
      </c>
      <c r="D43" s="127"/>
      <c r="E43" s="127"/>
      <c r="F43" s="128"/>
      <c r="G43" s="68">
        <f>G41-G42</f>
        <v>1</v>
      </c>
      <c r="H43" s="57" t="s">
        <v>261</v>
      </c>
      <c r="I43" s="68">
        <f>I41-I42</f>
        <v>1</v>
      </c>
      <c r="J43" s="57" t="s">
        <v>261</v>
      </c>
      <c r="K43" s="78" t="s">
        <v>325</v>
      </c>
      <c r="O43" s="45"/>
      <c r="P43" s="47" t="s">
        <v>144</v>
      </c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2:31" ht="12.75" customHeight="1" x14ac:dyDescent="0.2">
      <c r="B44" s="58" t="s">
        <v>318</v>
      </c>
      <c r="C44" s="56" t="s">
        <v>286</v>
      </c>
      <c r="D44" s="127"/>
      <c r="E44" s="127"/>
      <c r="F44" s="128"/>
      <c r="G44" s="57">
        <v>78</v>
      </c>
      <c r="H44" s="58" t="s">
        <v>230</v>
      </c>
      <c r="I44" s="57">
        <v>78</v>
      </c>
      <c r="J44" s="58" t="s">
        <v>230</v>
      </c>
      <c r="K44" s="78" t="s">
        <v>327</v>
      </c>
      <c r="O44" s="45"/>
      <c r="P44" s="47" t="s">
        <v>145</v>
      </c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2:31" x14ac:dyDescent="0.2">
      <c r="B45" s="58" t="s">
        <v>319</v>
      </c>
      <c r="C45" s="122" t="s">
        <v>285</v>
      </c>
      <c r="D45" s="127"/>
      <c r="E45" s="127"/>
      <c r="F45" s="127"/>
      <c r="G45" s="127"/>
      <c r="H45" s="127"/>
      <c r="I45" s="127"/>
      <c r="J45" s="184"/>
      <c r="K45" s="185"/>
      <c r="O45" s="45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2:31" x14ac:dyDescent="0.2">
      <c r="B46" s="163" t="s">
        <v>320</v>
      </c>
      <c r="C46" s="165" t="s">
        <v>287</v>
      </c>
      <c r="D46" s="166"/>
      <c r="E46" s="166"/>
      <c r="F46" s="167"/>
      <c r="G46" s="59">
        <f>(G44*G40)/1000*1.163</f>
        <v>0.81642599999999999</v>
      </c>
      <c r="H46" s="58" t="s">
        <v>203</v>
      </c>
      <c r="I46" s="59">
        <f>(I44*I40)/1000*1.163</f>
        <v>1.8142800000000001</v>
      </c>
      <c r="J46" s="58" t="s">
        <v>203</v>
      </c>
      <c r="K46" s="78"/>
      <c r="O46" s="45"/>
      <c r="P46" s="47" t="s">
        <v>290</v>
      </c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2:31" x14ac:dyDescent="0.2">
      <c r="B47" s="164"/>
      <c r="C47" s="168"/>
      <c r="D47" s="169"/>
      <c r="E47" s="169"/>
      <c r="F47" s="170"/>
      <c r="G47" s="61">
        <f>(G44*G40)/1000</f>
        <v>0.70199999999999996</v>
      </c>
      <c r="H47" s="58" t="s">
        <v>202</v>
      </c>
      <c r="I47" s="61">
        <f>(I44*I40)/1000</f>
        <v>1.56</v>
      </c>
      <c r="J47" s="58" t="s">
        <v>202</v>
      </c>
      <c r="K47" s="78"/>
      <c r="O47" s="45"/>
      <c r="P47" s="47" t="s">
        <v>296</v>
      </c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2:31" x14ac:dyDescent="0.2">
      <c r="B48" s="58" t="s">
        <v>321</v>
      </c>
      <c r="C48" s="56" t="s">
        <v>288</v>
      </c>
      <c r="D48" s="127"/>
      <c r="E48" s="127"/>
      <c r="F48" s="128"/>
      <c r="G48" s="61">
        <f>G46/G12*100</f>
        <v>136.071</v>
      </c>
      <c r="H48" s="125" t="s">
        <v>29</v>
      </c>
      <c r="I48" s="61">
        <f>I46/G13*100</f>
        <v>351.66793999999999</v>
      </c>
      <c r="J48" s="125" t="s">
        <v>29</v>
      </c>
      <c r="K48" s="78"/>
      <c r="O48" s="45"/>
      <c r="P48" s="47" t="s">
        <v>291</v>
      </c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2:31" x14ac:dyDescent="0.2">
      <c r="B49" s="58" t="s">
        <v>322</v>
      </c>
      <c r="C49" s="56" t="s">
        <v>292</v>
      </c>
      <c r="D49" s="127"/>
      <c r="E49" s="127"/>
      <c r="F49" s="128"/>
      <c r="G49" s="61">
        <f>(G44*1000*G40)/(G23*G18)*100</f>
        <v>90.731200417725404</v>
      </c>
      <c r="H49" s="125" t="s">
        <v>29</v>
      </c>
      <c r="I49" s="61">
        <f>(I44*1000*I40)/(I23*G18)*100</f>
        <v>90.251141156255969</v>
      </c>
      <c r="J49" s="125" t="s">
        <v>29</v>
      </c>
      <c r="K49" s="78"/>
      <c r="O49" s="45" t="s">
        <v>293</v>
      </c>
      <c r="P49" s="47" t="s">
        <v>299</v>
      </c>
      <c r="V49" s="47"/>
      <c r="W49" s="47"/>
      <c r="X49" s="47"/>
      <c r="Y49" s="47" t="s">
        <v>300</v>
      </c>
      <c r="Z49" s="47"/>
      <c r="AA49" s="47"/>
      <c r="AB49" s="47"/>
      <c r="AC49" s="47"/>
      <c r="AD49" s="47"/>
      <c r="AE49" s="47"/>
    </row>
    <row r="50" spans="2:31" x14ac:dyDescent="0.2">
      <c r="B50" s="58" t="s">
        <v>323</v>
      </c>
      <c r="C50" s="56" t="s">
        <v>298</v>
      </c>
      <c r="D50" s="127"/>
      <c r="E50" s="127"/>
      <c r="F50" s="128"/>
      <c r="G50" s="61">
        <f>(142.86*100)/G49</f>
        <v>157.45410547008549</v>
      </c>
      <c r="H50" s="67" t="s">
        <v>211</v>
      </c>
      <c r="I50" s="61">
        <f>(142.86*100)/I49</f>
        <v>158.29162730769232</v>
      </c>
      <c r="J50" s="67" t="s">
        <v>211</v>
      </c>
      <c r="K50" s="78"/>
      <c r="O50" s="45" t="s">
        <v>295</v>
      </c>
      <c r="P50" s="47" t="s">
        <v>289</v>
      </c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2:31" ht="3.75" customHeight="1" x14ac:dyDescent="0.2">
      <c r="C51" s="52"/>
      <c r="D51" s="52"/>
      <c r="E51" s="52"/>
      <c r="F51" s="52"/>
      <c r="G51" s="52"/>
      <c r="H51" s="52"/>
      <c r="I51" s="52"/>
      <c r="J51" s="52"/>
      <c r="K51" s="52"/>
      <c r="O51" s="45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2:31" x14ac:dyDescent="0.2">
      <c r="B52" s="51" t="s">
        <v>469</v>
      </c>
      <c r="D52" s="51"/>
      <c r="E52" s="62"/>
      <c r="F52" s="50"/>
      <c r="G52" s="51"/>
      <c r="H52" s="51" t="s">
        <v>207</v>
      </c>
      <c r="J52" s="50"/>
      <c r="K52" s="52"/>
      <c r="O52" s="45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2:31" x14ac:dyDescent="0.2">
      <c r="B53" s="63" t="s">
        <v>467</v>
      </c>
      <c r="D53" s="51"/>
      <c r="E53" s="51"/>
      <c r="F53" s="50"/>
      <c r="G53" s="51"/>
      <c r="H53" s="51" t="s">
        <v>214</v>
      </c>
      <c r="J53" s="50"/>
      <c r="K53" s="52"/>
      <c r="O53" s="45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2:31" x14ac:dyDescent="0.2">
      <c r="B54" s="51" t="s">
        <v>468</v>
      </c>
      <c r="D54" s="62" t="s">
        <v>331</v>
      </c>
      <c r="F54" s="50"/>
      <c r="G54" s="51"/>
      <c r="H54" s="51" t="s">
        <v>331</v>
      </c>
      <c r="J54" s="50"/>
      <c r="K54" s="52"/>
      <c r="O54" s="45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2:31" x14ac:dyDescent="0.2">
      <c r="C55" s="51"/>
      <c r="D55" s="52"/>
      <c r="E55" s="52"/>
      <c r="F55" s="52"/>
      <c r="G55" s="52"/>
      <c r="H55" s="51"/>
      <c r="J55" s="52"/>
      <c r="K55" s="52"/>
      <c r="O55" s="45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2:31" x14ac:dyDescent="0.2">
      <c r="C56" s="52"/>
      <c r="D56" s="52"/>
      <c r="E56" s="52"/>
      <c r="F56" s="52"/>
      <c r="G56" s="52"/>
      <c r="H56" s="52"/>
      <c r="I56" s="52"/>
      <c r="J56" s="52"/>
      <c r="K56" s="52"/>
      <c r="O56" s="45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2:31" x14ac:dyDescent="0.2">
      <c r="B57" s="51"/>
      <c r="C57" s="34"/>
      <c r="D57" s="34"/>
      <c r="E57" s="34"/>
      <c r="F57" s="34"/>
      <c r="G57" s="42"/>
      <c r="I57" s="37" t="s">
        <v>197</v>
      </c>
      <c r="J57" s="42"/>
    </row>
    <row r="58" spans="2:31" ht="25.5" customHeight="1" x14ac:dyDescent="0.2">
      <c r="B58" s="51"/>
      <c r="C58" s="43"/>
      <c r="D58" s="43"/>
      <c r="E58" s="43"/>
      <c r="F58" s="34"/>
      <c r="G58" s="42"/>
      <c r="I58" s="177" t="s">
        <v>417</v>
      </c>
      <c r="J58" s="177"/>
      <c r="K58" s="177"/>
    </row>
    <row r="59" spans="2:31" x14ac:dyDescent="0.2">
      <c r="B59" s="51"/>
      <c r="C59" s="43"/>
      <c r="D59" s="43"/>
      <c r="E59" s="43"/>
      <c r="F59" s="34"/>
      <c r="G59" s="42"/>
      <c r="I59" s="37" t="s">
        <v>198</v>
      </c>
      <c r="J59" s="42"/>
    </row>
    <row r="60" spans="2:31" x14ac:dyDescent="0.2">
      <c r="B60" s="51"/>
      <c r="C60" s="126"/>
      <c r="D60" s="126"/>
      <c r="E60" s="126"/>
      <c r="F60" s="126"/>
      <c r="G60" s="50"/>
      <c r="I60" s="51" t="s">
        <v>199</v>
      </c>
      <c r="J60" s="50"/>
      <c r="K60" s="52"/>
    </row>
    <row r="61" spans="2:31" x14ac:dyDescent="0.2">
      <c r="B61" s="51"/>
      <c r="C61" s="126"/>
      <c r="D61" s="126"/>
      <c r="E61" s="126"/>
      <c r="F61" s="126"/>
      <c r="G61" s="51"/>
      <c r="I61" s="51" t="s">
        <v>200</v>
      </c>
      <c r="J61" s="51"/>
      <c r="K61" s="52"/>
    </row>
    <row r="62" spans="2:31" x14ac:dyDescent="0.2">
      <c r="B62" s="51"/>
      <c r="C62" s="126"/>
      <c r="D62" s="126"/>
      <c r="E62" s="126"/>
      <c r="F62" s="126"/>
      <c r="G62" s="52"/>
      <c r="I62" s="51" t="s">
        <v>466</v>
      </c>
      <c r="J62" s="50"/>
      <c r="K62" s="52"/>
    </row>
    <row r="63" spans="2:31" x14ac:dyDescent="0.2">
      <c r="B63" s="51"/>
      <c r="C63" s="178" t="s">
        <v>330</v>
      </c>
      <c r="D63" s="178"/>
      <c r="E63" s="178"/>
      <c r="F63" s="178"/>
      <c r="G63" s="178"/>
      <c r="H63" s="178"/>
      <c r="I63" s="178"/>
      <c r="J63" s="178"/>
      <c r="K63" s="52"/>
    </row>
    <row r="64" spans="2:31" ht="27.75" customHeight="1" x14ac:dyDescent="0.2">
      <c r="B64" s="77" t="s">
        <v>302</v>
      </c>
      <c r="C64" s="122" t="s">
        <v>213</v>
      </c>
      <c r="D64" s="60"/>
      <c r="E64" s="60"/>
      <c r="F64" s="123"/>
      <c r="G64" s="122" t="s">
        <v>329</v>
      </c>
      <c r="H64" s="60"/>
      <c r="I64" s="179" t="s">
        <v>328</v>
      </c>
      <c r="J64" s="180"/>
      <c r="K64" s="181"/>
      <c r="P64" s="47" t="s">
        <v>359</v>
      </c>
    </row>
    <row r="65" spans="2:20" x14ac:dyDescent="0.2">
      <c r="B65" s="79" t="s">
        <v>304</v>
      </c>
      <c r="C65" s="122" t="s">
        <v>247</v>
      </c>
      <c r="D65" s="127"/>
      <c r="E65" s="127"/>
      <c r="F65" s="127"/>
      <c r="G65" s="127"/>
      <c r="H65" s="127"/>
      <c r="I65" s="127"/>
      <c r="J65" s="182"/>
      <c r="K65" s="183"/>
      <c r="P65" s="82" t="s">
        <v>130</v>
      </c>
      <c r="Q65" s="83" t="s">
        <v>117</v>
      </c>
      <c r="R65" s="84" t="s">
        <v>360</v>
      </c>
      <c r="S65" s="84" t="s">
        <v>361</v>
      </c>
      <c r="T65" s="82" t="s">
        <v>328</v>
      </c>
    </row>
    <row r="66" spans="2:20" x14ac:dyDescent="0.2">
      <c r="B66" s="79" t="s">
        <v>215</v>
      </c>
      <c r="C66" s="53" t="s">
        <v>248</v>
      </c>
      <c r="D66" s="54"/>
      <c r="E66" s="54"/>
      <c r="F66" s="55"/>
      <c r="G66" s="157" t="str">
        <f t="shared" ref="G66:G72" si="0">G10</f>
        <v>№1</v>
      </c>
      <c r="H66" s="158"/>
      <c r="I66" s="158"/>
      <c r="J66" s="158"/>
      <c r="K66" s="159"/>
      <c r="P66" s="82" t="s">
        <v>239</v>
      </c>
      <c r="Q66" s="83" t="s">
        <v>362</v>
      </c>
      <c r="R66" s="84" t="s">
        <v>363</v>
      </c>
      <c r="S66" s="84" t="s">
        <v>364</v>
      </c>
      <c r="T66" s="82" t="s">
        <v>333</v>
      </c>
    </row>
    <row r="67" spans="2:20" x14ac:dyDescent="0.2">
      <c r="B67" s="58" t="s">
        <v>216</v>
      </c>
      <c r="C67" s="56" t="s">
        <v>249</v>
      </c>
      <c r="D67" s="127"/>
      <c r="E67" s="127"/>
      <c r="F67" s="128"/>
      <c r="G67" s="157" t="str">
        <f t="shared" si="0"/>
        <v>КВГМ</v>
      </c>
      <c r="H67" s="158"/>
      <c r="I67" s="158"/>
      <c r="J67" s="158"/>
      <c r="K67" s="159"/>
      <c r="P67" s="82"/>
      <c r="Q67" s="83" t="s">
        <v>365</v>
      </c>
      <c r="R67" s="84" t="s">
        <v>366</v>
      </c>
      <c r="S67" s="84" t="s">
        <v>367</v>
      </c>
      <c r="T67" s="82" t="s">
        <v>333</v>
      </c>
    </row>
    <row r="68" spans="2:20" x14ac:dyDescent="0.2">
      <c r="B68" s="163" t="s">
        <v>217</v>
      </c>
      <c r="C68" s="165" t="s">
        <v>250</v>
      </c>
      <c r="D68" s="166"/>
      <c r="E68" s="166"/>
      <c r="F68" s="167"/>
      <c r="G68" s="68">
        <f t="shared" si="0"/>
        <v>0.6</v>
      </c>
      <c r="H68" s="68" t="s">
        <v>203</v>
      </c>
      <c r="I68" s="171"/>
      <c r="J68" s="172"/>
      <c r="K68" s="173"/>
      <c r="P68" s="82" t="s">
        <v>68</v>
      </c>
      <c r="Q68" s="83" t="s">
        <v>362</v>
      </c>
      <c r="R68" s="84" t="s">
        <v>368</v>
      </c>
      <c r="S68" s="84" t="s">
        <v>369</v>
      </c>
      <c r="T68" s="82" t="s">
        <v>333</v>
      </c>
    </row>
    <row r="69" spans="2:20" x14ac:dyDescent="0.2">
      <c r="B69" s="164"/>
      <c r="C69" s="168"/>
      <c r="D69" s="169"/>
      <c r="E69" s="169"/>
      <c r="F69" s="170"/>
      <c r="G69" s="88">
        <f>G13</f>
        <v>0.51590713671539123</v>
      </c>
      <c r="H69" s="68" t="s">
        <v>202</v>
      </c>
      <c r="I69" s="174"/>
      <c r="J69" s="175"/>
      <c r="K69" s="176"/>
      <c r="P69" s="82"/>
      <c r="Q69" s="83" t="s">
        <v>365</v>
      </c>
      <c r="R69" s="84" t="s">
        <v>370</v>
      </c>
      <c r="S69" s="84" t="s">
        <v>371</v>
      </c>
      <c r="T69" s="82" t="s">
        <v>333</v>
      </c>
    </row>
    <row r="70" spans="2:20" x14ac:dyDescent="0.2">
      <c r="B70" s="79" t="s">
        <v>305</v>
      </c>
      <c r="C70" s="56" t="s">
        <v>251</v>
      </c>
      <c r="D70" s="127"/>
      <c r="E70" s="127"/>
      <c r="F70" s="128"/>
      <c r="G70" s="157" t="str">
        <f t="shared" si="0"/>
        <v>д. Кисельня, ул.Северная, д.6</v>
      </c>
      <c r="H70" s="158"/>
      <c r="I70" s="158"/>
      <c r="J70" s="158"/>
      <c r="K70" s="159"/>
      <c r="P70" s="82" t="s">
        <v>240</v>
      </c>
      <c r="Q70" s="83" t="s">
        <v>362</v>
      </c>
      <c r="R70" s="84" t="s">
        <v>372</v>
      </c>
      <c r="S70" s="84" t="s">
        <v>373</v>
      </c>
      <c r="T70" s="82" t="s">
        <v>333</v>
      </c>
    </row>
    <row r="71" spans="2:20" x14ac:dyDescent="0.2">
      <c r="B71" s="58" t="s">
        <v>238</v>
      </c>
      <c r="C71" s="56" t="s">
        <v>252</v>
      </c>
      <c r="D71" s="127"/>
      <c r="E71" s="127"/>
      <c r="F71" s="128"/>
      <c r="G71" s="157" t="str">
        <f t="shared" si="0"/>
        <v>R73А  CIB UNIGAS BURNES</v>
      </c>
      <c r="H71" s="158"/>
      <c r="I71" s="158"/>
      <c r="J71" s="158"/>
      <c r="K71" s="159"/>
      <c r="P71" s="82"/>
      <c r="Q71" s="83" t="s">
        <v>365</v>
      </c>
      <c r="R71" s="84" t="s">
        <v>374</v>
      </c>
      <c r="S71" s="84" t="s">
        <v>375</v>
      </c>
      <c r="T71" s="82" t="s">
        <v>333</v>
      </c>
    </row>
    <row r="72" spans="2:20" x14ac:dyDescent="0.2">
      <c r="B72" s="58" t="s">
        <v>306</v>
      </c>
      <c r="C72" s="56" t="s">
        <v>253</v>
      </c>
      <c r="D72" s="127"/>
      <c r="E72" s="127"/>
      <c r="F72" s="128"/>
      <c r="G72" s="157" t="str">
        <f t="shared" si="0"/>
        <v>Газ</v>
      </c>
      <c r="H72" s="158"/>
      <c r="I72" s="158"/>
      <c r="J72" s="158"/>
      <c r="K72" s="159"/>
      <c r="P72" s="82" t="s">
        <v>69</v>
      </c>
      <c r="Q72" s="83" t="s">
        <v>376</v>
      </c>
      <c r="R72" s="84" t="s">
        <v>377</v>
      </c>
      <c r="S72" s="84" t="s">
        <v>377</v>
      </c>
      <c r="T72" s="82" t="s">
        <v>377</v>
      </c>
    </row>
    <row r="73" spans="2:20" x14ac:dyDescent="0.2">
      <c r="B73" s="79" t="s">
        <v>237</v>
      </c>
      <c r="C73" s="41" t="str">
        <f>'Данные для УРК'!I2</f>
        <v>ДАВЛЕНИЕ ТОПЛИВА</v>
      </c>
      <c r="D73" s="38"/>
      <c r="E73" s="38"/>
      <c r="F73" s="38"/>
      <c r="G73" s="38"/>
      <c r="H73" s="38"/>
      <c r="I73" s="38"/>
      <c r="J73" s="38"/>
      <c r="K73" s="39"/>
    </row>
    <row r="74" spans="2:20" ht="24.75" customHeight="1" x14ac:dyDescent="0.2">
      <c r="B74" s="58" t="s">
        <v>218</v>
      </c>
      <c r="C74" s="160" t="str">
        <f>'Данные для УРК'!I3</f>
        <v>Понижение давления перед клапанами/горелкой</v>
      </c>
      <c r="D74" s="161"/>
      <c r="E74" s="161"/>
      <c r="F74" s="162"/>
      <c r="G74" s="36">
        <f>IF($G$16="Газ",'Данные для УРК'!K3,IF($G$16="Мазут",'Данные для УРК'!L3,IF($G$16="Уголь",'Данные для УРК'!M3,IF($G$16="Дизель",'Данные для УРК'!N3))))</f>
        <v>0.01</v>
      </c>
      <c r="H74" s="36" t="str">
        <f>'Данные для УРК'!J3</f>
        <v>бар</v>
      </c>
      <c r="I74" s="40" t="str">
        <f>'Данные для УРК'!O3</f>
        <v>Без выдержки</v>
      </c>
      <c r="J74" s="38"/>
      <c r="K74" s="39"/>
      <c r="P74" s="47" t="s">
        <v>378</v>
      </c>
    </row>
    <row r="75" spans="2:20" x14ac:dyDescent="0.2">
      <c r="B75" s="58" t="s">
        <v>219</v>
      </c>
      <c r="C75" s="40" t="str">
        <f>'Данные для УРК'!I4</f>
        <v>Повышение давления перед горелкой</v>
      </c>
      <c r="D75" s="127"/>
      <c r="E75" s="127"/>
      <c r="F75" s="128"/>
      <c r="G75" s="36">
        <f>IF($G$16="Газ",'Данные для УРК'!K4,IF($G$16="Мазут",'Данные для УРК'!L4,IF($G$16="Уголь",'Данные для УРК'!M4,IF($G$16="Дизель",'Данные для УРК'!N4))))</f>
        <v>1</v>
      </c>
      <c r="H75" s="36" t="str">
        <f>'Данные для УРК'!J4</f>
        <v>бар</v>
      </c>
      <c r="I75" s="40" t="str">
        <f>'Данные для УРК'!O4</f>
        <v>Без выдержки</v>
      </c>
      <c r="J75" s="38"/>
      <c r="K75" s="39"/>
      <c r="P75" s="82" t="s">
        <v>130</v>
      </c>
      <c r="Q75" s="83" t="s">
        <v>117</v>
      </c>
      <c r="R75" s="84" t="s">
        <v>360</v>
      </c>
      <c r="S75" s="84" t="s">
        <v>361</v>
      </c>
      <c r="T75" s="82" t="s">
        <v>328</v>
      </c>
    </row>
    <row r="76" spans="2:20" x14ac:dyDescent="0.2">
      <c r="B76" s="79" t="s">
        <v>310</v>
      </c>
      <c r="C76" s="41" t="str">
        <f>'Данные для УРК'!I5</f>
        <v>ВОЗДУХ/ТЯГА</v>
      </c>
      <c r="D76" s="38"/>
      <c r="E76" s="38"/>
      <c r="F76" s="38"/>
      <c r="G76" s="38"/>
      <c r="H76" s="38"/>
      <c r="I76" s="38"/>
      <c r="J76" s="38"/>
      <c r="K76" s="39"/>
      <c r="P76" s="82" t="s">
        <v>379</v>
      </c>
      <c r="Q76" s="83" t="s">
        <v>233</v>
      </c>
      <c r="R76" s="84" t="s">
        <v>380</v>
      </c>
      <c r="S76" s="84" t="s">
        <v>381</v>
      </c>
      <c r="T76" s="82" t="s">
        <v>333</v>
      </c>
    </row>
    <row r="77" spans="2:20" ht="24" customHeight="1" x14ac:dyDescent="0.2">
      <c r="B77" s="58" t="s">
        <v>225</v>
      </c>
      <c r="C77" s="160" t="str">
        <f>'Данные для УРК'!I6</f>
        <v>Понижение давления воздуха перед горелкой</v>
      </c>
      <c r="D77" s="161"/>
      <c r="E77" s="161"/>
      <c r="F77" s="162"/>
      <c r="G77" s="36">
        <f>IF($G$16="Газ",'Данные для УРК'!K6,IF($G$16="Мазут",'Данные для УРК'!L6,IF($G$16="Уголь",'Данные для УРК'!M6,IF($G$16="Дизель",'Данные для УРК'!N6))))</f>
        <v>3.0000000000000001E-3</v>
      </c>
      <c r="H77" s="36" t="str">
        <f>'Данные для УРК'!J6</f>
        <v>бар</v>
      </c>
      <c r="I77" s="40" t="str">
        <f>'Данные для УРК'!O6</f>
        <v>Без выдержки</v>
      </c>
      <c r="J77" s="38"/>
      <c r="K77" s="39"/>
      <c r="P77" s="82" t="s">
        <v>239</v>
      </c>
      <c r="Q77" s="83" t="s">
        <v>336</v>
      </c>
      <c r="R77" s="84" t="s">
        <v>382</v>
      </c>
      <c r="S77" s="84" t="s">
        <v>383</v>
      </c>
      <c r="T77" s="82" t="s">
        <v>337</v>
      </c>
    </row>
    <row r="78" spans="2:20" ht="12.75" customHeight="1" x14ac:dyDescent="0.2">
      <c r="B78" s="58" t="s">
        <v>226</v>
      </c>
      <c r="C78" s="40" t="str">
        <f>'Данные для УРК'!I7</f>
        <v>Разрежения в топке</v>
      </c>
      <c r="D78" s="93"/>
      <c r="E78" s="93"/>
      <c r="F78" s="94"/>
      <c r="G78" s="36">
        <f>IF($G$16="Газ",'Данные для УРК'!K7,IF($G$16="Мазут",'Данные для УРК'!L7,IF($G$16="Уголь",'Данные для УРК'!M7,IF($G$16="Дизель",'Данные для УРК'!N7))))</f>
        <v>500</v>
      </c>
      <c r="H78" s="36" t="str">
        <f>'Данные для УРК'!J7</f>
        <v>Па</v>
      </c>
      <c r="I78" s="40" t="str">
        <f>'Данные для УРК'!O7</f>
        <v>≤ 0,5 сек</v>
      </c>
      <c r="J78" s="38"/>
      <c r="K78" s="39"/>
      <c r="P78" s="82" t="s">
        <v>68</v>
      </c>
      <c r="Q78" s="83" t="s">
        <v>336</v>
      </c>
      <c r="R78" s="84" t="s">
        <v>384</v>
      </c>
      <c r="S78" s="84" t="s">
        <v>385</v>
      </c>
      <c r="T78" s="82" t="s">
        <v>337</v>
      </c>
    </row>
    <row r="79" spans="2:20" x14ac:dyDescent="0.2">
      <c r="B79" s="58" t="s">
        <v>311</v>
      </c>
      <c r="C79" s="41" t="str">
        <f>'Данные для УРК'!I8</f>
        <v>ТЕПЛОНОСИТЕЛЬ</v>
      </c>
      <c r="D79" s="38"/>
      <c r="E79" s="38"/>
      <c r="F79" s="38"/>
      <c r="G79" s="38"/>
      <c r="H79" s="38"/>
      <c r="I79" s="38"/>
      <c r="J79" s="38"/>
      <c r="K79" s="39"/>
      <c r="P79" s="82" t="s">
        <v>69</v>
      </c>
      <c r="Q79" s="83" t="s">
        <v>336</v>
      </c>
      <c r="R79" s="84" t="s">
        <v>386</v>
      </c>
      <c r="S79" s="84" t="s">
        <v>387</v>
      </c>
      <c r="T79" s="82" t="s">
        <v>341</v>
      </c>
    </row>
    <row r="80" spans="2:20" x14ac:dyDescent="0.2">
      <c r="B80" s="80" t="s">
        <v>312</v>
      </c>
      <c r="C80" s="40" t="str">
        <f>'Данные для УРК'!I9</f>
        <v>Понижение давления воды в котле</v>
      </c>
      <c r="D80" s="127"/>
      <c r="E80" s="127"/>
      <c r="F80" s="128"/>
      <c r="G80" s="36">
        <f>IF($G$16="Газ",'Данные для УРК'!K9,IF($G$16="Мазут",'Данные для УРК'!L9,IF($G$16="Уголь",'Данные для УРК'!M9,IF($G$16="Дизель",'Данные для УРК'!N9))))</f>
        <v>2</v>
      </c>
      <c r="H80" s="36" t="str">
        <f>'Данные для УРК'!J9</f>
        <v>бар</v>
      </c>
      <c r="I80" s="40" t="str">
        <f>'Данные для УРК'!O9</f>
        <v>Без выдержки</v>
      </c>
      <c r="J80" s="38"/>
      <c r="K80" s="39"/>
      <c r="P80" s="82" t="s">
        <v>240</v>
      </c>
      <c r="Q80" s="83" t="s">
        <v>336</v>
      </c>
      <c r="R80" s="84" t="s">
        <v>388</v>
      </c>
      <c r="S80" s="84" t="s">
        <v>389</v>
      </c>
      <c r="T80" s="82" t="s">
        <v>337</v>
      </c>
    </row>
    <row r="81" spans="2:20" x14ac:dyDescent="0.2">
      <c r="B81" s="58" t="s">
        <v>313</v>
      </c>
      <c r="C81" s="40" t="str">
        <f>'Данные для УРК'!I10</f>
        <v>Повышение давления воды в котле</v>
      </c>
      <c r="D81" s="127"/>
      <c r="E81" s="127"/>
      <c r="F81" s="128"/>
      <c r="G81" s="36">
        <f>IF($G$16="Газ",'Данные для УРК'!K10,IF($G$16="Мазут",'Данные для УРК'!L10,IF($G$16="Уголь",'Данные для УРК'!M10,IF($G$16="Дизель",'Данные для УРК'!N10))))</f>
        <v>7</v>
      </c>
      <c r="H81" s="36" t="str">
        <f>'Данные для УРК'!J10</f>
        <v>бар</v>
      </c>
      <c r="I81" s="40" t="str">
        <f>'Данные для УРК'!O10</f>
        <v>Без выдержки</v>
      </c>
      <c r="J81" s="38"/>
      <c r="K81" s="39"/>
    </row>
    <row r="82" spans="2:20" x14ac:dyDescent="0.2">
      <c r="B82" s="36" t="s">
        <v>314</v>
      </c>
      <c r="C82" s="40" t="str">
        <f>'Данные для УРК'!I11</f>
        <v>Повышение температуры воды на выходе</v>
      </c>
      <c r="D82" s="38"/>
      <c r="E82" s="38"/>
      <c r="F82" s="39"/>
      <c r="G82" s="36">
        <f>IF($G$16="Газ",'Данные для УРК'!K11,IF($G$16="Мазут",'Данные для УРК'!L11,IF($G$16="Уголь",'Данные для УРК'!M11,IF($G$16="Дизель",'Данные для УРК'!N11))))</f>
        <v>95</v>
      </c>
      <c r="H82" s="36" t="str">
        <f>'Данные для УРК'!J11</f>
        <v>°C</v>
      </c>
      <c r="I82" s="40" t="str">
        <f>'Данные для УРК'!O11</f>
        <v>Без выдержки</v>
      </c>
      <c r="J82" s="38"/>
      <c r="K82" s="39"/>
      <c r="P82" s="47" t="s">
        <v>390</v>
      </c>
    </row>
    <row r="83" spans="2:20" x14ac:dyDescent="0.2">
      <c r="B83" s="36" t="s">
        <v>319</v>
      </c>
      <c r="C83" s="41" t="str">
        <f>'Данные для УРК'!I13</f>
        <v>ГОРЕНИЕ/ТОПЛЕВО</v>
      </c>
      <c r="D83" s="38"/>
      <c r="E83" s="38"/>
      <c r="F83" s="38"/>
      <c r="G83" s="38"/>
      <c r="H83" s="38"/>
      <c r="I83" s="38"/>
      <c r="J83" s="38"/>
      <c r="K83" s="39"/>
      <c r="P83" s="82" t="s">
        <v>117</v>
      </c>
      <c r="Q83" s="83" t="s">
        <v>360</v>
      </c>
      <c r="R83" s="84" t="s">
        <v>361</v>
      </c>
      <c r="S83" s="84" t="s">
        <v>328</v>
      </c>
      <c r="T83" s="82"/>
    </row>
    <row r="84" spans="2:20" x14ac:dyDescent="0.2">
      <c r="B84" s="58" t="s">
        <v>320</v>
      </c>
      <c r="C84" s="40" t="str">
        <f>'Данные для УРК'!I14</f>
        <v>Погасание факела/отсутствие горения</v>
      </c>
      <c r="D84" s="38"/>
      <c r="E84" s="38"/>
      <c r="F84" s="39"/>
      <c r="G84" s="36" t="str">
        <f>IF($G$16="Газ",'Данные для УРК'!K14,IF($G$16="Мазут",'Данные для УРК'!L14,IF($G$16="Уголь",'Данные для УРК'!M14,IF($G$16="Дизель",'Данные для УРК'!N14))))</f>
        <v>Контроль</v>
      </c>
      <c r="H84" s="36" t="str">
        <f>'Данные для УРК'!J14</f>
        <v>-</v>
      </c>
      <c r="I84" s="42" t="str">
        <f>'Данные для УРК'!O14</f>
        <v>Без выдержки</v>
      </c>
      <c r="J84" s="42"/>
      <c r="K84" s="39"/>
      <c r="P84" s="82" t="s">
        <v>362</v>
      </c>
      <c r="Q84" s="83" t="s">
        <v>391</v>
      </c>
      <c r="R84" s="84" t="s">
        <v>392</v>
      </c>
      <c r="S84" s="84" t="s">
        <v>333</v>
      </c>
      <c r="T84" s="82"/>
    </row>
    <row r="85" spans="2:20" x14ac:dyDescent="0.2">
      <c r="B85" s="58" t="s">
        <v>321</v>
      </c>
      <c r="C85" s="40" t="str">
        <f>'Данные для УРК'!I15</f>
        <v>Понижение температуры мазута</v>
      </c>
      <c r="D85" s="38"/>
      <c r="E85" s="38"/>
      <c r="F85" s="39"/>
      <c r="G85" s="36" t="str">
        <f>IF($G$16="Газ",'Данные для УРК'!K15,IF($G$16="Мазут",'Данные для УРК'!L15,IF($G$16="Уголь",'Данные для УРК'!M15,IF($G$16="Дизель",'Данные для УРК'!N15))))</f>
        <v>-</v>
      </c>
      <c r="H85" s="36" t="str">
        <f>'Данные для УРК'!J15</f>
        <v>°C</v>
      </c>
      <c r="I85" s="40" t="str">
        <f>'Данные для УРК'!O15</f>
        <v>≤ 5 сек</v>
      </c>
      <c r="J85" s="38"/>
      <c r="K85" s="39"/>
      <c r="P85" s="82" t="s">
        <v>365</v>
      </c>
      <c r="Q85" s="83" t="s">
        <v>393</v>
      </c>
      <c r="R85" s="84" t="s">
        <v>394</v>
      </c>
      <c r="S85" s="84" t="s">
        <v>333</v>
      </c>
      <c r="T85" s="82"/>
    </row>
    <row r="86" spans="2:20" x14ac:dyDescent="0.2">
      <c r="B86" s="58" t="s">
        <v>322</v>
      </c>
      <c r="C86" s="40" t="str">
        <f>'Данные для УРК'!I16</f>
        <v>Понижение уровня угля в бункере</v>
      </c>
      <c r="D86" s="38"/>
      <c r="E86" s="38"/>
      <c r="F86" s="39"/>
      <c r="G86" s="36" t="str">
        <f>IF($G$16="Газ",'Данные для УРК'!K16,IF($G$16="Мазут",'Данные для УРК'!L16,IF($G$16="Уголь",'Данные для УРК'!M16,IF($G$16="Дизель",'Данные для УРК'!N16))))</f>
        <v>-</v>
      </c>
      <c r="H86" s="36" t="str">
        <f>'Данные для УРК'!J16</f>
        <v>%</v>
      </c>
      <c r="I86" s="40" t="str">
        <f>'Данные для УРК'!O16</f>
        <v>≤ 15 сек</v>
      </c>
      <c r="J86" s="38"/>
      <c r="K86" s="39"/>
      <c r="P86" s="82" t="s">
        <v>395</v>
      </c>
      <c r="Q86" s="83"/>
      <c r="R86" s="84"/>
      <c r="S86" s="84"/>
      <c r="T86" s="82"/>
    </row>
    <row r="87" spans="2:20" x14ac:dyDescent="0.2">
      <c r="B87" s="58" t="s">
        <v>354</v>
      </c>
      <c r="C87" s="41" t="str">
        <f>'Данные для УРК'!I17</f>
        <v>ЭЛЕКТРИКА</v>
      </c>
      <c r="D87" s="38"/>
      <c r="E87" s="38"/>
      <c r="F87" s="38"/>
      <c r="G87" s="38"/>
      <c r="H87" s="38"/>
      <c r="I87" s="38"/>
      <c r="J87" s="38"/>
      <c r="K87" s="39"/>
      <c r="P87" s="82" t="s">
        <v>396</v>
      </c>
      <c r="Q87" s="83" t="s">
        <v>397</v>
      </c>
      <c r="R87" s="84" t="s">
        <v>398</v>
      </c>
      <c r="S87" s="84" t="s">
        <v>341</v>
      </c>
      <c r="T87" s="82"/>
    </row>
    <row r="88" spans="2:20" x14ac:dyDescent="0.2">
      <c r="B88" s="58" t="s">
        <v>355</v>
      </c>
      <c r="C88" s="40" t="str">
        <f>'Данные для УРК'!I18</f>
        <v>Исчезновение напряжения в цепях защиты</v>
      </c>
      <c r="D88" s="38"/>
      <c r="E88" s="38"/>
      <c r="F88" s="39"/>
      <c r="G88" s="36" t="str">
        <f>IF($G$16="Газ",'Данные для УРК'!K18,IF($G$16="Мазут",'Данные для УРК'!L18,IF($G$16="Уголь",'Данные для УРК'!M18,IF($G$16="Дизель",'Данные для УРК'!N18))))</f>
        <v>Контроль</v>
      </c>
      <c r="H88" s="36" t="str">
        <f>'Данные для УРК'!J18</f>
        <v>-</v>
      </c>
      <c r="I88" s="40" t="str">
        <f>'Данные для УРК'!O18</f>
        <v>Без выдержки</v>
      </c>
      <c r="J88" s="38"/>
      <c r="K88" s="39"/>
      <c r="P88" s="82" t="s">
        <v>399</v>
      </c>
      <c r="Q88" s="83" t="s">
        <v>400</v>
      </c>
      <c r="R88" s="84" t="s">
        <v>401</v>
      </c>
      <c r="S88" s="84" t="s">
        <v>341</v>
      </c>
      <c r="T88" s="82"/>
    </row>
    <row r="89" spans="2:20" x14ac:dyDescent="0.2">
      <c r="B89" s="58" t="s">
        <v>356</v>
      </c>
      <c r="C89" s="40" t="str">
        <f>'Данные для УРК'!I19</f>
        <v>Остановка топливного конвейера (уголь)</v>
      </c>
      <c r="D89" s="38"/>
      <c r="E89" s="38"/>
      <c r="F89" s="39"/>
      <c r="G89" s="36" t="str">
        <f>IF($G$16="Газ",'Данные для УРК'!K19,IF($G$16="Мазут",'Данные для УРК'!L19,IF($G$16="Уголь",'Данные для УРК'!M19,IF($G$16="Дизель",'Данные для УРК'!N19))))</f>
        <v>-</v>
      </c>
      <c r="H89" s="36" t="str">
        <f>'Данные для УРК'!J19</f>
        <v>-</v>
      </c>
      <c r="I89" s="40" t="str">
        <f>'Данные для УРК'!O19</f>
        <v>Без выдержки</v>
      </c>
      <c r="J89" s="38"/>
      <c r="K89" s="39"/>
      <c r="P89" s="82" t="s">
        <v>402</v>
      </c>
      <c r="Q89" s="83" t="s">
        <v>403</v>
      </c>
      <c r="R89" s="84" t="s">
        <v>404</v>
      </c>
      <c r="S89" s="84" t="s">
        <v>345</v>
      </c>
      <c r="T89" s="82"/>
    </row>
    <row r="90" spans="2:20" ht="12.75" customHeight="1" x14ac:dyDescent="0.2">
      <c r="C90" s="89"/>
      <c r="P90" s="82" t="s">
        <v>405</v>
      </c>
      <c r="Q90" s="83" t="s">
        <v>406</v>
      </c>
      <c r="R90" s="84" t="s">
        <v>407</v>
      </c>
      <c r="S90" s="84" t="s">
        <v>341</v>
      </c>
      <c r="T90" s="82"/>
    </row>
    <row r="91" spans="2:20" x14ac:dyDescent="0.2">
      <c r="B91" s="51" t="s">
        <v>469</v>
      </c>
      <c r="D91" s="51"/>
      <c r="E91" s="62"/>
      <c r="F91" s="50"/>
      <c r="G91" s="51"/>
      <c r="H91" s="51" t="s">
        <v>207</v>
      </c>
      <c r="J91" s="50"/>
      <c r="K91" s="52"/>
    </row>
    <row r="92" spans="2:20" x14ac:dyDescent="0.2">
      <c r="B92" s="63" t="s">
        <v>467</v>
      </c>
      <c r="D92" s="51"/>
      <c r="E92" s="51"/>
      <c r="F92" s="50"/>
      <c r="G92" s="51"/>
      <c r="H92" s="51" t="s">
        <v>214</v>
      </c>
      <c r="J92" s="50"/>
      <c r="K92" s="52"/>
      <c r="P92" s="47" t="s">
        <v>416</v>
      </c>
    </row>
    <row r="93" spans="2:20" x14ac:dyDescent="0.2">
      <c r="B93" s="51" t="s">
        <v>468</v>
      </c>
      <c r="D93" s="62" t="s">
        <v>331</v>
      </c>
      <c r="F93" s="50"/>
      <c r="G93" s="51"/>
      <c r="H93" s="51" t="s">
        <v>331</v>
      </c>
      <c r="J93" s="50"/>
      <c r="K93" s="52"/>
      <c r="P93" s="82" t="s">
        <v>117</v>
      </c>
      <c r="Q93" s="83" t="s">
        <v>361</v>
      </c>
      <c r="R93" s="84" t="s">
        <v>328</v>
      </c>
    </row>
    <row r="94" spans="2:20" x14ac:dyDescent="0.2">
      <c r="C94" s="51"/>
      <c r="D94" s="52"/>
      <c r="E94" s="52"/>
      <c r="F94" s="52"/>
      <c r="G94" s="52"/>
      <c r="H94" s="51"/>
      <c r="J94" s="52"/>
      <c r="K94" s="52"/>
      <c r="P94" s="82" t="s">
        <v>234</v>
      </c>
      <c r="Q94" s="83" t="s">
        <v>408</v>
      </c>
      <c r="R94" s="84" t="s">
        <v>333</v>
      </c>
    </row>
    <row r="95" spans="2:20" x14ac:dyDescent="0.2">
      <c r="C95" s="89"/>
      <c r="P95" s="82" t="s">
        <v>344</v>
      </c>
      <c r="Q95" s="83" t="s">
        <v>409</v>
      </c>
      <c r="R95" s="84" t="s">
        <v>345</v>
      </c>
    </row>
    <row r="96" spans="2:20" x14ac:dyDescent="0.2">
      <c r="C96" s="89"/>
      <c r="P96" s="82" t="s">
        <v>410</v>
      </c>
      <c r="Q96" s="83" t="s">
        <v>411</v>
      </c>
      <c r="R96" s="84" t="s">
        <v>347</v>
      </c>
    </row>
    <row r="97" spans="3:18" x14ac:dyDescent="0.2">
      <c r="C97" s="89"/>
    </row>
    <row r="98" spans="3:18" x14ac:dyDescent="0.2">
      <c r="C98" s="89"/>
      <c r="P98" s="47" t="s">
        <v>412</v>
      </c>
    </row>
    <row r="99" spans="3:18" x14ac:dyDescent="0.2">
      <c r="C99" s="89"/>
      <c r="P99" s="82" t="s">
        <v>117</v>
      </c>
      <c r="Q99" s="83" t="s">
        <v>361</v>
      </c>
      <c r="R99" s="84" t="s">
        <v>328</v>
      </c>
    </row>
    <row r="100" spans="3:18" x14ac:dyDescent="0.2">
      <c r="C100" s="89"/>
      <c r="P100" s="82" t="s">
        <v>235</v>
      </c>
      <c r="Q100" s="83" t="s">
        <v>413</v>
      </c>
      <c r="R100" s="84" t="s">
        <v>333</v>
      </c>
    </row>
    <row r="101" spans="3:18" x14ac:dyDescent="0.2">
      <c r="P101" s="82" t="s">
        <v>414</v>
      </c>
      <c r="Q101" s="83" t="s">
        <v>415</v>
      </c>
      <c r="R101" s="84" t="s">
        <v>333</v>
      </c>
    </row>
  </sheetData>
  <mergeCells count="38">
    <mergeCell ref="B12:B13"/>
    <mergeCell ref="C12:F13"/>
    <mergeCell ref="I12:K12"/>
    <mergeCell ref="I13:K13"/>
    <mergeCell ref="I2:K2"/>
    <mergeCell ref="C7:J7"/>
    <mergeCell ref="J9:K9"/>
    <mergeCell ref="G10:K10"/>
    <mergeCell ref="G11:K11"/>
    <mergeCell ref="B46:B47"/>
    <mergeCell ref="C46:F47"/>
    <mergeCell ref="G14:K14"/>
    <mergeCell ref="G15:K15"/>
    <mergeCell ref="G16:K16"/>
    <mergeCell ref="J17:K17"/>
    <mergeCell ref="I18:J18"/>
    <mergeCell ref="G19:H19"/>
    <mergeCell ref="I19:J19"/>
    <mergeCell ref="G67:K67"/>
    <mergeCell ref="J29:K29"/>
    <mergeCell ref="G36:H36"/>
    <mergeCell ref="I36:J36"/>
    <mergeCell ref="J37:K37"/>
    <mergeCell ref="J45:K45"/>
    <mergeCell ref="I58:K58"/>
    <mergeCell ref="C63:J63"/>
    <mergeCell ref="I64:K64"/>
    <mergeCell ref="J65:K65"/>
    <mergeCell ref="G66:K66"/>
    <mergeCell ref="G72:K72"/>
    <mergeCell ref="C74:F74"/>
    <mergeCell ref="C77:F77"/>
    <mergeCell ref="B68:B69"/>
    <mergeCell ref="C68:F69"/>
    <mergeCell ref="I68:K68"/>
    <mergeCell ref="I69:K69"/>
    <mergeCell ref="G70:K70"/>
    <mergeCell ref="G71:K71"/>
  </mergeCells>
  <dataValidations count="3">
    <dataValidation type="list" allowBlank="1" showInputMessage="1" showErrorMessage="1" sqref="D16 D72">
      <formula1>$N:$N</formula1>
    </dataValidation>
    <dataValidation type="list" allowBlank="1" showInputMessage="1" showErrorMessage="1" sqref="D10 D66">
      <formula1>$O:$O</formula1>
    </dataValidation>
    <dataValidation type="list" allowBlank="1" showInputMessage="1" showErrorMessage="1" sqref="D11 D67">
      <formula1>$P:$P</formula1>
    </dataValidation>
  </dataValidations>
  <pageMargins left="0.7" right="0.7" top="0.75" bottom="0.75" header="0.3" footer="0.3"/>
  <pageSetup paperSize="9" orientation="portrait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'Данные для УРК'!C1:C279</xm:f>
          </x14:formula1>
          <xm:sqref>G22:G28 G30:G35</xm:sqref>
        </x14:dataValidation>
        <x14:dataValidation type="list" allowBlank="1" showInputMessage="1" showErrorMessage="1">
          <x14:formula1>
            <xm:f>'Данные для УРК'!$C$1:$C$279</xm:f>
          </x14:formula1>
          <xm:sqref>G21 I20:I35 G36:J36 G38:G39 I38:I39 G41:G42 I41:I42 G44 I44</xm:sqref>
        </x14:dataValidation>
        <x14:dataValidation type="list" allowBlank="1" showInputMessage="1" showErrorMessage="1">
          <x14:formula1>
            <xm:f>'Данные для УРК'!$C:$C</xm:f>
          </x14:formula1>
          <xm:sqref>G12</xm:sqref>
        </x14:dataValidation>
        <x14:dataValidation type="list" allowBlank="1" showInputMessage="1" showErrorMessage="1">
          <x14:formula1>
            <xm:f>'Данные для УРК'!$D:$D</xm:f>
          </x14:formula1>
          <xm:sqref>G14</xm:sqref>
        </x14:dataValidation>
        <x14:dataValidation type="list" allowBlank="1" showInputMessage="1" showErrorMessage="1">
          <x14:formula1>
            <xm:f>'Данные для УРК'!$E:$E</xm:f>
          </x14:formula1>
          <xm:sqref>G15</xm:sqref>
        </x14:dataValidation>
        <x14:dataValidation type="list" allowBlank="1" showInputMessage="1" showErrorMessage="1">
          <x14:formula1>
            <xm:f>'Данные для УРК'!$B:$B</xm:f>
          </x14:formula1>
          <xm:sqref>G11</xm:sqref>
        </x14:dataValidation>
        <x14:dataValidation type="list" allowBlank="1" showInputMessage="1" showErrorMessage="1">
          <x14:formula1>
            <xm:f>'Данные для УРК'!$A:$A</xm:f>
          </x14:formula1>
          <xm:sqref>G10</xm:sqref>
        </x14:dataValidation>
        <x14:dataValidation type="list" allowBlank="1" showInputMessage="1" showErrorMessage="1">
          <x14:formula1>
            <xm:f>'Данные для УРК'!$F:$F</xm:f>
          </x14:formula1>
          <xm:sqref>G16</xm:sqref>
        </x14:dataValidation>
        <x14:dataValidation type="list" allowBlank="1" showInputMessage="1" showErrorMessage="1">
          <x14:formula1>
            <xm:f>'Данные для УРК'!$H:$H</xm:f>
          </x14:formula1>
          <xm:sqref>G18</xm:sqref>
        </x14:dataValidation>
        <x14:dataValidation type="list" allowBlank="1" showInputMessage="1" showErrorMessage="1">
          <x14:formula1>
            <xm:f>'Данные для УРК'!$G:$G</xm:f>
          </x14:formula1>
          <xm:sqref>J41:J43 H41:H43 J24 J20:J21 H24 H21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4</vt:i4>
      </vt:variant>
    </vt:vector>
  </HeadingPairs>
  <TitlesOfParts>
    <vt:vector size="11" baseType="lpstr">
      <vt:lpstr>Журнал замеров (по Равичу)</vt:lpstr>
      <vt:lpstr>Данные для УРК</vt:lpstr>
      <vt:lpstr>График режимной наладки</vt:lpstr>
      <vt:lpstr>Универсальная РК</vt:lpstr>
      <vt:lpstr>Бережки №1</vt:lpstr>
      <vt:lpstr>ВындинОстров №3</vt:lpstr>
      <vt:lpstr>Кис.Север. №1</vt:lpstr>
      <vt:lpstr>'Бережки №1'!Область_печати</vt:lpstr>
      <vt:lpstr>'ВындинОстров №3'!Область_печати</vt:lpstr>
      <vt:lpstr>'Кис.Север. №1'!Область_печати</vt:lpstr>
      <vt:lpstr>'Универсальная РК'!Область_печати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Амбарцумов Алексей</cp:lastModifiedBy>
  <cp:lastPrinted>2026-08-12T11:45:14Z</cp:lastPrinted>
  <dcterms:modified xsi:type="dcterms:W3CDTF">2026-08-14T06:56:47Z</dcterms:modified>
</cp:coreProperties>
</file>