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мбарцумов Алексей\Desktop\"/>
    </mc:Choice>
  </mc:AlternateContent>
  <bookViews>
    <workbookView xWindow="0" yWindow="0" windowWidth="28770" windowHeight="12360" activeTab="1"/>
  </bookViews>
  <sheets>
    <sheet name="СводнаяВедомость" sheetId="1" r:id="rId1"/>
    <sheet name="РежКарта" sheetId="2" r:id="rId2"/>
    <sheet name="Графики" sheetId="3" r:id="rId3"/>
    <sheet name="ИсхДанные" sheetId="4" r:id="rId4"/>
  </sheets>
  <definedNames>
    <definedName name="_xlnm.Print_Area" localSheetId="1">РежКарта!$A$1:$I$82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2" l="1"/>
  <c r="G30" i="2"/>
  <c r="H30" i="2"/>
  <c r="E30" i="2"/>
  <c r="G23" i="1"/>
  <c r="H23" i="1"/>
  <c r="I23" i="1"/>
  <c r="F23" i="1"/>
</calcChain>
</file>

<file path=xl/sharedStrings.xml><?xml version="1.0" encoding="utf-8"?>
<sst xmlns="http://schemas.openxmlformats.org/spreadsheetml/2006/main" count="251" uniqueCount="178">
  <si>
    <t xml:space="preserve"> установленного в котельной по адресу:</t>
  </si>
  <si>
    <t>Волховского р-на Ленинградской области</t>
  </si>
  <si>
    <t>№№</t>
  </si>
  <si>
    <t>Наименование параметров</t>
  </si>
  <si>
    <t>Обозна-чение</t>
  </si>
  <si>
    <t>Размерн.</t>
  </si>
  <si>
    <t>п/п</t>
  </si>
  <si>
    <t>1.ТОПЛИВО - природный газ.</t>
  </si>
  <si>
    <r>
      <t>q</t>
    </r>
    <r>
      <rPr>
        <vertAlign val="subscript"/>
        <sz val="9"/>
        <color indexed="9"/>
        <rFont val="Times New Roman"/>
        <family val="1"/>
        <charset val="204"/>
      </rPr>
      <t>5 н</t>
    </r>
    <r>
      <rPr>
        <sz val="9"/>
        <color indexed="9"/>
        <rFont val="Times New Roman"/>
        <family val="1"/>
        <charset val="204"/>
      </rPr>
      <t>=</t>
    </r>
  </si>
  <si>
    <t>1.1.</t>
  </si>
  <si>
    <r>
      <t>Низшая теплота сгорания газа при 20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</t>
    </r>
  </si>
  <si>
    <r>
      <t>Q</t>
    </r>
    <r>
      <rPr>
        <vertAlign val="subscript"/>
        <sz val="9"/>
        <rFont val="Times New Roman"/>
        <family val="1"/>
        <charset val="204"/>
      </rPr>
      <t>р</t>
    </r>
    <r>
      <rPr>
        <vertAlign val="superscript"/>
        <sz val="9"/>
        <rFont val="Times New Roman"/>
        <family val="1"/>
        <charset val="204"/>
      </rPr>
      <t>н</t>
    </r>
  </si>
  <si>
    <r>
      <t>ккал/м</t>
    </r>
    <r>
      <rPr>
        <vertAlign val="superscript"/>
        <sz val="9"/>
        <rFont val="Times New Roman"/>
        <family val="1"/>
        <charset val="204"/>
      </rPr>
      <t>3</t>
    </r>
  </si>
  <si>
    <t>1.2.</t>
  </si>
  <si>
    <t>Температура газа</t>
  </si>
  <si>
    <r>
      <t>t</t>
    </r>
    <r>
      <rPr>
        <vertAlign val="subscript"/>
        <sz val="9"/>
        <rFont val="Times New Roman"/>
        <family val="1"/>
        <charset val="204"/>
      </rPr>
      <t>г</t>
    </r>
  </si>
  <si>
    <r>
      <t>0</t>
    </r>
    <r>
      <rPr>
        <sz val="9"/>
        <rFont val="Times New Roman"/>
        <family val="1"/>
        <charset val="204"/>
      </rPr>
      <t>C</t>
    </r>
  </si>
  <si>
    <t>1.3.</t>
  </si>
  <si>
    <t>Барометрическое давление</t>
  </si>
  <si>
    <r>
      <t>Б</t>
    </r>
    <r>
      <rPr>
        <vertAlign val="subscript"/>
        <sz val="9"/>
        <rFont val="Times New Roman"/>
        <family val="1"/>
        <charset val="204"/>
      </rPr>
      <t>факт.</t>
    </r>
  </si>
  <si>
    <t>мм рт.ст.</t>
  </si>
  <si>
    <t>1.4.</t>
  </si>
  <si>
    <t>Давление газа перед счетчиком</t>
  </si>
  <si>
    <r>
      <t>Р</t>
    </r>
    <r>
      <rPr>
        <vertAlign val="subscript"/>
        <sz val="9"/>
        <rFont val="Times New Roman"/>
        <family val="1"/>
        <charset val="204"/>
      </rPr>
      <t>сч.</t>
    </r>
  </si>
  <si>
    <r>
      <t>кгс/см</t>
    </r>
    <r>
      <rPr>
        <vertAlign val="superscript"/>
        <sz val="9"/>
        <rFont val="Times New Roman"/>
        <family val="1"/>
        <charset val="204"/>
      </rPr>
      <t>2</t>
    </r>
  </si>
  <si>
    <t>1.5.</t>
  </si>
  <si>
    <t xml:space="preserve">Давление газа перед котлом </t>
  </si>
  <si>
    <t>кПа</t>
  </si>
  <si>
    <t>2.ВОЗДУХ</t>
  </si>
  <si>
    <t>2.1</t>
  </si>
  <si>
    <t>2.3.</t>
  </si>
  <si>
    <t>Температура  воздуха на горение</t>
  </si>
  <si>
    <r>
      <t>t</t>
    </r>
    <r>
      <rPr>
        <vertAlign val="subscript"/>
        <sz val="9"/>
        <rFont val="Times New Roman"/>
        <family val="1"/>
        <charset val="204"/>
      </rPr>
      <t>х.в.</t>
    </r>
  </si>
  <si>
    <t>3. РАЗРЕЖЕНИЕ.</t>
  </si>
  <si>
    <t>31.</t>
  </si>
  <si>
    <t>Разрежение/давление в топке</t>
  </si>
  <si>
    <r>
      <t xml:space="preserve">S </t>
    </r>
    <r>
      <rPr>
        <vertAlign val="subscript"/>
        <sz val="9"/>
        <rFont val="Times New Roman"/>
        <family val="1"/>
        <charset val="204"/>
      </rPr>
      <t>топки.</t>
    </r>
  </si>
  <si>
    <t>Па</t>
  </si>
  <si>
    <t>4.  ВОДА .</t>
  </si>
  <si>
    <t>4.1.</t>
  </si>
  <si>
    <t xml:space="preserve">Температура воды: на входе </t>
  </si>
  <si>
    <r>
      <t>t</t>
    </r>
    <r>
      <rPr>
        <vertAlign val="subscript"/>
        <sz val="9"/>
        <rFont val="Times New Roman"/>
        <family val="1"/>
        <charset val="204"/>
      </rPr>
      <t>вх.</t>
    </r>
  </si>
  <si>
    <t>4.2.</t>
  </si>
  <si>
    <t xml:space="preserve">          и на выходе из котла</t>
  </si>
  <si>
    <r>
      <t>t</t>
    </r>
    <r>
      <rPr>
        <vertAlign val="subscript"/>
        <sz val="9"/>
        <rFont val="Times New Roman"/>
        <family val="1"/>
        <charset val="204"/>
      </rPr>
      <t>вых.</t>
    </r>
  </si>
  <si>
    <t>4.3.</t>
  </si>
  <si>
    <t>Нагрев воды в котле</t>
  </si>
  <si>
    <t>∆t</t>
  </si>
  <si>
    <t>4.4.</t>
  </si>
  <si>
    <t>Давление воды на входе в котел</t>
  </si>
  <si>
    <r>
      <t>Р</t>
    </r>
    <r>
      <rPr>
        <vertAlign val="subscript"/>
        <sz val="9"/>
        <rFont val="Times New Roman"/>
        <family val="1"/>
        <charset val="204"/>
      </rPr>
      <t>в.вх.</t>
    </r>
  </si>
  <si>
    <t>4.5.</t>
  </si>
  <si>
    <t>Давление воды на выходе из котла</t>
  </si>
  <si>
    <r>
      <t>Р</t>
    </r>
    <r>
      <rPr>
        <vertAlign val="subscript"/>
        <sz val="9"/>
        <rFont val="Times New Roman"/>
        <family val="1"/>
        <charset val="204"/>
      </rPr>
      <t>в.вых.</t>
    </r>
  </si>
  <si>
    <t>4.6.</t>
  </si>
  <si>
    <r>
      <t>W</t>
    </r>
    <r>
      <rPr>
        <vertAlign val="subscript"/>
        <sz val="9"/>
        <rFont val="Times New Roman"/>
        <family val="1"/>
        <charset val="204"/>
      </rPr>
      <t>к</t>
    </r>
  </si>
  <si>
    <t>5.ПРОДУКТЫ СГОРАНИЯ</t>
  </si>
  <si>
    <t>5.1.</t>
  </si>
  <si>
    <t>%</t>
  </si>
  <si>
    <t>5.2.</t>
  </si>
  <si>
    <t xml:space="preserve">Состав уходящих газов за котлом:  </t>
  </si>
  <si>
    <t>двуокись углерода</t>
  </si>
  <si>
    <r>
      <t>CO</t>
    </r>
    <r>
      <rPr>
        <vertAlign val="subscript"/>
        <sz val="9"/>
        <rFont val="Times New Roman"/>
        <family val="1"/>
        <charset val="204"/>
      </rPr>
      <t>2</t>
    </r>
  </si>
  <si>
    <t>кислород</t>
  </si>
  <si>
    <r>
      <t>O</t>
    </r>
    <r>
      <rPr>
        <vertAlign val="subscript"/>
        <sz val="9"/>
        <rFont val="Times New Roman"/>
        <family val="1"/>
        <charset val="204"/>
      </rPr>
      <t>2</t>
    </r>
  </si>
  <si>
    <t>5.3.</t>
  </si>
  <si>
    <t>Коэффициент избытка воздуха</t>
  </si>
  <si>
    <t>a</t>
  </si>
  <si>
    <t>-</t>
  </si>
  <si>
    <t>Температура уходящих газов</t>
  </si>
  <si>
    <r>
      <t>t</t>
    </r>
    <r>
      <rPr>
        <vertAlign val="subscript"/>
        <sz val="9"/>
        <rFont val="Times New Roman"/>
        <family val="1"/>
        <charset val="204"/>
      </rPr>
      <t>ух.</t>
    </r>
  </si>
  <si>
    <t>6.ТЕПЛОВОЙ БАЛАНС КОТЛА</t>
  </si>
  <si>
    <t>6.1.</t>
  </si>
  <si>
    <t>6.2.</t>
  </si>
  <si>
    <t>Потери тепла: с уходящими газами</t>
  </si>
  <si>
    <r>
      <t>q</t>
    </r>
    <r>
      <rPr>
        <vertAlign val="subscript"/>
        <sz val="9"/>
        <rFont val="Times New Roman"/>
        <family val="1"/>
        <charset val="204"/>
      </rPr>
      <t>2</t>
    </r>
  </si>
  <si>
    <t>6.3.</t>
  </si>
  <si>
    <t>от химического недожога</t>
  </si>
  <si>
    <r>
      <t>q</t>
    </r>
    <r>
      <rPr>
        <vertAlign val="subscript"/>
        <sz val="9"/>
        <rFont val="Times New Roman"/>
        <family val="1"/>
        <charset val="204"/>
      </rPr>
      <t>3</t>
    </r>
  </si>
  <si>
    <t>6.4.</t>
  </si>
  <si>
    <t>в окружающую среду</t>
  </si>
  <si>
    <r>
      <t>q</t>
    </r>
    <r>
      <rPr>
        <vertAlign val="subscript"/>
        <sz val="9"/>
        <rFont val="Times New Roman"/>
        <family val="1"/>
        <charset val="204"/>
      </rPr>
      <t>5</t>
    </r>
  </si>
  <si>
    <t>6.5.</t>
  </si>
  <si>
    <t xml:space="preserve">   КПД  "брутто" котла</t>
  </si>
  <si>
    <r>
      <t>h</t>
    </r>
    <r>
      <rPr>
        <vertAlign val="superscript"/>
        <sz val="9"/>
        <rFont val="Times New Roman"/>
        <family val="1"/>
        <charset val="204"/>
      </rPr>
      <t>"брутто"</t>
    </r>
  </si>
  <si>
    <t>6.6.</t>
  </si>
  <si>
    <t>Гкал/ч</t>
  </si>
  <si>
    <t>Теплопроизводительность котла</t>
  </si>
  <si>
    <t>Q</t>
  </si>
  <si>
    <t>МВт</t>
  </si>
  <si>
    <t>кг у.т./Гкал</t>
  </si>
  <si>
    <t>Средний фактический удельный расход условного топлива на единицу отпущенного тепла</t>
  </si>
  <si>
    <r>
      <t>в</t>
    </r>
    <r>
      <rPr>
        <vertAlign val="subscript"/>
        <sz val="9"/>
        <rFont val="Times New Roman"/>
        <family val="1"/>
        <charset val="204"/>
      </rPr>
      <t>у ср. факт.</t>
    </r>
  </si>
  <si>
    <t>г.Новая Ладога. ул. Суворова, д.79</t>
  </si>
  <si>
    <t>режим работы</t>
  </si>
  <si>
    <t>I</t>
  </si>
  <si>
    <t>II</t>
  </si>
  <si>
    <t>III</t>
  </si>
  <si>
    <t>IV</t>
  </si>
  <si>
    <t>Котел №1 ДКВР-10/13</t>
  </si>
  <si>
    <r>
      <t>кгс/м</t>
    </r>
    <r>
      <rPr>
        <vertAlign val="superscript"/>
        <sz val="9"/>
        <rFont val="Times New Roman"/>
        <family val="1"/>
        <charset val="204"/>
      </rPr>
      <t>2</t>
    </r>
  </si>
  <si>
    <t>1.6.</t>
  </si>
  <si>
    <t>Рк</t>
  </si>
  <si>
    <t>Давление перед горелкой</t>
  </si>
  <si>
    <t>Рг</t>
  </si>
  <si>
    <t>Давление воздуха за котлом</t>
  </si>
  <si>
    <t>Рв</t>
  </si>
  <si>
    <t>т</t>
  </si>
  <si>
    <t xml:space="preserve">Расход пара через котел </t>
  </si>
  <si>
    <t>6.7</t>
  </si>
  <si>
    <t>УТВЕРЖДАЮ</t>
  </si>
  <si>
    <t>ООО "Леноблтеплоснаб"</t>
  </si>
  <si>
    <t xml:space="preserve">__________________          </t>
  </si>
  <si>
    <t>РЕЖИМНАЯ КАРТА</t>
  </si>
  <si>
    <r>
      <t>при работе на газе с теплотой сгорания Q</t>
    </r>
    <r>
      <rPr>
        <b/>
        <vertAlign val="subscript"/>
        <sz val="12"/>
        <rFont val="Times New Roman"/>
        <family val="1"/>
        <charset val="204"/>
      </rPr>
      <t>р</t>
    </r>
    <r>
      <rPr>
        <b/>
        <vertAlign val="superscript"/>
        <sz val="12"/>
        <rFont val="Times New Roman"/>
        <family val="1"/>
        <charset val="204"/>
      </rPr>
      <t>н</t>
    </r>
    <r>
      <rPr>
        <b/>
        <vertAlign val="sub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=</t>
    </r>
  </si>
  <si>
    <r>
      <t>8059± 50 ккал/м</t>
    </r>
    <r>
      <rPr>
        <b/>
        <vertAlign val="superscript"/>
        <sz val="12"/>
        <rFont val="Times New Roman"/>
        <family val="1"/>
        <charset val="204"/>
      </rPr>
      <t xml:space="preserve">3 </t>
    </r>
    <r>
      <rPr>
        <b/>
        <sz val="12"/>
        <rFont val="Times New Roman"/>
        <family val="1"/>
        <charset val="204"/>
      </rPr>
      <t>при 20</t>
    </r>
    <r>
      <rPr>
        <b/>
        <vertAlign val="superscript"/>
        <sz val="12"/>
        <rFont val="Times New Roman"/>
        <family val="1"/>
        <charset val="204"/>
      </rPr>
      <t xml:space="preserve">0 </t>
    </r>
    <r>
      <rPr>
        <b/>
        <sz val="12"/>
        <rFont val="Times New Roman"/>
        <family val="1"/>
        <charset val="204"/>
      </rPr>
      <t>С,</t>
    </r>
  </si>
  <si>
    <t>установленный в котельной по адресу:</t>
  </si>
  <si>
    <t>Наименование величин</t>
  </si>
  <si>
    <t xml:space="preserve">   Режимы</t>
  </si>
  <si>
    <t xml:space="preserve">Теплопроизводительность котла </t>
  </si>
  <si>
    <r>
      <t>кгс/см</t>
    </r>
    <r>
      <rPr>
        <b/>
        <vertAlign val="superscript"/>
        <sz val="10"/>
        <rFont val="Times New Roman"/>
        <family val="1"/>
        <charset val="204"/>
      </rPr>
      <t>2</t>
    </r>
  </si>
  <si>
    <t>Давление газа перед котлом</t>
  </si>
  <si>
    <t xml:space="preserve">Состав уходящих газов: </t>
  </si>
  <si>
    <r>
      <t xml:space="preserve">           углекислый газ (СО</t>
    </r>
    <r>
      <rPr>
        <b/>
        <vertAlign val="subscript"/>
        <sz val="10"/>
        <rFont val="Times New Roman"/>
        <family val="1"/>
        <charset val="204"/>
      </rPr>
      <t>2</t>
    </r>
    <r>
      <rPr>
        <b/>
        <sz val="10"/>
        <rFont val="Times New Roman"/>
        <family val="1"/>
        <charset val="204"/>
      </rPr>
      <t>)</t>
    </r>
  </si>
  <si>
    <r>
      <t xml:space="preserve">                     кислород  (О</t>
    </r>
    <r>
      <rPr>
        <b/>
        <vertAlign val="subscript"/>
        <sz val="10"/>
        <rFont val="Times New Roman"/>
        <family val="1"/>
        <charset val="204"/>
      </rPr>
      <t>2</t>
    </r>
    <r>
      <rPr>
        <b/>
        <sz val="10"/>
        <rFont val="Times New Roman"/>
        <family val="1"/>
        <charset val="204"/>
      </rPr>
      <t>)</t>
    </r>
  </si>
  <si>
    <r>
      <t>0</t>
    </r>
    <r>
      <rPr>
        <b/>
        <sz val="10"/>
        <rFont val="Times New Roman"/>
        <family val="1"/>
        <charset val="204"/>
      </rPr>
      <t>С</t>
    </r>
  </si>
  <si>
    <t>Температура воды на выходе из котла</t>
  </si>
  <si>
    <t>Подогрев воды в котле</t>
  </si>
  <si>
    <t>КПД котла "брутто"</t>
  </si>
  <si>
    <t xml:space="preserve">Удельный расход условного топлива </t>
  </si>
  <si>
    <t>кг у.т.</t>
  </si>
  <si>
    <t xml:space="preserve"> на выработку 1 Гкал тепла</t>
  </si>
  <si>
    <t>Гкал</t>
  </si>
  <si>
    <t xml:space="preserve">Примечания: </t>
  </si>
  <si>
    <t xml:space="preserve">1. </t>
  </si>
  <si>
    <t>Согласовано:</t>
  </si>
  <si>
    <t xml:space="preserve">Карта параметров настройки автоматики безопасности </t>
  </si>
  <si>
    <t>установленного в котельной по адресу:</t>
  </si>
  <si>
    <t>Наименование параметра защиты</t>
  </si>
  <si>
    <t>Размерность</t>
  </si>
  <si>
    <t>Параметры</t>
  </si>
  <si>
    <t xml:space="preserve">Время </t>
  </si>
  <si>
    <t>срабатывания</t>
  </si>
  <si>
    <t xml:space="preserve">Понижение давления газа перед клапанами </t>
  </si>
  <si>
    <t>mbаr</t>
  </si>
  <si>
    <t>без выдержки времени</t>
  </si>
  <si>
    <t>Повышение давления газа перед горелкой</t>
  </si>
  <si>
    <t xml:space="preserve">Понижение давления воздуха перед горелкой </t>
  </si>
  <si>
    <t>bar</t>
  </si>
  <si>
    <t xml:space="preserve">Повышение давления воды в котле </t>
  </si>
  <si>
    <t>Погасание факела  горелки</t>
  </si>
  <si>
    <t>Исчезновение напряжения в цепях защиты</t>
  </si>
  <si>
    <t>г. Новая Ладога, ул. Суворова, д.79</t>
  </si>
  <si>
    <t>Температура пара на входе в котел</t>
  </si>
  <si>
    <t>10 секунд</t>
  </si>
  <si>
    <t xml:space="preserve">Повышение и понижение уровня в </t>
  </si>
  <si>
    <t>барабане котла</t>
  </si>
  <si>
    <t>Графические характеристики котла ст. № 1</t>
  </si>
  <si>
    <t>устаноленного в котельной по адресу: г.Новая Ладога,</t>
  </si>
  <si>
    <t>ул. Суворова, д.79</t>
  </si>
  <si>
    <t>Теплопроизводительность котла Q, Гкал/ч</t>
  </si>
  <si>
    <t>Коэффициент полезного действия, %</t>
  </si>
  <si>
    <t>Коэффициент избытка воздуха, %</t>
  </si>
  <si>
    <t>Потеря тепла с уходящими газами</t>
  </si>
  <si>
    <t>Температура уходящих газов, оС</t>
  </si>
  <si>
    <t xml:space="preserve">Режимная карта составлена при работе котла с горелкой  ГМГ-5М,  </t>
  </si>
  <si>
    <r>
      <t xml:space="preserve"> температура воздуха, идущего на горение t</t>
    </r>
    <r>
      <rPr>
        <b/>
        <vertAlign val="subscript"/>
        <sz val="10"/>
        <rFont val="Times New Roman"/>
        <family val="1"/>
        <charset val="204"/>
      </rPr>
      <t>х.в.</t>
    </r>
    <r>
      <rPr>
        <b/>
        <sz val="10"/>
        <rFont val="Times New Roman"/>
        <family val="1"/>
        <charset val="204"/>
      </rPr>
      <t>=20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>С.</t>
    </r>
  </si>
  <si>
    <t>Котел №2  ДКВР-10/13</t>
  </si>
  <si>
    <t>Котла №2 ДКВР-10/13</t>
  </si>
  <si>
    <t>СВОДНАЯ ВЕДОМОСТЬ результатов испытаний котла ст.№2</t>
  </si>
  <si>
    <t>Степанов А.В.</t>
  </si>
  <si>
    <t>Инженер по ЭТТО</t>
  </si>
  <si>
    <t>Начальник котельного участка</t>
  </si>
  <si>
    <t xml:space="preserve">__________________  </t>
  </si>
  <si>
    <t xml:space="preserve">Безруких В.В.   ___________________                    </t>
  </si>
  <si>
    <t xml:space="preserve">Зам. ген. директора - главный инженер </t>
  </si>
  <si>
    <t>Наладка проводилась в ноябре 2024 г.</t>
  </si>
  <si>
    <t>"___"_____________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</si>
</sst>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16"/>
      <name val="Times New Roman"/>
      <family val="1"/>
      <charset val="204"/>
    </font>
    <font>
      <b/>
      <sz val="11"/>
      <color indexed="16"/>
      <name val="Times New Roman"/>
      <family val="1"/>
      <charset val="204"/>
    </font>
    <font>
      <b/>
      <sz val="10"/>
      <color indexed="16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bscript"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0.5"/>
      <name val="Times New Roman"/>
      <family val="1"/>
      <charset val="204"/>
    </font>
    <font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48"/>
      <name val="Times New Roman"/>
      <family val="1"/>
      <charset val="204"/>
    </font>
    <font>
      <vertAlign val="subscript"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sz val="9"/>
      <color indexed="40"/>
      <name val="Times New Roman"/>
      <family val="1"/>
      <charset val="204"/>
    </font>
    <font>
      <sz val="9"/>
      <color indexed="8"/>
      <name val="Times New Roman"/>
      <family val="1"/>
      <charset val="204"/>
    </font>
    <font>
      <vertAlign val="subscript"/>
      <sz val="9"/>
      <color indexed="9"/>
      <name val="Times New Roman"/>
      <family val="1"/>
      <charset val="204"/>
    </font>
    <font>
      <b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9"/>
      <color indexed="16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5">
    <xf numFmtId="0" fontId="0" fillId="0" borderId="0" xfId="0"/>
    <xf numFmtId="49" fontId="15" fillId="0" borderId="1" xfId="1" applyNumberFormat="1" applyFont="1" applyFill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Fill="1" applyAlignment="1">
      <alignment horizontal="center"/>
    </xf>
    <xf numFmtId="0" fontId="11" fillId="0" borderId="0" xfId="1" applyFont="1" applyFill="1" applyBorder="1" applyAlignment="1"/>
    <xf numFmtId="49" fontId="17" fillId="0" borderId="1" xfId="1" applyNumberFormat="1" applyFont="1" applyFill="1" applyBorder="1" applyAlignment="1">
      <alignment horizontal="center" vertical="center"/>
    </xf>
    <xf numFmtId="49" fontId="15" fillId="0" borderId="1" xfId="1" applyNumberFormat="1" applyFont="1" applyFill="1" applyBorder="1" applyAlignment="1">
      <alignment vertical="center"/>
    </xf>
    <xf numFmtId="49" fontId="16" fillId="0" borderId="1" xfId="1" applyNumberFormat="1" applyFont="1" applyFill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/>
    </xf>
    <xf numFmtId="49" fontId="15" fillId="0" borderId="1" xfId="1" applyNumberFormat="1" applyFont="1" applyFill="1" applyBorder="1" applyAlignment="1">
      <alignment horizontal="left" vertical="center"/>
    </xf>
    <xf numFmtId="49" fontId="15" fillId="0" borderId="1" xfId="1" applyNumberFormat="1" applyFont="1" applyBorder="1" applyAlignment="1">
      <alignment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28" fillId="0" borderId="1" xfId="0" applyFont="1" applyBorder="1"/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49" fontId="15" fillId="0" borderId="1" xfId="1" applyNumberFormat="1" applyFont="1" applyFill="1" applyBorder="1" applyAlignment="1">
      <alignment horizontal="center"/>
    </xf>
    <xf numFmtId="0" fontId="15" fillId="0" borderId="1" xfId="1" applyFont="1" applyFill="1" applyBorder="1" applyAlignment="1">
      <alignment horizontal="center"/>
    </xf>
    <xf numFmtId="49" fontId="17" fillId="0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right"/>
    </xf>
    <xf numFmtId="0" fontId="19" fillId="2" borderId="1" xfId="1" applyFont="1" applyFill="1" applyBorder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/>
    </xf>
    <xf numFmtId="165" fontId="19" fillId="2" borderId="1" xfId="1" applyNumberFormat="1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center"/>
    </xf>
    <xf numFmtId="2" fontId="15" fillId="0" borderId="1" xfId="1" applyNumberFormat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49" fontId="15" fillId="0" borderId="1" xfId="1" applyNumberFormat="1" applyFont="1" applyFill="1" applyBorder="1" applyAlignment="1">
      <alignment horizontal="center" vertical="distributed"/>
    </xf>
    <xf numFmtId="2" fontId="15" fillId="0" borderId="1" xfId="1" applyNumberFormat="1" applyFont="1" applyFill="1" applyBorder="1" applyAlignment="1">
      <alignment horizontal="center"/>
    </xf>
    <xf numFmtId="2" fontId="19" fillId="0" borderId="1" xfId="1" applyNumberFormat="1" applyFont="1" applyFill="1" applyBorder="1" applyAlignment="1">
      <alignment horizontal="center"/>
    </xf>
    <xf numFmtId="165" fontId="15" fillId="0" borderId="1" xfId="1" applyNumberFormat="1" applyFont="1" applyFill="1" applyBorder="1" applyAlignment="1">
      <alignment horizontal="center"/>
    </xf>
    <xf numFmtId="49" fontId="15" fillId="0" borderId="1" xfId="1" applyNumberFormat="1" applyFont="1" applyBorder="1" applyAlignment="1">
      <alignment horizontal="center" vertical="top"/>
    </xf>
    <xf numFmtId="49" fontId="15" fillId="0" borderId="1" xfId="1" applyNumberFormat="1" applyFont="1" applyBorder="1" applyAlignment="1">
      <alignment vertical="center" wrapText="1"/>
    </xf>
    <xf numFmtId="0" fontId="15" fillId="0" borderId="1" xfId="1" applyFont="1" applyFill="1" applyBorder="1" applyAlignment="1" applyProtection="1">
      <alignment horizontal="center" vertical="center"/>
      <protection hidden="1"/>
    </xf>
    <xf numFmtId="164" fontId="15" fillId="0" borderId="1" xfId="0" applyNumberFormat="1" applyFont="1" applyBorder="1" applyAlignment="1">
      <alignment horizontal="center" vertical="center"/>
    </xf>
    <xf numFmtId="0" fontId="28" fillId="0" borderId="0" xfId="0" applyFont="1"/>
    <xf numFmtId="0" fontId="28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0" fontId="30" fillId="0" borderId="0" xfId="0" applyFont="1"/>
    <xf numFmtId="0" fontId="3" fillId="0" borderId="0" xfId="1" applyFont="1" applyAlignment="1">
      <alignment horizontal="center"/>
    </xf>
    <xf numFmtId="0" fontId="3" fillId="0" borderId="0" xfId="1" applyFont="1"/>
    <xf numFmtId="164" fontId="3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2" fontId="5" fillId="0" borderId="0" xfId="1" applyNumberFormat="1" applyFont="1" applyAlignment="1">
      <alignment horizontal="left"/>
    </xf>
    <xf numFmtId="0" fontId="5" fillId="0" borderId="0" xfId="1" applyFont="1"/>
    <xf numFmtId="0" fontId="8" fillId="0" borderId="0" xfId="1" applyFont="1"/>
    <xf numFmtId="164" fontId="8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8" fillId="0" borderId="0" xfId="1" quotePrefix="1" applyNumberFormat="1" applyFont="1" applyBorder="1" applyAlignment="1">
      <alignment horizontal="left"/>
    </xf>
    <xf numFmtId="164" fontId="8" fillId="0" borderId="1" xfId="1" applyNumberFormat="1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49" fontId="7" fillId="0" borderId="1" xfId="1" applyNumberFormat="1" applyFont="1" applyFill="1" applyBorder="1" applyAlignment="1">
      <alignment horizontal="right" vertical="center"/>
    </xf>
    <xf numFmtId="0" fontId="7" fillId="0" borderId="1" xfId="1" applyFont="1" applyBorder="1" applyAlignment="1" applyProtection="1">
      <alignment horizontal="center"/>
      <protection hidden="1"/>
    </xf>
    <xf numFmtId="0" fontId="12" fillId="0" borderId="1" xfId="1" applyFont="1" applyBorder="1" applyAlignment="1" applyProtection="1">
      <alignment horizontal="center"/>
      <protection hidden="1"/>
    </xf>
    <xf numFmtId="0" fontId="8" fillId="0" borderId="1" xfId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/>
    </xf>
    <xf numFmtId="49" fontId="7" fillId="0" borderId="1" xfId="1" applyNumberFormat="1" applyFont="1" applyBorder="1" applyAlignment="1">
      <alignment horizontal="left"/>
    </xf>
    <xf numFmtId="49" fontId="7" fillId="0" borderId="1" xfId="1" applyNumberFormat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7" fillId="0" borderId="1" xfId="1" applyFont="1" applyBorder="1" applyAlignment="1" applyProtection="1">
      <alignment horizontal="left"/>
      <protection hidden="1"/>
    </xf>
    <xf numFmtId="0" fontId="3" fillId="0" borderId="0" xfId="1" applyFont="1" applyBorder="1"/>
    <xf numFmtId="0" fontId="8" fillId="0" borderId="0" xfId="1" applyFont="1" applyBorder="1" applyAlignment="1"/>
    <xf numFmtId="164" fontId="8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4" fillId="0" borderId="0" xfId="1" applyFont="1" applyBorder="1"/>
    <xf numFmtId="0" fontId="2" fillId="0" borderId="0" xfId="1" applyFont="1" applyBorder="1"/>
    <xf numFmtId="0" fontId="8" fillId="0" borderId="0" xfId="1" applyFont="1" applyAlignment="1">
      <alignment horizontal="left" shrinkToFit="1"/>
    </xf>
    <xf numFmtId="49" fontId="7" fillId="0" borderId="1" xfId="1" applyNumberFormat="1" applyFont="1" applyBorder="1" applyAlignment="1">
      <alignment horizontal="center"/>
    </xf>
    <xf numFmtId="49" fontId="7" fillId="0" borderId="1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7" fillId="0" borderId="1" xfId="1" applyFont="1" applyBorder="1" applyProtection="1">
      <protection hidden="1"/>
    </xf>
    <xf numFmtId="0" fontId="12" fillId="0" borderId="1" xfId="1" applyFont="1" applyBorder="1" applyAlignment="1" applyProtection="1">
      <alignment horizontal="center" vertical="center"/>
      <protection hidden="1"/>
    </xf>
    <xf numFmtId="49" fontId="7" fillId="0" borderId="1" xfId="1" applyNumberFormat="1" applyFont="1" applyFill="1" applyBorder="1" applyAlignment="1">
      <alignment vertical="center"/>
    </xf>
    <xf numFmtId="49" fontId="7" fillId="0" borderId="1" xfId="1" applyNumberFormat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 vertical="center"/>
    </xf>
    <xf numFmtId="0" fontId="7" fillId="0" borderId="0" xfId="1" quotePrefix="1" applyFont="1" applyAlignment="1">
      <alignment horizontal="left"/>
    </xf>
    <xf numFmtId="0" fontId="24" fillId="0" borderId="0" xfId="1" applyFont="1" applyAlignment="1"/>
    <xf numFmtId="0" fontId="4" fillId="0" borderId="0" xfId="1" applyFont="1"/>
    <xf numFmtId="0" fontId="7" fillId="0" borderId="1" xfId="1" applyFont="1" applyFill="1" applyBorder="1" applyAlignment="1"/>
    <xf numFmtId="0" fontId="7" fillId="0" borderId="1" xfId="1" quotePrefix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4" fillId="0" borderId="1" xfId="1" applyFont="1" applyFill="1" applyBorder="1"/>
    <xf numFmtId="49" fontId="7" fillId="0" borderId="1" xfId="1" applyNumberFormat="1" applyFont="1" applyFill="1" applyBorder="1" applyAlignment="1">
      <alignment horizontal="center"/>
    </xf>
    <xf numFmtId="164" fontId="7" fillId="0" borderId="1" xfId="1" applyNumberFormat="1" applyFont="1" applyFill="1" applyBorder="1" applyAlignment="1">
      <alignment horizontal="center"/>
    </xf>
    <xf numFmtId="0" fontId="5" fillId="0" borderId="0" xfId="1" applyFont="1" applyBorder="1" applyAlignment="1"/>
    <xf numFmtId="0" fontId="7" fillId="0" borderId="0" xfId="1" applyFont="1" applyBorder="1" applyAlignment="1">
      <alignment horizontal="center"/>
    </xf>
    <xf numFmtId="0" fontId="8" fillId="0" borderId="0" xfId="1" applyFont="1" applyAlignment="1"/>
    <xf numFmtId="0" fontId="8" fillId="0" borderId="0" xfId="1" applyFont="1" applyAlignment="1">
      <alignment wrapText="1"/>
    </xf>
    <xf numFmtId="0" fontId="8" fillId="0" borderId="0" xfId="1" applyFont="1" applyAlignment="1" applyProtection="1">
      <protection hidden="1"/>
    </xf>
    <xf numFmtId="0" fontId="25" fillId="0" borderId="0" xfId="1" applyFont="1" applyAlignment="1"/>
    <xf numFmtId="2" fontId="5" fillId="0" borderId="0" xfId="1" applyNumberFormat="1" applyFont="1" applyBorder="1" applyAlignment="1"/>
    <xf numFmtId="0" fontId="7" fillId="0" borderId="0" xfId="1" applyFont="1" applyBorder="1" applyAlignment="1"/>
    <xf numFmtId="0" fontId="5" fillId="0" borderId="0" xfId="1" applyFont="1" applyAlignment="1"/>
    <xf numFmtId="0" fontId="7" fillId="0" borderId="0" xfId="1" applyFont="1"/>
    <xf numFmtId="0" fontId="5" fillId="0" borderId="0" xfId="1" applyFont="1" applyAlignment="1" applyProtection="1">
      <alignment horizontal="left"/>
      <protection hidden="1"/>
    </xf>
    <xf numFmtId="0" fontId="4" fillId="0" borderId="0" xfId="1" applyFont="1" applyProtection="1">
      <protection hidden="1"/>
    </xf>
    <xf numFmtId="1" fontId="5" fillId="0" borderId="0" xfId="1" applyNumberFormat="1" applyFont="1" applyAlignment="1" applyProtection="1">
      <alignment horizontal="center"/>
      <protection locked="0"/>
    </xf>
    <xf numFmtId="0" fontId="8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49" fontId="7" fillId="0" borderId="0" xfId="1" applyNumberFormat="1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top"/>
    </xf>
    <xf numFmtId="49" fontId="13" fillId="0" borderId="1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7" fillId="0" borderId="1" xfId="1" applyFont="1" applyFill="1" applyBorder="1" applyAlignment="1">
      <alignment horizontal="center" vertical="center"/>
    </xf>
    <xf numFmtId="49" fontId="15" fillId="0" borderId="1" xfId="1" applyNumberFormat="1" applyFont="1" applyFill="1" applyBorder="1" applyAlignment="1">
      <alignment horizontal="right" vertical="center"/>
    </xf>
    <xf numFmtId="0" fontId="31" fillId="0" borderId="0" xfId="0" applyFont="1"/>
    <xf numFmtId="0" fontId="0" fillId="0" borderId="0" xfId="0" applyFont="1"/>
    <xf numFmtId="0" fontId="7" fillId="0" borderId="1" xfId="1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vertical="center"/>
    </xf>
    <xf numFmtId="0" fontId="33" fillId="0" borderId="0" xfId="0" applyFont="1" applyAlignment="1"/>
    <xf numFmtId="164" fontId="32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2" fontId="32" fillId="0" borderId="0" xfId="0" applyNumberFormat="1" applyFont="1" applyAlignment="1">
      <alignment horizontal="left" vertical="center"/>
    </xf>
    <xf numFmtId="164" fontId="32" fillId="0" borderId="0" xfId="0" applyNumberFormat="1" applyFont="1" applyAlignment="1">
      <alignment horizontal="center" vertical="center"/>
    </xf>
    <xf numFmtId="0" fontId="23" fillId="0" borderId="0" xfId="1" applyFont="1" applyFill="1" applyBorder="1" applyAlignment="1">
      <alignment horizontal="center"/>
    </xf>
    <xf numFmtId="0" fontId="26" fillId="0" borderId="0" xfId="1" applyFont="1" applyBorder="1" applyAlignment="1"/>
    <xf numFmtId="0" fontId="7" fillId="0" borderId="1" xfId="1" applyFont="1" applyFill="1" applyBorder="1" applyAlignment="1">
      <alignment wrapText="1"/>
    </xf>
    <xf numFmtId="0" fontId="15" fillId="0" borderId="4" xfId="1" applyFont="1" applyFill="1" applyBorder="1" applyAlignment="1">
      <alignment horizontal="center"/>
    </xf>
    <xf numFmtId="0" fontId="15" fillId="0" borderId="2" xfId="1" applyFont="1" applyFill="1" applyBorder="1" applyAlignment="1">
      <alignment horizontal="center"/>
    </xf>
    <xf numFmtId="0" fontId="15" fillId="0" borderId="3" xfId="1" applyFont="1" applyFill="1" applyBorder="1" applyAlignment="1">
      <alignment horizontal="center"/>
    </xf>
    <xf numFmtId="164" fontId="15" fillId="0" borderId="4" xfId="1" applyNumberFormat="1" applyFont="1" applyFill="1" applyBorder="1" applyAlignment="1">
      <alignment horizontal="center"/>
    </xf>
    <xf numFmtId="164" fontId="15" fillId="0" borderId="2" xfId="1" applyNumberFormat="1" applyFont="1" applyFill="1" applyBorder="1" applyAlignment="1">
      <alignment horizontal="center"/>
    </xf>
    <xf numFmtId="164" fontId="15" fillId="0" borderId="3" xfId="1" applyNumberFormat="1" applyFont="1" applyFill="1" applyBorder="1" applyAlignment="1">
      <alignment horizontal="center"/>
    </xf>
    <xf numFmtId="2" fontId="21" fillId="0" borderId="4" xfId="1" applyNumberFormat="1" applyFont="1" applyBorder="1" applyAlignment="1">
      <alignment horizontal="center" vertical="center"/>
    </xf>
    <xf numFmtId="2" fontId="21" fillId="0" borderId="2" xfId="1" applyNumberFormat="1" applyFont="1" applyBorder="1" applyAlignment="1">
      <alignment horizontal="center" vertical="center"/>
    </xf>
    <xf numFmtId="2" fontId="21" fillId="0" borderId="3" xfId="1" applyNumberFormat="1" applyFont="1" applyBorder="1" applyAlignment="1">
      <alignment horizontal="center" vertical="center"/>
    </xf>
    <xf numFmtId="49" fontId="11" fillId="0" borderId="0" xfId="1" applyNumberFormat="1" applyFont="1" applyFill="1" applyAlignment="1">
      <alignment horizontal="center"/>
    </xf>
    <xf numFmtId="0" fontId="11" fillId="0" borderId="0" xfId="1" applyFont="1" applyFill="1" applyBorder="1" applyAlignment="1">
      <alignment horizontal="center"/>
    </xf>
    <xf numFmtId="49" fontId="15" fillId="0" borderId="1" xfId="1" applyNumberFormat="1" applyFont="1" applyFill="1" applyBorder="1" applyAlignment="1">
      <alignment horizontal="center" vertical="center"/>
    </xf>
    <xf numFmtId="49" fontId="15" fillId="0" borderId="1" xfId="1" applyNumberFormat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right"/>
    </xf>
    <xf numFmtId="0" fontId="27" fillId="0" borderId="1" xfId="1" applyFont="1" applyBorder="1" applyAlignment="1">
      <alignment horizontal="center"/>
    </xf>
    <xf numFmtId="0" fontId="15" fillId="0" borderId="1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/>
    </xf>
    <xf numFmtId="0" fontId="5" fillId="0" borderId="0" xfId="1" applyFont="1" applyAlignment="1" applyProtection="1">
      <alignment horizontal="right"/>
      <protection hidden="1"/>
    </xf>
    <xf numFmtId="0" fontId="5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8" fillId="0" borderId="0" xfId="1" applyFont="1" applyBorder="1" applyAlignment="1">
      <alignment horizontal="left"/>
    </xf>
    <xf numFmtId="0" fontId="10" fillId="0" borderId="0" xfId="1" applyFont="1" applyBorder="1" applyAlignment="1">
      <alignment horizontal="left"/>
    </xf>
    <xf numFmtId="0" fontId="5" fillId="0" borderId="0" xfId="1" applyFont="1" applyBorder="1" applyAlignment="1">
      <alignment horizontal="center"/>
    </xf>
    <xf numFmtId="2" fontId="5" fillId="0" borderId="0" xfId="1" applyNumberFormat="1" applyFont="1" applyBorder="1" applyAlignment="1">
      <alignment horizontal="center"/>
    </xf>
    <xf numFmtId="49" fontId="8" fillId="0" borderId="0" xfId="1" applyNumberFormat="1" applyFont="1" applyBorder="1" applyAlignment="1">
      <alignment horizontal="left"/>
    </xf>
    <xf numFmtId="0" fontId="8" fillId="0" borderId="1" xfId="1" applyFont="1" applyBorder="1" applyAlignment="1">
      <alignment horizontal="center" vertical="center"/>
    </xf>
    <xf numFmtId="0" fontId="23" fillId="0" borderId="4" xfId="1" applyFont="1" applyFill="1" applyBorder="1" applyAlignment="1">
      <alignment horizontal="center"/>
    </xf>
    <xf numFmtId="0" fontId="23" fillId="0" borderId="2" xfId="1" applyFont="1" applyFill="1" applyBorder="1" applyAlignment="1">
      <alignment horizontal="center"/>
    </xf>
    <xf numFmtId="0" fontId="23" fillId="0" borderId="3" xfId="1" applyFont="1" applyFill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23" fillId="0" borderId="4" xfId="1" applyFont="1" applyBorder="1" applyAlignment="1">
      <alignment horizontal="center"/>
    </xf>
    <xf numFmtId="0" fontId="23" fillId="0" borderId="2" xfId="1" applyFont="1" applyBorder="1" applyAlignment="1">
      <alignment horizontal="center"/>
    </xf>
    <xf numFmtId="0" fontId="23" fillId="0" borderId="3" xfId="1" applyFont="1" applyBorder="1" applyAlignment="1">
      <alignment horizontal="center"/>
    </xf>
    <xf numFmtId="0" fontId="5" fillId="0" borderId="0" xfId="1" applyFont="1" applyAlignment="1">
      <alignment horizontal="right"/>
    </xf>
    <xf numFmtId="0" fontId="5" fillId="0" borderId="0" xfId="1" applyFont="1" applyFill="1" applyAlignment="1">
      <alignment horizontal="center"/>
    </xf>
    <xf numFmtId="0" fontId="7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"/>
    </xf>
    <xf numFmtId="2" fontId="8" fillId="0" borderId="4" xfId="1" applyNumberFormat="1" applyFont="1" applyBorder="1" applyAlignment="1">
      <alignment horizontal="center"/>
    </xf>
    <xf numFmtId="2" fontId="8" fillId="0" borderId="2" xfId="1" applyNumberFormat="1" applyFont="1" applyBorder="1" applyAlignment="1">
      <alignment horizontal="center"/>
    </xf>
    <xf numFmtId="2" fontId="8" fillId="0" borderId="3" xfId="1" applyNumberFormat="1" applyFont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График зависимости КПД от теплопроизводительности котла ст.№1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ИсхДанные!$B$4</c:f>
              <c:strCache>
                <c:ptCount val="1"/>
                <c:pt idx="0">
                  <c:v>Коэффициент полезного действия,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ИсхДанные!$C$3:$F$3</c:f>
              <c:numCache>
                <c:formatCode>General</c:formatCode>
                <c:ptCount val="4"/>
                <c:pt idx="0">
                  <c:v>2.93</c:v>
                </c:pt>
                <c:pt idx="1">
                  <c:v>4.58</c:v>
                </c:pt>
                <c:pt idx="2">
                  <c:v>5.2</c:v>
                </c:pt>
                <c:pt idx="3">
                  <c:v>5.7</c:v>
                </c:pt>
              </c:numCache>
            </c:numRef>
          </c:xVal>
          <c:yVal>
            <c:numRef>
              <c:f>ИсхДанные!$C$4:$F$4</c:f>
              <c:numCache>
                <c:formatCode>General</c:formatCode>
                <c:ptCount val="4"/>
                <c:pt idx="0">
                  <c:v>89.5</c:v>
                </c:pt>
                <c:pt idx="1">
                  <c:v>90.8</c:v>
                </c:pt>
                <c:pt idx="2">
                  <c:v>91.1</c:v>
                </c:pt>
                <c:pt idx="3">
                  <c:v>91.3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109496"/>
        <c:axId val="410006848"/>
      </c:scatterChart>
      <c:valAx>
        <c:axId val="408109496"/>
        <c:scaling>
          <c:orientation val="minMax"/>
          <c:max val="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Теплопроизводительность</a:t>
                </a:r>
                <a:r>
                  <a:rPr lang="ru-RU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ru-RU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Гкал/час</a:t>
                </a:r>
                <a:endParaRPr lang="ru-RU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0006848"/>
        <c:crosses val="autoZero"/>
        <c:crossBetween val="midCat"/>
      </c:valAx>
      <c:valAx>
        <c:axId val="410006848"/>
        <c:scaling>
          <c:orientation val="minMax"/>
          <c:max val="92"/>
          <c:min val="8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Коэффициент</a:t>
                </a:r>
                <a:r>
                  <a:rPr lang="ru-RU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полезного действия,%</a:t>
                </a:r>
                <a:endParaRPr lang="ru-RU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4083044982699E-2"/>
              <c:y val="0.13652980678625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8109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График зависимости избытка воздуха от теплопроизводительности котла ст.№1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ИсхДанные!$B$7</c:f>
              <c:strCache>
                <c:ptCount val="1"/>
                <c:pt idx="0">
                  <c:v>Коэффициент избытка воздуха,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ИсхДанные!$C$6:$F$6</c:f>
              <c:numCache>
                <c:formatCode>General</c:formatCode>
                <c:ptCount val="4"/>
                <c:pt idx="0">
                  <c:v>2.93</c:v>
                </c:pt>
                <c:pt idx="1">
                  <c:v>4.58</c:v>
                </c:pt>
                <c:pt idx="2">
                  <c:v>5.2</c:v>
                </c:pt>
                <c:pt idx="3">
                  <c:v>5.7</c:v>
                </c:pt>
              </c:numCache>
            </c:numRef>
          </c:xVal>
          <c:yVal>
            <c:numRef>
              <c:f>ИсхДанные!$C$7:$F$7</c:f>
              <c:numCache>
                <c:formatCode>General</c:formatCode>
                <c:ptCount val="4"/>
                <c:pt idx="0">
                  <c:v>1.57</c:v>
                </c:pt>
                <c:pt idx="1">
                  <c:v>1.4</c:v>
                </c:pt>
                <c:pt idx="2">
                  <c:v>1.33</c:v>
                </c:pt>
                <c:pt idx="3">
                  <c:v>1.3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919944"/>
        <c:axId val="413323880"/>
      </c:scatterChart>
      <c:valAx>
        <c:axId val="487919944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Теплопроизводительность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Гкал/ч</a:t>
                </a:r>
                <a:endParaRPr lang="ru-R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3323880"/>
        <c:crosses val="autoZero"/>
        <c:crossBetween val="midCat"/>
      </c:valAx>
      <c:valAx>
        <c:axId val="413323880"/>
        <c:scaling>
          <c:orientation val="minMax"/>
          <c:max val="1.7000000000000002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Коэффициент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избытка воздуха, %</a:t>
                </a:r>
                <a:endParaRPr lang="ru-R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289866340428051E-2"/>
              <c:y val="0.13055555555555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91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График зависимости потерь тепла с уходящими газами от теплопроизводительности котла ст.№1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ИсхДанные!$B$10</c:f>
              <c:strCache>
                <c:ptCount val="1"/>
                <c:pt idx="0">
                  <c:v>Потеря тепла с уходящими газами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ИсхДанные!$C$9:$F$9</c:f>
              <c:numCache>
                <c:formatCode>General</c:formatCode>
                <c:ptCount val="4"/>
                <c:pt idx="0">
                  <c:v>2.93</c:v>
                </c:pt>
                <c:pt idx="1">
                  <c:v>4.58</c:v>
                </c:pt>
                <c:pt idx="2">
                  <c:v>5.2</c:v>
                </c:pt>
                <c:pt idx="3">
                  <c:v>5.7</c:v>
                </c:pt>
              </c:numCache>
            </c:numRef>
          </c:xVal>
          <c:yVal>
            <c:numRef>
              <c:f>ИсхДанные!$C$10:$F$10</c:f>
              <c:numCache>
                <c:formatCode>General</c:formatCode>
                <c:ptCount val="4"/>
                <c:pt idx="0">
                  <c:v>7.3</c:v>
                </c:pt>
                <c:pt idx="1">
                  <c:v>7.1</c:v>
                </c:pt>
                <c:pt idx="2">
                  <c:v>7.1</c:v>
                </c:pt>
                <c:pt idx="3">
                  <c:v>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300168"/>
        <c:axId val="407300952"/>
      </c:scatterChart>
      <c:valAx>
        <c:axId val="407300168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Теплопроизводительность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Гкал/ч</a:t>
                </a:r>
                <a:endParaRPr lang="ru-R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7300952"/>
        <c:crosses val="autoZero"/>
        <c:crossBetween val="midCat"/>
      </c:valAx>
      <c:valAx>
        <c:axId val="407300952"/>
        <c:scaling>
          <c:orientation val="minMax"/>
          <c:max val="7.5"/>
          <c:min val="6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Потери тепла с уходящими газами, %</a:t>
                </a:r>
              </a:p>
            </c:rich>
          </c:tx>
          <c:layout>
            <c:manualLayout>
              <c:xMode val="edge"/>
              <c:yMode val="edge"/>
              <c:x val="1.8486424032351241E-2"/>
              <c:y val="0.13055555555555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7300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График зависимости температуры уходящих газов от теплопроизводительности котла ст.№1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ИсхДанные!$B$13</c:f>
              <c:strCache>
                <c:ptCount val="1"/>
                <c:pt idx="0">
                  <c:v>Температура уходящих газов, оС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ИсхДанные!$C$12:$F$12</c:f>
              <c:numCache>
                <c:formatCode>General</c:formatCode>
                <c:ptCount val="4"/>
                <c:pt idx="0">
                  <c:v>2.93</c:v>
                </c:pt>
                <c:pt idx="1">
                  <c:v>4.58</c:v>
                </c:pt>
                <c:pt idx="2">
                  <c:v>5.2</c:v>
                </c:pt>
                <c:pt idx="3">
                  <c:v>5.7</c:v>
                </c:pt>
              </c:numCache>
            </c:numRef>
          </c:xVal>
          <c:yVal>
            <c:numRef>
              <c:f>ИсхДанные!$C$13:$F$13</c:f>
              <c:numCache>
                <c:formatCode>General</c:formatCode>
                <c:ptCount val="4"/>
                <c:pt idx="0">
                  <c:v>220</c:v>
                </c:pt>
                <c:pt idx="1">
                  <c:v>247</c:v>
                </c:pt>
                <c:pt idx="2">
                  <c:v>261</c:v>
                </c:pt>
                <c:pt idx="3">
                  <c:v>275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78152"/>
        <c:axId val="412271488"/>
      </c:scatterChart>
      <c:valAx>
        <c:axId val="412278152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Теплопроизводительность</a:t>
                </a: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Q</a:t>
                </a: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Гкал/ч.</a:t>
                </a:r>
                <a:r>
                  <a:rPr lang="ru-RU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ru-RU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271488"/>
        <c:crosses val="autoZero"/>
        <c:crossBetween val="midCat"/>
      </c:valAx>
      <c:valAx>
        <c:axId val="412271488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Температура уходящих газов, оС</a:t>
                </a:r>
              </a:p>
            </c:rich>
          </c:tx>
          <c:layout>
            <c:manualLayout>
              <c:xMode val="edge"/>
              <c:yMode val="edge"/>
              <c:x val="1.384083044982699E-2"/>
              <c:y val="0.207744825033074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2278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35433070866141736" l="0.70866141732283472" r="0.70866141732283472" t="0.35433070866141736" header="0.31496062992125984" footer="0.31496062992125984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4761</xdr:rowOff>
    </xdr:from>
    <xdr:to>
      <xdr:col>11</xdr:col>
      <xdr:colOff>19050</xdr:colOff>
      <xdr:row>16</xdr:row>
      <xdr:rowOff>180974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14286</xdr:colOff>
      <xdr:row>18</xdr:row>
      <xdr:rowOff>23812</xdr:rowOff>
    </xdr:from>
    <xdr:to>
      <xdr:col>11</xdr:col>
      <xdr:colOff>9525</xdr:colOff>
      <xdr:row>30</xdr:row>
      <xdr:rowOff>171450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4762</xdr:rowOff>
    </xdr:from>
    <xdr:to>
      <xdr:col>11</xdr:col>
      <xdr:colOff>9525</xdr:colOff>
      <xdr:row>46</xdr:row>
      <xdr:rowOff>19050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47</xdr:row>
      <xdr:rowOff>4762</xdr:rowOff>
    </xdr:from>
    <xdr:to>
      <xdr:col>11</xdr:col>
      <xdr:colOff>19050</xdr:colOff>
      <xdr:row>57</xdr:row>
      <xdr:rowOff>171450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zoomScale="130" zoomScaleNormal="130" workbookViewId="0">
      <selection activeCell="C9" sqref="C9"/>
    </sheetView>
  </sheetViews>
  <sheetFormatPr defaultRowHeight="15" x14ac:dyDescent="0.25"/>
  <cols>
    <col min="1" max="1" width="4.85546875" customWidth="1"/>
    <col min="3" max="3" width="31.28515625" customWidth="1"/>
    <col min="8" max="9" width="9.140625" style="38"/>
  </cols>
  <sheetData>
    <row r="1" spans="2:9" x14ac:dyDescent="0.25">
      <c r="B1" s="4"/>
      <c r="C1" s="139" t="s">
        <v>169</v>
      </c>
      <c r="D1" s="139"/>
      <c r="E1" s="139"/>
      <c r="F1" s="139"/>
      <c r="G1" s="139"/>
    </row>
    <row r="2" spans="2:9" x14ac:dyDescent="0.25">
      <c r="B2" s="4"/>
      <c r="C2" s="143" t="s">
        <v>0</v>
      </c>
      <c r="D2" s="143"/>
      <c r="E2" s="5" t="s">
        <v>93</v>
      </c>
      <c r="F2" s="5"/>
      <c r="G2" s="5"/>
    </row>
    <row r="3" spans="2:9" x14ac:dyDescent="0.25">
      <c r="B3" s="4"/>
      <c r="C3" s="140" t="s">
        <v>1</v>
      </c>
      <c r="D3" s="140"/>
      <c r="E3" s="140"/>
      <c r="F3" s="140"/>
      <c r="G3" s="140"/>
    </row>
    <row r="4" spans="2:9" ht="15" customHeight="1" x14ac:dyDescent="0.25">
      <c r="B4" s="17" t="s">
        <v>2</v>
      </c>
      <c r="C4" s="141" t="s">
        <v>3</v>
      </c>
      <c r="D4" s="142" t="s">
        <v>4</v>
      </c>
      <c r="E4" s="141" t="s">
        <v>5</v>
      </c>
      <c r="F4" s="144" t="s">
        <v>99</v>
      </c>
      <c r="G4" s="144"/>
      <c r="H4" s="144"/>
      <c r="I4" s="144"/>
    </row>
    <row r="5" spans="2:9" x14ac:dyDescent="0.25">
      <c r="B5" s="17"/>
      <c r="C5" s="141"/>
      <c r="D5" s="142"/>
      <c r="E5" s="141"/>
      <c r="F5" s="145" t="s">
        <v>94</v>
      </c>
      <c r="G5" s="145"/>
      <c r="H5" s="145"/>
      <c r="I5" s="145"/>
    </row>
    <row r="6" spans="2:9" x14ac:dyDescent="0.25">
      <c r="B6" s="17" t="s">
        <v>6</v>
      </c>
      <c r="C6" s="141"/>
      <c r="D6" s="142"/>
      <c r="E6" s="141"/>
      <c r="F6" s="13" t="s">
        <v>95</v>
      </c>
      <c r="G6" s="13" t="s">
        <v>96</v>
      </c>
      <c r="H6" s="15" t="s">
        <v>97</v>
      </c>
      <c r="I6" s="15" t="s">
        <v>98</v>
      </c>
    </row>
    <row r="7" spans="2:9" x14ac:dyDescent="0.25">
      <c r="B7" s="17">
        <v>1</v>
      </c>
      <c r="C7" s="1">
        <v>2</v>
      </c>
      <c r="D7" s="1">
        <v>3</v>
      </c>
      <c r="E7" s="1">
        <v>4</v>
      </c>
      <c r="F7" s="17">
        <v>5</v>
      </c>
      <c r="G7" s="1">
        <v>6</v>
      </c>
      <c r="H7" s="1">
        <v>7</v>
      </c>
      <c r="I7" s="1">
        <v>8</v>
      </c>
    </row>
    <row r="8" spans="2:9" x14ac:dyDescent="0.25">
      <c r="B8" s="19"/>
      <c r="C8" s="1" t="s">
        <v>7</v>
      </c>
      <c r="D8" s="6"/>
      <c r="E8" s="6"/>
      <c r="F8" s="20" t="s">
        <v>8</v>
      </c>
      <c r="G8" s="21">
        <v>0</v>
      </c>
      <c r="H8" s="14"/>
      <c r="I8" s="14"/>
    </row>
    <row r="9" spans="2:9" x14ac:dyDescent="0.25">
      <c r="B9" s="17" t="s">
        <v>9</v>
      </c>
      <c r="C9" s="7" t="s">
        <v>10</v>
      </c>
      <c r="D9" s="1" t="s">
        <v>11</v>
      </c>
      <c r="E9" s="1" t="s">
        <v>12</v>
      </c>
      <c r="F9" s="36">
        <v>8000</v>
      </c>
      <c r="G9" s="36">
        <v>8000</v>
      </c>
      <c r="H9" s="36">
        <v>8000</v>
      </c>
      <c r="I9" s="36">
        <v>8000</v>
      </c>
    </row>
    <row r="10" spans="2:9" x14ac:dyDescent="0.25">
      <c r="B10" s="17" t="s">
        <v>13</v>
      </c>
      <c r="C10" s="7" t="s">
        <v>14</v>
      </c>
      <c r="D10" s="1" t="s">
        <v>15</v>
      </c>
      <c r="E10" s="8" t="s">
        <v>16</v>
      </c>
      <c r="F10" s="13">
        <v>13</v>
      </c>
      <c r="G10" s="13">
        <v>13</v>
      </c>
      <c r="H10" s="13">
        <v>13</v>
      </c>
      <c r="I10" s="13">
        <v>13</v>
      </c>
    </row>
    <row r="11" spans="2:9" x14ac:dyDescent="0.25">
      <c r="B11" s="17" t="s">
        <v>17</v>
      </c>
      <c r="C11" s="7" t="s">
        <v>18</v>
      </c>
      <c r="D11" s="1" t="s">
        <v>19</v>
      </c>
      <c r="E11" s="1" t="s">
        <v>20</v>
      </c>
      <c r="F11" s="130">
        <v>760</v>
      </c>
      <c r="G11" s="131"/>
      <c r="H11" s="131"/>
      <c r="I11" s="132"/>
    </row>
    <row r="12" spans="2:9" x14ac:dyDescent="0.25">
      <c r="B12" s="17" t="s">
        <v>21</v>
      </c>
      <c r="C12" s="7" t="s">
        <v>22</v>
      </c>
      <c r="D12" s="1" t="s">
        <v>23</v>
      </c>
      <c r="E12" s="1" t="s">
        <v>24</v>
      </c>
      <c r="F12" s="133">
        <v>2</v>
      </c>
      <c r="G12" s="134"/>
      <c r="H12" s="134"/>
      <c r="I12" s="135"/>
    </row>
    <row r="13" spans="2:9" x14ac:dyDescent="0.25">
      <c r="B13" s="17" t="s">
        <v>25</v>
      </c>
      <c r="C13" s="7" t="s">
        <v>26</v>
      </c>
      <c r="D13" s="1" t="s">
        <v>102</v>
      </c>
      <c r="E13" s="1" t="s">
        <v>100</v>
      </c>
      <c r="F13" s="22">
        <v>0.7</v>
      </c>
      <c r="G13" s="22">
        <v>1.8</v>
      </c>
      <c r="H13" s="37">
        <v>2.25</v>
      </c>
      <c r="I13" s="37">
        <v>2.6</v>
      </c>
    </row>
    <row r="14" spans="2:9" x14ac:dyDescent="0.25">
      <c r="B14" s="17" t="s">
        <v>101</v>
      </c>
      <c r="C14" s="7" t="s">
        <v>103</v>
      </c>
      <c r="D14" s="1" t="s">
        <v>104</v>
      </c>
      <c r="E14" s="3" t="s">
        <v>27</v>
      </c>
      <c r="F14" s="23">
        <v>0.2</v>
      </c>
      <c r="G14" s="23">
        <v>0.4</v>
      </c>
      <c r="H14" s="16">
        <v>0.5</v>
      </c>
      <c r="I14" s="16">
        <v>0.6</v>
      </c>
    </row>
    <row r="15" spans="2:9" x14ac:dyDescent="0.25">
      <c r="B15" s="17"/>
      <c r="C15" s="1" t="s">
        <v>28</v>
      </c>
      <c r="D15" s="1"/>
      <c r="E15" s="1"/>
      <c r="F15" s="18"/>
      <c r="G15" s="24"/>
      <c r="H15" s="14"/>
      <c r="I15" s="14"/>
    </row>
    <row r="16" spans="2:9" x14ac:dyDescent="0.25">
      <c r="B16" s="17" t="s">
        <v>29</v>
      </c>
      <c r="C16" s="7" t="s">
        <v>105</v>
      </c>
      <c r="D16" s="1" t="s">
        <v>106</v>
      </c>
      <c r="E16" s="3" t="s">
        <v>37</v>
      </c>
      <c r="F16" s="25">
        <v>120</v>
      </c>
      <c r="G16" s="18">
        <v>150</v>
      </c>
      <c r="H16" s="16">
        <v>180</v>
      </c>
      <c r="I16" s="16">
        <v>200</v>
      </c>
    </row>
    <row r="17" spans="2:9" x14ac:dyDescent="0.25">
      <c r="B17" s="17" t="s">
        <v>30</v>
      </c>
      <c r="C17" s="7" t="s">
        <v>31</v>
      </c>
      <c r="D17" s="1" t="s">
        <v>32</v>
      </c>
      <c r="E17" s="8" t="s">
        <v>16</v>
      </c>
      <c r="F17" s="13">
        <v>20</v>
      </c>
      <c r="G17" s="13">
        <v>20</v>
      </c>
      <c r="H17" s="13">
        <v>20</v>
      </c>
      <c r="I17" s="13">
        <v>20</v>
      </c>
    </row>
    <row r="18" spans="2:9" x14ac:dyDescent="0.25">
      <c r="B18" s="9"/>
      <c r="C18" s="1" t="s">
        <v>33</v>
      </c>
      <c r="D18" s="9"/>
      <c r="E18" s="2"/>
      <c r="F18" s="12"/>
      <c r="G18" s="12"/>
      <c r="H18" s="14"/>
      <c r="I18" s="14"/>
    </row>
    <row r="19" spans="2:9" x14ac:dyDescent="0.25">
      <c r="B19" s="9" t="s">
        <v>34</v>
      </c>
      <c r="C19" s="10" t="s">
        <v>35</v>
      </c>
      <c r="D19" s="3" t="s">
        <v>36</v>
      </c>
      <c r="E19" s="3" t="s">
        <v>37</v>
      </c>
      <c r="F19" s="26">
        <v>20</v>
      </c>
      <c r="G19" s="26">
        <v>20</v>
      </c>
      <c r="H19" s="26">
        <v>20</v>
      </c>
      <c r="I19" s="26">
        <v>20</v>
      </c>
    </row>
    <row r="20" spans="2:9" x14ac:dyDescent="0.25">
      <c r="B20" s="17"/>
      <c r="C20" s="1" t="s">
        <v>38</v>
      </c>
      <c r="D20" s="1"/>
      <c r="E20" s="1"/>
      <c r="F20" s="27"/>
      <c r="G20" s="27"/>
      <c r="H20" s="14"/>
      <c r="I20" s="14"/>
    </row>
    <row r="21" spans="2:9" x14ac:dyDescent="0.25">
      <c r="B21" s="17" t="s">
        <v>39</v>
      </c>
      <c r="C21" s="7" t="s">
        <v>40</v>
      </c>
      <c r="D21" s="1" t="s">
        <v>41</v>
      </c>
      <c r="E21" s="8" t="s">
        <v>16</v>
      </c>
      <c r="F21" s="18">
        <v>100</v>
      </c>
      <c r="G21" s="18">
        <v>100</v>
      </c>
      <c r="H21" s="18">
        <v>100</v>
      </c>
      <c r="I21" s="18">
        <v>100</v>
      </c>
    </row>
    <row r="22" spans="2:9" x14ac:dyDescent="0.25">
      <c r="B22" s="17" t="s">
        <v>42</v>
      </c>
      <c r="C22" s="7" t="s">
        <v>43</v>
      </c>
      <c r="D22" s="1" t="s">
        <v>44</v>
      </c>
      <c r="E22" s="8" t="s">
        <v>16</v>
      </c>
      <c r="F22" s="18">
        <v>126</v>
      </c>
      <c r="G22" s="18">
        <v>228</v>
      </c>
      <c r="H22" s="16">
        <v>131</v>
      </c>
      <c r="I22" s="16">
        <v>133</v>
      </c>
    </row>
    <row r="23" spans="2:9" x14ac:dyDescent="0.25">
      <c r="B23" s="17" t="s">
        <v>45</v>
      </c>
      <c r="C23" s="7" t="s">
        <v>46</v>
      </c>
      <c r="D23" s="1" t="s">
        <v>47</v>
      </c>
      <c r="E23" s="8" t="s">
        <v>16</v>
      </c>
      <c r="F23" s="18">
        <f>F22-F21</f>
        <v>26</v>
      </c>
      <c r="G23" s="18">
        <f t="shared" ref="G23:I23" si="0">G22-G21</f>
        <v>128</v>
      </c>
      <c r="H23" s="18">
        <f t="shared" si="0"/>
        <v>31</v>
      </c>
      <c r="I23" s="18">
        <f t="shared" si="0"/>
        <v>33</v>
      </c>
    </row>
    <row r="24" spans="2:9" x14ac:dyDescent="0.25">
      <c r="B24" s="17" t="s">
        <v>48</v>
      </c>
      <c r="C24" s="11" t="s">
        <v>49</v>
      </c>
      <c r="D24" s="3" t="s">
        <v>50</v>
      </c>
      <c r="E24" s="3" t="s">
        <v>24</v>
      </c>
      <c r="F24" s="28">
        <v>10</v>
      </c>
      <c r="G24" s="28">
        <v>10</v>
      </c>
      <c r="H24" s="28">
        <v>10</v>
      </c>
      <c r="I24" s="28">
        <v>10</v>
      </c>
    </row>
    <row r="25" spans="2:9" x14ac:dyDescent="0.25">
      <c r="B25" s="17" t="s">
        <v>51</v>
      </c>
      <c r="C25" s="11" t="s">
        <v>52</v>
      </c>
      <c r="D25" s="3" t="s">
        <v>53</v>
      </c>
      <c r="E25" s="3" t="s">
        <v>24</v>
      </c>
      <c r="F25" s="28">
        <v>8</v>
      </c>
      <c r="G25" s="28">
        <v>8</v>
      </c>
      <c r="H25" s="28">
        <v>8</v>
      </c>
      <c r="I25" s="28">
        <v>8</v>
      </c>
    </row>
    <row r="26" spans="2:9" x14ac:dyDescent="0.25">
      <c r="B26" s="17" t="s">
        <v>54</v>
      </c>
      <c r="C26" s="7" t="s">
        <v>108</v>
      </c>
      <c r="D26" s="29" t="s">
        <v>55</v>
      </c>
      <c r="E26" s="1" t="s">
        <v>107</v>
      </c>
      <c r="F26" s="25">
        <v>5.2</v>
      </c>
      <c r="G26" s="25">
        <v>8.1</v>
      </c>
      <c r="H26" s="16">
        <v>9.1999999999999993</v>
      </c>
      <c r="I26" s="16">
        <v>10.1</v>
      </c>
    </row>
    <row r="27" spans="2:9" x14ac:dyDescent="0.25">
      <c r="B27" s="17"/>
      <c r="C27" s="1" t="s">
        <v>56</v>
      </c>
      <c r="D27" s="1"/>
      <c r="E27" s="1"/>
      <c r="F27" s="18"/>
      <c r="G27" s="18"/>
      <c r="H27" s="14"/>
      <c r="I27" s="14"/>
    </row>
    <row r="28" spans="2:9" x14ac:dyDescent="0.25">
      <c r="B28" s="30" t="s">
        <v>57</v>
      </c>
      <c r="C28" s="7" t="s">
        <v>60</v>
      </c>
      <c r="D28" s="29"/>
      <c r="E28" s="29"/>
      <c r="F28" s="29"/>
      <c r="G28" s="29"/>
      <c r="H28" s="14"/>
      <c r="I28" s="14"/>
    </row>
    <row r="29" spans="2:9" x14ac:dyDescent="0.25">
      <c r="B29" s="30"/>
      <c r="C29" s="7" t="s">
        <v>61</v>
      </c>
      <c r="D29" s="1" t="s">
        <v>62</v>
      </c>
      <c r="E29" s="1" t="s">
        <v>58</v>
      </c>
      <c r="F29" s="31">
        <v>7.2</v>
      </c>
      <c r="G29" s="31">
        <v>8.1999999999999993</v>
      </c>
      <c r="H29" s="16">
        <v>8.6</v>
      </c>
      <c r="I29" s="16">
        <v>8.8000000000000007</v>
      </c>
    </row>
    <row r="30" spans="2:9" x14ac:dyDescent="0.25">
      <c r="B30" s="30"/>
      <c r="C30" s="10" t="s">
        <v>63</v>
      </c>
      <c r="D30" s="1" t="s">
        <v>64</v>
      </c>
      <c r="E30" s="1" t="s">
        <v>58</v>
      </c>
      <c r="F30" s="28">
        <v>8.1999999999999993</v>
      </c>
      <c r="G30" s="28">
        <v>6.4</v>
      </c>
      <c r="H30" s="39">
        <v>5.7</v>
      </c>
      <c r="I30" s="39">
        <v>5.3</v>
      </c>
    </row>
    <row r="31" spans="2:9" x14ac:dyDescent="0.25">
      <c r="B31" s="30" t="s">
        <v>59</v>
      </c>
      <c r="C31" s="7" t="s">
        <v>66</v>
      </c>
      <c r="D31" s="1" t="s">
        <v>67</v>
      </c>
      <c r="E31" s="1" t="s">
        <v>68</v>
      </c>
      <c r="F31" s="31">
        <v>1.57</v>
      </c>
      <c r="G31" s="31">
        <v>1.4</v>
      </c>
      <c r="H31" s="16">
        <v>1.33</v>
      </c>
      <c r="I31" s="16">
        <v>1.3</v>
      </c>
    </row>
    <row r="32" spans="2:9" x14ac:dyDescent="0.25">
      <c r="B32" s="30" t="s">
        <v>65</v>
      </c>
      <c r="C32" s="7" t="s">
        <v>69</v>
      </c>
      <c r="D32" s="1" t="s">
        <v>70</v>
      </c>
      <c r="E32" s="8" t="s">
        <v>16</v>
      </c>
      <c r="F32" s="26">
        <v>220</v>
      </c>
      <c r="G32" s="26">
        <v>247</v>
      </c>
      <c r="H32" s="16">
        <v>261</v>
      </c>
      <c r="I32" s="16">
        <v>275</v>
      </c>
    </row>
    <row r="33" spans="2:10" x14ac:dyDescent="0.25">
      <c r="B33" s="19"/>
      <c r="C33" s="1" t="s">
        <v>71</v>
      </c>
      <c r="D33" s="6"/>
      <c r="E33" s="6"/>
      <c r="F33" s="32"/>
      <c r="G33" s="32"/>
      <c r="H33" s="14"/>
      <c r="I33" s="14"/>
    </row>
    <row r="34" spans="2:10" x14ac:dyDescent="0.25">
      <c r="B34" s="17" t="s">
        <v>72</v>
      </c>
      <c r="C34" s="7" t="s">
        <v>74</v>
      </c>
      <c r="D34" s="1" t="s">
        <v>75</v>
      </c>
      <c r="E34" s="1" t="s">
        <v>58</v>
      </c>
      <c r="F34" s="28">
        <v>7.3</v>
      </c>
      <c r="G34" s="28">
        <v>7.1</v>
      </c>
      <c r="H34" s="40">
        <v>7.1</v>
      </c>
      <c r="I34" s="40">
        <v>7</v>
      </c>
    </row>
    <row r="35" spans="2:10" x14ac:dyDescent="0.25">
      <c r="B35" s="17" t="s">
        <v>73</v>
      </c>
      <c r="C35" s="116" t="s">
        <v>77</v>
      </c>
      <c r="D35" s="1" t="s">
        <v>78</v>
      </c>
      <c r="E35" s="1" t="s">
        <v>58</v>
      </c>
      <c r="F35" s="31">
        <v>0</v>
      </c>
      <c r="G35" s="31">
        <v>0</v>
      </c>
      <c r="H35" s="31">
        <v>0</v>
      </c>
      <c r="I35" s="31">
        <v>0</v>
      </c>
    </row>
    <row r="36" spans="2:10" x14ac:dyDescent="0.25">
      <c r="B36" s="17" t="s">
        <v>76</v>
      </c>
      <c r="C36" s="116" t="s">
        <v>80</v>
      </c>
      <c r="D36" s="1" t="s">
        <v>81</v>
      </c>
      <c r="E36" s="1" t="s">
        <v>58</v>
      </c>
      <c r="F36" s="31">
        <v>3.2</v>
      </c>
      <c r="G36" s="31">
        <v>2.1</v>
      </c>
      <c r="H36" s="16">
        <v>1.8</v>
      </c>
      <c r="I36" s="16">
        <v>1.7</v>
      </c>
    </row>
    <row r="37" spans="2:10" x14ac:dyDescent="0.25">
      <c r="B37" s="17" t="s">
        <v>79</v>
      </c>
      <c r="C37" s="7" t="s">
        <v>83</v>
      </c>
      <c r="D37" s="1" t="s">
        <v>84</v>
      </c>
      <c r="E37" s="1" t="s">
        <v>58</v>
      </c>
      <c r="F37" s="28">
        <v>89.5</v>
      </c>
      <c r="G37" s="28">
        <v>90.8</v>
      </c>
      <c r="H37" s="16">
        <v>91.1</v>
      </c>
      <c r="I37" s="16">
        <v>91.3</v>
      </c>
    </row>
    <row r="38" spans="2:10" x14ac:dyDescent="0.25">
      <c r="B38" s="17" t="s">
        <v>82</v>
      </c>
      <c r="C38" s="7" t="s">
        <v>87</v>
      </c>
      <c r="D38" s="1" t="s">
        <v>88</v>
      </c>
      <c r="E38" s="1" t="s">
        <v>86</v>
      </c>
      <c r="F38" s="33">
        <v>2.93</v>
      </c>
      <c r="G38" s="33">
        <v>4.58</v>
      </c>
      <c r="H38" s="16">
        <v>5.2</v>
      </c>
      <c r="I38" s="16">
        <v>5.7</v>
      </c>
      <c r="J38" s="41"/>
    </row>
    <row r="39" spans="2:10" x14ac:dyDescent="0.25">
      <c r="B39" s="17" t="s">
        <v>85</v>
      </c>
      <c r="C39" s="7" t="s">
        <v>87</v>
      </c>
      <c r="D39" s="1" t="s">
        <v>88</v>
      </c>
      <c r="E39" s="1" t="s">
        <v>89</v>
      </c>
      <c r="F39" s="31">
        <v>3.4</v>
      </c>
      <c r="G39" s="31">
        <v>5.31</v>
      </c>
      <c r="H39" s="16">
        <v>6</v>
      </c>
      <c r="I39" s="16">
        <v>6.6</v>
      </c>
    </row>
    <row r="40" spans="2:10" ht="39.75" customHeight="1" x14ac:dyDescent="0.25">
      <c r="B40" s="34" t="s">
        <v>109</v>
      </c>
      <c r="C40" s="35" t="s">
        <v>91</v>
      </c>
      <c r="D40" s="3" t="s">
        <v>92</v>
      </c>
      <c r="E40" s="3" t="s">
        <v>90</v>
      </c>
      <c r="F40" s="136">
        <v>164</v>
      </c>
      <c r="G40" s="137"/>
      <c r="H40" s="137"/>
      <c r="I40" s="138"/>
    </row>
  </sheetData>
  <mergeCells count="11">
    <mergeCell ref="F11:I11"/>
    <mergeCell ref="F12:I12"/>
    <mergeCell ref="F40:I40"/>
    <mergeCell ref="C1:G1"/>
    <mergeCell ref="C3:G3"/>
    <mergeCell ref="C4:C6"/>
    <mergeCell ref="D4:D6"/>
    <mergeCell ref="E4:E6"/>
    <mergeCell ref="C2:D2"/>
    <mergeCell ref="F4:I4"/>
    <mergeCell ref="F5:I5"/>
  </mergeCells>
  <pageMargins left="0.19685039370078741" right="0.19685039370078741" top="0.35433070866141736" bottom="0.35433070866141736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6"/>
  <sheetViews>
    <sheetView tabSelected="1" topLeftCell="A46" zoomScaleNormal="100" zoomScaleSheetLayoutView="140" workbookViewId="0">
      <selection activeCell="D49" sqref="D49"/>
    </sheetView>
  </sheetViews>
  <sheetFormatPr defaultRowHeight="15" x14ac:dyDescent="0.25"/>
  <cols>
    <col min="1" max="1" width="8.42578125" customWidth="1"/>
    <col min="2" max="2" width="6.140625" customWidth="1"/>
    <col min="3" max="3" width="32.7109375" customWidth="1"/>
    <col min="5" max="9" width="10.140625" customWidth="1"/>
  </cols>
  <sheetData>
    <row r="1" spans="2:11" ht="15.75" x14ac:dyDescent="0.25">
      <c r="B1" s="49"/>
      <c r="C1" s="49"/>
      <c r="D1" s="88"/>
      <c r="E1" s="97"/>
      <c r="F1" s="120" t="s">
        <v>110</v>
      </c>
      <c r="G1" s="97"/>
      <c r="H1" s="97"/>
      <c r="I1" s="46"/>
      <c r="J1" s="46"/>
      <c r="K1" s="46"/>
    </row>
    <row r="2" spans="2:11" ht="28.5" customHeight="1" x14ac:dyDescent="0.25">
      <c r="B2" s="52"/>
      <c r="C2" s="52"/>
      <c r="D2" s="88"/>
      <c r="E2" s="98"/>
      <c r="F2" s="184" t="s">
        <v>175</v>
      </c>
      <c r="G2" s="184"/>
      <c r="H2" s="98"/>
      <c r="I2" s="47"/>
      <c r="J2" s="47"/>
      <c r="K2" s="47"/>
    </row>
    <row r="3" spans="2:11" ht="15.75" customHeight="1" x14ac:dyDescent="0.25">
      <c r="B3" s="52"/>
      <c r="C3" s="52"/>
      <c r="D3" s="103"/>
      <c r="E3" s="98"/>
      <c r="F3" s="120" t="s">
        <v>111</v>
      </c>
      <c r="G3" s="98"/>
      <c r="H3" s="98"/>
      <c r="I3" s="47"/>
      <c r="J3" s="47"/>
      <c r="K3" s="47"/>
    </row>
    <row r="4" spans="2:11" ht="15.75" customHeight="1" x14ac:dyDescent="0.25">
      <c r="B4" s="52"/>
      <c r="C4" s="52"/>
      <c r="D4" s="52"/>
      <c r="E4" s="98"/>
      <c r="F4" s="121" t="s">
        <v>170</v>
      </c>
      <c r="G4" s="98"/>
      <c r="H4" s="98"/>
      <c r="I4" s="47"/>
      <c r="J4" s="47"/>
      <c r="K4" s="47"/>
    </row>
    <row r="5" spans="2:11" ht="15.75" x14ac:dyDescent="0.25">
      <c r="B5" s="52"/>
      <c r="C5" s="52"/>
      <c r="D5" s="52"/>
      <c r="E5" s="97"/>
      <c r="F5" s="121" t="s">
        <v>112</v>
      </c>
      <c r="G5" s="97"/>
      <c r="H5" s="97"/>
      <c r="I5" s="47"/>
      <c r="J5" s="47"/>
      <c r="K5" s="47"/>
    </row>
    <row r="6" spans="2:11" ht="15.75" x14ac:dyDescent="0.25">
      <c r="B6" s="52"/>
      <c r="C6" s="52"/>
      <c r="D6" s="52"/>
      <c r="E6" s="99"/>
      <c r="F6" s="121" t="s">
        <v>177</v>
      </c>
      <c r="G6" s="99"/>
      <c r="H6" s="99"/>
      <c r="I6" s="47"/>
      <c r="J6" s="47"/>
      <c r="K6" s="47"/>
    </row>
    <row r="7" spans="2:11" ht="15.75" x14ac:dyDescent="0.25">
      <c r="B7" s="148" t="s">
        <v>113</v>
      </c>
      <c r="C7" s="148"/>
      <c r="D7" s="148"/>
      <c r="E7" s="148"/>
      <c r="F7" s="148"/>
      <c r="G7" s="47"/>
      <c r="H7" s="47"/>
      <c r="I7" s="47"/>
      <c r="J7" s="47"/>
      <c r="K7" s="47"/>
    </row>
    <row r="8" spans="2:11" ht="15.75" x14ac:dyDescent="0.25">
      <c r="B8" s="170" t="s">
        <v>167</v>
      </c>
      <c r="C8" s="170"/>
      <c r="D8" s="170"/>
      <c r="E8" s="170"/>
      <c r="F8" s="170"/>
      <c r="G8" s="47"/>
      <c r="H8" s="47"/>
      <c r="I8" s="47"/>
      <c r="J8" s="47"/>
      <c r="K8" s="47"/>
    </row>
    <row r="9" spans="2:11" ht="19.5" x14ac:dyDescent="0.3">
      <c r="B9" s="147" t="s">
        <v>114</v>
      </c>
      <c r="C9" s="147"/>
      <c r="D9" s="147"/>
      <c r="E9" s="105" t="s">
        <v>115</v>
      </c>
      <c r="F9" s="106"/>
      <c r="G9" s="106"/>
      <c r="H9" s="106"/>
      <c r="I9" s="106"/>
      <c r="J9" s="106"/>
      <c r="K9" s="106"/>
    </row>
    <row r="10" spans="2:11" ht="15.75" x14ac:dyDescent="0.25">
      <c r="B10" s="169" t="s">
        <v>116</v>
      </c>
      <c r="C10" s="169"/>
      <c r="D10" s="49" t="s">
        <v>152</v>
      </c>
      <c r="E10" s="103"/>
      <c r="F10" s="107"/>
      <c r="G10" s="106"/>
      <c r="H10" s="106"/>
      <c r="I10" s="106"/>
      <c r="J10" s="106"/>
      <c r="K10" s="106"/>
    </row>
    <row r="11" spans="2:11" ht="15.75" x14ac:dyDescent="0.25">
      <c r="B11" s="88"/>
      <c r="C11" s="148" t="s">
        <v>1</v>
      </c>
      <c r="D11" s="148"/>
      <c r="E11" s="148"/>
      <c r="F11" s="148"/>
      <c r="G11" s="47"/>
      <c r="H11" s="47"/>
      <c r="I11" s="47"/>
      <c r="J11" s="47"/>
      <c r="K11" s="47"/>
    </row>
    <row r="12" spans="2:11" ht="15.75" x14ac:dyDescent="0.25">
      <c r="B12" s="88"/>
      <c r="C12" s="88"/>
      <c r="D12" s="88"/>
      <c r="E12" s="88"/>
      <c r="F12" s="88"/>
      <c r="G12" s="47"/>
      <c r="H12" s="47"/>
      <c r="I12" s="47"/>
      <c r="J12" s="47"/>
      <c r="K12" s="47"/>
    </row>
    <row r="13" spans="2:11" ht="15.75" x14ac:dyDescent="0.25">
      <c r="B13" s="52"/>
      <c r="C13" s="52"/>
      <c r="D13" s="52"/>
      <c r="E13" s="52"/>
      <c r="F13" s="52"/>
      <c r="G13" s="47"/>
      <c r="H13" s="47"/>
      <c r="I13" s="47"/>
      <c r="J13" s="47"/>
      <c r="K13" s="47"/>
    </row>
    <row r="14" spans="2:11" ht="15.75" x14ac:dyDescent="0.25">
      <c r="B14" s="156" t="s">
        <v>2</v>
      </c>
      <c r="C14" s="156" t="s">
        <v>117</v>
      </c>
      <c r="D14" s="149" t="s">
        <v>5</v>
      </c>
      <c r="E14" s="172" t="s">
        <v>118</v>
      </c>
      <c r="F14" s="172"/>
      <c r="G14" s="172"/>
      <c r="H14" s="172"/>
      <c r="I14" s="47"/>
      <c r="J14" s="47"/>
      <c r="K14" s="47"/>
    </row>
    <row r="15" spans="2:11" ht="15.75" x14ac:dyDescent="0.25">
      <c r="B15" s="156"/>
      <c r="C15" s="156"/>
      <c r="D15" s="149"/>
      <c r="E15" s="108" t="s">
        <v>95</v>
      </c>
      <c r="F15" s="108" t="s">
        <v>96</v>
      </c>
      <c r="G15" s="109" t="s">
        <v>97</v>
      </c>
      <c r="H15" s="109" t="s">
        <v>98</v>
      </c>
      <c r="I15" s="45"/>
      <c r="J15" s="45"/>
      <c r="K15" s="45"/>
    </row>
    <row r="16" spans="2:11" ht="15.75" x14ac:dyDescent="0.25">
      <c r="B16" s="149">
        <v>1</v>
      </c>
      <c r="C16" s="171" t="s">
        <v>119</v>
      </c>
      <c r="D16" s="82" t="s">
        <v>86</v>
      </c>
      <c r="E16" s="63">
        <v>2.93</v>
      </c>
      <c r="F16" s="63">
        <v>4.58</v>
      </c>
      <c r="G16" s="109">
        <v>5.2</v>
      </c>
      <c r="H16" s="109">
        <v>5.7</v>
      </c>
      <c r="I16" s="45"/>
      <c r="J16" s="45"/>
      <c r="K16" s="45"/>
    </row>
    <row r="17" spans="2:11" ht="15.75" x14ac:dyDescent="0.25">
      <c r="B17" s="149"/>
      <c r="C17" s="171"/>
      <c r="D17" s="75" t="s">
        <v>89</v>
      </c>
      <c r="E17" s="63">
        <v>3.4</v>
      </c>
      <c r="F17" s="63">
        <v>5.31</v>
      </c>
      <c r="G17" s="109">
        <v>6</v>
      </c>
      <c r="H17" s="109">
        <v>6.6</v>
      </c>
      <c r="I17" s="45"/>
      <c r="J17" s="45"/>
      <c r="K17" s="45"/>
    </row>
    <row r="18" spans="2:11" ht="16.5" x14ac:dyDescent="0.25">
      <c r="B18" s="56">
        <v>2</v>
      </c>
      <c r="C18" s="64" t="s">
        <v>22</v>
      </c>
      <c r="D18" s="56" t="s">
        <v>120</v>
      </c>
      <c r="E18" s="173">
        <v>2</v>
      </c>
      <c r="F18" s="174"/>
      <c r="G18" s="174"/>
      <c r="H18" s="175"/>
      <c r="I18" s="45"/>
      <c r="J18" s="45"/>
      <c r="K18" s="45"/>
    </row>
    <row r="19" spans="2:11" ht="15.75" x14ac:dyDescent="0.25">
      <c r="B19" s="56">
        <v>3</v>
      </c>
      <c r="C19" s="65" t="s">
        <v>121</v>
      </c>
      <c r="D19" s="76" t="s">
        <v>27</v>
      </c>
      <c r="E19" s="77">
        <v>0.7</v>
      </c>
      <c r="F19" s="77">
        <v>1.8</v>
      </c>
      <c r="G19" s="114">
        <v>2.25</v>
      </c>
      <c r="H19" s="114">
        <v>2.6</v>
      </c>
      <c r="I19" s="47"/>
      <c r="J19" s="47"/>
      <c r="K19" s="47"/>
    </row>
    <row r="20" spans="2:11" ht="15.75" x14ac:dyDescent="0.25">
      <c r="B20" s="111">
        <v>5</v>
      </c>
      <c r="C20" s="65" t="s">
        <v>103</v>
      </c>
      <c r="D20" s="56" t="s">
        <v>27</v>
      </c>
      <c r="E20" s="61">
        <v>0.2</v>
      </c>
      <c r="F20" s="61">
        <v>0.4</v>
      </c>
      <c r="G20" s="114">
        <v>0.5</v>
      </c>
      <c r="H20" s="114">
        <v>0.6</v>
      </c>
      <c r="I20" s="47"/>
      <c r="J20" s="47"/>
      <c r="K20" s="47"/>
    </row>
    <row r="21" spans="2:11" ht="15.75" x14ac:dyDescent="0.25">
      <c r="B21" s="56">
        <v>7</v>
      </c>
      <c r="C21" s="65" t="s">
        <v>105</v>
      </c>
      <c r="D21" s="56" t="s">
        <v>37</v>
      </c>
      <c r="E21" s="62">
        <v>120</v>
      </c>
      <c r="F21" s="62">
        <v>150</v>
      </c>
      <c r="G21" s="114">
        <v>180</v>
      </c>
      <c r="H21" s="114">
        <v>200</v>
      </c>
      <c r="I21" s="47"/>
      <c r="J21" s="47"/>
      <c r="K21" s="47"/>
    </row>
    <row r="22" spans="2:11" ht="15.75" x14ac:dyDescent="0.25">
      <c r="B22" s="56">
        <v>8</v>
      </c>
      <c r="C22" s="65" t="s">
        <v>35</v>
      </c>
      <c r="D22" s="56" t="s">
        <v>37</v>
      </c>
      <c r="E22" s="62">
        <v>20</v>
      </c>
      <c r="F22" s="62">
        <v>20</v>
      </c>
      <c r="G22" s="62">
        <v>20</v>
      </c>
      <c r="H22" s="62">
        <v>20</v>
      </c>
      <c r="I22" s="47"/>
      <c r="J22" s="47"/>
      <c r="K22" s="47"/>
    </row>
    <row r="23" spans="2:11" ht="15.75" x14ac:dyDescent="0.25">
      <c r="B23" s="56">
        <v>9</v>
      </c>
      <c r="C23" s="65" t="s">
        <v>122</v>
      </c>
      <c r="D23" s="56"/>
      <c r="E23" s="60"/>
      <c r="F23" s="60"/>
      <c r="G23" s="114"/>
      <c r="H23" s="114"/>
      <c r="I23" s="47"/>
      <c r="J23" s="47"/>
      <c r="K23" s="47"/>
    </row>
    <row r="24" spans="2:11" ht="15.75" x14ac:dyDescent="0.25">
      <c r="B24" s="56"/>
      <c r="C24" s="71" t="s">
        <v>123</v>
      </c>
      <c r="D24" s="56" t="s">
        <v>58</v>
      </c>
      <c r="E24" s="70">
        <v>7.2</v>
      </c>
      <c r="F24" s="70">
        <v>8.1999999999999993</v>
      </c>
      <c r="G24" s="114">
        <v>8.6</v>
      </c>
      <c r="H24" s="114">
        <v>8.8000000000000007</v>
      </c>
      <c r="I24" s="47"/>
      <c r="J24" s="47"/>
      <c r="K24" s="47"/>
    </row>
    <row r="25" spans="2:11" ht="15.75" x14ac:dyDescent="0.25">
      <c r="B25" s="56"/>
      <c r="C25" s="57" t="s">
        <v>124</v>
      </c>
      <c r="D25" s="56" t="s">
        <v>58</v>
      </c>
      <c r="E25" s="54">
        <v>8.1999999999999993</v>
      </c>
      <c r="F25" s="54">
        <v>6.4</v>
      </c>
      <c r="G25" s="114">
        <v>5.7</v>
      </c>
      <c r="H25" s="114">
        <v>5.3</v>
      </c>
      <c r="I25" s="47"/>
      <c r="J25" s="47"/>
      <c r="K25" s="47"/>
    </row>
    <row r="26" spans="2:11" ht="15.75" x14ac:dyDescent="0.25">
      <c r="B26" s="58">
        <v>10</v>
      </c>
      <c r="C26" s="67" t="s">
        <v>66</v>
      </c>
      <c r="D26" s="58" t="s">
        <v>68</v>
      </c>
      <c r="E26" s="63">
        <v>1.57</v>
      </c>
      <c r="F26" s="63">
        <v>1.4</v>
      </c>
      <c r="G26" s="114">
        <v>1.33</v>
      </c>
      <c r="H26" s="114">
        <v>1.3</v>
      </c>
      <c r="I26" s="47"/>
      <c r="J26" s="47"/>
      <c r="K26" s="47"/>
    </row>
    <row r="27" spans="2:11" ht="16.5" x14ac:dyDescent="0.25">
      <c r="B27" s="56">
        <v>11</v>
      </c>
      <c r="C27" s="67" t="s">
        <v>69</v>
      </c>
      <c r="D27" s="59" t="s">
        <v>125</v>
      </c>
      <c r="E27" s="60">
        <v>220</v>
      </c>
      <c r="F27" s="60">
        <v>247</v>
      </c>
      <c r="G27" s="114">
        <v>261</v>
      </c>
      <c r="H27" s="114">
        <v>275</v>
      </c>
      <c r="I27" s="47"/>
      <c r="J27" s="47"/>
      <c r="K27" s="47"/>
    </row>
    <row r="28" spans="2:11" ht="16.5" x14ac:dyDescent="0.25">
      <c r="B28" s="56">
        <v>12</v>
      </c>
      <c r="C28" s="67" t="s">
        <v>153</v>
      </c>
      <c r="D28" s="59" t="s">
        <v>125</v>
      </c>
      <c r="E28" s="60">
        <v>100</v>
      </c>
      <c r="F28" s="60">
        <v>100</v>
      </c>
      <c r="G28" s="60">
        <v>100</v>
      </c>
      <c r="H28" s="60">
        <v>100</v>
      </c>
      <c r="I28" s="47"/>
      <c r="J28" s="47"/>
      <c r="K28" s="47"/>
    </row>
    <row r="29" spans="2:11" ht="15.75" x14ac:dyDescent="0.25">
      <c r="B29" s="56">
        <v>13</v>
      </c>
      <c r="C29" s="78" t="s">
        <v>126</v>
      </c>
      <c r="D29" s="79" t="s">
        <v>125</v>
      </c>
      <c r="E29" s="60">
        <v>126</v>
      </c>
      <c r="F29" s="60">
        <v>128</v>
      </c>
      <c r="G29" s="114">
        <v>131</v>
      </c>
      <c r="H29" s="114">
        <v>133</v>
      </c>
      <c r="I29" s="47"/>
      <c r="J29" s="47"/>
      <c r="K29" s="47"/>
    </row>
    <row r="30" spans="2:11" ht="15.75" x14ac:dyDescent="0.25">
      <c r="B30" s="56">
        <v>14</v>
      </c>
      <c r="C30" s="80" t="s">
        <v>127</v>
      </c>
      <c r="D30" s="79" t="s">
        <v>125</v>
      </c>
      <c r="E30" s="60">
        <f>E29-E28</f>
        <v>26</v>
      </c>
      <c r="F30" s="60">
        <f t="shared" ref="F30:H30" si="0">F29-F28</f>
        <v>28</v>
      </c>
      <c r="G30" s="60">
        <f t="shared" si="0"/>
        <v>31</v>
      </c>
      <c r="H30" s="60">
        <f t="shared" si="0"/>
        <v>33</v>
      </c>
      <c r="I30" s="47"/>
      <c r="J30" s="47"/>
      <c r="K30" s="47"/>
    </row>
    <row r="31" spans="2:11" ht="15.75" x14ac:dyDescent="0.25">
      <c r="B31" s="56">
        <v>15</v>
      </c>
      <c r="C31" s="81" t="s">
        <v>49</v>
      </c>
      <c r="D31" s="82" t="s">
        <v>120</v>
      </c>
      <c r="E31" s="60">
        <v>10</v>
      </c>
      <c r="F31" s="60">
        <v>10</v>
      </c>
      <c r="G31" s="60">
        <v>10</v>
      </c>
      <c r="H31" s="60">
        <v>10</v>
      </c>
      <c r="I31" s="47"/>
      <c r="J31" s="47"/>
      <c r="K31" s="47"/>
    </row>
    <row r="32" spans="2:11" ht="15.75" x14ac:dyDescent="0.25">
      <c r="B32" s="56">
        <v>16</v>
      </c>
      <c r="C32" s="81" t="s">
        <v>52</v>
      </c>
      <c r="D32" s="82" t="s">
        <v>120</v>
      </c>
      <c r="E32" s="60">
        <v>8</v>
      </c>
      <c r="F32" s="60">
        <v>8</v>
      </c>
      <c r="G32" s="60">
        <v>8</v>
      </c>
      <c r="H32" s="60">
        <v>8</v>
      </c>
      <c r="I32" s="47"/>
      <c r="J32" s="47"/>
      <c r="K32" s="47"/>
    </row>
    <row r="33" spans="2:11" ht="15.75" x14ac:dyDescent="0.25">
      <c r="B33" s="56">
        <v>17</v>
      </c>
      <c r="C33" s="80" t="s">
        <v>108</v>
      </c>
      <c r="D33" s="76" t="s">
        <v>107</v>
      </c>
      <c r="E33" s="54">
        <v>5.2</v>
      </c>
      <c r="F33" s="54">
        <v>8.1</v>
      </c>
      <c r="G33" s="114">
        <v>9.1999999999999993</v>
      </c>
      <c r="H33" s="114">
        <v>10.1</v>
      </c>
      <c r="I33" s="47"/>
      <c r="J33" s="47"/>
      <c r="K33" s="47"/>
    </row>
    <row r="34" spans="2:11" ht="15.75" x14ac:dyDescent="0.25">
      <c r="B34" s="56">
        <v>18</v>
      </c>
      <c r="C34" s="66" t="s">
        <v>128</v>
      </c>
      <c r="D34" s="56" t="s">
        <v>58</v>
      </c>
      <c r="E34" s="70">
        <v>89.5</v>
      </c>
      <c r="F34" s="70">
        <v>90.8</v>
      </c>
      <c r="G34" s="114">
        <v>91.1</v>
      </c>
      <c r="H34" s="114">
        <v>91.3</v>
      </c>
      <c r="I34" s="47"/>
      <c r="J34" s="47"/>
      <c r="K34" s="47"/>
    </row>
    <row r="35" spans="2:11" ht="15.75" x14ac:dyDescent="0.25">
      <c r="B35" s="56">
        <v>19</v>
      </c>
      <c r="C35" s="65" t="s">
        <v>129</v>
      </c>
      <c r="D35" s="112" t="s">
        <v>130</v>
      </c>
      <c r="E35" s="176">
        <v>164</v>
      </c>
      <c r="F35" s="177"/>
      <c r="G35" s="177"/>
      <c r="H35" s="178"/>
      <c r="I35" s="47"/>
      <c r="J35" s="47"/>
      <c r="K35" s="47"/>
    </row>
    <row r="36" spans="2:11" x14ac:dyDescent="0.25">
      <c r="B36" s="60"/>
      <c r="C36" s="65" t="s">
        <v>131</v>
      </c>
      <c r="D36" s="113" t="s">
        <v>132</v>
      </c>
      <c r="E36" s="179"/>
      <c r="F36" s="180"/>
      <c r="G36" s="180"/>
      <c r="H36" s="181"/>
      <c r="I36" s="42"/>
      <c r="J36" s="42"/>
      <c r="K36" s="42"/>
    </row>
    <row r="37" spans="2:11" x14ac:dyDescent="0.25">
      <c r="B37" s="50"/>
      <c r="C37" s="110"/>
      <c r="D37" s="68"/>
      <c r="E37" s="69"/>
      <c r="F37" s="69"/>
      <c r="G37" s="42"/>
      <c r="H37" s="42"/>
      <c r="I37" s="42"/>
      <c r="J37" s="42"/>
      <c r="K37" s="42"/>
    </row>
    <row r="38" spans="2:11" x14ac:dyDescent="0.25">
      <c r="B38" s="83" t="s">
        <v>133</v>
      </c>
      <c r="C38" s="83"/>
      <c r="D38" s="83"/>
      <c r="E38" s="83"/>
      <c r="F38" s="83"/>
      <c r="G38" s="83"/>
      <c r="H38" s="83"/>
      <c r="I38" s="83"/>
      <c r="J38" s="42"/>
      <c r="K38" s="42"/>
    </row>
    <row r="39" spans="2:11" x14ac:dyDescent="0.25">
      <c r="B39" s="84" t="s">
        <v>134</v>
      </c>
      <c r="C39" s="83" t="s">
        <v>165</v>
      </c>
      <c r="D39" s="83"/>
      <c r="E39" s="83"/>
      <c r="F39" s="83"/>
      <c r="G39" s="83"/>
      <c r="H39" s="83"/>
      <c r="I39" s="83"/>
      <c r="J39" s="42"/>
      <c r="K39" s="42"/>
    </row>
    <row r="40" spans="2:11" ht="15.75" x14ac:dyDescent="0.25">
      <c r="B40" s="83"/>
      <c r="C40" s="85" t="s">
        <v>166</v>
      </c>
      <c r="D40" s="83"/>
      <c r="E40" s="83"/>
      <c r="F40" s="83"/>
      <c r="G40" s="83"/>
      <c r="H40" s="83"/>
      <c r="I40" s="83"/>
      <c r="J40" s="42"/>
      <c r="K40" s="42"/>
    </row>
    <row r="41" spans="2:11" x14ac:dyDescent="0.25">
      <c r="B41" s="84"/>
      <c r="C41" s="83"/>
      <c r="D41" s="86"/>
      <c r="E41" s="86"/>
      <c r="F41" s="86"/>
      <c r="G41" s="86"/>
      <c r="H41" s="86"/>
      <c r="I41" s="86"/>
      <c r="J41" s="42"/>
      <c r="K41" s="42"/>
    </row>
    <row r="42" spans="2:11" x14ac:dyDescent="0.25">
      <c r="B42" s="88"/>
      <c r="C42" s="88"/>
      <c r="D42" s="88"/>
      <c r="E42" s="88"/>
      <c r="F42" s="88"/>
      <c r="G42" s="88"/>
      <c r="H42" s="88"/>
      <c r="I42" s="88"/>
      <c r="J42" s="42"/>
      <c r="K42" s="42"/>
    </row>
    <row r="43" spans="2:11" x14ac:dyDescent="0.25">
      <c r="B43" s="121" t="s">
        <v>176</v>
      </c>
      <c r="C43" s="122"/>
      <c r="D43" s="121"/>
      <c r="E43" s="123"/>
      <c r="F43" s="121" t="s">
        <v>135</v>
      </c>
      <c r="I43" s="122"/>
      <c r="J43" s="124"/>
      <c r="K43" s="42"/>
    </row>
    <row r="44" spans="2:11" x14ac:dyDescent="0.25">
      <c r="B44" s="125" t="s">
        <v>171</v>
      </c>
      <c r="C44" s="122"/>
      <c r="D44" s="121"/>
      <c r="E44" s="121"/>
      <c r="F44" s="121" t="s">
        <v>172</v>
      </c>
      <c r="I44" s="122"/>
      <c r="J44" s="124"/>
      <c r="K44" s="44"/>
    </row>
    <row r="45" spans="2:11" x14ac:dyDescent="0.25">
      <c r="B45" s="121" t="s">
        <v>174</v>
      </c>
      <c r="C45" s="122"/>
      <c r="D45" s="123"/>
      <c r="E45" s="126"/>
      <c r="F45" s="121" t="s">
        <v>173</v>
      </c>
      <c r="I45" s="122"/>
      <c r="J45" s="124"/>
      <c r="K45" s="44"/>
    </row>
    <row r="46" spans="2:11" x14ac:dyDescent="0.25">
      <c r="B46" s="155"/>
      <c r="C46" s="155"/>
      <c r="D46" s="155"/>
      <c r="E46" s="155"/>
      <c r="F46" s="53"/>
      <c r="G46" s="44"/>
      <c r="H46" s="44"/>
      <c r="I46" s="44"/>
      <c r="J46" s="44"/>
      <c r="K46" s="44"/>
    </row>
    <row r="47" spans="2:11" x14ac:dyDescent="0.25">
      <c r="B47" s="152"/>
      <c r="C47" s="152"/>
      <c r="D47" s="152"/>
      <c r="E47" s="152"/>
      <c r="F47" s="69"/>
      <c r="G47" s="44"/>
      <c r="H47" s="44"/>
      <c r="I47" s="44"/>
      <c r="J47" s="44"/>
      <c r="K47" s="44"/>
    </row>
    <row r="48" spans="2:11" x14ac:dyDescent="0.25">
      <c r="B48" s="151"/>
      <c r="C48" s="151"/>
      <c r="D48" s="151"/>
      <c r="E48" s="151"/>
      <c r="F48" s="53"/>
      <c r="G48" s="44"/>
      <c r="H48" s="44"/>
      <c r="I48" s="44"/>
      <c r="J48" s="44"/>
      <c r="K48" s="44"/>
    </row>
    <row r="49" spans="2:11" ht="15.75" x14ac:dyDescent="0.25">
      <c r="B49" s="49"/>
      <c r="C49" s="48"/>
      <c r="D49" s="87"/>
      <c r="E49" s="97"/>
      <c r="F49" s="120" t="s">
        <v>110</v>
      </c>
      <c r="G49" s="97"/>
      <c r="H49" s="97"/>
      <c r="I49" s="97"/>
      <c r="J49" s="104"/>
      <c r="K49" s="104"/>
    </row>
    <row r="50" spans="2:11" ht="28.5" customHeight="1" x14ac:dyDescent="0.25">
      <c r="B50" s="49"/>
      <c r="C50" s="48"/>
      <c r="D50" s="104"/>
      <c r="E50" s="98"/>
      <c r="F50" s="184" t="s">
        <v>175</v>
      </c>
      <c r="G50" s="184"/>
      <c r="H50" s="98"/>
      <c r="I50" s="98"/>
      <c r="J50" s="104"/>
      <c r="K50" s="104"/>
    </row>
    <row r="51" spans="2:11" ht="15.75" x14ac:dyDescent="0.25">
      <c r="B51" s="49"/>
      <c r="C51" s="48"/>
      <c r="D51" s="88"/>
      <c r="E51" s="98"/>
      <c r="F51" s="120" t="s">
        <v>111</v>
      </c>
      <c r="G51" s="98"/>
      <c r="H51" s="98"/>
      <c r="I51" s="97"/>
      <c r="J51" s="104"/>
      <c r="K51" s="104"/>
    </row>
    <row r="52" spans="2:11" ht="15.75" x14ac:dyDescent="0.25">
      <c r="B52" s="49"/>
      <c r="C52" s="48"/>
      <c r="D52" s="104"/>
      <c r="E52" s="98"/>
      <c r="F52" s="121" t="s">
        <v>170</v>
      </c>
      <c r="G52" s="98"/>
      <c r="H52" s="98"/>
      <c r="I52" s="99"/>
      <c r="J52" s="104"/>
      <c r="K52" s="104"/>
    </row>
    <row r="53" spans="2:11" ht="15.75" x14ac:dyDescent="0.25">
      <c r="B53" s="49"/>
      <c r="C53" s="48"/>
      <c r="D53" s="104"/>
      <c r="E53" s="97"/>
      <c r="F53" s="121" t="s">
        <v>112</v>
      </c>
      <c r="G53" s="97"/>
      <c r="H53" s="97"/>
      <c r="I53" s="99"/>
      <c r="J53" s="104"/>
      <c r="K53" s="104"/>
    </row>
    <row r="54" spans="2:11" ht="18.75" x14ac:dyDescent="0.3">
      <c r="B54" s="100"/>
      <c r="C54" s="100"/>
      <c r="D54" s="100"/>
      <c r="E54" s="99"/>
      <c r="F54" s="121" t="s">
        <v>177</v>
      </c>
      <c r="G54" s="99"/>
      <c r="H54" s="99"/>
      <c r="I54" s="100"/>
      <c r="J54" s="104"/>
      <c r="K54" s="104"/>
    </row>
    <row r="55" spans="2:11" ht="15.75" x14ac:dyDescent="0.25">
      <c r="B55" s="154" t="s">
        <v>136</v>
      </c>
      <c r="C55" s="154"/>
      <c r="D55" s="154"/>
      <c r="E55" s="154"/>
      <c r="F55" s="154"/>
      <c r="G55" s="154"/>
      <c r="H55" s="101"/>
      <c r="I55" s="101"/>
      <c r="J55" s="104"/>
      <c r="K55" s="104"/>
    </row>
    <row r="56" spans="2:11" ht="18.75" x14ac:dyDescent="0.3">
      <c r="B56" s="150" t="s">
        <v>168</v>
      </c>
      <c r="C56" s="150"/>
      <c r="D56" s="150"/>
      <c r="E56" s="150"/>
      <c r="F56" s="150"/>
      <c r="G56" s="150"/>
      <c r="H56" s="100"/>
      <c r="I56" s="100"/>
      <c r="J56" s="104"/>
      <c r="K56" s="104"/>
    </row>
    <row r="57" spans="2:11" ht="15.75" x14ac:dyDescent="0.25">
      <c r="B57" s="153" t="s">
        <v>137</v>
      </c>
      <c r="C57" s="153"/>
      <c r="D57" s="153"/>
      <c r="E57" s="153"/>
      <c r="F57" s="153"/>
      <c r="G57" s="153"/>
      <c r="H57" s="95"/>
      <c r="I57" s="95"/>
      <c r="J57" s="104"/>
      <c r="K57" s="104"/>
    </row>
    <row r="58" spans="2:11" ht="15.75" x14ac:dyDescent="0.25">
      <c r="B58" s="153" t="s">
        <v>152</v>
      </c>
      <c r="C58" s="153"/>
      <c r="D58" s="153"/>
      <c r="E58" s="153"/>
      <c r="F58" s="153"/>
      <c r="G58" s="153"/>
      <c r="H58" s="95"/>
      <c r="I58" s="95"/>
      <c r="J58" s="104"/>
      <c r="K58" s="104"/>
    </row>
    <row r="59" spans="2:11" ht="15.75" x14ac:dyDescent="0.25">
      <c r="B59" s="153" t="s">
        <v>1</v>
      </c>
      <c r="C59" s="153"/>
      <c r="D59" s="153"/>
      <c r="E59" s="153"/>
      <c r="F59" s="153"/>
      <c r="G59" s="153"/>
      <c r="H59" s="55"/>
      <c r="I59" s="55"/>
      <c r="J59" s="104"/>
      <c r="K59" s="104"/>
    </row>
    <row r="60" spans="2:11" ht="15.75" x14ac:dyDescent="0.25">
      <c r="B60" s="95"/>
      <c r="C60" s="95"/>
      <c r="D60" s="95"/>
      <c r="E60" s="95"/>
      <c r="F60" s="95"/>
      <c r="G60" s="95"/>
      <c r="H60" s="95"/>
      <c r="I60" s="95"/>
      <c r="J60" s="104"/>
      <c r="K60" s="104"/>
    </row>
    <row r="61" spans="2:11" x14ac:dyDescent="0.25">
      <c r="B61" s="56" t="s">
        <v>2</v>
      </c>
      <c r="C61" s="149" t="s">
        <v>138</v>
      </c>
      <c r="D61" s="149" t="s">
        <v>139</v>
      </c>
      <c r="E61" s="149" t="s">
        <v>140</v>
      </c>
      <c r="F61" s="160" t="s">
        <v>141</v>
      </c>
      <c r="G61" s="161"/>
      <c r="H61" s="162"/>
      <c r="I61" s="96"/>
    </row>
    <row r="62" spans="2:11" x14ac:dyDescent="0.25">
      <c r="B62" s="56"/>
      <c r="C62" s="149"/>
      <c r="D62" s="149"/>
      <c r="E62" s="149"/>
      <c r="F62" s="163" t="s">
        <v>142</v>
      </c>
      <c r="G62" s="164"/>
      <c r="H62" s="165"/>
      <c r="I62" s="96"/>
    </row>
    <row r="63" spans="2:11" x14ac:dyDescent="0.25">
      <c r="B63" s="56">
        <v>1</v>
      </c>
      <c r="C63" s="89" t="s">
        <v>143</v>
      </c>
      <c r="D63" s="90" t="s">
        <v>144</v>
      </c>
      <c r="E63" s="91">
        <v>50</v>
      </c>
      <c r="F63" s="157" t="s">
        <v>145</v>
      </c>
      <c r="G63" s="158"/>
      <c r="H63" s="159"/>
      <c r="I63" s="127"/>
    </row>
    <row r="64" spans="2:11" x14ac:dyDescent="0.25">
      <c r="B64" s="56">
        <v>2</v>
      </c>
      <c r="C64" s="89" t="s">
        <v>146</v>
      </c>
      <c r="D64" s="90" t="s">
        <v>144</v>
      </c>
      <c r="E64" s="91">
        <v>50</v>
      </c>
      <c r="F64" s="157" t="s">
        <v>145</v>
      </c>
      <c r="G64" s="158"/>
      <c r="H64" s="159"/>
      <c r="I64" s="127"/>
    </row>
    <row r="65" spans="2:9" x14ac:dyDescent="0.25">
      <c r="B65" s="56">
        <v>3</v>
      </c>
      <c r="C65" s="89" t="s">
        <v>147</v>
      </c>
      <c r="D65" s="90" t="s">
        <v>144</v>
      </c>
      <c r="E65" s="91">
        <v>5</v>
      </c>
      <c r="F65" s="157" t="s">
        <v>145</v>
      </c>
      <c r="G65" s="158"/>
      <c r="H65" s="159"/>
      <c r="I65" s="127"/>
    </row>
    <row r="66" spans="2:9" x14ac:dyDescent="0.25">
      <c r="B66" s="56">
        <v>5</v>
      </c>
      <c r="C66" s="89" t="s">
        <v>149</v>
      </c>
      <c r="D66" s="93" t="s">
        <v>148</v>
      </c>
      <c r="E66" s="94">
        <v>13</v>
      </c>
      <c r="F66" s="157" t="s">
        <v>145</v>
      </c>
      <c r="G66" s="158"/>
      <c r="H66" s="159"/>
      <c r="I66" s="127"/>
    </row>
    <row r="67" spans="2:9" x14ac:dyDescent="0.25">
      <c r="B67" s="56">
        <v>6</v>
      </c>
      <c r="C67" s="89" t="s">
        <v>155</v>
      </c>
      <c r="D67" s="89"/>
      <c r="E67" s="115">
        <v>90</v>
      </c>
      <c r="F67" s="166" t="s">
        <v>154</v>
      </c>
      <c r="G67" s="167"/>
      <c r="H67" s="168"/>
      <c r="I67" s="128"/>
    </row>
    <row r="68" spans="2:9" ht="15.75" x14ac:dyDescent="0.25">
      <c r="B68" s="56"/>
      <c r="C68" s="89" t="s">
        <v>156</v>
      </c>
      <c r="D68" s="79"/>
      <c r="E68" s="91">
        <v>-90</v>
      </c>
      <c r="F68" s="166" t="s">
        <v>154</v>
      </c>
      <c r="G68" s="167"/>
      <c r="H68" s="168"/>
      <c r="I68" s="127"/>
    </row>
    <row r="69" spans="2:9" x14ac:dyDescent="0.25">
      <c r="B69" s="56">
        <v>7</v>
      </c>
      <c r="C69" s="89" t="s">
        <v>150</v>
      </c>
      <c r="D69" s="92"/>
      <c r="E69" s="91"/>
      <c r="F69" s="157" t="s">
        <v>145</v>
      </c>
      <c r="G69" s="158"/>
      <c r="H69" s="159"/>
      <c r="I69" s="127"/>
    </row>
    <row r="70" spans="2:9" ht="30.75" customHeight="1" x14ac:dyDescent="0.25">
      <c r="B70" s="119">
        <v>8</v>
      </c>
      <c r="C70" s="129" t="s">
        <v>151</v>
      </c>
      <c r="D70" s="89"/>
      <c r="E70" s="91"/>
      <c r="F70" s="157" t="s">
        <v>145</v>
      </c>
      <c r="G70" s="158"/>
      <c r="H70" s="159"/>
      <c r="I70" s="127"/>
    </row>
    <row r="71" spans="2:9" x14ac:dyDescent="0.25">
      <c r="B71" s="146"/>
      <c r="C71" s="146"/>
      <c r="D71" s="146"/>
      <c r="E71" s="102"/>
      <c r="F71" s="102"/>
      <c r="G71" s="72"/>
      <c r="H71" s="72"/>
      <c r="I71" s="72"/>
    </row>
    <row r="72" spans="2:9" ht="15.75" x14ac:dyDescent="0.25">
      <c r="B72" s="55"/>
      <c r="C72" s="95"/>
      <c r="D72" s="95"/>
      <c r="E72" s="95"/>
      <c r="F72" s="95"/>
      <c r="G72" s="73"/>
      <c r="H72" s="73"/>
      <c r="I72" s="73"/>
    </row>
    <row r="73" spans="2:9" ht="15.75" x14ac:dyDescent="0.25">
      <c r="B73" s="121" t="s">
        <v>176</v>
      </c>
      <c r="C73" s="122"/>
      <c r="D73" s="121"/>
      <c r="E73" s="123"/>
      <c r="F73" s="121" t="s">
        <v>135</v>
      </c>
      <c r="I73" s="73"/>
    </row>
    <row r="74" spans="2:9" x14ac:dyDescent="0.25">
      <c r="B74" s="125" t="s">
        <v>171</v>
      </c>
      <c r="C74" s="122"/>
      <c r="D74" s="121"/>
      <c r="E74" s="121"/>
      <c r="F74" s="121" t="s">
        <v>172</v>
      </c>
      <c r="I74" s="68"/>
    </row>
    <row r="75" spans="2:9" x14ac:dyDescent="0.25">
      <c r="B75" s="121" t="s">
        <v>174</v>
      </c>
      <c r="C75" s="122"/>
      <c r="D75" s="123"/>
      <c r="E75" s="126"/>
      <c r="F75" s="121" t="s">
        <v>173</v>
      </c>
      <c r="I75" s="74"/>
    </row>
    <row r="76" spans="2:9" x14ac:dyDescent="0.25">
      <c r="B76" s="50"/>
      <c r="C76" s="43"/>
      <c r="D76" s="51"/>
      <c r="E76" s="50"/>
      <c r="F76" s="50"/>
      <c r="G76" s="68"/>
      <c r="H76" s="68"/>
      <c r="I76" s="68"/>
    </row>
    <row r="77" spans="2:9" x14ac:dyDescent="0.25">
      <c r="B77" s="104"/>
      <c r="C77" s="104"/>
      <c r="D77" s="104"/>
      <c r="E77" s="104"/>
      <c r="F77" s="104"/>
      <c r="G77" s="104"/>
      <c r="H77" s="104"/>
      <c r="I77" s="104"/>
    </row>
    <row r="78" spans="2:9" x14ac:dyDescent="0.25">
      <c r="B78" s="104"/>
      <c r="C78" s="104"/>
      <c r="D78" s="104"/>
      <c r="E78" s="104"/>
      <c r="F78" s="104"/>
      <c r="G78" s="104"/>
      <c r="H78" s="104"/>
      <c r="I78" s="104"/>
    </row>
    <row r="79" spans="2:9" x14ac:dyDescent="0.25">
      <c r="B79" s="104"/>
      <c r="C79" s="104"/>
      <c r="D79" s="104"/>
      <c r="E79" s="104"/>
      <c r="F79" s="104"/>
      <c r="G79" s="104"/>
      <c r="H79" s="104"/>
      <c r="I79" s="104"/>
    </row>
    <row r="80" spans="2:9" x14ac:dyDescent="0.25">
      <c r="B80" s="104"/>
      <c r="C80" s="104"/>
      <c r="D80" s="104"/>
      <c r="E80" s="104"/>
      <c r="F80" s="104"/>
      <c r="G80" s="104"/>
      <c r="H80" s="104"/>
      <c r="I80" s="104"/>
    </row>
    <row r="81" spans="2:9" x14ac:dyDescent="0.25">
      <c r="B81" s="104"/>
      <c r="C81" s="104"/>
      <c r="D81" s="104"/>
      <c r="E81" s="104"/>
      <c r="F81" s="104"/>
      <c r="G81" s="104"/>
      <c r="H81" s="104"/>
      <c r="I81" s="104"/>
    </row>
    <row r="82" spans="2:9" x14ac:dyDescent="0.25">
      <c r="B82" s="104"/>
      <c r="C82" s="104"/>
      <c r="D82" s="104"/>
      <c r="E82" s="104"/>
      <c r="F82" s="104"/>
      <c r="G82" s="104"/>
      <c r="H82" s="104"/>
      <c r="I82" s="104"/>
    </row>
    <row r="83" spans="2:9" x14ac:dyDescent="0.25">
      <c r="B83" s="104"/>
      <c r="C83" s="104"/>
      <c r="D83" s="104"/>
      <c r="E83" s="104"/>
      <c r="F83" s="104"/>
      <c r="G83" s="104"/>
      <c r="H83" s="104"/>
      <c r="I83" s="104"/>
    </row>
    <row r="84" spans="2:9" x14ac:dyDescent="0.25">
      <c r="B84" s="104"/>
      <c r="C84" s="104"/>
      <c r="D84" s="104"/>
      <c r="E84" s="104"/>
      <c r="F84" s="104"/>
      <c r="G84" s="104"/>
      <c r="H84" s="104"/>
      <c r="I84" s="104"/>
    </row>
    <row r="85" spans="2:9" x14ac:dyDescent="0.25">
      <c r="B85" s="104"/>
      <c r="C85" s="104"/>
      <c r="D85" s="104"/>
      <c r="E85" s="104"/>
      <c r="F85" s="104"/>
      <c r="G85" s="104"/>
      <c r="H85" s="104"/>
      <c r="I85" s="104"/>
    </row>
    <row r="86" spans="2:9" x14ac:dyDescent="0.25">
      <c r="B86" s="104"/>
      <c r="C86" s="104"/>
      <c r="D86" s="104"/>
      <c r="E86" s="104"/>
      <c r="F86" s="104"/>
      <c r="G86" s="104"/>
      <c r="H86" s="104"/>
      <c r="I86" s="104"/>
    </row>
  </sheetData>
  <mergeCells count="37">
    <mergeCell ref="F2:G2"/>
    <mergeCell ref="F50:G50"/>
    <mergeCell ref="B10:C10"/>
    <mergeCell ref="F68:H68"/>
    <mergeCell ref="B7:F7"/>
    <mergeCell ref="B8:F8"/>
    <mergeCell ref="E61:E62"/>
    <mergeCell ref="B58:G58"/>
    <mergeCell ref="D14:D15"/>
    <mergeCell ref="C16:C17"/>
    <mergeCell ref="E14:H14"/>
    <mergeCell ref="E18:H18"/>
    <mergeCell ref="E35:H36"/>
    <mergeCell ref="F70:H70"/>
    <mergeCell ref="F61:H61"/>
    <mergeCell ref="F62:H62"/>
    <mergeCell ref="F63:H63"/>
    <mergeCell ref="F64:H64"/>
    <mergeCell ref="F65:H65"/>
    <mergeCell ref="F66:H66"/>
    <mergeCell ref="F67:H67"/>
    <mergeCell ref="B71:D71"/>
    <mergeCell ref="B9:D9"/>
    <mergeCell ref="C11:F11"/>
    <mergeCell ref="B16:B17"/>
    <mergeCell ref="B56:G56"/>
    <mergeCell ref="C61:C62"/>
    <mergeCell ref="D61:D62"/>
    <mergeCell ref="B48:E48"/>
    <mergeCell ref="B47:E47"/>
    <mergeCell ref="B59:G59"/>
    <mergeCell ref="B55:G55"/>
    <mergeCell ref="B57:G57"/>
    <mergeCell ref="B46:E46"/>
    <mergeCell ref="B14:B15"/>
    <mergeCell ref="C14:C15"/>
    <mergeCell ref="F69:H69"/>
  </mergeCells>
  <pageMargins left="0.31496062992125984" right="0.31496062992125984" top="0.15748031496062992" bottom="0.15748031496062992" header="0.31496062992125984" footer="0.31496062992125984"/>
  <pageSetup paperSize="9" orientation="portrait" verticalDpi="0" r:id="rId1"/>
  <rowBreaks count="1" manualBreakCount="1">
    <brk id="4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B40" workbookViewId="0">
      <selection activeCell="R12" sqref="R12"/>
    </sheetView>
  </sheetViews>
  <sheetFormatPr defaultRowHeight="15" x14ac:dyDescent="0.25"/>
  <cols>
    <col min="1" max="1" width="3" hidden="1" customWidth="1"/>
    <col min="2" max="2" width="8.28515625" customWidth="1"/>
    <col min="11" max="11" width="9.140625" customWidth="1"/>
  </cols>
  <sheetData>
    <row r="1" spans="3:11" x14ac:dyDescent="0.25">
      <c r="C1" s="182" t="s">
        <v>157</v>
      </c>
      <c r="D1" s="182"/>
      <c r="E1" s="182"/>
      <c r="F1" s="182"/>
      <c r="G1" s="182"/>
      <c r="H1" s="182"/>
      <c r="I1" s="182"/>
      <c r="J1" s="182"/>
      <c r="K1" s="182"/>
    </row>
    <row r="2" spans="3:11" x14ac:dyDescent="0.25">
      <c r="C2" s="183" t="s">
        <v>158</v>
      </c>
      <c r="D2" s="183"/>
      <c r="E2" s="183"/>
      <c r="F2" s="183"/>
      <c r="G2" s="183"/>
      <c r="H2" s="183"/>
      <c r="I2" s="183"/>
      <c r="J2" s="183"/>
      <c r="K2" s="183"/>
    </row>
    <row r="3" spans="3:11" x14ac:dyDescent="0.25">
      <c r="C3" s="183" t="s">
        <v>159</v>
      </c>
      <c r="D3" s="183"/>
      <c r="E3" s="183"/>
      <c r="F3" s="183"/>
      <c r="G3" s="183"/>
      <c r="H3" s="183"/>
      <c r="I3" s="183"/>
      <c r="J3" s="183"/>
      <c r="K3" s="183"/>
    </row>
    <row r="4" spans="3:11" ht="5.25" customHeight="1" x14ac:dyDescent="0.25"/>
    <row r="18" ht="5.25" customHeight="1" x14ac:dyDescent="0.25"/>
    <row r="32" ht="8.25" customHeight="1" x14ac:dyDescent="0.25"/>
    <row r="47" ht="8.25" customHeight="1" x14ac:dyDescent="0.25"/>
  </sheetData>
  <mergeCells count="3">
    <mergeCell ref="C1:K1"/>
    <mergeCell ref="C2:K2"/>
    <mergeCell ref="C3:K3"/>
  </mergeCells>
  <pageMargins left="0.19685039370078741" right="0.19685039370078741" top="0.15748031496062992" bottom="0.15748031496062992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workbookViewId="0">
      <selection activeCell="C19" sqref="C19"/>
    </sheetView>
  </sheetViews>
  <sheetFormatPr defaultRowHeight="15" x14ac:dyDescent="0.25"/>
  <cols>
    <col min="1" max="1" width="4.85546875" customWidth="1"/>
    <col min="2" max="2" width="47.85546875" customWidth="1"/>
  </cols>
  <sheetData>
    <row r="2" spans="2:9" x14ac:dyDescent="0.25">
      <c r="C2" s="118"/>
      <c r="D2" s="118"/>
      <c r="E2" s="118"/>
      <c r="F2" s="118"/>
      <c r="G2" s="118"/>
      <c r="H2" s="118"/>
    </row>
    <row r="3" spans="2:9" x14ac:dyDescent="0.25">
      <c r="B3" s="38" t="s">
        <v>160</v>
      </c>
      <c r="C3" s="38">
        <v>2.93</v>
      </c>
      <c r="D3" s="38">
        <v>4.58</v>
      </c>
      <c r="E3" s="38">
        <v>5.2</v>
      </c>
      <c r="F3" s="38">
        <v>5.7</v>
      </c>
      <c r="G3" s="38"/>
      <c r="H3" s="38"/>
      <c r="I3" s="38"/>
    </row>
    <row r="4" spans="2:9" x14ac:dyDescent="0.25">
      <c r="B4" s="38" t="s">
        <v>161</v>
      </c>
      <c r="C4" s="38">
        <v>89.5</v>
      </c>
      <c r="D4" s="38">
        <v>90.8</v>
      </c>
      <c r="E4" s="38">
        <v>91.1</v>
      </c>
      <c r="F4" s="38">
        <v>91.3</v>
      </c>
      <c r="G4" s="38"/>
      <c r="H4" s="38"/>
      <c r="I4" s="38"/>
    </row>
    <row r="5" spans="2:9" x14ac:dyDescent="0.25">
      <c r="B5" s="38"/>
      <c r="C5" s="38"/>
      <c r="D5" s="38"/>
      <c r="E5" s="38"/>
      <c r="F5" s="38"/>
      <c r="G5" s="38"/>
      <c r="H5" s="38"/>
      <c r="I5" s="38"/>
    </row>
    <row r="6" spans="2:9" ht="15.75" x14ac:dyDescent="0.25">
      <c r="B6" s="117" t="s">
        <v>160</v>
      </c>
      <c r="C6" s="38">
        <v>2.93</v>
      </c>
      <c r="D6" s="38">
        <v>4.58</v>
      </c>
      <c r="E6" s="38">
        <v>5.2</v>
      </c>
      <c r="F6" s="38">
        <v>5.7</v>
      </c>
      <c r="G6" s="38"/>
      <c r="H6" s="38"/>
      <c r="I6" s="38"/>
    </row>
    <row r="7" spans="2:9" ht="15.75" x14ac:dyDescent="0.25">
      <c r="B7" s="117" t="s">
        <v>162</v>
      </c>
      <c r="C7" s="38">
        <v>1.57</v>
      </c>
      <c r="D7" s="38">
        <v>1.4</v>
      </c>
      <c r="E7" s="38">
        <v>1.33</v>
      </c>
      <c r="F7" s="38">
        <v>1.3</v>
      </c>
      <c r="G7" s="38"/>
      <c r="H7" s="38"/>
      <c r="I7" s="38"/>
    </row>
    <row r="8" spans="2:9" x14ac:dyDescent="0.25">
      <c r="B8" s="38"/>
      <c r="C8" s="38"/>
      <c r="D8" s="38"/>
      <c r="E8" s="38"/>
      <c r="F8" s="38"/>
      <c r="G8" s="38"/>
      <c r="H8" s="38"/>
      <c r="I8" s="38"/>
    </row>
    <row r="9" spans="2:9" x14ac:dyDescent="0.25">
      <c r="B9" s="38" t="s">
        <v>160</v>
      </c>
      <c r="C9" s="38">
        <v>2.93</v>
      </c>
      <c r="D9" s="38">
        <v>4.58</v>
      </c>
      <c r="E9" s="38">
        <v>5.2</v>
      </c>
      <c r="F9" s="38">
        <v>5.7</v>
      </c>
      <c r="G9" s="38"/>
      <c r="H9" s="38"/>
      <c r="I9" s="38"/>
    </row>
    <row r="10" spans="2:9" x14ac:dyDescent="0.25">
      <c r="B10" s="38" t="s">
        <v>163</v>
      </c>
      <c r="C10" s="38">
        <v>7.3</v>
      </c>
      <c r="D10" s="38">
        <v>7.1</v>
      </c>
      <c r="E10" s="38">
        <v>7.1</v>
      </c>
      <c r="F10" s="38">
        <v>7</v>
      </c>
      <c r="G10" s="38"/>
      <c r="H10" s="38"/>
      <c r="I10" s="38"/>
    </row>
    <row r="11" spans="2:9" x14ac:dyDescent="0.25">
      <c r="C11" s="118"/>
      <c r="D11" s="118"/>
      <c r="E11" s="118"/>
      <c r="F11" s="118"/>
      <c r="G11" s="118"/>
      <c r="H11" s="118"/>
    </row>
    <row r="12" spans="2:9" x14ac:dyDescent="0.25">
      <c r="B12" t="s">
        <v>160</v>
      </c>
      <c r="C12" s="118">
        <v>2.93</v>
      </c>
      <c r="D12" s="118">
        <v>4.58</v>
      </c>
      <c r="E12" s="118">
        <v>5.2</v>
      </c>
      <c r="F12" s="118">
        <v>5.7</v>
      </c>
      <c r="G12" s="118"/>
      <c r="H12" s="118"/>
    </row>
    <row r="13" spans="2:9" x14ac:dyDescent="0.25">
      <c r="B13" s="38" t="s">
        <v>164</v>
      </c>
      <c r="C13" s="118">
        <v>220</v>
      </c>
      <c r="D13" s="118">
        <v>247</v>
      </c>
      <c r="E13" s="118">
        <v>261</v>
      </c>
      <c r="F13" s="118">
        <v>275</v>
      </c>
      <c r="G13" s="118"/>
      <c r="H13" s="118"/>
    </row>
    <row r="14" spans="2:9" x14ac:dyDescent="0.25">
      <c r="C14" s="118"/>
      <c r="D14" s="118"/>
      <c r="E14" s="118"/>
      <c r="F14" s="118"/>
      <c r="G14" s="118"/>
      <c r="H14" s="118"/>
    </row>
    <row r="15" spans="2:9" x14ac:dyDescent="0.25">
      <c r="C15" s="118"/>
      <c r="D15" s="118"/>
      <c r="E15" s="118"/>
      <c r="F15" s="118"/>
      <c r="G15" s="118"/>
      <c r="H15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СводнаяВедомость</vt:lpstr>
      <vt:lpstr>РежКарта</vt:lpstr>
      <vt:lpstr>Графики</vt:lpstr>
      <vt:lpstr>ИсхДанные</vt:lpstr>
      <vt:lpstr>РежКарта!Область_печати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Semicheva</dc:creator>
  <cp:lastModifiedBy>Амбарцумов Алексей</cp:lastModifiedBy>
  <cp:lastPrinted>2025-09-08T08:59:53Z</cp:lastPrinted>
  <dcterms:created xsi:type="dcterms:W3CDTF">2015-11-23T11:37:06Z</dcterms:created>
  <dcterms:modified xsi:type="dcterms:W3CDTF">2025-09-08T09:01:17Z</dcterms:modified>
</cp:coreProperties>
</file>