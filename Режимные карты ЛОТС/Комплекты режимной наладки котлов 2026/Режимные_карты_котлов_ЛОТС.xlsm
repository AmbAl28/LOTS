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\\192.168.11.215\lots\ТЭКС\ПТО\Режимная наладка котлов\Комплекты режимной наладки котлов 2026\"/>
    </mc:Choice>
  </mc:AlternateContent>
  <bookViews>
    <workbookView xWindow="0" yWindow="0" windowWidth="2160" windowHeight="0" activeTab="1"/>
  </bookViews>
  <sheets>
    <sheet name="Содержание" sheetId="1" r:id="rId1"/>
    <sheet name="Аврово №1 газ" sheetId="2" r:id="rId2"/>
    <sheet name="Аврово №2 газ" sheetId="3" r:id="rId3"/>
    <sheet name="Бережки №1 газ" sheetId="4" r:id="rId4"/>
    <sheet name="Бережки №2 газ" sheetId="5" r:id="rId5"/>
    <sheet name="ВындинОстров №1 газ" sheetId="6" r:id="rId6"/>
    <sheet name="ВындинОстров №2 газ" sheetId="7" r:id="rId7"/>
    <sheet name="ВындинОстров №3 газ" sheetId="8" r:id="rId8"/>
    <sheet name="Иссад ЛТЦ №1 дизель" sheetId="9" r:id="rId9"/>
    <sheet name="Иссад ЛТЦ №2 дизель" sheetId="10" r:id="rId10"/>
    <sheet name="Иссад №1 газ" sheetId="11" r:id="rId11"/>
    <sheet name="Иссад №2 газ" sheetId="12" r:id="rId12"/>
    <sheet name="Кисельня БМК №1 газ" sheetId="13" r:id="rId13"/>
    <sheet name="Кисельня БМК №2 газ" sheetId="14" r:id="rId14"/>
    <sheet name="Кисельня Центр №1 газ" sheetId="15" r:id="rId15"/>
    <sheet name="Кисельня Центр №2 газ" sheetId="16" r:id="rId16"/>
    <sheet name="Кисельня Центр №3 газ" sheetId="17" r:id="rId17"/>
    <sheet name="КолчАлексино №1 газ" sheetId="18" r:id="rId18"/>
    <sheet name="КолчАлексино №2 газ" sheetId="19" r:id="rId19"/>
    <sheet name="КолчМолодежная №1 газ" sheetId="20" r:id="rId20"/>
    <sheet name="КолчМолодежная №2 газ" sheetId="21" r:id="rId21"/>
    <sheet name="НЛ Северная №1 газ" sheetId="22" r:id="rId22"/>
    <sheet name="НЛ Северная №2 газ" sheetId="23" r:id="rId23"/>
    <sheet name="НЛ Северная №2 уголь" sheetId="24" r:id="rId24"/>
    <sheet name="НЛ Северная №1 уголь" sheetId="25" r:id="rId25"/>
    <sheet name="НЛ Центральная №1 газ" sheetId="26" r:id="rId26"/>
    <sheet name="НЛ Центральная №2 газ" sheetId="27" r:id="rId27"/>
    <sheet name="НЛ Центральная №1 мазут" sheetId="31" r:id="rId28"/>
    <sheet name="НЛ Центральная №2 мазут" sheetId="32" r:id="rId29"/>
    <sheet name="НЛ Центральная №4 газ" sheetId="29" r:id="rId30"/>
    <sheet name="НЛ Центральная №4 мазут" sheetId="33" r:id="rId31"/>
    <sheet name="НЛ Центральная №3 газ" sheetId="28" r:id="rId32"/>
    <sheet name="НЛ Центральная №5 газ" sheetId="30" r:id="rId33"/>
    <sheet name="НЛ Центральная №5 мазут" sheetId="34" r:id="rId34"/>
    <sheet name="НЛ Луначарского №1 газ" sheetId="36" r:id="rId35"/>
    <sheet name="НЛ Луначарского №2 газ" sheetId="38" r:id="rId36"/>
    <sheet name="НЛ Луначарского №1 дизель" sheetId="35" r:id="rId37"/>
    <sheet name="НЛ Луначарского №2 дизель" sheetId="37" r:id="rId38"/>
    <sheet name="Паша2 №1 мазут" sheetId="39" r:id="rId39"/>
    <sheet name="Паша2 №2 мазут" sheetId="40" r:id="rId40"/>
    <sheet name="Паша4 Станц №1 уголь" sheetId="41" r:id="rId41"/>
    <sheet name="Паша4 Станц №2 уголь" sheetId="42" r:id="rId42"/>
    <sheet name="Паша1 №1 мазут" sheetId="43" r:id="rId43"/>
    <sheet name="Паша1 №2 мазут" sheetId="44" r:id="rId44"/>
    <sheet name="Паша1 №3 мазут" sheetId="45" r:id="rId45"/>
    <sheet name="Паша3 Лесоз №1 мазут" sheetId="46" r:id="rId46"/>
    <sheet name="Паша3 Лесоз №2 мазут" sheetId="47" r:id="rId47"/>
    <sheet name="Потанино №2 газ" sheetId="48" r:id="rId48"/>
    <sheet name="Потанино №3 газ" sheetId="49" r:id="rId49"/>
    <sheet name="Свирица №1 мазут" sheetId="50" r:id="rId50"/>
    <sheet name="Свирица №2 мазут" sheetId="51" r:id="rId51"/>
    <sheet name="Селиваново №1 мазут" sheetId="52" r:id="rId52"/>
    <sheet name="Селиваново №2 мазут" sheetId="53" r:id="rId53"/>
    <sheet name="Селиваново №3 мазут" sheetId="54" r:id="rId54"/>
    <sheet name="Селиваново №4 мазут" sheetId="55" r:id="rId55"/>
    <sheet name="Селиваново Газ №1 газ" sheetId="56" r:id="rId56"/>
    <sheet name="Селиваново Газ №2 газ" sheetId="57" r:id="rId57"/>
    <sheet name="СтЛадога Волх №1 газ" sheetId="58" r:id="rId58"/>
    <sheet name="СтЛадога Волх №2 газ" sheetId="59" r:id="rId59"/>
    <sheet name="СтЛадога Сов №1 газ" sheetId="60" r:id="rId60"/>
    <sheet name="СтЛадога Сов №2 газ" sheetId="61" r:id="rId61"/>
    <sheet name="СтЛадога Сов №3 газ" sheetId="62" r:id="rId62"/>
    <sheet name="Усадище №1 газ" sheetId="63" r:id="rId63"/>
    <sheet name="Усадище №2 газ" sheetId="64" r:id="rId64"/>
    <sheet name="Усадище №3 газ" sheetId="65" r:id="rId65"/>
    <sheet name="Хвалово №1 мазут" sheetId="66" r:id="rId66"/>
    <sheet name="Хвалово №2 мазут" sheetId="67" r:id="rId67"/>
    <sheet name="Хвалово №1 уголь" sheetId="68" r:id="rId68"/>
    <sheet name="Хвалово №2 уголь" sheetId="69" r:id="rId69"/>
    <sheet name="Юги №1 уголь" sheetId="70" r:id="rId70"/>
    <sheet name="Юги №2 уголь" sheetId="71" r:id="rId71"/>
  </sheets>
  <definedNames>
    <definedName name="_xlnm.Print_Area" localSheetId="2">'Аврово №2 газ'!$A$1:$K$89</definedName>
    <definedName name="_xlnm.Print_Area" localSheetId="3">'Бережки №1 газ'!$A$1:$K$88</definedName>
    <definedName name="_xlnm.Print_Area" localSheetId="4">'Бережки №2 газ'!$A$1:$K$88</definedName>
    <definedName name="_xlnm.Print_Area" localSheetId="5">'ВындинОстров №1 газ'!$A$1:$K$88</definedName>
    <definedName name="_xlnm.Print_Area" localSheetId="6">'ВындинОстров №2 газ'!$A$1:$K$88</definedName>
    <definedName name="_xlnm.Print_Area" localSheetId="7">'ВындинОстров №3 газ'!$A$1:$K$88</definedName>
    <definedName name="_xlnm.Print_Area" localSheetId="10">'Иссад №1 газ'!$A$1:$K$88</definedName>
    <definedName name="_xlnm.Print_Area" localSheetId="11">'Иссад №2 газ'!$A$1:$K$88</definedName>
    <definedName name="_xlnm.Print_Area" localSheetId="8">'Иссад ЛТЦ №1 дизель'!$A$1:$K$88</definedName>
    <definedName name="_xlnm.Print_Area" localSheetId="9">'Иссад ЛТЦ №2 дизель'!$A$1:$K$88</definedName>
    <definedName name="_xlnm.Print_Area" localSheetId="12">'Кисельня БМК №1 газ'!$A$1:$K$88</definedName>
    <definedName name="_xlnm.Print_Area" localSheetId="13">'Кисельня БМК №2 газ'!$A$1:$K$88</definedName>
    <definedName name="_xlnm.Print_Area" localSheetId="14">'Кисельня Центр №1 газ'!$A$1:$K$88</definedName>
    <definedName name="_xlnm.Print_Area" localSheetId="15">'Кисельня Центр №2 газ'!$A$1:$K$88</definedName>
    <definedName name="_xlnm.Print_Area" localSheetId="16">'Кисельня Центр №3 газ'!$A$1:$K$88</definedName>
    <definedName name="_xlnm.Print_Area" localSheetId="17">'КолчАлексино №1 газ'!$A$1:$K$88</definedName>
    <definedName name="_xlnm.Print_Area" localSheetId="18">'КолчАлексино №2 газ'!$A$1:$K$88</definedName>
    <definedName name="_xlnm.Print_Area" localSheetId="19">'КолчМолодежная №1 газ'!$A$1:$K$88</definedName>
    <definedName name="_xlnm.Print_Area" localSheetId="20">'КолчМолодежная №2 газ'!$A$1:$K$88</definedName>
    <definedName name="_xlnm.Print_Area" localSheetId="34">'НЛ Луначарского №1 газ'!$A$1:$K$88</definedName>
    <definedName name="_xlnm.Print_Area" localSheetId="36">'НЛ Луначарского №1 дизель'!$A$1:$K$88</definedName>
    <definedName name="_xlnm.Print_Area" localSheetId="35">'НЛ Луначарского №2 газ'!$A$1:$K$88</definedName>
    <definedName name="_xlnm.Print_Area" localSheetId="37">'НЛ Луначарского №2 дизель'!$A$1:$K$88</definedName>
    <definedName name="_xlnm.Print_Area" localSheetId="21">'НЛ Северная №1 газ'!$A$1:$K$88</definedName>
    <definedName name="_xlnm.Print_Area" localSheetId="24">'НЛ Северная №1 уголь'!$A$1:$K$88</definedName>
    <definedName name="_xlnm.Print_Area" localSheetId="22">'НЛ Северная №2 газ'!$A$1:$K$88</definedName>
    <definedName name="_xlnm.Print_Area" localSheetId="23">'НЛ Северная №2 уголь'!$A$1:$K$88</definedName>
    <definedName name="_xlnm.Print_Area" localSheetId="25">'НЛ Центральная №1 газ'!$A$1:$K$88</definedName>
    <definedName name="_xlnm.Print_Area" localSheetId="27">'НЛ Центральная №1 мазут'!$A$1:$K$89</definedName>
    <definedName name="_xlnm.Print_Area" localSheetId="26">'НЛ Центральная №2 газ'!$A$1:$K$88</definedName>
    <definedName name="_xlnm.Print_Area" localSheetId="28">'НЛ Центральная №2 мазут'!$A$1:$K$89</definedName>
    <definedName name="_xlnm.Print_Area" localSheetId="31">'НЛ Центральная №3 газ'!$A$1:$K$88</definedName>
    <definedName name="_xlnm.Print_Area" localSheetId="29">'НЛ Центральная №4 газ'!$A$1:$K$88</definedName>
    <definedName name="_xlnm.Print_Area" localSheetId="30">'НЛ Центральная №4 мазут'!$A$1:$K$89</definedName>
    <definedName name="_xlnm.Print_Area" localSheetId="32">'НЛ Центральная №5 газ'!$A$1:$K$88</definedName>
    <definedName name="_xlnm.Print_Area" localSheetId="33">'НЛ Центральная №5 мазут'!$A$1:$K$89</definedName>
    <definedName name="_xlnm.Print_Area" localSheetId="42">'Паша1 №1 мазут'!$A$1:$K$89</definedName>
    <definedName name="_xlnm.Print_Area" localSheetId="43">'Паша1 №2 мазут'!$A$1:$K$89</definedName>
    <definedName name="_xlnm.Print_Area" localSheetId="44">'Паша1 №3 мазут'!$A$1:$K$89</definedName>
    <definedName name="_xlnm.Print_Area" localSheetId="38">'Паша2 №1 мазут'!$A$1:$K$89</definedName>
    <definedName name="_xlnm.Print_Area" localSheetId="39">'Паша2 №2 мазут'!$A$1:$K$89</definedName>
    <definedName name="_xlnm.Print_Area" localSheetId="45">'Паша3 Лесоз №1 мазут'!$A$1:$K$89</definedName>
    <definedName name="_xlnm.Print_Area" localSheetId="46">'Паша3 Лесоз №2 мазут'!$A$1:$K$89</definedName>
    <definedName name="_xlnm.Print_Area" localSheetId="40">'Паша4 Станц №1 уголь'!$A$1:$K$88</definedName>
    <definedName name="_xlnm.Print_Area" localSheetId="41">'Паша4 Станц №2 уголь'!$A$1:$K$88</definedName>
    <definedName name="_xlnm.Print_Area" localSheetId="47">'Потанино №2 газ'!$A$1:$K$88</definedName>
    <definedName name="_xlnm.Print_Area" localSheetId="48">'Потанино №3 газ'!$A$1:$K$88</definedName>
    <definedName name="_xlnm.Print_Area" localSheetId="49">'Свирица №1 мазут'!$A$1:$K$89</definedName>
    <definedName name="_xlnm.Print_Area" localSheetId="50">'Свирица №2 мазут'!$A$1:$K$89</definedName>
    <definedName name="_xlnm.Print_Area" localSheetId="51">'Селиваново №1 мазут'!$A$1:$K$89</definedName>
    <definedName name="_xlnm.Print_Area" localSheetId="52">'Селиваново №2 мазут'!$A$1:$K$89</definedName>
    <definedName name="_xlnm.Print_Area" localSheetId="53">'Селиваново №3 мазут'!$A$1:$K$89</definedName>
    <definedName name="_xlnm.Print_Area" localSheetId="54">'Селиваново №4 мазут'!$A$1:$K$89</definedName>
    <definedName name="_xlnm.Print_Area" localSheetId="55">'Селиваново Газ №1 газ'!$A$1:$K$88</definedName>
    <definedName name="_xlnm.Print_Area" localSheetId="56">'Селиваново Газ №2 газ'!$A$1:$K$88</definedName>
    <definedName name="_xlnm.Print_Area" localSheetId="57">'СтЛадога Волх №1 газ'!$A$1:$K$88</definedName>
    <definedName name="_xlnm.Print_Area" localSheetId="58">'СтЛадога Волх №2 газ'!$A$1:$K$88</definedName>
    <definedName name="_xlnm.Print_Area" localSheetId="59">'СтЛадога Сов №1 газ'!$A$1:$K$88</definedName>
    <definedName name="_xlnm.Print_Area" localSheetId="60">'СтЛадога Сов №2 газ'!$A$1:$K$88</definedName>
    <definedName name="_xlnm.Print_Area" localSheetId="61">'СтЛадога Сов №3 газ'!$A$1:$K$88</definedName>
    <definedName name="_xlnm.Print_Area" localSheetId="62">'Усадище №1 газ'!$A$1:$K$88</definedName>
    <definedName name="_xlnm.Print_Area" localSheetId="63">'Усадище №2 газ'!$A$1:$K$88</definedName>
    <definedName name="_xlnm.Print_Area" localSheetId="64">'Усадище №3 газ'!$A$1:$K$88</definedName>
    <definedName name="_xlnm.Print_Area" localSheetId="65">'Хвалово №1 мазут'!$A$1:$K$89</definedName>
    <definedName name="_xlnm.Print_Area" localSheetId="67">'Хвалово №1 уголь'!$A$1:$K$88</definedName>
    <definedName name="_xlnm.Print_Area" localSheetId="66">'Хвалово №2 мазут'!$A$1:$K$89</definedName>
    <definedName name="_xlnm.Print_Area" localSheetId="68">'Хвалово №2 уголь'!$A$1:$K$88</definedName>
    <definedName name="_xlnm.Print_Area" localSheetId="69">'Юги №1 уголь'!$A$1:$K$88</definedName>
    <definedName name="_xlnm.Print_Area" localSheetId="70">'Юги №2 уголь'!$A$1:$K$88</definedName>
  </definedNames>
  <calcPr calcId="152511"/>
</workbook>
</file>

<file path=xl/calcChain.xml><?xml version="1.0" encoding="utf-8"?>
<calcChain xmlns="http://schemas.openxmlformats.org/spreadsheetml/2006/main">
  <c r="H47" i="2" l="1"/>
  <c r="H48" i="2" s="1"/>
  <c r="G47" i="2"/>
  <c r="G48" i="2" s="1"/>
  <c r="H45" i="2"/>
  <c r="H46" i="2" s="1"/>
  <c r="G45" i="2"/>
  <c r="G46" i="2" s="1"/>
  <c r="H39" i="2"/>
  <c r="G39" i="2"/>
  <c r="G38" i="60"/>
  <c r="G48" i="32" l="1"/>
  <c r="G49" i="32" s="1"/>
  <c r="G48" i="31"/>
  <c r="G49" i="31" s="1"/>
  <c r="G47" i="32"/>
  <c r="G47" i="31"/>
  <c r="G46" i="32"/>
  <c r="G45" i="32"/>
  <c r="G46" i="31"/>
  <c r="G45" i="31"/>
  <c r="H40" i="32"/>
  <c r="H45" i="32" s="1"/>
  <c r="G40" i="32"/>
  <c r="H40" i="31"/>
  <c r="H45" i="31" s="1"/>
  <c r="G40" i="31"/>
  <c r="H47" i="27"/>
  <c r="G47" i="27"/>
  <c r="H39" i="27"/>
  <c r="H44" i="27" s="1"/>
  <c r="G39" i="27"/>
  <c r="G45" i="27" s="1"/>
  <c r="H39" i="26"/>
  <c r="H47" i="26" s="1"/>
  <c r="G39" i="26"/>
  <c r="G47" i="26" s="1"/>
  <c r="G44" i="25"/>
  <c r="G44" i="28"/>
  <c r="G45" i="52"/>
  <c r="H48" i="31" l="1"/>
  <c r="H49" i="31" s="1"/>
  <c r="H46" i="31"/>
  <c r="H47" i="31" s="1"/>
  <c r="H46" i="32"/>
  <c r="H47" i="32" s="1"/>
  <c r="H48" i="32"/>
  <c r="H49" i="32" s="1"/>
  <c r="H45" i="27"/>
  <c r="G44" i="27"/>
  <c r="H44" i="26"/>
  <c r="H45" i="26"/>
  <c r="G45" i="26"/>
  <c r="G46" i="26" s="1"/>
  <c r="G44" i="26"/>
  <c r="G47" i="42" l="1"/>
  <c r="H38" i="71" l="1"/>
  <c r="H47" i="71" s="1"/>
  <c r="H48" i="71" s="1"/>
  <c r="G38" i="71"/>
  <c r="G47" i="71" s="1"/>
  <c r="G48" i="71" s="1"/>
  <c r="H38" i="70"/>
  <c r="H47" i="70" s="1"/>
  <c r="H48" i="70" s="1"/>
  <c r="G38" i="70"/>
  <c r="G47" i="70" s="1"/>
  <c r="G48" i="70" s="1"/>
  <c r="G45" i="69"/>
  <c r="G46" i="69" s="1"/>
  <c r="G44" i="69"/>
  <c r="H38" i="69"/>
  <c r="H47" i="69" s="1"/>
  <c r="H48" i="69" s="1"/>
  <c r="G38" i="69"/>
  <c r="G47" i="69" s="1"/>
  <c r="G48" i="69" s="1"/>
  <c r="G45" i="68"/>
  <c r="G46" i="68" s="1"/>
  <c r="H38" i="68"/>
  <c r="H47" i="68" s="1"/>
  <c r="H48" i="68" s="1"/>
  <c r="G38" i="68"/>
  <c r="G47" i="68" s="1"/>
  <c r="G48" i="68" s="1"/>
  <c r="H39" i="67"/>
  <c r="H46" i="67" s="1"/>
  <c r="H47" i="67" s="1"/>
  <c r="G39" i="67"/>
  <c r="G48" i="67" s="1"/>
  <c r="G49" i="67" s="1"/>
  <c r="H48" i="66"/>
  <c r="H49" i="66" s="1"/>
  <c r="H39" i="66"/>
  <c r="H45" i="66" s="1"/>
  <c r="G39" i="66"/>
  <c r="G48" i="66" s="1"/>
  <c r="G49" i="66" s="1"/>
  <c r="H38" i="65"/>
  <c r="H45" i="65" s="1"/>
  <c r="H46" i="65" s="1"/>
  <c r="G38" i="65"/>
  <c r="G44" i="65" s="1"/>
  <c r="H38" i="64"/>
  <c r="H45" i="64" s="1"/>
  <c r="H46" i="64" s="1"/>
  <c r="G38" i="64"/>
  <c r="G45" i="64" s="1"/>
  <c r="G46" i="64" s="1"/>
  <c r="H38" i="63"/>
  <c r="H45" i="63" s="1"/>
  <c r="H46" i="63" s="1"/>
  <c r="G38" i="63"/>
  <c r="G45" i="63" s="1"/>
  <c r="G46" i="63" s="1"/>
  <c r="H38" i="62"/>
  <c r="H45" i="62" s="1"/>
  <c r="H46" i="62" s="1"/>
  <c r="G38" i="62"/>
  <c r="G47" i="62" s="1"/>
  <c r="G48" i="62" s="1"/>
  <c r="H38" i="61"/>
  <c r="H45" i="61" s="1"/>
  <c r="H46" i="61" s="1"/>
  <c r="G38" i="61"/>
  <c r="G45" i="61" s="1"/>
  <c r="G46" i="61" s="1"/>
  <c r="H38" i="60"/>
  <c r="H47" i="60" s="1"/>
  <c r="H48" i="60" s="1"/>
  <c r="G44" i="60"/>
  <c r="H38" i="59"/>
  <c r="H44" i="59" s="1"/>
  <c r="G38" i="59"/>
  <c r="G47" i="59" s="1"/>
  <c r="G48" i="59" s="1"/>
  <c r="H38" i="58"/>
  <c r="H47" i="58" s="1"/>
  <c r="H48" i="58" s="1"/>
  <c r="G38" i="58"/>
  <c r="G47" i="58" s="1"/>
  <c r="G48" i="58" s="1"/>
  <c r="H38" i="57"/>
  <c r="H45" i="57" s="1"/>
  <c r="H46" i="57" s="1"/>
  <c r="G38" i="57"/>
  <c r="G45" i="57" s="1"/>
  <c r="G46" i="57" s="1"/>
  <c r="H38" i="56"/>
  <c r="H47" i="56" s="1"/>
  <c r="H48" i="56" s="1"/>
  <c r="G38" i="56"/>
  <c r="G47" i="56" s="1"/>
  <c r="G48" i="56" s="1"/>
  <c r="H39" i="55"/>
  <c r="H45" i="55" s="1"/>
  <c r="G39" i="55"/>
  <c r="G46" i="55" s="1"/>
  <c r="G47" i="55" s="1"/>
  <c r="H39" i="54"/>
  <c r="H48" i="54" s="1"/>
  <c r="H49" i="54" s="1"/>
  <c r="G39" i="54"/>
  <c r="G45" i="54" s="1"/>
  <c r="H39" i="53"/>
  <c r="H45" i="53" s="1"/>
  <c r="G39" i="53"/>
  <c r="G46" i="53" s="1"/>
  <c r="G47" i="53" s="1"/>
  <c r="H39" i="52"/>
  <c r="H48" i="52" s="1"/>
  <c r="H49" i="52" s="1"/>
  <c r="G39" i="52"/>
  <c r="H39" i="51"/>
  <c r="H48" i="51" s="1"/>
  <c r="H49" i="51" s="1"/>
  <c r="G39" i="51"/>
  <c r="G48" i="51" s="1"/>
  <c r="G49" i="51" s="1"/>
  <c r="G48" i="50"/>
  <c r="G49" i="50" s="1"/>
  <c r="G47" i="50"/>
  <c r="G46" i="50"/>
  <c r="G45" i="50"/>
  <c r="H39" i="50"/>
  <c r="H46" i="50" s="1"/>
  <c r="H47" i="50" s="1"/>
  <c r="G39" i="50"/>
  <c r="H38" i="49"/>
  <c r="H45" i="49" s="1"/>
  <c r="H46" i="49" s="1"/>
  <c r="G38" i="49"/>
  <c r="G45" i="49" s="1"/>
  <c r="G46" i="49" s="1"/>
  <c r="H38" i="48"/>
  <c r="H47" i="48" s="1"/>
  <c r="H48" i="48" s="1"/>
  <c r="G38" i="48"/>
  <c r="G47" i="48" s="1"/>
  <c r="G48" i="48" s="1"/>
  <c r="H45" i="47"/>
  <c r="H39" i="47"/>
  <c r="H48" i="47" s="1"/>
  <c r="H49" i="47" s="1"/>
  <c r="G39" i="47"/>
  <c r="G46" i="47" s="1"/>
  <c r="G47" i="47" s="1"/>
  <c r="H39" i="46"/>
  <c r="H46" i="46" s="1"/>
  <c r="H47" i="46" s="1"/>
  <c r="G39" i="46"/>
  <c r="G48" i="46" s="1"/>
  <c r="G49" i="46" s="1"/>
  <c r="G48" i="45"/>
  <c r="G49" i="45" s="1"/>
  <c r="G47" i="45"/>
  <c r="G46" i="45"/>
  <c r="G45" i="45"/>
  <c r="H39" i="45"/>
  <c r="H46" i="45" s="1"/>
  <c r="H47" i="45" s="1"/>
  <c r="G39" i="45"/>
  <c r="G49" i="44"/>
  <c r="G48" i="44"/>
  <c r="G47" i="44"/>
  <c r="G46" i="44"/>
  <c r="G45" i="44"/>
  <c r="H39" i="44"/>
  <c r="H48" i="44" s="1"/>
  <c r="H49" i="44" s="1"/>
  <c r="G39" i="44"/>
  <c r="H39" i="43"/>
  <c r="H46" i="43" s="1"/>
  <c r="H47" i="43" s="1"/>
  <c r="G39" i="43"/>
  <c r="G48" i="43" s="1"/>
  <c r="G49" i="43" s="1"/>
  <c r="H38" i="42"/>
  <c r="H44" i="42" s="1"/>
  <c r="G38" i="42"/>
  <c r="G44" i="42" s="1"/>
  <c r="H38" i="41"/>
  <c r="H47" i="41" s="1"/>
  <c r="H48" i="41" s="1"/>
  <c r="G38" i="41"/>
  <c r="G47" i="41" s="1"/>
  <c r="G48" i="41" s="1"/>
  <c r="H39" i="40"/>
  <c r="H46" i="40" s="1"/>
  <c r="H47" i="40" s="1"/>
  <c r="G39" i="40"/>
  <c r="G46" i="40" s="1"/>
  <c r="G47" i="40" s="1"/>
  <c r="H39" i="39"/>
  <c r="H45" i="39" s="1"/>
  <c r="G39" i="39"/>
  <c r="G48" i="39" s="1"/>
  <c r="G49" i="39" s="1"/>
  <c r="H38" i="38"/>
  <c r="H47" i="38" s="1"/>
  <c r="H48" i="38" s="1"/>
  <c r="G38" i="38"/>
  <c r="G44" i="38" s="1"/>
  <c r="H38" i="37"/>
  <c r="G38" i="37"/>
  <c r="H38" i="36"/>
  <c r="H45" i="36" s="1"/>
  <c r="H46" i="36" s="1"/>
  <c r="G38" i="36"/>
  <c r="G44" i="36" s="1"/>
  <c r="H38" i="35"/>
  <c r="H45" i="35" s="1"/>
  <c r="H46" i="35" s="1"/>
  <c r="G38" i="35"/>
  <c r="G45" i="35" s="1"/>
  <c r="G46" i="35" s="1"/>
  <c r="H49" i="34"/>
  <c r="G49" i="34"/>
  <c r="H48" i="34"/>
  <c r="G48" i="34"/>
  <c r="H47" i="34"/>
  <c r="G47" i="34"/>
  <c r="H46" i="34"/>
  <c r="G46" i="34"/>
  <c r="H45" i="34"/>
  <c r="G45" i="34"/>
  <c r="H39" i="34"/>
  <c r="G39" i="34"/>
  <c r="H49" i="33"/>
  <c r="G49" i="33"/>
  <c r="H48" i="33"/>
  <c r="G48" i="33"/>
  <c r="H47" i="33"/>
  <c r="G47" i="33"/>
  <c r="H46" i="33"/>
  <c r="G46" i="33"/>
  <c r="H45" i="33"/>
  <c r="G45" i="33"/>
  <c r="H39" i="33"/>
  <c r="G39" i="33"/>
  <c r="H38" i="30"/>
  <c r="H45" i="30" s="1"/>
  <c r="H46" i="30" s="1"/>
  <c r="G38" i="30"/>
  <c r="G47" i="30" s="1"/>
  <c r="G48" i="30" s="1"/>
  <c r="H38" i="29"/>
  <c r="H47" i="29" s="1"/>
  <c r="H48" i="29" s="1"/>
  <c r="G38" i="29"/>
  <c r="G44" i="29" s="1"/>
  <c r="H45" i="28"/>
  <c r="H46" i="28" s="1"/>
  <c r="G45" i="28"/>
  <c r="G46" i="28" s="1"/>
  <c r="H44" i="28"/>
  <c r="G46" i="27"/>
  <c r="H46" i="27"/>
  <c r="G48" i="27"/>
  <c r="H48" i="26"/>
  <c r="G48" i="26"/>
  <c r="H46" i="26"/>
  <c r="H38" i="25"/>
  <c r="H44" i="25" s="1"/>
  <c r="G38" i="25"/>
  <c r="H38" i="24"/>
  <c r="G38" i="24"/>
  <c r="H38" i="23"/>
  <c r="H47" i="23" s="1"/>
  <c r="H48" i="23" s="1"/>
  <c r="G38" i="23"/>
  <c r="G44" i="23" s="1"/>
  <c r="H38" i="22"/>
  <c r="H44" i="22" s="1"/>
  <c r="G38" i="22"/>
  <c r="G45" i="22" s="1"/>
  <c r="G46" i="22" s="1"/>
  <c r="G44" i="21"/>
  <c r="H38" i="21"/>
  <c r="H44" i="21" s="1"/>
  <c r="G38" i="21"/>
  <c r="G47" i="21" s="1"/>
  <c r="G48" i="21" s="1"/>
  <c r="G44" i="20"/>
  <c r="H38" i="20"/>
  <c r="H45" i="20" s="1"/>
  <c r="H46" i="20" s="1"/>
  <c r="G38" i="20"/>
  <c r="G45" i="20" s="1"/>
  <c r="G46" i="20" s="1"/>
  <c r="H45" i="19"/>
  <c r="H46" i="19" s="1"/>
  <c r="H38" i="19"/>
  <c r="H44" i="19" s="1"/>
  <c r="G38" i="19"/>
  <c r="G47" i="19" s="1"/>
  <c r="G48" i="19" s="1"/>
  <c r="H38" i="18"/>
  <c r="H45" i="18" s="1"/>
  <c r="H46" i="18" s="1"/>
  <c r="G38" i="18"/>
  <c r="G45" i="18" s="1"/>
  <c r="G46" i="18" s="1"/>
  <c r="H45" i="17"/>
  <c r="H46" i="17" s="1"/>
  <c r="G45" i="17"/>
  <c r="G46" i="17" s="1"/>
  <c r="H38" i="17"/>
  <c r="H44" i="17" s="1"/>
  <c r="G38" i="17"/>
  <c r="G44" i="17" s="1"/>
  <c r="H38" i="16"/>
  <c r="H45" i="16" s="1"/>
  <c r="H46" i="16" s="1"/>
  <c r="G38" i="16"/>
  <c r="G45" i="16" s="1"/>
  <c r="G46" i="16" s="1"/>
  <c r="G47" i="15"/>
  <c r="G48" i="15" s="1"/>
  <c r="G44" i="15"/>
  <c r="H38" i="15"/>
  <c r="H47" i="15" s="1"/>
  <c r="H48" i="15" s="1"/>
  <c r="G38" i="15"/>
  <c r="G45" i="15" s="1"/>
  <c r="G46" i="15" s="1"/>
  <c r="G44" i="14"/>
  <c r="H38" i="14"/>
  <c r="H45" i="14" s="1"/>
  <c r="H46" i="14" s="1"/>
  <c r="G38" i="14"/>
  <c r="G45" i="14" s="1"/>
  <c r="G46" i="14" s="1"/>
  <c r="H38" i="13"/>
  <c r="H47" i="13" s="1"/>
  <c r="H48" i="13" s="1"/>
  <c r="G38" i="13"/>
  <c r="G44" i="13" s="1"/>
  <c r="H38" i="12"/>
  <c r="H45" i="12" s="1"/>
  <c r="H46" i="12" s="1"/>
  <c r="G38" i="12"/>
  <c r="G45" i="12" s="1"/>
  <c r="G46" i="12" s="1"/>
  <c r="H38" i="11"/>
  <c r="H47" i="11" s="1"/>
  <c r="H48" i="11" s="1"/>
  <c r="G38" i="11"/>
  <c r="G47" i="11" s="1"/>
  <c r="G48" i="11" s="1"/>
  <c r="G45" i="10"/>
  <c r="G46" i="10" s="1"/>
  <c r="H38" i="10"/>
  <c r="H47" i="10" s="1"/>
  <c r="H48" i="10" s="1"/>
  <c r="G38" i="10"/>
  <c r="G47" i="10" s="1"/>
  <c r="G48" i="10" s="1"/>
  <c r="H38" i="9"/>
  <c r="H47" i="9" s="1"/>
  <c r="H48" i="9" s="1"/>
  <c r="G38" i="9"/>
  <c r="G47" i="9" s="1"/>
  <c r="G48" i="9" s="1"/>
  <c r="H38" i="8"/>
  <c r="H47" i="8" s="1"/>
  <c r="H48" i="8" s="1"/>
  <c r="G38" i="8"/>
  <c r="G44" i="8" s="1"/>
  <c r="H38" i="7"/>
  <c r="H45" i="7" s="1"/>
  <c r="H46" i="7" s="1"/>
  <c r="G38" i="7"/>
  <c r="G47" i="7" s="1"/>
  <c r="G48" i="7" s="1"/>
  <c r="H38" i="6"/>
  <c r="H44" i="6" s="1"/>
  <c r="G38" i="6"/>
  <c r="G45" i="6" s="1"/>
  <c r="G46" i="6" s="1"/>
  <c r="H38" i="4"/>
  <c r="H47" i="4" s="1"/>
  <c r="H48" i="4" s="1"/>
  <c r="G38" i="4"/>
  <c r="G47" i="4" s="1"/>
  <c r="G48" i="4" s="1"/>
  <c r="H38" i="5"/>
  <c r="H44" i="5" s="1"/>
  <c r="G38" i="5"/>
  <c r="G45" i="5" s="1"/>
  <c r="G46" i="5" s="1"/>
  <c r="H44" i="69" l="1"/>
  <c r="H44" i="68"/>
  <c r="H45" i="68"/>
  <c r="H46" i="68" s="1"/>
  <c r="H46" i="66"/>
  <c r="H47" i="66" s="1"/>
  <c r="G45" i="66"/>
  <c r="G46" i="66"/>
  <c r="G47" i="66" s="1"/>
  <c r="H48" i="67"/>
  <c r="H49" i="67" s="1"/>
  <c r="H45" i="67"/>
  <c r="G45" i="67"/>
  <c r="G46" i="67"/>
  <c r="G47" i="67" s="1"/>
  <c r="G44" i="19"/>
  <c r="H45" i="15"/>
  <c r="H46" i="15" s="1"/>
  <c r="H44" i="15"/>
  <c r="G44" i="16"/>
  <c r="H45" i="13"/>
  <c r="H46" i="13" s="1"/>
  <c r="H45" i="11"/>
  <c r="H46" i="11" s="1"/>
  <c r="H44" i="11"/>
  <c r="G44" i="12"/>
  <c r="G45" i="9"/>
  <c r="G46" i="9" s="1"/>
  <c r="G44" i="9"/>
  <c r="H45" i="10"/>
  <c r="H46" i="10" s="1"/>
  <c r="H45" i="9"/>
  <c r="H46" i="9" s="1"/>
  <c r="H44" i="9"/>
  <c r="G45" i="51"/>
  <c r="G46" i="51"/>
  <c r="G47" i="51" s="1"/>
  <c r="H46" i="51"/>
  <c r="H47" i="51" s="1"/>
  <c r="H45" i="51"/>
  <c r="H48" i="50"/>
  <c r="H49" i="50" s="1"/>
  <c r="H45" i="50"/>
  <c r="G44" i="5"/>
  <c r="H45" i="5"/>
  <c r="H46" i="5" s="1"/>
  <c r="H45" i="4"/>
  <c r="H46" i="4" s="1"/>
  <c r="H44" i="4"/>
  <c r="H47" i="42"/>
  <c r="H48" i="42" s="1"/>
  <c r="G45" i="41"/>
  <c r="G46" i="41" s="1"/>
  <c r="H46" i="47"/>
  <c r="H47" i="47" s="1"/>
  <c r="G48" i="47"/>
  <c r="G49" i="47" s="1"/>
  <c r="G45" i="47"/>
  <c r="H48" i="46"/>
  <c r="H49" i="46" s="1"/>
  <c r="H45" i="46"/>
  <c r="G45" i="46"/>
  <c r="G46" i="46"/>
  <c r="G47" i="46" s="1"/>
  <c r="H48" i="45"/>
  <c r="H49" i="45" s="1"/>
  <c r="H45" i="45"/>
  <c r="H46" i="44"/>
  <c r="H47" i="44" s="1"/>
  <c r="H45" i="44"/>
  <c r="G45" i="43"/>
  <c r="G46" i="43"/>
  <c r="G47" i="43" s="1"/>
  <c r="H48" i="43"/>
  <c r="H49" i="43" s="1"/>
  <c r="H45" i="43"/>
  <c r="G48" i="40"/>
  <c r="G49" i="40" s="1"/>
  <c r="G45" i="40"/>
  <c r="H48" i="40"/>
  <c r="H49" i="40" s="1"/>
  <c r="H45" i="40"/>
  <c r="G45" i="39"/>
  <c r="G46" i="39"/>
  <c r="G47" i="39" s="1"/>
  <c r="H46" i="39"/>
  <c r="H47" i="39" s="1"/>
  <c r="H48" i="39"/>
  <c r="H49" i="39" s="1"/>
  <c r="G44" i="61"/>
  <c r="H44" i="61"/>
  <c r="H44" i="60"/>
  <c r="H45" i="60"/>
  <c r="H46" i="60" s="1"/>
  <c r="G44" i="59"/>
  <c r="G45" i="59"/>
  <c r="G46" i="59" s="1"/>
  <c r="H47" i="59"/>
  <c r="H48" i="59" s="1"/>
  <c r="H45" i="59"/>
  <c r="H46" i="59" s="1"/>
  <c r="H44" i="58"/>
  <c r="G44" i="58"/>
  <c r="H44" i="29"/>
  <c r="H45" i="29"/>
  <c r="H46" i="29" s="1"/>
  <c r="G45" i="29"/>
  <c r="G46" i="29" s="1"/>
  <c r="H45" i="37"/>
  <c r="H46" i="37" s="1"/>
  <c r="H47" i="37"/>
  <c r="H48" i="37" s="1"/>
  <c r="G47" i="37"/>
  <c r="G48" i="37" s="1"/>
  <c r="H44" i="35"/>
  <c r="H47" i="35"/>
  <c r="H48" i="35" s="1"/>
  <c r="G47" i="35"/>
  <c r="G48" i="35" s="1"/>
  <c r="H47" i="25"/>
  <c r="H48" i="25" s="1"/>
  <c r="G47" i="25"/>
  <c r="G48" i="25" s="1"/>
  <c r="G45" i="25"/>
  <c r="G46" i="25" s="1"/>
  <c r="H45" i="24"/>
  <c r="H46" i="24" s="1"/>
  <c r="H47" i="24"/>
  <c r="H48" i="24" s="1"/>
  <c r="G45" i="24"/>
  <c r="G46" i="24" s="1"/>
  <c r="G47" i="24"/>
  <c r="G48" i="24" s="1"/>
  <c r="H45" i="23"/>
  <c r="H46" i="23" s="1"/>
  <c r="H44" i="23"/>
  <c r="G44" i="7"/>
  <c r="G44" i="6"/>
  <c r="G44" i="57"/>
  <c r="H44" i="56"/>
  <c r="G44" i="56"/>
  <c r="H46" i="55"/>
  <c r="H47" i="55" s="1"/>
  <c r="H48" i="55"/>
  <c r="H49" i="55" s="1"/>
  <c r="G48" i="55"/>
  <c r="G49" i="55" s="1"/>
  <c r="G45" i="55"/>
  <c r="H45" i="54"/>
  <c r="H46" i="54"/>
  <c r="H47" i="54" s="1"/>
  <c r="G46" i="54"/>
  <c r="G47" i="54" s="1"/>
  <c r="G48" i="54"/>
  <c r="G49" i="54" s="1"/>
  <c r="H46" i="53"/>
  <c r="H47" i="53" s="1"/>
  <c r="H48" i="53"/>
  <c r="H49" i="53" s="1"/>
  <c r="G48" i="53"/>
  <c r="G49" i="53" s="1"/>
  <c r="G45" i="53"/>
  <c r="G46" i="52"/>
  <c r="G47" i="52" s="1"/>
  <c r="H45" i="52"/>
  <c r="H46" i="52"/>
  <c r="H47" i="52" s="1"/>
  <c r="G48" i="52"/>
  <c r="G49" i="52" s="1"/>
  <c r="H44" i="71"/>
  <c r="G44" i="71"/>
  <c r="G45" i="70"/>
  <c r="G46" i="70" s="1"/>
  <c r="H45" i="70"/>
  <c r="H46" i="70" s="1"/>
  <c r="G44" i="49"/>
  <c r="H44" i="48"/>
  <c r="G44" i="48"/>
  <c r="G45" i="71"/>
  <c r="G46" i="71" s="1"/>
  <c r="H45" i="71"/>
  <c r="H46" i="71" s="1"/>
  <c r="G44" i="70"/>
  <c r="H44" i="70"/>
  <c r="H45" i="69"/>
  <c r="H46" i="69" s="1"/>
  <c r="G44" i="68"/>
  <c r="G47" i="65"/>
  <c r="G48" i="65" s="1"/>
  <c r="H47" i="65"/>
  <c r="H48" i="65" s="1"/>
  <c r="H44" i="65"/>
  <c r="G45" i="65"/>
  <c r="G46" i="65" s="1"/>
  <c r="G47" i="64"/>
  <c r="G48" i="64" s="1"/>
  <c r="H47" i="64"/>
  <c r="H48" i="64" s="1"/>
  <c r="G44" i="64"/>
  <c r="H44" i="64"/>
  <c r="G47" i="63"/>
  <c r="G48" i="63" s="1"/>
  <c r="H47" i="63"/>
  <c r="H48" i="63" s="1"/>
  <c r="H44" i="63"/>
  <c r="G44" i="63"/>
  <c r="G44" i="62"/>
  <c r="H44" i="62"/>
  <c r="G45" i="62"/>
  <c r="G46" i="62" s="1"/>
  <c r="H47" i="62"/>
  <c r="H48" i="62" s="1"/>
  <c r="G47" i="61"/>
  <c r="G48" i="61" s="1"/>
  <c r="H47" i="61"/>
  <c r="H48" i="61" s="1"/>
  <c r="G45" i="60"/>
  <c r="G46" i="60" s="1"/>
  <c r="G47" i="60"/>
  <c r="G48" i="60" s="1"/>
  <c r="G45" i="58"/>
  <c r="G46" i="58" s="1"/>
  <c r="H45" i="58"/>
  <c r="H46" i="58" s="1"/>
  <c r="G47" i="57"/>
  <c r="G48" i="57" s="1"/>
  <c r="H47" i="57"/>
  <c r="H48" i="57" s="1"/>
  <c r="H44" i="57"/>
  <c r="G45" i="56"/>
  <c r="G46" i="56" s="1"/>
  <c r="H45" i="56"/>
  <c r="H46" i="56" s="1"/>
  <c r="G47" i="49"/>
  <c r="G48" i="49" s="1"/>
  <c r="H47" i="49"/>
  <c r="H48" i="49" s="1"/>
  <c r="H44" i="49"/>
  <c r="G45" i="48"/>
  <c r="G46" i="48" s="1"/>
  <c r="H45" i="48"/>
  <c r="H46" i="48" s="1"/>
  <c r="G45" i="42"/>
  <c r="G46" i="42" s="1"/>
  <c r="H45" i="42"/>
  <c r="H46" i="42" s="1"/>
  <c r="G48" i="42"/>
  <c r="H45" i="41"/>
  <c r="H46" i="41" s="1"/>
  <c r="G44" i="41"/>
  <c r="H44" i="41"/>
  <c r="H44" i="38"/>
  <c r="G45" i="38"/>
  <c r="G46" i="38" s="1"/>
  <c r="H45" i="38"/>
  <c r="H46" i="38" s="1"/>
  <c r="G47" i="38"/>
  <c r="G48" i="38" s="1"/>
  <c r="G44" i="37"/>
  <c r="H44" i="37"/>
  <c r="G45" i="37"/>
  <c r="G46" i="37" s="1"/>
  <c r="H44" i="36"/>
  <c r="G45" i="36"/>
  <c r="G46" i="36" s="1"/>
  <c r="H47" i="36"/>
  <c r="H48" i="36" s="1"/>
  <c r="G47" i="36"/>
  <c r="G48" i="36" s="1"/>
  <c r="G44" i="35"/>
  <c r="G44" i="30"/>
  <c r="H44" i="30"/>
  <c r="G45" i="30"/>
  <c r="G46" i="30" s="1"/>
  <c r="H47" i="30"/>
  <c r="H48" i="30" s="1"/>
  <c r="G47" i="29"/>
  <c r="G48" i="29" s="1"/>
  <c r="G47" i="28"/>
  <c r="G48" i="28" s="1"/>
  <c r="H47" i="28"/>
  <c r="H48" i="28" s="1"/>
  <c r="H48" i="27"/>
  <c r="H45" i="25"/>
  <c r="H46" i="25" s="1"/>
  <c r="H44" i="24"/>
  <c r="G44" i="24"/>
  <c r="G45" i="23"/>
  <c r="G46" i="23" s="1"/>
  <c r="G47" i="23"/>
  <c r="G48" i="23" s="1"/>
  <c r="G47" i="22"/>
  <c r="G48" i="22" s="1"/>
  <c r="H47" i="22"/>
  <c r="H48" i="22" s="1"/>
  <c r="G44" i="22"/>
  <c r="H45" i="22"/>
  <c r="H46" i="22" s="1"/>
  <c r="G45" i="21"/>
  <c r="G46" i="21" s="1"/>
  <c r="H45" i="21"/>
  <c r="H46" i="21" s="1"/>
  <c r="H47" i="21"/>
  <c r="H48" i="21" s="1"/>
  <c r="G47" i="20"/>
  <c r="G48" i="20" s="1"/>
  <c r="H47" i="20"/>
  <c r="H48" i="20" s="1"/>
  <c r="H44" i="20"/>
  <c r="G45" i="19"/>
  <c r="G46" i="19" s="1"/>
  <c r="H47" i="19"/>
  <c r="H48" i="19" s="1"/>
  <c r="G47" i="18"/>
  <c r="G48" i="18" s="1"/>
  <c r="H47" i="18"/>
  <c r="H48" i="18" s="1"/>
  <c r="G44" i="18"/>
  <c r="H44" i="18"/>
  <c r="G47" i="17"/>
  <c r="G48" i="17" s="1"/>
  <c r="H47" i="17"/>
  <c r="H48" i="17" s="1"/>
  <c r="G47" i="16"/>
  <c r="G48" i="16" s="1"/>
  <c r="H47" i="16"/>
  <c r="H48" i="16" s="1"/>
  <c r="H44" i="16"/>
  <c r="G47" i="14"/>
  <c r="G48" i="14" s="1"/>
  <c r="H47" i="14"/>
  <c r="H48" i="14" s="1"/>
  <c r="H44" i="14"/>
  <c r="H44" i="13"/>
  <c r="G45" i="13"/>
  <c r="G46" i="13" s="1"/>
  <c r="G47" i="13"/>
  <c r="G48" i="13" s="1"/>
  <c r="G47" i="12"/>
  <c r="G48" i="12" s="1"/>
  <c r="H47" i="12"/>
  <c r="H48" i="12" s="1"/>
  <c r="H44" i="12"/>
  <c r="G44" i="11"/>
  <c r="G45" i="11"/>
  <c r="G46" i="11" s="1"/>
  <c r="G44" i="10"/>
  <c r="H44" i="10"/>
  <c r="G47" i="8"/>
  <c r="G48" i="8" s="1"/>
  <c r="H44" i="8"/>
  <c r="G45" i="8"/>
  <c r="G46" i="8" s="1"/>
  <c r="H45" i="8"/>
  <c r="H46" i="8" s="1"/>
  <c r="H47" i="7"/>
  <c r="H48" i="7" s="1"/>
  <c r="H44" i="7"/>
  <c r="G45" i="7"/>
  <c r="G46" i="7" s="1"/>
  <c r="G47" i="6"/>
  <c r="G48" i="6" s="1"/>
  <c r="H47" i="6"/>
  <c r="H48" i="6" s="1"/>
  <c r="H45" i="6"/>
  <c r="H46" i="6" s="1"/>
  <c r="G47" i="5"/>
  <c r="G48" i="5" s="1"/>
  <c r="H47" i="5"/>
  <c r="H48" i="5" s="1"/>
  <c r="G44" i="4"/>
  <c r="G45" i="4"/>
  <c r="G46" i="4" s="1"/>
  <c r="H38" i="3"/>
  <c r="H47" i="3" s="1"/>
  <c r="H48" i="3" s="1"/>
  <c r="G38" i="3"/>
  <c r="G45" i="3" s="1"/>
  <c r="G46" i="3" s="1"/>
  <c r="H38" i="2"/>
  <c r="G38" i="2"/>
  <c r="G47" i="3" l="1"/>
  <c r="G48" i="3" s="1"/>
  <c r="H44" i="3"/>
  <c r="G44" i="3"/>
  <c r="H45" i="3"/>
  <c r="H46" i="3" s="1"/>
  <c r="G44" i="2"/>
  <c r="H44" i="2"/>
</calcChain>
</file>

<file path=xl/sharedStrings.xml><?xml version="1.0" encoding="utf-8"?>
<sst xmlns="http://schemas.openxmlformats.org/spreadsheetml/2006/main" count="18747" uniqueCount="669">
  <si>
    <t>РЕЖИМНЫЕ КАРТЫ КОТЛОВ ООО "ЛЕНОБЛТЕПЛОСНАБ"</t>
  </si>
  <si>
    <t>Волховский район Ленинградской области. Составлено по результатам режимно-наладочных работ.</t>
  </si>
  <si>
    <t>Каждый лист: режимная карта + карта настройки автоматики безопасности.</t>
  </si>
  <si>
    <t>№</t>
  </si>
  <si>
    <t>Поселение / котельная</t>
  </si>
  <si>
    <t>Котёл</t>
  </si>
  <si>
    <t>Тип котла</t>
  </si>
  <si>
    <t>Топливо</t>
  </si>
  <si>
    <t>Мощн., МВт</t>
  </si>
  <si>
    <t>Дата испытаний</t>
  </si>
  <si>
    <t>Источник данных</t>
  </si>
  <si>
    <t>Аврово</t>
  </si>
  <si>
    <t>№1</t>
  </si>
  <si>
    <t>КВ-ГМ-1,1</t>
  </si>
  <si>
    <t>Природный газ</t>
  </si>
  <si>
    <t>1,1</t>
  </si>
  <si>
    <t>2024-12-27</t>
  </si>
  <si>
    <t>журнал замеров (2024-12-27)</t>
  </si>
  <si>
    <t>№2</t>
  </si>
  <si>
    <t>2025-03-15</t>
  </si>
  <si>
    <t>журнал замеров (2025-03-15)</t>
  </si>
  <si>
    <t>Бережки</t>
  </si>
  <si>
    <t>КВГМ 2,5-95</t>
  </si>
  <si>
    <t>2,5</t>
  </si>
  <si>
    <t>2024-09-28</t>
  </si>
  <si>
    <t>журнал замеров (2024-09-28)</t>
  </si>
  <si>
    <t>Вындин остров</t>
  </si>
  <si>
    <t>2024-11-17</t>
  </si>
  <si>
    <t>типовые расчётные значения</t>
  </si>
  <si>
    <t>2024-03-21</t>
  </si>
  <si>
    <t>№3</t>
  </si>
  <si>
    <t>2023-02-09</t>
  </si>
  <si>
    <t>Иссад ЛТЦ</t>
  </si>
  <si>
    <t>Ставан-250</t>
  </si>
  <si>
    <t>Дизельное топливо</t>
  </si>
  <si>
    <t>0,2</t>
  </si>
  <si>
    <t>2025-02-11</t>
  </si>
  <si>
    <t>Иссад</t>
  </si>
  <si>
    <t>2025-03-21</t>
  </si>
  <si>
    <t>журнал замеров (2024-10-26)</t>
  </si>
  <si>
    <t>2024-10-26</t>
  </si>
  <si>
    <t>Кисельня БМК</t>
  </si>
  <si>
    <t>КВГМ 0,63-95</t>
  </si>
  <si>
    <t>0,6</t>
  </si>
  <si>
    <t>2022-11-22</t>
  </si>
  <si>
    <t>2024-08-21</t>
  </si>
  <si>
    <t>Кисельня Центр</t>
  </si>
  <si>
    <t>2024-09-21</t>
  </si>
  <si>
    <t>журнал замеров (2024-09-21)</t>
  </si>
  <si>
    <t>2025-01-18</t>
  </si>
  <si>
    <t>журнал замеров (2025-01-18)</t>
  </si>
  <si>
    <t>Колчаново Алексино</t>
  </si>
  <si>
    <t>2024-12-07</t>
  </si>
  <si>
    <t>журнал замеров (2024-12-07)</t>
  </si>
  <si>
    <t>2025-02-28</t>
  </si>
  <si>
    <t>Колчаново Молодежная</t>
  </si>
  <si>
    <t>КВГМ 2,0-95</t>
  </si>
  <si>
    <t>2</t>
  </si>
  <si>
    <t>2025-12-10</t>
  </si>
  <si>
    <t>журнал замеров (2025-12-10)</t>
  </si>
  <si>
    <t>Новая Ладога Северная</t>
  </si>
  <si>
    <t>Турботерм ТТ-800</t>
  </si>
  <si>
    <t>0,8</t>
  </si>
  <si>
    <t>2022-03-01</t>
  </si>
  <si>
    <t>КВр-1.25-90</t>
  </si>
  <si>
    <t>Уголь</t>
  </si>
  <si>
    <t>1,2</t>
  </si>
  <si>
    <t>2024-01-01</t>
  </si>
  <si>
    <t>готовая РК (январь 2024)</t>
  </si>
  <si>
    <t>Новая Ладога Центральная</t>
  </si>
  <si>
    <t>ДКВР-10/13</t>
  </si>
  <si>
    <t>6,2</t>
  </si>
  <si>
    <t>2023-03-01</t>
  </si>
  <si>
    <t>2025-12-20</t>
  </si>
  <si>
    <t>готовая РК (декабрь 2025)</t>
  </si>
  <si>
    <t>№4</t>
  </si>
  <si>
    <t>КВГМ 20-150</t>
  </si>
  <si>
    <t>23,3</t>
  </si>
  <si>
    <t>2026-03-21</t>
  </si>
  <si>
    <t>№5</t>
  </si>
  <si>
    <t>2021-11-01</t>
  </si>
  <si>
    <t>Мазут</t>
  </si>
  <si>
    <t>2025-02-01</t>
  </si>
  <si>
    <t>готовая РК (февраль 2025)</t>
  </si>
  <si>
    <t>готовая РК + тех.отчёт (март 2025)</t>
  </si>
  <si>
    <t>2020-02-01</t>
  </si>
  <si>
    <t>Новая Ладога Луначарского</t>
  </si>
  <si>
    <t>Турботерм 250</t>
  </si>
  <si>
    <t>2018-03-01</t>
  </si>
  <si>
    <t>Паша №2</t>
  </si>
  <si>
    <t>КВГМ 1,1 - 95</t>
  </si>
  <si>
    <t>2025-02-10</t>
  </si>
  <si>
    <t>2022-10-28</t>
  </si>
  <si>
    <t>Паша №4 Станционная</t>
  </si>
  <si>
    <t>НИИСТУ-5</t>
  </si>
  <si>
    <t>0,5</t>
  </si>
  <si>
    <t>2025-03-10</t>
  </si>
  <si>
    <t>Паша №1</t>
  </si>
  <si>
    <t>КВГМ 3,0 -95</t>
  </si>
  <si>
    <t>3</t>
  </si>
  <si>
    <t>2025-04-25</t>
  </si>
  <si>
    <t>2025-04-09</t>
  </si>
  <si>
    <t>КВГМ 2,5 -95</t>
  </si>
  <si>
    <t>Паша №3 Лесозавод</t>
  </si>
  <si>
    <t>2023-09-29</t>
  </si>
  <si>
    <t>Потанино</t>
  </si>
  <si>
    <t>КВа 2,5-95</t>
  </si>
  <si>
    <t>2024-10-05</t>
  </si>
  <si>
    <t>журнал замеров (2024-10-05)</t>
  </si>
  <si>
    <t>2024-10-01</t>
  </si>
  <si>
    <t>Свирица</t>
  </si>
  <si>
    <t>КВГМ 1,1- 95</t>
  </si>
  <si>
    <t>2025-10-08</t>
  </si>
  <si>
    <t>КВГМ-0,63-95</t>
  </si>
  <si>
    <t>2021-04-11</t>
  </si>
  <si>
    <t>Селиваново</t>
  </si>
  <si>
    <t>2025-04-01</t>
  </si>
  <si>
    <t>2024-04-01</t>
  </si>
  <si>
    <t>2020-12-01</t>
  </si>
  <si>
    <t>Селиваново Газовая</t>
  </si>
  <si>
    <t>2025-01-01</t>
  </si>
  <si>
    <t>Старая Ладога пр. Волковский 12а</t>
  </si>
  <si>
    <t>КВГМ-1,6-95</t>
  </si>
  <si>
    <t>1,6</t>
  </si>
  <si>
    <t>2024-09-07</t>
  </si>
  <si>
    <t>журнал замеров (2024-09-07)</t>
  </si>
  <si>
    <t>2025-04-23</t>
  </si>
  <si>
    <t>журнал замеров (2025-04-23)</t>
  </si>
  <si>
    <t>Старая Ладога советская 30</t>
  </si>
  <si>
    <t>2025-12-09</t>
  </si>
  <si>
    <t>журнал замеров (2025-12-09)</t>
  </si>
  <si>
    <t>2022-12-12</t>
  </si>
  <si>
    <t>2023-06-23</t>
  </si>
  <si>
    <t>Усадище</t>
  </si>
  <si>
    <t>2024-10-12</t>
  </si>
  <si>
    <t>журнал замеров (2024-10-12)</t>
  </si>
  <si>
    <t>2025-03-14</t>
  </si>
  <si>
    <t>Хвалово</t>
  </si>
  <si>
    <t>КВм-1,0</t>
  </si>
  <si>
    <t>1</t>
  </si>
  <si>
    <t>сводная ведомость (январь 2025)</t>
  </si>
  <si>
    <t>2025-03-01</t>
  </si>
  <si>
    <t>сводная ведомость (март 2025)</t>
  </si>
  <si>
    <t>Юги</t>
  </si>
  <si>
    <t>готовая РК (январь 2025)</t>
  </si>
  <si>
    <t>Универсал-18</t>
  </si>
  <si>
    <t>УТВЕРЖДАЮ</t>
  </si>
  <si>
    <t>Зам. ген. директора –</t>
  </si>
  <si>
    <t>главный инженер</t>
  </si>
  <si>
    <t>ООО "Леноблтеплоснаб"</t>
  </si>
  <si>
    <t>Степанов А.В.</t>
  </si>
  <si>
    <t>__________________</t>
  </si>
  <si>
    <t>"___"_____________ 2026 г.</t>
  </si>
  <si>
    <t>РЕЖИМНАЯ КАРТА</t>
  </si>
  <si>
    <t>котла КВ-ГМ-1,1 ст. №1  (ном. 1,1 МВт / 0,9 Гкал/ч)</t>
  </si>
  <si>
    <t>при работе на природном газе</t>
  </si>
  <si>
    <t>установленного в котельной по адресу: п. Аврово, ул. Центральная, 3А,</t>
  </si>
  <si>
    <t>Волховского р-на Ленинградской области</t>
  </si>
  <si>
    <t>Тип горелки: R72А CIB UNIGAS</t>
  </si>
  <si>
    <t>№№ п.п.</t>
  </si>
  <si>
    <t>Наименование параметров</t>
  </si>
  <si>
    <t>Мин. режим</t>
  </si>
  <si>
    <t>Мак. режим</t>
  </si>
  <si>
    <t>Допустимые откл.</t>
  </si>
  <si>
    <t>Ед. изм.</t>
  </si>
  <si>
    <t>1.</t>
  </si>
  <si>
    <t>ПАРАМЕТРЫ ТОПЛИВА И ВОЗДУХА:</t>
  </si>
  <si>
    <t>1.1.</t>
  </si>
  <si>
    <t>Низшая теплота сгорания топлива (Qрн):</t>
  </si>
  <si>
    <t>8231</t>
  </si>
  <si>
    <t>± 50</t>
  </si>
  <si>
    <t>ккал/м³</t>
  </si>
  <si>
    <t>1.2.</t>
  </si>
  <si>
    <t>275</t>
  </si>
  <si>
    <t>± 0,1</t>
  </si>
  <si>
    <t>кПа</t>
  </si>
  <si>
    <t>1.3.</t>
  </si>
  <si>
    <t>Давление газа перед котлом/горелкой:</t>
  </si>
  <si>
    <t>20</t>
  </si>
  <si>
    <t>1.4.</t>
  </si>
  <si>
    <t>Положение регулирующего органа (газовой заслонки):</t>
  </si>
  <si>
    <t>10</t>
  </si>
  <si>
    <t>45</t>
  </si>
  <si>
    <t>± 1</t>
  </si>
  <si>
    <t>%</t>
  </si>
  <si>
    <t>1.5.</t>
  </si>
  <si>
    <t>Расход топлива:</t>
  </si>
  <si>
    <t>30</t>
  </si>
  <si>
    <t>100</t>
  </si>
  <si>
    <t>± 2</t>
  </si>
  <si>
    <t>м³/ч</t>
  </si>
  <si>
    <t>1.6.</t>
  </si>
  <si>
    <t>Давление воздуха перед горелкой:</t>
  </si>
  <si>
    <t>± 0,2</t>
  </si>
  <si>
    <t>1.7.</t>
  </si>
  <si>
    <t>Положение регулятора воздуха:</t>
  </si>
  <si>
    <t>15</t>
  </si>
  <si>
    <t>95</t>
  </si>
  <si>
    <t>1.8.</t>
  </si>
  <si>
    <t>Разрежение в топке:</t>
  </si>
  <si>
    <t>115</t>
  </si>
  <si>
    <t>Па</t>
  </si>
  <si>
    <t>1.9.</t>
  </si>
  <si>
    <t>Температура топлива:</t>
  </si>
  <si>
    <t>–</t>
  </si>
  <si>
    <t>°C</t>
  </si>
  <si>
    <t>1.10.</t>
  </si>
  <si>
    <t>Температура воздуха на горение:</t>
  </si>
  <si>
    <t>2.</t>
  </si>
  <si>
    <t>ПАРАМЕТРЫ ДЫМОВЫХ ГАЗОВ:</t>
  </si>
  <si>
    <t>2.1.</t>
  </si>
  <si>
    <t>Температура уходящих газов:</t>
  </si>
  <si>
    <t>2.2.</t>
  </si>
  <si>
    <t>Кислород (O₂):</t>
  </si>
  <si>
    <t>3,2</t>
  </si>
  <si>
    <t>3,4</t>
  </si>
  <si>
    <t>2.3.</t>
  </si>
  <si>
    <t>Углекислый газ (CO₂):</t>
  </si>
  <si>
    <t>8,6</t>
  </si>
  <si>
    <t>9,2</t>
  </si>
  <si>
    <t>2.4.</t>
  </si>
  <si>
    <t>Оксиды серы (SO₂):</t>
  </si>
  <si>
    <t>2.5.</t>
  </si>
  <si>
    <t>Окись углерода (CO):</t>
  </si>
  <si>
    <t>0</t>
  </si>
  <si>
    <t>ppm</t>
  </si>
  <si>
    <t>2.6.</t>
  </si>
  <si>
    <t>Оксиды азота (NOₓ):</t>
  </si>
  <si>
    <t>40</t>
  </si>
  <si>
    <t>140</t>
  </si>
  <si>
    <t>2.7.</t>
  </si>
  <si>
    <t>Коэффициент избытка воздуха (α):</t>
  </si>
  <si>
    <t>1,18</t>
  </si>
  <si>
    <t>1,19</t>
  </si>
  <si>
    <t>3.</t>
  </si>
  <si>
    <t>ПАРАМЕТРЫ ТЕПЛОНОСИТЕЛЯ:</t>
  </si>
  <si>
    <t>3.1.</t>
  </si>
  <si>
    <t>Температура воды на входе в котёл:</t>
  </si>
  <si>
    <t>60</t>
  </si>
  <si>
    <t>3.2.</t>
  </si>
  <si>
    <t>Температура воды на выходе из котла:</t>
  </si>
  <si>
    <t>66</t>
  </si>
  <si>
    <t>80</t>
  </si>
  <si>
    <t>3.3.</t>
  </si>
  <si>
    <t>Подогрев воды в котле (Δt):</t>
  </si>
  <si>
    <t>6</t>
  </si>
  <si>
    <t>3.4.</t>
  </si>
  <si>
    <t>Давление воды на входе в котёл:</t>
  </si>
  <si>
    <t>5</t>
  </si>
  <si>
    <t>кгс/см²</t>
  </si>
  <si>
    <t>3.5.</t>
  </si>
  <si>
    <t>Давление воды на выходе из котла:</t>
  </si>
  <si>
    <t>4</t>
  </si>
  <si>
    <t>3.6.</t>
  </si>
  <si>
    <t>Гидравлическое сопротивление котла (ΔP):</t>
  </si>
  <si>
    <t>3.7.</t>
  </si>
  <si>
    <t>Массовый расход воды через котёл:</t>
  </si>
  <si>
    <t>38</t>
  </si>
  <si>
    <t>т/ч</t>
  </si>
  <si>
    <t>4.</t>
  </si>
  <si>
    <t>4.1.</t>
  </si>
  <si>
    <t>Фактическая теплопроизводительность (Q):</t>
  </si>
  <si>
    <t>Гкал/ч</t>
  </si>
  <si>
    <t>— то же, МВт:</t>
  </si>
  <si>
    <t>МВт</t>
  </si>
  <si>
    <t>4.2.</t>
  </si>
  <si>
    <t>Нагрузка (% от номинальной):</t>
  </si>
  <si>
    <t>23</t>
  </si>
  <si>
    <t>4.3.</t>
  </si>
  <si>
    <t>КПД котла "брутто" (η):</t>
  </si>
  <si>
    <t>90</t>
  </si>
  <si>
    <t>± 0,5</t>
  </si>
  <si>
    <t>4.4.</t>
  </si>
  <si>
    <t>Удельный расход условного топлива:</t>
  </si>
  <si>
    <t>кг у.т./Гкал</t>
  </si>
  <si>
    <t>Наладку провёл:</t>
  </si>
  <si>
    <t>Согласовано:</t>
  </si>
  <si>
    <t>Зам. главного инженера</t>
  </si>
  <si>
    <t>Начальник котельного участка</t>
  </si>
  <si>
    <t>Амбарцумов А.В.    __________________</t>
  </si>
  <si>
    <t>КАРТА ПАРАМЕТРОВ НАСТРОЙКИ АВТОМАТИКИ БЕЗОПАСНОСТИ</t>
  </si>
  <si>
    <t>котла КВ-ГМ-1,1 ст. №1 при работе на природном газе</t>
  </si>
  <si>
    <t>Значение</t>
  </si>
  <si>
    <t>Время срабатывания</t>
  </si>
  <si>
    <t>ДАВЛЕНИЕ ТОПЛИВА</t>
  </si>
  <si>
    <t>Понижение давления топлива перед клапанами/горелкой</t>
  </si>
  <si>
    <t>0,01</t>
  </si>
  <si>
    <t>бар</t>
  </si>
  <si>
    <t>Без выдержки</t>
  </si>
  <si>
    <t>Повышение давления топлива перед горелкой</t>
  </si>
  <si>
    <t>1,0</t>
  </si>
  <si>
    <t>ВОЗДУХ / ТЯГА</t>
  </si>
  <si>
    <t>Понижение давления воздуха перед горелкой</t>
  </si>
  <si>
    <t>0,003</t>
  </si>
  <si>
    <t>Разрежение в топке</t>
  </si>
  <si>
    <t>500</t>
  </si>
  <si>
    <t>≤ 0,5 сек</t>
  </si>
  <si>
    <t>ТЕПЛОНОСИТЕЛЬ</t>
  </si>
  <si>
    <t>Понижение давления воды в котле</t>
  </si>
  <si>
    <t>2,0</t>
  </si>
  <si>
    <t>Повышение давления воды в котле</t>
  </si>
  <si>
    <t>7,0</t>
  </si>
  <si>
    <t>Повышение температуры воды на выходе</t>
  </si>
  <si>
    <t>ГОРЕНИЕ / ТОПЛИВО</t>
  </si>
  <si>
    <t>Погасание факела / отсутствие горения</t>
  </si>
  <si>
    <t>Контроль</t>
  </si>
  <si>
    <t>Понижение температуры мазута</t>
  </si>
  <si>
    <t>≤ 5 сек</t>
  </si>
  <si>
    <t>5.</t>
  </si>
  <si>
    <t>ЭЛЕКТРИКА</t>
  </si>
  <si>
    <t>5.1.</t>
  </si>
  <si>
    <t>Исчезновение напряжения в цепях защиты</t>
  </si>
  <si>
    <t>5.2.</t>
  </si>
  <si>
    <t>Остановка топливного конвейера (уголь)</t>
  </si>
  <si>
    <t>котла КВ-ГМ-1,1 ст. №2  (ном. 1,1 МВт / 0,9 Гкал/ч)</t>
  </si>
  <si>
    <t>155</t>
  </si>
  <si>
    <t>2,7</t>
  </si>
  <si>
    <t>10,2</t>
  </si>
  <si>
    <t>196</t>
  </si>
  <si>
    <t>70</t>
  </si>
  <si>
    <t>81</t>
  </si>
  <si>
    <t>21</t>
  </si>
  <si>
    <t>0,4</t>
  </si>
  <si>
    <t>42</t>
  </si>
  <si>
    <t>85</t>
  </si>
  <si>
    <t>котла КВ-ГМ-1,1 ст. №2 при работе на природном газе</t>
  </si>
  <si>
    <t>котла КВГМ 2,5-95 ст. №1  (ном. 2,5 МВт / 2,1 Гкал/ч)</t>
  </si>
  <si>
    <t>установленного в котельной по адресу: д. Бережки, ул.Придорожная д.2а,</t>
  </si>
  <si>
    <t>Тип горелки: R92А CIB UNIGAS</t>
  </si>
  <si>
    <t>94</t>
  </si>
  <si>
    <t>210</t>
  </si>
  <si>
    <t>125</t>
  </si>
  <si>
    <t>150</t>
  </si>
  <si>
    <t>2,6</t>
  </si>
  <si>
    <t>9,6</t>
  </si>
  <si>
    <t>9,4</t>
  </si>
  <si>
    <t>11</t>
  </si>
  <si>
    <t>1,14</t>
  </si>
  <si>
    <t>1,15</t>
  </si>
  <si>
    <t>48</t>
  </si>
  <si>
    <t>57</t>
  </si>
  <si>
    <t>68</t>
  </si>
  <si>
    <t>9</t>
  </si>
  <si>
    <t>1,8</t>
  </si>
  <si>
    <t>котла КВГМ 2,5-95 ст. №1 при работе на природном газе</t>
  </si>
  <si>
    <t>котла КВГМ 2,5-95 ст. №2  (ном. 2,5 МВт / 2,1 Гкал/ч)</t>
  </si>
  <si>
    <t>134</t>
  </si>
  <si>
    <t>160</t>
  </si>
  <si>
    <t>9,7</t>
  </si>
  <si>
    <t>14</t>
  </si>
  <si>
    <t>18</t>
  </si>
  <si>
    <t>1,4</t>
  </si>
  <si>
    <t>котла КВГМ 2,5-95 ст. №2 при работе на природном газе</t>
  </si>
  <si>
    <t>установленного в котельной по адресу: д. Вындин Остров ул.Школьная д.33,</t>
  </si>
  <si>
    <t>Тип горелки: TBML 360 ME Baltur</t>
  </si>
  <si>
    <t>116</t>
  </si>
  <si>
    <t>120</t>
  </si>
  <si>
    <t>4,8</t>
  </si>
  <si>
    <t>9,1</t>
  </si>
  <si>
    <t>1,3</t>
  </si>
  <si>
    <t>86</t>
  </si>
  <si>
    <t>котла КВГМ 2,5-95 ст. №3  (ном. 2,5 МВт / 2,1 Гкал/ч)</t>
  </si>
  <si>
    <t>котла КВГМ 2,5-95 ст. №3 при работе на природном газе</t>
  </si>
  <si>
    <t>котла Ставан-250 ст. №1  (ном. 0,2 МВт / 0,2 Гкал/ч)</t>
  </si>
  <si>
    <t>при работе на дизельном топливе</t>
  </si>
  <si>
    <t>установленного в котельной по адресу: д. Иссад, мкр. ЛТЦ-4,</t>
  </si>
  <si>
    <t>Тип горелки: по паспорту котла</t>
  </si>
  <si>
    <t>10100</t>
  </si>
  <si>
    <t>ккал/кг</t>
  </si>
  <si>
    <t>Давление топлива перед котлом/горелкой:</t>
  </si>
  <si>
    <t>Положение регулирующего органа топлива:</t>
  </si>
  <si>
    <t>кг/ч</t>
  </si>
  <si>
    <t>11,9</t>
  </si>
  <si>
    <t>13,5</t>
  </si>
  <si>
    <t>по замеру</t>
  </si>
  <si>
    <t>110</t>
  </si>
  <si>
    <t>0,1</t>
  </si>
  <si>
    <t>84</t>
  </si>
  <si>
    <t>89</t>
  </si>
  <si>
    <t>котла Ставан-250 ст. №1 при работе на дизельном топливе</t>
  </si>
  <si>
    <t>0,002</t>
  </si>
  <si>
    <t>котла Ставан-250 ст. №2  (ном. 0,2 МВт / 0,2 Гкал/ч)</t>
  </si>
  <si>
    <t>Тип горелки: R25ABECO Ecoflam</t>
  </si>
  <si>
    <t>котла Ставан-250 ст. №2 при работе на дизельном топливе</t>
  </si>
  <si>
    <t>установленного в котельной по адресу: д. Иссад, ул. Лесная, д.3,</t>
  </si>
  <si>
    <t>Тип горелки: P92А CIB UNIGAS</t>
  </si>
  <si>
    <t>67</t>
  </si>
  <si>
    <t>257</t>
  </si>
  <si>
    <t>148</t>
  </si>
  <si>
    <t>3,7</t>
  </si>
  <si>
    <t>52</t>
  </si>
  <si>
    <t>51</t>
  </si>
  <si>
    <t>1,21</t>
  </si>
  <si>
    <t>22</t>
  </si>
  <si>
    <t>2,2</t>
  </si>
  <si>
    <t>54</t>
  </si>
  <si>
    <t>2,8</t>
  </si>
  <si>
    <t>3,3</t>
  </si>
  <si>
    <t>9,5</t>
  </si>
  <si>
    <t>9,3</t>
  </si>
  <si>
    <t>25</t>
  </si>
  <si>
    <t>46</t>
  </si>
  <si>
    <t>котла КВГМ 0,63-95 ст. №1  (ном. 0,6 МВт / 0,5 Гкал/ч)</t>
  </si>
  <si>
    <t>установленного в котельной по адресу: д. Кисельня, ул.Северная, д.6,</t>
  </si>
  <si>
    <t>59</t>
  </si>
  <si>
    <t>41</t>
  </si>
  <si>
    <t>котла КВГМ 0,63-95 ст. №1 при работе на природном газе</t>
  </si>
  <si>
    <t>котла КВГМ 0,63-95 ст. №2  (ном. 0,6 МВт / 0,5 Гкал/ч)</t>
  </si>
  <si>
    <t>Тип горелки: P60 CIB UNIGAS</t>
  </si>
  <si>
    <t>котла КВГМ 0,63-95 ст. №2 при работе на природном газе</t>
  </si>
  <si>
    <t>установленного в котельной по адресу: д. Кисельня, ул.Центральная, д.27а,</t>
  </si>
  <si>
    <t>159</t>
  </si>
  <si>
    <t>183</t>
  </si>
  <si>
    <t>50</t>
  </si>
  <si>
    <t>24</t>
  </si>
  <si>
    <t>28</t>
  </si>
  <si>
    <t>215</t>
  </si>
  <si>
    <t>93</t>
  </si>
  <si>
    <t>187</t>
  </si>
  <si>
    <t>4,6</t>
  </si>
  <si>
    <t>78</t>
  </si>
  <si>
    <t>1,28</t>
  </si>
  <si>
    <t>1,17</t>
  </si>
  <si>
    <t>64</t>
  </si>
  <si>
    <t>74</t>
  </si>
  <si>
    <t>Тип горелки: БЕРНАР</t>
  </si>
  <si>
    <t>87</t>
  </si>
  <si>
    <t>96</t>
  </si>
  <si>
    <t>139</t>
  </si>
  <si>
    <t>4,1</t>
  </si>
  <si>
    <t>8,8</t>
  </si>
  <si>
    <t>33</t>
  </si>
  <si>
    <t>1,24</t>
  </si>
  <si>
    <t>установленного в котельной по адресу: с. Колчаново, мкрн. Алексино,</t>
  </si>
  <si>
    <t>Тип горелки: R73А CIB UNIGAS</t>
  </si>
  <si>
    <t>65</t>
  </si>
  <si>
    <t>55</t>
  </si>
  <si>
    <t>Тип горелки: R93А CIB UNIGAS</t>
  </si>
  <si>
    <t>274</t>
  </si>
  <si>
    <t>127</t>
  </si>
  <si>
    <t>145</t>
  </si>
  <si>
    <t>3,6</t>
  </si>
  <si>
    <t>27</t>
  </si>
  <si>
    <t>8</t>
  </si>
  <si>
    <t>котла КВГМ 2,0-95 ст. №1  (ном. 2 МВт / 1,7 Гкал/ч)</t>
  </si>
  <si>
    <t>установленного в котельной по адресу: с. Колчаново, ул. Молодежная, д.11,</t>
  </si>
  <si>
    <t>Тип горелки: HR75A CIB UNIGAS</t>
  </si>
  <si>
    <t>17</t>
  </si>
  <si>
    <t>69</t>
  </si>
  <si>
    <t>котла КВГМ 2,0-95 ст. №1 при работе на природном газе</t>
  </si>
  <si>
    <t>272</t>
  </si>
  <si>
    <t>170</t>
  </si>
  <si>
    <t>котла Турботерм ТТ-800 ст. №1  (ном. 0,8 МВт / 0,7 Гкал/ч)</t>
  </si>
  <si>
    <t>установленного в котельной по адресу: г. Новая Ладога, ул. Северная, д. 24,</t>
  </si>
  <si>
    <t>36</t>
  </si>
  <si>
    <t>котла Турботерм ТТ-800 ст. №1 при работе на природном газе</t>
  </si>
  <si>
    <t>котла Турботерм ТТ-800 ст. №2  (ном. 0,8 МВт / 0,7 Гкал/ч)</t>
  </si>
  <si>
    <t>котла Турботерм ТТ-800 ст. №2 при работе на природном газе</t>
  </si>
  <si>
    <t>котла КВр-1.25-90 ст. №2  (ном. 1,2 МВт / 1,1 Гкал/ч)</t>
  </si>
  <si>
    <t>при работе на угле</t>
  </si>
  <si>
    <t>Топка: слоевая (ручное/полумеханизированное обслуживание)</t>
  </si>
  <si>
    <t>6395</t>
  </si>
  <si>
    <t>Расход топлива топливоподающим устройством:</t>
  </si>
  <si>
    <t>Положение шибера дутьевого вентилятора:</t>
  </si>
  <si>
    <t>260</t>
  </si>
  <si>
    <t>Давление воздуха перед горелкой (вторичного воздуха):</t>
  </si>
  <si>
    <t>12</t>
  </si>
  <si>
    <t>130</t>
  </si>
  <si>
    <t>190</t>
  </si>
  <si>
    <t>1,5</t>
  </si>
  <si>
    <t>3,5</t>
  </si>
  <si>
    <t>35</t>
  </si>
  <si>
    <t>котла КВр-1.25-90 ст. №2 при работе на угле</t>
  </si>
  <si>
    <t>7,5</t>
  </si>
  <si>
    <t>котла КВр-1.25-90 ст. №1  (ном. 1,2 МВт / 1,1 Гкал/ч)</t>
  </si>
  <si>
    <t>котла КВр-1.25-90 ст. №1 при работе на угле</t>
  </si>
  <si>
    <t>котла ДКВР-10/13 ст. №1  (ном. 6,2 МВт / 5,4 Гкал/ч)</t>
  </si>
  <si>
    <t>установленного в котельной по адресу: г. Новая Ладога, ул. Суворова, д. 79,</t>
  </si>
  <si>
    <t>8059</t>
  </si>
  <si>
    <t>373</t>
  </si>
  <si>
    <t>709</t>
  </si>
  <si>
    <t>220</t>
  </si>
  <si>
    <t>8,2</t>
  </si>
  <si>
    <t>5,3</t>
  </si>
  <si>
    <t>7,2</t>
  </si>
  <si>
    <t>71</t>
  </si>
  <si>
    <t>1,57</t>
  </si>
  <si>
    <t>Паропроизводительность:</t>
  </si>
  <si>
    <t>Температура пара:</t>
  </si>
  <si>
    <t>± 5</t>
  </si>
  <si>
    <t>Давление пара в барабане:</t>
  </si>
  <si>
    <t>13</t>
  </si>
  <si>
    <t>Температура питательной воды:</t>
  </si>
  <si>
    <t>5,2</t>
  </si>
  <si>
    <t>котла ДКВР-10/13 ст. №1 при работе на природном газе</t>
  </si>
  <si>
    <t>Понижение уровня воды в барабане</t>
  </si>
  <si>
    <t>Повышение давления пара в барабане</t>
  </si>
  <si>
    <t>Повышение температуры пара</t>
  </si>
  <si>
    <t>по паспорту</t>
  </si>
  <si>
    <t>котла ДКВР-10/13 ст. №2  (ном. 6,2 МВт / 5,4 Гкал/ч)</t>
  </si>
  <si>
    <t>758</t>
  </si>
  <si>
    <t>10,1</t>
  </si>
  <si>
    <t>котла ДКВР-10/13 ст. №2 при работе на природном газе</t>
  </si>
  <si>
    <t>котла ДКВР-10/13 ст. №3  (ном. 6,2 МВт / 5,4 Гкал/ч)</t>
  </si>
  <si>
    <t>котла ДКВР-10/13 ст. №3 при работе на природном газе</t>
  </si>
  <si>
    <t>котла КВГМ 20-150 ст. №4  (ном. 23,3 МВт / 20 Гкал/ч)</t>
  </si>
  <si>
    <t>796</t>
  </si>
  <si>
    <t>2591</t>
  </si>
  <si>
    <t>165</t>
  </si>
  <si>
    <t>247</t>
  </si>
  <si>
    <t>91</t>
  </si>
  <si>
    <t>котла КВГМ 20-150 ст. №4 при работе на природном газе</t>
  </si>
  <si>
    <t>котла КВГМ 20-150 ст. №5  (ном. 23,3 МВт / 20 Гкал/ч)</t>
  </si>
  <si>
    <t>котла КВГМ 20-150 ст. №5 при работе на природном газе</t>
  </si>
  <si>
    <t>при работе на мазуте</t>
  </si>
  <si>
    <t>9623</t>
  </si>
  <si>
    <t>Давление мазута перед котлом/горелкой:</t>
  </si>
  <si>
    <t>МПа</t>
  </si>
  <si>
    <t>Температура мазута на горение:</t>
  </si>
  <si>
    <t>367</t>
  </si>
  <si>
    <t>Температура топлива (подогрев мазута):</t>
  </si>
  <si>
    <t>298</t>
  </si>
  <si>
    <t>350</t>
  </si>
  <si>
    <t>6,8</t>
  </si>
  <si>
    <t>5,8</t>
  </si>
  <si>
    <t>1,55</t>
  </si>
  <si>
    <t>124</t>
  </si>
  <si>
    <t>котла ДКВР-10/13 ст. №1 при работе на мазуте</t>
  </si>
  <si>
    <t>368</t>
  </si>
  <si>
    <t>5,1</t>
  </si>
  <si>
    <t>10,6</t>
  </si>
  <si>
    <t>котла ДКВР-10/13 ст. №2 при работе на мазуте</t>
  </si>
  <si>
    <t>740</t>
  </si>
  <si>
    <t>2460</t>
  </si>
  <si>
    <t>225</t>
  </si>
  <si>
    <t>10,4</t>
  </si>
  <si>
    <t>12,4</t>
  </si>
  <si>
    <t>1,33</t>
  </si>
  <si>
    <t>котла КВГМ 20-150 ст. №4 при работе на мазуте</t>
  </si>
  <si>
    <t>105</t>
  </si>
  <si>
    <t>721</t>
  </si>
  <si>
    <t>2323</t>
  </si>
  <si>
    <t>4,2</t>
  </si>
  <si>
    <t>11,4</t>
  </si>
  <si>
    <t>12,8</t>
  </si>
  <si>
    <t>1,25</t>
  </si>
  <si>
    <t>котла КВГМ 20-150 ст. №5 при работе на мазуте</t>
  </si>
  <si>
    <t>котла Турботерм 250 ст. №1  (ном. 0,2 МВт / 0,2 Гкал/ч)</t>
  </si>
  <si>
    <t>установленного в котельной по адресу: г. Новая Ладога, ул. Луначарского, д. 4,</t>
  </si>
  <si>
    <t>котла Турботерм 250 ст. №1 при работе на дизельном топливе</t>
  </si>
  <si>
    <t>котла Турботерм 250 ст. №1 при работе на природном газе</t>
  </si>
  <si>
    <t>котла Турботерм 250 ст. №2  (ном. 0,2 МВт / 0,2 Гкал/ч)</t>
  </si>
  <si>
    <t>котла Турботерм 250 ст. №2 при работе на дизельном топливе</t>
  </si>
  <si>
    <t>котла Турботерм 250 ст. №2 при работе на природном газе</t>
  </si>
  <si>
    <t>котла КВГМ 1,1 - 95 ст. №1  (ном. 1,1 МВт / 0,9 Гкал/ч)</t>
  </si>
  <si>
    <t>установленного в котельной по адресу: с. Паша ул. Советская 108-а,</t>
  </si>
  <si>
    <t>200</t>
  </si>
  <si>
    <t>котла КВГМ 1,1 - 95 ст. №1 при работе на мазуте</t>
  </si>
  <si>
    <t>котла КВГМ 1,1 - 95 ст. №2  (ном. 1,1 МВт / 0,9 Гкал/ч)</t>
  </si>
  <si>
    <t>котла КВГМ 1,1 - 95 ст. №2 при работе на мазуте</t>
  </si>
  <si>
    <t>котла НИИСТУ-5 ст. №1  (ном. 0,5 МВт / 0,4 Гкал/ч)</t>
  </si>
  <si>
    <t>установленного в котельной по адресу: с. Паша ул. Станционная д. 9,</t>
  </si>
  <si>
    <t>котла НИИСТУ-5 ст. №1 при работе на угле</t>
  </si>
  <si>
    <t>котла НИИСТУ-5 ст. №2  (ном. 0,5 МВт / 0,4 Гкал/ч)</t>
  </si>
  <si>
    <t>котла НИИСТУ-5 ст. №2 при работе на угле</t>
  </si>
  <si>
    <t>котла КВГМ 3,0 -95 ст. №1  (ном. 3 МВт / 2,6 Гкал/ч)</t>
  </si>
  <si>
    <t>установленного в котельной по адресу: с. Паша ул. Советская д. 192-е,</t>
  </si>
  <si>
    <t>103</t>
  </si>
  <si>
    <t>котла КВГМ 3,0 -95 ст. №1 при работе на мазуте</t>
  </si>
  <si>
    <t>котла КВГМ 3,0 -95 ст. №2  (ном. 3 МВт / 2,6 Гкал/ч)</t>
  </si>
  <si>
    <t>котла КВГМ 3,0 -95 ст. №2 при работе на мазуте</t>
  </si>
  <si>
    <t>котла КВГМ 2,5 -95 ст. №3  (ном. 2,5 МВт / 2,1 Гкал/ч)</t>
  </si>
  <si>
    <t>104</t>
  </si>
  <si>
    <t>котла КВГМ 2,5 -95 ст. №3 при работе на мазуте</t>
  </si>
  <si>
    <t>установленного в котельной по адресу: с. Паша ул. Павла Нечесанова д. 23- б,</t>
  </si>
  <si>
    <t>котла КВа 2,5-95 ст. №2  (ном. 2,5 МВт / 2,1 Гкал/ч)</t>
  </si>
  <si>
    <t>установленного в котельной по адресу: д. Потанино, Центральная , 11А,</t>
  </si>
  <si>
    <t>98</t>
  </si>
  <si>
    <t>9,8</t>
  </si>
  <si>
    <t>1,49</t>
  </si>
  <si>
    <t>1,12</t>
  </si>
  <si>
    <t>34</t>
  </si>
  <si>
    <t>котла КВа 2,5-95 ст. №2 при работе на природном газе</t>
  </si>
  <si>
    <t>котла КВГМ 1,1- 95 ст. №1  (ном. 1,1 МВт / 0,9 Гкал/ч)</t>
  </si>
  <si>
    <t>установленного в котельной по адресу: п. Свирица, Новая Свирица, д.36А,</t>
  </si>
  <si>
    <t>котла КВГМ 1,1- 95 ст. №1 при работе на мазуте</t>
  </si>
  <si>
    <t>котла КВГМ-0,63-95 ст. №2  (ном. 0,6 МВт / 0,5 Гкал/ч)</t>
  </si>
  <si>
    <t>котла КВГМ-0,63-95 ст. №2 при работе на мазуте</t>
  </si>
  <si>
    <t>установленного в котельной по адресу: п. Селиваново, Первомайская, 2Б,</t>
  </si>
  <si>
    <t>котла КВГМ 2,5-95 ст. №1 при работе на мазуте</t>
  </si>
  <si>
    <t>котла КВГМ 2,5-95 ст. №2 при работе на мазуте</t>
  </si>
  <si>
    <t>котла КВГМ 2,5-95 ст. №3 при работе на мазуте</t>
  </si>
  <si>
    <t>котла КВГМ 2,5-95 ст. №4  (ном. 2,5 МВт / 2,1 Гкал/ч)</t>
  </si>
  <si>
    <t>котла КВГМ 2,5-95 ст. №4 при работе на мазуте</t>
  </si>
  <si>
    <t>котла КВГМ-1,6-95 ст. №1  (ном. 1,6 МВт / 1,4 Гкал/ч)</t>
  </si>
  <si>
    <t>установленного в котельной по адресу: с. Старая Ладога, пр. Волховский, 12а,</t>
  </si>
  <si>
    <t>Тип горелки: ЕММА-С3 ПРОМА</t>
  </si>
  <si>
    <t>1,23</t>
  </si>
  <si>
    <t>котла КВГМ-1,6-95 ст. №1 при работе на природном газе</t>
  </si>
  <si>
    <t>котла КВГМ-1,6-95 ст. №2  (ном. 1,6 МВт / 1,4 Гкал/ч)</t>
  </si>
  <si>
    <t>Тип горелки: R91А CIB UNIGAS</t>
  </si>
  <si>
    <t>котла КВГМ-1,6-95 ст. №2 при работе на природном газе</t>
  </si>
  <si>
    <t>установленного в котельной по адресу: с. Старая Ладога, ул. Советская 30,</t>
  </si>
  <si>
    <t>280</t>
  </si>
  <si>
    <t>котла КВГМ-1,6-95 ст. №3  (ном. 1,6 МВт / 1,4 Гкал/ч)</t>
  </si>
  <si>
    <t>котла КВГМ-1,6-95 ст. №3 при работе на природном газе</t>
  </si>
  <si>
    <t>установленного в котельной по адресу: д. Усадище, Центральная,</t>
  </si>
  <si>
    <t>4,5</t>
  </si>
  <si>
    <t>8,7</t>
  </si>
  <si>
    <t>1,27</t>
  </si>
  <si>
    <t>1,09</t>
  </si>
  <si>
    <t>142</t>
  </si>
  <si>
    <t>котла КВм-1,0 ст. №1  (ном. 1 МВт / 0,9 Гкал/ч)</t>
  </si>
  <si>
    <t>установленного в котельной по адресу: д. Хвалово, д.137,</t>
  </si>
  <si>
    <t>Тип горелки: РГМГ-1</t>
  </si>
  <si>
    <t>9250</t>
  </si>
  <si>
    <t>180</t>
  </si>
  <si>
    <t>245</t>
  </si>
  <si>
    <t>3,8</t>
  </si>
  <si>
    <t>11,3</t>
  </si>
  <si>
    <t>1,38</t>
  </si>
  <si>
    <t>1,22</t>
  </si>
  <si>
    <t>5,6</t>
  </si>
  <si>
    <t>котла КВм-1,0 ст. №1 при работе на мазуте</t>
  </si>
  <si>
    <t>котла КВм-1,0 ст. №2  (ном. 1 МВт / 0,9 Гкал/ч)</t>
  </si>
  <si>
    <t>котла КВм-1,0 ст. №2 при работе на мазуте</t>
  </si>
  <si>
    <t>котла КВГМ 2,5-95 ст. №1 при работе на угле</t>
  </si>
  <si>
    <t>котла КВГМ 2,5-95 ст. №2 при работе на угле</t>
  </si>
  <si>
    <t>установленного в котельной по адресу: ст. Юги,</t>
  </si>
  <si>
    <t>котла Универсал-18 ст. №2  (ном. 0,5 МВт / 0,4 Гкал/ч)</t>
  </si>
  <si>
    <t>котла Универсал-18 ст. №2 при работе на угле</t>
  </si>
  <si>
    <t>РАСЧЁТНЫЕ ПОКАЗАТЕЛИ:</t>
  </si>
  <si>
    <t>-</t>
  </si>
  <si>
    <t>Подогрев теплоносителя:</t>
  </si>
  <si>
    <t>Температура питательного теплоносителя:</t>
  </si>
  <si>
    <t>Температура подающего теплонасителя:</t>
  </si>
  <si>
    <t>Массовый расход теплоносителя через котёл:</t>
  </si>
  <si>
    <t>Тип горелки: РМГ-1М</t>
  </si>
  <si>
    <t>Тип горелки: РМГ-3М</t>
  </si>
  <si>
    <t>Тип горелки: РМГ-1 М-02</t>
  </si>
  <si>
    <t>Тип горелки: МАХ Р25 АВ НS TL</t>
  </si>
  <si>
    <t>от 25.03.2026 г.</t>
  </si>
  <si>
    <t>от 03.03.2026 г.</t>
  </si>
  <si>
    <t>от 18.11.2025 г.</t>
  </si>
  <si>
    <t>от 26.03.2026 г.</t>
  </si>
  <si>
    <t>от 13.01.2026 г.</t>
  </si>
  <si>
    <t>от 21.01.2026 г.</t>
  </si>
  <si>
    <t>от 28.01.2026 г.</t>
  </si>
  <si>
    <t>от 03.02.2026 г.</t>
  </si>
  <si>
    <t>от 10.02.2026 г.</t>
  </si>
  <si>
    <t>от 17.03.2026 г.</t>
  </si>
  <si>
    <t>от 24.03.2026 г.</t>
  </si>
  <si>
    <t>от 19.03.2026 г.</t>
  </si>
  <si>
    <t>от 20.03.2026 г.</t>
  </si>
  <si>
    <t>от 20.11.2025 г.</t>
  </si>
  <si>
    <t>от 09.12.2025 г.</t>
  </si>
  <si>
    <t>от 04.12.2025 г.</t>
  </si>
  <si>
    <t>от 02.12.2025 г.</t>
  </si>
  <si>
    <t>от 11.12.2025 г.</t>
  </si>
  <si>
    <t>от 18.12.2025 г.</t>
  </si>
  <si>
    <t>от 16.12.2025 г.</t>
  </si>
  <si>
    <t>от 25.12.2025 г.</t>
  </si>
  <si>
    <t>от 29.12.2025 г.</t>
  </si>
  <si>
    <t>от 06.02.2026 г.</t>
  </si>
  <si>
    <t>от 11.02.2026 г.</t>
  </si>
  <si>
    <t>от 18.02.2026 г.</t>
  </si>
  <si>
    <t>от 20.02.2026 г.</t>
  </si>
  <si>
    <t>от 23.12.2025 г.</t>
  </si>
  <si>
    <t>Даты в РК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</si>
</sst>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dd\.mm\.yyyy"/>
  </numFmts>
  <fonts count="11" x14ac:knownFonts="1">
    <font>
      <sz val="11"/>
      <color theme="1"/>
      <name val="Calibri"/>
      <family val="2"/>
      <scheme val="minor"/>
    </font>
    <font>
      <b/>
      <sz val="14"/>
      <name val="Times New Roman"/>
    </font>
    <font>
      <sz val="10"/>
      <name val="Times New Roman"/>
    </font>
    <font>
      <b/>
      <sz val="11"/>
      <name val="Times New Roman"/>
    </font>
    <font>
      <sz val="11"/>
      <name val="Times New Roman"/>
    </font>
    <font>
      <u/>
      <sz val="11"/>
      <color rgb="FF0563C1"/>
      <name val="Times New Roman"/>
    </font>
    <font>
      <sz val="10"/>
      <color rgb="FF000000"/>
      <name val="Times New Roman"/>
      <family val="1"/>
      <charset val="204"/>
    </font>
    <font>
      <sz val="1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9D9D9"/>
      </patternFill>
    </fill>
    <fill>
      <patternFill patternType="solid">
        <fgColor rgb="FFE8E8E8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0" fillId="0" borderId="0" xfId="0" applyBorder="1"/>
    <xf numFmtId="165" fontId="6" fillId="0" borderId="0" xfId="0" applyNumberFormat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0" fillId="0" borderId="0" xfId="0"/>
    <xf numFmtId="0" fontId="3" fillId="2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164" fontId="4" fillId="0" borderId="0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0" fontId="7" fillId="0" borderId="1" xfId="0" quotePrefix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0" fontId="0" fillId="4" borderId="0" xfId="0" applyFill="1"/>
    <xf numFmtId="0" fontId="4" fillId="0" borderId="1" xfId="0" applyFont="1" applyBorder="1" applyAlignment="1">
      <alignment horizontal="center" vertical="center"/>
    </xf>
    <xf numFmtId="164" fontId="0" fillId="0" borderId="0" xfId="0" applyNumberFormat="1"/>
    <xf numFmtId="0" fontId="7" fillId="0" borderId="0" xfId="0" applyFont="1" applyBorder="1" applyAlignment="1">
      <alignment horizontal="left" vertical="center"/>
    </xf>
    <xf numFmtId="0" fontId="10" fillId="0" borderId="0" xfId="0" applyFont="1" applyAlignment="1"/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14" fontId="9" fillId="5" borderId="0" xfId="0" applyNumberFormat="1" applyFont="1" applyFill="1" applyAlignment="1"/>
    <xf numFmtId="0" fontId="0" fillId="5" borderId="0" xfId="0" applyFill="1"/>
    <xf numFmtId="166" fontId="9" fillId="5" borderId="0" xfId="0" applyNumberFormat="1" applyFont="1" applyFill="1" applyAlignment="1"/>
    <xf numFmtId="166" fontId="9" fillId="4" borderId="0" xfId="0" applyNumberFormat="1" applyFont="1" applyFill="1" applyAlignment="1"/>
    <xf numFmtId="0" fontId="4" fillId="0" borderId="0" xfId="0" applyFont="1" applyAlignment="1">
      <alignment horizontal="center" vertical="center"/>
    </xf>
    <xf numFmtId="0" fontId="0" fillId="0" borderId="0" xfId="0"/>
    <xf numFmtId="0" fontId="4" fillId="0" borderId="1" xfId="0" applyFont="1" applyBorder="1" applyAlignment="1">
      <alignment horizontal="left" vertical="center"/>
    </xf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wrapText="1"/>
    </xf>
    <xf numFmtId="0" fontId="3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4" fillId="3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 wrapText="1"/>
    </xf>
    <xf numFmtId="0" fontId="0" fillId="3" borderId="1" xfId="0" applyFill="1" applyBorder="1" applyAlignment="1">
      <alignment wrapText="1"/>
    </xf>
    <xf numFmtId="0" fontId="4" fillId="3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left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I75"/>
  <sheetViews>
    <sheetView zoomScale="70" zoomScaleNormal="70" workbookViewId="0">
      <selection activeCell="A59" sqref="A59:XFD59"/>
    </sheetView>
  </sheetViews>
  <sheetFormatPr defaultRowHeight="15" x14ac:dyDescent="0.25"/>
  <cols>
    <col min="1" max="1" width="6" customWidth="1"/>
    <col min="2" max="2" width="30" customWidth="1"/>
    <col min="3" max="3" width="8" customWidth="1"/>
    <col min="4" max="4" width="18" customWidth="1"/>
    <col min="5" max="5" width="12" customWidth="1"/>
    <col min="6" max="6" width="10" customWidth="1"/>
    <col min="7" max="7" width="14" customWidth="1"/>
    <col min="8" max="8" width="34" customWidth="1"/>
    <col min="9" max="9" width="16.28515625" customWidth="1"/>
  </cols>
  <sheetData>
    <row r="1" spans="1:9" ht="18.75" x14ac:dyDescent="0.25">
      <c r="A1" s="1" t="s">
        <v>0</v>
      </c>
    </row>
    <row r="2" spans="1:9" x14ac:dyDescent="0.25">
      <c r="A2" s="2" t="s">
        <v>1</v>
      </c>
    </row>
    <row r="3" spans="1:9" x14ac:dyDescent="0.25">
      <c r="A3" s="2" t="s">
        <v>2</v>
      </c>
    </row>
    <row r="5" spans="1:9" x14ac:dyDescent="0.25">
      <c r="A5" s="3" t="s">
        <v>3</v>
      </c>
      <c r="B5" s="3" t="s">
        <v>4</v>
      </c>
      <c r="C5" s="3" t="s">
        <v>5</v>
      </c>
      <c r="D5" s="3" t="s">
        <v>6</v>
      </c>
      <c r="E5" s="3" t="s">
        <v>7</v>
      </c>
      <c r="F5" s="3" t="s">
        <v>8</v>
      </c>
      <c r="G5" s="3" t="s">
        <v>9</v>
      </c>
      <c r="H5" s="3" t="s">
        <v>10</v>
      </c>
      <c r="I5" s="40" t="s">
        <v>668</v>
      </c>
    </row>
    <row r="6" spans="1:9" s="45" customFormat="1" x14ac:dyDescent="0.25">
      <c r="A6" s="41">
        <v>1</v>
      </c>
      <c r="B6" s="42" t="s">
        <v>11</v>
      </c>
      <c r="C6" s="41" t="s">
        <v>12</v>
      </c>
      <c r="D6" s="41" t="s">
        <v>13</v>
      </c>
      <c r="E6" s="41" t="s">
        <v>14</v>
      </c>
      <c r="F6" s="41" t="s">
        <v>15</v>
      </c>
      <c r="G6" s="41" t="s">
        <v>16</v>
      </c>
      <c r="H6" s="43" t="s">
        <v>17</v>
      </c>
      <c r="I6" s="44">
        <v>46106</v>
      </c>
    </row>
    <row r="7" spans="1:9" s="45" customFormat="1" x14ac:dyDescent="0.25">
      <c r="A7" s="41">
        <v>2</v>
      </c>
      <c r="B7" s="42" t="s">
        <v>11</v>
      </c>
      <c r="C7" s="41" t="s">
        <v>18</v>
      </c>
      <c r="D7" s="41" t="s">
        <v>13</v>
      </c>
      <c r="E7" s="41" t="s">
        <v>14</v>
      </c>
      <c r="F7" s="41" t="s">
        <v>15</v>
      </c>
      <c r="G7" s="41" t="s">
        <v>19</v>
      </c>
      <c r="H7" s="43" t="s">
        <v>20</v>
      </c>
      <c r="I7" s="44">
        <v>46106</v>
      </c>
    </row>
    <row r="8" spans="1:9" s="45" customFormat="1" x14ac:dyDescent="0.25">
      <c r="A8" s="41">
        <v>3</v>
      </c>
      <c r="B8" s="42" t="s">
        <v>21</v>
      </c>
      <c r="C8" s="41" t="s">
        <v>12</v>
      </c>
      <c r="D8" s="41" t="s">
        <v>22</v>
      </c>
      <c r="E8" s="41" t="s">
        <v>14</v>
      </c>
      <c r="F8" s="41" t="s">
        <v>23</v>
      </c>
      <c r="G8" s="41" t="s">
        <v>24</v>
      </c>
      <c r="H8" s="43" t="s">
        <v>25</v>
      </c>
      <c r="I8" s="44">
        <v>46084</v>
      </c>
    </row>
    <row r="9" spans="1:9" s="45" customFormat="1" x14ac:dyDescent="0.25">
      <c r="A9" s="41">
        <v>4</v>
      </c>
      <c r="B9" s="42" t="s">
        <v>21</v>
      </c>
      <c r="C9" s="41" t="s">
        <v>18</v>
      </c>
      <c r="D9" s="41" t="s">
        <v>22</v>
      </c>
      <c r="E9" s="41" t="s">
        <v>14</v>
      </c>
      <c r="F9" s="41" t="s">
        <v>23</v>
      </c>
      <c r="G9" s="41" t="s">
        <v>24</v>
      </c>
      <c r="H9" s="43" t="s">
        <v>25</v>
      </c>
      <c r="I9" s="44">
        <v>46084</v>
      </c>
    </row>
    <row r="10" spans="1:9" s="45" customFormat="1" x14ac:dyDescent="0.25">
      <c r="A10" s="41">
        <v>5</v>
      </c>
      <c r="B10" s="42" t="s">
        <v>26</v>
      </c>
      <c r="C10" s="41" t="s">
        <v>12</v>
      </c>
      <c r="D10" s="41" t="s">
        <v>22</v>
      </c>
      <c r="E10" s="41" t="s">
        <v>14</v>
      </c>
      <c r="F10" s="41" t="s">
        <v>23</v>
      </c>
      <c r="G10" s="41" t="s">
        <v>27</v>
      </c>
      <c r="H10" s="43" t="s">
        <v>28</v>
      </c>
      <c r="I10" s="44">
        <v>45979</v>
      </c>
    </row>
    <row r="11" spans="1:9" s="45" customFormat="1" x14ac:dyDescent="0.25">
      <c r="A11" s="41">
        <v>6</v>
      </c>
      <c r="B11" s="42" t="s">
        <v>26</v>
      </c>
      <c r="C11" s="41" t="s">
        <v>18</v>
      </c>
      <c r="D11" s="41" t="s">
        <v>22</v>
      </c>
      <c r="E11" s="41" t="s">
        <v>14</v>
      </c>
      <c r="F11" s="41" t="s">
        <v>23</v>
      </c>
      <c r="G11" s="41" t="s">
        <v>29</v>
      </c>
      <c r="H11" s="43" t="s">
        <v>28</v>
      </c>
      <c r="I11" s="44">
        <v>45979</v>
      </c>
    </row>
    <row r="12" spans="1:9" s="45" customFormat="1" x14ac:dyDescent="0.25">
      <c r="A12" s="41">
        <v>7</v>
      </c>
      <c r="B12" s="42" t="s">
        <v>26</v>
      </c>
      <c r="C12" s="41" t="s">
        <v>30</v>
      </c>
      <c r="D12" s="41" t="s">
        <v>22</v>
      </c>
      <c r="E12" s="41" t="s">
        <v>14</v>
      </c>
      <c r="F12" s="41" t="s">
        <v>23</v>
      </c>
      <c r="G12" s="41" t="s">
        <v>31</v>
      </c>
      <c r="H12" s="43" t="s">
        <v>28</v>
      </c>
      <c r="I12" s="44">
        <v>45979</v>
      </c>
    </row>
    <row r="13" spans="1:9" s="45" customFormat="1" x14ac:dyDescent="0.25">
      <c r="A13" s="41">
        <v>8</v>
      </c>
      <c r="B13" s="42" t="s">
        <v>32</v>
      </c>
      <c r="C13" s="41" t="s">
        <v>12</v>
      </c>
      <c r="D13" s="41" t="s">
        <v>33</v>
      </c>
      <c r="E13" s="41" t="s">
        <v>34</v>
      </c>
      <c r="F13" s="41" t="s">
        <v>35</v>
      </c>
      <c r="G13" s="41" t="s">
        <v>36</v>
      </c>
      <c r="H13" s="43" t="s">
        <v>28</v>
      </c>
      <c r="I13" s="46">
        <v>45742</v>
      </c>
    </row>
    <row r="14" spans="1:9" s="45" customFormat="1" x14ac:dyDescent="0.25">
      <c r="A14" s="41">
        <v>9</v>
      </c>
      <c r="B14" s="42" t="s">
        <v>32</v>
      </c>
      <c r="C14" s="41" t="s">
        <v>18</v>
      </c>
      <c r="D14" s="41" t="s">
        <v>33</v>
      </c>
      <c r="E14" s="41" t="s">
        <v>34</v>
      </c>
      <c r="F14" s="41" t="s">
        <v>35</v>
      </c>
      <c r="G14" s="41" t="s">
        <v>36</v>
      </c>
      <c r="H14" s="43" t="s">
        <v>28</v>
      </c>
      <c r="I14" s="46">
        <v>45742</v>
      </c>
    </row>
    <row r="15" spans="1:9" s="45" customFormat="1" x14ac:dyDescent="0.25">
      <c r="A15" s="41">
        <v>10</v>
      </c>
      <c r="B15" s="42" t="s">
        <v>37</v>
      </c>
      <c r="C15" s="41" t="s">
        <v>12</v>
      </c>
      <c r="D15" s="41" t="s">
        <v>22</v>
      </c>
      <c r="E15" s="41" t="s">
        <v>14</v>
      </c>
      <c r="F15" s="41" t="s">
        <v>23</v>
      </c>
      <c r="G15" s="41" t="s">
        <v>38</v>
      </c>
      <c r="H15" s="43" t="s">
        <v>39</v>
      </c>
      <c r="I15" s="46">
        <v>46035</v>
      </c>
    </row>
    <row r="16" spans="1:9" s="45" customFormat="1" x14ac:dyDescent="0.25">
      <c r="A16" s="41">
        <v>11</v>
      </c>
      <c r="B16" s="42" t="s">
        <v>37</v>
      </c>
      <c r="C16" s="41" t="s">
        <v>18</v>
      </c>
      <c r="D16" s="41" t="s">
        <v>22</v>
      </c>
      <c r="E16" s="41" t="s">
        <v>14</v>
      </c>
      <c r="F16" s="41" t="s">
        <v>23</v>
      </c>
      <c r="G16" s="41" t="s">
        <v>40</v>
      </c>
      <c r="H16" s="43" t="s">
        <v>39</v>
      </c>
      <c r="I16" s="46">
        <v>46035</v>
      </c>
    </row>
    <row r="17" spans="1:9" s="45" customFormat="1" x14ac:dyDescent="0.25">
      <c r="A17" s="41">
        <v>12</v>
      </c>
      <c r="B17" s="42" t="s">
        <v>41</v>
      </c>
      <c r="C17" s="41" t="s">
        <v>12</v>
      </c>
      <c r="D17" s="41" t="s">
        <v>42</v>
      </c>
      <c r="E17" s="41" t="s">
        <v>14</v>
      </c>
      <c r="F17" s="41" t="s">
        <v>43</v>
      </c>
      <c r="G17" s="41" t="s">
        <v>44</v>
      </c>
      <c r="H17" s="43" t="s">
        <v>28</v>
      </c>
      <c r="I17" s="46">
        <v>46043</v>
      </c>
    </row>
    <row r="18" spans="1:9" s="45" customFormat="1" x14ac:dyDescent="0.25">
      <c r="A18" s="41">
        <v>13</v>
      </c>
      <c r="B18" s="42" t="s">
        <v>41</v>
      </c>
      <c r="C18" s="41" t="s">
        <v>18</v>
      </c>
      <c r="D18" s="41" t="s">
        <v>42</v>
      </c>
      <c r="E18" s="41" t="s">
        <v>14</v>
      </c>
      <c r="F18" s="41" t="s">
        <v>43</v>
      </c>
      <c r="G18" s="41" t="s">
        <v>45</v>
      </c>
      <c r="H18" s="43" t="s">
        <v>28</v>
      </c>
      <c r="I18" s="46">
        <v>46043</v>
      </c>
    </row>
    <row r="19" spans="1:9" s="45" customFormat="1" x14ac:dyDescent="0.25">
      <c r="A19" s="41">
        <v>14</v>
      </c>
      <c r="B19" s="42" t="s">
        <v>46</v>
      </c>
      <c r="C19" s="41" t="s">
        <v>12</v>
      </c>
      <c r="D19" s="41" t="s">
        <v>22</v>
      </c>
      <c r="E19" s="41" t="s">
        <v>14</v>
      </c>
      <c r="F19" s="41" t="s">
        <v>23</v>
      </c>
      <c r="G19" s="41" t="s">
        <v>47</v>
      </c>
      <c r="H19" s="43" t="s">
        <v>48</v>
      </c>
      <c r="I19" s="46">
        <v>46050</v>
      </c>
    </row>
    <row r="20" spans="1:9" s="45" customFormat="1" x14ac:dyDescent="0.25">
      <c r="A20" s="41">
        <v>15</v>
      </c>
      <c r="B20" s="42" t="s">
        <v>46</v>
      </c>
      <c r="C20" s="41" t="s">
        <v>18</v>
      </c>
      <c r="D20" s="41" t="s">
        <v>22</v>
      </c>
      <c r="E20" s="41" t="s">
        <v>14</v>
      </c>
      <c r="F20" s="41" t="s">
        <v>23</v>
      </c>
      <c r="G20" s="41" t="s">
        <v>49</v>
      </c>
      <c r="H20" s="43" t="s">
        <v>50</v>
      </c>
      <c r="I20" s="46">
        <v>46050</v>
      </c>
    </row>
    <row r="21" spans="1:9" s="45" customFormat="1" x14ac:dyDescent="0.25">
      <c r="A21" s="41">
        <v>16</v>
      </c>
      <c r="B21" s="42" t="s">
        <v>46</v>
      </c>
      <c r="C21" s="41" t="s">
        <v>30</v>
      </c>
      <c r="D21" s="41" t="s">
        <v>22</v>
      </c>
      <c r="E21" s="41" t="s">
        <v>14</v>
      </c>
      <c r="F21" s="41" t="s">
        <v>23</v>
      </c>
      <c r="G21" s="41" t="s">
        <v>47</v>
      </c>
      <c r="H21" s="43" t="s">
        <v>48</v>
      </c>
      <c r="I21" s="46">
        <v>46050</v>
      </c>
    </row>
    <row r="22" spans="1:9" s="45" customFormat="1" x14ac:dyDescent="0.25">
      <c r="A22" s="41">
        <v>17</v>
      </c>
      <c r="B22" s="42" t="s">
        <v>51</v>
      </c>
      <c r="C22" s="41" t="s">
        <v>12</v>
      </c>
      <c r="D22" s="41" t="s">
        <v>22</v>
      </c>
      <c r="E22" s="41" t="s">
        <v>14</v>
      </c>
      <c r="F22" s="41" t="s">
        <v>23</v>
      </c>
      <c r="G22" s="41" t="s">
        <v>52</v>
      </c>
      <c r="H22" s="43" t="s">
        <v>53</v>
      </c>
      <c r="I22" s="46">
        <v>46056</v>
      </c>
    </row>
    <row r="23" spans="1:9" s="45" customFormat="1" x14ac:dyDescent="0.25">
      <c r="A23" s="41">
        <v>18</v>
      </c>
      <c r="B23" s="42" t="s">
        <v>51</v>
      </c>
      <c r="C23" s="41" t="s">
        <v>18</v>
      </c>
      <c r="D23" s="41" t="s">
        <v>22</v>
      </c>
      <c r="E23" s="41" t="s">
        <v>14</v>
      </c>
      <c r="F23" s="41" t="s">
        <v>23</v>
      </c>
      <c r="G23" s="41" t="s">
        <v>54</v>
      </c>
      <c r="H23" s="43" t="s">
        <v>17</v>
      </c>
      <c r="I23" s="46">
        <v>46056</v>
      </c>
    </row>
    <row r="24" spans="1:9" s="45" customFormat="1" x14ac:dyDescent="0.25">
      <c r="A24" s="41">
        <v>19</v>
      </c>
      <c r="B24" s="42" t="s">
        <v>55</v>
      </c>
      <c r="C24" s="41" t="s">
        <v>12</v>
      </c>
      <c r="D24" s="41" t="s">
        <v>56</v>
      </c>
      <c r="E24" s="41" t="s">
        <v>14</v>
      </c>
      <c r="F24" s="41" t="s">
        <v>57</v>
      </c>
      <c r="G24" s="41" t="s">
        <v>52</v>
      </c>
      <c r="H24" s="43" t="s">
        <v>53</v>
      </c>
      <c r="I24" s="46">
        <v>46091</v>
      </c>
    </row>
    <row r="25" spans="1:9" s="45" customFormat="1" x14ac:dyDescent="0.25">
      <c r="A25" s="41">
        <v>20</v>
      </c>
      <c r="B25" s="42" t="s">
        <v>55</v>
      </c>
      <c r="C25" s="41" t="s">
        <v>18</v>
      </c>
      <c r="D25" s="41" t="s">
        <v>22</v>
      </c>
      <c r="E25" s="41" t="s">
        <v>14</v>
      </c>
      <c r="F25" s="41" t="s">
        <v>23</v>
      </c>
      <c r="G25" s="41" t="s">
        <v>58</v>
      </c>
      <c r="H25" s="43" t="s">
        <v>59</v>
      </c>
      <c r="I25" s="46">
        <v>46091</v>
      </c>
    </row>
    <row r="26" spans="1:9" s="45" customFormat="1" x14ac:dyDescent="0.25">
      <c r="A26" s="41">
        <v>21</v>
      </c>
      <c r="B26" s="42" t="s">
        <v>60</v>
      </c>
      <c r="C26" s="41" t="s">
        <v>12</v>
      </c>
      <c r="D26" s="41" t="s">
        <v>61</v>
      </c>
      <c r="E26" s="41" t="s">
        <v>14</v>
      </c>
      <c r="F26" s="41" t="s">
        <v>62</v>
      </c>
      <c r="G26" s="41" t="s">
        <v>63</v>
      </c>
      <c r="H26" s="43" t="s">
        <v>28</v>
      </c>
      <c r="I26" s="46">
        <v>46098</v>
      </c>
    </row>
    <row r="27" spans="1:9" s="45" customFormat="1" x14ac:dyDescent="0.25">
      <c r="A27" s="41">
        <v>22</v>
      </c>
      <c r="B27" s="42" t="s">
        <v>60</v>
      </c>
      <c r="C27" s="41" t="s">
        <v>18</v>
      </c>
      <c r="D27" s="41" t="s">
        <v>61</v>
      </c>
      <c r="E27" s="41" t="s">
        <v>14</v>
      </c>
      <c r="F27" s="41" t="s">
        <v>62</v>
      </c>
      <c r="G27" s="41" t="s">
        <v>63</v>
      </c>
      <c r="H27" s="43" t="s">
        <v>28</v>
      </c>
      <c r="I27" s="46">
        <v>46098</v>
      </c>
    </row>
    <row r="28" spans="1:9" s="45" customFormat="1" x14ac:dyDescent="0.25">
      <c r="A28" s="41">
        <v>23</v>
      </c>
      <c r="B28" s="42" t="s">
        <v>60</v>
      </c>
      <c r="C28" s="41" t="s">
        <v>18</v>
      </c>
      <c r="D28" s="41" t="s">
        <v>64</v>
      </c>
      <c r="E28" s="41" t="s">
        <v>65</v>
      </c>
      <c r="F28" s="41" t="s">
        <v>66</v>
      </c>
      <c r="G28" s="41" t="s">
        <v>67</v>
      </c>
      <c r="H28" s="43" t="s">
        <v>68</v>
      </c>
      <c r="I28" s="46">
        <v>46105</v>
      </c>
    </row>
    <row r="29" spans="1:9" s="45" customFormat="1" x14ac:dyDescent="0.25">
      <c r="A29" s="41">
        <v>24</v>
      </c>
      <c r="B29" s="42" t="s">
        <v>60</v>
      </c>
      <c r="C29" s="41" t="s">
        <v>12</v>
      </c>
      <c r="D29" s="41" t="s">
        <v>64</v>
      </c>
      <c r="E29" s="41" t="s">
        <v>65</v>
      </c>
      <c r="F29" s="41" t="s">
        <v>66</v>
      </c>
      <c r="G29" s="41" t="s">
        <v>67</v>
      </c>
      <c r="H29" s="43" t="s">
        <v>68</v>
      </c>
      <c r="I29" s="46">
        <v>46105</v>
      </c>
    </row>
    <row r="30" spans="1:9" s="45" customFormat="1" x14ac:dyDescent="0.25">
      <c r="A30" s="41">
        <v>25</v>
      </c>
      <c r="B30" s="42" t="s">
        <v>69</v>
      </c>
      <c r="C30" s="41" t="s">
        <v>12</v>
      </c>
      <c r="D30" s="41" t="s">
        <v>70</v>
      </c>
      <c r="E30" s="41" t="s">
        <v>14</v>
      </c>
      <c r="F30" s="41">
        <v>6.2</v>
      </c>
      <c r="G30" s="41" t="s">
        <v>72</v>
      </c>
      <c r="H30" s="43" t="s">
        <v>28</v>
      </c>
      <c r="I30" s="46">
        <v>46100</v>
      </c>
    </row>
    <row r="31" spans="1:9" s="45" customFormat="1" x14ac:dyDescent="0.25">
      <c r="A31" s="41">
        <v>26</v>
      </c>
      <c r="B31" s="42" t="s">
        <v>69</v>
      </c>
      <c r="C31" s="41" t="s">
        <v>18</v>
      </c>
      <c r="D31" s="41" t="s">
        <v>70</v>
      </c>
      <c r="E31" s="41" t="s">
        <v>14</v>
      </c>
      <c r="F31" s="41" t="s">
        <v>71</v>
      </c>
      <c r="G31" s="41" t="s">
        <v>73</v>
      </c>
      <c r="H31" s="43" t="s">
        <v>74</v>
      </c>
      <c r="I31" s="46">
        <v>46100</v>
      </c>
    </row>
    <row r="32" spans="1:9" s="36" customFormat="1" x14ac:dyDescent="0.25">
      <c r="A32" s="33">
        <v>27</v>
      </c>
      <c r="B32" s="34" t="s">
        <v>69</v>
      </c>
      <c r="C32" s="33" t="s">
        <v>30</v>
      </c>
      <c r="D32" s="33" t="s">
        <v>70</v>
      </c>
      <c r="E32" s="33" t="s">
        <v>14</v>
      </c>
      <c r="F32" s="33" t="s">
        <v>71</v>
      </c>
      <c r="G32" s="33" t="s">
        <v>73</v>
      </c>
      <c r="H32" s="35" t="s">
        <v>28</v>
      </c>
    </row>
    <row r="33" spans="1:9" s="45" customFormat="1" x14ac:dyDescent="0.25">
      <c r="A33" s="41">
        <v>28</v>
      </c>
      <c r="B33" s="42" t="s">
        <v>69</v>
      </c>
      <c r="C33" s="41" t="s">
        <v>75</v>
      </c>
      <c r="D33" s="41" t="s">
        <v>76</v>
      </c>
      <c r="E33" s="41" t="s">
        <v>14</v>
      </c>
      <c r="F33" s="41" t="s">
        <v>77</v>
      </c>
      <c r="G33" s="41" t="s">
        <v>78</v>
      </c>
      <c r="H33" s="43" t="s">
        <v>28</v>
      </c>
      <c r="I33" s="46">
        <v>46107</v>
      </c>
    </row>
    <row r="34" spans="1:9" s="36" customFormat="1" x14ac:dyDescent="0.25">
      <c r="A34" s="33">
        <v>29</v>
      </c>
      <c r="B34" s="34" t="s">
        <v>69</v>
      </c>
      <c r="C34" s="33" t="s">
        <v>79</v>
      </c>
      <c r="D34" s="33" t="s">
        <v>76</v>
      </c>
      <c r="E34" s="33" t="s">
        <v>14</v>
      </c>
      <c r="F34" s="33" t="s">
        <v>77</v>
      </c>
      <c r="G34" s="33" t="s">
        <v>80</v>
      </c>
      <c r="H34" s="35" t="s">
        <v>28</v>
      </c>
    </row>
    <row r="35" spans="1:9" s="45" customFormat="1" x14ac:dyDescent="0.25">
      <c r="A35" s="41">
        <v>30</v>
      </c>
      <c r="B35" s="42" t="s">
        <v>69</v>
      </c>
      <c r="C35" s="41" t="s">
        <v>12</v>
      </c>
      <c r="D35" s="41" t="s">
        <v>70</v>
      </c>
      <c r="E35" s="41" t="s">
        <v>81</v>
      </c>
      <c r="F35" s="41" t="s">
        <v>71</v>
      </c>
      <c r="G35" s="41" t="s">
        <v>82</v>
      </c>
      <c r="H35" s="43" t="s">
        <v>83</v>
      </c>
      <c r="I35" s="46">
        <v>46101</v>
      </c>
    </row>
    <row r="36" spans="1:9" s="45" customFormat="1" x14ac:dyDescent="0.25">
      <c r="A36" s="41">
        <v>31</v>
      </c>
      <c r="B36" s="42" t="s">
        <v>69</v>
      </c>
      <c r="C36" s="41" t="s">
        <v>18</v>
      </c>
      <c r="D36" s="41" t="s">
        <v>70</v>
      </c>
      <c r="E36" s="41" t="s">
        <v>81</v>
      </c>
      <c r="F36" s="41" t="s">
        <v>71</v>
      </c>
      <c r="G36" s="41" t="s">
        <v>73</v>
      </c>
      <c r="H36" s="43" t="s">
        <v>83</v>
      </c>
      <c r="I36" s="46">
        <v>46101</v>
      </c>
    </row>
    <row r="37" spans="1:9" s="45" customFormat="1" x14ac:dyDescent="0.25">
      <c r="A37" s="41">
        <v>32</v>
      </c>
      <c r="B37" s="42" t="s">
        <v>69</v>
      </c>
      <c r="C37" s="41" t="s">
        <v>75</v>
      </c>
      <c r="D37" s="41" t="s">
        <v>76</v>
      </c>
      <c r="E37" s="41" t="s">
        <v>81</v>
      </c>
      <c r="F37" s="41" t="s">
        <v>77</v>
      </c>
      <c r="G37" s="41" t="s">
        <v>38</v>
      </c>
      <c r="H37" s="43" t="s">
        <v>84</v>
      </c>
      <c r="I37" s="46">
        <v>46107</v>
      </c>
    </row>
    <row r="38" spans="1:9" s="36" customFormat="1" x14ac:dyDescent="0.25">
      <c r="A38" s="33">
        <v>33</v>
      </c>
      <c r="B38" s="34" t="s">
        <v>69</v>
      </c>
      <c r="C38" s="33" t="s">
        <v>79</v>
      </c>
      <c r="D38" s="33" t="s">
        <v>76</v>
      </c>
      <c r="E38" s="33" t="s">
        <v>81</v>
      </c>
      <c r="F38" s="33" t="s">
        <v>77</v>
      </c>
      <c r="G38" s="33" t="s">
        <v>85</v>
      </c>
      <c r="H38" s="35" t="s">
        <v>28</v>
      </c>
    </row>
    <row r="39" spans="1:9" s="45" customFormat="1" x14ac:dyDescent="0.25">
      <c r="A39" s="41">
        <v>34</v>
      </c>
      <c r="B39" s="42" t="s">
        <v>86</v>
      </c>
      <c r="C39" s="41" t="s">
        <v>12</v>
      </c>
      <c r="D39" s="41" t="s">
        <v>87</v>
      </c>
      <c r="E39" s="41" t="s">
        <v>34</v>
      </c>
      <c r="F39" s="41" t="s">
        <v>35</v>
      </c>
      <c r="G39" s="41" t="s">
        <v>88</v>
      </c>
      <c r="H39" s="43" t="s">
        <v>28</v>
      </c>
      <c r="I39" s="46">
        <v>45981</v>
      </c>
    </row>
    <row r="40" spans="1:9" s="45" customFormat="1" x14ac:dyDescent="0.25">
      <c r="A40" s="41">
        <v>35</v>
      </c>
      <c r="B40" s="42" t="s">
        <v>86</v>
      </c>
      <c r="C40" s="41" t="s">
        <v>12</v>
      </c>
      <c r="D40" s="41" t="s">
        <v>87</v>
      </c>
      <c r="E40" s="41" t="s">
        <v>14</v>
      </c>
      <c r="F40" s="41" t="s">
        <v>35</v>
      </c>
      <c r="G40" s="41" t="s">
        <v>63</v>
      </c>
      <c r="H40" s="43" t="s">
        <v>28</v>
      </c>
      <c r="I40" s="46">
        <v>45979</v>
      </c>
    </row>
    <row r="41" spans="1:9" s="45" customFormat="1" x14ac:dyDescent="0.25">
      <c r="A41" s="41">
        <v>36</v>
      </c>
      <c r="B41" s="42" t="s">
        <v>86</v>
      </c>
      <c r="C41" s="41" t="s">
        <v>18</v>
      </c>
      <c r="D41" s="41" t="s">
        <v>87</v>
      </c>
      <c r="E41" s="41" t="s">
        <v>34</v>
      </c>
      <c r="F41" s="41" t="s">
        <v>35</v>
      </c>
      <c r="G41" s="41" t="s">
        <v>88</v>
      </c>
      <c r="H41" s="43" t="s">
        <v>28</v>
      </c>
      <c r="I41" s="46">
        <v>45981</v>
      </c>
    </row>
    <row r="42" spans="1:9" s="45" customFormat="1" x14ac:dyDescent="0.25">
      <c r="A42" s="41">
        <v>37</v>
      </c>
      <c r="B42" s="42" t="s">
        <v>86</v>
      </c>
      <c r="C42" s="41" t="s">
        <v>18</v>
      </c>
      <c r="D42" s="41" t="s">
        <v>87</v>
      </c>
      <c r="E42" s="41" t="s">
        <v>14</v>
      </c>
      <c r="F42" s="41" t="s">
        <v>35</v>
      </c>
      <c r="G42" s="41" t="s">
        <v>63</v>
      </c>
      <c r="H42" s="43" t="s">
        <v>28</v>
      </c>
      <c r="I42" s="46">
        <v>45979</v>
      </c>
    </row>
    <row r="43" spans="1:9" s="45" customFormat="1" x14ac:dyDescent="0.25">
      <c r="A43" s="41">
        <v>38</v>
      </c>
      <c r="B43" s="42" t="s">
        <v>89</v>
      </c>
      <c r="C43" s="41" t="s">
        <v>12</v>
      </c>
      <c r="D43" s="41" t="s">
        <v>90</v>
      </c>
      <c r="E43" s="41" t="s">
        <v>81</v>
      </c>
      <c r="F43" s="41" t="s">
        <v>15</v>
      </c>
      <c r="G43" s="41" t="s">
        <v>91</v>
      </c>
      <c r="H43" s="43" t="s">
        <v>28</v>
      </c>
      <c r="I43" s="46">
        <v>45993</v>
      </c>
    </row>
    <row r="44" spans="1:9" s="45" customFormat="1" x14ac:dyDescent="0.25">
      <c r="A44" s="41">
        <v>39</v>
      </c>
      <c r="B44" s="42" t="s">
        <v>89</v>
      </c>
      <c r="C44" s="41" t="s">
        <v>18</v>
      </c>
      <c r="D44" s="41" t="s">
        <v>90</v>
      </c>
      <c r="E44" s="41" t="s">
        <v>81</v>
      </c>
      <c r="F44" s="41" t="s">
        <v>15</v>
      </c>
      <c r="G44" s="41" t="s">
        <v>92</v>
      </c>
      <c r="H44" s="43" t="s">
        <v>28</v>
      </c>
      <c r="I44" s="46">
        <v>45993</v>
      </c>
    </row>
    <row r="45" spans="1:9" s="45" customFormat="1" x14ac:dyDescent="0.25">
      <c r="A45" s="41">
        <v>40</v>
      </c>
      <c r="B45" s="42" t="s">
        <v>93</v>
      </c>
      <c r="C45" s="41" t="s">
        <v>12</v>
      </c>
      <c r="D45" s="41" t="s">
        <v>94</v>
      </c>
      <c r="E45" s="41" t="s">
        <v>65</v>
      </c>
      <c r="F45" s="41" t="s">
        <v>95</v>
      </c>
      <c r="G45" s="41" t="s">
        <v>96</v>
      </c>
      <c r="H45" s="43" t="s">
        <v>83</v>
      </c>
      <c r="I45" s="46">
        <v>45995</v>
      </c>
    </row>
    <row r="46" spans="1:9" s="45" customFormat="1" x14ac:dyDescent="0.25">
      <c r="A46" s="41">
        <v>41</v>
      </c>
      <c r="B46" s="42" t="s">
        <v>93</v>
      </c>
      <c r="C46" s="41" t="s">
        <v>18</v>
      </c>
      <c r="D46" s="41" t="s">
        <v>94</v>
      </c>
      <c r="E46" s="41" t="s">
        <v>65</v>
      </c>
      <c r="F46" s="41" t="s">
        <v>95</v>
      </c>
      <c r="G46" s="41" t="s">
        <v>91</v>
      </c>
      <c r="H46" s="43" t="s">
        <v>83</v>
      </c>
      <c r="I46" s="46">
        <v>45995</v>
      </c>
    </row>
    <row r="47" spans="1:9" s="45" customFormat="1" x14ac:dyDescent="0.25">
      <c r="A47" s="41">
        <v>42</v>
      </c>
      <c r="B47" s="42" t="s">
        <v>97</v>
      </c>
      <c r="C47" s="41" t="s">
        <v>12</v>
      </c>
      <c r="D47" s="41" t="s">
        <v>98</v>
      </c>
      <c r="E47" s="41" t="s">
        <v>81</v>
      </c>
      <c r="F47" s="41" t="s">
        <v>99</v>
      </c>
      <c r="G47" s="41" t="s">
        <v>100</v>
      </c>
      <c r="H47" s="43" t="s">
        <v>28</v>
      </c>
      <c r="I47" s="46">
        <v>46000</v>
      </c>
    </row>
    <row r="48" spans="1:9" s="45" customFormat="1" x14ac:dyDescent="0.25">
      <c r="A48" s="41">
        <v>43</v>
      </c>
      <c r="B48" s="42" t="s">
        <v>97</v>
      </c>
      <c r="C48" s="41" t="s">
        <v>18</v>
      </c>
      <c r="D48" s="41" t="s">
        <v>98</v>
      </c>
      <c r="E48" s="41" t="s">
        <v>81</v>
      </c>
      <c r="F48" s="41" t="s">
        <v>99</v>
      </c>
      <c r="G48" s="41" t="s">
        <v>101</v>
      </c>
      <c r="H48" s="43" t="s">
        <v>28</v>
      </c>
      <c r="I48" s="46">
        <v>46000</v>
      </c>
    </row>
    <row r="49" spans="1:9" s="45" customFormat="1" x14ac:dyDescent="0.25">
      <c r="A49" s="41">
        <v>44</v>
      </c>
      <c r="B49" s="42" t="s">
        <v>97</v>
      </c>
      <c r="C49" s="41" t="s">
        <v>30</v>
      </c>
      <c r="D49" s="41" t="s">
        <v>102</v>
      </c>
      <c r="E49" s="41" t="s">
        <v>81</v>
      </c>
      <c r="F49" s="41" t="s">
        <v>23</v>
      </c>
      <c r="G49" s="41" t="s">
        <v>92</v>
      </c>
      <c r="H49" s="43" t="s">
        <v>28</v>
      </c>
      <c r="I49" s="46">
        <v>46000</v>
      </c>
    </row>
    <row r="50" spans="1:9" s="45" customFormat="1" x14ac:dyDescent="0.25">
      <c r="A50" s="41">
        <v>45</v>
      </c>
      <c r="B50" s="42" t="s">
        <v>103</v>
      </c>
      <c r="C50" s="41" t="s">
        <v>12</v>
      </c>
      <c r="D50" s="41" t="s">
        <v>90</v>
      </c>
      <c r="E50" s="41" t="s">
        <v>81</v>
      </c>
      <c r="F50" s="41" t="s">
        <v>23</v>
      </c>
      <c r="G50" s="41" t="s">
        <v>104</v>
      </c>
      <c r="H50" s="43" t="s">
        <v>28</v>
      </c>
      <c r="I50" s="46">
        <v>46002</v>
      </c>
    </row>
    <row r="51" spans="1:9" s="45" customFormat="1" x14ac:dyDescent="0.25">
      <c r="A51" s="41">
        <v>46</v>
      </c>
      <c r="B51" s="42" t="s">
        <v>103</v>
      </c>
      <c r="C51" s="41" t="s">
        <v>18</v>
      </c>
      <c r="D51" s="41" t="s">
        <v>90</v>
      </c>
      <c r="E51" s="41" t="s">
        <v>81</v>
      </c>
      <c r="F51" s="41" t="s">
        <v>23</v>
      </c>
      <c r="G51" s="41" t="s">
        <v>91</v>
      </c>
      <c r="H51" s="43" t="s">
        <v>28</v>
      </c>
      <c r="I51" s="46">
        <v>46002</v>
      </c>
    </row>
    <row r="52" spans="1:9" s="45" customFormat="1" x14ac:dyDescent="0.25">
      <c r="A52" s="41">
        <v>47</v>
      </c>
      <c r="B52" s="42" t="s">
        <v>105</v>
      </c>
      <c r="C52" s="41" t="s">
        <v>18</v>
      </c>
      <c r="D52" s="41" t="s">
        <v>106</v>
      </c>
      <c r="E52" s="41" t="s">
        <v>14</v>
      </c>
      <c r="F52" s="41" t="s">
        <v>23</v>
      </c>
      <c r="G52" s="41" t="s">
        <v>107</v>
      </c>
      <c r="H52" s="43" t="s">
        <v>108</v>
      </c>
      <c r="I52" s="46">
        <v>46009</v>
      </c>
    </row>
    <row r="53" spans="1:9" s="45" customFormat="1" x14ac:dyDescent="0.25">
      <c r="A53" s="41">
        <v>48</v>
      </c>
      <c r="B53" s="42" t="s">
        <v>105</v>
      </c>
      <c r="C53" s="41" t="s">
        <v>30</v>
      </c>
      <c r="D53" s="41" t="s">
        <v>22</v>
      </c>
      <c r="E53" s="41" t="s">
        <v>14</v>
      </c>
      <c r="F53" s="41" t="s">
        <v>23</v>
      </c>
      <c r="G53" s="41" t="s">
        <v>109</v>
      </c>
      <c r="H53" s="43" t="s">
        <v>28</v>
      </c>
      <c r="I53" s="46">
        <v>46009</v>
      </c>
    </row>
    <row r="54" spans="1:9" s="45" customFormat="1" x14ac:dyDescent="0.25">
      <c r="A54" s="41">
        <v>49</v>
      </c>
      <c r="B54" s="42" t="s">
        <v>110</v>
      </c>
      <c r="C54" s="41" t="s">
        <v>12</v>
      </c>
      <c r="D54" s="41" t="s">
        <v>111</v>
      </c>
      <c r="E54" s="41" t="s">
        <v>81</v>
      </c>
      <c r="F54" s="41" t="s">
        <v>15</v>
      </c>
      <c r="G54" s="41" t="s">
        <v>112</v>
      </c>
      <c r="H54" s="43" t="s">
        <v>28</v>
      </c>
      <c r="I54" s="46">
        <v>46007</v>
      </c>
    </row>
    <row r="55" spans="1:9" s="45" customFormat="1" x14ac:dyDescent="0.25">
      <c r="A55" s="41">
        <v>50</v>
      </c>
      <c r="B55" s="42" t="s">
        <v>110</v>
      </c>
      <c r="C55" s="41" t="s">
        <v>18</v>
      </c>
      <c r="D55" s="41" t="s">
        <v>113</v>
      </c>
      <c r="E55" s="41" t="s">
        <v>81</v>
      </c>
      <c r="F55" s="41" t="s">
        <v>43</v>
      </c>
      <c r="G55" s="41" t="s">
        <v>114</v>
      </c>
      <c r="H55" s="43" t="s">
        <v>28</v>
      </c>
      <c r="I55" s="46">
        <v>46007</v>
      </c>
    </row>
    <row r="56" spans="1:9" s="45" customFormat="1" x14ac:dyDescent="0.25">
      <c r="A56" s="41">
        <v>51</v>
      </c>
      <c r="B56" s="42" t="s">
        <v>115</v>
      </c>
      <c r="C56" s="41" t="s">
        <v>12</v>
      </c>
      <c r="D56" s="41" t="s">
        <v>22</v>
      </c>
      <c r="E56" s="41" t="s">
        <v>81</v>
      </c>
      <c r="F56" s="41" t="s">
        <v>23</v>
      </c>
      <c r="G56" s="41" t="s">
        <v>116</v>
      </c>
      <c r="H56" s="43" t="s">
        <v>28</v>
      </c>
      <c r="I56" s="46">
        <v>46016</v>
      </c>
    </row>
    <row r="57" spans="1:9" s="45" customFormat="1" x14ac:dyDescent="0.25">
      <c r="A57" s="41">
        <v>52</v>
      </c>
      <c r="B57" s="42" t="s">
        <v>115</v>
      </c>
      <c r="C57" s="41" t="s">
        <v>18</v>
      </c>
      <c r="D57" s="41" t="s">
        <v>22</v>
      </c>
      <c r="E57" s="41" t="s">
        <v>81</v>
      </c>
      <c r="F57" s="41" t="s">
        <v>23</v>
      </c>
      <c r="G57" s="41" t="s">
        <v>117</v>
      </c>
      <c r="H57" s="43" t="s">
        <v>28</v>
      </c>
      <c r="I57" s="46">
        <v>46016</v>
      </c>
    </row>
    <row r="58" spans="1:9" s="45" customFormat="1" x14ac:dyDescent="0.25">
      <c r="A58" s="41">
        <v>53</v>
      </c>
      <c r="B58" s="42" t="s">
        <v>115</v>
      </c>
      <c r="C58" s="41" t="s">
        <v>30</v>
      </c>
      <c r="D58" s="41" t="s">
        <v>22</v>
      </c>
      <c r="E58" s="41" t="s">
        <v>81</v>
      </c>
      <c r="F58" s="41" t="s">
        <v>23</v>
      </c>
      <c r="G58" s="41" t="s">
        <v>118</v>
      </c>
      <c r="H58" s="43" t="s">
        <v>28</v>
      </c>
      <c r="I58" s="46">
        <v>46016</v>
      </c>
    </row>
    <row r="59" spans="1:9" s="36" customFormat="1" x14ac:dyDescent="0.25">
      <c r="A59" s="33">
        <v>54</v>
      </c>
      <c r="B59" s="34" t="s">
        <v>115</v>
      </c>
      <c r="C59" s="33" t="s">
        <v>75</v>
      </c>
      <c r="D59" s="33" t="s">
        <v>22</v>
      </c>
      <c r="E59" s="33" t="s">
        <v>81</v>
      </c>
      <c r="F59" s="33" t="s">
        <v>23</v>
      </c>
      <c r="G59" s="33" t="s">
        <v>118</v>
      </c>
      <c r="H59" s="35" t="s">
        <v>28</v>
      </c>
      <c r="I59" s="47">
        <v>46016</v>
      </c>
    </row>
    <row r="60" spans="1:9" s="45" customFormat="1" x14ac:dyDescent="0.25">
      <c r="A60" s="41">
        <v>55</v>
      </c>
      <c r="B60" s="42" t="s">
        <v>119</v>
      </c>
      <c r="C60" s="41" t="s">
        <v>12</v>
      </c>
      <c r="D60" s="41" t="s">
        <v>22</v>
      </c>
      <c r="E60" s="41" t="s">
        <v>14</v>
      </c>
      <c r="F60" s="41" t="s">
        <v>23</v>
      </c>
      <c r="G60" s="41" t="s">
        <v>120</v>
      </c>
      <c r="H60" s="43" t="s">
        <v>28</v>
      </c>
      <c r="I60" s="46">
        <v>46020</v>
      </c>
    </row>
    <row r="61" spans="1:9" s="45" customFormat="1" x14ac:dyDescent="0.25">
      <c r="A61" s="41">
        <v>56</v>
      </c>
      <c r="B61" s="42" t="s">
        <v>119</v>
      </c>
      <c r="C61" s="41" t="s">
        <v>18</v>
      </c>
      <c r="D61" s="41" t="s">
        <v>22</v>
      </c>
      <c r="E61" s="41" t="s">
        <v>14</v>
      </c>
      <c r="F61" s="41" t="s">
        <v>23</v>
      </c>
      <c r="G61" s="41" t="s">
        <v>120</v>
      </c>
      <c r="H61" s="43" t="s">
        <v>28</v>
      </c>
      <c r="I61" s="46">
        <v>46020</v>
      </c>
    </row>
    <row r="62" spans="1:9" s="45" customFormat="1" x14ac:dyDescent="0.25">
      <c r="A62" s="41">
        <v>57</v>
      </c>
      <c r="B62" s="42" t="s">
        <v>121</v>
      </c>
      <c r="C62" s="41" t="s">
        <v>12</v>
      </c>
      <c r="D62" s="41" t="s">
        <v>122</v>
      </c>
      <c r="E62" s="41" t="s">
        <v>14</v>
      </c>
      <c r="F62" s="41" t="s">
        <v>123</v>
      </c>
      <c r="G62" s="41" t="s">
        <v>124</v>
      </c>
      <c r="H62" s="43" t="s">
        <v>125</v>
      </c>
      <c r="I62" s="44">
        <v>46059</v>
      </c>
    </row>
    <row r="63" spans="1:9" s="45" customFormat="1" x14ac:dyDescent="0.25">
      <c r="A63" s="41">
        <v>58</v>
      </c>
      <c r="B63" s="42" t="s">
        <v>121</v>
      </c>
      <c r="C63" s="41" t="s">
        <v>18</v>
      </c>
      <c r="D63" s="41" t="s">
        <v>122</v>
      </c>
      <c r="E63" s="41" t="s">
        <v>14</v>
      </c>
      <c r="F63" s="41" t="s">
        <v>123</v>
      </c>
      <c r="G63" s="41" t="s">
        <v>126</v>
      </c>
      <c r="H63" s="43" t="s">
        <v>127</v>
      </c>
      <c r="I63" s="44">
        <v>46059</v>
      </c>
    </row>
    <row r="64" spans="1:9" s="45" customFormat="1" x14ac:dyDescent="0.25">
      <c r="A64" s="41">
        <v>59</v>
      </c>
      <c r="B64" s="42" t="s">
        <v>128</v>
      </c>
      <c r="C64" s="41" t="s">
        <v>12</v>
      </c>
      <c r="D64" s="41" t="s">
        <v>22</v>
      </c>
      <c r="E64" s="41" t="s">
        <v>14</v>
      </c>
      <c r="F64" s="41" t="s">
        <v>23</v>
      </c>
      <c r="G64" s="41" t="s">
        <v>129</v>
      </c>
      <c r="H64" s="43" t="s">
        <v>130</v>
      </c>
      <c r="I64" s="44">
        <v>46064</v>
      </c>
    </row>
    <row r="65" spans="1:9" s="45" customFormat="1" x14ac:dyDescent="0.25">
      <c r="A65" s="41">
        <v>60</v>
      </c>
      <c r="B65" s="42" t="s">
        <v>128</v>
      </c>
      <c r="C65" s="41" t="s">
        <v>18</v>
      </c>
      <c r="D65" s="41" t="s">
        <v>22</v>
      </c>
      <c r="E65" s="41" t="s">
        <v>14</v>
      </c>
      <c r="F65" s="41" t="s">
        <v>23</v>
      </c>
      <c r="G65" s="41" t="s">
        <v>131</v>
      </c>
      <c r="H65" s="43" t="s">
        <v>28</v>
      </c>
      <c r="I65" s="44">
        <v>46064</v>
      </c>
    </row>
    <row r="66" spans="1:9" s="45" customFormat="1" x14ac:dyDescent="0.25">
      <c r="A66" s="41">
        <v>61</v>
      </c>
      <c r="B66" s="42" t="s">
        <v>128</v>
      </c>
      <c r="C66" s="41" t="s">
        <v>30</v>
      </c>
      <c r="D66" s="41" t="s">
        <v>122</v>
      </c>
      <c r="E66" s="41" t="s">
        <v>14</v>
      </c>
      <c r="F66" s="41" t="s">
        <v>123</v>
      </c>
      <c r="G66" s="41" t="s">
        <v>132</v>
      </c>
      <c r="H66" s="43" t="s">
        <v>28</v>
      </c>
      <c r="I66" s="44">
        <v>46064</v>
      </c>
    </row>
    <row r="67" spans="1:9" s="45" customFormat="1" x14ac:dyDescent="0.25">
      <c r="A67" s="41">
        <v>62</v>
      </c>
      <c r="B67" s="42" t="s">
        <v>133</v>
      </c>
      <c r="C67" s="41" t="s">
        <v>12</v>
      </c>
      <c r="D67" s="41" t="s">
        <v>22</v>
      </c>
      <c r="E67" s="41" t="s">
        <v>14</v>
      </c>
      <c r="F67" s="41" t="s">
        <v>23</v>
      </c>
      <c r="G67" s="41" t="s">
        <v>134</v>
      </c>
      <c r="H67" s="43" t="s">
        <v>135</v>
      </c>
      <c r="I67" s="44">
        <v>46071</v>
      </c>
    </row>
    <row r="68" spans="1:9" s="45" customFormat="1" x14ac:dyDescent="0.25">
      <c r="A68" s="41">
        <v>63</v>
      </c>
      <c r="B68" s="42" t="s">
        <v>133</v>
      </c>
      <c r="C68" s="41" t="s">
        <v>18</v>
      </c>
      <c r="D68" s="41" t="s">
        <v>22</v>
      </c>
      <c r="E68" s="41" t="s">
        <v>14</v>
      </c>
      <c r="F68" s="41" t="s">
        <v>23</v>
      </c>
      <c r="G68" s="41" t="s">
        <v>38</v>
      </c>
      <c r="H68" s="43" t="s">
        <v>28</v>
      </c>
      <c r="I68" s="44">
        <v>46071</v>
      </c>
    </row>
    <row r="69" spans="1:9" s="45" customFormat="1" x14ac:dyDescent="0.25">
      <c r="A69" s="41">
        <v>64</v>
      </c>
      <c r="B69" s="42" t="s">
        <v>133</v>
      </c>
      <c r="C69" s="41" t="s">
        <v>30</v>
      </c>
      <c r="D69" s="41" t="s">
        <v>22</v>
      </c>
      <c r="E69" s="41" t="s">
        <v>14</v>
      </c>
      <c r="F69" s="41" t="s">
        <v>23</v>
      </c>
      <c r="G69" s="41" t="s">
        <v>136</v>
      </c>
      <c r="H69" s="43" t="s">
        <v>135</v>
      </c>
      <c r="I69" s="44">
        <v>46071</v>
      </c>
    </row>
    <row r="70" spans="1:9" s="45" customFormat="1" x14ac:dyDescent="0.25">
      <c r="A70" s="41">
        <v>65</v>
      </c>
      <c r="B70" s="42" t="s">
        <v>137</v>
      </c>
      <c r="C70" s="41" t="s">
        <v>12</v>
      </c>
      <c r="D70" s="41" t="s">
        <v>138</v>
      </c>
      <c r="E70" s="41" t="s">
        <v>81</v>
      </c>
      <c r="F70" s="41" t="s">
        <v>139</v>
      </c>
      <c r="G70" s="41" t="s">
        <v>116</v>
      </c>
      <c r="H70" s="43" t="s">
        <v>140</v>
      </c>
      <c r="I70" s="44">
        <v>46073</v>
      </c>
    </row>
    <row r="71" spans="1:9" s="45" customFormat="1" x14ac:dyDescent="0.25">
      <c r="A71" s="41">
        <v>66</v>
      </c>
      <c r="B71" s="42" t="s">
        <v>137</v>
      </c>
      <c r="C71" s="41" t="s">
        <v>18</v>
      </c>
      <c r="D71" s="41" t="s">
        <v>138</v>
      </c>
      <c r="E71" s="41" t="s">
        <v>81</v>
      </c>
      <c r="F71" s="41" t="s">
        <v>139</v>
      </c>
      <c r="G71" s="41" t="s">
        <v>141</v>
      </c>
      <c r="H71" s="43" t="s">
        <v>142</v>
      </c>
      <c r="I71" s="44">
        <v>46073</v>
      </c>
    </row>
    <row r="72" spans="1:9" s="45" customFormat="1" x14ac:dyDescent="0.25">
      <c r="A72" s="41">
        <v>67</v>
      </c>
      <c r="B72" s="42" t="s">
        <v>137</v>
      </c>
      <c r="C72" s="41" t="s">
        <v>12</v>
      </c>
      <c r="D72" s="41" t="s">
        <v>22</v>
      </c>
      <c r="E72" s="41" t="s">
        <v>65</v>
      </c>
      <c r="F72" s="41" t="s">
        <v>23</v>
      </c>
      <c r="G72" s="41" t="s">
        <v>116</v>
      </c>
      <c r="H72" s="43" t="s">
        <v>28</v>
      </c>
      <c r="I72" s="44">
        <v>46073</v>
      </c>
    </row>
    <row r="73" spans="1:9" s="45" customFormat="1" x14ac:dyDescent="0.25">
      <c r="A73" s="41">
        <v>68</v>
      </c>
      <c r="B73" s="42" t="s">
        <v>137</v>
      </c>
      <c r="C73" s="41" t="s">
        <v>18</v>
      </c>
      <c r="D73" s="41" t="s">
        <v>22</v>
      </c>
      <c r="E73" s="41" t="s">
        <v>65</v>
      </c>
      <c r="F73" s="41" t="s">
        <v>23</v>
      </c>
      <c r="G73" s="41" t="s">
        <v>141</v>
      </c>
      <c r="H73" s="43" t="s">
        <v>28</v>
      </c>
      <c r="I73" s="44">
        <v>46073</v>
      </c>
    </row>
    <row r="74" spans="1:9" s="45" customFormat="1" x14ac:dyDescent="0.25">
      <c r="A74" s="41">
        <v>69</v>
      </c>
      <c r="B74" s="42" t="s">
        <v>143</v>
      </c>
      <c r="C74" s="41" t="s">
        <v>12</v>
      </c>
      <c r="D74" s="41" t="s">
        <v>94</v>
      </c>
      <c r="E74" s="41" t="s">
        <v>65</v>
      </c>
      <c r="F74" s="41" t="s">
        <v>95</v>
      </c>
      <c r="G74" s="41" t="s">
        <v>120</v>
      </c>
      <c r="H74" s="43" t="s">
        <v>144</v>
      </c>
      <c r="I74" s="46">
        <v>46014</v>
      </c>
    </row>
    <row r="75" spans="1:9" s="45" customFormat="1" x14ac:dyDescent="0.25">
      <c r="A75" s="41">
        <v>70</v>
      </c>
      <c r="B75" s="42" t="s">
        <v>143</v>
      </c>
      <c r="C75" s="41" t="s">
        <v>18</v>
      </c>
      <c r="D75" s="41" t="s">
        <v>145</v>
      </c>
      <c r="E75" s="41" t="s">
        <v>65</v>
      </c>
      <c r="F75" s="41" t="s">
        <v>95</v>
      </c>
      <c r="G75" s="41" t="s">
        <v>120</v>
      </c>
      <c r="H75" s="43" t="s">
        <v>144</v>
      </c>
      <c r="I75" s="46">
        <v>46014</v>
      </c>
    </row>
  </sheetData>
  <hyperlinks>
    <hyperlink ref="B6" location="'Аврово №1 газ'!A1" display="Аврово"/>
    <hyperlink ref="B7" location="'Аврово №2 газ'!A1" display="Аврово"/>
    <hyperlink ref="B8" location="'Бережки №1 газ'!A1" display="Бережки"/>
    <hyperlink ref="B9" location="'Бережки №2 газ'!A1" display="Бережки"/>
    <hyperlink ref="B10" location="'ВындинОстров №1 газ'!A1" display="Вындин остров"/>
    <hyperlink ref="B11" location="'ВындинОстров №2 газ'!A1" display="Вындин остров"/>
    <hyperlink ref="B12" location="'ВындинОстров №3 газ'!A1" display="Вындин остров"/>
    <hyperlink ref="B13" location="'Иссад ЛТЦ №1 дизель'!A1" display="Иссад ЛТЦ"/>
    <hyperlink ref="B14" location="'Иссад ЛТЦ №2 дизель'!A1" display="Иссад ЛТЦ"/>
    <hyperlink ref="B15" location="'Иссад №1 газ'!A1" display="Иссад"/>
    <hyperlink ref="B16" location="'Иссад №2 газ'!A1" display="Иссад"/>
    <hyperlink ref="B17" location="'Кисельня БМК №1 газ'!A1" display="Кисельня БМК"/>
    <hyperlink ref="B18" location="'Кисельня БМК №2 газ'!A1" display="Кисельня БМК"/>
    <hyperlink ref="B19" location="'Кисельня Центр №1 газ'!A1" display="Кисельня Центр"/>
    <hyperlink ref="B20" location="'Кисельня Центр №2 газ'!A1" display="Кисельня Центр"/>
    <hyperlink ref="B21" location="'Кисельня Центр №3 газ'!A1" display="Кисельня Центр"/>
    <hyperlink ref="B22" location="'КолчАлексино №1 газ'!A1" display="Колчаново Алексино"/>
    <hyperlink ref="B23" location="'КолчАлексино №2 газ'!A1" display="Колчаново Алексино"/>
    <hyperlink ref="B24" location="'КолчМолодежная №1 газ'!A1" display="Колчаново Молодежная"/>
    <hyperlink ref="B25" location="'КолчМолодежная №2 газ'!A1" display="Колчаново Молодежная"/>
    <hyperlink ref="B26" location="'НЛ Северная №1 газ'!A1" display="Новая Ладога Северная"/>
    <hyperlink ref="B27" location="'НЛ Северная №2 газ'!A1" display="Новая Ладога Северная"/>
    <hyperlink ref="B28" location="'НЛ Северная №2 уголь'!A1" display="Новая Ладога Северная"/>
    <hyperlink ref="B29" location="'НЛ Северная №1 уголь'!A1" display="Новая Ладога Северная"/>
    <hyperlink ref="B30" location="'НЛ Центральная №1 газ'!A1" display="Новая Ладога Центральная"/>
    <hyperlink ref="B31" location="'НЛ Центральная №2 газ'!A1" display="Новая Ладога Центральная"/>
    <hyperlink ref="B32" location="'НЛ Центральная №3 газ'!A1" display="Новая Ладога Центральная"/>
    <hyperlink ref="B33" location="'НЛ Центральная №4 газ'!A1" display="Новая Ладога Центральная"/>
    <hyperlink ref="B34" location="'НЛ Центральная №5 газ'!A1" display="Новая Ладога Центральная"/>
    <hyperlink ref="B35" location="'НЛ Центральная №1 мазут'!A1" display="Новая Ладога Центральная"/>
    <hyperlink ref="B36" location="'НЛ Центральная №2 мазут'!A1" display="Новая Ладога Центральная"/>
    <hyperlink ref="B37" location="'НЛ Центральная №4 мазут'!A1" display="Новая Ладога Центральная"/>
    <hyperlink ref="B38" location="'НЛ Центральная №5 мазут'!A1" display="Новая Ладога Центральная"/>
    <hyperlink ref="B39" location="'НЛ Луначарского №1 дизель'!A1" display="Новая Ладога Луначарского"/>
    <hyperlink ref="B40" location="'НЛ Луначарского №1 газ'!A1" display="Новая Ладога Луначарского"/>
    <hyperlink ref="B41" location="'НЛ Луначарского №2 дизель'!A1" display="Новая Ладога Луначарского"/>
    <hyperlink ref="B42" location="'НЛ Луначарского №2 газ'!A1" display="Новая Ладога Луначарского"/>
    <hyperlink ref="B43" location="'Паша2 №1 мазут'!A1" display="Паша №2"/>
    <hyperlink ref="B44" location="'Паша2 №2 мазут'!A1" display="Паша №2"/>
    <hyperlink ref="B45" location="'Паша4 Станц №1 уголь'!A1" display="Паша №4 Станционная"/>
    <hyperlink ref="B46" location="'Паша4 Станц №2 уголь'!A1" display="Паша №4 Станционная"/>
    <hyperlink ref="B47" location="'Паша1 №1 мазут'!A1" display="Паша №1"/>
    <hyperlink ref="B48" location="'Паша1 №2 мазут'!A1" display="Паша №1"/>
    <hyperlink ref="B49" location="'Паша1 №3 мазут'!A1" display="Паша №1"/>
    <hyperlink ref="B50" location="'Паша3 Лесоз №1 мазут'!A1" display="Паша №3 Лесозавод"/>
    <hyperlink ref="B51" location="'Паша3 Лесоз №2 мазут'!A1" display="Паша №3 Лесозавод"/>
    <hyperlink ref="B52" location="'Потанино №2 газ'!A1" display="Потанино"/>
    <hyperlink ref="B53" location="'Потанино №3 газ'!A1" display="Потанино"/>
    <hyperlink ref="B54" location="'Свирица №1 мазут'!A1" display="Свирица"/>
    <hyperlink ref="B55" location="'Свирица №2 мазут'!A1" display="Свирица"/>
    <hyperlink ref="B56" location="'Селиваново №1 мазут'!A1" display="Селиваново"/>
    <hyperlink ref="B57" location="'Селиваново №2 мазут'!A1" display="Селиваново"/>
    <hyperlink ref="B58" location="'Селиваново №3 мазут'!A1" display="Селиваново"/>
    <hyperlink ref="B59" location="'Селиваново №4 мазут'!A1" display="Селиваново"/>
    <hyperlink ref="B60" location="'Селиваново Газ №1 газ'!A1" display="Селиваново Газовая"/>
    <hyperlink ref="B61" location="'Селиваново Газ №2 газ'!A1" display="Селиваново Газовая"/>
    <hyperlink ref="B62" location="'СтЛадога Волх №1 газ'!A1" display="Старая Ладога пр. Волковский 12а"/>
    <hyperlink ref="B63" location="'СтЛадога Волх №2 газ'!A1" display="Старая Ладога пр. Волковский 12а"/>
    <hyperlink ref="B64" location="'СтЛадога Сов №1 газ'!A1" display="Старая Ладога советская 30"/>
    <hyperlink ref="B65" location="'СтЛадога Сов №2 газ'!A1" display="Старая Ладога советская 30"/>
    <hyperlink ref="B66" location="'СтЛадога Сов №3 газ'!A1" display="Старая Ладога советская 30"/>
    <hyperlink ref="B67" location="'Усадище №1 газ'!A1" display="Усадище"/>
    <hyperlink ref="B68" location="'Усадище №2 газ'!A1" display="Усадище"/>
    <hyperlink ref="B69" location="'Усадище №3 газ'!A1" display="Усадище"/>
    <hyperlink ref="B70" location="'Хвалово №1 мазут'!A1" display="Хвалово"/>
    <hyperlink ref="B71" location="'Хвалово №2 мазут'!A1" display="Хвалово"/>
    <hyperlink ref="B72" location="'Хвалово №1 уголь'!A1" display="Хвалово"/>
    <hyperlink ref="B73" location="'Хвалово №2 уголь'!A1" display="Хвалово"/>
    <hyperlink ref="B74" location="'Юги №1 уголь'!A1" display="Юги"/>
    <hyperlink ref="B75" location="'Юги №2 уголь'!A1" display="Юги"/>
  </hyperlinks>
  <pageMargins left="0.75" right="0.75" top="1" bottom="1" header="0.5" footer="0.5"/>
  <pageSetup scale="4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B1:O87"/>
  <sheetViews>
    <sheetView tabSelected="1" topLeftCell="A13" zoomScaleNormal="100" workbookViewId="0">
      <selection activeCell="I7" sqref="I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s="21" t="s">
        <v>264</v>
      </c>
    </row>
    <row r="2" spans="2:15" x14ac:dyDescent="0.25">
      <c r="I2" s="6" t="s">
        <v>147</v>
      </c>
      <c r="N2" s="21"/>
      <c r="O2" s="21"/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154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156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158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>
        <v>15</v>
      </c>
      <c r="H19" s="4">
        <v>15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31</v>
      </c>
      <c r="H21" s="4">
        <v>111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113</v>
      </c>
      <c r="H28" s="4">
        <v>149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214</v>
      </c>
      <c r="H29" s="4" t="s">
        <v>215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218</v>
      </c>
      <c r="H30" s="4" t="s">
        <v>219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232</v>
      </c>
      <c r="H34" s="4" t="s">
        <v>233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66</v>
      </c>
      <c r="H37" s="4">
        <v>82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>
        <f>G38-G37</f>
        <v>-60</v>
      </c>
      <c r="H39" s="4">
        <f>H38-H37</f>
        <v>-60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38</v>
      </c>
      <c r="H42" s="20">
        <v>38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0.22800000000000001</v>
      </c>
      <c r="H44" s="13">
        <f>(H42*H38)/1000</f>
        <v>0.83599999999999997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0.26516400000000001</v>
      </c>
      <c r="H45" s="13">
        <f>(H42*H38)/1000*1.163</f>
        <v>0.97226800000000002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24.105818181818179</v>
      </c>
      <c r="H46" s="13">
        <f>H45/N1*100</f>
        <v>88.388000000000005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89.355348191925884</v>
      </c>
      <c r="H47" s="13">
        <f>(H42*1000*H38)/(H21*H18)*100</f>
        <v>91.502023223563739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159.87851078947369</v>
      </c>
      <c r="H48" s="13">
        <f>(142.86*100)/H47</f>
        <v>156.12769528708137</v>
      </c>
      <c r="I48" s="8" t="s">
        <v>183</v>
      </c>
      <c r="J48" s="8" t="s">
        <v>274</v>
      </c>
    </row>
    <row r="49" spans="2:10" x14ac:dyDescent="0.25">
      <c r="G49" s="38"/>
      <c r="H49" s="38"/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641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281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7" fitToHeight="0" orientation="portrait" r:id="rId1"/>
  <rowBreaks count="1" manualBreakCount="1">
    <brk id="55" max="16383" man="1"/>
  </rowBreaks>
  <ignoredErrors>
    <ignoredError sqref="G18:H18 G28:H34 G36:H36 G19:H20 G22:H23 G38:H38 G25:H26 G40:H4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B1:O87"/>
  <sheetViews>
    <sheetView topLeftCell="A34" workbookViewId="0">
      <selection activeCell="C49" sqref="C4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s="21" t="s">
        <v>264</v>
      </c>
    </row>
    <row r="2" spans="2:15" x14ac:dyDescent="0.25">
      <c r="I2" s="6" t="s">
        <v>147</v>
      </c>
      <c r="M2" s="17"/>
      <c r="N2" s="18"/>
      <c r="O2" s="19"/>
    </row>
    <row r="3" spans="2:15" x14ac:dyDescent="0.25">
      <c r="I3" s="6" t="s">
        <v>148</v>
      </c>
      <c r="N3" s="11"/>
    </row>
    <row r="4" spans="2:15" x14ac:dyDescent="0.25">
      <c r="I4" s="6" t="s">
        <v>149</v>
      </c>
      <c r="N4" s="11"/>
    </row>
    <row r="5" spans="2:15" x14ac:dyDescent="0.25">
      <c r="I5" s="6" t="s">
        <v>150</v>
      </c>
      <c r="N5" s="11"/>
    </row>
    <row r="6" spans="2:15" x14ac:dyDescent="0.25">
      <c r="I6" s="6" t="s">
        <v>151</v>
      </c>
      <c r="N6" s="11"/>
    </row>
    <row r="7" spans="2:15" x14ac:dyDescent="0.25">
      <c r="I7" s="27" t="s">
        <v>641</v>
      </c>
      <c r="N7" s="11"/>
    </row>
    <row r="8" spans="2:15" x14ac:dyDescent="0.25">
      <c r="N8" s="11"/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  <c r="N9" s="11"/>
    </row>
    <row r="10" spans="2:15" x14ac:dyDescent="0.25">
      <c r="C10" s="48" t="s">
        <v>314</v>
      </c>
      <c r="D10" s="49"/>
      <c r="E10" s="49"/>
      <c r="F10" s="49"/>
      <c r="G10" s="49"/>
      <c r="H10" s="49"/>
      <c r="I10" s="49"/>
      <c r="J10" s="49"/>
      <c r="N10" s="11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  <c r="N11" s="11"/>
    </row>
    <row r="12" spans="2:15" x14ac:dyDescent="0.25">
      <c r="C12" s="48" t="s">
        <v>156</v>
      </c>
      <c r="D12" s="49"/>
      <c r="E12" s="49"/>
      <c r="F12" s="49"/>
      <c r="G12" s="49"/>
      <c r="H12" s="49"/>
      <c r="I12" s="49"/>
      <c r="J12" s="49"/>
      <c r="N12" s="11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  <c r="N13" s="11"/>
    </row>
    <row r="14" spans="2:15" x14ac:dyDescent="0.25">
      <c r="C14" s="48" t="s">
        <v>158</v>
      </c>
      <c r="D14" s="49"/>
      <c r="E14" s="49"/>
      <c r="F14" s="49"/>
      <c r="G14" s="49"/>
      <c r="H14" s="49"/>
      <c r="I14" s="49"/>
      <c r="J14" s="49"/>
      <c r="N14" s="11"/>
    </row>
    <row r="15" spans="2:15" x14ac:dyDescent="0.25">
      <c r="N15" s="11"/>
    </row>
    <row r="16" spans="2:15" s="10" customFormat="1" ht="28.5" x14ac:dyDescent="0.25">
      <c r="B16" s="22" t="s">
        <v>159</v>
      </c>
      <c r="C16" s="53" t="s">
        <v>160</v>
      </c>
      <c r="D16" s="54"/>
      <c r="E16" s="54"/>
      <c r="F16" s="54"/>
      <c r="G16" s="22" t="s">
        <v>161</v>
      </c>
      <c r="H16" s="22" t="s">
        <v>162</v>
      </c>
      <c r="I16" s="22" t="s">
        <v>163</v>
      </c>
      <c r="J16" s="22" t="s">
        <v>164</v>
      </c>
    </row>
    <row r="17" spans="2:15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  <c r="N17" s="11"/>
    </row>
    <row r="18" spans="2:15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  <c r="N18" s="11"/>
    </row>
    <row r="19" spans="2:15" x14ac:dyDescent="0.25">
      <c r="B19" s="20" t="s">
        <v>172</v>
      </c>
      <c r="C19" s="50" t="s">
        <v>177</v>
      </c>
      <c r="D19" s="51"/>
      <c r="E19" s="51"/>
      <c r="F19" s="51"/>
      <c r="G19" s="4">
        <v>15</v>
      </c>
      <c r="H19" s="4">
        <v>15</v>
      </c>
      <c r="I19" s="8" t="s">
        <v>174</v>
      </c>
      <c r="J19" s="8" t="s">
        <v>175</v>
      </c>
    </row>
    <row r="20" spans="2:15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5" x14ac:dyDescent="0.25">
      <c r="B21" s="4" t="s">
        <v>179</v>
      </c>
      <c r="C21" s="50" t="s">
        <v>186</v>
      </c>
      <c r="D21" s="51"/>
      <c r="E21" s="51"/>
      <c r="F21" s="51"/>
      <c r="G21" s="4">
        <v>30</v>
      </c>
      <c r="H21" s="4">
        <v>110</v>
      </c>
      <c r="I21" s="8" t="s">
        <v>189</v>
      </c>
      <c r="J21" s="8" t="s">
        <v>190</v>
      </c>
    </row>
    <row r="22" spans="2:15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5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5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5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  <c r="N25" s="21"/>
      <c r="O25" s="21"/>
    </row>
    <row r="26" spans="2:15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5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5" x14ac:dyDescent="0.25">
      <c r="B28" s="4" t="s">
        <v>210</v>
      </c>
      <c r="C28" s="50" t="s">
        <v>211</v>
      </c>
      <c r="D28" s="51"/>
      <c r="E28" s="51"/>
      <c r="F28" s="51"/>
      <c r="G28" s="4">
        <v>120</v>
      </c>
      <c r="H28" s="4" t="s">
        <v>315</v>
      </c>
      <c r="I28" s="8" t="s">
        <v>189</v>
      </c>
      <c r="J28" s="8" t="s">
        <v>205</v>
      </c>
    </row>
    <row r="29" spans="2:15" x14ac:dyDescent="0.25">
      <c r="B29" s="4" t="s">
        <v>212</v>
      </c>
      <c r="C29" s="50" t="s">
        <v>213</v>
      </c>
      <c r="D29" s="51"/>
      <c r="E29" s="51"/>
      <c r="F29" s="51"/>
      <c r="G29" s="4">
        <v>3</v>
      </c>
      <c r="H29" s="4" t="s">
        <v>316</v>
      </c>
      <c r="I29" s="8" t="s">
        <v>193</v>
      </c>
      <c r="J29" s="8" t="s">
        <v>184</v>
      </c>
    </row>
    <row r="30" spans="2:15" x14ac:dyDescent="0.25">
      <c r="B30" s="4" t="s">
        <v>216</v>
      </c>
      <c r="C30" s="50" t="s">
        <v>217</v>
      </c>
      <c r="D30" s="51"/>
      <c r="E30" s="51"/>
      <c r="F30" s="51"/>
      <c r="G30" s="4">
        <v>8.6</v>
      </c>
      <c r="H30" s="4" t="s">
        <v>317</v>
      </c>
      <c r="I30" s="8" t="s">
        <v>193</v>
      </c>
      <c r="J30" s="8" t="s">
        <v>184</v>
      </c>
    </row>
    <row r="31" spans="2:15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5" x14ac:dyDescent="0.25">
      <c r="B32" s="4" t="s">
        <v>222</v>
      </c>
      <c r="C32" s="50" t="s">
        <v>223</v>
      </c>
      <c r="D32" s="51"/>
      <c r="E32" s="51"/>
      <c r="F32" s="51"/>
      <c r="G32" s="4" t="s">
        <v>318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</v>
      </c>
      <c r="H34" s="4">
        <v>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65</v>
      </c>
      <c r="H37" s="4">
        <v>82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5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38</v>
      </c>
      <c r="H42" s="20">
        <v>38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0.19</v>
      </c>
      <c r="H44" s="13">
        <f>(H42*H38)/1000</f>
        <v>0.83599999999999997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0.22097</v>
      </c>
      <c r="H45" s="13">
        <f>(H42*H38)/1000*1.163</f>
        <v>0.97226800000000002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20.088181818181816</v>
      </c>
      <c r="H46" s="13">
        <f>H45/N1*100</f>
        <v>88.388000000000005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76.944883165269502</v>
      </c>
      <c r="H47" s="13">
        <f>(H42*1000*H38)/(H21*H18)*100</f>
        <v>92.333859798323417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185.6653673684211</v>
      </c>
      <c r="H48" s="13">
        <f>(142.86*100)/H47</f>
        <v>154.72113947368422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641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325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12" t="s">
        <v>159</v>
      </c>
      <c r="C67" s="53" t="s">
        <v>160</v>
      </c>
      <c r="D67" s="54"/>
      <c r="E67" s="54"/>
      <c r="F67" s="54"/>
      <c r="G67" s="12" t="s">
        <v>282</v>
      </c>
      <c r="H67" s="12" t="s">
        <v>164</v>
      </c>
      <c r="I67" s="53" t="s">
        <v>283</v>
      </c>
      <c r="J67" s="54"/>
    </row>
    <row r="68" spans="2:10" s="10" customFormat="1" x14ac:dyDescent="0.25">
      <c r="B68" s="30" t="s">
        <v>165</v>
      </c>
      <c r="C68" s="59" t="s">
        <v>284</v>
      </c>
      <c r="D68" s="60"/>
      <c r="E68" s="60"/>
      <c r="F68" s="60"/>
      <c r="G68" s="61"/>
      <c r="H68" s="60"/>
      <c r="I68" s="60"/>
      <c r="J68" s="60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25 N1"/>
  </dataValidations>
  <printOptions horizontalCentered="1"/>
  <pageMargins left="0.70866141732283461" right="0.70866141732283461" top="0.74803149606299213" bottom="0.74803149606299213" header="0.31496062992125984" footer="0.31496062992125984"/>
  <pageSetup scale="77" fitToHeight="0" orientation="portrait" r:id="rId1"/>
  <rowBreaks count="1" manualBreakCount="1">
    <brk id="5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pageSetUpPr fitToPage="1"/>
  </sheetPr>
  <dimension ref="B1:O87"/>
  <sheetViews>
    <sheetView workbookViewId="0">
      <selection activeCell="P24" sqref="P2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327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103</v>
      </c>
      <c r="H21" s="4">
        <v>271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19</v>
      </c>
      <c r="H24" s="4">
        <v>112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331</v>
      </c>
      <c r="H28" s="4" t="s">
        <v>332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333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334</v>
      </c>
      <c r="H30" s="4" t="s">
        <v>335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321</v>
      </c>
      <c r="H32" s="4" t="s">
        <v>336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337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339</v>
      </c>
      <c r="H36" s="4" t="s">
        <v>339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340</v>
      </c>
      <c r="H37" s="4">
        <v>72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0.77400000000000002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0.90016200000000002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36.006480000000003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91.295870572179766</v>
      </c>
      <c r="H47" s="13">
        <f>(H42*1000*H38)/(H21*H18)*100</f>
        <v>92.531116053476168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156.48024286821706</v>
      </c>
      <c r="H48" s="13">
        <f>(142.86*100)/H47</f>
        <v>154.39130758720933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327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105</v>
      </c>
      <c r="H21" s="4">
        <v>269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346</v>
      </c>
      <c r="H28" s="4" t="s">
        <v>347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333</v>
      </c>
      <c r="H29" s="4" t="s">
        <v>333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334</v>
      </c>
      <c r="H30" s="4" t="s">
        <v>348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181</v>
      </c>
      <c r="H32" s="4" t="s">
        <v>349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337</v>
      </c>
      <c r="H34" s="4" t="s">
        <v>337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339</v>
      </c>
      <c r="H36" s="4" t="s">
        <v>339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89.556901608900148</v>
      </c>
      <c r="H47" s="13">
        <f>(H42*1000*H38)/(H21*H18)*100</f>
        <v>89.334951419039186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159.51869418604653</v>
      </c>
      <c r="H48" s="13">
        <f>(142.86*100)/H47</f>
        <v>159.91501392315473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354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355</v>
      </c>
      <c r="H21" s="4">
        <v>259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50</v>
      </c>
      <c r="H36" s="4">
        <v>50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60</v>
      </c>
      <c r="H37" s="4">
        <v>73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0.86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1.0001800000000001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40.007200000000005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90.071596445732922</v>
      </c>
      <c r="H47" s="13">
        <f>(H42*1000*H38)/(H21*H18)*100</f>
        <v>92.784177342554202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158.60715879069767</v>
      </c>
      <c r="H48" s="13">
        <f>(142.86*100)/H47</f>
        <v>153.9702178665319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78</v>
      </c>
      <c r="H21" s="4">
        <v>261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17</v>
      </c>
      <c r="H24" s="4">
        <v>123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118</v>
      </c>
      <c r="H28" s="4">
        <v>163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4.2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9.3000000000000007</v>
      </c>
      <c r="H30" s="4">
        <v>10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32</v>
      </c>
      <c r="H33" s="4">
        <v>138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1.36</v>
      </c>
      <c r="H34" s="4">
        <v>1.19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49</v>
      </c>
      <c r="H36" s="4">
        <v>49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55</v>
      </c>
      <c r="H37" s="4">
        <v>72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0.51600000000000001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0.60010800000000009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24.004320000000003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80.371578366961671</v>
      </c>
      <c r="H47" s="13">
        <f>(H42*1000*H38)/(H21*H18)*100</f>
        <v>92.073187477860301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177.74940209302329</v>
      </c>
      <c r="H48" s="13">
        <f>(142.86*100)/H47</f>
        <v>155.15917707785644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361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87</v>
      </c>
      <c r="H21" s="4">
        <v>272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11</v>
      </c>
      <c r="H24" s="4">
        <v>110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113</v>
      </c>
      <c r="H28" s="4">
        <v>147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4.0999999999999996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8.4</v>
      </c>
      <c r="H30" s="4">
        <v>10.8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38</v>
      </c>
      <c r="H33" s="4">
        <v>138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1.29</v>
      </c>
      <c r="H34" s="4">
        <v>1.1100000000000001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54</v>
      </c>
      <c r="H37" s="4">
        <v>72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0.51600000000000001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0.60010800000000009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24.004320000000003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72.057277156586323</v>
      </c>
      <c r="H47" s="13">
        <f>(H42*1000*H38)/(H21*H18)*100</f>
        <v>92.190928126808984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198.25894848837214</v>
      </c>
      <c r="H48" s="13">
        <f>(142.86*100)/H47</f>
        <v>154.96101720930233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362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B1:O87"/>
  <sheetViews>
    <sheetView topLeftCell="A52" workbookViewId="0">
      <selection activeCell="A56" sqref="A56:K8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363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364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365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640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51"/>
      <c r="E19" s="51"/>
      <c r="F19" s="51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11</v>
      </c>
      <c r="H21" s="4">
        <v>20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332</v>
      </c>
      <c r="H28" s="4" t="s">
        <v>330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372</v>
      </c>
      <c r="H30" s="4" t="s">
        <v>373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319</v>
      </c>
      <c r="H33" s="4" t="s">
        <v>375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71</v>
      </c>
      <c r="H37" s="4">
        <v>79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11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9.9000000000000005E-2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0.115137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57.5685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89.10891089108911</v>
      </c>
      <c r="H47" s="13">
        <f>(H42*1000*H38)/(H21*H18)*100</f>
        <v>84.653465346534645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160.32066666666668</v>
      </c>
      <c r="H48" s="13">
        <f>(142.86*100)/H47</f>
        <v>168.7585964912281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379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95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66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380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188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381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364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365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382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51"/>
      <c r="E19" s="51"/>
      <c r="F19" s="51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181</v>
      </c>
      <c r="H21" s="4">
        <v>19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149</v>
      </c>
      <c r="H28" s="4">
        <v>213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4.5999999999999996</v>
      </c>
      <c r="H29" s="4">
        <v>3.3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11.9</v>
      </c>
      <c r="H30" s="4">
        <v>12.1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65</v>
      </c>
      <c r="H33" s="4">
        <v>112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319</v>
      </c>
      <c r="H37" s="4">
        <v>79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0.09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0.10467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52.335000000000001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89.10891089108911</v>
      </c>
      <c r="H47" s="13">
        <f>(H42*1000*H38)/(H21*H18)*100</f>
        <v>89.10891089108911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160.32066666666668</v>
      </c>
      <c r="H48" s="13">
        <f>(142.86*100)/H47</f>
        <v>160.32066666666668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383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95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66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380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188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384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385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375</v>
      </c>
      <c r="H19" s="4" t="s">
        <v>375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80</v>
      </c>
      <c r="H21" s="4" t="s">
        <v>387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19</v>
      </c>
      <c r="H24" s="4">
        <v>114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101</v>
      </c>
      <c r="H28" s="4">
        <v>129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23</v>
      </c>
      <c r="H29" s="4" t="s">
        <v>389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348</v>
      </c>
      <c r="H30" s="4" t="s">
        <v>358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329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390</v>
      </c>
      <c r="H33" s="4" t="s">
        <v>391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337</v>
      </c>
      <c r="H34" s="4" t="s">
        <v>392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67</v>
      </c>
      <c r="H37" s="4">
        <v>82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1.8919999999999999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2.200396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88.015839999999997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91.422670392418908</v>
      </c>
      <c r="H47" s="13">
        <f>(H42*1000*H38)/(H21*H18)*100</f>
        <v>89.440744797474864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156.26321063122924</v>
      </c>
      <c r="H48" s="13">
        <f>(142.86*100)/H47</f>
        <v>159.72586132135308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645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B1:O87"/>
  <sheetViews>
    <sheetView workbookViewId="0">
      <selection activeCell="M15" sqref="M1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384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385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375</v>
      </c>
      <c r="H19" s="4" t="s">
        <v>375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70</v>
      </c>
      <c r="H21" s="4">
        <v>267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104</v>
      </c>
      <c r="H28" s="4">
        <v>134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396</v>
      </c>
      <c r="H29" s="4" t="s">
        <v>397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398</v>
      </c>
      <c r="H30" s="4" t="s">
        <v>399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400</v>
      </c>
      <c r="H32" s="4" t="s">
        <v>187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401</v>
      </c>
      <c r="H33" s="4" t="s">
        <v>395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338</v>
      </c>
      <c r="H34" s="4" t="s">
        <v>233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66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0.51600000000000001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0.60010800000000009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24.004320000000003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89.556901608900148</v>
      </c>
      <c r="H47" s="13">
        <f>(H42*1000*H38)/(H21*H18)*100</f>
        <v>90.004127085099412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159.51869418604653</v>
      </c>
      <c r="H48" s="13">
        <f>(142.86*100)/H47</f>
        <v>158.72605471183013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645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402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403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408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>
        <v>46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32</v>
      </c>
      <c r="H21" s="4">
        <v>62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121</v>
      </c>
      <c r="H28" s="4">
        <v>143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71</v>
      </c>
      <c r="H37" s="4">
        <v>81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11</v>
      </c>
      <c r="H38" s="4">
        <f>H37-H36</f>
        <v>21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22</v>
      </c>
      <c r="H42" s="4" t="s">
        <v>393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0.24199999999999999</v>
      </c>
      <c r="H44" s="13">
        <f>(H42*H38)/1000</f>
        <v>0.46200000000000002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0.28144599999999997</v>
      </c>
      <c r="H45" s="13">
        <f>(H42*H38)/1000*1.163</f>
        <v>0.53730600000000006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46.907666666666664</v>
      </c>
      <c r="H46" s="13">
        <f>H45/N1*100</f>
        <v>89.551000000000016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91.878265095371162</v>
      </c>
      <c r="H47" s="13">
        <f>(H42*1000*H38)/(H21*H18)*100</f>
        <v>90.531076457609117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155.48835173553721</v>
      </c>
      <c r="H48" s="13">
        <f>(142.86*100)/H47</f>
        <v>157.80216649350652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646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406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pageSetUpPr fitToPage="1"/>
  </sheetPr>
  <dimension ref="B1:O87"/>
  <sheetViews>
    <sheetView workbookViewId="0">
      <selection activeCell="P43" sqref="P43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407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403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408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187</v>
      </c>
      <c r="H21" s="4" t="s">
        <v>404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123</v>
      </c>
      <c r="H28" s="4">
        <v>130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3.9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1.35</v>
      </c>
      <c r="H34" s="4">
        <v>1.1299999999999999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319</v>
      </c>
      <c r="H37" s="4" t="s">
        <v>242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20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393</v>
      </c>
      <c r="H42" s="4" t="s">
        <v>393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0.22</v>
      </c>
      <c r="H44" s="13">
        <f>(H42*H38)/1000</f>
        <v>0.44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0.25586000000000003</v>
      </c>
      <c r="H45" s="13">
        <f>(H42*H38)/1000*1.163</f>
        <v>0.51172000000000006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42.643333333333338</v>
      </c>
      <c r="H46" s="13">
        <f>H45/N1*100</f>
        <v>85.286666666666676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89.094075243996272</v>
      </c>
      <c r="H47" s="13">
        <f>(H42*1000*H38)/(H21*H18)*100</f>
        <v>90.604144315928409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160.34736272727275</v>
      </c>
      <c r="H48" s="13">
        <f>(142.86*100)/H47</f>
        <v>157.67490668181821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646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409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pageSetUpPr fitToPage="1"/>
  </sheetPr>
  <dimension ref="B1:O87"/>
  <sheetViews>
    <sheetView zoomScaleNormal="100" workbookViewId="0">
      <selection activeCell="Q25" sqref="Q2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410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320</v>
      </c>
      <c r="H21" s="4">
        <v>262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411</v>
      </c>
      <c r="H28" s="4" t="s">
        <v>412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316</v>
      </c>
      <c r="H29" s="4" t="s">
        <v>333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334</v>
      </c>
      <c r="H30" s="4" t="s">
        <v>334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238</v>
      </c>
      <c r="H32" s="4" t="s">
        <v>413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338</v>
      </c>
      <c r="H34" s="4" t="s">
        <v>337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386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90.293995449302628</v>
      </c>
      <c r="H47" s="13">
        <f>(H42*1000*H38)/(H21*H18)*100</f>
        <v>91.72176309817381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158.21650076411962</v>
      </c>
      <c r="H48" s="13">
        <f>(142.86*100)/H47</f>
        <v>155.75365668351873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647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410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80</v>
      </c>
      <c r="H21" s="4">
        <v>263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417</v>
      </c>
      <c r="H28" s="4" t="s">
        <v>418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419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218</v>
      </c>
      <c r="H30" s="4" t="s">
        <v>399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242</v>
      </c>
      <c r="H32" s="4" t="s">
        <v>420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421</v>
      </c>
      <c r="H34" s="4" t="s">
        <v>422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67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91.422670392418908</v>
      </c>
      <c r="H47" s="13">
        <f>(H42*1000*H38)/(H21*H18)*100</f>
        <v>91.373011147230187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156.26321063122924</v>
      </c>
      <c r="H48" s="13">
        <f>(142.86*100)/H47</f>
        <v>156.34813628918101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647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pageSetUpPr fitToPage="1"/>
  </sheetPr>
  <dimension ref="B1:O87"/>
  <sheetViews>
    <sheetView workbookViewId="0"/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361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410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425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426</v>
      </c>
      <c r="H21" s="4" t="s">
        <v>173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427</v>
      </c>
      <c r="H28" s="4" t="s">
        <v>428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429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430</v>
      </c>
      <c r="H30" s="4" t="s">
        <v>334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257</v>
      </c>
      <c r="H32" s="4" t="s">
        <v>431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432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386</v>
      </c>
      <c r="H37" s="4" t="s">
        <v>377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84.066823349350713</v>
      </c>
      <c r="H47" s="13">
        <f>(H42*1000*H38)/(H21*H18)*100</f>
        <v>91.185208910880149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169.93624156146183</v>
      </c>
      <c r="H48" s="13">
        <f>(142.86*100)/H47</f>
        <v>156.67014607558141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647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362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pageSetUpPr fitToPage="1"/>
  </sheetPr>
  <dimension ref="B1:O87"/>
  <sheetViews>
    <sheetView workbookViewId="0">
      <selection activeCell="S21" sqref="S2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648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433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434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435</v>
      </c>
      <c r="H21" s="4">
        <v>265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324</v>
      </c>
      <c r="H28" s="4" t="s">
        <v>388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252</v>
      </c>
      <c r="H29" s="4" t="s">
        <v>396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430</v>
      </c>
      <c r="H30" s="4" t="s">
        <v>335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436</v>
      </c>
      <c r="H32" s="4" t="s">
        <v>390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338</v>
      </c>
      <c r="H34" s="4" t="s">
        <v>432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241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0.51600000000000001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0.60010800000000009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24.004320000000003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96.445894040354005</v>
      </c>
      <c r="H47" s="13">
        <f>(H42*1000*H38)/(H21*H18)*100</f>
        <v>90.683403515930337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148.12450174418606</v>
      </c>
      <c r="H48" s="13">
        <f>(142.86*100)/H47</f>
        <v>157.53709550050559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648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pageSetUpPr fitToPage="1"/>
  </sheetPr>
  <dimension ref="B1:O87"/>
  <sheetViews>
    <sheetView workbookViewId="0">
      <selection activeCell="Q8" sqref="Q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648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433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437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93</v>
      </c>
      <c r="H21" s="4" t="s">
        <v>438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439</v>
      </c>
      <c r="H28" s="4" t="s">
        <v>440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441</v>
      </c>
      <c r="H29" s="4" t="s">
        <v>389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342</v>
      </c>
      <c r="H30" s="4" t="s">
        <v>342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415</v>
      </c>
      <c r="H32" s="4" t="s">
        <v>442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392</v>
      </c>
      <c r="H34" s="4">
        <v>1.2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68</v>
      </c>
      <c r="H37" s="4" t="s">
        <v>377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8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0.68799999999999994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0.80014399999999997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32.005760000000002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89.877894087785094</v>
      </c>
      <c r="H47" s="13">
        <f>(H42*1000*H38)/(H21*H18)*100</f>
        <v>91.518001644131544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158.9489845639535</v>
      </c>
      <c r="H48" s="13">
        <f>(142.86*100)/H47</f>
        <v>156.10043645348838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648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pageSetUpPr fitToPage="1"/>
  </sheetPr>
  <dimension ref="B1:O87"/>
  <sheetViews>
    <sheetView workbookViewId="0">
      <selection activeCell="Q24" sqref="Q2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649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444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445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446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74</v>
      </c>
      <c r="H21" s="4">
        <v>210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1.2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341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8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448</v>
      </c>
      <c r="H42" s="4" t="s">
        <v>448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0.55200000000000005</v>
      </c>
      <c r="H44" s="13">
        <f>(H42*H38)/1000</f>
        <v>1.587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0.6419760000000001</v>
      </c>
      <c r="H45" s="13">
        <f>(H42*H38)/1000*1.163</f>
        <v>1.8456809999999999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32.098800000000004</v>
      </c>
      <c r="H46" s="13">
        <f>H45/N1*100</f>
        <v>92.284049999999993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90.626405776448294</v>
      </c>
      <c r="H47" s="13">
        <f>(H42*1000*H38)/(H21*H18)*100</f>
        <v>91.813180137806555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157.63617543478264</v>
      </c>
      <c r="H48" s="13">
        <f>(142.86*100)/H47</f>
        <v>155.598575047259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649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449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pageSetUpPr fitToPage="1"/>
  </sheetPr>
  <dimension ref="B1:O87"/>
  <sheetViews>
    <sheetView workbookViewId="0">
      <selection activeCell="Q27" sqref="Q2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649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445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423</v>
      </c>
      <c r="H21" s="4" t="s">
        <v>450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424</v>
      </c>
      <c r="H28" s="4" t="s">
        <v>451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215</v>
      </c>
      <c r="H29" s="4" t="s">
        <v>397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181</v>
      </c>
      <c r="H30" s="4" t="s">
        <v>181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233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241</v>
      </c>
      <c r="H37" s="4" t="s">
        <v>377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0.51600000000000001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0.60010800000000009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24.004320000000003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97.952861134734533</v>
      </c>
      <c r="H47" s="13">
        <f>(H42*1000*H38)/(H21*H18)*100</f>
        <v>92.190928126808984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145.84566325581397</v>
      </c>
      <c r="H48" s="13">
        <f>(142.86*100)/H47</f>
        <v>154.96101720930233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649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pageSetUpPr fitToPage="1"/>
  </sheetPr>
  <dimension ref="B1:O87"/>
  <sheetViews>
    <sheetView workbookViewId="0">
      <selection activeCell="L20" sqref="L20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0.8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650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452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454</v>
      </c>
      <c r="H21" s="4">
        <v>78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58</v>
      </c>
      <c r="H37" s="4">
        <v>70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22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442</v>
      </c>
      <c r="H42" s="4" t="s">
        <v>442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0.27</v>
      </c>
      <c r="H44" s="13">
        <f>(H42*H38)/1000</f>
        <v>0.59399999999999997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0.31401000000000001</v>
      </c>
      <c r="H45" s="13">
        <f>(H42*H38)/1000*1.163</f>
        <v>0.69082199999999994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39.251249999999999</v>
      </c>
      <c r="H46" s="13">
        <f>H45/N1*100</f>
        <v>86.352749999999986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91.118940590450734</v>
      </c>
      <c r="H47" s="13">
        <f>(H42*1000*H38)/(H21*H18)*100</f>
        <v>92.520770445688441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156.78408800000003</v>
      </c>
      <c r="H48" s="13">
        <f>(142.86*100)/H47</f>
        <v>154.40857151515152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650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455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0.8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650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456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40</v>
      </c>
      <c r="H21" s="4">
        <v>76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21</v>
      </c>
      <c r="H24" s="4">
        <v>117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127</v>
      </c>
      <c r="H28" s="4">
        <v>168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3.7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9.8000000000000007</v>
      </c>
      <c r="H30" s="4">
        <v>10.199999999999999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20</v>
      </c>
      <c r="H33" s="4">
        <v>110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59</v>
      </c>
      <c r="H37" s="4">
        <v>69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11</v>
      </c>
      <c r="H38" s="4">
        <f>H37-H36</f>
        <v>21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442</v>
      </c>
      <c r="H42" s="4" t="s">
        <v>442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0.29699999999999999</v>
      </c>
      <c r="H44" s="13">
        <f>(H42*H38)/1000</f>
        <v>0.56699999999999995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0.34541099999999997</v>
      </c>
      <c r="H45" s="13">
        <f>(H42*H38)/1000*1.163</f>
        <v>0.65942099999999992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43.176374999999993</v>
      </c>
      <c r="H46" s="13">
        <f>H45/N1*100</f>
        <v>82.427624999999978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90.207751184546225</v>
      </c>
      <c r="H47" s="13">
        <f>(H42*1000*H38)/(H21*H18)*100</f>
        <v>90.639367218922047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158.36776565656569</v>
      </c>
      <c r="H48" s="13">
        <f>(142.86*100)/H47</f>
        <v>157.61363343915346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650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457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pageSetUpPr fitToPage="1"/>
  </sheetPr>
  <dimension ref="B1:O87"/>
  <sheetViews>
    <sheetView topLeftCell="A44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1.25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458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99</v>
      </c>
      <c r="H21" s="4">
        <v>210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15</v>
      </c>
      <c r="H24" s="4">
        <v>19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178</v>
      </c>
      <c r="H28" s="4">
        <v>225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5.5</v>
      </c>
      <c r="H29" s="4">
        <v>3.4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11.8</v>
      </c>
      <c r="H30" s="4">
        <v>13.8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20" t="s">
        <v>204</v>
      </c>
      <c r="H32" s="20" t="s">
        <v>204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1.4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413</v>
      </c>
      <c r="H42" s="4" t="s">
        <v>413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0.45</v>
      </c>
      <c r="H44" s="13">
        <f>(H42*H38)/1000</f>
        <v>0.95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0.52334999999999998</v>
      </c>
      <c r="H45" s="13">
        <f>(H42*H38)/1000*1.163</f>
        <v>1.1048499999999999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41.868000000000002</v>
      </c>
      <c r="H46" s="13">
        <f>H45/N1*100</f>
        <v>88.387999999999991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71.078257161134403</v>
      </c>
      <c r="H47" s="13">
        <f>(H42*1000*H38)/(H21*H18)*100</f>
        <v>70.739789269890906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200.98973400000006</v>
      </c>
      <c r="H48" s="13">
        <f>(142.86*100)/H47</f>
        <v>201.95140736842109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651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472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pageSetUpPr fitToPage="1"/>
  </sheetPr>
  <dimension ref="B1:O87"/>
  <sheetViews>
    <sheetView topLeftCell="A27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1.25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474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453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20" t="s">
        <v>204</v>
      </c>
      <c r="H19" s="20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98</v>
      </c>
      <c r="H21" s="4">
        <v>232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451</v>
      </c>
      <c r="H28" s="4" t="s">
        <v>416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466</v>
      </c>
      <c r="H30" s="4" t="s">
        <v>349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20" t="s">
        <v>204</v>
      </c>
      <c r="H32" s="20" t="s">
        <v>204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69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21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413</v>
      </c>
      <c r="H42" s="4" t="s">
        <v>413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0.45</v>
      </c>
      <c r="H44" s="13">
        <f>(H42*H38)/1000</f>
        <v>1.05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0.52334999999999998</v>
      </c>
      <c r="H45" s="13">
        <f>(H42*H38)/1000*1.163</f>
        <v>1.2211500000000002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41.868000000000002</v>
      </c>
      <c r="H46" s="13">
        <f>H45/N1*100</f>
        <v>97.692000000000007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71.803545499513334</v>
      </c>
      <c r="H47" s="13">
        <f>(H42*1000*H38)/(H21*H18)*100</f>
        <v>70.771885363026072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198.95953466666668</v>
      </c>
      <c r="H48" s="13">
        <f>(142.86*100)/H47</f>
        <v>201.85981942857146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651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475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>
    <pageSetUpPr fitToPage="1"/>
  </sheetPr>
  <dimension ref="B1:O87"/>
  <sheetViews>
    <sheetView workbookViewId="0">
      <selection activeCell="R22" sqref="R22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476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16" t="s">
        <v>159</v>
      </c>
      <c r="C16" s="53" t="s">
        <v>160</v>
      </c>
      <c r="D16" s="54"/>
      <c r="E16" s="54"/>
      <c r="F16" s="54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478</v>
      </c>
      <c r="H18" s="4" t="s">
        <v>478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479</v>
      </c>
      <c r="H21" s="4">
        <v>760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>
        <v>0.1</v>
      </c>
      <c r="H22" s="4" t="s">
        <v>35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24</v>
      </c>
      <c r="H24" s="4">
        <v>25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481</v>
      </c>
      <c r="H28" s="4" t="s">
        <v>173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6.4</v>
      </c>
      <c r="H29" s="4" t="s">
        <v>483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8.1999999999999993</v>
      </c>
      <c r="H30" s="4">
        <v>9.6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1" x14ac:dyDescent="0.25">
      <c r="B33" s="4" t="s">
        <v>226</v>
      </c>
      <c r="C33" s="50" t="s">
        <v>227</v>
      </c>
      <c r="D33" s="51"/>
      <c r="E33" s="51"/>
      <c r="F33" s="51"/>
      <c r="G33" s="4" t="s">
        <v>485</v>
      </c>
      <c r="H33" s="4" t="s">
        <v>378</v>
      </c>
      <c r="I33" s="8" t="s">
        <v>193</v>
      </c>
      <c r="J33" s="8" t="s">
        <v>225</v>
      </c>
    </row>
    <row r="34" spans="2:11" x14ac:dyDescent="0.25">
      <c r="B34" s="4" t="s">
        <v>230</v>
      </c>
      <c r="C34" s="50" t="s">
        <v>231</v>
      </c>
      <c r="D34" s="51"/>
      <c r="E34" s="51"/>
      <c r="F34" s="51"/>
      <c r="G34" s="4">
        <v>1.67</v>
      </c>
      <c r="H34" s="4">
        <v>1.4</v>
      </c>
      <c r="I34" s="8" t="s">
        <v>174</v>
      </c>
      <c r="J34" s="8"/>
    </row>
    <row r="35" spans="2:11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1" x14ac:dyDescent="0.25">
      <c r="B36" s="4" t="s">
        <v>236</v>
      </c>
      <c r="C36" s="50" t="s">
        <v>487</v>
      </c>
      <c r="D36" s="51"/>
      <c r="E36" s="51"/>
      <c r="F36" s="51"/>
      <c r="G36" s="4" t="s">
        <v>248</v>
      </c>
      <c r="H36" s="4">
        <v>10</v>
      </c>
      <c r="I36" s="8" t="s">
        <v>189</v>
      </c>
      <c r="J36" s="8" t="s">
        <v>258</v>
      </c>
    </row>
    <row r="37" spans="2:11" x14ac:dyDescent="0.25">
      <c r="B37" s="4" t="s">
        <v>239</v>
      </c>
      <c r="C37" s="63" t="s">
        <v>635</v>
      </c>
      <c r="D37" s="51"/>
      <c r="E37" s="51"/>
      <c r="F37" s="51"/>
      <c r="G37" s="20">
        <v>115</v>
      </c>
      <c r="H37" s="20">
        <v>140</v>
      </c>
      <c r="I37" s="8" t="s">
        <v>489</v>
      </c>
      <c r="J37" s="8" t="s">
        <v>205</v>
      </c>
    </row>
    <row r="38" spans="2:11" x14ac:dyDescent="0.25">
      <c r="B38" s="4" t="s">
        <v>243</v>
      </c>
      <c r="C38" s="63" t="s">
        <v>634</v>
      </c>
      <c r="D38" s="51"/>
      <c r="E38" s="51"/>
      <c r="F38" s="51"/>
      <c r="G38" s="20">
        <v>100</v>
      </c>
      <c r="H38" s="20">
        <v>100</v>
      </c>
      <c r="I38" s="32" t="s">
        <v>489</v>
      </c>
      <c r="J38" s="8" t="s">
        <v>205</v>
      </c>
    </row>
    <row r="39" spans="2:11" x14ac:dyDescent="0.25">
      <c r="B39" s="4" t="s">
        <v>246</v>
      </c>
      <c r="C39" s="63" t="s">
        <v>633</v>
      </c>
      <c r="D39" s="51"/>
      <c r="E39" s="51"/>
      <c r="F39" s="51"/>
      <c r="G39" s="4">
        <f>G37-G38</f>
        <v>15</v>
      </c>
      <c r="H39" s="20">
        <f>H37-H38</f>
        <v>40</v>
      </c>
      <c r="I39" s="8" t="s">
        <v>189</v>
      </c>
      <c r="J39" s="8" t="s">
        <v>205</v>
      </c>
    </row>
    <row r="40" spans="2:11" x14ac:dyDescent="0.25">
      <c r="B40" s="14" t="s">
        <v>250</v>
      </c>
      <c r="C40" s="50" t="s">
        <v>251</v>
      </c>
      <c r="D40" s="51"/>
      <c r="E40" s="51"/>
      <c r="F40" s="51"/>
      <c r="G40" s="14" t="s">
        <v>482</v>
      </c>
      <c r="H40" s="14" t="s">
        <v>482</v>
      </c>
      <c r="I40" s="8" t="s">
        <v>193</v>
      </c>
      <c r="J40" s="23" t="s">
        <v>249</v>
      </c>
      <c r="K40" s="25"/>
    </row>
    <row r="41" spans="2:11" x14ac:dyDescent="0.25">
      <c r="B41" s="14" t="s">
        <v>253</v>
      </c>
      <c r="C41" s="50" t="s">
        <v>254</v>
      </c>
      <c r="D41" s="51"/>
      <c r="E41" s="51"/>
      <c r="F41" s="51"/>
      <c r="G41" s="14" t="s">
        <v>57</v>
      </c>
      <c r="H41" s="14" t="s">
        <v>57</v>
      </c>
      <c r="I41" s="8" t="s">
        <v>193</v>
      </c>
      <c r="J41" s="23" t="s">
        <v>249</v>
      </c>
      <c r="K41" s="25"/>
    </row>
    <row r="42" spans="2:11" x14ac:dyDescent="0.25">
      <c r="B42" s="14" t="s">
        <v>255</v>
      </c>
      <c r="C42" s="63" t="s">
        <v>636</v>
      </c>
      <c r="D42" s="51"/>
      <c r="E42" s="51"/>
      <c r="F42" s="51"/>
      <c r="G42" s="14">
        <v>130</v>
      </c>
      <c r="H42" s="14">
        <v>130</v>
      </c>
      <c r="I42" s="8" t="s">
        <v>189</v>
      </c>
      <c r="J42" s="23" t="s">
        <v>258</v>
      </c>
      <c r="K42" s="25"/>
    </row>
    <row r="43" spans="2:11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1" x14ac:dyDescent="0.25">
      <c r="B44" s="4" t="s">
        <v>260</v>
      </c>
      <c r="C44" s="50" t="s">
        <v>261</v>
      </c>
      <c r="D44" s="51"/>
      <c r="E44" s="51"/>
      <c r="F44" s="51"/>
      <c r="G44" s="13">
        <f>(G42*G39)/1000</f>
        <v>1.95</v>
      </c>
      <c r="H44" s="13">
        <f>(H42*H39)/1000</f>
        <v>5.2</v>
      </c>
      <c r="I44" s="8" t="s">
        <v>189</v>
      </c>
      <c r="J44" s="8" t="s">
        <v>262</v>
      </c>
    </row>
    <row r="45" spans="2:11" x14ac:dyDescent="0.25">
      <c r="B45" s="4"/>
      <c r="C45" s="50" t="s">
        <v>263</v>
      </c>
      <c r="D45" s="51"/>
      <c r="E45" s="51"/>
      <c r="F45" s="51"/>
      <c r="G45" s="13">
        <f>(G42*G39)/1000*1.163</f>
        <v>2.2678500000000001</v>
      </c>
      <c r="H45" s="13">
        <f>(H42*H39)/1000*1.163</f>
        <v>6.0476000000000001</v>
      </c>
      <c r="I45" s="8"/>
      <c r="J45" s="8" t="s">
        <v>264</v>
      </c>
    </row>
    <row r="46" spans="2:11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36.578225806451613</v>
      </c>
      <c r="H46" s="13">
        <f>H45/N1*100</f>
        <v>97.541935483870972</v>
      </c>
      <c r="I46" s="8" t="s">
        <v>183</v>
      </c>
      <c r="J46" s="8" t="s">
        <v>184</v>
      </c>
    </row>
    <row r="47" spans="2:11" x14ac:dyDescent="0.25">
      <c r="B47" s="4" t="s">
        <v>268</v>
      </c>
      <c r="C47" s="50" t="s">
        <v>269</v>
      </c>
      <c r="D47" s="51"/>
      <c r="E47" s="51"/>
      <c r="F47" s="51"/>
      <c r="G47" s="13">
        <f>(G42*1000*G39)/(G21*G18)*100</f>
        <v>64.870108419574535</v>
      </c>
      <c r="H47" s="13">
        <f>(H42*1000*H39)/(H21*H18)*100</f>
        <v>84.900176984215108</v>
      </c>
      <c r="I47" s="8" t="s">
        <v>271</v>
      </c>
      <c r="J47" s="8" t="s">
        <v>184</v>
      </c>
    </row>
    <row r="48" spans="2:11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220.2246974461539</v>
      </c>
      <c r="H48" s="13">
        <f>(142.86*100)/H47</f>
        <v>168.26820046153847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494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16" t="s">
        <v>159</v>
      </c>
      <c r="C67" s="53" t="s">
        <v>160</v>
      </c>
      <c r="D67" s="54"/>
      <c r="E67" s="54"/>
      <c r="F67" s="54"/>
      <c r="G67" s="16" t="s">
        <v>282</v>
      </c>
      <c r="H67" s="16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495</v>
      </c>
      <c r="D75" s="51"/>
      <c r="E75" s="51"/>
      <c r="F75" s="51"/>
      <c r="G75" s="4" t="s">
        <v>305</v>
      </c>
      <c r="H75" s="4"/>
      <c r="I75" s="58" t="s">
        <v>288</v>
      </c>
      <c r="J75" s="51"/>
    </row>
    <row r="76" spans="2:10" x14ac:dyDescent="0.25">
      <c r="B76" s="4" t="s">
        <v>239</v>
      </c>
      <c r="C76" s="50" t="s">
        <v>496</v>
      </c>
      <c r="D76" s="51"/>
      <c r="E76" s="51"/>
      <c r="F76" s="51"/>
      <c r="G76" s="4" t="s">
        <v>491</v>
      </c>
      <c r="H76" s="4" t="s">
        <v>249</v>
      </c>
      <c r="I76" s="58" t="s">
        <v>288</v>
      </c>
      <c r="J76" s="51"/>
    </row>
    <row r="77" spans="2:10" x14ac:dyDescent="0.25">
      <c r="B77" s="4" t="s">
        <v>243</v>
      </c>
      <c r="C77" s="50" t="s">
        <v>497</v>
      </c>
      <c r="D77" s="51"/>
      <c r="E77" s="51"/>
      <c r="F77" s="51"/>
      <c r="G77" s="4" t="s">
        <v>498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80:F80"/>
    <mergeCell ref="C77:F77"/>
    <mergeCell ref="G71:J71"/>
    <mergeCell ref="I75:J75"/>
    <mergeCell ref="I70:J70"/>
    <mergeCell ref="C78:F78"/>
    <mergeCell ref="C72:F72"/>
    <mergeCell ref="I77:J77"/>
    <mergeCell ref="C76:F76"/>
    <mergeCell ref="C73:F73"/>
    <mergeCell ref="I67:J67"/>
    <mergeCell ref="C79:F79"/>
    <mergeCell ref="G78:J78"/>
    <mergeCell ref="G81:J81"/>
    <mergeCell ref="I82:J82"/>
    <mergeCell ref="C13:J13"/>
    <mergeCell ref="C26:F26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C18:F18"/>
    <mergeCell ref="C10:J10"/>
    <mergeCell ref="C29:F29"/>
    <mergeCell ref="C9:J9"/>
    <mergeCell ref="C39:F39"/>
    <mergeCell ref="C70:F70"/>
    <mergeCell ref="C12:J12"/>
    <mergeCell ref="C16:F16"/>
    <mergeCell ref="C24:F24"/>
    <mergeCell ref="G27:J27"/>
    <mergeCell ref="G68:J68"/>
    <mergeCell ref="C23:F23"/>
    <mergeCell ref="C11:J11"/>
    <mergeCell ref="C25:F25"/>
    <mergeCell ref="C31:F31"/>
    <mergeCell ref="C36:F36"/>
    <mergeCell ref="C14:J14"/>
    <mergeCell ref="C19:F19"/>
    <mergeCell ref="C28:F28"/>
    <mergeCell ref="C46:F46"/>
    <mergeCell ref="C43:F43"/>
    <mergeCell ref="C20:F20"/>
    <mergeCell ref="G17:J17"/>
    <mergeCell ref="C34:F34"/>
    <mergeCell ref="I73:J73"/>
    <mergeCell ref="I72:J72"/>
    <mergeCell ref="C30:F30"/>
    <mergeCell ref="C45:F45"/>
    <mergeCell ref="C65:J65"/>
    <mergeCell ref="C69:F69"/>
    <mergeCell ref="C47:F47"/>
    <mergeCell ref="C37:F37"/>
    <mergeCell ref="C48:F48"/>
    <mergeCell ref="C64:J64"/>
    <mergeCell ref="C32:F32"/>
    <mergeCell ref="G35:J35"/>
    <mergeCell ref="C33:F33"/>
    <mergeCell ref="C67:F67"/>
    <mergeCell ref="C83:F83"/>
    <mergeCell ref="C21:F21"/>
    <mergeCell ref="C22:F22"/>
    <mergeCell ref="C81:F81"/>
    <mergeCell ref="C75:F75"/>
    <mergeCell ref="C74:F74"/>
    <mergeCell ref="C40:F40"/>
    <mergeCell ref="C41:F41"/>
    <mergeCell ref="C42:F42"/>
    <mergeCell ref="C44:F44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499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16" t="s">
        <v>159</v>
      </c>
      <c r="C16" s="53" t="s">
        <v>160</v>
      </c>
      <c r="D16" s="54"/>
      <c r="E16" s="54"/>
      <c r="F16" s="54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20" t="s">
        <v>478</v>
      </c>
      <c r="H18" s="20" t="s">
        <v>478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368</v>
      </c>
      <c r="H21" s="4" t="s">
        <v>500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376</v>
      </c>
      <c r="H22" s="4" t="s">
        <v>35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25</v>
      </c>
      <c r="H24" s="4">
        <v>26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225</v>
      </c>
      <c r="H28" s="4">
        <v>277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6.3</v>
      </c>
      <c r="H29" s="4">
        <v>5.0999999999999996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7.7</v>
      </c>
      <c r="H30" s="4">
        <v>9.6999999999999993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>
        <v>110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1.54</v>
      </c>
      <c r="H34" s="4">
        <v>1.45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487</v>
      </c>
      <c r="D36" s="51"/>
      <c r="E36" s="51"/>
      <c r="F36" s="51"/>
      <c r="G36" s="4" t="s">
        <v>493</v>
      </c>
      <c r="H36" s="4">
        <v>10</v>
      </c>
      <c r="I36" s="8" t="s">
        <v>189</v>
      </c>
      <c r="J36" s="8" t="s">
        <v>258</v>
      </c>
    </row>
    <row r="37" spans="2:10" x14ac:dyDescent="0.25">
      <c r="B37" s="4" t="s">
        <v>239</v>
      </c>
      <c r="C37" s="63" t="s">
        <v>635</v>
      </c>
      <c r="D37" s="51"/>
      <c r="E37" s="51"/>
      <c r="F37" s="51"/>
      <c r="G37" s="20">
        <v>114</v>
      </c>
      <c r="H37" s="20">
        <v>143</v>
      </c>
      <c r="I37" s="8" t="s">
        <v>489</v>
      </c>
      <c r="J37" s="8" t="s">
        <v>205</v>
      </c>
    </row>
    <row r="38" spans="2:10" x14ac:dyDescent="0.25">
      <c r="B38" s="4" t="s">
        <v>243</v>
      </c>
      <c r="C38" s="63" t="s">
        <v>634</v>
      </c>
      <c r="D38" s="51"/>
      <c r="E38" s="51"/>
      <c r="F38" s="51"/>
      <c r="G38" s="20">
        <v>100</v>
      </c>
      <c r="H38" s="20">
        <v>100</v>
      </c>
      <c r="I38" s="8" t="s">
        <v>271</v>
      </c>
      <c r="J38" s="8" t="s">
        <v>205</v>
      </c>
    </row>
    <row r="39" spans="2:10" x14ac:dyDescent="0.25">
      <c r="B39" s="4" t="s">
        <v>246</v>
      </c>
      <c r="C39" s="63" t="s">
        <v>633</v>
      </c>
      <c r="D39" s="51"/>
      <c r="E39" s="51"/>
      <c r="F39" s="51"/>
      <c r="G39" s="20">
        <f>G37-G38</f>
        <v>14</v>
      </c>
      <c r="H39" s="20">
        <f>H37-H38</f>
        <v>43</v>
      </c>
      <c r="I39" s="8" t="s">
        <v>189</v>
      </c>
      <c r="J39" s="8" t="s">
        <v>205</v>
      </c>
    </row>
    <row r="40" spans="2:10" x14ac:dyDescent="0.25">
      <c r="B40" s="14" t="s">
        <v>250</v>
      </c>
      <c r="C40" s="50" t="s">
        <v>251</v>
      </c>
      <c r="D40" s="51"/>
      <c r="E40" s="51"/>
      <c r="F40" s="51"/>
      <c r="G40" s="14" t="s">
        <v>482</v>
      </c>
      <c r="H40" s="14" t="s">
        <v>482</v>
      </c>
      <c r="I40" s="8" t="s">
        <v>193</v>
      </c>
      <c r="J40" s="23" t="s">
        <v>249</v>
      </c>
    </row>
    <row r="41" spans="2:10" x14ac:dyDescent="0.25">
      <c r="B41" s="14" t="s">
        <v>253</v>
      </c>
      <c r="C41" s="50" t="s">
        <v>254</v>
      </c>
      <c r="D41" s="51"/>
      <c r="E41" s="51"/>
      <c r="F41" s="51"/>
      <c r="G41" s="14" t="s">
        <v>57</v>
      </c>
      <c r="H41" s="14" t="s">
        <v>57</v>
      </c>
      <c r="I41" s="8" t="s">
        <v>193</v>
      </c>
      <c r="J41" s="23" t="s">
        <v>249</v>
      </c>
    </row>
    <row r="42" spans="2:10" x14ac:dyDescent="0.25">
      <c r="B42" s="14" t="s">
        <v>255</v>
      </c>
      <c r="C42" s="63" t="s">
        <v>636</v>
      </c>
      <c r="D42" s="51"/>
      <c r="E42" s="51"/>
      <c r="F42" s="51"/>
      <c r="G42" s="14">
        <v>120</v>
      </c>
      <c r="H42" s="14">
        <v>120</v>
      </c>
      <c r="I42" s="8" t="s">
        <v>189</v>
      </c>
      <c r="J42" s="23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(G42*G39)/1000</f>
        <v>1.68</v>
      </c>
      <c r="H44" s="13">
        <f>(H42*H39)/1000</f>
        <v>5.16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(G42*G39)/1000*1.163</f>
        <v>1.95384</v>
      </c>
      <c r="H45" s="13">
        <f>(H42*H39)/1000*1.163</f>
        <v>6.00108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31.513548387096773</v>
      </c>
      <c r="H46" s="13">
        <f>H45/N1*100</f>
        <v>96.791612903225797</v>
      </c>
      <c r="I46" s="8" t="s">
        <v>183</v>
      </c>
      <c r="J46" s="8" t="s">
        <v>184</v>
      </c>
    </row>
    <row r="47" spans="2:10" s="15" customFormat="1" x14ac:dyDescent="0.25">
      <c r="B47" s="14" t="s">
        <v>268</v>
      </c>
      <c r="C47" s="50" t="s">
        <v>269</v>
      </c>
      <c r="D47" s="51"/>
      <c r="E47" s="51"/>
      <c r="F47" s="51"/>
      <c r="G47" s="13">
        <f>(G42*1000*G39)/(G21*G18)*100</f>
        <v>56.647442502845855</v>
      </c>
      <c r="H47" s="13">
        <f>(H42*1000*H39)/(H21*H18)*100</f>
        <v>84.469386559087155</v>
      </c>
      <c r="I47" s="8" t="s">
        <v>271</v>
      </c>
      <c r="J47" s="8" t="s">
        <v>184</v>
      </c>
    </row>
    <row r="48" spans="2:10" s="15" customFormat="1" x14ac:dyDescent="0.25">
      <c r="B48" s="14" t="s">
        <v>272</v>
      </c>
      <c r="C48" s="50" t="s">
        <v>273</v>
      </c>
      <c r="D48" s="51"/>
      <c r="E48" s="51"/>
      <c r="F48" s="51"/>
      <c r="G48" s="13">
        <f>(142.86*100)/G47</f>
        <v>252.19143828571433</v>
      </c>
      <c r="H48" s="13">
        <f>(142.86*100)/H47</f>
        <v>169.12636141860466</v>
      </c>
      <c r="I48" s="8" t="s">
        <v>183</v>
      </c>
      <c r="J48" s="8" t="s">
        <v>274</v>
      </c>
    </row>
    <row r="49" spans="2:10" s="15" customFormat="1" x14ac:dyDescent="0.25">
      <c r="B49" s="26"/>
      <c r="C49" s="27"/>
      <c r="D49" s="17"/>
      <c r="E49" s="17"/>
      <c r="F49" s="17"/>
      <c r="G49" s="28"/>
      <c r="H49" s="28"/>
      <c r="I49" s="24"/>
      <c r="J49" s="24"/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502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16" t="s">
        <v>159</v>
      </c>
      <c r="C67" s="53" t="s">
        <v>160</v>
      </c>
      <c r="D67" s="54"/>
      <c r="E67" s="54"/>
      <c r="F67" s="54"/>
      <c r="G67" s="16" t="s">
        <v>282</v>
      </c>
      <c r="H67" s="16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495</v>
      </c>
      <c r="D75" s="51"/>
      <c r="E75" s="51"/>
      <c r="F75" s="51"/>
      <c r="G75" s="4" t="s">
        <v>305</v>
      </c>
      <c r="H75" s="4"/>
      <c r="I75" s="58" t="s">
        <v>288</v>
      </c>
      <c r="J75" s="51"/>
    </row>
    <row r="76" spans="2:10" x14ac:dyDescent="0.25">
      <c r="B76" s="4" t="s">
        <v>239</v>
      </c>
      <c r="C76" s="50" t="s">
        <v>496</v>
      </c>
      <c r="D76" s="51"/>
      <c r="E76" s="51"/>
      <c r="F76" s="51"/>
      <c r="G76" s="4" t="s">
        <v>491</v>
      </c>
      <c r="H76" s="4" t="s">
        <v>249</v>
      </c>
      <c r="I76" s="58" t="s">
        <v>288</v>
      </c>
      <c r="J76" s="51"/>
    </row>
    <row r="77" spans="2:10" x14ac:dyDescent="0.25">
      <c r="B77" s="4" t="s">
        <v>243</v>
      </c>
      <c r="C77" s="50" t="s">
        <v>497</v>
      </c>
      <c r="D77" s="51"/>
      <c r="E77" s="51"/>
      <c r="F77" s="51"/>
      <c r="G77" s="4" t="s">
        <v>498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40:F40"/>
    <mergeCell ref="G81:J81"/>
    <mergeCell ref="I82:J8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80:J80"/>
    <mergeCell ref="C38:F38"/>
    <mergeCell ref="C71:F71"/>
    <mergeCell ref="C31:F31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25:F25"/>
    <mergeCell ref="C70:F70"/>
    <mergeCell ref="C46:F46"/>
    <mergeCell ref="C43:F43"/>
    <mergeCell ref="C20:F20"/>
    <mergeCell ref="G35:J35"/>
    <mergeCell ref="C23:F23"/>
    <mergeCell ref="C32:F32"/>
    <mergeCell ref="C41:F41"/>
    <mergeCell ref="C42:F42"/>
    <mergeCell ref="C10:J10"/>
    <mergeCell ref="C29:F29"/>
    <mergeCell ref="C9:J9"/>
    <mergeCell ref="C39:F39"/>
    <mergeCell ref="C11:J11"/>
    <mergeCell ref="C12:J12"/>
    <mergeCell ref="C14:J14"/>
    <mergeCell ref="C18:F18"/>
    <mergeCell ref="C33:F33"/>
    <mergeCell ref="C19:F19"/>
    <mergeCell ref="C28:F28"/>
    <mergeCell ref="C83:F83"/>
    <mergeCell ref="C21:F21"/>
    <mergeCell ref="I72:J72"/>
    <mergeCell ref="C30:F30"/>
    <mergeCell ref="C79:F79"/>
    <mergeCell ref="C45:F45"/>
    <mergeCell ref="C65:J65"/>
    <mergeCell ref="C69:F69"/>
    <mergeCell ref="C47:F47"/>
    <mergeCell ref="C22:F22"/>
    <mergeCell ref="G78:J78"/>
    <mergeCell ref="C37:F37"/>
    <mergeCell ref="C48:F48"/>
    <mergeCell ref="C64:J64"/>
    <mergeCell ref="C67:F67"/>
    <mergeCell ref="C44:F44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>
    <pageSetUpPr fitToPage="1"/>
  </sheetPr>
  <dimension ref="B1:O88"/>
  <sheetViews>
    <sheetView workbookViewId="0">
      <selection activeCell="M17" sqref="M1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476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43</v>
      </c>
      <c r="H19" s="4" t="s">
        <v>57</v>
      </c>
      <c r="I19" s="8" t="s">
        <v>174</v>
      </c>
      <c r="J19" s="8" t="s">
        <v>517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115</v>
      </c>
      <c r="H20" s="4">
        <v>115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519</v>
      </c>
      <c r="H22" s="4">
        <v>715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35</v>
      </c>
      <c r="H23" s="4" t="s">
        <v>139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24</v>
      </c>
      <c r="H25" s="4">
        <v>24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0">
        <v>115</v>
      </c>
      <c r="H26" s="20">
        <v>115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521</v>
      </c>
      <c r="H29" s="4" t="s">
        <v>522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523</v>
      </c>
      <c r="H30" s="4" t="s">
        <v>524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443</v>
      </c>
      <c r="H31" s="4" t="s">
        <v>218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0" t="s">
        <v>204</v>
      </c>
      <c r="H32" s="20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>
        <v>70</v>
      </c>
      <c r="H34" s="4">
        <v>90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1.6</v>
      </c>
      <c r="H35" s="4">
        <v>1.4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487</v>
      </c>
      <c r="D37" s="51"/>
      <c r="E37" s="51"/>
      <c r="F37" s="51"/>
      <c r="G37" s="4" t="s">
        <v>493</v>
      </c>
      <c r="H37" s="4" t="s">
        <v>317</v>
      </c>
      <c r="I37" s="8" t="s">
        <v>189</v>
      </c>
      <c r="J37" s="8" t="s">
        <v>258</v>
      </c>
    </row>
    <row r="38" spans="2:10" x14ac:dyDescent="0.25">
      <c r="B38" s="4" t="s">
        <v>239</v>
      </c>
      <c r="C38" s="63" t="s">
        <v>635</v>
      </c>
      <c r="D38" s="51"/>
      <c r="E38" s="51"/>
      <c r="F38" s="51"/>
      <c r="G38" s="20">
        <v>115</v>
      </c>
      <c r="H38" s="20">
        <v>142</v>
      </c>
      <c r="I38" s="8" t="s">
        <v>489</v>
      </c>
      <c r="J38" s="8" t="s">
        <v>205</v>
      </c>
    </row>
    <row r="39" spans="2:10" x14ac:dyDescent="0.25">
      <c r="B39" s="4" t="s">
        <v>243</v>
      </c>
      <c r="C39" s="63" t="s">
        <v>634</v>
      </c>
      <c r="D39" s="51"/>
      <c r="E39" s="51"/>
      <c r="F39" s="51"/>
      <c r="G39" s="20">
        <v>100</v>
      </c>
      <c r="H39" s="20">
        <v>100</v>
      </c>
      <c r="I39" s="8" t="s">
        <v>271</v>
      </c>
      <c r="J39" s="8" t="s">
        <v>205</v>
      </c>
    </row>
    <row r="40" spans="2:10" x14ac:dyDescent="0.25">
      <c r="B40" s="4" t="s">
        <v>246</v>
      </c>
      <c r="C40" s="63" t="s">
        <v>633</v>
      </c>
      <c r="D40" s="51"/>
      <c r="E40" s="51"/>
      <c r="F40" s="51"/>
      <c r="G40" s="20">
        <f>G38-G39</f>
        <v>15</v>
      </c>
      <c r="H40" s="20">
        <f>H38-H39</f>
        <v>42</v>
      </c>
      <c r="I40" s="8" t="s">
        <v>189</v>
      </c>
      <c r="J40" s="8" t="s">
        <v>205</v>
      </c>
    </row>
    <row r="41" spans="2:10" x14ac:dyDescent="0.25">
      <c r="B41" s="14" t="s">
        <v>250</v>
      </c>
      <c r="C41" s="50" t="s">
        <v>251</v>
      </c>
      <c r="D41" s="51"/>
      <c r="E41" s="51"/>
      <c r="F41" s="51"/>
      <c r="G41" s="14" t="s">
        <v>482</v>
      </c>
      <c r="H41" s="14" t="s">
        <v>482</v>
      </c>
      <c r="I41" s="8" t="s">
        <v>193</v>
      </c>
      <c r="J41" s="23" t="s">
        <v>249</v>
      </c>
    </row>
    <row r="42" spans="2:10" x14ac:dyDescent="0.25">
      <c r="B42" s="14" t="s">
        <v>253</v>
      </c>
      <c r="C42" s="50" t="s">
        <v>254</v>
      </c>
      <c r="D42" s="51"/>
      <c r="E42" s="51"/>
      <c r="F42" s="51"/>
      <c r="G42" s="14" t="s">
        <v>57</v>
      </c>
      <c r="H42" s="14" t="s">
        <v>57</v>
      </c>
      <c r="I42" s="8" t="s">
        <v>193</v>
      </c>
      <c r="J42" s="23" t="s">
        <v>249</v>
      </c>
    </row>
    <row r="43" spans="2:10" x14ac:dyDescent="0.25">
      <c r="B43" s="14" t="s">
        <v>255</v>
      </c>
      <c r="C43" s="63" t="s">
        <v>636</v>
      </c>
      <c r="D43" s="51"/>
      <c r="E43" s="51"/>
      <c r="F43" s="51"/>
      <c r="G43" s="14">
        <v>120</v>
      </c>
      <c r="H43" s="20">
        <v>120</v>
      </c>
      <c r="I43" s="8" t="s">
        <v>189</v>
      </c>
      <c r="J43" s="23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s="15" customFormat="1" x14ac:dyDescent="0.25">
      <c r="B45" s="14" t="s">
        <v>260</v>
      </c>
      <c r="C45" s="50" t="s">
        <v>261</v>
      </c>
      <c r="D45" s="51"/>
      <c r="E45" s="51"/>
      <c r="F45" s="51"/>
      <c r="G45" s="13">
        <f>(G43*G40)/1000</f>
        <v>1.8</v>
      </c>
      <c r="H45" s="13">
        <f>(H43*H40)/1000</f>
        <v>5.04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51"/>
      <c r="E46" s="51"/>
      <c r="F46" s="51"/>
      <c r="G46" s="13">
        <f>(G43*G40)/1000*1.163</f>
        <v>2.0933999999999999</v>
      </c>
      <c r="H46" s="13">
        <f>(H43*H40)/1000*1.163</f>
        <v>5.8615200000000005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51"/>
      <c r="E47" s="51"/>
      <c r="F47" s="51"/>
      <c r="G47" s="13">
        <f>G46/N1*100</f>
        <v>33.764516129032259</v>
      </c>
      <c r="H47" s="13">
        <f>H46/N1*100</f>
        <v>94.540645161290328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51"/>
      <c r="E48" s="51"/>
      <c r="F48" s="51"/>
      <c r="G48" s="13">
        <f>(G43*1000*G40)/(G22*G18)*100</f>
        <v>50.96780788307759</v>
      </c>
      <c r="H48" s="13">
        <f>(H43*1000*H40)/(H22*H18)*100</f>
        <v>73.251076056853876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51"/>
      <c r="E49" s="51"/>
      <c r="F49" s="51"/>
      <c r="G49" s="13">
        <f>(142.86*100)/G48</f>
        <v>280.29457403333333</v>
      </c>
      <c r="H49" s="13">
        <f>(142.86*100)/H48</f>
        <v>195.02785172619051</v>
      </c>
      <c r="I49" s="8" t="s">
        <v>183</v>
      </c>
      <c r="J49" s="8" t="s">
        <v>274</v>
      </c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1" spans="2:10" s="15" customFormat="1" x14ac:dyDescent="0.25">
      <c r="B51" s="26"/>
      <c r="C51" s="27"/>
      <c r="D51" s="17"/>
      <c r="E51" s="17"/>
      <c r="F51" s="17"/>
      <c r="G51" s="28"/>
      <c r="H51" s="28"/>
      <c r="I51" s="24"/>
      <c r="J51" s="24"/>
    </row>
    <row r="52" spans="2:10" s="15" customFormat="1" x14ac:dyDescent="0.25"/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653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527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495</v>
      </c>
      <c r="D76" s="51"/>
      <c r="E76" s="51"/>
      <c r="F76" s="51"/>
      <c r="G76" s="4" t="s">
        <v>305</v>
      </c>
      <c r="H76" s="4"/>
      <c r="I76" s="58" t="s">
        <v>288</v>
      </c>
      <c r="J76" s="51"/>
    </row>
    <row r="77" spans="2:10" x14ac:dyDescent="0.25">
      <c r="B77" s="4" t="s">
        <v>239</v>
      </c>
      <c r="C77" s="50" t="s">
        <v>496</v>
      </c>
      <c r="D77" s="51"/>
      <c r="E77" s="51"/>
      <c r="F77" s="51"/>
      <c r="G77" s="4" t="s">
        <v>491</v>
      </c>
      <c r="H77" s="4" t="s">
        <v>249</v>
      </c>
      <c r="I77" s="58" t="s">
        <v>288</v>
      </c>
      <c r="J77" s="51"/>
    </row>
    <row r="78" spans="2:10" x14ac:dyDescent="0.25">
      <c r="B78" s="4" t="s">
        <v>243</v>
      </c>
      <c r="C78" s="50" t="s">
        <v>497</v>
      </c>
      <c r="D78" s="51"/>
      <c r="E78" s="51"/>
      <c r="F78" s="51"/>
      <c r="G78" s="4" t="s">
        <v>498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1:F81"/>
    <mergeCell ref="C37:F37"/>
    <mergeCell ref="C78:F78"/>
    <mergeCell ref="G72:J72"/>
    <mergeCell ref="I76:J76"/>
    <mergeCell ref="I71:J71"/>
    <mergeCell ref="C79:F79"/>
    <mergeCell ref="C73:F73"/>
    <mergeCell ref="I78:J78"/>
    <mergeCell ref="G69:J69"/>
    <mergeCell ref="C77:F77"/>
    <mergeCell ref="C41:F41"/>
    <mergeCell ref="C71:F71"/>
    <mergeCell ref="G82:J82"/>
    <mergeCell ref="I83:J8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81:J81"/>
    <mergeCell ref="C39:F39"/>
    <mergeCell ref="C72:F72"/>
    <mergeCell ref="C32:F3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26:F26"/>
    <mergeCell ref="C47:F47"/>
    <mergeCell ref="C44:F44"/>
    <mergeCell ref="C21:F21"/>
    <mergeCell ref="G36:J36"/>
    <mergeCell ref="C24:F24"/>
    <mergeCell ref="C33:F33"/>
    <mergeCell ref="C42:F42"/>
    <mergeCell ref="C43:F43"/>
    <mergeCell ref="C10:J10"/>
    <mergeCell ref="C30:F30"/>
    <mergeCell ref="C9:J9"/>
    <mergeCell ref="C40:F40"/>
    <mergeCell ref="C11:J11"/>
    <mergeCell ref="C12:J12"/>
    <mergeCell ref="C14:J14"/>
    <mergeCell ref="C18:F18"/>
    <mergeCell ref="C34:F34"/>
    <mergeCell ref="C20:F20"/>
    <mergeCell ref="C29:F29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68:F68"/>
    <mergeCell ref="C45:F4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pageSetUpPr fitToPage="1"/>
  </sheetPr>
  <dimension ref="B1:O88"/>
  <sheetViews>
    <sheetView workbookViewId="0">
      <selection activeCell="Q18" sqref="Q1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499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43</v>
      </c>
      <c r="H19" s="4" t="s">
        <v>57</v>
      </c>
      <c r="I19" s="8" t="s">
        <v>174</v>
      </c>
      <c r="J19" s="8" t="s">
        <v>517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0">
        <v>115</v>
      </c>
      <c r="H20" s="20">
        <v>115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528</v>
      </c>
      <c r="H22" s="4">
        <v>725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35</v>
      </c>
      <c r="H23" s="4" t="s">
        <v>139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24</v>
      </c>
      <c r="H25" s="4">
        <v>24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0">
        <v>115</v>
      </c>
      <c r="H26" s="20">
        <v>115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287</v>
      </c>
      <c r="H29" s="4">
        <v>356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6.5</v>
      </c>
      <c r="H30" s="4">
        <v>5.9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8.5</v>
      </c>
      <c r="H31" s="4">
        <v>8.6999999999999993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0" t="s">
        <v>204</v>
      </c>
      <c r="H32" s="20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485</v>
      </c>
      <c r="H34" s="4" t="s">
        <v>378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525</v>
      </c>
      <c r="H35" s="4" t="s">
        <v>359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487</v>
      </c>
      <c r="D37" s="51"/>
      <c r="E37" s="51"/>
      <c r="F37" s="51"/>
      <c r="G37" s="4" t="s">
        <v>529</v>
      </c>
      <c r="H37" s="4" t="s">
        <v>530</v>
      </c>
      <c r="I37" s="8" t="s">
        <v>189</v>
      </c>
      <c r="J37" s="8" t="s">
        <v>258</v>
      </c>
    </row>
    <row r="38" spans="2:10" x14ac:dyDescent="0.25">
      <c r="B38" s="4" t="s">
        <v>239</v>
      </c>
      <c r="C38" s="63" t="s">
        <v>635</v>
      </c>
      <c r="D38" s="51"/>
      <c r="E38" s="51"/>
      <c r="F38" s="51"/>
      <c r="G38" s="20">
        <v>115</v>
      </c>
      <c r="H38" s="20">
        <v>141</v>
      </c>
      <c r="I38" s="8" t="s">
        <v>489</v>
      </c>
      <c r="J38" s="8" t="s">
        <v>205</v>
      </c>
    </row>
    <row r="39" spans="2:10" x14ac:dyDescent="0.25">
      <c r="B39" s="4" t="s">
        <v>243</v>
      </c>
      <c r="C39" s="63" t="s">
        <v>634</v>
      </c>
      <c r="D39" s="51"/>
      <c r="E39" s="51"/>
      <c r="F39" s="51"/>
      <c r="G39" s="20">
        <v>100</v>
      </c>
      <c r="H39" s="20">
        <v>100</v>
      </c>
      <c r="I39" s="8" t="s">
        <v>271</v>
      </c>
      <c r="J39" s="8" t="s">
        <v>205</v>
      </c>
    </row>
    <row r="40" spans="2:10" x14ac:dyDescent="0.25">
      <c r="B40" s="4" t="s">
        <v>246</v>
      </c>
      <c r="C40" s="63" t="s">
        <v>633</v>
      </c>
      <c r="D40" s="51"/>
      <c r="E40" s="51"/>
      <c r="F40" s="51"/>
      <c r="G40" s="20">
        <f>G38-G39</f>
        <v>15</v>
      </c>
      <c r="H40" s="20">
        <f>H38-H39</f>
        <v>41</v>
      </c>
      <c r="I40" s="8" t="s">
        <v>189</v>
      </c>
      <c r="J40" s="8" t="s">
        <v>205</v>
      </c>
    </row>
    <row r="41" spans="2:10" s="15" customFormat="1" x14ac:dyDescent="0.25">
      <c r="B41" s="14" t="s">
        <v>250</v>
      </c>
      <c r="C41" s="50" t="s">
        <v>251</v>
      </c>
      <c r="D41" s="51"/>
      <c r="E41" s="51"/>
      <c r="F41" s="51"/>
      <c r="G41" s="14" t="s">
        <v>482</v>
      </c>
      <c r="H41" s="14" t="s">
        <v>482</v>
      </c>
      <c r="I41" s="8" t="s">
        <v>193</v>
      </c>
      <c r="J41" s="23" t="s">
        <v>249</v>
      </c>
    </row>
    <row r="42" spans="2:10" s="15" customFormat="1" x14ac:dyDescent="0.25">
      <c r="B42" s="14" t="s">
        <v>253</v>
      </c>
      <c r="C42" s="50" t="s">
        <v>254</v>
      </c>
      <c r="D42" s="51"/>
      <c r="E42" s="51"/>
      <c r="F42" s="51"/>
      <c r="G42" s="14" t="s">
        <v>57</v>
      </c>
      <c r="H42" s="14" t="s">
        <v>57</v>
      </c>
      <c r="I42" s="8" t="s">
        <v>193</v>
      </c>
      <c r="J42" s="23" t="s">
        <v>249</v>
      </c>
    </row>
    <row r="43" spans="2:10" s="15" customFormat="1" x14ac:dyDescent="0.25">
      <c r="B43" s="14" t="s">
        <v>255</v>
      </c>
      <c r="C43" s="63" t="s">
        <v>636</v>
      </c>
      <c r="D43" s="51"/>
      <c r="E43" s="51"/>
      <c r="F43" s="51"/>
      <c r="G43" s="14">
        <v>120</v>
      </c>
      <c r="H43" s="20">
        <v>120</v>
      </c>
      <c r="I43" s="8" t="s">
        <v>189</v>
      </c>
      <c r="J43" s="23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s="15" customFormat="1" x14ac:dyDescent="0.25">
      <c r="B45" s="14" t="s">
        <v>260</v>
      </c>
      <c r="C45" s="50" t="s">
        <v>261</v>
      </c>
      <c r="D45" s="51"/>
      <c r="E45" s="51"/>
      <c r="F45" s="51"/>
      <c r="G45" s="13">
        <f>(G43*G40)/1000</f>
        <v>1.8</v>
      </c>
      <c r="H45" s="13">
        <f>(H43*H40)/1000</f>
        <v>4.92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51"/>
      <c r="E46" s="51"/>
      <c r="F46" s="51"/>
      <c r="G46" s="13">
        <f>(G43*G40)/1000*1.163</f>
        <v>2.0933999999999999</v>
      </c>
      <c r="H46" s="13">
        <f>(H43*H40)/1000*1.163</f>
        <v>5.7219600000000002</v>
      </c>
      <c r="I46" s="8"/>
      <c r="J46" s="8" t="s">
        <v>264</v>
      </c>
    </row>
    <row r="47" spans="2:10" s="15" customFormat="1" x14ac:dyDescent="0.25">
      <c r="B47" s="14" t="s">
        <v>265</v>
      </c>
      <c r="C47" s="63" t="s">
        <v>266</v>
      </c>
      <c r="D47" s="51"/>
      <c r="E47" s="51"/>
      <c r="F47" s="51"/>
      <c r="G47" s="13">
        <f>G46/N1*100</f>
        <v>33.764516129032259</v>
      </c>
      <c r="H47" s="13">
        <f>H46/N1*100</f>
        <v>92.289677419354845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51"/>
      <c r="E48" s="51"/>
      <c r="F48" s="51"/>
      <c r="G48" s="13">
        <f>(G43*1000*G40)/(G22*G18)*100</f>
        <v>50.829308405134434</v>
      </c>
      <c r="H48" s="13">
        <f>(H43*1000*H40)/(H22*H18)*100</f>
        <v>70.520699330268357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51"/>
      <c r="E49" s="51"/>
      <c r="F49" s="51"/>
      <c r="G49" s="13">
        <f>(142.86*100)/G48</f>
        <v>281.05831946666672</v>
      </c>
      <c r="H49" s="13">
        <f>(142.86*100)/H48</f>
        <v>202.57881920731711</v>
      </c>
      <c r="I49" s="8" t="s">
        <v>183</v>
      </c>
      <c r="J49" s="8" t="s">
        <v>274</v>
      </c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1" spans="2:10" s="15" customFormat="1" x14ac:dyDescent="0.25">
      <c r="B51" s="26"/>
      <c r="C51" s="27"/>
      <c r="D51" s="17"/>
      <c r="E51" s="17"/>
      <c r="F51" s="17"/>
      <c r="G51" s="28"/>
      <c r="H51" s="28"/>
      <c r="I51" s="24"/>
      <c r="J51" s="24"/>
    </row>
    <row r="52" spans="2:10" s="15" customFormat="1" x14ac:dyDescent="0.25"/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653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531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495</v>
      </c>
      <c r="D76" s="51"/>
      <c r="E76" s="51"/>
      <c r="F76" s="51"/>
      <c r="G76" s="4" t="s">
        <v>305</v>
      </c>
      <c r="H76" s="4"/>
      <c r="I76" s="58" t="s">
        <v>288</v>
      </c>
      <c r="J76" s="51"/>
    </row>
    <row r="77" spans="2:10" x14ac:dyDescent="0.25">
      <c r="B77" s="4" t="s">
        <v>239</v>
      </c>
      <c r="C77" s="50" t="s">
        <v>496</v>
      </c>
      <c r="D77" s="51"/>
      <c r="E77" s="51"/>
      <c r="F77" s="51"/>
      <c r="G77" s="4" t="s">
        <v>491</v>
      </c>
      <c r="H77" s="4" t="s">
        <v>249</v>
      </c>
      <c r="I77" s="58" t="s">
        <v>288</v>
      </c>
      <c r="J77" s="51"/>
    </row>
    <row r="78" spans="2:10" x14ac:dyDescent="0.25">
      <c r="B78" s="4" t="s">
        <v>243</v>
      </c>
      <c r="C78" s="50" t="s">
        <v>497</v>
      </c>
      <c r="D78" s="51"/>
      <c r="E78" s="51"/>
      <c r="F78" s="51"/>
      <c r="G78" s="4" t="s">
        <v>498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C81:F81"/>
    <mergeCell ref="C37:F37"/>
    <mergeCell ref="C78:F78"/>
    <mergeCell ref="G72:J72"/>
    <mergeCell ref="I76:J76"/>
    <mergeCell ref="I71:J71"/>
    <mergeCell ref="C79:F79"/>
    <mergeCell ref="C73:F73"/>
    <mergeCell ref="I78:J78"/>
    <mergeCell ref="G69:J69"/>
    <mergeCell ref="C77:F77"/>
    <mergeCell ref="C41:F41"/>
    <mergeCell ref="C71:F71"/>
    <mergeCell ref="G82:J82"/>
    <mergeCell ref="I83:J8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81:J81"/>
    <mergeCell ref="C39:F39"/>
    <mergeCell ref="C72:F72"/>
    <mergeCell ref="C32:F32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26:F26"/>
    <mergeCell ref="C47:F47"/>
    <mergeCell ref="C44:F44"/>
    <mergeCell ref="C21:F21"/>
    <mergeCell ref="G36:J36"/>
    <mergeCell ref="C24:F24"/>
    <mergeCell ref="C33:F33"/>
    <mergeCell ref="C42:F42"/>
    <mergeCell ref="C43:F43"/>
    <mergeCell ref="C10:J10"/>
    <mergeCell ref="C30:F30"/>
    <mergeCell ref="C9:J9"/>
    <mergeCell ref="C40:F40"/>
    <mergeCell ref="C11:J11"/>
    <mergeCell ref="C12:J12"/>
    <mergeCell ref="C14:J14"/>
    <mergeCell ref="C18:F18"/>
    <mergeCell ref="C34:F34"/>
    <mergeCell ref="C20:F20"/>
    <mergeCell ref="C29:F29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68:F68"/>
    <mergeCell ref="C45:F4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pageSetUpPr fitToPage="1"/>
  </sheetPr>
  <dimension ref="B1:O87"/>
  <sheetViews>
    <sheetView workbookViewId="0">
      <selection activeCell="M18" sqref="M1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505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506</v>
      </c>
      <c r="H21" s="4" t="s">
        <v>507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>
        <v>89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159</v>
      </c>
      <c r="H28" s="4">
        <v>192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8.1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1.6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70</v>
      </c>
      <c r="H36" s="4">
        <v>70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329</v>
      </c>
      <c r="H37" s="4" t="s">
        <v>332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24</v>
      </c>
      <c r="H38" s="4">
        <f>H37-H36</f>
        <v>80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317</v>
      </c>
      <c r="H39" s="4" t="s">
        <v>317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482</v>
      </c>
      <c r="H40" s="4" t="s">
        <v>482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57</v>
      </c>
      <c r="H41" s="4" t="s">
        <v>57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509</v>
      </c>
      <c r="H42" s="4" t="s">
        <v>509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5.9279999999999999</v>
      </c>
      <c r="H44" s="13">
        <f>(H42*H38)/1000</f>
        <v>19.760000000000002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6.8942639999999997</v>
      </c>
      <c r="H45" s="13">
        <f>(H42*H38)/1000*1.163</f>
        <v>22.980880000000003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29.589115879828327</v>
      </c>
      <c r="H46" s="13">
        <f>H45/N1*100</f>
        <v>98.630386266094433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90.477902817452588</v>
      </c>
      <c r="H47" s="13">
        <f>(H42*1000*H38)/(H21*H18)*100</f>
        <v>92.654587215608203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157.89490643724699</v>
      </c>
      <c r="H48" s="13">
        <f>(142.86*100)/H47</f>
        <v>154.18556629858301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511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505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350</v>
      </c>
      <c r="H19" s="4" t="s">
        <v>350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115</v>
      </c>
      <c r="H20" s="4">
        <v>115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532</v>
      </c>
      <c r="H22" s="4" t="s">
        <v>533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322</v>
      </c>
      <c r="H23" s="4" t="s">
        <v>62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187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>
        <v>115</v>
      </c>
      <c r="H26" s="4">
        <v>115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220</v>
      </c>
      <c r="H29" s="4">
        <v>235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473</v>
      </c>
      <c r="H30" s="4" t="s">
        <v>493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535</v>
      </c>
      <c r="H31" s="4" t="s">
        <v>536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0" t="s">
        <v>204</v>
      </c>
      <c r="H32" s="20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375</v>
      </c>
      <c r="H34" s="4" t="s">
        <v>451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525</v>
      </c>
      <c r="H35" s="4" t="s">
        <v>537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319</v>
      </c>
      <c r="H37" s="4" t="s">
        <v>319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 t="s">
        <v>197</v>
      </c>
      <c r="H38" s="4" t="s">
        <v>332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25</v>
      </c>
      <c r="H39" s="4">
        <f>H38-H37</f>
        <v>80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317</v>
      </c>
      <c r="H40" s="4" t="s">
        <v>317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482</v>
      </c>
      <c r="H41" s="4" t="s">
        <v>482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57</v>
      </c>
      <c r="H42" s="4" t="s">
        <v>57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509</v>
      </c>
      <c r="H43" s="4" t="s">
        <v>509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s="15" customFormat="1" x14ac:dyDescent="0.25">
      <c r="B45" s="14" t="s">
        <v>260</v>
      </c>
      <c r="C45" s="50" t="s">
        <v>261</v>
      </c>
      <c r="D45" s="51"/>
      <c r="E45" s="51"/>
      <c r="F45" s="51"/>
      <c r="G45" s="13">
        <f>(G43*G39)/1000</f>
        <v>6.1749999999999998</v>
      </c>
      <c r="H45" s="13">
        <f>(H43*H39)/1000</f>
        <v>19.760000000000002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51"/>
      <c r="E46" s="51"/>
      <c r="F46" s="51"/>
      <c r="G46" s="13">
        <f>(G43*G39)/1000*1.163</f>
        <v>7.1815249999999997</v>
      </c>
      <c r="H46" s="13">
        <f>(H43*H39)/1000*1.163</f>
        <v>22.980880000000003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51"/>
      <c r="E47" s="51"/>
      <c r="F47" s="51"/>
      <c r="G47" s="13">
        <f>G46/N1*100</f>
        <v>30.821995708154503</v>
      </c>
      <c r="H47" s="13">
        <f>H46/N1*100</f>
        <v>98.630386266094433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51"/>
      <c r="E48" s="51"/>
      <c r="F48" s="51"/>
      <c r="G48" s="13">
        <f>(G43*1000*G39)/(G22*G18)*100</f>
        <v>86.715105420290911</v>
      </c>
      <c r="H48" s="13">
        <f>(H43*1000*H39)/(H22*H18)*100</f>
        <v>83.47210147774345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51"/>
      <c r="E49" s="51"/>
      <c r="F49" s="51"/>
      <c r="G49" s="13">
        <f>(142.86*100)/G48</f>
        <v>164.74638335222676</v>
      </c>
      <c r="H49" s="13">
        <f>(142.86*100)/H48</f>
        <v>171.14700297570852</v>
      </c>
      <c r="I49" s="8" t="s">
        <v>183</v>
      </c>
      <c r="J49" s="8" t="s">
        <v>274</v>
      </c>
    </row>
    <row r="50" spans="2:10" s="15" customFormat="1" x14ac:dyDescent="0.25">
      <c r="B50" s="26"/>
      <c r="C50" s="27"/>
      <c r="D50" s="17"/>
      <c r="E50" s="17"/>
      <c r="F50" s="17"/>
      <c r="G50" s="28"/>
      <c r="H50" s="28"/>
      <c r="I50" s="24"/>
      <c r="J50" s="24"/>
    </row>
    <row r="51" spans="2:10" s="15" customFormat="1" x14ac:dyDescent="0.25">
      <c r="B51" s="26"/>
      <c r="C51" s="27"/>
      <c r="D51" s="17"/>
      <c r="E51" s="17"/>
      <c r="F51" s="17"/>
      <c r="G51" s="28"/>
      <c r="H51" s="28"/>
      <c r="I51" s="24"/>
      <c r="J51" s="24"/>
    </row>
    <row r="52" spans="2:10" s="15" customFormat="1" x14ac:dyDescent="0.25"/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644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538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49:F49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>
    <tabColor theme="9" tint="-0.499984740745262"/>
    <pageSetUpPr fitToPage="1"/>
  </sheetPr>
  <dimension ref="B1:O87"/>
  <sheetViews>
    <sheetView topLeftCell="A16" workbookViewId="0">
      <selection activeCell="G44" sqref="G44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>
        <v>6.2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6" t="s">
        <v>152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503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478</v>
      </c>
      <c r="H18" s="4" t="s">
        <v>478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479</v>
      </c>
      <c r="H21" s="4" t="s">
        <v>480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376</v>
      </c>
      <c r="H22" s="4" t="s">
        <v>35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481</v>
      </c>
      <c r="H28" s="4" t="s">
        <v>173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482</v>
      </c>
      <c r="H29" s="4" t="s">
        <v>483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484</v>
      </c>
      <c r="H30" s="4" t="s">
        <v>430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485</v>
      </c>
      <c r="H33" s="4" t="s">
        <v>378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486</v>
      </c>
      <c r="H34" s="4" t="s">
        <v>359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487</v>
      </c>
      <c r="D36" s="51"/>
      <c r="E36" s="51"/>
      <c r="F36" s="51"/>
      <c r="G36" s="4" t="s">
        <v>248</v>
      </c>
      <c r="H36" s="4" t="s">
        <v>317</v>
      </c>
      <c r="I36" s="8" t="s">
        <v>189</v>
      </c>
      <c r="J36" s="8" t="s">
        <v>258</v>
      </c>
    </row>
    <row r="37" spans="2:10" x14ac:dyDescent="0.25">
      <c r="B37" s="4" t="s">
        <v>239</v>
      </c>
      <c r="C37" s="50" t="s">
        <v>488</v>
      </c>
      <c r="D37" s="51"/>
      <c r="E37" s="51"/>
      <c r="F37" s="51"/>
      <c r="G37" s="4" t="s">
        <v>188</v>
      </c>
      <c r="H37" s="4" t="s">
        <v>468</v>
      </c>
      <c r="I37" s="8" t="s">
        <v>489</v>
      </c>
      <c r="J37" s="8" t="s">
        <v>205</v>
      </c>
    </row>
    <row r="38" spans="2:10" x14ac:dyDescent="0.25">
      <c r="B38" s="4" t="s">
        <v>243</v>
      </c>
      <c r="C38" s="50" t="s">
        <v>490</v>
      </c>
      <c r="D38" s="51"/>
      <c r="E38" s="51"/>
      <c r="F38" s="51"/>
      <c r="G38" s="20" t="s">
        <v>204</v>
      </c>
      <c r="H38" s="20" t="s">
        <v>204</v>
      </c>
      <c r="I38" s="8" t="s">
        <v>271</v>
      </c>
      <c r="J38" s="8" t="s">
        <v>249</v>
      </c>
    </row>
    <row r="39" spans="2:10" x14ac:dyDescent="0.25">
      <c r="B39" s="4" t="s">
        <v>246</v>
      </c>
      <c r="C39" s="50" t="s">
        <v>492</v>
      </c>
      <c r="D39" s="51"/>
      <c r="E39" s="51"/>
      <c r="F39" s="51"/>
      <c r="G39" s="4" t="s">
        <v>188</v>
      </c>
      <c r="H39" s="4" t="s">
        <v>188</v>
      </c>
      <c r="I39" s="8" t="s">
        <v>189</v>
      </c>
      <c r="J39" s="8" t="s">
        <v>205</v>
      </c>
    </row>
    <row r="40" spans="2:10" x14ac:dyDescent="0.25">
      <c r="B40" s="14" t="s">
        <v>250</v>
      </c>
      <c r="C40" s="50" t="s">
        <v>251</v>
      </c>
      <c r="D40" s="51"/>
      <c r="E40" s="51"/>
      <c r="F40" s="51"/>
      <c r="G40" s="14" t="s">
        <v>482</v>
      </c>
      <c r="H40" s="14" t="s">
        <v>482</v>
      </c>
      <c r="I40" s="8" t="s">
        <v>193</v>
      </c>
      <c r="J40" s="8" t="s">
        <v>249</v>
      </c>
    </row>
    <row r="41" spans="2:10" x14ac:dyDescent="0.25">
      <c r="B41" s="14" t="s">
        <v>253</v>
      </c>
      <c r="C41" s="50" t="s">
        <v>254</v>
      </c>
      <c r="D41" s="51"/>
      <c r="E41" s="51"/>
      <c r="F41" s="51"/>
      <c r="G41" s="14" t="s">
        <v>57</v>
      </c>
      <c r="H41" s="14" t="s">
        <v>57</v>
      </c>
      <c r="I41" s="8" t="s">
        <v>193</v>
      </c>
      <c r="J41" s="8" t="s">
        <v>249</v>
      </c>
    </row>
    <row r="42" spans="2:10" x14ac:dyDescent="0.25">
      <c r="B42" s="14" t="s">
        <v>255</v>
      </c>
      <c r="C42" s="50" t="s">
        <v>256</v>
      </c>
      <c r="D42" s="51"/>
      <c r="E42" s="51"/>
      <c r="F42" s="51"/>
      <c r="G42" s="14">
        <v>120</v>
      </c>
      <c r="H42" s="14">
        <v>120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 t="e">
        <f>(G42*G38)/1000</f>
        <v>#VALUE!</v>
      </c>
      <c r="H44" s="13" t="e">
        <f>(H42*H38)/1000</f>
        <v>#VALUE!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 t="e">
        <f>(G42*G38)/1000*1.163</f>
        <v>#VALUE!</v>
      </c>
      <c r="H45" s="13" t="e">
        <f>(H42*H38)/1000*1.163</f>
        <v>#VALUE!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 t="e">
        <f>G45/N1*100</f>
        <v>#VALUE!</v>
      </c>
      <c r="H46" s="13" t="e">
        <f>H45/N1*100</f>
        <v>#VALUE!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 t="e">
        <f>(G42*1000*G38)/(G21*G18)*100</f>
        <v>#VALUE!</v>
      </c>
      <c r="H47" s="13" t="e">
        <f>(H42*1000*H38)/(H21*H18)*100</f>
        <v>#VALUE!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 t="e">
        <f>(142.86*100)/G47</f>
        <v>#VALUE!</v>
      </c>
      <c r="H48" s="13" t="e">
        <f>(142.86*100)/H47</f>
        <v>#VALUE!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6" t="s">
        <v>152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504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495</v>
      </c>
      <c r="D75" s="51"/>
      <c r="E75" s="51"/>
      <c r="F75" s="51"/>
      <c r="G75" s="4" t="s">
        <v>305</v>
      </c>
      <c r="H75" s="4"/>
      <c r="I75" s="58" t="s">
        <v>288</v>
      </c>
      <c r="J75" s="51"/>
    </row>
    <row r="76" spans="2:10" x14ac:dyDescent="0.25">
      <c r="B76" s="4" t="s">
        <v>239</v>
      </c>
      <c r="C76" s="50" t="s">
        <v>496</v>
      </c>
      <c r="D76" s="51"/>
      <c r="E76" s="51"/>
      <c r="F76" s="51"/>
      <c r="G76" s="4" t="s">
        <v>491</v>
      </c>
      <c r="H76" s="4" t="s">
        <v>249</v>
      </c>
      <c r="I76" s="58" t="s">
        <v>288</v>
      </c>
      <c r="J76" s="51"/>
    </row>
    <row r="77" spans="2:10" x14ac:dyDescent="0.25">
      <c r="B77" s="4" t="s">
        <v>243</v>
      </c>
      <c r="C77" s="50" t="s">
        <v>497</v>
      </c>
      <c r="D77" s="51"/>
      <c r="E77" s="51"/>
      <c r="F77" s="51"/>
      <c r="G77" s="4" t="s">
        <v>498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C75:F75"/>
    <mergeCell ref="C74:F74"/>
    <mergeCell ref="I80:J80"/>
    <mergeCell ref="C38:F38"/>
    <mergeCell ref="C71:F71"/>
    <mergeCell ref="C80:F80"/>
    <mergeCell ref="C77:F77"/>
    <mergeCell ref="G71:J71"/>
    <mergeCell ref="I75:J75"/>
    <mergeCell ref="I70:J70"/>
    <mergeCell ref="C78:F78"/>
    <mergeCell ref="C72:F72"/>
    <mergeCell ref="I77:J77"/>
    <mergeCell ref="C41:F41"/>
    <mergeCell ref="C42:F42"/>
    <mergeCell ref="G81:J81"/>
    <mergeCell ref="I82:J82"/>
    <mergeCell ref="C13:J13"/>
    <mergeCell ref="C26:F26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C81:F81"/>
    <mergeCell ref="C10:J10"/>
    <mergeCell ref="C29:F29"/>
    <mergeCell ref="C9:J9"/>
    <mergeCell ref="C39:F39"/>
    <mergeCell ref="C70:F70"/>
    <mergeCell ref="C12:J12"/>
    <mergeCell ref="C16:F16"/>
    <mergeCell ref="C24:F24"/>
    <mergeCell ref="G27:J27"/>
    <mergeCell ref="G68:J68"/>
    <mergeCell ref="C23:F23"/>
    <mergeCell ref="C11:J11"/>
    <mergeCell ref="C25:F25"/>
    <mergeCell ref="C31:F31"/>
    <mergeCell ref="C36:F36"/>
    <mergeCell ref="C40:F40"/>
    <mergeCell ref="C14:J14"/>
    <mergeCell ref="C18:F18"/>
    <mergeCell ref="C76:F76"/>
    <mergeCell ref="C33:F33"/>
    <mergeCell ref="C67:F67"/>
    <mergeCell ref="C44:F44"/>
    <mergeCell ref="C19:F19"/>
    <mergeCell ref="C28:F28"/>
    <mergeCell ref="C46:F46"/>
    <mergeCell ref="C43:F43"/>
    <mergeCell ref="C20:F20"/>
    <mergeCell ref="C73:F73"/>
    <mergeCell ref="I67:J67"/>
    <mergeCell ref="G17:J17"/>
    <mergeCell ref="C34:F34"/>
    <mergeCell ref="I73:J73"/>
    <mergeCell ref="C83:F83"/>
    <mergeCell ref="C21:F21"/>
    <mergeCell ref="I72:J72"/>
    <mergeCell ref="C30:F30"/>
    <mergeCell ref="C79:F79"/>
    <mergeCell ref="C45:F45"/>
    <mergeCell ref="C65:J65"/>
    <mergeCell ref="C69:F69"/>
    <mergeCell ref="C47:F47"/>
    <mergeCell ref="C22:F22"/>
    <mergeCell ref="G78:J78"/>
    <mergeCell ref="C37:F37"/>
    <mergeCell ref="C48:F48"/>
    <mergeCell ref="C64:J64"/>
    <mergeCell ref="C32:F32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1" fitToHeight="2" orientation="landscape" r:id="rId1"/>
  <rowBreaks count="1" manualBreakCount="1">
    <brk id="55" max="16383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theme="9" tint="-0.499984740745262"/>
    <pageSetUpPr fitToPage="1"/>
  </sheetPr>
  <dimension ref="B1:O87"/>
  <sheetViews>
    <sheetView topLeftCell="A16" workbookViewId="0">
      <selection activeCell="N1" sqref="N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 s="2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6" t="s">
        <v>152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512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506</v>
      </c>
      <c r="H21" s="4" t="s">
        <v>507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467</v>
      </c>
      <c r="H28" s="4" t="s">
        <v>508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319</v>
      </c>
      <c r="H36" s="4" t="s">
        <v>319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329</v>
      </c>
      <c r="H37" s="4" t="s">
        <v>332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24</v>
      </c>
      <c r="H38" s="4">
        <f>H37-H36</f>
        <v>80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317</v>
      </c>
      <c r="H39" s="4" t="s">
        <v>317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482</v>
      </c>
      <c r="H40" s="4" t="s">
        <v>482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57</v>
      </c>
      <c r="H41" s="4" t="s">
        <v>57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509</v>
      </c>
      <c r="H42" s="4" t="s">
        <v>509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5.9279999999999999</v>
      </c>
      <c r="H44" s="13">
        <f>(H42*H38)/1000</f>
        <v>19.760000000000002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6.8942639999999997</v>
      </c>
      <c r="H45" s="13">
        <f>(H42*H38)/1000*1.163</f>
        <v>22.980880000000003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29.589115879828327</v>
      </c>
      <c r="H46" s="13">
        <f>H45/N1*100</f>
        <v>98.630386266094433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90.477902817452588</v>
      </c>
      <c r="H47" s="13">
        <f>(H42*1000*H38)/(H21*H18)*100</f>
        <v>92.654587215608203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157.89490643724699</v>
      </c>
      <c r="H48" s="13">
        <f>(142.86*100)/H47</f>
        <v>154.18556629858301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6" t="s">
        <v>152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513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1" fitToHeight="2" orientation="landscape" r:id="rId1"/>
  <rowBreaks count="1" manualBreakCount="1">
    <brk id="55" max="16383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>
    <tabColor theme="9" tint="-0.499984740745262"/>
    <pageSetUpPr fitToPage="1"/>
  </sheetPr>
  <dimension ref="B1:O88"/>
  <sheetViews>
    <sheetView topLeftCell="C1" workbookViewId="0">
      <selection activeCell="N1" sqref="N1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 s="21">
        <v>23.3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6" t="s">
        <v>152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512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477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 t="s">
        <v>242</v>
      </c>
      <c r="H20" s="4" t="s">
        <v>270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540</v>
      </c>
      <c r="H22" s="4" t="s">
        <v>541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 t="s">
        <v>242</v>
      </c>
      <c r="H26" s="4" t="s">
        <v>270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229</v>
      </c>
      <c r="H29" s="4" t="s">
        <v>534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4" t="s">
        <v>374</v>
      </c>
      <c r="H32" s="4" t="s">
        <v>374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319</v>
      </c>
      <c r="H37" s="4" t="s">
        <v>319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 t="s">
        <v>329</v>
      </c>
      <c r="H38" s="4" t="s">
        <v>332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24</v>
      </c>
      <c r="H39" s="4">
        <f>H38-H37</f>
        <v>80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317</v>
      </c>
      <c r="H40" s="4" t="s">
        <v>317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482</v>
      </c>
      <c r="H41" s="4" t="s">
        <v>482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57</v>
      </c>
      <c r="H42" s="4" t="s">
        <v>57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509</v>
      </c>
      <c r="H43" s="4" t="s">
        <v>509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5.9279999999999999</v>
      </c>
      <c r="H45" s="13">
        <f>(H43*H39)/1000</f>
        <v>19.760000000000002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6.8942639999999997</v>
      </c>
      <c r="H46" s="13">
        <f>(H43*H39)/1000*1.163</f>
        <v>22.980880000000003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29.589115879828327</v>
      </c>
      <c r="H47" s="13">
        <f>H46/N1*100</f>
        <v>98.630386266094433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85.440237018827546</v>
      </c>
      <c r="H48" s="13">
        <f>(H43*1000*H39)/(H22*H18)*100</f>
        <v>88.394907290249193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167.20459233805673</v>
      </c>
      <c r="H49" s="13">
        <f>(142.86*100)/H48</f>
        <v>161.61564549291501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6" t="s">
        <v>152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546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69" fitToHeight="2" orientation="landscape" r:id="rId1"/>
  <rowBreaks count="1" manualBreakCount="1">
    <brk id="56" max="16383" man="1"/>
  </rowBreak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547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548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11</v>
      </c>
      <c r="H21" s="4">
        <v>23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15</v>
      </c>
      <c r="H24" s="4">
        <v>109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116</v>
      </c>
      <c r="H28" s="4">
        <v>153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4.7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8.6999999999999993</v>
      </c>
      <c r="H30" s="4">
        <v>10.7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35</v>
      </c>
      <c r="H33" s="4">
        <v>132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1.35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8.1000000000000003E-2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9.4203000000000009E-2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47.101500000000001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89.462232579715263</v>
      </c>
      <c r="H47" s="13">
        <f>(H42*1000*H38)/(H21*H18)*100</f>
        <v>90.326601976620722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159.68749703703708</v>
      </c>
      <c r="H48" s="13">
        <f>(142.86*100)/H47</f>
        <v>158.15938701754388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550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643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551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548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466</v>
      </c>
      <c r="H21" s="4" t="s">
        <v>414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3.3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58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0.09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0.10467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52.335000000000001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91.118940590450734</v>
      </c>
      <c r="H47" s="13">
        <f>(H42*1000*H38)/(H21*H18)*100</f>
        <v>86.562993560928206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156.78408800000003</v>
      </c>
      <c r="H48" s="13">
        <f>(142.86*100)/H47</f>
        <v>165.03588210526317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643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553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547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364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548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51"/>
      <c r="E19" s="51"/>
      <c r="F19" s="51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11</v>
      </c>
      <c r="H21" s="4">
        <v>21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17</v>
      </c>
      <c r="H24" s="4">
        <v>110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148</v>
      </c>
      <c r="H28" s="4">
        <v>198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4.5</v>
      </c>
      <c r="H29" s="4">
        <v>2.5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11.7</v>
      </c>
      <c r="H30" s="4">
        <v>13.9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67</v>
      </c>
      <c r="H33" s="4">
        <v>102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1.4</v>
      </c>
      <c r="H34" s="4">
        <v>1.1100000000000001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67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19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8.1000000000000003E-2</v>
      </c>
      <c r="H44" s="13">
        <f>(H42*H38)/1000</f>
        <v>0.17100000000000001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9.4203000000000009E-2</v>
      </c>
      <c r="H45" s="13">
        <f>(H42*H38)/1000*1.163</f>
        <v>0.19887300000000002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47.101500000000001</v>
      </c>
      <c r="H46" s="13">
        <f>H45/N1*100</f>
        <v>99.436500000000009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72.907290729072898</v>
      </c>
      <c r="H47" s="13">
        <f>(H42*1000*H38)/(H21*H18)*100</f>
        <v>80.62234794908062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195.94748148148153</v>
      </c>
      <c r="H48" s="13">
        <f>(142.86*100)/H47</f>
        <v>177.1965263157895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549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95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66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380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188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0.2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551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364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548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367</v>
      </c>
      <c r="H18" s="4" t="s">
        <v>367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369</v>
      </c>
      <c r="D19" s="51"/>
      <c r="E19" s="51"/>
      <c r="F19" s="51"/>
      <c r="G19" s="4" t="s">
        <v>62</v>
      </c>
      <c r="H19" s="4" t="s">
        <v>290</v>
      </c>
      <c r="I19" s="8" t="s">
        <v>174</v>
      </c>
      <c r="J19" s="8" t="s">
        <v>287</v>
      </c>
    </row>
    <row r="20" spans="2:10" x14ac:dyDescent="0.25">
      <c r="B20" s="4" t="s">
        <v>176</v>
      </c>
      <c r="C20" s="50" t="s">
        <v>370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181</v>
      </c>
      <c r="H21" s="4" t="s">
        <v>178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178</v>
      </c>
      <c r="H25" s="4" t="s">
        <v>178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332</v>
      </c>
      <c r="H28" s="4" t="s">
        <v>330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372</v>
      </c>
      <c r="H30" s="4" t="s">
        <v>373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319</v>
      </c>
      <c r="H33" s="4" t="s">
        <v>375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58</v>
      </c>
      <c r="H37" s="4">
        <v>66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18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342</v>
      </c>
      <c r="H42" s="4" t="s">
        <v>342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0.09</v>
      </c>
      <c r="H44" s="13">
        <f>(H42*H38)/1000</f>
        <v>0.16200000000000001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0.10467</v>
      </c>
      <c r="H45" s="13">
        <f>(H42*H38)/1000*1.163</f>
        <v>0.18840600000000002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52.335000000000001</v>
      </c>
      <c r="H46" s="13">
        <f>H45/N1*100</f>
        <v>94.203000000000003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89.10891089108911</v>
      </c>
      <c r="H47" s="13">
        <f>(H42*1000*H38)/(H21*H18)*100</f>
        <v>80.198019801980209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160.32066666666668</v>
      </c>
      <c r="H48" s="13">
        <f>(142.86*100)/H47</f>
        <v>178.13407407407408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95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66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380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188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9">
    <pageSetUpPr fitToPage="1"/>
  </sheetPr>
  <dimension ref="B1:O88"/>
  <sheetViews>
    <sheetView workbookViewId="0">
      <selection activeCell="C6" sqref="C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554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555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637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48</v>
      </c>
      <c r="H22" s="4">
        <v>92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71</v>
      </c>
      <c r="H38" s="4">
        <v>81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11</v>
      </c>
      <c r="H39" s="4">
        <f>H38-H37</f>
        <v>21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0.41799999999999998</v>
      </c>
      <c r="H45" s="13">
        <f>(H43*H39)/1000</f>
        <v>0.79800000000000004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0.48613400000000001</v>
      </c>
      <c r="H46" s="13">
        <f>(H43*H39)/1000*1.163</f>
        <v>0.92807400000000007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44.194000000000003</v>
      </c>
      <c r="H47" s="13">
        <f>H46/N1*100</f>
        <v>84.370363636363635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90.494994630918981</v>
      </c>
      <c r="H48" s="13">
        <f>(H43*1000*H39)/(H22*H18)*100</f>
        <v>90.137306905105078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157.865084784689</v>
      </c>
      <c r="H49" s="13">
        <f>(142.86*100)/H48</f>
        <v>158.4915335338346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657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557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>
    <pageSetUpPr fitToPage="1"/>
  </sheetPr>
  <dimension ref="B1:O88"/>
  <sheetViews>
    <sheetView workbookViewId="0">
      <selection activeCell="C2" sqref="C2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558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555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637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401</v>
      </c>
      <c r="H22" s="4">
        <v>99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19</v>
      </c>
      <c r="H25" s="4">
        <v>114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198</v>
      </c>
      <c r="H29" s="4">
        <v>257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6.8</v>
      </c>
      <c r="H30" s="4">
        <v>4.7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</v>
      </c>
      <c r="H31" s="4">
        <v>12.3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1.4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71</v>
      </c>
      <c r="H38" s="4">
        <v>83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11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0.41799999999999998</v>
      </c>
      <c r="H45" s="13">
        <f>(H43*H39)/1000</f>
        <v>0.874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0.48613400000000001</v>
      </c>
      <c r="H46" s="13">
        <f>(H43*H39)/1000*1.163</f>
        <v>1.016462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44.194000000000003</v>
      </c>
      <c r="H47" s="13">
        <f>H46/N1*100</f>
        <v>92.405636363636361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94.429559614871977</v>
      </c>
      <c r="H48" s="13">
        <f>(H43*1000*H39)/(H22*H18)*100</f>
        <v>91.741482160270479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151.28737291866031</v>
      </c>
      <c r="H49" s="13">
        <f>(142.86*100)/H48</f>
        <v>155.72017874141878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657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559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1">
    <pageSetUpPr fitToPage="1"/>
  </sheetPr>
  <dimension ref="B1:O87"/>
  <sheetViews>
    <sheetView topLeftCell="A48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560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561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415</v>
      </c>
      <c r="H21" s="4">
        <v>93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451</v>
      </c>
      <c r="H28" s="4" t="s">
        <v>481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57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13</v>
      </c>
      <c r="H30" s="4">
        <v>14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65</v>
      </c>
      <c r="H37" s="4">
        <v>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5</v>
      </c>
      <c r="H38" s="4">
        <f>H37-H36</f>
        <v>17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25</v>
      </c>
      <c r="H42" s="4">
        <v>25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0.125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0.145375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29.074999999999999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69.809002568971295</v>
      </c>
      <c r="H47" s="13">
        <f>(H42*1000*H38)/(H21*H18)*100</f>
        <v>71.460398328667381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204.64409280000004</v>
      </c>
      <c r="H48" s="13">
        <f>(142.86*100)/H47</f>
        <v>199.91492258823536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656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562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563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561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471</v>
      </c>
      <c r="H21" s="4">
        <v>94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451</v>
      </c>
      <c r="H28" s="4" t="s">
        <v>534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466</v>
      </c>
      <c r="H30" s="4" t="s">
        <v>196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9" t="s">
        <v>204</v>
      </c>
      <c r="H31" s="29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1.4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241</v>
      </c>
      <c r="H37" s="4">
        <v>77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17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25</v>
      </c>
      <c r="H42" s="4">
        <v>25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0.15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0.17444999999999999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34.89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67.016642466212446</v>
      </c>
      <c r="H47" s="13">
        <f>(H42*1000*H38)/(H21*H18)*100</f>
        <v>70.700181325170931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213.17093000000003</v>
      </c>
      <c r="H48" s="13">
        <f>(142.86*100)/H47</f>
        <v>202.06454541176473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27" t="s">
        <v>656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564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3">
    <pageSetUpPr fitToPage="1"/>
  </sheetPr>
  <dimension ref="B1:O88"/>
  <sheetViews>
    <sheetView workbookViewId="0">
      <selection activeCell="C7" sqref="C7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565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566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119</v>
      </c>
      <c r="H22" s="4">
        <v>280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19</v>
      </c>
      <c r="H25" s="4">
        <v>118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198</v>
      </c>
      <c r="H29" s="4">
        <v>261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6.2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11.2</v>
      </c>
      <c r="H31" s="4">
        <v>12.3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1.5</v>
      </c>
      <c r="H35" s="4">
        <v>1.27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70</v>
      </c>
      <c r="H38" s="4">
        <v>84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567</v>
      </c>
      <c r="H43" s="4" t="s">
        <v>567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1.03</v>
      </c>
      <c r="H45" s="13">
        <f>(H43*H39)/1000</f>
        <v>2.472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1.1978900000000001</v>
      </c>
      <c r="H46" s="13">
        <f>(H43*H39)/1000*1.163</f>
        <v>2.8749359999999999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39.92966666666667</v>
      </c>
      <c r="H47" s="13">
        <f>H46/N1*100</f>
        <v>95.831199999999995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89.945569831382628</v>
      </c>
      <c r="H48" s="13">
        <f>(H43*1000*H39)/(H22*H18)*100</f>
        <v>91.744481228010272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158.82939011650487</v>
      </c>
      <c r="H49" s="13">
        <f>(142.86*100)/H48</f>
        <v>155.71508834951459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655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568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4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3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569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566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526</v>
      </c>
      <c r="H22" s="4">
        <v>290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 t="s">
        <v>319</v>
      </c>
      <c r="H38" s="4">
        <v>85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25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567</v>
      </c>
      <c r="H43" s="4" t="s">
        <v>567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1.03</v>
      </c>
      <c r="H45" s="13">
        <f>(H43*H39)/1000</f>
        <v>2.5750000000000002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1.1978900000000001</v>
      </c>
      <c r="H46" s="13">
        <f>(H43*H39)/1000*1.163</f>
        <v>2.9947250000000003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39.92966666666667</v>
      </c>
      <c r="H47" s="13">
        <f>H46/N1*100</f>
        <v>99.824166666666684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86.318732338181718</v>
      </c>
      <c r="H48" s="13">
        <f>(H43*1000*H39)/(H22*H18)*100</f>
        <v>92.271748361504578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165.50289390291263</v>
      </c>
      <c r="H49" s="13">
        <f>(142.86*100)/H48</f>
        <v>154.82528784466024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655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570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5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27" t="s">
        <v>655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571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566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95</v>
      </c>
      <c r="H22" s="4">
        <v>233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18</v>
      </c>
      <c r="H25" s="4">
        <v>114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199</v>
      </c>
      <c r="H29" s="4">
        <v>265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5.8</v>
      </c>
      <c r="H30" s="4">
        <v>4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11.2</v>
      </c>
      <c r="H31" s="4">
        <v>12.6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1.45</v>
      </c>
      <c r="H35" s="4">
        <v>1.3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 t="s">
        <v>319</v>
      </c>
      <c r="H38" s="4">
        <v>84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0.86</v>
      </c>
      <c r="H45" s="13">
        <f>(H43*H39)/1000</f>
        <v>2.0640000000000001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1.0001800000000001</v>
      </c>
      <c r="H46" s="13">
        <f>(H43*H39)/1000*1.163</f>
        <v>2.4004320000000003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40.007200000000005</v>
      </c>
      <c r="H47" s="13">
        <f>H46/N1*100</f>
        <v>96.017280000000014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94.072862713783309</v>
      </c>
      <c r="H48" s="13">
        <f>(H43*1000*H39)/(H22*H18)*100</f>
        <v>92.054131754260069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151.86101058139539</v>
      </c>
      <c r="H49" s="13">
        <f>(142.86*100)/H48</f>
        <v>155.19129590116282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27" t="s">
        <v>655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573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6">
    <pageSetUpPr fitToPage="1"/>
  </sheetPr>
  <dimension ref="B1:O88"/>
  <sheetViews>
    <sheetView topLeftCell="C1" workbookViewId="0">
      <selection activeCell="M19" sqref="M1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658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554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574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639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401</v>
      </c>
      <c r="H22" s="4" t="s">
        <v>510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70</v>
      </c>
      <c r="H38" s="4">
        <v>81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21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0.38</v>
      </c>
      <c r="H45" s="13">
        <f>(H43*H39)/1000</f>
        <v>0.79800000000000004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0.44194</v>
      </c>
      <c r="H46" s="13">
        <f>(H43*H39)/1000*1.163</f>
        <v>0.92807400000000007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40.176363636363632</v>
      </c>
      <c r="H47" s="13">
        <f>H46/N1*100</f>
        <v>84.370363636363635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85.845054195338165</v>
      </c>
      <c r="H48" s="13">
        <f>(H43*1000*H39)/(H22*H18)*100</f>
        <v>91.127826761205128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166.41611021052634</v>
      </c>
      <c r="H49" s="13">
        <f>(142.86*100)/H48</f>
        <v>156.76879947368423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658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557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7">
    <pageSetUpPr fitToPage="1"/>
  </sheetPr>
  <dimension ref="B1:O88"/>
  <sheetViews>
    <sheetView topLeftCell="C1"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658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558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574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639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45</v>
      </c>
      <c r="H22" s="4">
        <v>91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19</v>
      </c>
      <c r="H25" s="4">
        <v>114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198</v>
      </c>
      <c r="H29" s="4">
        <v>259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6.1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11.2</v>
      </c>
      <c r="H31" s="4">
        <v>12.9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1.42</v>
      </c>
      <c r="H35" s="4">
        <v>1.27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70</v>
      </c>
      <c r="H38" s="4">
        <v>81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21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0.38</v>
      </c>
      <c r="H45" s="13">
        <f>(H43*H39)/1000</f>
        <v>0.79800000000000004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0.44194</v>
      </c>
      <c r="H46" s="13">
        <f>(H43*H39)/1000*1.163</f>
        <v>0.92807400000000007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40.176363636363632</v>
      </c>
      <c r="H47" s="13">
        <f>H46/N1*100</f>
        <v>84.370363636363635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87.752722066345683</v>
      </c>
      <c r="H48" s="13">
        <f>(H43*1000*H39)/(H22*H18)*100</f>
        <v>91.127826761205128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162.79836868421054</v>
      </c>
      <c r="H49" s="13">
        <f>(142.86*100)/H48</f>
        <v>156.76879947368423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658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559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8">
    <pageSetUpPr fitToPage="1"/>
  </sheetPr>
  <dimension ref="B1:O87"/>
  <sheetViews>
    <sheetView workbookViewId="0">
      <selection activeCell="P12" sqref="P12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659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575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576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16" t="s">
        <v>159</v>
      </c>
      <c r="C16" s="53" t="s">
        <v>160</v>
      </c>
      <c r="D16" s="54"/>
      <c r="E16" s="54"/>
      <c r="F16" s="54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577</v>
      </c>
      <c r="H21" s="4">
        <v>264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110</v>
      </c>
      <c r="H28" s="4">
        <v>120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3.3</v>
      </c>
      <c r="H29" s="4" t="s">
        <v>394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8.5</v>
      </c>
      <c r="H30" s="4" t="s">
        <v>578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257</v>
      </c>
      <c r="H32" s="4" t="s">
        <v>238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579</v>
      </c>
      <c r="H34" s="4" t="s">
        <v>580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95.953823152393014</v>
      </c>
      <c r="H47" s="13">
        <f>(H42*1000*H38)/(H21*H18)*100</f>
        <v>91.026901256520986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148.88411457364344</v>
      </c>
      <c r="H48" s="13">
        <f>(142.86*100)/H47</f>
        <v>156.9426158948433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659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582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16" t="s">
        <v>159</v>
      </c>
      <c r="C67" s="53" t="s">
        <v>160</v>
      </c>
      <c r="D67" s="54"/>
      <c r="E67" s="54"/>
      <c r="F67" s="54"/>
      <c r="G67" s="16" t="s">
        <v>282</v>
      </c>
      <c r="H67" s="16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659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361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576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355</v>
      </c>
      <c r="H21" s="4">
        <v>266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19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3.8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>
        <v>25</v>
      </c>
      <c r="H32" s="4">
        <v>56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39</v>
      </c>
      <c r="H33" s="4">
        <v>138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59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11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0.94599999999999995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1.100198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44.007919999999999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99.0787560903062</v>
      </c>
      <c r="H47" s="13">
        <f>(H42*1000*H38)/(H21*H18)*100</f>
        <v>90.342488465118578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144.18832617336153</v>
      </c>
      <c r="H48" s="13">
        <f>(142.86*100)/H47</f>
        <v>158.13157510616787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659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362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0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1.1000000000000001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660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583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584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49</v>
      </c>
      <c r="H22" s="4">
        <v>100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 t="s">
        <v>319</v>
      </c>
      <c r="H38" s="4">
        <v>83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257</v>
      </c>
      <c r="H43" s="4" t="s">
        <v>257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0.38</v>
      </c>
      <c r="H45" s="13">
        <f>(H43*H39)/1000</f>
        <v>0.874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0.44194</v>
      </c>
      <c r="H46" s="13">
        <f>(H43*H39)/1000*1.163</f>
        <v>1.016462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40.176363636363632</v>
      </c>
      <c r="H47" s="13">
        <f>H46/N1*100</f>
        <v>92.405636363636361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80.589234550725621</v>
      </c>
      <c r="H48" s="13">
        <f>(H43*1000*H39)/(H22*H18)*100</f>
        <v>90.824067338667774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177.2693347894737</v>
      </c>
      <c r="H49" s="13">
        <f>(142.86*100)/H48</f>
        <v>157.29310983981696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660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585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1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660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586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584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637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9">
        <v>85</v>
      </c>
      <c r="H20" s="29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442</v>
      </c>
      <c r="H22" s="4">
        <v>55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19</v>
      </c>
      <c r="H25" s="4">
        <v>113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9">
        <v>85</v>
      </c>
      <c r="H26" s="29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556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5.9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11.2</v>
      </c>
      <c r="H31" s="4">
        <v>12.5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29" t="s">
        <v>204</v>
      </c>
      <c r="H32" s="29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 t="s">
        <v>238</v>
      </c>
      <c r="H37" s="4" t="s">
        <v>238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70</v>
      </c>
      <c r="H38" s="4">
        <v>82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22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393</v>
      </c>
      <c r="H43" s="4" t="s">
        <v>393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0.22</v>
      </c>
      <c r="H45" s="13">
        <f>(H43*H39)/1000</f>
        <v>0.48399999999999999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0.25586000000000003</v>
      </c>
      <c r="H46" s="13">
        <f>(H43*H39)/1000*1.163</f>
        <v>0.56289199999999995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42.643333333333338</v>
      </c>
      <c r="H47" s="13">
        <f>H46/N1*100</f>
        <v>93.815333333333328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84.673679186824785</v>
      </c>
      <c r="H48" s="13">
        <f>(H43*1000*H39)/(H22*H18)*100</f>
        <v>91.447573521770749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168.71830936363637</v>
      </c>
      <c r="H49" s="13">
        <f>(142.86*100)/H48</f>
        <v>156.22065681818185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660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587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637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 t="s">
        <v>572</v>
      </c>
      <c r="H22" s="4">
        <v>239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189</v>
      </c>
      <c r="H29" s="4" t="s">
        <v>464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 t="s">
        <v>542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543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31" t="s">
        <v>632</v>
      </c>
      <c r="H32" s="31" t="s">
        <v>632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>
        <v>47</v>
      </c>
      <c r="H37" s="4">
        <v>47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57</v>
      </c>
      <c r="H38" s="4">
        <v>71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10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0.86</v>
      </c>
      <c r="H45" s="13">
        <f>(H43*H39)/1000</f>
        <v>2.0640000000000001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1.0001800000000001</v>
      </c>
      <c r="H46" s="13">
        <f>(H43*H39)/1000*1.163</f>
        <v>2.4004320000000003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40.007200000000005</v>
      </c>
      <c r="H47" s="13">
        <f>H46/N1*100</f>
        <v>96.017280000000014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85.931941902013605</v>
      </c>
      <c r="H48" s="13">
        <f>(H43*1000*H39)/(H22*H18)*100</f>
        <v>89.743149367123834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166.24784316279073</v>
      </c>
      <c r="H49" s="13">
        <f>(142.86*100)/H48</f>
        <v>159.18763828488375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589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20" t="s">
        <v>515</v>
      </c>
      <c r="H18" s="20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20" t="s">
        <v>35</v>
      </c>
      <c r="H19" s="20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20">
        <v>85</v>
      </c>
      <c r="H20" s="20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20" t="s">
        <v>181</v>
      </c>
      <c r="H21" s="20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20">
        <v>97</v>
      </c>
      <c r="H22" s="20">
        <v>230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20" t="s">
        <v>43</v>
      </c>
      <c r="H23" s="20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20" t="s">
        <v>196</v>
      </c>
      <c r="H24" s="20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20">
        <v>19</v>
      </c>
      <c r="H25" s="20">
        <v>118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20">
        <v>85</v>
      </c>
      <c r="H26" s="20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20" t="s">
        <v>178</v>
      </c>
      <c r="H27" s="20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198</v>
      </c>
      <c r="H29" s="4">
        <v>257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5.9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11.2</v>
      </c>
      <c r="H31" s="4">
        <v>12.2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31" t="s">
        <v>632</v>
      </c>
      <c r="H32" s="31" t="s">
        <v>632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>
        <v>47</v>
      </c>
      <c r="H37" s="4">
        <v>47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55</v>
      </c>
      <c r="H38" s="4">
        <v>70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8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0.68799999999999994</v>
      </c>
      <c r="H45" s="13">
        <f>(H43*H39)/1000</f>
        <v>1.978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0.80014399999999997</v>
      </c>
      <c r="H46" s="13">
        <f>(H43*H39)/1000*1.163</f>
        <v>2.300414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32.005760000000002</v>
      </c>
      <c r="H47" s="13">
        <f>H46/N1*100</f>
        <v>92.016559999999998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73.706572847912696</v>
      </c>
      <c r="H48" s="13">
        <f>(H43*1000*H39)/(H22*H18)*100</f>
        <v>89.369219578094146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193.82260561046516</v>
      </c>
      <c r="H49" s="13">
        <f>(142.86*100)/H48</f>
        <v>159.85369534883725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590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361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107</v>
      </c>
      <c r="H22" s="4">
        <v>228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197</v>
      </c>
      <c r="H29" s="4">
        <v>285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6.1</v>
      </c>
      <c r="H30" s="4">
        <v>4.0999999999999996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12.4</v>
      </c>
      <c r="H31" s="4">
        <v>11.8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31" t="s">
        <v>632</v>
      </c>
      <c r="H32" s="31" t="s">
        <v>632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351</v>
      </c>
      <c r="H35" s="4" t="s">
        <v>545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>
        <v>47</v>
      </c>
      <c r="H37" s="4">
        <v>47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55</v>
      </c>
      <c r="H38" s="4">
        <v>70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8</v>
      </c>
      <c r="H39" s="4">
        <f>H38-H37</f>
        <v>23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0.68799999999999994</v>
      </c>
      <c r="H45" s="13">
        <f>(H43*H39)/1000</f>
        <v>1.978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0.80014399999999997</v>
      </c>
      <c r="H46" s="13">
        <f>(H43*H39)/1000*1.163</f>
        <v>2.300414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32.005760000000002</v>
      </c>
      <c r="H47" s="13">
        <f>H46/N1*100</f>
        <v>92.016559999999998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66.818108095771322</v>
      </c>
      <c r="H48" s="13">
        <f>(H43*1000*H39)/(H22*H18)*100</f>
        <v>90.153160100709002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213.80431752906981</v>
      </c>
      <c r="H49" s="13">
        <f>(142.86*100)/H48</f>
        <v>158.46366321536908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591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5">
    <tabColor theme="9" tint="-0.499984740745262"/>
    <pageSetUpPr fitToPage="1"/>
  </sheetPr>
  <dimension ref="B1:O88"/>
  <sheetViews>
    <sheetView topLeftCell="A55" workbookViewId="0">
      <selection activeCell="P69" sqref="P69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661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592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515</v>
      </c>
      <c r="H18" s="4" t="s">
        <v>515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103</v>
      </c>
      <c r="H22" s="4">
        <v>235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43</v>
      </c>
      <c r="H23" s="4" t="s">
        <v>23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>
        <v>19</v>
      </c>
      <c r="H25" s="4">
        <v>112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4">
        <v>85</v>
      </c>
      <c r="H26" s="4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199</v>
      </c>
      <c r="H29" s="4">
        <v>276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245</v>
      </c>
      <c r="H30" s="4">
        <v>4.3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11.1</v>
      </c>
      <c r="H31" s="4">
        <v>12.3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4" t="s">
        <v>374</v>
      </c>
      <c r="H32" s="4" t="s">
        <v>374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>
        <v>87</v>
      </c>
      <c r="H34" s="4">
        <v>119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1.3</v>
      </c>
      <c r="H35" s="4">
        <v>1.18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4">
        <v>48</v>
      </c>
      <c r="H37" s="4">
        <v>48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56</v>
      </c>
      <c r="H38" s="4">
        <v>72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8</v>
      </c>
      <c r="H39" s="4">
        <f>H38-H37</f>
        <v>24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248</v>
      </c>
      <c r="H40" s="4" t="s">
        <v>248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252</v>
      </c>
      <c r="H41" s="4" t="s">
        <v>252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139</v>
      </c>
      <c r="H42" s="4" t="s">
        <v>139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360</v>
      </c>
      <c r="H43" s="4" t="s">
        <v>360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x14ac:dyDescent="0.25">
      <c r="B45" s="4" t="s">
        <v>260</v>
      </c>
      <c r="C45" s="50" t="s">
        <v>261</v>
      </c>
      <c r="D45" s="51"/>
      <c r="E45" s="51"/>
      <c r="F45" s="51"/>
      <c r="G45" s="13">
        <f>(G43*G39)/1000</f>
        <v>0.68799999999999994</v>
      </c>
      <c r="H45" s="13">
        <f>(H43*H39)/1000</f>
        <v>2.0640000000000001</v>
      </c>
      <c r="I45" s="8" t="s">
        <v>189</v>
      </c>
      <c r="J45" s="8" t="s">
        <v>262</v>
      </c>
    </row>
    <row r="46" spans="2:10" x14ac:dyDescent="0.25">
      <c r="B46" s="4"/>
      <c r="C46" s="50" t="s">
        <v>263</v>
      </c>
      <c r="D46" s="51"/>
      <c r="E46" s="51"/>
      <c r="F46" s="51"/>
      <c r="G46" s="13">
        <f>(G43*G39)/1000*1.163</f>
        <v>0.80014399999999997</v>
      </c>
      <c r="H46" s="13">
        <f>(H43*H39)/1000*1.163</f>
        <v>2.4004320000000003</v>
      </c>
      <c r="I46" s="8"/>
      <c r="J46" s="8" t="s">
        <v>264</v>
      </c>
    </row>
    <row r="47" spans="2:10" x14ac:dyDescent="0.25">
      <c r="B47" s="4" t="s">
        <v>265</v>
      </c>
      <c r="C47" s="50" t="s">
        <v>266</v>
      </c>
      <c r="D47" s="51"/>
      <c r="E47" s="51"/>
      <c r="F47" s="51"/>
      <c r="G47" s="13">
        <f>G46/N1*100</f>
        <v>32.005760000000002</v>
      </c>
      <c r="H47" s="13">
        <f>H46/N1*100</f>
        <v>96.017280000000014</v>
      </c>
      <c r="I47" s="8" t="s">
        <v>183</v>
      </c>
      <c r="J47" s="8" t="s">
        <v>184</v>
      </c>
    </row>
    <row r="48" spans="2:10" x14ac:dyDescent="0.25">
      <c r="B48" s="4" t="s">
        <v>268</v>
      </c>
      <c r="C48" s="50" t="s">
        <v>269</v>
      </c>
      <c r="D48" s="51"/>
      <c r="E48" s="51"/>
      <c r="F48" s="51"/>
      <c r="G48" s="13">
        <f>(G43*1000*G39)/(G22*G18)*100</f>
        <v>69.412986080073125</v>
      </c>
      <c r="H48" s="13">
        <f>(H43*1000*H39)/(H22*H18)*100</f>
        <v>91.27069233507487</v>
      </c>
      <c r="I48" s="8" t="s">
        <v>271</v>
      </c>
      <c r="J48" s="8" t="s">
        <v>184</v>
      </c>
    </row>
    <row r="49" spans="2:10" x14ac:dyDescent="0.25">
      <c r="B49" s="4" t="s">
        <v>272</v>
      </c>
      <c r="C49" s="50" t="s">
        <v>273</v>
      </c>
      <c r="D49" s="51"/>
      <c r="E49" s="51"/>
      <c r="F49" s="51"/>
      <c r="G49" s="13">
        <f>(142.86*100)/G48</f>
        <v>205.81163276162795</v>
      </c>
      <c r="H49" s="13">
        <f>(142.86*100)/H48</f>
        <v>156.52341002906979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661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593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12:J12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G36:J36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49:F49"/>
    <mergeCell ref="C65:J65"/>
    <mergeCell ref="C33:F33"/>
    <mergeCell ref="C42:F42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69" fitToHeight="2" orientation="landscape" r:id="rId1"/>
  <rowBreaks count="1" manualBreakCount="1">
    <brk id="56" max="16383" man="1"/>
  </rowBreak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113</v>
      </c>
      <c r="H21" s="4">
        <v>260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17</v>
      </c>
      <c r="H24" s="4">
        <v>112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113</v>
      </c>
      <c r="H28" s="4">
        <v>148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3.3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9.1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83.216589990570938</v>
      </c>
      <c r="H47" s="13">
        <f>(H42*1000*H38)/(H21*H18)*100</f>
        <v>92.427315122005922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171.67249945736435</v>
      </c>
      <c r="H48" s="13">
        <f>(142.86*100)/H47</f>
        <v>154.56469747219415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7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662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588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366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355</v>
      </c>
      <c r="H21" s="4">
        <v>263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57</v>
      </c>
      <c r="H37" s="4">
        <v>71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9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0.77400000000000002</v>
      </c>
      <c r="H44" s="13">
        <f>(H42*H38)/1000</f>
        <v>1.978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0.90016200000000002</v>
      </c>
      <c r="H45" s="13">
        <f>(H42*H38)/1000*1.163</f>
        <v>2.300414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36.006480000000003</v>
      </c>
      <c r="H46" s="13">
        <f>H45/N1*100</f>
        <v>92.016559999999998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81.064436801159616</v>
      </c>
      <c r="H47" s="13">
        <f>(H42*1000*H38)/(H21*H18)*100</f>
        <v>91.373011147230187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176.23017643410856</v>
      </c>
      <c r="H48" s="13">
        <f>(142.86*100)/H47</f>
        <v>156.34813628918101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662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594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595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596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426</v>
      </c>
      <c r="H21" s="4">
        <v>157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25</v>
      </c>
      <c r="H24" s="4">
        <v>113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112</v>
      </c>
      <c r="H28" s="4">
        <v>134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3.3</v>
      </c>
      <c r="H29" s="4">
        <v>2.7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9.9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270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597</v>
      </c>
      <c r="H34" s="4" t="s">
        <v>139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72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12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436</v>
      </c>
      <c r="H42" s="4" t="s">
        <v>436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0.66</v>
      </c>
      <c r="H44" s="13">
        <f>(H42*H38)/1000</f>
        <v>1.2649999999999999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0.76758000000000004</v>
      </c>
      <c r="H45" s="13">
        <f>(H42*H38)/1000*1.163</f>
        <v>1.471195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47.973749999999995</v>
      </c>
      <c r="H46" s="13">
        <f>H45/N1*100</f>
        <v>91.949687499999996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92.16628473516856</v>
      </c>
      <c r="H47" s="13">
        <f>(H42*1000*H38)/(H21*H18)*100</f>
        <v>97.889987131142405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155.00245063636365</v>
      </c>
      <c r="H48" s="13">
        <f>(142.86*100)/H47</f>
        <v>145.93933883003953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598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9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663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599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595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600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377</v>
      </c>
      <c r="H21" s="4">
        <v>167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>
        <v>10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</v>
      </c>
      <c r="H34" s="4">
        <v>1.1000000000000001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71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11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436</v>
      </c>
      <c r="H42" s="4" t="s">
        <v>436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0.60499999999999998</v>
      </c>
      <c r="H44" s="13">
        <f>(H42*H38)/1000</f>
        <v>1.2649999999999999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0.70361499999999999</v>
      </c>
      <c r="H45" s="13">
        <f>(H42*H38)/1000*1.163</f>
        <v>1.471195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43.975937499999993</v>
      </c>
      <c r="H46" s="13">
        <f>H45/N1*100</f>
        <v>91.949687499999996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87.5031096146392</v>
      </c>
      <c r="H47" s="13">
        <f>(H42*1000*H38)/(H21*H18)*100</f>
        <v>92.028311255026097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163.26276932231406</v>
      </c>
      <c r="H48" s="13">
        <f>(142.86*100)/H47</f>
        <v>155.23483811857707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663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601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>
    <pageSetUpPr fitToPage="1"/>
  </sheetPr>
  <dimension ref="B1:O87"/>
  <sheetViews>
    <sheetView workbookViewId="0">
      <selection activeCell="P38" sqref="P38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602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197</v>
      </c>
      <c r="H21" s="4" t="s">
        <v>603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>
        <v>111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>
        <v>133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9</v>
      </c>
      <c r="H30" s="4" t="s">
        <v>181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188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1.3</v>
      </c>
      <c r="H34" s="4" t="s">
        <v>422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76.987511909405399</v>
      </c>
      <c r="H47" s="13">
        <f>(H42*1000*H38)/(H21*H18)*100</f>
        <v>89.556901608900148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185.56256262458473</v>
      </c>
      <c r="H48" s="13">
        <f>(142.86*100)/H47</f>
        <v>159.51869418604653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602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87</v>
      </c>
      <c r="H21" s="4">
        <v>277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356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84.066823349350713</v>
      </c>
      <c r="H47" s="13">
        <f>(H42*1000*H38)/(H21*H18)*100</f>
        <v>90.526831951234811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169.93624156146183</v>
      </c>
      <c r="H48" s="13">
        <f>(142.86*100)/H47</f>
        <v>157.80956531976747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1.6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664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604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602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434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424</v>
      </c>
      <c r="H21" s="4">
        <v>169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>
        <v>23</v>
      </c>
      <c r="H24" s="4">
        <v>109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113</v>
      </c>
      <c r="H28" s="4">
        <v>147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3.8</v>
      </c>
      <c r="H29" s="4">
        <v>2.9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319</v>
      </c>
      <c r="H37" s="4">
        <v>83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23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436</v>
      </c>
      <c r="H42" s="4" t="s">
        <v>436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0.55000000000000004</v>
      </c>
      <c r="H44" s="13">
        <f>(H42*H38)/1000</f>
        <v>1.2649999999999999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0.63965000000000005</v>
      </c>
      <c r="H45" s="13">
        <f>(H42*H38)/1000*1.163</f>
        <v>1.471195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39.978125000000006</v>
      </c>
      <c r="H46" s="13">
        <f>H45/N1*100</f>
        <v>91.949687499999996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90.298049233780006</v>
      </c>
      <c r="H47" s="13">
        <f>(H42*1000*H38)/(H21*H18)*100</f>
        <v>90.939218814138215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158.20939789090912</v>
      </c>
      <c r="H48" s="13">
        <f>(142.86*100)/H47</f>
        <v>157.09393797628459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664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605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pageSetUpPr fitToPage="1"/>
  </sheetPr>
  <dimension ref="B1:O87"/>
  <sheetViews>
    <sheetView topLeftCell="A10" workbookViewId="0">
      <selection activeCell="S20" sqref="S20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606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>
        <v>20</v>
      </c>
      <c r="H19" s="4">
        <v>20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81</v>
      </c>
      <c r="H21" s="4">
        <v>277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101</v>
      </c>
      <c r="H28" s="4">
        <v>145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607</v>
      </c>
      <c r="H29" s="4" t="s">
        <v>343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608</v>
      </c>
      <c r="H30" s="4" t="s">
        <v>501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454</v>
      </c>
      <c r="H32" s="4" t="s">
        <v>182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405</v>
      </c>
      <c r="H33" s="4" t="s">
        <v>228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609</v>
      </c>
      <c r="H34" s="4" t="s">
        <v>610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90.293995449302628</v>
      </c>
      <c r="H47" s="13">
        <f>(H42*1000*H38)/(H21*H18)*100</f>
        <v>90.526831951234811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158.21650076411962</v>
      </c>
      <c r="H48" s="13">
        <f>(142.86*100)/H47</f>
        <v>157.80956531976747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665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344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606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 t="s">
        <v>178</v>
      </c>
      <c r="H19" s="4" t="s">
        <v>178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355</v>
      </c>
      <c r="H21" s="4">
        <v>276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110</v>
      </c>
      <c r="H28" s="4" t="s">
        <v>315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357</v>
      </c>
      <c r="H29" s="4" t="s">
        <v>316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358</v>
      </c>
      <c r="H30" s="4" t="s">
        <v>317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228</v>
      </c>
      <c r="H33" s="4" t="s">
        <v>229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359</v>
      </c>
      <c r="H34" s="4" t="s">
        <v>338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319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10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0.86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1.0001800000000001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40.007200000000005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90.071596445732922</v>
      </c>
      <c r="H47" s="13">
        <f>(H42*1000*H38)/(H21*H18)*100</f>
        <v>90.854827719174068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158.60715879069767</v>
      </c>
      <c r="H48" s="13">
        <f>(142.86*100)/H47</f>
        <v>157.23985569767444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665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352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665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361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155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606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328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169</v>
      </c>
      <c r="H18" s="4" t="s">
        <v>169</v>
      </c>
      <c r="I18" s="8" t="s">
        <v>170</v>
      </c>
      <c r="J18" s="8" t="s">
        <v>171</v>
      </c>
    </row>
    <row r="19" spans="2:10" x14ac:dyDescent="0.25">
      <c r="B19" s="20" t="s">
        <v>172</v>
      </c>
      <c r="C19" s="50" t="s">
        <v>177</v>
      </c>
      <c r="D19" s="51"/>
      <c r="E19" s="51"/>
      <c r="F19" s="51"/>
      <c r="G19" s="4">
        <v>20</v>
      </c>
      <c r="H19" s="4">
        <v>20</v>
      </c>
      <c r="I19" s="8" t="s">
        <v>174</v>
      </c>
      <c r="J19" s="8" t="s">
        <v>175</v>
      </c>
    </row>
    <row r="20" spans="2:10" x14ac:dyDescent="0.25">
      <c r="B20" s="4" t="s">
        <v>176</v>
      </c>
      <c r="C20" s="50" t="s">
        <v>180</v>
      </c>
      <c r="D20" s="51"/>
      <c r="E20" s="51"/>
      <c r="F20" s="51"/>
      <c r="G20" s="4" t="s">
        <v>181</v>
      </c>
      <c r="H20" s="4" t="s">
        <v>182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80</v>
      </c>
      <c r="H21" s="4">
        <v>280</v>
      </c>
      <c r="I21" s="8" t="s">
        <v>189</v>
      </c>
      <c r="J21" s="8" t="s">
        <v>190</v>
      </c>
    </row>
    <row r="22" spans="2:10" x14ac:dyDescent="0.25">
      <c r="B22" s="4" t="s">
        <v>185</v>
      </c>
      <c r="C22" s="50" t="s">
        <v>192</v>
      </c>
      <c r="D22" s="51"/>
      <c r="E22" s="51"/>
      <c r="F22" s="51"/>
      <c r="G22" s="4" t="s">
        <v>43</v>
      </c>
      <c r="H22" s="4" t="s">
        <v>23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196</v>
      </c>
      <c r="H23" s="4" t="s">
        <v>197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178</v>
      </c>
      <c r="H24" s="4" t="s">
        <v>200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100</v>
      </c>
      <c r="H28" s="4" t="s">
        <v>611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429</v>
      </c>
      <c r="H29" s="4" t="s">
        <v>389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430</v>
      </c>
      <c r="H30" s="4" t="s">
        <v>358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4" t="s">
        <v>204</v>
      </c>
      <c r="H31" s="4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267</v>
      </c>
      <c r="H32" s="4" t="s">
        <v>323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323</v>
      </c>
      <c r="H33" s="4" t="s">
        <v>228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432</v>
      </c>
      <c r="H34" s="4" t="s">
        <v>392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60</v>
      </c>
      <c r="H36" s="4">
        <v>60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67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86</v>
      </c>
      <c r="H42" s="4">
        <v>86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0.60199999999999998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0.70012600000000003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28.005040000000005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91.422670392418908</v>
      </c>
      <c r="H47" s="13">
        <f>(H42*1000*H38)/(H21*H18)*100</f>
        <v>89.556901608900148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156.26321063122924</v>
      </c>
      <c r="H48" s="13">
        <f>(142.86*100)/H47</f>
        <v>159.51869418604653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665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362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286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290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293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301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197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204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9:F79"/>
    <mergeCell ref="C48:F48"/>
    <mergeCell ref="C64:J64"/>
    <mergeCell ref="C32:F32"/>
    <mergeCell ref="C41:F41"/>
    <mergeCell ref="C23:F23"/>
    <mergeCell ref="C78:F78"/>
    <mergeCell ref="C72:F72"/>
    <mergeCell ref="C11:J11"/>
    <mergeCell ref="C25:F25"/>
    <mergeCell ref="C12:J12"/>
    <mergeCell ref="C21:F21"/>
    <mergeCell ref="I72:J72"/>
    <mergeCell ref="C30:F30"/>
    <mergeCell ref="C45:F45"/>
    <mergeCell ref="C65:J65"/>
    <mergeCell ref="C69:F69"/>
    <mergeCell ref="C47:F47"/>
    <mergeCell ref="C22:F22"/>
    <mergeCell ref="G78:J78"/>
    <mergeCell ref="C37:F37"/>
    <mergeCell ref="G81:J81"/>
    <mergeCell ref="I82:J82"/>
    <mergeCell ref="C40:F40"/>
    <mergeCell ref="C42:F42"/>
    <mergeCell ref="C13:J13"/>
    <mergeCell ref="C26:F26"/>
    <mergeCell ref="C73:F73"/>
    <mergeCell ref="I67:J67"/>
    <mergeCell ref="G17:J17"/>
    <mergeCell ref="C34:F34"/>
    <mergeCell ref="C16:F16"/>
    <mergeCell ref="C24:F24"/>
    <mergeCell ref="G27:J27"/>
    <mergeCell ref="C74:F74"/>
    <mergeCell ref="I77:J77"/>
    <mergeCell ref="G68:J68"/>
    <mergeCell ref="I83:J83"/>
    <mergeCell ref="C35:F35"/>
    <mergeCell ref="C17:F17"/>
    <mergeCell ref="I76:J76"/>
    <mergeCell ref="I79:J7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76:F76"/>
    <mergeCell ref="C83:F83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19:F19"/>
    <mergeCell ref="C28:F28"/>
    <mergeCell ref="C46:F46"/>
    <mergeCell ref="C43:F43"/>
    <mergeCell ref="C20:F20"/>
    <mergeCell ref="G35:J35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612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613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614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16" t="s">
        <v>159</v>
      </c>
      <c r="C16" s="53" t="s">
        <v>160</v>
      </c>
      <c r="D16" s="54"/>
      <c r="E16" s="54"/>
      <c r="F16" s="54"/>
      <c r="G16" s="16" t="s">
        <v>161</v>
      </c>
      <c r="H16" s="16" t="s">
        <v>162</v>
      </c>
      <c r="I16" s="16" t="s">
        <v>163</v>
      </c>
      <c r="J16" s="16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615</v>
      </c>
      <c r="H18" s="4" t="s">
        <v>615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4">
        <v>85</v>
      </c>
      <c r="H20" s="4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53</v>
      </c>
      <c r="H22" s="4">
        <v>102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35</v>
      </c>
      <c r="H23" s="4" t="s">
        <v>322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37">
        <v>85</v>
      </c>
      <c r="H26" s="37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 t="s">
        <v>616</v>
      </c>
      <c r="H29" s="4" t="s">
        <v>617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 t="s">
        <v>524</v>
      </c>
      <c r="H30" s="4" t="s">
        <v>618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 t="s">
        <v>619</v>
      </c>
      <c r="H31" s="4" t="s">
        <v>544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37" t="s">
        <v>204</v>
      </c>
      <c r="H32" s="37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 t="s">
        <v>270</v>
      </c>
      <c r="H34" s="4" t="s">
        <v>356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 t="s">
        <v>620</v>
      </c>
      <c r="H35" s="4" t="s">
        <v>621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37">
        <v>60</v>
      </c>
      <c r="H37" s="37">
        <v>60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4">
        <v>73</v>
      </c>
      <c r="H38" s="4">
        <v>85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13</v>
      </c>
      <c r="H39" s="4">
        <f>H38-H37</f>
        <v>25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622</v>
      </c>
      <c r="H40" s="4" t="s">
        <v>622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607</v>
      </c>
      <c r="H41" s="4" t="s">
        <v>607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15</v>
      </c>
      <c r="H42" s="4" t="s">
        <v>15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581</v>
      </c>
      <c r="H43" s="4" t="s">
        <v>581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s="15" customFormat="1" x14ac:dyDescent="0.25">
      <c r="B45" s="14" t="s">
        <v>260</v>
      </c>
      <c r="C45" s="50" t="s">
        <v>261</v>
      </c>
      <c r="D45" s="51"/>
      <c r="E45" s="51"/>
      <c r="F45" s="51"/>
      <c r="G45" s="13">
        <f>(G43*G39)/1000</f>
        <v>0.442</v>
      </c>
      <c r="H45" s="13">
        <f>(H43*H39)/1000</f>
        <v>0.85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51"/>
      <c r="E46" s="51"/>
      <c r="F46" s="51"/>
      <c r="G46" s="13">
        <f>(G43*G39)/1000*1.163</f>
        <v>0.514046</v>
      </c>
      <c r="H46" s="13">
        <f>(H43*H39)/1000*1.163</f>
        <v>0.98855000000000004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51"/>
      <c r="E47" s="51"/>
      <c r="F47" s="51"/>
      <c r="G47" s="13">
        <f>G46/N1*100</f>
        <v>51.404600000000002</v>
      </c>
      <c r="H47" s="13">
        <f>H46/N1*100</f>
        <v>98.855000000000004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51"/>
      <c r="E48" s="51"/>
      <c r="F48" s="51"/>
      <c r="G48" s="13">
        <f>(G43*1000*G39)/(G22*G18)*100</f>
        <v>90.1580826109128</v>
      </c>
      <c r="H48" s="13">
        <f>(H43*1000*H39)/(H22*H18)*100</f>
        <v>90.090090090090087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51"/>
      <c r="E49" s="51"/>
      <c r="F49" s="51"/>
      <c r="G49" s="13">
        <f>(142.86*100)/G48</f>
        <v>158.45501131221721</v>
      </c>
      <c r="H49" s="13">
        <f>(142.86*100)/H48</f>
        <v>158.57460000000003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666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623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16" t="s">
        <v>159</v>
      </c>
      <c r="C68" s="53" t="s">
        <v>160</v>
      </c>
      <c r="D68" s="54"/>
      <c r="E68" s="54"/>
      <c r="F68" s="54"/>
      <c r="G68" s="16" t="s">
        <v>282</v>
      </c>
      <c r="H68" s="16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49:F49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>
    <pageSetUpPr fitToPage="1"/>
  </sheetPr>
  <dimension ref="B1:O88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1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624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514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613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614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615</v>
      </c>
      <c r="H18" s="4" t="s">
        <v>615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516</v>
      </c>
      <c r="D19" s="51"/>
      <c r="E19" s="51"/>
      <c r="F19" s="51"/>
      <c r="G19" s="4" t="s">
        <v>35</v>
      </c>
      <c r="H19" s="4" t="s">
        <v>95</v>
      </c>
      <c r="I19" s="8" t="s">
        <v>174</v>
      </c>
      <c r="J19" s="8" t="s">
        <v>249</v>
      </c>
    </row>
    <row r="20" spans="2:10" x14ac:dyDescent="0.25">
      <c r="B20" s="4" t="s">
        <v>176</v>
      </c>
      <c r="C20" s="50" t="s">
        <v>518</v>
      </c>
      <c r="D20" s="51"/>
      <c r="E20" s="51"/>
      <c r="F20" s="51"/>
      <c r="G20" s="37">
        <v>85</v>
      </c>
      <c r="H20" s="37">
        <v>85</v>
      </c>
      <c r="I20" s="8" t="s">
        <v>489</v>
      </c>
      <c r="J20" s="8" t="s">
        <v>205</v>
      </c>
    </row>
    <row r="21" spans="2:10" x14ac:dyDescent="0.25">
      <c r="B21" s="4" t="s">
        <v>179</v>
      </c>
      <c r="C21" s="50" t="s">
        <v>370</v>
      </c>
      <c r="D21" s="51"/>
      <c r="E21" s="51"/>
      <c r="F21" s="51"/>
      <c r="G21" s="4" t="s">
        <v>181</v>
      </c>
      <c r="H21" s="4" t="s">
        <v>182</v>
      </c>
      <c r="I21" s="8" t="s">
        <v>183</v>
      </c>
      <c r="J21" s="8" t="s">
        <v>184</v>
      </c>
    </row>
    <row r="22" spans="2:10" x14ac:dyDescent="0.25">
      <c r="B22" s="4" t="s">
        <v>185</v>
      </c>
      <c r="C22" s="50" t="s">
        <v>186</v>
      </c>
      <c r="D22" s="51"/>
      <c r="E22" s="51"/>
      <c r="F22" s="51"/>
      <c r="G22" s="4">
        <v>52</v>
      </c>
      <c r="H22" s="4">
        <v>101</v>
      </c>
      <c r="I22" s="8" t="s">
        <v>189</v>
      </c>
      <c r="J22" s="8" t="s">
        <v>371</v>
      </c>
    </row>
    <row r="23" spans="2:10" x14ac:dyDescent="0.25">
      <c r="B23" s="4" t="s">
        <v>191</v>
      </c>
      <c r="C23" s="50" t="s">
        <v>192</v>
      </c>
      <c r="D23" s="51"/>
      <c r="E23" s="51"/>
      <c r="F23" s="51"/>
      <c r="G23" s="4" t="s">
        <v>35</v>
      </c>
      <c r="H23" s="4" t="s">
        <v>322</v>
      </c>
      <c r="I23" s="8" t="s">
        <v>193</v>
      </c>
      <c r="J23" s="8" t="s">
        <v>175</v>
      </c>
    </row>
    <row r="24" spans="2:10" x14ac:dyDescent="0.25">
      <c r="B24" s="4" t="s">
        <v>194</v>
      </c>
      <c r="C24" s="50" t="s">
        <v>195</v>
      </c>
      <c r="D24" s="51"/>
      <c r="E24" s="51"/>
      <c r="F24" s="51"/>
      <c r="G24" s="4" t="s">
        <v>196</v>
      </c>
      <c r="H24" s="4" t="s">
        <v>197</v>
      </c>
      <c r="I24" s="8" t="s">
        <v>183</v>
      </c>
      <c r="J24" s="8" t="s">
        <v>184</v>
      </c>
    </row>
    <row r="25" spans="2:10" x14ac:dyDescent="0.25">
      <c r="B25" s="4" t="s">
        <v>198</v>
      </c>
      <c r="C25" s="50" t="s">
        <v>199</v>
      </c>
      <c r="D25" s="51"/>
      <c r="E25" s="51"/>
      <c r="F25" s="51"/>
      <c r="G25" s="4" t="s">
        <v>178</v>
      </c>
      <c r="H25" s="4" t="s">
        <v>200</v>
      </c>
      <c r="I25" s="8" t="s">
        <v>193</v>
      </c>
      <c r="J25" s="8" t="s">
        <v>201</v>
      </c>
    </row>
    <row r="26" spans="2:10" x14ac:dyDescent="0.25">
      <c r="B26" s="4" t="s">
        <v>202</v>
      </c>
      <c r="C26" s="50" t="s">
        <v>520</v>
      </c>
      <c r="D26" s="51"/>
      <c r="E26" s="51"/>
      <c r="F26" s="51"/>
      <c r="G26" s="37">
        <v>85</v>
      </c>
      <c r="H26" s="37">
        <v>85</v>
      </c>
      <c r="I26" s="8" t="s">
        <v>489</v>
      </c>
      <c r="J26" s="8" t="s">
        <v>205</v>
      </c>
    </row>
    <row r="27" spans="2:10" x14ac:dyDescent="0.25">
      <c r="B27" s="4" t="s">
        <v>206</v>
      </c>
      <c r="C27" s="50" t="s">
        <v>207</v>
      </c>
      <c r="D27" s="51"/>
      <c r="E27" s="51"/>
      <c r="F27" s="51"/>
      <c r="G27" s="4" t="s">
        <v>178</v>
      </c>
      <c r="H27" s="4" t="s">
        <v>178</v>
      </c>
      <c r="I27" s="8" t="s">
        <v>189</v>
      </c>
      <c r="J27" s="8" t="s">
        <v>205</v>
      </c>
    </row>
    <row r="28" spans="2:10" x14ac:dyDescent="0.25">
      <c r="B28" s="7" t="s">
        <v>208</v>
      </c>
      <c r="C28" s="55" t="s">
        <v>209</v>
      </c>
      <c r="D28" s="56"/>
      <c r="E28" s="56"/>
      <c r="F28" s="56"/>
      <c r="G28" s="57"/>
      <c r="H28" s="56"/>
      <c r="I28" s="56"/>
      <c r="J28" s="56"/>
    </row>
    <row r="29" spans="2:10" x14ac:dyDescent="0.25">
      <c r="B29" s="4" t="s">
        <v>210</v>
      </c>
      <c r="C29" s="50" t="s">
        <v>211</v>
      </c>
      <c r="D29" s="51"/>
      <c r="E29" s="51"/>
      <c r="F29" s="51"/>
      <c r="G29" s="4">
        <v>176</v>
      </c>
      <c r="H29" s="4">
        <v>243</v>
      </c>
      <c r="I29" s="8" t="s">
        <v>189</v>
      </c>
      <c r="J29" s="8" t="s">
        <v>205</v>
      </c>
    </row>
    <row r="30" spans="2:10" x14ac:dyDescent="0.25">
      <c r="B30" s="4" t="s">
        <v>212</v>
      </c>
      <c r="C30" s="50" t="s">
        <v>213</v>
      </c>
      <c r="D30" s="51"/>
      <c r="E30" s="51"/>
      <c r="F30" s="51"/>
      <c r="G30" s="4">
        <v>5.7</v>
      </c>
      <c r="H30" s="4">
        <v>3.7</v>
      </c>
      <c r="I30" s="8" t="s">
        <v>193</v>
      </c>
      <c r="J30" s="8" t="s">
        <v>184</v>
      </c>
    </row>
    <row r="31" spans="2:10" x14ac:dyDescent="0.25">
      <c r="B31" s="4" t="s">
        <v>216</v>
      </c>
      <c r="C31" s="50" t="s">
        <v>217</v>
      </c>
      <c r="D31" s="51"/>
      <c r="E31" s="51"/>
      <c r="F31" s="51"/>
      <c r="G31" s="4">
        <v>11.2</v>
      </c>
      <c r="H31" s="4">
        <v>12.5</v>
      </c>
      <c r="I31" s="8" t="s">
        <v>193</v>
      </c>
      <c r="J31" s="8" t="s">
        <v>184</v>
      </c>
    </row>
    <row r="32" spans="2:10" x14ac:dyDescent="0.25">
      <c r="B32" s="4" t="s">
        <v>220</v>
      </c>
      <c r="C32" s="50" t="s">
        <v>221</v>
      </c>
      <c r="D32" s="51"/>
      <c r="E32" s="51"/>
      <c r="F32" s="51"/>
      <c r="G32" s="37" t="s">
        <v>204</v>
      </c>
      <c r="H32" s="37" t="s">
        <v>204</v>
      </c>
      <c r="I32" s="8" t="s">
        <v>193</v>
      </c>
      <c r="J32" s="8" t="s">
        <v>184</v>
      </c>
    </row>
    <row r="33" spans="2:10" x14ac:dyDescent="0.25">
      <c r="B33" s="4" t="s">
        <v>222</v>
      </c>
      <c r="C33" s="50" t="s">
        <v>223</v>
      </c>
      <c r="D33" s="51"/>
      <c r="E33" s="51"/>
      <c r="F33" s="51"/>
      <c r="G33" s="4" t="s">
        <v>224</v>
      </c>
      <c r="H33" s="4" t="s">
        <v>224</v>
      </c>
      <c r="I33" s="8" t="s">
        <v>193</v>
      </c>
      <c r="J33" s="8" t="s">
        <v>225</v>
      </c>
    </row>
    <row r="34" spans="2:10" x14ac:dyDescent="0.25">
      <c r="B34" s="4" t="s">
        <v>226</v>
      </c>
      <c r="C34" s="50" t="s">
        <v>227</v>
      </c>
      <c r="D34" s="51"/>
      <c r="E34" s="51"/>
      <c r="F34" s="51"/>
      <c r="G34" s="4">
        <v>89</v>
      </c>
      <c r="H34" s="4">
        <v>115</v>
      </c>
      <c r="I34" s="8" t="s">
        <v>193</v>
      </c>
      <c r="J34" s="8" t="s">
        <v>225</v>
      </c>
    </row>
    <row r="35" spans="2:10" x14ac:dyDescent="0.25">
      <c r="B35" s="4" t="s">
        <v>230</v>
      </c>
      <c r="C35" s="50" t="s">
        <v>231</v>
      </c>
      <c r="D35" s="51"/>
      <c r="E35" s="51"/>
      <c r="F35" s="51"/>
      <c r="G35" s="4">
        <v>1.43</v>
      </c>
      <c r="H35" s="4">
        <v>1.24</v>
      </c>
      <c r="I35" s="8" t="s">
        <v>174</v>
      </c>
      <c r="J35" s="8"/>
    </row>
    <row r="36" spans="2:10" x14ac:dyDescent="0.25">
      <c r="B36" s="7" t="s">
        <v>234</v>
      </c>
      <c r="C36" s="55" t="s">
        <v>235</v>
      </c>
      <c r="D36" s="56"/>
      <c r="E36" s="56"/>
      <c r="F36" s="56"/>
      <c r="G36" s="57"/>
      <c r="H36" s="56"/>
      <c r="I36" s="56"/>
      <c r="J36" s="56"/>
    </row>
    <row r="37" spans="2:10" x14ac:dyDescent="0.25">
      <c r="B37" s="4" t="s">
        <v>236</v>
      </c>
      <c r="C37" s="50" t="s">
        <v>237</v>
      </c>
      <c r="D37" s="51"/>
      <c r="E37" s="51"/>
      <c r="F37" s="51"/>
      <c r="G37" s="37">
        <v>60</v>
      </c>
      <c r="H37" s="37">
        <v>60</v>
      </c>
      <c r="I37" s="8" t="s">
        <v>189</v>
      </c>
      <c r="J37" s="8" t="s">
        <v>205</v>
      </c>
    </row>
    <row r="38" spans="2:10" x14ac:dyDescent="0.25">
      <c r="B38" s="4" t="s">
        <v>239</v>
      </c>
      <c r="C38" s="50" t="s">
        <v>240</v>
      </c>
      <c r="D38" s="51"/>
      <c r="E38" s="51"/>
      <c r="F38" s="51"/>
      <c r="G38" s="37">
        <v>73</v>
      </c>
      <c r="H38" s="37">
        <v>85</v>
      </c>
      <c r="I38" s="8" t="s">
        <v>189</v>
      </c>
      <c r="J38" s="8" t="s">
        <v>205</v>
      </c>
    </row>
    <row r="39" spans="2:10" x14ac:dyDescent="0.25">
      <c r="B39" s="4" t="s">
        <v>243</v>
      </c>
      <c r="C39" s="50" t="s">
        <v>244</v>
      </c>
      <c r="D39" s="51"/>
      <c r="E39" s="51"/>
      <c r="F39" s="51"/>
      <c r="G39" s="4">
        <f>G38-G37</f>
        <v>13</v>
      </c>
      <c r="H39" s="4">
        <f>H38-H37</f>
        <v>25</v>
      </c>
      <c r="I39" s="8" t="s">
        <v>189</v>
      </c>
      <c r="J39" s="8" t="s">
        <v>205</v>
      </c>
    </row>
    <row r="40" spans="2:10" x14ac:dyDescent="0.25">
      <c r="B40" s="4" t="s">
        <v>246</v>
      </c>
      <c r="C40" s="50" t="s">
        <v>247</v>
      </c>
      <c r="D40" s="51"/>
      <c r="E40" s="51"/>
      <c r="F40" s="51"/>
      <c r="G40" s="4" t="s">
        <v>622</v>
      </c>
      <c r="H40" s="4" t="s">
        <v>622</v>
      </c>
      <c r="I40" s="8" t="s">
        <v>193</v>
      </c>
      <c r="J40" s="8" t="s">
        <v>249</v>
      </c>
    </row>
    <row r="41" spans="2:10" x14ac:dyDescent="0.25">
      <c r="B41" s="4" t="s">
        <v>250</v>
      </c>
      <c r="C41" s="50" t="s">
        <v>251</v>
      </c>
      <c r="D41" s="51"/>
      <c r="E41" s="51"/>
      <c r="F41" s="51"/>
      <c r="G41" s="4" t="s">
        <v>607</v>
      </c>
      <c r="H41" s="4" t="s">
        <v>607</v>
      </c>
      <c r="I41" s="8" t="s">
        <v>193</v>
      </c>
      <c r="J41" s="8" t="s">
        <v>249</v>
      </c>
    </row>
    <row r="42" spans="2:10" x14ac:dyDescent="0.25">
      <c r="B42" s="4" t="s">
        <v>253</v>
      </c>
      <c r="C42" s="50" t="s">
        <v>254</v>
      </c>
      <c r="D42" s="51"/>
      <c r="E42" s="51"/>
      <c r="F42" s="51"/>
      <c r="G42" s="4" t="s">
        <v>15</v>
      </c>
      <c r="H42" s="4" t="s">
        <v>15</v>
      </c>
      <c r="I42" s="8" t="s">
        <v>193</v>
      </c>
      <c r="J42" s="8" t="s">
        <v>249</v>
      </c>
    </row>
    <row r="43" spans="2:10" x14ac:dyDescent="0.25">
      <c r="B43" s="4" t="s">
        <v>255</v>
      </c>
      <c r="C43" s="50" t="s">
        <v>256</v>
      </c>
      <c r="D43" s="51"/>
      <c r="E43" s="51"/>
      <c r="F43" s="51"/>
      <c r="G43" s="4" t="s">
        <v>581</v>
      </c>
      <c r="H43" s="4" t="s">
        <v>581</v>
      </c>
      <c r="I43" s="8" t="s">
        <v>189</v>
      </c>
      <c r="J43" s="8" t="s">
        <v>258</v>
      </c>
    </row>
    <row r="44" spans="2:10" x14ac:dyDescent="0.25">
      <c r="B44" s="7" t="s">
        <v>259</v>
      </c>
      <c r="C44" s="55" t="s">
        <v>631</v>
      </c>
      <c r="D44" s="56"/>
      <c r="E44" s="56"/>
      <c r="F44" s="56"/>
      <c r="G44" s="57"/>
      <c r="H44" s="56"/>
      <c r="I44" s="56"/>
      <c r="J44" s="56"/>
    </row>
    <row r="45" spans="2:10" s="15" customFormat="1" x14ac:dyDescent="0.25">
      <c r="B45" s="14" t="s">
        <v>260</v>
      </c>
      <c r="C45" s="50" t="s">
        <v>261</v>
      </c>
      <c r="D45" s="51"/>
      <c r="E45" s="51"/>
      <c r="F45" s="51"/>
      <c r="G45" s="13">
        <f>(G43*G39)/1000</f>
        <v>0.442</v>
      </c>
      <c r="H45" s="13">
        <f>(H43*H39)/1000</f>
        <v>0.85</v>
      </c>
      <c r="I45" s="8" t="s">
        <v>189</v>
      </c>
      <c r="J45" s="8" t="s">
        <v>262</v>
      </c>
    </row>
    <row r="46" spans="2:10" s="15" customFormat="1" x14ac:dyDescent="0.25">
      <c r="B46" s="14"/>
      <c r="C46" s="50" t="s">
        <v>263</v>
      </c>
      <c r="D46" s="51"/>
      <c r="E46" s="51"/>
      <c r="F46" s="51"/>
      <c r="G46" s="13">
        <f>(G43*G39)/1000*1.163</f>
        <v>0.514046</v>
      </c>
      <c r="H46" s="13">
        <f>(H43*H39)/1000*1.163</f>
        <v>0.98855000000000004</v>
      </c>
      <c r="I46" s="8"/>
      <c r="J46" s="8" t="s">
        <v>264</v>
      </c>
    </row>
    <row r="47" spans="2:10" s="15" customFormat="1" x14ac:dyDescent="0.25">
      <c r="B47" s="14" t="s">
        <v>265</v>
      </c>
      <c r="C47" s="50" t="s">
        <v>266</v>
      </c>
      <c r="D47" s="51"/>
      <c r="E47" s="51"/>
      <c r="F47" s="51"/>
      <c r="G47" s="13">
        <f>G46/N1*100</f>
        <v>51.404600000000002</v>
      </c>
      <c r="H47" s="13">
        <f>H46/N1*100</f>
        <v>98.855000000000004</v>
      </c>
      <c r="I47" s="8" t="s">
        <v>183</v>
      </c>
      <c r="J47" s="8" t="s">
        <v>184</v>
      </c>
    </row>
    <row r="48" spans="2:10" s="15" customFormat="1" x14ac:dyDescent="0.25">
      <c r="B48" s="14" t="s">
        <v>268</v>
      </c>
      <c r="C48" s="50" t="s">
        <v>269</v>
      </c>
      <c r="D48" s="51"/>
      <c r="E48" s="51"/>
      <c r="F48" s="51"/>
      <c r="G48" s="13">
        <f>(G43*1000*G39)/(G22*G18)*100</f>
        <v>91.891891891891902</v>
      </c>
      <c r="H48" s="13">
        <f>(H43*1000*H39)/(H22*H18)*100</f>
        <v>90.982071180090983</v>
      </c>
      <c r="I48" s="8" t="s">
        <v>271</v>
      </c>
      <c r="J48" s="8" t="s">
        <v>184</v>
      </c>
    </row>
    <row r="49" spans="2:10" s="15" customFormat="1" x14ac:dyDescent="0.25">
      <c r="B49" s="14" t="s">
        <v>272</v>
      </c>
      <c r="C49" s="50" t="s">
        <v>273</v>
      </c>
      <c r="D49" s="51"/>
      <c r="E49" s="51"/>
      <c r="F49" s="51"/>
      <c r="G49" s="13">
        <f>(142.86*100)/G48</f>
        <v>155.46529411764706</v>
      </c>
      <c r="H49" s="13">
        <f>(142.86*100)/H48</f>
        <v>157.01994705882356</v>
      </c>
      <c r="I49" s="8" t="s">
        <v>183</v>
      </c>
      <c r="J49" s="8" t="s">
        <v>274</v>
      </c>
    </row>
    <row r="53" spans="2:10" x14ac:dyDescent="0.25">
      <c r="B53" s="6" t="s">
        <v>275</v>
      </c>
      <c r="H53" s="6" t="s">
        <v>276</v>
      </c>
    </row>
    <row r="54" spans="2:10" x14ac:dyDescent="0.25">
      <c r="B54" s="6" t="s">
        <v>277</v>
      </c>
      <c r="H54" s="6" t="s">
        <v>278</v>
      </c>
    </row>
    <row r="55" spans="2:10" x14ac:dyDescent="0.25">
      <c r="B55" s="6" t="s">
        <v>279</v>
      </c>
      <c r="H55" s="6" t="s">
        <v>151</v>
      </c>
    </row>
    <row r="57" spans="2:10" x14ac:dyDescent="0.25">
      <c r="I57" s="5" t="s">
        <v>146</v>
      </c>
    </row>
    <row r="58" spans="2:10" x14ac:dyDescent="0.25">
      <c r="I58" s="6" t="s">
        <v>147</v>
      </c>
    </row>
    <row r="59" spans="2:10" x14ac:dyDescent="0.25">
      <c r="I59" s="6" t="s">
        <v>148</v>
      </c>
    </row>
    <row r="60" spans="2:10" x14ac:dyDescent="0.25">
      <c r="I60" s="6" t="s">
        <v>149</v>
      </c>
    </row>
    <row r="61" spans="2:10" x14ac:dyDescent="0.25">
      <c r="I61" s="6" t="s">
        <v>150</v>
      </c>
    </row>
    <row r="62" spans="2:10" x14ac:dyDescent="0.25">
      <c r="I62" s="6" t="s">
        <v>151</v>
      </c>
    </row>
    <row r="63" spans="2:10" x14ac:dyDescent="0.25">
      <c r="I63" s="39" t="s">
        <v>666</v>
      </c>
    </row>
    <row r="65" spans="2:10" ht="18.75" x14ac:dyDescent="0.25">
      <c r="C65" s="52" t="s">
        <v>280</v>
      </c>
      <c r="D65" s="49"/>
      <c r="E65" s="49"/>
      <c r="F65" s="49"/>
      <c r="G65" s="49"/>
      <c r="H65" s="49"/>
      <c r="I65" s="49"/>
      <c r="J65" s="49"/>
    </row>
    <row r="66" spans="2:10" x14ac:dyDescent="0.25">
      <c r="C66" s="48" t="s">
        <v>625</v>
      </c>
      <c r="D66" s="49"/>
      <c r="E66" s="49"/>
      <c r="F66" s="49"/>
      <c r="G66" s="49"/>
      <c r="H66" s="49"/>
      <c r="I66" s="49"/>
      <c r="J66" s="49"/>
    </row>
    <row r="68" spans="2:10" s="10" customFormat="1" ht="28.5" x14ac:dyDescent="0.25">
      <c r="B68" s="9" t="s">
        <v>159</v>
      </c>
      <c r="C68" s="53" t="s">
        <v>160</v>
      </c>
      <c r="D68" s="54"/>
      <c r="E68" s="54"/>
      <c r="F68" s="54"/>
      <c r="G68" s="9" t="s">
        <v>282</v>
      </c>
      <c r="H68" s="9" t="s">
        <v>164</v>
      </c>
      <c r="I68" s="53" t="s">
        <v>283</v>
      </c>
      <c r="J68" s="54"/>
    </row>
    <row r="69" spans="2:10" x14ac:dyDescent="0.25">
      <c r="B69" s="7" t="s">
        <v>165</v>
      </c>
      <c r="C69" s="55" t="s">
        <v>284</v>
      </c>
      <c r="D69" s="56"/>
      <c r="E69" s="56"/>
      <c r="F69" s="56"/>
      <c r="G69" s="57"/>
      <c r="H69" s="56"/>
      <c r="I69" s="56"/>
      <c r="J69" s="56"/>
    </row>
    <row r="70" spans="2:10" x14ac:dyDescent="0.25">
      <c r="B70" s="4" t="s">
        <v>167</v>
      </c>
      <c r="C70" s="50" t="s">
        <v>285</v>
      </c>
      <c r="D70" s="51"/>
      <c r="E70" s="51"/>
      <c r="F70" s="51"/>
      <c r="G70" s="4" t="s">
        <v>62</v>
      </c>
      <c r="H70" s="4" t="s">
        <v>287</v>
      </c>
      <c r="I70" s="58" t="s">
        <v>288</v>
      </c>
      <c r="J70" s="51"/>
    </row>
    <row r="71" spans="2:10" x14ac:dyDescent="0.25">
      <c r="B71" s="4" t="s">
        <v>172</v>
      </c>
      <c r="C71" s="50" t="s">
        <v>289</v>
      </c>
      <c r="D71" s="51"/>
      <c r="E71" s="51"/>
      <c r="F71" s="51"/>
      <c r="G71" s="4" t="s">
        <v>469</v>
      </c>
      <c r="H71" s="4" t="s">
        <v>287</v>
      </c>
      <c r="I71" s="58" t="s">
        <v>288</v>
      </c>
      <c r="J71" s="51"/>
    </row>
    <row r="72" spans="2:10" x14ac:dyDescent="0.25">
      <c r="B72" s="7" t="s">
        <v>208</v>
      </c>
      <c r="C72" s="55" t="s">
        <v>291</v>
      </c>
      <c r="D72" s="56"/>
      <c r="E72" s="56"/>
      <c r="F72" s="56"/>
      <c r="G72" s="57"/>
      <c r="H72" s="56"/>
      <c r="I72" s="56"/>
      <c r="J72" s="56"/>
    </row>
    <row r="73" spans="2:10" x14ac:dyDescent="0.25">
      <c r="B73" s="4" t="s">
        <v>210</v>
      </c>
      <c r="C73" s="50" t="s">
        <v>292</v>
      </c>
      <c r="D73" s="51"/>
      <c r="E73" s="51"/>
      <c r="F73" s="51"/>
      <c r="G73" s="4" t="s">
        <v>293</v>
      </c>
      <c r="H73" s="4" t="s">
        <v>287</v>
      </c>
      <c r="I73" s="58" t="s">
        <v>288</v>
      </c>
      <c r="J73" s="51"/>
    </row>
    <row r="74" spans="2:10" x14ac:dyDescent="0.25">
      <c r="B74" s="4" t="s">
        <v>212</v>
      </c>
      <c r="C74" s="50" t="s">
        <v>294</v>
      </c>
      <c r="D74" s="51"/>
      <c r="E74" s="51"/>
      <c r="F74" s="51"/>
      <c r="G74" s="4" t="s">
        <v>295</v>
      </c>
      <c r="H74" s="4" t="s">
        <v>201</v>
      </c>
      <c r="I74" s="58" t="s">
        <v>296</v>
      </c>
      <c r="J74" s="51"/>
    </row>
    <row r="75" spans="2:10" x14ac:dyDescent="0.25">
      <c r="B75" s="7" t="s">
        <v>234</v>
      </c>
      <c r="C75" s="55" t="s">
        <v>297</v>
      </c>
      <c r="D75" s="56"/>
      <c r="E75" s="56"/>
      <c r="F75" s="56"/>
      <c r="G75" s="57"/>
      <c r="H75" s="56"/>
      <c r="I75" s="56"/>
      <c r="J75" s="56"/>
    </row>
    <row r="76" spans="2:10" x14ac:dyDescent="0.25">
      <c r="B76" s="4" t="s">
        <v>236</v>
      </c>
      <c r="C76" s="50" t="s">
        <v>298</v>
      </c>
      <c r="D76" s="51"/>
      <c r="E76" s="51"/>
      <c r="F76" s="51"/>
      <c r="G76" s="4" t="s">
        <v>299</v>
      </c>
      <c r="H76" s="4" t="s">
        <v>287</v>
      </c>
      <c r="I76" s="58" t="s">
        <v>288</v>
      </c>
      <c r="J76" s="51"/>
    </row>
    <row r="77" spans="2:10" x14ac:dyDescent="0.25">
      <c r="B77" s="4" t="s">
        <v>239</v>
      </c>
      <c r="C77" s="50" t="s">
        <v>300</v>
      </c>
      <c r="D77" s="51"/>
      <c r="E77" s="51"/>
      <c r="F77" s="51"/>
      <c r="G77" s="4" t="s">
        <v>301</v>
      </c>
      <c r="H77" s="4" t="s">
        <v>287</v>
      </c>
      <c r="I77" s="58" t="s">
        <v>288</v>
      </c>
      <c r="J77" s="51"/>
    </row>
    <row r="78" spans="2:10" x14ac:dyDescent="0.25">
      <c r="B78" s="4" t="s">
        <v>243</v>
      </c>
      <c r="C78" s="50" t="s">
        <v>302</v>
      </c>
      <c r="D78" s="51"/>
      <c r="E78" s="51"/>
      <c r="F78" s="51"/>
      <c r="G78" s="4" t="s">
        <v>539</v>
      </c>
      <c r="H78" s="4" t="s">
        <v>205</v>
      </c>
      <c r="I78" s="58" t="s">
        <v>288</v>
      </c>
      <c r="J78" s="51"/>
    </row>
    <row r="79" spans="2:10" x14ac:dyDescent="0.25">
      <c r="B79" s="7" t="s">
        <v>259</v>
      </c>
      <c r="C79" s="55" t="s">
        <v>303</v>
      </c>
      <c r="D79" s="56"/>
      <c r="E79" s="56"/>
      <c r="F79" s="56"/>
      <c r="G79" s="57"/>
      <c r="H79" s="56"/>
      <c r="I79" s="56"/>
      <c r="J79" s="56"/>
    </row>
    <row r="80" spans="2:10" x14ac:dyDescent="0.25">
      <c r="B80" s="4" t="s">
        <v>260</v>
      </c>
      <c r="C80" s="50" t="s">
        <v>304</v>
      </c>
      <c r="D80" s="51"/>
      <c r="E80" s="51"/>
      <c r="F80" s="51"/>
      <c r="G80" s="4" t="s">
        <v>305</v>
      </c>
      <c r="H80" s="4"/>
      <c r="I80" s="58" t="s">
        <v>288</v>
      </c>
      <c r="J80" s="51"/>
    </row>
    <row r="81" spans="2:10" x14ac:dyDescent="0.25">
      <c r="B81" s="4" t="s">
        <v>265</v>
      </c>
      <c r="C81" s="50" t="s">
        <v>306</v>
      </c>
      <c r="D81" s="51"/>
      <c r="E81" s="51"/>
      <c r="F81" s="51"/>
      <c r="G81" s="4" t="s">
        <v>242</v>
      </c>
      <c r="H81" s="4" t="s">
        <v>205</v>
      </c>
      <c r="I81" s="58" t="s">
        <v>307</v>
      </c>
      <c r="J81" s="51"/>
    </row>
    <row r="82" spans="2:10" x14ac:dyDescent="0.25">
      <c r="B82" s="7" t="s">
        <v>308</v>
      </c>
      <c r="C82" s="55" t="s">
        <v>309</v>
      </c>
      <c r="D82" s="56"/>
      <c r="E82" s="56"/>
      <c r="F82" s="56"/>
      <c r="G82" s="57"/>
      <c r="H82" s="56"/>
      <c r="I82" s="56"/>
      <c r="J82" s="56"/>
    </row>
    <row r="83" spans="2:10" x14ac:dyDescent="0.25">
      <c r="B83" s="4" t="s">
        <v>310</v>
      </c>
      <c r="C83" s="50" t="s">
        <v>311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4" spans="2:10" x14ac:dyDescent="0.25">
      <c r="B84" s="4" t="s">
        <v>312</v>
      </c>
      <c r="C84" s="50" t="s">
        <v>313</v>
      </c>
      <c r="D84" s="51"/>
      <c r="E84" s="51"/>
      <c r="F84" s="51"/>
      <c r="G84" s="4" t="s">
        <v>204</v>
      </c>
      <c r="H84" s="4"/>
      <c r="I84" s="58" t="s">
        <v>288</v>
      </c>
      <c r="J84" s="51"/>
    </row>
    <row r="86" spans="2:10" x14ac:dyDescent="0.25">
      <c r="B86" s="6" t="s">
        <v>275</v>
      </c>
      <c r="H86" s="6" t="s">
        <v>276</v>
      </c>
    </row>
    <row r="87" spans="2:10" x14ac:dyDescent="0.25">
      <c r="B87" s="6" t="s">
        <v>277</v>
      </c>
      <c r="H87" s="6" t="s">
        <v>278</v>
      </c>
    </row>
    <row r="88" spans="2:10" x14ac:dyDescent="0.25">
      <c r="B88" s="6" t="s">
        <v>279</v>
      </c>
      <c r="H88" s="6" t="s">
        <v>151</v>
      </c>
    </row>
  </sheetData>
  <mergeCells count="80">
    <mergeCell ref="I81:J81"/>
    <mergeCell ref="C39:F39"/>
    <mergeCell ref="C72:F72"/>
    <mergeCell ref="C32:F32"/>
    <mergeCell ref="C81:F81"/>
    <mergeCell ref="C37:F37"/>
    <mergeCell ref="C78:F78"/>
    <mergeCell ref="G72:J72"/>
    <mergeCell ref="I76:J76"/>
    <mergeCell ref="I71:J71"/>
    <mergeCell ref="C24:F24"/>
    <mergeCell ref="C79:F79"/>
    <mergeCell ref="C73:F73"/>
    <mergeCell ref="C11:J11"/>
    <mergeCell ref="C26:F26"/>
    <mergeCell ref="C49:F49"/>
    <mergeCell ref="G82:J82"/>
    <mergeCell ref="I83:J83"/>
    <mergeCell ref="C41:F41"/>
    <mergeCell ref="C43:F43"/>
    <mergeCell ref="C13:J13"/>
    <mergeCell ref="C27:F27"/>
    <mergeCell ref="C74:F74"/>
    <mergeCell ref="I68:J68"/>
    <mergeCell ref="G17:J17"/>
    <mergeCell ref="C35:F35"/>
    <mergeCell ref="C16:F16"/>
    <mergeCell ref="C25:F25"/>
    <mergeCell ref="G28:J28"/>
    <mergeCell ref="C75:F75"/>
    <mergeCell ref="I78:J78"/>
    <mergeCell ref="G69:J69"/>
    <mergeCell ref="I84:J84"/>
    <mergeCell ref="C36:F36"/>
    <mergeCell ref="C17:F17"/>
    <mergeCell ref="I77:J77"/>
    <mergeCell ref="I80:J80"/>
    <mergeCell ref="C19:F19"/>
    <mergeCell ref="I70:J70"/>
    <mergeCell ref="C28:F28"/>
    <mergeCell ref="G44:J44"/>
    <mergeCell ref="G75:J75"/>
    <mergeCell ref="C69:F69"/>
    <mergeCell ref="C83:F83"/>
    <mergeCell ref="I74:J74"/>
    <mergeCell ref="C76:F76"/>
    <mergeCell ref="C82:F82"/>
    <mergeCell ref="C77:F77"/>
    <mergeCell ref="C10:J10"/>
    <mergeCell ref="C30:F30"/>
    <mergeCell ref="C9:J9"/>
    <mergeCell ref="C40:F40"/>
    <mergeCell ref="C71:F71"/>
    <mergeCell ref="C14:J14"/>
    <mergeCell ref="C18:F18"/>
    <mergeCell ref="C34:F34"/>
    <mergeCell ref="C68:F68"/>
    <mergeCell ref="C45:F45"/>
    <mergeCell ref="C20:F20"/>
    <mergeCell ref="C29:F29"/>
    <mergeCell ref="C47:F47"/>
    <mergeCell ref="C44:F44"/>
    <mergeCell ref="C21:F21"/>
    <mergeCell ref="C12:J12"/>
    <mergeCell ref="C84:F84"/>
    <mergeCell ref="C22:F22"/>
    <mergeCell ref="I73:J73"/>
    <mergeCell ref="C31:F31"/>
    <mergeCell ref="C80:F80"/>
    <mergeCell ref="C46:F46"/>
    <mergeCell ref="C66:J66"/>
    <mergeCell ref="C70:F70"/>
    <mergeCell ref="C48:F48"/>
    <mergeCell ref="C23:F23"/>
    <mergeCell ref="G79:J79"/>
    <mergeCell ref="C38:F38"/>
    <mergeCell ref="C65:J65"/>
    <mergeCell ref="C33:F33"/>
    <mergeCell ref="C42:F42"/>
    <mergeCell ref="G36:J36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6" max="16383" man="1"/>
  </rowBreak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8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326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613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119</v>
      </c>
      <c r="H21" s="4">
        <v>356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451</v>
      </c>
      <c r="H28" s="4" t="s">
        <v>416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466</v>
      </c>
      <c r="H30" s="4" t="s">
        <v>196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37" t="s">
        <v>204</v>
      </c>
      <c r="H31" s="37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341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8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0.68799999999999994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0.80014399999999997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32.005760000000002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90.406764738733642</v>
      </c>
      <c r="H47" s="13">
        <f>(H42*1000*H38)/(H21*H18)*100</f>
        <v>90.660716325078411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158.01914869186049</v>
      </c>
      <c r="H48" s="13">
        <f>(142.86*100)/H47</f>
        <v>157.57651802325583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666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626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9">
    <pageSetUpPr fitToPage="1"/>
  </sheetPr>
  <dimension ref="B1:O87"/>
  <sheetViews>
    <sheetView workbookViewId="0">
      <selection activeCell="N1" sqref="N1:O1048576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2.5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666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48" t="s">
        <v>345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613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4" t="s">
        <v>178</v>
      </c>
      <c r="H20" s="4" t="s">
        <v>413</v>
      </c>
      <c r="I20" s="8" t="s">
        <v>183</v>
      </c>
      <c r="J20" s="8" t="s">
        <v>184</v>
      </c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>
        <v>120</v>
      </c>
      <c r="H21" s="4">
        <v>354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4" t="s">
        <v>35</v>
      </c>
      <c r="H22" s="4" t="s">
        <v>95</v>
      </c>
      <c r="I22" s="8" t="s">
        <v>193</v>
      </c>
      <c r="J22" s="8" t="s">
        <v>175</v>
      </c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185</v>
      </c>
      <c r="H28" s="4">
        <v>220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11</v>
      </c>
      <c r="H30" s="4">
        <v>14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37" t="s">
        <v>204</v>
      </c>
      <c r="H31" s="37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129</v>
      </c>
      <c r="H33" s="4">
        <v>189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>
        <v>1.45</v>
      </c>
      <c r="H34" s="4">
        <v>1.18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 t="s">
        <v>238</v>
      </c>
      <c r="H36" s="4" t="s">
        <v>238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 t="s">
        <v>341</v>
      </c>
      <c r="H37" s="4">
        <v>84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8</v>
      </c>
      <c r="H38" s="4">
        <f>H37-H36</f>
        <v>24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248</v>
      </c>
      <c r="H39" s="4" t="s">
        <v>248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252</v>
      </c>
      <c r="H40" s="4" t="s">
        <v>252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139</v>
      </c>
      <c r="H41" s="4" t="s">
        <v>139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360</v>
      </c>
      <c r="H42" s="4" t="s">
        <v>360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0.68799999999999994</v>
      </c>
      <c r="H44" s="13">
        <f>(H42*H38)/1000</f>
        <v>2.0640000000000001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0.80014399999999997</v>
      </c>
      <c r="H45" s="13">
        <f>(H42*H38)/1000*1.163</f>
        <v>2.4004320000000003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32.005760000000002</v>
      </c>
      <c r="H46" s="13">
        <f>H45/N1*100</f>
        <v>96.017280000000014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89.653375032577529</v>
      </c>
      <c r="H47" s="13">
        <f>(H42*1000*H38)/(H21*H18)*100</f>
        <v>91.172923761943252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159.34704069767446</v>
      </c>
      <c r="H48" s="13">
        <f>(142.86*100)/H47</f>
        <v>156.69125668604653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666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627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0" orientation="portrait" r:id="rId1"/>
  <rowBreaks count="1" manualBreakCount="1">
    <brk id="55" max="16383" man="1"/>
  </rowBreak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0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560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628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471</v>
      </c>
      <c r="H21" s="4">
        <v>93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 t="s">
        <v>451</v>
      </c>
      <c r="H28" s="4" t="s">
        <v>534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 t="s">
        <v>248</v>
      </c>
      <c r="H29" s="4" t="s">
        <v>99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 t="s">
        <v>466</v>
      </c>
      <c r="H30" s="4" t="s">
        <v>196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 t="s">
        <v>467</v>
      </c>
      <c r="H33" s="4" t="s">
        <v>468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54</v>
      </c>
      <c r="H37" s="4">
        <v>65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6</v>
      </c>
      <c r="H38" s="4">
        <f>H37-H36</f>
        <v>17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>
        <v>25</v>
      </c>
      <c r="H42" s="4">
        <v>25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0.15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0.17444999999999999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34.89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67.016642466212446</v>
      </c>
      <c r="H47" s="13">
        <f>(H42*1000*H38)/(H21*H18)*100</f>
        <v>71.460398328667381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213.17093000000003</v>
      </c>
      <c r="H48" s="13">
        <f>(142.86*100)/H47</f>
        <v>199.91492258823536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667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562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1">
    <pageSetUpPr fitToPage="1"/>
  </sheetPr>
  <dimension ref="B1:O87"/>
  <sheetViews>
    <sheetView topLeftCell="A46" workbookViewId="0">
      <selection sqref="A1:K55"/>
    </sheetView>
  </sheetViews>
  <sheetFormatPr defaultRowHeight="15" x14ac:dyDescent="0.25"/>
  <cols>
    <col min="1" max="1" width="2.42578125" customWidth="1"/>
    <col min="2" max="2" width="7" customWidth="1"/>
    <col min="3" max="3" width="44" customWidth="1"/>
    <col min="4" max="6" width="4" customWidth="1"/>
    <col min="7" max="8" width="11" customWidth="1"/>
    <col min="9" max="9" width="17" customWidth="1"/>
    <col min="10" max="10" width="10" customWidth="1"/>
    <col min="11" max="11" width="2.42578125" customWidth="1"/>
    <col min="14" max="15" width="0" hidden="1" customWidth="1"/>
  </cols>
  <sheetData>
    <row r="1" spans="2:15" x14ac:dyDescent="0.25">
      <c r="I1" s="5" t="s">
        <v>146</v>
      </c>
      <c r="N1" s="21">
        <v>0.5</v>
      </c>
      <c r="O1" t="s">
        <v>264</v>
      </c>
    </row>
    <row r="2" spans="2:15" x14ac:dyDescent="0.25">
      <c r="I2" s="6" t="s">
        <v>147</v>
      </c>
    </row>
    <row r="3" spans="2:15" x14ac:dyDescent="0.25">
      <c r="I3" s="6" t="s">
        <v>148</v>
      </c>
    </row>
    <row r="4" spans="2:15" x14ac:dyDescent="0.25">
      <c r="I4" s="6" t="s">
        <v>149</v>
      </c>
    </row>
    <row r="5" spans="2:15" x14ac:dyDescent="0.25">
      <c r="I5" s="6" t="s">
        <v>150</v>
      </c>
    </row>
    <row r="6" spans="2:15" x14ac:dyDescent="0.25">
      <c r="I6" s="6" t="s">
        <v>151</v>
      </c>
    </row>
    <row r="7" spans="2:15" x14ac:dyDescent="0.25">
      <c r="I7" s="39" t="s">
        <v>667</v>
      </c>
    </row>
    <row r="9" spans="2:15" ht="18.75" x14ac:dyDescent="0.25">
      <c r="C9" s="52" t="s">
        <v>153</v>
      </c>
      <c r="D9" s="49"/>
      <c r="E9" s="49"/>
      <c r="F9" s="49"/>
      <c r="G9" s="49"/>
      <c r="H9" s="49"/>
      <c r="I9" s="49"/>
      <c r="J9" s="49"/>
    </row>
    <row r="10" spans="2:15" x14ac:dyDescent="0.25">
      <c r="C10" s="62" t="s">
        <v>629</v>
      </c>
      <c r="D10" s="49"/>
      <c r="E10" s="49"/>
      <c r="F10" s="49"/>
      <c r="G10" s="49"/>
      <c r="H10" s="49"/>
      <c r="I10" s="49"/>
      <c r="J10" s="49"/>
    </row>
    <row r="11" spans="2:15" x14ac:dyDescent="0.25">
      <c r="C11" s="48" t="s">
        <v>459</v>
      </c>
      <c r="D11" s="49"/>
      <c r="E11" s="49"/>
      <c r="F11" s="49"/>
      <c r="G11" s="49"/>
      <c r="H11" s="49"/>
      <c r="I11" s="49"/>
      <c r="J11" s="49"/>
    </row>
    <row r="12" spans="2:15" x14ac:dyDescent="0.25">
      <c r="C12" s="48" t="s">
        <v>628</v>
      </c>
      <c r="D12" s="49"/>
      <c r="E12" s="49"/>
      <c r="F12" s="49"/>
      <c r="G12" s="49"/>
      <c r="H12" s="49"/>
      <c r="I12" s="49"/>
      <c r="J12" s="49"/>
    </row>
    <row r="13" spans="2:15" x14ac:dyDescent="0.25">
      <c r="C13" s="48" t="s">
        <v>157</v>
      </c>
      <c r="D13" s="49"/>
      <c r="E13" s="49"/>
      <c r="F13" s="49"/>
      <c r="G13" s="49"/>
      <c r="H13" s="49"/>
      <c r="I13" s="49"/>
      <c r="J13" s="49"/>
    </row>
    <row r="14" spans="2:15" x14ac:dyDescent="0.25">
      <c r="C14" s="48" t="s">
        <v>460</v>
      </c>
      <c r="D14" s="49"/>
      <c r="E14" s="49"/>
      <c r="F14" s="49"/>
      <c r="G14" s="49"/>
      <c r="H14" s="49"/>
      <c r="I14" s="49"/>
      <c r="J14" s="49"/>
    </row>
    <row r="16" spans="2:15" s="10" customFormat="1" ht="28.5" x14ac:dyDescent="0.25">
      <c r="B16" s="9" t="s">
        <v>159</v>
      </c>
      <c r="C16" s="53" t="s">
        <v>160</v>
      </c>
      <c r="D16" s="54"/>
      <c r="E16" s="54"/>
      <c r="F16" s="54"/>
      <c r="G16" s="9" t="s">
        <v>161</v>
      </c>
      <c r="H16" s="9" t="s">
        <v>162</v>
      </c>
      <c r="I16" s="9" t="s">
        <v>163</v>
      </c>
      <c r="J16" s="9" t="s">
        <v>164</v>
      </c>
    </row>
    <row r="17" spans="2:10" x14ac:dyDescent="0.25">
      <c r="B17" s="7" t="s">
        <v>165</v>
      </c>
      <c r="C17" s="55" t="s">
        <v>166</v>
      </c>
      <c r="D17" s="56"/>
      <c r="E17" s="56"/>
      <c r="F17" s="56"/>
      <c r="G17" s="57"/>
      <c r="H17" s="56"/>
      <c r="I17" s="56"/>
      <c r="J17" s="56"/>
    </row>
    <row r="18" spans="2:10" x14ac:dyDescent="0.25">
      <c r="B18" s="4" t="s">
        <v>167</v>
      </c>
      <c r="C18" s="50" t="s">
        <v>168</v>
      </c>
      <c r="D18" s="51"/>
      <c r="E18" s="51"/>
      <c r="F18" s="51"/>
      <c r="G18" s="4" t="s">
        <v>461</v>
      </c>
      <c r="H18" s="4" t="s">
        <v>461</v>
      </c>
      <c r="I18" s="8" t="s">
        <v>170</v>
      </c>
      <c r="J18" s="8" t="s">
        <v>368</v>
      </c>
    </row>
    <row r="19" spans="2:10" x14ac:dyDescent="0.25">
      <c r="B19" s="4" t="s">
        <v>172</v>
      </c>
      <c r="C19" s="50" t="s">
        <v>462</v>
      </c>
      <c r="D19" s="51"/>
      <c r="E19" s="51"/>
      <c r="F19" s="51"/>
      <c r="G19" s="4" t="s">
        <v>204</v>
      </c>
      <c r="H19" s="4" t="s">
        <v>204</v>
      </c>
      <c r="I19" s="8" t="s">
        <v>204</v>
      </c>
      <c r="J19" s="8"/>
    </row>
    <row r="20" spans="2:10" x14ac:dyDescent="0.25">
      <c r="B20" s="4" t="s">
        <v>176</v>
      </c>
      <c r="C20" s="50" t="s">
        <v>463</v>
      </c>
      <c r="D20" s="51"/>
      <c r="E20" s="51"/>
      <c r="F20" s="51"/>
      <c r="G20" s="20" t="s">
        <v>204</v>
      </c>
      <c r="H20" s="20" t="s">
        <v>204</v>
      </c>
      <c r="I20" s="8" t="s">
        <v>204</v>
      </c>
      <c r="J20" s="8"/>
    </row>
    <row r="21" spans="2:10" x14ac:dyDescent="0.25">
      <c r="B21" s="4" t="s">
        <v>179</v>
      </c>
      <c r="C21" s="50" t="s">
        <v>186</v>
      </c>
      <c r="D21" s="51"/>
      <c r="E21" s="51"/>
      <c r="F21" s="51"/>
      <c r="G21" s="4" t="s">
        <v>581</v>
      </c>
      <c r="H21" s="4">
        <v>95</v>
      </c>
      <c r="I21" s="8" t="s">
        <v>189</v>
      </c>
      <c r="J21" s="8" t="s">
        <v>371</v>
      </c>
    </row>
    <row r="22" spans="2:10" x14ac:dyDescent="0.25">
      <c r="B22" s="4" t="s">
        <v>185</v>
      </c>
      <c r="C22" s="50" t="s">
        <v>465</v>
      </c>
      <c r="D22" s="51"/>
      <c r="E22" s="51"/>
      <c r="F22" s="51"/>
      <c r="G22" s="20" t="s">
        <v>204</v>
      </c>
      <c r="H22" s="20" t="s">
        <v>204</v>
      </c>
      <c r="I22" s="8" t="s">
        <v>204</v>
      </c>
      <c r="J22" s="8"/>
    </row>
    <row r="23" spans="2:10" x14ac:dyDescent="0.25">
      <c r="B23" s="4" t="s">
        <v>191</v>
      </c>
      <c r="C23" s="50" t="s">
        <v>195</v>
      </c>
      <c r="D23" s="51"/>
      <c r="E23" s="51"/>
      <c r="F23" s="51"/>
      <c r="G23" s="4" t="s">
        <v>178</v>
      </c>
      <c r="H23" s="4" t="s">
        <v>413</v>
      </c>
      <c r="I23" s="8" t="s">
        <v>183</v>
      </c>
      <c r="J23" s="8" t="s">
        <v>184</v>
      </c>
    </row>
    <row r="24" spans="2:10" x14ac:dyDescent="0.25">
      <c r="B24" s="4" t="s">
        <v>194</v>
      </c>
      <c r="C24" s="50" t="s">
        <v>199</v>
      </c>
      <c r="D24" s="51"/>
      <c r="E24" s="51"/>
      <c r="F24" s="51"/>
      <c r="G24" s="4" t="s">
        <v>181</v>
      </c>
      <c r="H24" s="4" t="s">
        <v>178</v>
      </c>
      <c r="I24" s="8" t="s">
        <v>193</v>
      </c>
      <c r="J24" s="8" t="s">
        <v>201</v>
      </c>
    </row>
    <row r="25" spans="2:10" x14ac:dyDescent="0.25">
      <c r="B25" s="4" t="s">
        <v>198</v>
      </c>
      <c r="C25" s="50" t="s">
        <v>203</v>
      </c>
      <c r="D25" s="51"/>
      <c r="E25" s="51"/>
      <c r="F25" s="51"/>
      <c r="G25" s="4" t="s">
        <v>204</v>
      </c>
      <c r="H25" s="4" t="s">
        <v>204</v>
      </c>
      <c r="I25" s="8" t="s">
        <v>189</v>
      </c>
      <c r="J25" s="8" t="s">
        <v>205</v>
      </c>
    </row>
    <row r="26" spans="2:10" x14ac:dyDescent="0.25">
      <c r="B26" s="4" t="s">
        <v>202</v>
      </c>
      <c r="C26" s="50" t="s">
        <v>207</v>
      </c>
      <c r="D26" s="51"/>
      <c r="E26" s="51"/>
      <c r="F26" s="51"/>
      <c r="G26" s="4" t="s">
        <v>178</v>
      </c>
      <c r="H26" s="4" t="s">
        <v>178</v>
      </c>
      <c r="I26" s="8" t="s">
        <v>189</v>
      </c>
      <c r="J26" s="8" t="s">
        <v>205</v>
      </c>
    </row>
    <row r="27" spans="2:10" x14ac:dyDescent="0.25">
      <c r="B27" s="7" t="s">
        <v>208</v>
      </c>
      <c r="C27" s="55" t="s">
        <v>209</v>
      </c>
      <c r="D27" s="56"/>
      <c r="E27" s="56"/>
      <c r="F27" s="56"/>
      <c r="G27" s="57"/>
      <c r="H27" s="56"/>
      <c r="I27" s="56"/>
      <c r="J27" s="56"/>
    </row>
    <row r="28" spans="2:10" x14ac:dyDescent="0.25">
      <c r="B28" s="4" t="s">
        <v>210</v>
      </c>
      <c r="C28" s="50" t="s">
        <v>211</v>
      </c>
      <c r="D28" s="51"/>
      <c r="E28" s="51"/>
      <c r="F28" s="51"/>
      <c r="G28" s="4">
        <v>167</v>
      </c>
      <c r="H28" s="4">
        <v>217</v>
      </c>
      <c r="I28" s="8" t="s">
        <v>189</v>
      </c>
      <c r="J28" s="8" t="s">
        <v>205</v>
      </c>
    </row>
    <row r="29" spans="2:10" x14ac:dyDescent="0.25">
      <c r="B29" s="4" t="s">
        <v>212</v>
      </c>
      <c r="C29" s="50" t="s">
        <v>213</v>
      </c>
      <c r="D29" s="51"/>
      <c r="E29" s="51"/>
      <c r="F29" s="51"/>
      <c r="G29" s="4">
        <v>4</v>
      </c>
      <c r="H29" s="4">
        <v>2</v>
      </c>
      <c r="I29" s="8" t="s">
        <v>193</v>
      </c>
      <c r="J29" s="8" t="s">
        <v>184</v>
      </c>
    </row>
    <row r="30" spans="2:10" x14ac:dyDescent="0.25">
      <c r="B30" s="4" t="s">
        <v>216</v>
      </c>
      <c r="C30" s="50" t="s">
        <v>217</v>
      </c>
      <c r="D30" s="51"/>
      <c r="E30" s="51"/>
      <c r="F30" s="51"/>
      <c r="G30" s="4">
        <v>11</v>
      </c>
      <c r="H30" s="4">
        <v>14</v>
      </c>
      <c r="I30" s="8" t="s">
        <v>193</v>
      </c>
      <c r="J30" s="8" t="s">
        <v>184</v>
      </c>
    </row>
    <row r="31" spans="2:10" x14ac:dyDescent="0.25">
      <c r="B31" s="4" t="s">
        <v>220</v>
      </c>
      <c r="C31" s="50" t="s">
        <v>221</v>
      </c>
      <c r="D31" s="51"/>
      <c r="E31" s="51"/>
      <c r="F31" s="51"/>
      <c r="G31" s="20" t="s">
        <v>204</v>
      </c>
      <c r="H31" s="20" t="s">
        <v>204</v>
      </c>
      <c r="I31" s="8" t="s">
        <v>193</v>
      </c>
      <c r="J31" s="8" t="s">
        <v>184</v>
      </c>
    </row>
    <row r="32" spans="2:10" x14ac:dyDescent="0.25">
      <c r="B32" s="4" t="s">
        <v>222</v>
      </c>
      <c r="C32" s="50" t="s">
        <v>223</v>
      </c>
      <c r="D32" s="51"/>
      <c r="E32" s="51"/>
      <c r="F32" s="51"/>
      <c r="G32" s="4" t="s">
        <v>224</v>
      </c>
      <c r="H32" s="4" t="s">
        <v>224</v>
      </c>
      <c r="I32" s="8" t="s">
        <v>193</v>
      </c>
      <c r="J32" s="8" t="s">
        <v>225</v>
      </c>
    </row>
    <row r="33" spans="2:10" x14ac:dyDescent="0.25">
      <c r="B33" s="4" t="s">
        <v>226</v>
      </c>
      <c r="C33" s="50" t="s">
        <v>227</v>
      </c>
      <c r="D33" s="51"/>
      <c r="E33" s="51"/>
      <c r="F33" s="51"/>
      <c r="G33" s="4">
        <v>118</v>
      </c>
      <c r="H33" s="4">
        <v>157</v>
      </c>
      <c r="I33" s="8" t="s">
        <v>193</v>
      </c>
      <c r="J33" s="8" t="s">
        <v>225</v>
      </c>
    </row>
    <row r="34" spans="2:10" x14ac:dyDescent="0.25">
      <c r="B34" s="4" t="s">
        <v>230</v>
      </c>
      <c r="C34" s="50" t="s">
        <v>231</v>
      </c>
      <c r="D34" s="51"/>
      <c r="E34" s="51"/>
      <c r="F34" s="51"/>
      <c r="G34" s="4" t="s">
        <v>469</v>
      </c>
      <c r="H34" s="4" t="s">
        <v>66</v>
      </c>
      <c r="I34" s="8" t="s">
        <v>174</v>
      </c>
      <c r="J34" s="8"/>
    </row>
    <row r="35" spans="2:10" x14ac:dyDescent="0.25">
      <c r="B35" s="7" t="s">
        <v>234</v>
      </c>
      <c r="C35" s="55" t="s">
        <v>235</v>
      </c>
      <c r="D35" s="56"/>
      <c r="E35" s="56"/>
      <c r="F35" s="56"/>
      <c r="G35" s="57"/>
      <c r="H35" s="56"/>
      <c r="I35" s="56"/>
      <c r="J35" s="56"/>
    </row>
    <row r="36" spans="2:10" x14ac:dyDescent="0.25">
      <c r="B36" s="4" t="s">
        <v>236</v>
      </c>
      <c r="C36" s="50" t="s">
        <v>237</v>
      </c>
      <c r="D36" s="51"/>
      <c r="E36" s="51"/>
      <c r="F36" s="51"/>
      <c r="G36" s="4">
        <v>48</v>
      </c>
      <c r="H36" s="4">
        <v>48</v>
      </c>
      <c r="I36" s="8" t="s">
        <v>189</v>
      </c>
      <c r="J36" s="8" t="s">
        <v>205</v>
      </c>
    </row>
    <row r="37" spans="2:10" x14ac:dyDescent="0.25">
      <c r="B37" s="4" t="s">
        <v>239</v>
      </c>
      <c r="C37" s="50" t="s">
        <v>240</v>
      </c>
      <c r="D37" s="51"/>
      <c r="E37" s="51"/>
      <c r="F37" s="51"/>
      <c r="G37" s="4">
        <v>55</v>
      </c>
      <c r="H37" s="4">
        <v>73</v>
      </c>
      <c r="I37" s="8" t="s">
        <v>189</v>
      </c>
      <c r="J37" s="8" t="s">
        <v>205</v>
      </c>
    </row>
    <row r="38" spans="2:10" x14ac:dyDescent="0.25">
      <c r="B38" s="4" t="s">
        <v>243</v>
      </c>
      <c r="C38" s="50" t="s">
        <v>244</v>
      </c>
      <c r="D38" s="51"/>
      <c r="E38" s="51"/>
      <c r="F38" s="51"/>
      <c r="G38" s="4">
        <f>G37-G36</f>
        <v>7</v>
      </c>
      <c r="H38" s="4">
        <f>H37-H36</f>
        <v>25</v>
      </c>
      <c r="I38" s="8" t="s">
        <v>189</v>
      </c>
      <c r="J38" s="8" t="s">
        <v>205</v>
      </c>
    </row>
    <row r="39" spans="2:10" x14ac:dyDescent="0.25">
      <c r="B39" s="4" t="s">
        <v>246</v>
      </c>
      <c r="C39" s="50" t="s">
        <v>247</v>
      </c>
      <c r="D39" s="51"/>
      <c r="E39" s="51"/>
      <c r="F39" s="51"/>
      <c r="G39" s="4" t="s">
        <v>252</v>
      </c>
      <c r="H39" s="4" t="s">
        <v>252</v>
      </c>
      <c r="I39" s="8" t="s">
        <v>193</v>
      </c>
      <c r="J39" s="8" t="s">
        <v>249</v>
      </c>
    </row>
    <row r="40" spans="2:10" x14ac:dyDescent="0.25">
      <c r="B40" s="4" t="s">
        <v>250</v>
      </c>
      <c r="C40" s="50" t="s">
        <v>251</v>
      </c>
      <c r="D40" s="51"/>
      <c r="E40" s="51"/>
      <c r="F40" s="51"/>
      <c r="G40" s="4" t="s">
        <v>470</v>
      </c>
      <c r="H40" s="4" t="s">
        <v>470</v>
      </c>
      <c r="I40" s="8" t="s">
        <v>193</v>
      </c>
      <c r="J40" s="8" t="s">
        <v>249</v>
      </c>
    </row>
    <row r="41" spans="2:10" x14ac:dyDescent="0.25">
      <c r="B41" s="4" t="s">
        <v>253</v>
      </c>
      <c r="C41" s="50" t="s">
        <v>254</v>
      </c>
      <c r="D41" s="51"/>
      <c r="E41" s="51"/>
      <c r="F41" s="51"/>
      <c r="G41" s="4" t="s">
        <v>95</v>
      </c>
      <c r="H41" s="4" t="s">
        <v>95</v>
      </c>
      <c r="I41" s="8" t="s">
        <v>193</v>
      </c>
      <c r="J41" s="8" t="s">
        <v>249</v>
      </c>
    </row>
    <row r="42" spans="2:10" x14ac:dyDescent="0.25">
      <c r="B42" s="4" t="s">
        <v>255</v>
      </c>
      <c r="C42" s="50" t="s">
        <v>256</v>
      </c>
      <c r="D42" s="51"/>
      <c r="E42" s="51"/>
      <c r="F42" s="51"/>
      <c r="G42" s="4" t="s">
        <v>447</v>
      </c>
      <c r="H42" s="4" t="s">
        <v>447</v>
      </c>
      <c r="I42" s="8" t="s">
        <v>189</v>
      </c>
      <c r="J42" s="8" t="s">
        <v>258</v>
      </c>
    </row>
    <row r="43" spans="2:10" x14ac:dyDescent="0.25">
      <c r="B43" s="7" t="s">
        <v>259</v>
      </c>
      <c r="C43" s="55" t="s">
        <v>631</v>
      </c>
      <c r="D43" s="56"/>
      <c r="E43" s="56"/>
      <c r="F43" s="56"/>
      <c r="G43" s="57"/>
      <c r="H43" s="56"/>
      <c r="I43" s="56"/>
      <c r="J43" s="56"/>
    </row>
    <row r="44" spans="2:10" x14ac:dyDescent="0.25">
      <c r="B44" s="4" t="s">
        <v>260</v>
      </c>
      <c r="C44" s="50" t="s">
        <v>261</v>
      </c>
      <c r="D44" s="51"/>
      <c r="E44" s="51"/>
      <c r="F44" s="51"/>
      <c r="G44" s="13">
        <f>(G42*G38)/1000</f>
        <v>0.11899999999999999</v>
      </c>
      <c r="H44" s="13">
        <f>(H42*H38)/1000</f>
        <v>0.42499999999999999</v>
      </c>
      <c r="I44" s="8" t="s">
        <v>189</v>
      </c>
      <c r="J44" s="8" t="s">
        <v>262</v>
      </c>
    </row>
    <row r="45" spans="2:10" x14ac:dyDescent="0.25">
      <c r="B45" s="4"/>
      <c r="C45" s="50" t="s">
        <v>263</v>
      </c>
      <c r="D45" s="51"/>
      <c r="E45" s="51"/>
      <c r="F45" s="51"/>
      <c r="G45" s="13">
        <f>(G42*G38)/1000*1.163</f>
        <v>0.13839699999999999</v>
      </c>
      <c r="H45" s="13">
        <f>(H42*H38)/1000*1.163</f>
        <v>0.49427500000000002</v>
      </c>
      <c r="I45" s="8"/>
      <c r="J45" s="8" t="s">
        <v>264</v>
      </c>
    </row>
    <row r="46" spans="2:10" x14ac:dyDescent="0.25">
      <c r="B46" s="4" t="s">
        <v>265</v>
      </c>
      <c r="C46" s="50" t="s">
        <v>266</v>
      </c>
      <c r="D46" s="51"/>
      <c r="E46" s="51"/>
      <c r="F46" s="51"/>
      <c r="G46" s="13">
        <f>G45/N1*100</f>
        <v>27.679399999999998</v>
      </c>
      <c r="H46" s="13">
        <f>H45/N1*100</f>
        <v>98.855000000000004</v>
      </c>
      <c r="I46" s="8" t="s">
        <v>183</v>
      </c>
      <c r="J46" s="8" t="s">
        <v>184</v>
      </c>
    </row>
    <row r="47" spans="2:10" x14ac:dyDescent="0.25">
      <c r="B47" s="4" t="s">
        <v>268</v>
      </c>
      <c r="C47" s="50" t="s">
        <v>269</v>
      </c>
      <c r="D47" s="51"/>
      <c r="E47" s="51"/>
      <c r="F47" s="51"/>
      <c r="G47" s="13">
        <f>(G42*1000*G38)/(G21*G18)*100</f>
        <v>54.730258014073499</v>
      </c>
      <c r="H47" s="13">
        <f>(H42*1000*H38)/(H21*H18)*100</f>
        <v>69.955968890169132</v>
      </c>
      <c r="I47" s="8" t="s">
        <v>271</v>
      </c>
      <c r="J47" s="8" t="s">
        <v>184</v>
      </c>
    </row>
    <row r="48" spans="2:10" x14ac:dyDescent="0.25">
      <c r="B48" s="4" t="s">
        <v>272</v>
      </c>
      <c r="C48" s="50" t="s">
        <v>273</v>
      </c>
      <c r="D48" s="51"/>
      <c r="E48" s="51"/>
      <c r="F48" s="51"/>
      <c r="G48" s="13">
        <f>(142.86*100)/G47</f>
        <v>261.02562857142857</v>
      </c>
      <c r="H48" s="13">
        <f>(142.86*100)/H47</f>
        <v>204.21416823529412</v>
      </c>
      <c r="I48" s="8" t="s">
        <v>183</v>
      </c>
      <c r="J48" s="8" t="s">
        <v>274</v>
      </c>
    </row>
    <row r="52" spans="2:10" x14ac:dyDescent="0.25">
      <c r="B52" s="6" t="s">
        <v>275</v>
      </c>
      <c r="H52" s="6" t="s">
        <v>276</v>
      </c>
    </row>
    <row r="53" spans="2:10" x14ac:dyDescent="0.25">
      <c r="B53" s="6" t="s">
        <v>277</v>
      </c>
      <c r="H53" s="6" t="s">
        <v>278</v>
      </c>
    </row>
    <row r="54" spans="2:10" x14ac:dyDescent="0.25">
      <c r="B54" s="6" t="s">
        <v>279</v>
      </c>
      <c r="H54" s="6" t="s">
        <v>151</v>
      </c>
    </row>
    <row r="56" spans="2:10" x14ac:dyDescent="0.25">
      <c r="I56" s="5" t="s">
        <v>146</v>
      </c>
    </row>
    <row r="57" spans="2:10" x14ac:dyDescent="0.25">
      <c r="I57" s="6" t="s">
        <v>147</v>
      </c>
    </row>
    <row r="58" spans="2:10" x14ac:dyDescent="0.25">
      <c r="I58" s="6" t="s">
        <v>148</v>
      </c>
    </row>
    <row r="59" spans="2:10" x14ac:dyDescent="0.25">
      <c r="I59" s="6" t="s">
        <v>149</v>
      </c>
    </row>
    <row r="60" spans="2:10" x14ac:dyDescent="0.25">
      <c r="I60" s="6" t="s">
        <v>150</v>
      </c>
    </row>
    <row r="61" spans="2:10" x14ac:dyDescent="0.25">
      <c r="I61" s="6" t="s">
        <v>151</v>
      </c>
    </row>
    <row r="62" spans="2:10" x14ac:dyDescent="0.25">
      <c r="I62" s="39" t="s">
        <v>667</v>
      </c>
    </row>
    <row r="64" spans="2:10" ht="18.75" x14ac:dyDescent="0.25">
      <c r="C64" s="52" t="s">
        <v>280</v>
      </c>
      <c r="D64" s="49"/>
      <c r="E64" s="49"/>
      <c r="F64" s="49"/>
      <c r="G64" s="49"/>
      <c r="H64" s="49"/>
      <c r="I64" s="49"/>
      <c r="J64" s="49"/>
    </row>
    <row r="65" spans="2:10" x14ac:dyDescent="0.25">
      <c r="C65" s="48" t="s">
        <v>630</v>
      </c>
      <c r="D65" s="49"/>
      <c r="E65" s="49"/>
      <c r="F65" s="49"/>
      <c r="G65" s="49"/>
      <c r="H65" s="49"/>
      <c r="I65" s="49"/>
      <c r="J65" s="49"/>
    </row>
    <row r="67" spans="2:10" s="10" customFormat="1" ht="28.5" x14ac:dyDescent="0.25">
      <c r="B67" s="9" t="s">
        <v>159</v>
      </c>
      <c r="C67" s="53" t="s">
        <v>160</v>
      </c>
      <c r="D67" s="54"/>
      <c r="E67" s="54"/>
      <c r="F67" s="54"/>
      <c r="G67" s="9" t="s">
        <v>282</v>
      </c>
      <c r="H67" s="9" t="s">
        <v>164</v>
      </c>
      <c r="I67" s="53" t="s">
        <v>283</v>
      </c>
      <c r="J67" s="54"/>
    </row>
    <row r="68" spans="2:10" x14ac:dyDescent="0.25">
      <c r="B68" s="7" t="s">
        <v>165</v>
      </c>
      <c r="C68" s="55" t="s">
        <v>284</v>
      </c>
      <c r="D68" s="56"/>
      <c r="E68" s="56"/>
      <c r="F68" s="56"/>
      <c r="G68" s="57"/>
      <c r="H68" s="56"/>
      <c r="I68" s="56"/>
      <c r="J68" s="56"/>
    </row>
    <row r="69" spans="2:10" x14ac:dyDescent="0.25">
      <c r="B69" s="4" t="s">
        <v>167</v>
      </c>
      <c r="C69" s="50" t="s">
        <v>285</v>
      </c>
      <c r="D69" s="51"/>
      <c r="E69" s="51"/>
      <c r="F69" s="51"/>
      <c r="G69" s="4" t="s">
        <v>204</v>
      </c>
      <c r="H69" s="4" t="s">
        <v>287</v>
      </c>
      <c r="I69" s="58" t="s">
        <v>288</v>
      </c>
      <c r="J69" s="51"/>
    </row>
    <row r="70" spans="2:10" x14ac:dyDescent="0.25">
      <c r="B70" s="4" t="s">
        <v>172</v>
      </c>
      <c r="C70" s="50" t="s">
        <v>289</v>
      </c>
      <c r="D70" s="51"/>
      <c r="E70" s="51"/>
      <c r="F70" s="51"/>
      <c r="G70" s="4" t="s">
        <v>204</v>
      </c>
      <c r="H70" s="4" t="s">
        <v>287</v>
      </c>
      <c r="I70" s="58" t="s">
        <v>288</v>
      </c>
      <c r="J70" s="51"/>
    </row>
    <row r="71" spans="2:10" x14ac:dyDescent="0.25">
      <c r="B71" s="7" t="s">
        <v>208</v>
      </c>
      <c r="C71" s="55" t="s">
        <v>291</v>
      </c>
      <c r="D71" s="56"/>
      <c r="E71" s="56"/>
      <c r="F71" s="56"/>
      <c r="G71" s="57"/>
      <c r="H71" s="56"/>
      <c r="I71" s="56"/>
      <c r="J71" s="56"/>
    </row>
    <row r="72" spans="2:10" x14ac:dyDescent="0.25">
      <c r="B72" s="4" t="s">
        <v>210</v>
      </c>
      <c r="C72" s="50" t="s">
        <v>292</v>
      </c>
      <c r="D72" s="51"/>
      <c r="E72" s="51"/>
      <c r="F72" s="51"/>
      <c r="G72" s="4" t="s">
        <v>204</v>
      </c>
      <c r="H72" s="4" t="s">
        <v>287</v>
      </c>
      <c r="I72" s="58" t="s">
        <v>288</v>
      </c>
      <c r="J72" s="51"/>
    </row>
    <row r="73" spans="2:10" x14ac:dyDescent="0.25">
      <c r="B73" s="4" t="s">
        <v>212</v>
      </c>
      <c r="C73" s="50" t="s">
        <v>294</v>
      </c>
      <c r="D73" s="51"/>
      <c r="E73" s="51"/>
      <c r="F73" s="51"/>
      <c r="G73" s="4" t="s">
        <v>295</v>
      </c>
      <c r="H73" s="4" t="s">
        <v>201</v>
      </c>
      <c r="I73" s="58" t="s">
        <v>296</v>
      </c>
      <c r="J73" s="51"/>
    </row>
    <row r="74" spans="2:10" x14ac:dyDescent="0.25">
      <c r="B74" s="7" t="s">
        <v>234</v>
      </c>
      <c r="C74" s="55" t="s">
        <v>297</v>
      </c>
      <c r="D74" s="56"/>
      <c r="E74" s="56"/>
      <c r="F74" s="56"/>
      <c r="G74" s="57"/>
      <c r="H74" s="56"/>
      <c r="I74" s="56"/>
      <c r="J74" s="56"/>
    </row>
    <row r="75" spans="2:10" x14ac:dyDescent="0.25">
      <c r="B75" s="4" t="s">
        <v>236</v>
      </c>
      <c r="C75" s="50" t="s">
        <v>298</v>
      </c>
      <c r="D75" s="51"/>
      <c r="E75" s="51"/>
      <c r="F75" s="51"/>
      <c r="G75" s="4" t="s">
        <v>299</v>
      </c>
      <c r="H75" s="4" t="s">
        <v>287</v>
      </c>
      <c r="I75" s="58" t="s">
        <v>288</v>
      </c>
      <c r="J75" s="51"/>
    </row>
    <row r="76" spans="2:10" x14ac:dyDescent="0.25">
      <c r="B76" s="4" t="s">
        <v>239</v>
      </c>
      <c r="C76" s="50" t="s">
        <v>300</v>
      </c>
      <c r="D76" s="51"/>
      <c r="E76" s="51"/>
      <c r="F76" s="51"/>
      <c r="G76" s="4" t="s">
        <v>473</v>
      </c>
      <c r="H76" s="4" t="s">
        <v>287</v>
      </c>
      <c r="I76" s="58" t="s">
        <v>288</v>
      </c>
      <c r="J76" s="51"/>
    </row>
    <row r="77" spans="2:10" x14ac:dyDescent="0.25">
      <c r="B77" s="4" t="s">
        <v>243</v>
      </c>
      <c r="C77" s="50" t="s">
        <v>302</v>
      </c>
      <c r="D77" s="51"/>
      <c r="E77" s="51"/>
      <c r="F77" s="51"/>
      <c r="G77" s="4" t="s">
        <v>200</v>
      </c>
      <c r="H77" s="4" t="s">
        <v>205</v>
      </c>
      <c r="I77" s="58" t="s">
        <v>288</v>
      </c>
      <c r="J77" s="51"/>
    </row>
    <row r="78" spans="2:10" x14ac:dyDescent="0.25">
      <c r="B78" s="7" t="s">
        <v>259</v>
      </c>
      <c r="C78" s="55" t="s">
        <v>303</v>
      </c>
      <c r="D78" s="56"/>
      <c r="E78" s="56"/>
      <c r="F78" s="56"/>
      <c r="G78" s="57"/>
      <c r="H78" s="56"/>
      <c r="I78" s="56"/>
      <c r="J78" s="56"/>
    </row>
    <row r="79" spans="2:10" x14ac:dyDescent="0.25">
      <c r="B79" s="4" t="s">
        <v>260</v>
      </c>
      <c r="C79" s="50" t="s">
        <v>304</v>
      </c>
      <c r="D79" s="51"/>
      <c r="E79" s="51"/>
      <c r="F79" s="51"/>
      <c r="G79" s="4" t="s">
        <v>305</v>
      </c>
      <c r="H79" s="4"/>
      <c r="I79" s="58" t="s">
        <v>288</v>
      </c>
      <c r="J79" s="51"/>
    </row>
    <row r="80" spans="2:10" x14ac:dyDescent="0.25">
      <c r="B80" s="4" t="s">
        <v>265</v>
      </c>
      <c r="C80" s="50" t="s">
        <v>306</v>
      </c>
      <c r="D80" s="51"/>
      <c r="E80" s="51"/>
      <c r="F80" s="51"/>
      <c r="G80" s="4" t="s">
        <v>204</v>
      </c>
      <c r="H80" s="4" t="s">
        <v>205</v>
      </c>
      <c r="I80" s="58" t="s">
        <v>307</v>
      </c>
      <c r="J80" s="51"/>
    </row>
    <row r="81" spans="2:10" x14ac:dyDescent="0.25">
      <c r="B81" s="7" t="s">
        <v>308</v>
      </c>
      <c r="C81" s="55" t="s">
        <v>309</v>
      </c>
      <c r="D81" s="56"/>
      <c r="E81" s="56"/>
      <c r="F81" s="56"/>
      <c r="G81" s="57"/>
      <c r="H81" s="56"/>
      <c r="I81" s="56"/>
      <c r="J81" s="56"/>
    </row>
    <row r="82" spans="2:10" x14ac:dyDescent="0.25">
      <c r="B82" s="4" t="s">
        <v>310</v>
      </c>
      <c r="C82" s="50" t="s">
        <v>311</v>
      </c>
      <c r="D82" s="51"/>
      <c r="E82" s="51"/>
      <c r="F82" s="51"/>
      <c r="G82" s="4" t="s">
        <v>305</v>
      </c>
      <c r="H82" s="4"/>
      <c r="I82" s="58" t="s">
        <v>288</v>
      </c>
      <c r="J82" s="51"/>
    </row>
    <row r="83" spans="2:10" x14ac:dyDescent="0.25">
      <c r="B83" s="4" t="s">
        <v>312</v>
      </c>
      <c r="C83" s="50" t="s">
        <v>313</v>
      </c>
      <c r="D83" s="51"/>
      <c r="E83" s="51"/>
      <c r="F83" s="51"/>
      <c r="G83" s="4" t="s">
        <v>305</v>
      </c>
      <c r="H83" s="4"/>
      <c r="I83" s="58" t="s">
        <v>288</v>
      </c>
      <c r="J83" s="51"/>
    </row>
    <row r="85" spans="2:10" x14ac:dyDescent="0.25">
      <c r="B85" s="6" t="s">
        <v>275</v>
      </c>
      <c r="H85" s="6" t="s">
        <v>276</v>
      </c>
    </row>
    <row r="86" spans="2:10" x14ac:dyDescent="0.25">
      <c r="B86" s="6" t="s">
        <v>277</v>
      </c>
      <c r="H86" s="6" t="s">
        <v>278</v>
      </c>
    </row>
    <row r="87" spans="2:10" x14ac:dyDescent="0.25">
      <c r="B87" s="6" t="s">
        <v>279</v>
      </c>
      <c r="H87" s="6" t="s">
        <v>151</v>
      </c>
    </row>
  </sheetData>
  <mergeCells count="79">
    <mergeCell ref="I80:J80"/>
    <mergeCell ref="C38:F38"/>
    <mergeCell ref="C71:F71"/>
    <mergeCell ref="C31:F31"/>
    <mergeCell ref="C80:F80"/>
    <mergeCell ref="C36:F36"/>
    <mergeCell ref="C77:F77"/>
    <mergeCell ref="G71:J71"/>
    <mergeCell ref="I75:J75"/>
    <mergeCell ref="I70:J70"/>
    <mergeCell ref="C78:F78"/>
    <mergeCell ref="C72:F72"/>
    <mergeCell ref="I77:J77"/>
    <mergeCell ref="G68:J68"/>
    <mergeCell ref="C76:F76"/>
    <mergeCell ref="C11:J11"/>
    <mergeCell ref="C26:F26"/>
    <mergeCell ref="C12:J12"/>
    <mergeCell ref="G81:J81"/>
    <mergeCell ref="I82:J82"/>
    <mergeCell ref="C40:F40"/>
    <mergeCell ref="C42:F42"/>
    <mergeCell ref="C13:J13"/>
    <mergeCell ref="C73:F73"/>
    <mergeCell ref="I67:J67"/>
    <mergeCell ref="G17:J17"/>
    <mergeCell ref="C34:F34"/>
    <mergeCell ref="C16:F16"/>
    <mergeCell ref="C25:F25"/>
    <mergeCell ref="G27:J27"/>
    <mergeCell ref="C74:F74"/>
    <mergeCell ref="C24:F24"/>
    <mergeCell ref="I83:J83"/>
    <mergeCell ref="C35:F35"/>
    <mergeCell ref="C17:F17"/>
    <mergeCell ref="I76:J76"/>
    <mergeCell ref="I79:J79"/>
    <mergeCell ref="C19:F19"/>
    <mergeCell ref="I69:J69"/>
    <mergeCell ref="C27:F27"/>
    <mergeCell ref="G43:J43"/>
    <mergeCell ref="G74:J74"/>
    <mergeCell ref="C68:F68"/>
    <mergeCell ref="C82:F82"/>
    <mergeCell ref="I73:J73"/>
    <mergeCell ref="C75:F75"/>
    <mergeCell ref="C81:F81"/>
    <mergeCell ref="C10:J10"/>
    <mergeCell ref="C29:F29"/>
    <mergeCell ref="C9:J9"/>
    <mergeCell ref="C39:F39"/>
    <mergeCell ref="C70:F70"/>
    <mergeCell ref="C14:J14"/>
    <mergeCell ref="C18:F18"/>
    <mergeCell ref="C33:F33"/>
    <mergeCell ref="C67:F67"/>
    <mergeCell ref="C44:F44"/>
    <mergeCell ref="C20:F20"/>
    <mergeCell ref="C28:F28"/>
    <mergeCell ref="C46:F46"/>
    <mergeCell ref="C43:F43"/>
    <mergeCell ref="C21:F21"/>
    <mergeCell ref="G35:J35"/>
    <mergeCell ref="C83:F83"/>
    <mergeCell ref="C22:F22"/>
    <mergeCell ref="I72:J72"/>
    <mergeCell ref="C30:F30"/>
    <mergeCell ref="C79:F79"/>
    <mergeCell ref="C45:F45"/>
    <mergeCell ref="C65:J65"/>
    <mergeCell ref="C69:F69"/>
    <mergeCell ref="C47:F47"/>
    <mergeCell ref="C23:F23"/>
    <mergeCell ref="G78:J78"/>
    <mergeCell ref="C37:F37"/>
    <mergeCell ref="C48:F48"/>
    <mergeCell ref="C64:J64"/>
    <mergeCell ref="C32:F32"/>
    <mergeCell ref="C41:F41"/>
  </mergeCells>
  <dataValidations count="1">
    <dataValidation allowBlank="1" showInputMessage="1" showErrorMessage="1" sqref="N1"/>
  </dataValidations>
  <printOptions horizontalCentered="1"/>
  <pageMargins left="0.75" right="0.75" top="1" bottom="1" header="0.5" footer="0.5"/>
  <pageSetup scale="76" fitToHeight="2" orientation="portrait" r:id="rId1"/>
  <rowBreaks count="1" manualBreakCount="1">
    <brk id="5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71</vt:i4>
      </vt:variant>
      <vt:variant>
        <vt:lpstr>Именованные диапазоны</vt:lpstr>
      </vt:variant>
      <vt:variant>
        <vt:i4>69</vt:i4>
      </vt:variant>
    </vt:vector>
  </HeadingPairs>
  <TitlesOfParts>
    <vt:vector size="140" baseType="lpstr">
      <vt:lpstr>Содержание</vt:lpstr>
      <vt:lpstr>Аврово №1 газ</vt:lpstr>
      <vt:lpstr>Аврово №2 газ</vt:lpstr>
      <vt:lpstr>Бережки №1 газ</vt:lpstr>
      <vt:lpstr>Бережки №2 газ</vt:lpstr>
      <vt:lpstr>ВындинОстров №1 газ</vt:lpstr>
      <vt:lpstr>ВындинОстров №2 газ</vt:lpstr>
      <vt:lpstr>ВындинОстров №3 газ</vt:lpstr>
      <vt:lpstr>Иссад ЛТЦ №1 дизель</vt:lpstr>
      <vt:lpstr>Иссад ЛТЦ №2 дизель</vt:lpstr>
      <vt:lpstr>Иссад №1 газ</vt:lpstr>
      <vt:lpstr>Иссад №2 газ</vt:lpstr>
      <vt:lpstr>Кисельня БМК №1 газ</vt:lpstr>
      <vt:lpstr>Кисельня БМК №2 газ</vt:lpstr>
      <vt:lpstr>Кисельня Центр №1 газ</vt:lpstr>
      <vt:lpstr>Кисельня Центр №2 газ</vt:lpstr>
      <vt:lpstr>Кисельня Центр №3 газ</vt:lpstr>
      <vt:lpstr>КолчАлексино №1 газ</vt:lpstr>
      <vt:lpstr>КолчАлексино №2 газ</vt:lpstr>
      <vt:lpstr>КолчМолодежная №1 газ</vt:lpstr>
      <vt:lpstr>КолчМолодежная №2 газ</vt:lpstr>
      <vt:lpstr>НЛ Северная №1 газ</vt:lpstr>
      <vt:lpstr>НЛ Северная №2 газ</vt:lpstr>
      <vt:lpstr>НЛ Северная №2 уголь</vt:lpstr>
      <vt:lpstr>НЛ Северная №1 уголь</vt:lpstr>
      <vt:lpstr>НЛ Центральная №1 газ</vt:lpstr>
      <vt:lpstr>НЛ Центральная №2 газ</vt:lpstr>
      <vt:lpstr>НЛ Центральная №1 мазут</vt:lpstr>
      <vt:lpstr>НЛ Центральная №2 мазут</vt:lpstr>
      <vt:lpstr>НЛ Центральная №4 газ</vt:lpstr>
      <vt:lpstr>НЛ Центральная №4 мазут</vt:lpstr>
      <vt:lpstr>НЛ Центральная №3 газ</vt:lpstr>
      <vt:lpstr>НЛ Центральная №5 газ</vt:lpstr>
      <vt:lpstr>НЛ Центральная №5 мазут</vt:lpstr>
      <vt:lpstr>НЛ Луначарского №1 газ</vt:lpstr>
      <vt:lpstr>НЛ Луначарского №2 газ</vt:lpstr>
      <vt:lpstr>НЛ Луначарского №1 дизель</vt:lpstr>
      <vt:lpstr>НЛ Луначарского №2 дизель</vt:lpstr>
      <vt:lpstr>Паша2 №1 мазут</vt:lpstr>
      <vt:lpstr>Паша2 №2 мазут</vt:lpstr>
      <vt:lpstr>Паша4 Станц №1 уголь</vt:lpstr>
      <vt:lpstr>Паша4 Станц №2 уголь</vt:lpstr>
      <vt:lpstr>Паша1 №1 мазут</vt:lpstr>
      <vt:lpstr>Паша1 №2 мазут</vt:lpstr>
      <vt:lpstr>Паша1 №3 мазут</vt:lpstr>
      <vt:lpstr>Паша3 Лесоз №1 мазут</vt:lpstr>
      <vt:lpstr>Паша3 Лесоз №2 мазут</vt:lpstr>
      <vt:lpstr>Потанино №2 газ</vt:lpstr>
      <vt:lpstr>Потанино №3 газ</vt:lpstr>
      <vt:lpstr>Свирица №1 мазут</vt:lpstr>
      <vt:lpstr>Свирица №2 мазут</vt:lpstr>
      <vt:lpstr>Селиваново №1 мазут</vt:lpstr>
      <vt:lpstr>Селиваново №2 мазут</vt:lpstr>
      <vt:lpstr>Селиваново №3 мазут</vt:lpstr>
      <vt:lpstr>Селиваново №4 мазут</vt:lpstr>
      <vt:lpstr>Селиваново Газ №1 газ</vt:lpstr>
      <vt:lpstr>Селиваново Газ №2 газ</vt:lpstr>
      <vt:lpstr>СтЛадога Волх №1 газ</vt:lpstr>
      <vt:lpstr>СтЛадога Волх №2 газ</vt:lpstr>
      <vt:lpstr>СтЛадога Сов №1 газ</vt:lpstr>
      <vt:lpstr>СтЛадога Сов №2 газ</vt:lpstr>
      <vt:lpstr>СтЛадога Сов №3 газ</vt:lpstr>
      <vt:lpstr>Усадище №1 газ</vt:lpstr>
      <vt:lpstr>Усадище №2 газ</vt:lpstr>
      <vt:lpstr>Усадище №3 газ</vt:lpstr>
      <vt:lpstr>Хвалово №1 мазут</vt:lpstr>
      <vt:lpstr>Хвалово №2 мазут</vt:lpstr>
      <vt:lpstr>Хвалово №1 уголь</vt:lpstr>
      <vt:lpstr>Хвалово №2 уголь</vt:lpstr>
      <vt:lpstr>Юги №1 уголь</vt:lpstr>
      <vt:lpstr>Юги №2 уголь</vt:lpstr>
      <vt:lpstr>'Аврово №2 газ'!Область_печати</vt:lpstr>
      <vt:lpstr>'Бережки №1 газ'!Область_печати</vt:lpstr>
      <vt:lpstr>'Бережки №2 газ'!Область_печати</vt:lpstr>
      <vt:lpstr>'ВындинОстров №1 газ'!Область_печати</vt:lpstr>
      <vt:lpstr>'ВындинОстров №2 газ'!Область_печати</vt:lpstr>
      <vt:lpstr>'ВындинОстров №3 газ'!Область_печати</vt:lpstr>
      <vt:lpstr>'Иссад №1 газ'!Область_печати</vt:lpstr>
      <vt:lpstr>'Иссад №2 газ'!Область_печати</vt:lpstr>
      <vt:lpstr>'Иссад ЛТЦ №1 дизель'!Область_печати</vt:lpstr>
      <vt:lpstr>'Иссад ЛТЦ №2 дизель'!Область_печати</vt:lpstr>
      <vt:lpstr>'Кисельня БМК №1 газ'!Область_печати</vt:lpstr>
      <vt:lpstr>'Кисельня БМК №2 газ'!Область_печати</vt:lpstr>
      <vt:lpstr>'Кисельня Центр №1 газ'!Область_печати</vt:lpstr>
      <vt:lpstr>'Кисельня Центр №2 газ'!Область_печати</vt:lpstr>
      <vt:lpstr>'Кисельня Центр №3 газ'!Область_печати</vt:lpstr>
      <vt:lpstr>'КолчАлексино №1 газ'!Область_печати</vt:lpstr>
      <vt:lpstr>'КолчАлексино №2 газ'!Область_печати</vt:lpstr>
      <vt:lpstr>'КолчМолодежная №1 газ'!Область_печати</vt:lpstr>
      <vt:lpstr>'КолчМолодежная №2 газ'!Область_печати</vt:lpstr>
      <vt:lpstr>'НЛ Луначарского №1 газ'!Область_печати</vt:lpstr>
      <vt:lpstr>'НЛ Луначарского №1 дизель'!Область_печати</vt:lpstr>
      <vt:lpstr>'НЛ Луначарского №2 газ'!Область_печати</vt:lpstr>
      <vt:lpstr>'НЛ Луначарского №2 дизель'!Область_печати</vt:lpstr>
      <vt:lpstr>'НЛ Северная №1 газ'!Область_печати</vt:lpstr>
      <vt:lpstr>'НЛ Северная №1 уголь'!Область_печати</vt:lpstr>
      <vt:lpstr>'НЛ Северная №2 газ'!Область_печати</vt:lpstr>
      <vt:lpstr>'НЛ Северная №2 уголь'!Область_печати</vt:lpstr>
      <vt:lpstr>'НЛ Центральная №1 газ'!Область_печати</vt:lpstr>
      <vt:lpstr>'НЛ Центральная №1 мазут'!Область_печати</vt:lpstr>
      <vt:lpstr>'НЛ Центральная №2 газ'!Область_печати</vt:lpstr>
      <vt:lpstr>'НЛ Центральная №2 мазут'!Область_печати</vt:lpstr>
      <vt:lpstr>'НЛ Центральная №3 газ'!Область_печати</vt:lpstr>
      <vt:lpstr>'НЛ Центральная №4 газ'!Область_печати</vt:lpstr>
      <vt:lpstr>'НЛ Центральная №4 мазут'!Область_печати</vt:lpstr>
      <vt:lpstr>'НЛ Центральная №5 газ'!Область_печати</vt:lpstr>
      <vt:lpstr>'НЛ Центральная №5 мазут'!Область_печати</vt:lpstr>
      <vt:lpstr>'Паша1 №1 мазут'!Область_печати</vt:lpstr>
      <vt:lpstr>'Паша1 №2 мазут'!Область_печати</vt:lpstr>
      <vt:lpstr>'Паша1 №3 мазут'!Область_печати</vt:lpstr>
      <vt:lpstr>'Паша2 №1 мазут'!Область_печати</vt:lpstr>
      <vt:lpstr>'Паша2 №2 мазут'!Область_печати</vt:lpstr>
      <vt:lpstr>'Паша3 Лесоз №1 мазут'!Область_печати</vt:lpstr>
      <vt:lpstr>'Паша3 Лесоз №2 мазут'!Область_печати</vt:lpstr>
      <vt:lpstr>'Паша4 Станц №1 уголь'!Область_печати</vt:lpstr>
      <vt:lpstr>'Паша4 Станц №2 уголь'!Область_печати</vt:lpstr>
      <vt:lpstr>'Потанино №2 газ'!Область_печати</vt:lpstr>
      <vt:lpstr>'Потанино №3 газ'!Область_печати</vt:lpstr>
      <vt:lpstr>'Свирица №1 мазут'!Область_печати</vt:lpstr>
      <vt:lpstr>'Свирица №2 мазут'!Область_печати</vt:lpstr>
      <vt:lpstr>'Селиваново №1 мазут'!Область_печати</vt:lpstr>
      <vt:lpstr>'Селиваново №2 мазут'!Область_печати</vt:lpstr>
      <vt:lpstr>'Селиваново №3 мазут'!Область_печати</vt:lpstr>
      <vt:lpstr>'Селиваново №4 мазут'!Область_печати</vt:lpstr>
      <vt:lpstr>'Селиваново Газ №1 газ'!Область_печати</vt:lpstr>
      <vt:lpstr>'Селиваново Газ №2 газ'!Область_печати</vt:lpstr>
      <vt:lpstr>'СтЛадога Волх №1 газ'!Область_печати</vt:lpstr>
      <vt:lpstr>'СтЛадога Волх №2 газ'!Область_печати</vt:lpstr>
      <vt:lpstr>'СтЛадога Сов №1 газ'!Область_печати</vt:lpstr>
      <vt:lpstr>'СтЛадога Сов №2 газ'!Область_печати</vt:lpstr>
      <vt:lpstr>'СтЛадога Сов №3 газ'!Область_печати</vt:lpstr>
      <vt:lpstr>'Усадище №1 газ'!Область_печати</vt:lpstr>
      <vt:lpstr>'Усадище №2 газ'!Область_печати</vt:lpstr>
      <vt:lpstr>'Усадище №3 газ'!Область_печати</vt:lpstr>
      <vt:lpstr>'Хвалово №1 мазут'!Область_печати</vt:lpstr>
      <vt:lpstr>'Хвалово №1 уголь'!Область_печати</vt:lpstr>
      <vt:lpstr>'Хвалово №2 мазут'!Область_печати</vt:lpstr>
      <vt:lpstr>'Хвалово №2 уголь'!Область_печати</vt:lpstr>
      <vt:lpstr>'Юги №1 уголь'!Область_печати</vt:lpstr>
      <vt:lpstr>'Юги №2 уголь'!Область_печати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Амбарцумов Алексей</cp:lastModifiedBy>
  <cp:lastPrinted>2026-09-07T08:44:32Z</cp:lastPrinted>
  <dcterms:created xsi:type="dcterms:W3CDTF">2026-08-31T11:07:14Z</dcterms:created>
  <dcterms:modified xsi:type="dcterms:W3CDTF">2026-09-07T10:49:36Z</dcterms:modified>
</cp:coreProperties>
</file>