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Амбарцумов Алексей\Desktop\"/>
    </mc:Choice>
  </mc:AlternateContent>
  <bookViews>
    <workbookView xWindow="0" yWindow="0" windowWidth="28800" windowHeight="12435"/>
  </bookViews>
  <sheets>
    <sheet name="ДКВР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4" i="1" l="1"/>
  <c r="F33" i="1"/>
  <c r="E33" i="1"/>
  <c r="D33" i="1"/>
  <c r="F32" i="1"/>
  <c r="E32" i="1"/>
  <c r="D32" i="1"/>
  <c r="F23" i="1"/>
  <c r="F34" i="1" s="1"/>
  <c r="E23" i="1"/>
  <c r="E34" i="1" s="1"/>
  <c r="D23" i="1"/>
  <c r="D34" i="1" s="1"/>
  <c r="D18" i="1"/>
  <c r="E18" i="1"/>
  <c r="F18" i="1"/>
</calcChain>
</file>

<file path=xl/sharedStrings.xml><?xml version="1.0" encoding="utf-8"?>
<sst xmlns="http://schemas.openxmlformats.org/spreadsheetml/2006/main" count="60" uniqueCount="50">
  <si>
    <t>№ п/п</t>
  </si>
  <si>
    <t>Наименование параметров</t>
  </si>
  <si>
    <t>Размерность</t>
  </si>
  <si>
    <t>Значение, № режима</t>
  </si>
  <si>
    <t>Паропроизводительность</t>
  </si>
  <si>
    <t>т/час</t>
  </si>
  <si>
    <t>Теплопроизводительность</t>
  </si>
  <si>
    <t>Давление мазута</t>
  </si>
  <si>
    <t>МПа</t>
  </si>
  <si>
    <t>МВт</t>
  </si>
  <si>
    <t>Давление вторичного воздуха</t>
  </si>
  <si>
    <t>Температура уходящих газов</t>
  </si>
  <si>
    <t>Температура воды</t>
  </si>
  <si>
    <t>оС</t>
  </si>
  <si>
    <t>Температура пара</t>
  </si>
  <si>
    <t>Расход мазута</t>
  </si>
  <si>
    <t>кг/ч</t>
  </si>
  <si>
    <t>Расчетный КПД</t>
  </si>
  <si>
    <t>%</t>
  </si>
  <si>
    <t>Состав уходящих газов за котлом:</t>
  </si>
  <si>
    <t>Потери тепла:</t>
  </si>
  <si>
    <t>с уходящими газами</t>
  </si>
  <si>
    <t>в окружающую среду</t>
  </si>
  <si>
    <t>Nox</t>
  </si>
  <si>
    <t>p.p.m</t>
  </si>
  <si>
    <t>RO2</t>
  </si>
  <si>
    <t>O2</t>
  </si>
  <si>
    <t>CO</t>
  </si>
  <si>
    <t xml:space="preserve">Удельный расход условного топлива на выработку 1 Гкал тепла </t>
  </si>
  <si>
    <t>кг.у.т./Гкал</t>
  </si>
  <si>
    <t>УТВЕРЖДАЮ</t>
  </si>
  <si>
    <t>ООО "Леноблтеплоснаб"</t>
  </si>
  <si>
    <t>РЕЖИМНАЯ КАРТА</t>
  </si>
  <si>
    <t>установленный в котельной по адресу:Ленинградская область, Волховский район,                                                     г. Новая Ладога, ул. Суворова, д.79</t>
  </si>
  <si>
    <r>
      <t>при работе на мазуте с теплотой сгорания Q</t>
    </r>
    <r>
      <rPr>
        <b/>
        <vertAlign val="subscript"/>
        <sz val="11"/>
        <color theme="1"/>
        <rFont val="Times New Roman"/>
        <family val="1"/>
        <charset val="204"/>
      </rPr>
      <t>р</t>
    </r>
    <r>
      <rPr>
        <b/>
        <vertAlign val="superscript"/>
        <sz val="11"/>
        <color theme="1"/>
        <rFont val="Times New Roman"/>
        <family val="1"/>
        <charset val="204"/>
      </rPr>
      <t xml:space="preserve">н </t>
    </r>
    <r>
      <rPr>
        <b/>
        <sz val="11"/>
        <color theme="1"/>
        <rFont val="Times New Roman"/>
        <family val="1"/>
        <charset val="204"/>
      </rPr>
      <t>= 9600 ккал/кг</t>
    </r>
  </si>
  <si>
    <t>Примечание:</t>
  </si>
  <si>
    <t>1. Режимная карта составлена при работе с горелкой ГМГ</t>
  </si>
  <si>
    <t>Согласовано:</t>
  </si>
  <si>
    <t xml:space="preserve">Котел ст. №1  ДКВР - 10/13 </t>
  </si>
  <si>
    <t>Температура мазута на горение</t>
  </si>
  <si>
    <t>110-120</t>
  </si>
  <si>
    <t>Начальник котельного участка</t>
  </si>
  <si>
    <t>Степанов А.В.</t>
  </si>
  <si>
    <t xml:space="preserve">__________________          </t>
  </si>
  <si>
    <t>"___"_____________ 2025 г.</t>
  </si>
  <si>
    <t>Наладка проводилась в марте 2025 г.</t>
  </si>
  <si>
    <t>Инженер по ЭТТО</t>
  </si>
  <si>
    <t xml:space="preserve">__________________  </t>
  </si>
  <si>
    <t xml:space="preserve">Безруких В.В.   _____________________                    </t>
  </si>
  <si>
    <t xml:space="preserve">Зам. ген. директора - главный инженер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</si>
</sst>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vertAlign val="subscript"/>
      <sz val="11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2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/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5" fillId="0" borderId="0" xfId="0" applyFont="1" applyBorder="1" applyAlignment="1">
      <alignment horizontal="center" wrapText="1"/>
    </xf>
    <xf numFmtId="0" fontId="1" fillId="0" borderId="0" xfId="0" applyFont="1" applyBorder="1"/>
    <xf numFmtId="0" fontId="2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9" fillId="0" borderId="0" xfId="0" applyFont="1" applyAlignment="1"/>
    <xf numFmtId="164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2" fontId="8" fillId="0" borderId="0" xfId="0" applyNumberFormat="1" applyFont="1" applyAlignment="1">
      <alignment horizontal="left" vertical="center"/>
    </xf>
    <xf numFmtId="2" fontId="2" fillId="0" borderId="2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7"/>
  <sheetViews>
    <sheetView tabSelected="1" topLeftCell="A16" workbookViewId="0">
      <selection activeCell="E2" sqref="E2:F2"/>
    </sheetView>
  </sheetViews>
  <sheetFormatPr defaultRowHeight="15" x14ac:dyDescent="0.25"/>
  <cols>
    <col min="2" max="2" width="29.5703125" customWidth="1"/>
    <col min="3" max="3" width="14.85546875" customWidth="1"/>
    <col min="4" max="4" width="10.85546875" customWidth="1"/>
    <col min="6" max="6" width="10.28515625" customWidth="1"/>
    <col min="7" max="7" width="11.42578125" customWidth="1"/>
  </cols>
  <sheetData>
    <row r="1" spans="1:8" ht="15.75" x14ac:dyDescent="0.25">
      <c r="A1" s="1"/>
      <c r="B1" s="1"/>
      <c r="C1" s="1"/>
      <c r="D1" s="2"/>
      <c r="E1" s="15" t="s">
        <v>30</v>
      </c>
      <c r="F1" s="2"/>
      <c r="G1" s="2"/>
      <c r="H1" s="2"/>
    </row>
    <row r="2" spans="1:8" ht="31.5" customHeight="1" x14ac:dyDescent="0.25">
      <c r="A2" s="1"/>
      <c r="B2" s="1"/>
      <c r="C2" s="1"/>
      <c r="D2" s="2"/>
      <c r="E2" s="33" t="s">
        <v>49</v>
      </c>
      <c r="F2" s="33"/>
      <c r="G2" s="2"/>
      <c r="H2" s="2"/>
    </row>
    <row r="3" spans="1:8" ht="15.75" x14ac:dyDescent="0.25">
      <c r="A3" s="1"/>
      <c r="B3" s="1"/>
      <c r="C3" s="1"/>
      <c r="D3" s="2"/>
      <c r="E3" s="15" t="s">
        <v>31</v>
      </c>
      <c r="F3" s="2"/>
      <c r="G3" s="2"/>
      <c r="H3" s="2"/>
    </row>
    <row r="4" spans="1:8" ht="15.75" x14ac:dyDescent="0.25">
      <c r="A4" s="1"/>
      <c r="B4" s="1"/>
      <c r="C4" s="1"/>
      <c r="D4" s="2"/>
      <c r="E4" s="16" t="s">
        <v>42</v>
      </c>
      <c r="F4" s="2"/>
      <c r="G4" s="2"/>
      <c r="H4" s="2"/>
    </row>
    <row r="5" spans="1:8" ht="15.75" x14ac:dyDescent="0.25">
      <c r="A5" s="1"/>
      <c r="B5" s="1"/>
      <c r="C5" s="1"/>
      <c r="D5" s="2"/>
      <c r="E5" s="16" t="s">
        <v>43</v>
      </c>
      <c r="F5" s="2"/>
      <c r="G5" s="2"/>
      <c r="H5" s="2"/>
    </row>
    <row r="6" spans="1:8" ht="15.75" x14ac:dyDescent="0.25">
      <c r="A6" s="1"/>
      <c r="B6" s="1"/>
      <c r="C6" s="1"/>
      <c r="D6" s="2"/>
      <c r="E6" s="16" t="s">
        <v>44</v>
      </c>
      <c r="F6" s="2"/>
      <c r="G6" s="2"/>
      <c r="H6" s="2"/>
    </row>
    <row r="7" spans="1:8" ht="15.75" x14ac:dyDescent="0.25">
      <c r="A7" s="1"/>
      <c r="B7" s="1"/>
      <c r="C7" s="1"/>
      <c r="D7" s="2"/>
      <c r="E7" s="2"/>
      <c r="F7" s="2"/>
      <c r="G7" s="2"/>
      <c r="H7" s="2"/>
    </row>
    <row r="8" spans="1:8" ht="15.75" x14ac:dyDescent="0.25">
      <c r="A8" s="25" t="s">
        <v>32</v>
      </c>
      <c r="B8" s="25"/>
      <c r="C8" s="25"/>
      <c r="D8" s="25"/>
      <c r="E8" s="25"/>
      <c r="F8" s="25"/>
      <c r="G8" s="25"/>
      <c r="H8" s="1"/>
    </row>
    <row r="9" spans="1:8" ht="15.75" x14ac:dyDescent="0.25">
      <c r="A9" s="25" t="s">
        <v>38</v>
      </c>
      <c r="B9" s="25"/>
      <c r="C9" s="25"/>
      <c r="D9" s="25"/>
      <c r="E9" s="25"/>
      <c r="F9" s="25"/>
      <c r="G9" s="25"/>
      <c r="H9" s="1"/>
    </row>
    <row r="10" spans="1:8" ht="18" x14ac:dyDescent="0.3">
      <c r="A10" s="26" t="s">
        <v>34</v>
      </c>
      <c r="B10" s="26"/>
      <c r="C10" s="26"/>
      <c r="D10" s="26"/>
      <c r="E10" s="26"/>
      <c r="F10" s="26"/>
      <c r="G10" s="26"/>
      <c r="H10" s="1"/>
    </row>
    <row r="11" spans="1:8" x14ac:dyDescent="0.25">
      <c r="A11" s="27" t="s">
        <v>33</v>
      </c>
      <c r="B11" s="27"/>
      <c r="C11" s="27"/>
      <c r="D11" s="27"/>
      <c r="E11" s="27"/>
      <c r="F11" s="27"/>
      <c r="G11" s="27"/>
      <c r="H11" s="1"/>
    </row>
    <row r="12" spans="1:8" x14ac:dyDescent="0.25">
      <c r="A12" s="28"/>
      <c r="B12" s="28"/>
      <c r="C12" s="28"/>
      <c r="D12" s="28"/>
      <c r="E12" s="28"/>
      <c r="F12" s="28"/>
      <c r="G12" s="28"/>
      <c r="H12" s="1"/>
    </row>
    <row r="13" spans="1:8" x14ac:dyDescent="0.25">
      <c r="A13" s="12"/>
      <c r="B13" s="12"/>
      <c r="C13" s="12"/>
      <c r="D13" s="12"/>
      <c r="E13" s="12"/>
      <c r="F13" s="12"/>
      <c r="G13" s="12"/>
      <c r="H13" s="13"/>
    </row>
    <row r="14" spans="1:8" ht="15.75" x14ac:dyDescent="0.25">
      <c r="A14" s="29" t="s">
        <v>0</v>
      </c>
      <c r="B14" s="29" t="s">
        <v>1</v>
      </c>
      <c r="C14" s="29" t="s">
        <v>2</v>
      </c>
      <c r="D14" s="29" t="s">
        <v>3</v>
      </c>
      <c r="E14" s="29"/>
      <c r="F14" s="29"/>
      <c r="G14" s="29"/>
      <c r="H14" s="2"/>
    </row>
    <row r="15" spans="1:8" ht="15.75" x14ac:dyDescent="0.25">
      <c r="A15" s="29"/>
      <c r="B15" s="29"/>
      <c r="C15" s="29"/>
      <c r="D15" s="6">
        <v>1</v>
      </c>
      <c r="E15" s="6">
        <v>2</v>
      </c>
      <c r="F15" s="6">
        <v>3</v>
      </c>
      <c r="G15" s="6">
        <v>4</v>
      </c>
      <c r="H15" s="2"/>
    </row>
    <row r="16" spans="1:8" ht="15.75" x14ac:dyDescent="0.25">
      <c r="A16" s="6">
        <v>1</v>
      </c>
      <c r="B16" s="4" t="s">
        <v>4</v>
      </c>
      <c r="C16" s="6" t="s">
        <v>5</v>
      </c>
      <c r="D16" s="8">
        <v>5.2</v>
      </c>
      <c r="E16" s="8">
        <v>7.4</v>
      </c>
      <c r="F16" s="8">
        <v>9.4</v>
      </c>
      <c r="G16" s="8">
        <v>10.199999999999999</v>
      </c>
      <c r="H16" s="2"/>
    </row>
    <row r="17" spans="1:27" ht="15.75" x14ac:dyDescent="0.25">
      <c r="A17" s="6">
        <v>2</v>
      </c>
      <c r="B17" s="4" t="s">
        <v>6</v>
      </c>
      <c r="C17" s="6" t="s">
        <v>9</v>
      </c>
      <c r="D17" s="8">
        <v>2.94</v>
      </c>
      <c r="E17" s="8">
        <v>4.16</v>
      </c>
      <c r="F17" s="8">
        <v>5.27</v>
      </c>
      <c r="G17" s="8">
        <v>5.75</v>
      </c>
      <c r="H17" s="2"/>
      <c r="I17" s="5"/>
      <c r="J17" s="5"/>
      <c r="K17" s="5"/>
      <c r="L17" s="5"/>
    </row>
    <row r="18" spans="1:27" ht="15.75" x14ac:dyDescent="0.25">
      <c r="A18" s="6">
        <v>3</v>
      </c>
      <c r="B18" s="4" t="s">
        <v>14</v>
      </c>
      <c r="C18" s="6" t="s">
        <v>13</v>
      </c>
      <c r="D18" s="10">
        <f>G18*0.51</f>
        <v>98.94</v>
      </c>
      <c r="E18" s="10">
        <f>G18*0.73</f>
        <v>141.62</v>
      </c>
      <c r="F18" s="10">
        <f>G18*0.92</f>
        <v>178.48000000000002</v>
      </c>
      <c r="G18" s="10">
        <v>194</v>
      </c>
      <c r="H18" s="2"/>
      <c r="I18" s="5"/>
      <c r="J18" s="5"/>
      <c r="K18" s="5"/>
      <c r="L18" s="5"/>
    </row>
    <row r="19" spans="1:27" ht="15.75" x14ac:dyDescent="0.25">
      <c r="A19" s="14">
        <v>4</v>
      </c>
      <c r="B19" s="4" t="s">
        <v>7</v>
      </c>
      <c r="C19" s="6" t="s">
        <v>8</v>
      </c>
      <c r="D19" s="8">
        <v>0.6</v>
      </c>
      <c r="E19" s="8">
        <v>1</v>
      </c>
      <c r="F19" s="8">
        <v>1.7</v>
      </c>
      <c r="G19" s="8">
        <v>2</v>
      </c>
      <c r="H19" s="2"/>
    </row>
    <row r="20" spans="1:27" ht="15.75" x14ac:dyDescent="0.25">
      <c r="A20" s="14">
        <v>5</v>
      </c>
      <c r="B20" s="4" t="s">
        <v>10</v>
      </c>
      <c r="C20" s="6" t="s">
        <v>8</v>
      </c>
      <c r="D20" s="8">
        <v>0.25</v>
      </c>
      <c r="E20" s="8">
        <v>0.4</v>
      </c>
      <c r="F20" s="8">
        <v>0.7</v>
      </c>
      <c r="G20" s="8">
        <v>1</v>
      </c>
      <c r="H20" s="2"/>
    </row>
    <row r="21" spans="1:27" ht="15.75" x14ac:dyDescent="0.25">
      <c r="A21" s="14">
        <v>6</v>
      </c>
      <c r="B21" s="4" t="s">
        <v>11</v>
      </c>
      <c r="C21" s="6" t="s">
        <v>13</v>
      </c>
      <c r="D21" s="10">
        <v>298</v>
      </c>
      <c r="E21" s="10">
        <v>323</v>
      </c>
      <c r="F21" s="10">
        <v>339</v>
      </c>
      <c r="G21" s="10">
        <v>350</v>
      </c>
      <c r="H21" s="2"/>
    </row>
    <row r="22" spans="1:27" ht="15.75" x14ac:dyDescent="0.25">
      <c r="A22" s="14">
        <v>7</v>
      </c>
      <c r="B22" s="4" t="s">
        <v>12</v>
      </c>
      <c r="C22" s="6" t="s">
        <v>13</v>
      </c>
      <c r="D22" s="10">
        <v>124</v>
      </c>
      <c r="E22" s="10">
        <v>128</v>
      </c>
      <c r="F22" s="10">
        <v>132</v>
      </c>
      <c r="G22" s="10">
        <v>135</v>
      </c>
      <c r="H22" s="2"/>
    </row>
    <row r="23" spans="1:27" ht="15.75" x14ac:dyDescent="0.25">
      <c r="A23" s="14">
        <v>8</v>
      </c>
      <c r="B23" s="4" t="s">
        <v>15</v>
      </c>
      <c r="C23" s="6" t="s">
        <v>16</v>
      </c>
      <c r="D23" s="10">
        <f>G23*0.51</f>
        <v>367.2</v>
      </c>
      <c r="E23" s="10">
        <f>G23*0.73</f>
        <v>525.6</v>
      </c>
      <c r="F23" s="10">
        <f>G23*0.92</f>
        <v>662.4</v>
      </c>
      <c r="G23" s="10">
        <v>720</v>
      </c>
      <c r="H23" s="2"/>
    </row>
    <row r="24" spans="1:27" ht="31.5" x14ac:dyDescent="0.25">
      <c r="A24" s="14">
        <v>9</v>
      </c>
      <c r="B24" s="9" t="s">
        <v>39</v>
      </c>
      <c r="C24" s="14" t="s">
        <v>13</v>
      </c>
      <c r="D24" s="30" t="s">
        <v>40</v>
      </c>
      <c r="E24" s="31"/>
      <c r="F24" s="31"/>
      <c r="G24" s="32"/>
      <c r="H24" s="2"/>
    </row>
    <row r="25" spans="1:27" ht="15.75" x14ac:dyDescent="0.25">
      <c r="A25" s="14">
        <v>10</v>
      </c>
      <c r="B25" s="4" t="s">
        <v>17</v>
      </c>
      <c r="C25" s="6" t="s">
        <v>18</v>
      </c>
      <c r="D25" s="8">
        <v>87.6</v>
      </c>
      <c r="E25" s="8">
        <v>87.9</v>
      </c>
      <c r="F25" s="8">
        <v>88.3</v>
      </c>
      <c r="G25" s="8">
        <v>89.08</v>
      </c>
      <c r="H25" s="2"/>
    </row>
    <row r="26" spans="1:27" ht="31.5" x14ac:dyDescent="0.25">
      <c r="A26" s="14">
        <v>11</v>
      </c>
      <c r="B26" s="9" t="s">
        <v>19</v>
      </c>
      <c r="C26" s="6" t="s">
        <v>18</v>
      </c>
      <c r="D26" s="22"/>
      <c r="E26" s="23"/>
      <c r="F26" s="23"/>
      <c r="G26" s="24"/>
      <c r="H26" s="2"/>
    </row>
    <row r="27" spans="1:27" ht="15.75" x14ac:dyDescent="0.25">
      <c r="A27" s="14"/>
      <c r="B27" s="11" t="s">
        <v>23</v>
      </c>
      <c r="C27" s="6" t="s">
        <v>24</v>
      </c>
      <c r="D27" s="8">
        <v>71</v>
      </c>
      <c r="E27" s="8">
        <v>76</v>
      </c>
      <c r="F27" s="8">
        <v>84</v>
      </c>
      <c r="G27" s="8">
        <v>89</v>
      </c>
      <c r="H27" s="2"/>
    </row>
    <row r="28" spans="1:27" ht="15.75" x14ac:dyDescent="0.25">
      <c r="A28" s="14"/>
      <c r="B28" s="11" t="s">
        <v>25</v>
      </c>
      <c r="C28" s="6" t="s">
        <v>18</v>
      </c>
      <c r="D28" s="8">
        <v>8</v>
      </c>
      <c r="E28" s="8">
        <v>8.1999999999999993</v>
      </c>
      <c r="F28" s="8">
        <v>8.4</v>
      </c>
      <c r="G28" s="8">
        <v>8.6</v>
      </c>
      <c r="H28" s="2"/>
    </row>
    <row r="29" spans="1:27" ht="15.75" x14ac:dyDescent="0.25">
      <c r="A29" s="14"/>
      <c r="B29" s="11" t="s">
        <v>26</v>
      </c>
      <c r="C29" s="6" t="s">
        <v>18</v>
      </c>
      <c r="D29" s="8">
        <v>6.8</v>
      </c>
      <c r="E29" s="8">
        <v>6.4</v>
      </c>
      <c r="F29" s="8">
        <v>6.1</v>
      </c>
      <c r="G29" s="8">
        <v>5.8</v>
      </c>
      <c r="H29" s="2"/>
    </row>
    <row r="30" spans="1:27" ht="15.75" x14ac:dyDescent="0.25">
      <c r="A30" s="14"/>
      <c r="B30" s="11" t="s">
        <v>27</v>
      </c>
      <c r="C30" s="6" t="s">
        <v>18</v>
      </c>
      <c r="D30" s="8">
        <v>0</v>
      </c>
      <c r="E30" s="8">
        <v>0</v>
      </c>
      <c r="F30" s="8">
        <v>0</v>
      </c>
      <c r="G30" s="8">
        <v>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3"/>
      <c r="W30" s="3"/>
      <c r="X30" s="3"/>
      <c r="Y30" s="3"/>
      <c r="Z30" s="3"/>
      <c r="AA30" s="3"/>
    </row>
    <row r="31" spans="1:27" ht="15.75" x14ac:dyDescent="0.25">
      <c r="A31" s="14">
        <v>12</v>
      </c>
      <c r="B31" s="4" t="s">
        <v>20</v>
      </c>
      <c r="C31" s="6"/>
      <c r="D31" s="7"/>
      <c r="E31" s="7"/>
      <c r="F31" s="7"/>
      <c r="G31" s="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3"/>
      <c r="W31" s="3"/>
      <c r="X31" s="3"/>
      <c r="Y31" s="3"/>
      <c r="Z31" s="3"/>
      <c r="AA31" s="3"/>
    </row>
    <row r="32" spans="1:27" ht="15.75" x14ac:dyDescent="0.25">
      <c r="A32" s="14">
        <v>13</v>
      </c>
      <c r="B32" s="4" t="s">
        <v>21</v>
      </c>
      <c r="C32" s="6" t="s">
        <v>18</v>
      </c>
      <c r="D32" s="8">
        <f>G32*0.51</f>
        <v>5.5385999999999997</v>
      </c>
      <c r="E32" s="8">
        <f>G32*0.73</f>
        <v>7.9277999999999995</v>
      </c>
      <c r="F32" s="8">
        <f>G32*0.92</f>
        <v>9.9911999999999992</v>
      </c>
      <c r="G32" s="8">
        <v>10.86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3"/>
      <c r="W32" s="3"/>
      <c r="X32" s="3"/>
      <c r="Y32" s="3"/>
      <c r="Z32" s="3"/>
      <c r="AA32" s="3"/>
    </row>
    <row r="33" spans="1:27" ht="15.75" x14ac:dyDescent="0.25">
      <c r="A33" s="14">
        <v>14</v>
      </c>
      <c r="B33" s="4" t="s">
        <v>22</v>
      </c>
      <c r="C33" s="6" t="s">
        <v>18</v>
      </c>
      <c r="D33" s="8">
        <f>G33*0.51</f>
        <v>1.3260000000000001</v>
      </c>
      <c r="E33" s="8">
        <f>G33*0.73</f>
        <v>1.8979999999999999</v>
      </c>
      <c r="F33" s="8">
        <f>G33*0.92</f>
        <v>2.3920000000000003</v>
      </c>
      <c r="G33" s="8">
        <v>2.6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3"/>
      <c r="W33" s="3"/>
      <c r="X33" s="3"/>
      <c r="Y33" s="3"/>
      <c r="Z33" s="3"/>
      <c r="AA33" s="3"/>
    </row>
    <row r="34" spans="1:27" ht="47.25" x14ac:dyDescent="0.25">
      <c r="A34" s="14">
        <v>15</v>
      </c>
      <c r="B34" s="9" t="s">
        <v>28</v>
      </c>
      <c r="C34" s="6" t="s">
        <v>29</v>
      </c>
      <c r="D34" s="8">
        <f>(D23*1.36)/(D17*0.858)</f>
        <v>197.97345511631224</v>
      </c>
      <c r="E34" s="8">
        <f>(E23*1.36)/(E17*0.858)</f>
        <v>200.26896180742335</v>
      </c>
      <c r="F34" s="8">
        <f t="shared" ref="F34" si="0">(F23*1.36)/(F17*0.858)</f>
        <v>199.23302503947667</v>
      </c>
      <c r="G34" s="8">
        <f>(G23*1.36)/(G17*0.858)</f>
        <v>198.47978108847676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3"/>
      <c r="W34" s="3"/>
      <c r="X34" s="3"/>
      <c r="Y34" s="3"/>
      <c r="Z34" s="3"/>
      <c r="AA34" s="3"/>
    </row>
    <row r="35" spans="1:27" ht="15.7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3"/>
      <c r="W35" s="3"/>
      <c r="X35" s="3"/>
      <c r="Y35" s="3"/>
      <c r="Z35" s="3"/>
      <c r="AA35" s="3"/>
    </row>
    <row r="36" spans="1:27" ht="15.75" x14ac:dyDescent="0.25">
      <c r="A36" s="2" t="s">
        <v>35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3"/>
      <c r="W36" s="3"/>
      <c r="X36" s="3"/>
      <c r="Y36" s="3"/>
      <c r="Z36" s="3"/>
      <c r="AA36" s="3"/>
    </row>
    <row r="37" spans="1:27" ht="15.75" x14ac:dyDescent="0.25">
      <c r="A37" s="2" t="s">
        <v>36</v>
      </c>
      <c r="B37" s="2"/>
      <c r="C37" s="2"/>
      <c r="D37" s="2"/>
      <c r="E37" s="2"/>
      <c r="F37" s="2"/>
      <c r="G37" s="2"/>
      <c r="H37" s="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x14ac:dyDescent="0.25">
      <c r="A38" s="2"/>
      <c r="B38" s="2"/>
      <c r="C38" s="2"/>
      <c r="D38" s="2"/>
      <c r="E38" s="2"/>
      <c r="F38" s="2"/>
      <c r="G38" s="2"/>
      <c r="H38" s="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x14ac:dyDescent="0.25">
      <c r="A39" s="16" t="s">
        <v>45</v>
      </c>
      <c r="B39" s="17"/>
      <c r="C39" s="16"/>
      <c r="D39" s="18"/>
      <c r="E39" s="16" t="s">
        <v>37</v>
      </c>
      <c r="F39" s="16"/>
      <c r="H39" s="17"/>
      <c r="I39" s="19"/>
      <c r="J39" s="20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x14ac:dyDescent="0.25">
      <c r="A40" s="21" t="s">
        <v>46</v>
      </c>
      <c r="B40" s="17"/>
      <c r="C40" s="16"/>
      <c r="D40" s="16"/>
      <c r="E40" s="16" t="s">
        <v>41</v>
      </c>
      <c r="F40" s="16"/>
      <c r="H40" s="17"/>
      <c r="I40" s="19"/>
      <c r="J40" s="20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x14ac:dyDescent="0.25">
      <c r="A41" s="16" t="s">
        <v>48</v>
      </c>
      <c r="B41" s="17"/>
      <c r="C41" s="18"/>
      <c r="D41" s="17"/>
      <c r="E41" s="16" t="s">
        <v>47</v>
      </c>
      <c r="F41" s="16"/>
      <c r="H41" s="17"/>
      <c r="I41" s="19"/>
      <c r="J41" s="20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7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7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.7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.7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.7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.7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.7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.7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.7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.7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.7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.7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.7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.7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.7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.7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.7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.7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.7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.7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.7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.7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.7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.7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.7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.7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.7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.7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.7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.7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.7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.7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.7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.7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.7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.7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.7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.7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.7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.7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.7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.7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.7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.7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.7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.7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.7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.7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.7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.7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.7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.7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.7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.7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.7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.7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.7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.7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.7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.7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.7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.7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.7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.7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.7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.7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.7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.7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.7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.7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.7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.7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.7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.7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.7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.7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.7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.7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.7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.7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.7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.7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.7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.7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.7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.7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.7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</sheetData>
  <mergeCells count="11">
    <mergeCell ref="E2:F2"/>
    <mergeCell ref="D26:G26"/>
    <mergeCell ref="A8:G8"/>
    <mergeCell ref="A9:G9"/>
    <mergeCell ref="A10:G10"/>
    <mergeCell ref="A11:G12"/>
    <mergeCell ref="D14:G14"/>
    <mergeCell ref="C14:C15"/>
    <mergeCell ref="B14:B15"/>
    <mergeCell ref="A14:A15"/>
    <mergeCell ref="D24:G24"/>
  </mergeCells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ДКВР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Semicheva</dc:creator>
  <cp:lastModifiedBy>Амбарцумов Алексей</cp:lastModifiedBy>
  <cp:lastPrinted>2025-09-08T08:57:34Z</cp:lastPrinted>
  <dcterms:created xsi:type="dcterms:W3CDTF">2015-09-17T10:20:24Z</dcterms:created>
  <dcterms:modified xsi:type="dcterms:W3CDTF">2025-09-08T08:57:38Z</dcterms:modified>
</cp:coreProperties>
</file>