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2FCED4D-8403-4FAE-A462-9BDB1FCEA414}" xr6:coauthVersionLast="44" xr6:coauthVersionMax="44" xr10:uidLastSave="{00000000-0000-0000-0000-000000000000}"/>
  <bookViews>
    <workbookView xWindow="-120" yWindow="-120" windowWidth="29040" windowHeight="15720" activeTab="1" xr2:uid="{00000000-000D-0000-FFFF-FFFF00000000}"/>
  </bookViews>
  <sheets>
    <sheet name="Контакты" sheetId="1" r:id="rId1"/>
    <sheet name="Лист1" sheetId="11" r:id="rId2"/>
    <sheet name="Обратившиеся и заселенные" sheetId="2" r:id="rId3"/>
    <sheet name="Солнечное 1" sheetId="3" r:id="rId4"/>
    <sheet name="Белоостров" sheetId="4" r:id="rId5"/>
    <sheet name="Солнечное 2" sheetId="5" r:id="rId6"/>
    <sheet name="Солнечное 3" sheetId="6" r:id="rId7"/>
    <sheet name="Комарово" sheetId="7" r:id="rId8"/>
    <sheet name="Репино" sheetId="8" r:id="rId9"/>
    <sheet name="Зеленогорск" sheetId="9" r:id="rId10"/>
    <sheet name="Исключенные 2025-2026" sheetId="10" r:id="rId11"/>
  </sheets>
  <definedNames>
    <definedName name="_xlnm._FilterDatabase" localSheetId="4" hidden="1">Белоостров!$A$2:$AC$340</definedName>
    <definedName name="_xlnm._FilterDatabase" localSheetId="9" hidden="1">Зеленогорск!$A$2:$J$105</definedName>
    <definedName name="_xlnm._FilterDatabase" localSheetId="10" hidden="1">'Исключенные 2025-2026'!$A$1:$G$31</definedName>
    <definedName name="_xlnm._FilterDatabase" localSheetId="7" hidden="1">Комарово!$A$2:$J$177</definedName>
    <definedName name="_xlnm._FilterDatabase" localSheetId="0" hidden="1">Контакты!$A$1:$F$1001</definedName>
    <definedName name="_xlnm._FilterDatabase" localSheetId="2" hidden="1">'Обратившиеся и заселенные'!$A$2:$AY$21</definedName>
    <definedName name="_xlnm._FilterDatabase" localSheetId="8" hidden="1">Репино!$A$2:$J$22</definedName>
    <definedName name="_xlnm._FilterDatabase" localSheetId="3" hidden="1">'Солнечное 1'!$A$2:$Y$51</definedName>
    <definedName name="_xlnm._FilterDatabase" localSheetId="5" hidden="1">'Солнечное 2'!$A$2:$J$361</definedName>
    <definedName name="_xlnm._FilterDatabase" localSheetId="6" hidden="1">'Солнечное 3'!$A$2:$J$803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31" i="10" l="1"/>
  <c r="D31" i="10"/>
  <c r="E105" i="9"/>
  <c r="D105" i="9"/>
  <c r="E22" i="8"/>
  <c r="D22" i="8"/>
  <c r="E177" i="7"/>
  <c r="D177" i="7"/>
  <c r="E803" i="6"/>
  <c r="D803" i="6"/>
  <c r="E361" i="5"/>
  <c r="D361" i="5"/>
  <c r="G29" i="5"/>
  <c r="H27" i="5"/>
  <c r="G27" i="5"/>
  <c r="H26" i="5"/>
  <c r="G26" i="5"/>
  <c r="E340" i="4"/>
  <c r="D340" i="4"/>
  <c r="E51" i="3"/>
  <c r="D51" i="3"/>
  <c r="G44" i="3"/>
  <c r="G43" i="3"/>
  <c r="G27" i="3"/>
  <c r="AX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X21" i="2"/>
  <c r="AY21" i="2" s="1"/>
  <c r="AV21" i="2"/>
  <c r="AW21" i="2" s="1"/>
  <c r="AY20" i="2"/>
  <c r="AX20" i="2"/>
  <c r="AV20" i="2"/>
  <c r="AW20" i="2" s="1"/>
  <c r="AX19" i="2"/>
  <c r="AY19" i="2" s="1"/>
  <c r="AV19" i="2"/>
  <c r="AW19" i="2" s="1"/>
  <c r="AX18" i="2"/>
  <c r="AY18" i="2" s="1"/>
  <c r="AV18" i="2"/>
  <c r="AW18" i="2" s="1"/>
  <c r="AX17" i="2"/>
  <c r="AY17" i="2" s="1"/>
  <c r="AV17" i="2"/>
  <c r="AW17" i="2" s="1"/>
  <c r="AY16" i="2"/>
  <c r="AX16" i="2"/>
  <c r="AV16" i="2"/>
  <c r="AW16" i="2" s="1"/>
  <c r="AV15" i="2"/>
  <c r="AY15" i="2" s="1"/>
  <c r="AZ14" i="2"/>
  <c r="AX14" i="2"/>
  <c r="AY14" i="2" s="1"/>
  <c r="AV14" i="2"/>
  <c r="AW14" i="2" s="1"/>
  <c r="AX13" i="2"/>
  <c r="AY13" i="2" s="1"/>
  <c r="AV13" i="2"/>
  <c r="AW13" i="2" s="1"/>
  <c r="AV12" i="2"/>
  <c r="AY12" i="2" s="1"/>
  <c r="AX11" i="2"/>
  <c r="AY11" i="2" s="1"/>
  <c r="AV11" i="2"/>
  <c r="AX10" i="2"/>
  <c r="AY10" i="2" s="1"/>
  <c r="AV10" i="2"/>
  <c r="AW10" i="2" s="1"/>
  <c r="AX9" i="2"/>
  <c r="AY9" i="2" s="1"/>
  <c r="AV9" i="2"/>
  <c r="AW9" i="2" s="1"/>
  <c r="AX8" i="2"/>
  <c r="AY8" i="2" s="1"/>
  <c r="AW8" i="2"/>
  <c r="AX7" i="2"/>
  <c r="AY7" i="2" s="1"/>
  <c r="AV7" i="2"/>
  <c r="AW7" i="2" s="1"/>
  <c r="AY6" i="2"/>
  <c r="AX6" i="2"/>
  <c r="AW6" i="2"/>
  <c r="AV6" i="2"/>
  <c r="AZ5" i="2"/>
  <c r="AX5" i="2"/>
  <c r="AY5" i="2" s="1"/>
  <c r="AW5" i="2"/>
  <c r="AZ4" i="2"/>
  <c r="AX4" i="2"/>
  <c r="AY4" i="2" s="1"/>
  <c r="AV4" i="2"/>
  <c r="AW4" i="2" s="1"/>
  <c r="AZ3" i="2"/>
  <c r="AZ23" i="2" s="1"/>
  <c r="AX3" i="2"/>
  <c r="AY3" i="2" s="1"/>
  <c r="AW3" i="2"/>
  <c r="AV3" i="2"/>
  <c r="AV23" i="2" l="1"/>
  <c r="AW23" i="2" s="1"/>
  <c r="AY2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theme="1"/>
            <rFont val="Arial"/>
            <scheme val="minor"/>
          </rPr>
          <t>Доп.контакт для связи, инфо по отпуску основного специалиста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100-000001000000}">
      <text>
        <r>
          <rPr>
            <sz val="10"/>
            <color theme="1"/>
            <rFont val="Arial"/>
            <scheme val="minor"/>
          </rPr>
          <t>например, не подходят под льготную категорию или имеют дом</t>
        </r>
      </text>
    </comment>
    <comment ref="AV2" authorId="0" shapeId="0" xr:uid="{00000000-0006-0000-0100-000002000000}">
      <text>
        <r>
          <rPr>
            <sz val="10"/>
            <color theme="1"/>
            <rFont val="Arial"/>
            <scheme val="minor"/>
          </rPr>
          <t>Обращения граждан, подходящих под льготную категорию</t>
        </r>
      </text>
    </comment>
  </commentList>
</comments>
</file>

<file path=xl/sharedStrings.xml><?xml version="1.0" encoding="utf-8"?>
<sst xmlns="http://schemas.openxmlformats.org/spreadsheetml/2006/main" count="8366" uniqueCount="897">
  <si>
    <t>№ п/п</t>
  </si>
  <si>
    <t>Категория</t>
  </si>
  <si>
    <t xml:space="preserve">АДРЕСНАЯ ПРОГРАММА 2026-2027 г.г. "Солнечное-1" </t>
  </si>
  <si>
    <t>Район СПб</t>
  </si>
  <si>
    <t>ФИО</t>
  </si>
  <si>
    <t>АДРЕСНАЯ ПРОГРАММА 2026-2027 г.г. "Солнечное-2" (Новый Белоостров)</t>
  </si>
  <si>
    <t>Герои Советского Союза, Российской Федерации, Герои Социалистического Труда и лица, награжденные орденами Славы трех степеней</t>
  </si>
  <si>
    <t>Телефон</t>
  </si>
  <si>
    <t>Почта</t>
  </si>
  <si>
    <t>Примечание</t>
  </si>
  <si>
    <t>Адрес VIPNET</t>
  </si>
  <si>
    <t>№ 
п/п</t>
  </si>
  <si>
    <t>Адмиралтейский</t>
  </si>
  <si>
    <t>№ 
дачи</t>
  </si>
  <si>
    <t>№ 
комнаты/
помещения</t>
  </si>
  <si>
    <t>Площадь
комнаты/
помещения, 
кв.м.</t>
  </si>
  <si>
    <t>Площадь 
веранды, 
кв. м.</t>
  </si>
  <si>
    <t>Район 
Санкт-Петербурга</t>
  </si>
  <si>
    <t>Заключен 
договор 
аренды</t>
  </si>
  <si>
    <t>Обмен помещениями</t>
  </si>
  <si>
    <t>Вдовы Героев Советского Союза, Российской Федерации и лиц, награжденных орденами Славы трех степеней</t>
  </si>
  <si>
    <t>Инвалиды Великой Отечественной войны</t>
  </si>
  <si>
    <t>Иванова Анна Николаевна</t>
  </si>
  <si>
    <r>
      <rPr>
        <b/>
        <sz val="10"/>
        <color theme="1"/>
        <rFont val="Arial"/>
      </rPr>
      <t xml:space="preserve">Инвалиды I и II групп из числа </t>
    </r>
    <r>
      <rPr>
        <b/>
        <i/>
        <sz val="10"/>
        <color theme="1"/>
        <rFont val="Arial"/>
      </rPr>
      <t xml:space="preserve">участников войны и ветеранов боевых действий </t>
    </r>
    <r>
      <rPr>
        <b/>
        <sz val="10"/>
        <color theme="1"/>
        <rFont val="Arial"/>
      </rPr>
      <t>на территории других государств</t>
    </r>
  </si>
  <si>
    <t>ПРОВЕРКА готовности помещений дачного фонда</t>
  </si>
  <si>
    <t>576-19-06</t>
  </si>
  <si>
    <t>ian@tuadm.gov.spb.ru</t>
  </si>
  <si>
    <t>Инвалиды I и II групп из числа реабилитированных граждан, подвергшихся необоснованным репрессиям по политическим мотивам</t>
  </si>
  <si>
    <t>Инвалиды I и II групп из числа лиц, награжденных знаком "Жителю блокадного Ленинграда"</t>
  </si>
  <si>
    <r>
      <rPr>
        <b/>
        <sz val="10"/>
        <color theme="1"/>
        <rFont val="Times New Roman"/>
      </rPr>
      <t>Доп контакт:</t>
    </r>
    <r>
      <rPr>
        <sz val="10"/>
        <color theme="1"/>
        <rFont val="Times New Roman"/>
      </rPr>
      <t xml:space="preserve"> Неклюдова Елена Алексеевна 576-19-29, oszn3@tuadm.gov.spb.ru</t>
    </r>
  </si>
  <si>
    <t>OSZN-TUADMIRAL-SADOVAYA-55-57-Baranova-Inna</t>
  </si>
  <si>
    <t>Неработающие инвалиды I и II групп из числа лиц, пострадавших в результате аварий на Чернобыльской АЭС и производственном объединении "Маяк" ядерных испытаний на Семипалатинском полигоне и других радиационных катастроф</t>
  </si>
  <si>
    <t>1-Б</t>
  </si>
  <si>
    <t>1 (2-Н)</t>
  </si>
  <si>
    <t>Неработающие инвалиды I и II групп из числа бывших несовершеннолетних узников фашистских концлагерей</t>
  </si>
  <si>
    <t>Семьи, имеющие двух и более инвалидов I или II групп</t>
  </si>
  <si>
    <t>Василеостровский</t>
  </si>
  <si>
    <t>181-С1</t>
  </si>
  <si>
    <t>Печеницына Наталья Александровна</t>
  </si>
  <si>
    <t>Многодетные семьи, имеющие 5 и более детей до 16 лет</t>
  </si>
  <si>
    <t>573-93-46</t>
  </si>
  <si>
    <t>pechenicyna@voadm.gov.spb.ru</t>
  </si>
  <si>
    <t>Одинокие инвалиды с детства, получающие социальную пенсию</t>
  </si>
  <si>
    <t>Одинокие матери, имеющие детей до 16 лет, если на каждого члена семьи доход ниже величины прожиточного минимума</t>
  </si>
  <si>
    <t>OSZN-TUVO-SHEVCHENKO-27-arm-1</t>
  </si>
  <si>
    <t>Семьи с детьми-инвалидами до 16 лет</t>
  </si>
  <si>
    <t>Вдовы и родители погибших воинов</t>
  </si>
  <si>
    <t>Выборгский</t>
  </si>
  <si>
    <t>Граждане, осуществляющие уход за ребенком-инвалидом</t>
  </si>
  <si>
    <t>Ерохина Ольга Сергеевна</t>
  </si>
  <si>
    <t>576-52-99</t>
  </si>
  <si>
    <t>Пушкинский</t>
  </si>
  <si>
    <t>zemskova@tuvyb.gov.spb.ru</t>
  </si>
  <si>
    <t>OSZN-TUVYBORG-UCHEBNIY-2-arm-1</t>
  </si>
  <si>
    <t>+</t>
  </si>
  <si>
    <t>Калининский</t>
  </si>
  <si>
    <t>Кисельникова Елена Викторовна</t>
  </si>
  <si>
    <t>417-48-00
8-921-976-35-00</t>
  </si>
  <si>
    <t>kiselnikova@tukalin.gov.spb.ru</t>
  </si>
  <si>
    <t>Один арендатор </t>
  </si>
  <si>
    <t>OSZN-TUKALININ-ARSENALNAYA-13-Kracheva-Anastasiya</t>
  </si>
  <si>
    <t> </t>
  </si>
  <si>
    <t>Кировский</t>
  </si>
  <si>
    <t>Рутенберг Екатерина Александровна</t>
  </si>
  <si>
    <t xml:space="preserve">417-69-23 </t>
  </si>
  <si>
    <t>rutenberg@tukir.gov.spb.ru</t>
  </si>
  <si>
    <r>
      <rPr>
        <b/>
        <sz val="10"/>
        <color theme="1"/>
        <rFont val="Times New Roman"/>
      </rPr>
      <t xml:space="preserve">Доп.контакт: </t>
    </r>
    <r>
      <rPr>
        <sz val="10"/>
        <color theme="1"/>
        <rFont val="Times New Roman"/>
      </rPr>
      <t xml:space="preserve">Кушнерева Светлана Абрамовна
ksa@tukir.gov.spb.ru; 417-69-17 </t>
    </r>
  </si>
  <si>
    <t>OSZN-TUKIROV-STACHEK-18-Belyh</t>
  </si>
  <si>
    <t>Передача от Центрального</t>
  </si>
  <si>
    <t>Колпинский</t>
  </si>
  <si>
    <t>Бойко Татьяна Александровна</t>
  </si>
  <si>
    <t>576-96-47</t>
  </si>
  <si>
    <t>bta@tukolp.gov.spb.ru</t>
  </si>
  <si>
    <t>Район</t>
  </si>
  <si>
    <r>
      <rPr>
        <b/>
        <sz val="10"/>
        <color theme="1"/>
        <rFont val="Times New Roman"/>
      </rPr>
      <t>Доп.контакт:</t>
    </r>
    <r>
      <rPr>
        <sz val="10"/>
        <color theme="1"/>
        <rFont val="Times New Roman"/>
      </rPr>
      <t xml:space="preserve"> Иванова Наталия Юрьевна 576-96-41, inu@tukolp.gov.spb.ru</t>
    </r>
  </si>
  <si>
    <t xml:space="preserve"> OSZN-TUKOLPINO-POBEDY-1-am-5</t>
  </si>
  <si>
    <t>189-С1</t>
  </si>
  <si>
    <t>Приморский</t>
  </si>
  <si>
    <t/>
  </si>
  <si>
    <t>Красногвардейский</t>
  </si>
  <si>
    <t>Смирнова Ирина Александровна</t>
  </si>
  <si>
    <t>576-87-34</t>
  </si>
  <si>
    <t>Отказы</t>
  </si>
  <si>
    <t>242-С1</t>
  </si>
  <si>
    <t>2 (2-Н)</t>
  </si>
  <si>
    <t>Обратилось первично</t>
  </si>
  <si>
    <t>ssia@tukrgv.gov.spb.ru</t>
  </si>
  <si>
    <t>OSZN-TUKRGVR-SINYAVINSKAYA-8-arm-1</t>
  </si>
  <si>
    <t>Центральный</t>
  </si>
  <si>
    <t>Красносельский</t>
  </si>
  <si>
    <t>Арзуманова Дарья Николаевна</t>
  </si>
  <si>
    <t>576-13-03
8-953-377-03-01</t>
  </si>
  <si>
    <t>arzumanova@tukrsl.gov.spb.ru</t>
  </si>
  <si>
    <t>267-С1</t>
  </si>
  <si>
    <r>
      <rPr>
        <b/>
        <sz val="10"/>
        <color theme="1"/>
        <rFont val="Times New Roman"/>
      </rPr>
      <t xml:space="preserve">Доп.контакт: </t>
    </r>
    <r>
      <rPr>
        <sz val="10"/>
        <color theme="1"/>
        <rFont val="Times New Roman"/>
      </rPr>
      <t>Жукова Елена Борисовна
 576-13-27, jukova@tukrsl.gov.spb.ru</t>
    </r>
  </si>
  <si>
    <t>OSZN-TUKRSEL-GERMANA-3-Romanovskaya-Olga</t>
  </si>
  <si>
    <t>Кронштадтский</t>
  </si>
  <si>
    <t>Обратилось повторно</t>
  </si>
  <si>
    <t>Юнкина Людмила Владимировна</t>
  </si>
  <si>
    <t>576-90-54</t>
  </si>
  <si>
    <t>ulv@tukrns.gov.spb.ru</t>
  </si>
  <si>
    <r>
      <rPr>
        <b/>
        <sz val="10"/>
        <color theme="1"/>
        <rFont val="Times New Roman"/>
      </rPr>
      <t xml:space="preserve">Доп. коктакт: </t>
    </r>
    <r>
      <rPr>
        <sz val="10"/>
        <color theme="1"/>
        <rFont val="Times New Roman"/>
      </rPr>
      <t>Тимофеева Ю.П., 576 90 66 oszn9@tukrns.gov.spb.ru</t>
    </r>
  </si>
  <si>
    <t>OSZN-TUKRONSH-LENINA-36-arm-1</t>
  </si>
  <si>
    <t>268-С1</t>
  </si>
  <si>
    <t xml:space="preserve"> +</t>
  </si>
  <si>
    <t>Заселено</t>
  </si>
  <si>
    <t>Курортный</t>
  </si>
  <si>
    <t>Севалкина Яна Александровна</t>
  </si>
  <si>
    <t>576-81-57</t>
  </si>
  <si>
    <t>jana@tukur.gov.spb.ru</t>
  </si>
  <si>
    <r>
      <rPr>
        <b/>
        <sz val="10"/>
        <color theme="1"/>
        <rFont val="Times New Roman"/>
      </rPr>
      <t xml:space="preserve">Доп.контакт: </t>
    </r>
    <r>
      <rPr>
        <sz val="10"/>
        <color theme="1"/>
        <rFont val="Times New Roman"/>
      </rPr>
      <t>Говорова Ольга Михайловна 576-81-59</t>
    </r>
  </si>
  <si>
    <t>OSZN-TUKURORT-PL-SVOBODY-1-arm-1</t>
  </si>
  <si>
    <t>Московский</t>
  </si>
  <si>
    <t>Мелешко Екатерина Викторовна</t>
  </si>
  <si>
    <t>576-89-13</t>
  </si>
  <si>
    <t>evm@tumos.gov.spb.ru</t>
  </si>
  <si>
    <r>
      <rPr>
        <b/>
        <sz val="10"/>
        <color theme="1"/>
        <rFont val="Times New Roman"/>
      </rPr>
      <t>Доп контакт:</t>
    </r>
    <r>
      <rPr>
        <sz val="10"/>
        <color theme="1"/>
        <rFont val="Times New Roman"/>
      </rPr>
      <t xml:space="preserve"> Ковалевская Ирина Витальевна, 5768912, kiv@tumos.gov.spb.ru</t>
    </r>
  </si>
  <si>
    <t>OSZN-TUMOSK-MOSKOVSKIY-129-Alekseeva-Elizaveta</t>
  </si>
  <si>
    <t>Невский</t>
  </si>
  <si>
    <t>Черевко Анна Вячеславовна</t>
  </si>
  <si>
    <t>417-37-74</t>
  </si>
  <si>
    <t>295-С1</t>
  </si>
  <si>
    <t>cherevko@tunev.gov.spb.ru</t>
  </si>
  <si>
    <t>OSZN-TUNEVSKIY-OBUHOVSKOY-OBORONY-163-Alexandrova</t>
  </si>
  <si>
    <t>Петроградский</t>
  </si>
  <si>
    <t>Сафиханова Олеся Анатольевна</t>
  </si>
  <si>
    <t>576-51-67</t>
  </si>
  <si>
    <t>oas@petr.gov.spb.ru</t>
  </si>
  <si>
    <t>2-Б</t>
  </si>
  <si>
    <t>1 (1-Н)</t>
  </si>
  <si>
    <t>300-С1</t>
  </si>
  <si>
    <t>OSZN-TUPETROGRAD-MONETNAYA-17-19arm-1</t>
  </si>
  <si>
    <t>Петродворцовый</t>
  </si>
  <si>
    <t>Николаева Наталья Александровна</t>
  </si>
  <si>
    <t>576-17-22</t>
  </si>
  <si>
    <t>nna@tuptrdv.gov.spb.ru</t>
  </si>
  <si>
    <r>
      <rPr>
        <b/>
        <sz val="10"/>
        <color theme="1"/>
        <rFont val="Times New Roman"/>
      </rPr>
      <t>Доп.контакт:</t>
    </r>
    <r>
      <rPr>
        <sz val="10"/>
        <color theme="1"/>
        <rFont val="Times New Roman"/>
      </rPr>
      <t xml:space="preserve"> Степанова Оксана Олеговна, 576-17-24, soo@tuptrdv.gov.spb.ru</t>
    </r>
  </si>
  <si>
    <t>OSZN-TUPETERGOFF-RAZVEDCHIKA-10-3-arm-1</t>
  </si>
  <si>
    <t>Нирка Светлана Петровна</t>
  </si>
  <si>
    <t>246-01-78</t>
  </si>
  <si>
    <t>nirka@tuprim.gov.spb.ru</t>
  </si>
  <si>
    <t>Обращения льготников</t>
  </si>
  <si>
    <t>OSZN-TUPRIMOR-KOTELNIKOVA-2-A-arm-1</t>
  </si>
  <si>
    <t>321-С1</t>
  </si>
  <si>
    <t>Кобзаренко Юлия Ивановна</t>
  </si>
  <si>
    <t>417-44-68</t>
  </si>
  <si>
    <t xml:space="preserve">julyak@tupush.gov.spb.ru
</t>
  </si>
  <si>
    <t>Все обращения</t>
  </si>
  <si>
    <t>OSZN-TUPUSHKIN-Dobrickaya-Varvara-Nikolaevna</t>
  </si>
  <si>
    <t>339-С1</t>
  </si>
  <si>
    <t>Фрунзенский</t>
  </si>
  <si>
    <t>Дрессен Людмила Валерьевна</t>
  </si>
  <si>
    <t>417-28-17</t>
  </si>
  <si>
    <t xml:space="preserve">dressen@tufruns.gov.spb.ru
</t>
  </si>
  <si>
    <t>AP TUFRUNZE Ivanova Marina Dmitrievna windows</t>
  </si>
  <si>
    <t>Иванова Варвара Владимировна</t>
  </si>
  <si>
    <t>417-45-92</t>
  </si>
  <si>
    <t>ivanovavv@tucentr.gov.spb.ru</t>
  </si>
  <si>
    <t>Граждане, заключившие договор</t>
  </si>
  <si>
    <t>%</t>
  </si>
  <si>
    <r>
      <rPr>
        <b/>
        <sz val="10"/>
        <color theme="1"/>
        <rFont val="Times New Roman"/>
      </rPr>
      <t>Доп.контакт:</t>
    </r>
    <r>
      <rPr>
        <sz val="10"/>
        <color theme="1"/>
        <rFont val="Times New Roman"/>
      </rPr>
      <t xml:space="preserve"> Ахромеева Валентина Леонидовна, 417-49-28</t>
    </r>
  </si>
  <si>
    <t>OSZN-TUCENTER-NEVSKIY-176-Ilina-Svetlana</t>
  </si>
  <si>
    <t>Заселено по факту</t>
  </si>
  <si>
    <t>2 (1-Н)</t>
  </si>
  <si>
    <t>Комитет</t>
  </si>
  <si>
    <t>Трунова Александра Ивановна</t>
  </si>
  <si>
    <t>576-24-24
+7-921-332-84-50</t>
  </si>
  <si>
    <t>trunova@ksp.gov.spb.ru</t>
  </si>
  <si>
    <t>Отпуск: с 20 по 26 августа (включительно)</t>
  </si>
  <si>
    <t>AP KOMSOCPOLITIKI MOB_UPR Butyreva Yulia Sergeevna</t>
  </si>
  <si>
    <t>340-С1</t>
  </si>
  <si>
    <t>351-С1</t>
  </si>
  <si>
    <t>370-С1</t>
  </si>
  <si>
    <t>3-Б</t>
  </si>
  <si>
    <t>375-С1</t>
  </si>
  <si>
    <t>4-Б</t>
  </si>
  <si>
    <t>382-С1</t>
  </si>
  <si>
    <t>5-Б</t>
  </si>
  <si>
    <t xml:space="preserve">  +</t>
  </si>
  <si>
    <t>389-С1</t>
  </si>
  <si>
    <t>Передача от Калининского</t>
  </si>
  <si>
    <t>401-С1</t>
  </si>
  <si>
    <t>7-Б</t>
  </si>
  <si>
    <t>404-С1</t>
  </si>
  <si>
    <t>8-Б</t>
  </si>
  <si>
    <t>9-Б</t>
  </si>
  <si>
    <t>11-Б</t>
  </si>
  <si>
    <t>12-Б</t>
  </si>
  <si>
    <t>13-Б</t>
  </si>
  <si>
    <t>14-Б</t>
  </si>
  <si>
    <t>Надо посмотреть дверь, заявитель говорит, что очень большая щель снизу, дом не натопить. Между печкой и стеной дыра. Холодильник посмотреть</t>
  </si>
  <si>
    <t>16-Б</t>
  </si>
  <si>
    <t>Передача от Красногвардейского</t>
  </si>
  <si>
    <t>17-Б</t>
  </si>
  <si>
    <t>18-Б</t>
  </si>
  <si>
    <t>19-Б</t>
  </si>
  <si>
    <t>21-Б</t>
  </si>
  <si>
    <t>22-Б</t>
  </si>
  <si>
    <t>23-Б</t>
  </si>
  <si>
    <t>Кронштадский</t>
  </si>
  <si>
    <t>24-Б</t>
  </si>
  <si>
    <t>25-Б</t>
  </si>
  <si>
    <t>26-Б</t>
  </si>
  <si>
    <t>27-Б</t>
  </si>
  <si>
    <t>28-Б</t>
  </si>
  <si>
    <t>отказ, не заселена</t>
  </si>
  <si>
    <t>29-Б</t>
  </si>
  <si>
    <t>30-Б</t>
  </si>
  <si>
    <t>31-Б</t>
  </si>
  <si>
    <t>32-Б</t>
  </si>
  <si>
    <t>33-Б</t>
  </si>
  <si>
    <t>34-Б</t>
  </si>
  <si>
    <t>36-Б</t>
  </si>
  <si>
    <t>37-Б</t>
  </si>
  <si>
    <t>39-Б</t>
  </si>
  <si>
    <t xml:space="preserve">Пушкинский  </t>
  </si>
  <si>
    <t>41-Б</t>
  </si>
  <si>
    <t>42-Б</t>
  </si>
  <si>
    <t>43-Б</t>
  </si>
  <si>
    <t>Отказ от заселения</t>
  </si>
  <si>
    <t>44-Б</t>
  </si>
  <si>
    <t>45-Б</t>
  </si>
  <si>
    <t>46-Б</t>
  </si>
  <si>
    <r>
      <rPr>
        <b/>
        <sz val="11"/>
        <color theme="1"/>
        <rFont val="Times New Roman"/>
      </rPr>
      <t>Итого</t>
    </r>
  </si>
  <si>
    <t>47-Б</t>
  </si>
  <si>
    <t>48-Б</t>
  </si>
  <si>
    <t>49-Б</t>
  </si>
  <si>
    <t>50-Б</t>
  </si>
  <si>
    <t>51-Б</t>
  </si>
  <si>
    <t>52-Б</t>
  </si>
  <si>
    <t>53-Б</t>
  </si>
  <si>
    <t>54-Б</t>
  </si>
  <si>
    <t>55-Б</t>
  </si>
  <si>
    <t>56-Б</t>
  </si>
  <si>
    <t>58-Б</t>
  </si>
  <si>
    <t>60-Б</t>
  </si>
  <si>
    <t>61-Б</t>
  </si>
  <si>
    <t>жалобы на плесень и нависшие ветки деревьев</t>
  </si>
  <si>
    <t>63-Б</t>
  </si>
  <si>
    <t>64-Б</t>
  </si>
  <si>
    <t>65-Б</t>
  </si>
  <si>
    <t>66-Б</t>
  </si>
  <si>
    <t>67-Б</t>
  </si>
  <si>
    <t>68-Б</t>
  </si>
  <si>
    <t>3 (1-Н)</t>
  </si>
  <si>
    <t>3 (2-Н)</t>
  </si>
  <si>
    <t>69-Б</t>
  </si>
  <si>
    <t>70-Б</t>
  </si>
  <si>
    <t>71-Б</t>
  </si>
  <si>
    <t>72-Б</t>
  </si>
  <si>
    <t>73-Б</t>
  </si>
  <si>
    <t>Один арендатор</t>
  </si>
  <si>
    <t>74-Б</t>
  </si>
  <si>
    <t>75-Б</t>
  </si>
  <si>
    <t>76-Б</t>
  </si>
  <si>
    <t>80-Б</t>
  </si>
  <si>
    <t>82-Б</t>
  </si>
  <si>
    <t>83-Б</t>
  </si>
  <si>
    <t>86-Б</t>
  </si>
  <si>
    <t>87-Б</t>
  </si>
  <si>
    <t>88-Б</t>
  </si>
  <si>
    <t>90-Б</t>
  </si>
  <si>
    <t>93-Б</t>
  </si>
  <si>
    <t>94-Б</t>
  </si>
  <si>
    <t>96-Б</t>
  </si>
  <si>
    <t>97-Б</t>
  </si>
  <si>
    <t>102-Б</t>
  </si>
  <si>
    <t>103-Б</t>
  </si>
  <si>
    <t>104-Б</t>
  </si>
  <si>
    <t>105-Б</t>
  </si>
  <si>
    <t>110-Б</t>
  </si>
  <si>
    <t>111-Б</t>
  </si>
  <si>
    <t>112-Б</t>
  </si>
  <si>
    <t>113-Б</t>
  </si>
  <si>
    <t>114-Б</t>
  </si>
  <si>
    <t>115-Б</t>
  </si>
  <si>
    <t>116-Б</t>
  </si>
  <si>
    <t>121-Б</t>
  </si>
  <si>
    <t>122-Б</t>
  </si>
  <si>
    <t>125-Б</t>
  </si>
  <si>
    <t>128-Б</t>
  </si>
  <si>
    <t>129-Б</t>
  </si>
  <si>
    <t>130-Б</t>
  </si>
  <si>
    <t>131-Б</t>
  </si>
  <si>
    <t>151-Б</t>
  </si>
  <si>
    <t>152-Б</t>
  </si>
  <si>
    <t>153-Б</t>
  </si>
  <si>
    <t>154-Б</t>
  </si>
  <si>
    <t>155-Б</t>
  </si>
  <si>
    <t>158-Б</t>
  </si>
  <si>
    <t>160-Б</t>
  </si>
  <si>
    <t>161-Б</t>
  </si>
  <si>
    <t>162-Б</t>
  </si>
  <si>
    <t>167-Б</t>
  </si>
  <si>
    <t>168-Б</t>
  </si>
  <si>
    <t>170-Б</t>
  </si>
  <si>
    <t>172-Б</t>
  </si>
  <si>
    <t>173-Б</t>
  </si>
  <si>
    <t>174-Б</t>
  </si>
  <si>
    <t>177-Б</t>
  </si>
  <si>
    <t>178-Б</t>
  </si>
  <si>
    <t>179-Б</t>
  </si>
  <si>
    <t>181-Б</t>
  </si>
  <si>
    <t>182-Б</t>
  </si>
  <si>
    <t>Передача от Курортного</t>
  </si>
  <si>
    <t>183-Б</t>
  </si>
  <si>
    <t>184-Б</t>
  </si>
  <si>
    <t>185-Б</t>
  </si>
  <si>
    <t>просмотр</t>
  </si>
  <si>
    <t>186-Б</t>
  </si>
  <si>
    <t>187-Б</t>
  </si>
  <si>
    <t>188-Б</t>
  </si>
  <si>
    <t>189-Б</t>
  </si>
  <si>
    <t>191-Б</t>
  </si>
  <si>
    <t>Передача от Колпинского</t>
  </si>
  <si>
    <t>193-Б</t>
  </si>
  <si>
    <t>194-Б</t>
  </si>
  <si>
    <t>195-Б</t>
  </si>
  <si>
    <t>196-Б</t>
  </si>
  <si>
    <t>197-Б</t>
  </si>
  <si>
    <t>198-Б</t>
  </si>
  <si>
    <t>199-Б</t>
  </si>
  <si>
    <t>289-С2</t>
  </si>
  <si>
    <t>4 (1-Н)</t>
  </si>
  <si>
    <t>5 (1-Н)</t>
  </si>
  <si>
    <t>6 (1-Н)</t>
  </si>
  <si>
    <t>7 (1-Н)</t>
  </si>
  <si>
    <t>8 (1-Н)</t>
  </si>
  <si>
    <t>106-107-Б</t>
  </si>
  <si>
    <t>117-118-Б</t>
  </si>
  <si>
    <t>АДРЕСНАЯ ПРОГРАММА 2026-2027 г.г. "Солнечное-2" (Новый фонд)</t>
  </si>
  <si>
    <t>89-С2</t>
  </si>
  <si>
    <t>пом. 1Н</t>
  </si>
  <si>
    <t>Солнечное 2</t>
  </si>
  <si>
    <t>пом. 4Н</t>
  </si>
  <si>
    <t>Передача от Комитета</t>
  </si>
  <si>
    <t>пом. 2Н</t>
  </si>
  <si>
    <t>пом. 3Н</t>
  </si>
  <si>
    <t>291-С2</t>
  </si>
  <si>
    <t>89а-С2</t>
  </si>
  <si>
    <t>291а-С2</t>
  </si>
  <si>
    <t>расположение</t>
  </si>
  <si>
    <t>1-СТ</t>
  </si>
  <si>
    <t>пом. 1</t>
  </si>
  <si>
    <t>С 2</t>
  </si>
  <si>
    <t>пом. 3</t>
  </si>
  <si>
    <t>пом. 4</t>
  </si>
  <si>
    <t>пом. 2</t>
  </si>
  <si>
    <t>2-СТ</t>
  </si>
  <si>
    <t>3-СТ</t>
  </si>
  <si>
    <t>4-СТ</t>
  </si>
  <si>
    <t>5-СТ</t>
  </si>
  <si>
    <t>передача от Курортного</t>
  </si>
  <si>
    <t>6-СТ</t>
  </si>
  <si>
    <t>7-СТ</t>
  </si>
  <si>
    <t>8-СТ</t>
  </si>
  <si>
    <t>9-СТ</t>
  </si>
  <si>
    <t>10-СТ</t>
  </si>
  <si>
    <t>Бютнер</t>
  </si>
  <si>
    <t>11-СТ</t>
  </si>
  <si>
    <t>12-СТ</t>
  </si>
  <si>
    <t>13-СТ</t>
  </si>
  <si>
    <t>14-СТ</t>
  </si>
  <si>
    <t>15-СТ</t>
  </si>
  <si>
    <t>16-СТ</t>
  </si>
  <si>
    <t>17-СТ</t>
  </si>
  <si>
    <t>18-СТ</t>
  </si>
  <si>
    <t>19-СТ</t>
  </si>
  <si>
    <t>20-СТ</t>
  </si>
  <si>
    <t>22-СТ</t>
  </si>
  <si>
    <t>42.6</t>
  </si>
  <si>
    <t>23-СТ</t>
  </si>
  <si>
    <t>ММ-3 пандус</t>
  </si>
  <si>
    <t>24-СТ</t>
  </si>
  <si>
    <t>25-СТ</t>
  </si>
  <si>
    <t>26-СТ</t>
  </si>
  <si>
    <t>ММ-2 пандус</t>
  </si>
  <si>
    <t>Передача от Петродворцового</t>
  </si>
  <si>
    <t>27-СТ</t>
  </si>
  <si>
    <t>28-СТ</t>
  </si>
  <si>
    <t>29-СТ</t>
  </si>
  <si>
    <t>30-СТ</t>
  </si>
  <si>
    <t>31-СТ</t>
  </si>
  <si>
    <t>ОМ 2</t>
  </si>
  <si>
    <t>32-СТ</t>
  </si>
  <si>
    <t>33-СТ</t>
  </si>
  <si>
    <t>34-СТ</t>
  </si>
  <si>
    <t>35-СТ</t>
  </si>
  <si>
    <t>36-СТ</t>
  </si>
  <si>
    <t>37-СТ</t>
  </si>
  <si>
    <t>38-СТ</t>
  </si>
  <si>
    <t>39-СТ</t>
  </si>
  <si>
    <t>40-СТ</t>
  </si>
  <si>
    <t>41-СТ</t>
  </si>
  <si>
    <t>42-СТ</t>
  </si>
  <si>
    <t>АДРЕСНАЯ ПРОГРАММА 2026-2027 г.г. "Солнечное-3"</t>
  </si>
  <si>
    <t>43-СТ</t>
  </si>
  <si>
    <t>Передача от Адмиралтейского</t>
  </si>
  <si>
    <t>44-СТ</t>
  </si>
  <si>
    <t>3-С3</t>
  </si>
  <si>
    <t>45-СТ</t>
  </si>
  <si>
    <t>8-С3</t>
  </si>
  <si>
    <t>46-СТ</t>
  </si>
  <si>
    <t>47-СТ</t>
  </si>
  <si>
    <t>9-С3</t>
  </si>
  <si>
    <t>48-СТ</t>
  </si>
  <si>
    <t>12-С3</t>
  </si>
  <si>
    <t>С2</t>
  </si>
  <si>
    <t>13-С3</t>
  </si>
  <si>
    <t>49-СТ</t>
  </si>
  <si>
    <t>АДРЕСНАЯ ПРОГРАММА 2026-2027 г.г. "Комарово"</t>
  </si>
  <si>
    <t>14-С3</t>
  </si>
  <si>
    <t>50-СТ</t>
  </si>
  <si>
    <t>Захарова</t>
  </si>
  <si>
    <t>28-К</t>
  </si>
  <si>
    <t>51-СТ</t>
  </si>
  <si>
    <t>16-С3</t>
  </si>
  <si>
    <t>Козлова</t>
  </si>
  <si>
    <t>Котова</t>
  </si>
  <si>
    <t>17-С3</t>
  </si>
  <si>
    <t>53-СТ</t>
  </si>
  <si>
    <t>180-К</t>
  </si>
  <si>
    <t>Передача от Петроградского</t>
  </si>
  <si>
    <t>192-К</t>
  </si>
  <si>
    <t>18-С3</t>
  </si>
  <si>
    <t>54-СТ</t>
  </si>
  <si>
    <t>208-К</t>
  </si>
  <si>
    <t>251-К</t>
  </si>
  <si>
    <t>19-С3</t>
  </si>
  <si>
    <t>55-СТ</t>
  </si>
  <si>
    <t>257-К</t>
  </si>
  <si>
    <t>к.2,3 смеж</t>
  </si>
  <si>
    <t>20-С3</t>
  </si>
  <si>
    <t>без отопления</t>
  </si>
  <si>
    <t>56-СТ</t>
  </si>
  <si>
    <t>258-К</t>
  </si>
  <si>
    <t>21-С3</t>
  </si>
  <si>
    <t>57-СТ</t>
  </si>
  <si>
    <t>263-К</t>
  </si>
  <si>
    <t>268-К</t>
  </si>
  <si>
    <t>22-С3</t>
  </si>
  <si>
    <t>проверить целевое использование при выходе!</t>
  </si>
  <si>
    <t>58-СТ</t>
  </si>
  <si>
    <t>59-СТ</t>
  </si>
  <si>
    <t>273-К</t>
  </si>
  <si>
    <t>27-С3</t>
  </si>
  <si>
    <t>Передача от Невского</t>
  </si>
  <si>
    <t>275-К</t>
  </si>
  <si>
    <t>60-СТ</t>
  </si>
  <si>
    <t>28-С3</t>
  </si>
  <si>
    <t>276-К</t>
  </si>
  <si>
    <t>337-К</t>
  </si>
  <si>
    <t>передача от Кировского</t>
  </si>
  <si>
    <t>61-СТ</t>
  </si>
  <si>
    <t>31-С3</t>
  </si>
  <si>
    <t>347-К</t>
  </si>
  <si>
    <t>351-К</t>
  </si>
  <si>
    <t>62-СТ</t>
  </si>
  <si>
    <t>33-С3</t>
  </si>
  <si>
    <t>354-К</t>
  </si>
  <si>
    <t>Титова</t>
  </si>
  <si>
    <t>34-С3</t>
  </si>
  <si>
    <t>63-СТ</t>
  </si>
  <si>
    <t>356-К</t>
  </si>
  <si>
    <t>362-К</t>
  </si>
  <si>
    <t>35-С3</t>
  </si>
  <si>
    <t>363-К</t>
  </si>
  <si>
    <t>64-СТ</t>
  </si>
  <si>
    <t>Передача от Московского</t>
  </si>
  <si>
    <t>38-С3</t>
  </si>
  <si>
    <t>365-К</t>
  </si>
  <si>
    <t>65-СТ</t>
  </si>
  <si>
    <t>367-К</t>
  </si>
  <si>
    <t>39-С3</t>
  </si>
  <si>
    <t>66-СТ</t>
  </si>
  <si>
    <t>374-К</t>
  </si>
  <si>
    <t>42-С3</t>
  </si>
  <si>
    <t>Передача от Выборгского</t>
  </si>
  <si>
    <t>378-К</t>
  </si>
  <si>
    <t>67-СТ</t>
  </si>
  <si>
    <t>381-К</t>
  </si>
  <si>
    <t>Захламление помещения</t>
  </si>
  <si>
    <t>43-С3</t>
  </si>
  <si>
    <t>386-К</t>
  </si>
  <si>
    <t>68-СТ</t>
  </si>
  <si>
    <t>М 5</t>
  </si>
  <si>
    <t>45-С3</t>
  </si>
  <si>
    <t>69-СТ</t>
  </si>
  <si>
    <t>передача от Московского</t>
  </si>
  <si>
    <t>Акт о нарушениях</t>
  </si>
  <si>
    <t>387-К</t>
  </si>
  <si>
    <t>71-СТ</t>
  </si>
  <si>
    <t>389-К</t>
  </si>
  <si>
    <t>46-С3</t>
  </si>
  <si>
    <t>После просмотра, заявитель сказал, что в даче очень сыро, разбито окно, сломано крыльцо</t>
  </si>
  <si>
    <t>413-К</t>
  </si>
  <si>
    <t>72-СТ</t>
  </si>
  <si>
    <t>48-С3</t>
  </si>
  <si>
    <t>73-СТ</t>
  </si>
  <si>
    <t>415-К</t>
  </si>
  <si>
    <t xml:space="preserve"> </t>
  </si>
  <si>
    <t>419-К</t>
  </si>
  <si>
    <t>74-СТ</t>
  </si>
  <si>
    <t>50-С3</t>
  </si>
  <si>
    <t>75-СТ</t>
  </si>
  <si>
    <t>420-К</t>
  </si>
  <si>
    <t>52-С3</t>
  </si>
  <si>
    <t>421-К</t>
  </si>
  <si>
    <t>152-СТ</t>
  </si>
  <si>
    <t>153-СТ</t>
  </si>
  <si>
    <t>424-К</t>
  </si>
  <si>
    <t>53-С3</t>
  </si>
  <si>
    <t>426-К</t>
  </si>
  <si>
    <t>154-СТ</t>
  </si>
  <si>
    <t>54-С3</t>
  </si>
  <si>
    <t>434-К</t>
  </si>
  <si>
    <t>55-С3</t>
  </si>
  <si>
    <t>443-К</t>
  </si>
  <si>
    <t>155-СТ</t>
  </si>
  <si>
    <t>444-К</t>
  </si>
  <si>
    <t>56-С3</t>
  </si>
  <si>
    <t>156-СТ</t>
  </si>
  <si>
    <t>448-К</t>
  </si>
  <si>
    <t>Сугакова</t>
  </si>
  <si>
    <t>передача от Василеостровского</t>
  </si>
  <si>
    <t>449-К</t>
  </si>
  <si>
    <t>57-С3</t>
  </si>
  <si>
    <t>157-СТ</t>
  </si>
  <si>
    <t>451-К</t>
  </si>
  <si>
    <t>58-С3</t>
  </si>
  <si>
    <t>158-СТ</t>
  </si>
  <si>
    <t>458-К</t>
  </si>
  <si>
    <t>459-К</t>
  </si>
  <si>
    <t>59-С3</t>
  </si>
  <si>
    <t>159-СТ</t>
  </si>
  <si>
    <t>461-К</t>
  </si>
  <si>
    <t>60-С3</t>
  </si>
  <si>
    <t>Новый арендатор, просил посмотреть стену, прилегающую к помещению с котлом, ему показалось, что там сырость</t>
  </si>
  <si>
    <t>462-К</t>
  </si>
  <si>
    <t>160-СТ</t>
  </si>
  <si>
    <t>463-К</t>
  </si>
  <si>
    <t>61-С3</t>
  </si>
  <si>
    <t>464-К</t>
  </si>
  <si>
    <t>161-СТ</t>
  </si>
  <si>
    <t>64-С3</t>
  </si>
  <si>
    <t>465-К</t>
  </si>
  <si>
    <t>162-СТ</t>
  </si>
  <si>
    <t>467-К</t>
  </si>
  <si>
    <t>67-С3</t>
  </si>
  <si>
    <t>468-К</t>
  </si>
  <si>
    <t>Передача от Кронштадского</t>
  </si>
  <si>
    <t>163-СТ</t>
  </si>
  <si>
    <t>68-С3</t>
  </si>
  <si>
    <t>473-К</t>
  </si>
  <si>
    <t>478-К</t>
  </si>
  <si>
    <t>69-С3</t>
  </si>
  <si>
    <t>164-СТ</t>
  </si>
  <si>
    <t>479-К</t>
  </si>
  <si>
    <t>71-С3</t>
  </si>
  <si>
    <t>193-СТ</t>
  </si>
  <si>
    <t>480-К</t>
  </si>
  <si>
    <t>72-С3</t>
  </si>
  <si>
    <t>491-К</t>
  </si>
  <si>
    <t>194-СТ</t>
  </si>
  <si>
    <t>492-К</t>
  </si>
  <si>
    <t>73-С3</t>
  </si>
  <si>
    <t>493-К</t>
  </si>
  <si>
    <t>195-СТ</t>
  </si>
  <si>
    <t>495-К</t>
  </si>
  <si>
    <t>74-С3</t>
  </si>
  <si>
    <t>196-СТ</t>
  </si>
  <si>
    <t>333г-К</t>
  </si>
  <si>
    <t>Передача из Выборгского</t>
  </si>
  <si>
    <t>75-С3</t>
  </si>
  <si>
    <t>197-СТ</t>
  </si>
  <si>
    <t>76-С3</t>
  </si>
  <si>
    <t>198-СТ</t>
  </si>
  <si>
    <t>77-С3</t>
  </si>
  <si>
    <t>199-СТ</t>
  </si>
  <si>
    <t>78-С3</t>
  </si>
  <si>
    <t xml:space="preserve">     +</t>
  </si>
  <si>
    <t>200-СТ</t>
  </si>
  <si>
    <t xml:space="preserve">   +</t>
  </si>
  <si>
    <t>82-С3</t>
  </si>
  <si>
    <t>84-С3</t>
  </si>
  <si>
    <t>85-С3</t>
  </si>
  <si>
    <t>86-С3</t>
  </si>
  <si>
    <t>87-С3</t>
  </si>
  <si>
    <t>88-С3</t>
  </si>
  <si>
    <t>89-С3</t>
  </si>
  <si>
    <t>90-С3</t>
  </si>
  <si>
    <t>93-С3</t>
  </si>
  <si>
    <t>94-С3</t>
  </si>
  <si>
    <t>95-С3</t>
  </si>
  <si>
    <t>96-С3</t>
  </si>
  <si>
    <t>97-С3</t>
  </si>
  <si>
    <t>Передача от Приморского</t>
  </si>
  <si>
    <t>98-С3</t>
  </si>
  <si>
    <t>99-С3</t>
  </si>
  <si>
    <t>101-С3</t>
  </si>
  <si>
    <t>Передача от Василеостровского</t>
  </si>
  <si>
    <t>102-С3</t>
  </si>
  <si>
    <t>103-С3</t>
  </si>
  <si>
    <t>104-С3</t>
  </si>
  <si>
    <t>106-С3</t>
  </si>
  <si>
    <t>107-С3</t>
  </si>
  <si>
    <t>108-С3</t>
  </si>
  <si>
    <t>109-С3</t>
  </si>
  <si>
    <t>Передача от Кировского</t>
  </si>
  <si>
    <t>110-С3</t>
  </si>
  <si>
    <t>111-С3</t>
  </si>
  <si>
    <t>112-С3</t>
  </si>
  <si>
    <t>передача от Приморского</t>
  </si>
  <si>
    <t>113-С3</t>
  </si>
  <si>
    <t>114-С3</t>
  </si>
  <si>
    <t>115-С3</t>
  </si>
  <si>
    <t>116-С3</t>
  </si>
  <si>
    <t>117-С3</t>
  </si>
  <si>
    <t>118-С3</t>
  </si>
  <si>
    <t>119-С3</t>
  </si>
  <si>
    <t>120-С3</t>
  </si>
  <si>
    <t>121-С3</t>
  </si>
  <si>
    <t>122-С3</t>
  </si>
  <si>
    <t>123-С3</t>
  </si>
  <si>
    <t>124-С3</t>
  </si>
  <si>
    <t>128-С3</t>
  </si>
  <si>
    <t>129-С3</t>
  </si>
  <si>
    <t>130-С3</t>
  </si>
  <si>
    <t>132-С3</t>
  </si>
  <si>
    <t>133-С3</t>
  </si>
  <si>
    <t>134-С3</t>
  </si>
  <si>
    <t>135-С3</t>
  </si>
  <si>
    <t>137-С3</t>
  </si>
  <si>
    <t>138-С3</t>
  </si>
  <si>
    <t>139-С3</t>
  </si>
  <si>
    <t>140-С3</t>
  </si>
  <si>
    <t>142-С3</t>
  </si>
  <si>
    <t>143-С3</t>
  </si>
  <si>
    <t>144-С3</t>
  </si>
  <si>
    <t>145-С3</t>
  </si>
  <si>
    <t>147-С3</t>
  </si>
  <si>
    <t>148-С3</t>
  </si>
  <si>
    <t>149-С3</t>
  </si>
  <si>
    <t>150-С3</t>
  </si>
  <si>
    <t>151-С3</t>
  </si>
  <si>
    <t>152-С3</t>
  </si>
  <si>
    <t>153-С3</t>
  </si>
  <si>
    <t>154-С3</t>
  </si>
  <si>
    <t>155-С3</t>
  </si>
  <si>
    <t>156-С3</t>
  </si>
  <si>
    <t>157-С3</t>
  </si>
  <si>
    <t>158-С3</t>
  </si>
  <si>
    <t>159-С3</t>
  </si>
  <si>
    <t>160-С3</t>
  </si>
  <si>
    <t>161-С3</t>
  </si>
  <si>
    <t>162-С3</t>
  </si>
  <si>
    <t>164-С3</t>
  </si>
  <si>
    <t>167-С3</t>
  </si>
  <si>
    <t>169-С3</t>
  </si>
  <si>
    <t>171-С3</t>
  </si>
  <si>
    <t>173-С3</t>
  </si>
  <si>
    <t>177-С3</t>
  </si>
  <si>
    <t>178-С3</t>
  </si>
  <si>
    <t>179-С3</t>
  </si>
  <si>
    <t>180-С3</t>
  </si>
  <si>
    <t>182-С3</t>
  </si>
  <si>
    <t>183-С3</t>
  </si>
  <si>
    <t>185-С3</t>
  </si>
  <si>
    <t>186-С3</t>
  </si>
  <si>
    <t>187-С3</t>
  </si>
  <si>
    <t>188-С3</t>
  </si>
  <si>
    <t>189-С3</t>
  </si>
  <si>
    <t>190-С3</t>
  </si>
  <si>
    <t>192-С3</t>
  </si>
  <si>
    <t>194-С3</t>
  </si>
  <si>
    <t>195-С3</t>
  </si>
  <si>
    <t>196-С3</t>
  </si>
  <si>
    <t>197-С3</t>
  </si>
  <si>
    <t>198-С3</t>
  </si>
  <si>
    <t>передано в Красносельский</t>
  </si>
  <si>
    <t>199-С3</t>
  </si>
  <si>
    <t>АДРЕСНАЯ ПРОГРАММА 2026-2027 г.г. "Зеленогорск" (Репино)</t>
  </si>
  <si>
    <t>200-С3</t>
  </si>
  <si>
    <t>201-С3</t>
  </si>
  <si>
    <t>22-Р</t>
  </si>
  <si>
    <t>202-С3</t>
  </si>
  <si>
    <t>Комнаты 1-2 смежно-изолиров.для одного арендатора</t>
  </si>
  <si>
    <t>203-С3</t>
  </si>
  <si>
    <t>Без печки, 2-ой этаж</t>
  </si>
  <si>
    <t>248-Р</t>
  </si>
  <si>
    <t>204-С3</t>
  </si>
  <si>
    <t>Акт о нарушениях, жалобы от потенциальных арендаторов соседнего помещения на антисанитарию. Письмо в Солнечное3 с просьбой подготовить помещение к новому сезону для новых арендаторов</t>
  </si>
  <si>
    <t>249-Р</t>
  </si>
  <si>
    <t>264-Р</t>
  </si>
  <si>
    <t>205-С3</t>
  </si>
  <si>
    <t>265-Р</t>
  </si>
  <si>
    <t>Передача от Фрунзенского</t>
  </si>
  <si>
    <t>30-ВД</t>
  </si>
  <si>
    <t>206-С3</t>
  </si>
  <si>
    <t>Комнаты 1-2-3 смежно-изолиров. для одного арендатора</t>
  </si>
  <si>
    <t>Комнаты 1-2-3 смежно-изолиров.для одного арендатора</t>
  </si>
  <si>
    <t>207-С3</t>
  </si>
  <si>
    <t>208-С3</t>
  </si>
  <si>
    <t>209-С3</t>
  </si>
  <si>
    <t>210-С3</t>
  </si>
  <si>
    <t>211-С3</t>
  </si>
  <si>
    <t>212-С3</t>
  </si>
  <si>
    <t>213-С3</t>
  </si>
  <si>
    <t>214-С3</t>
  </si>
  <si>
    <t>215-С3</t>
  </si>
  <si>
    <t>216-С3</t>
  </si>
  <si>
    <t>218-С3</t>
  </si>
  <si>
    <t>219-С3</t>
  </si>
  <si>
    <t>220-С3</t>
  </si>
  <si>
    <t>222-С3</t>
  </si>
  <si>
    <t>224-С3</t>
  </si>
  <si>
    <t>225-С3</t>
  </si>
  <si>
    <t>226-С3</t>
  </si>
  <si>
    <t>227-С3</t>
  </si>
  <si>
    <t>228-С3</t>
  </si>
  <si>
    <t>229-С3</t>
  </si>
  <si>
    <t>230-С3</t>
  </si>
  <si>
    <t>232-С3</t>
  </si>
  <si>
    <t>233-С3</t>
  </si>
  <si>
    <t>234-С3</t>
  </si>
  <si>
    <t>АДРЕСНАЯ ПРОГРАММА 2026-2027 г.г. "Зеленогорск"</t>
  </si>
  <si>
    <t>235-С3</t>
  </si>
  <si>
    <t>Передача из Василеостровского</t>
  </si>
  <si>
    <t>1-З</t>
  </si>
  <si>
    <t>236-С3</t>
  </si>
  <si>
    <t>Комната 2,3 смежные</t>
  </si>
  <si>
    <t>237-С3</t>
  </si>
  <si>
    <t>Комната 5,6 смежные</t>
  </si>
  <si>
    <t>Комната 5,6смежные</t>
  </si>
  <si>
    <t>10-З</t>
  </si>
  <si>
    <t>238-С3</t>
  </si>
  <si>
    <t>239-С3</t>
  </si>
  <si>
    <t>12-З</t>
  </si>
  <si>
    <t>56-З</t>
  </si>
  <si>
    <t>240-С3</t>
  </si>
  <si>
    <t>Комната 1,2 смежные</t>
  </si>
  <si>
    <t>241-С3</t>
  </si>
  <si>
    <t>98-З</t>
  </si>
  <si>
    <t>107-З</t>
  </si>
  <si>
    <t>242-С3</t>
  </si>
  <si>
    <t>Комната 10,11 смежные</t>
  </si>
  <si>
    <t>Передача от Красносельского</t>
  </si>
  <si>
    <t>Комната 7,8 смежные</t>
  </si>
  <si>
    <t>243-С3</t>
  </si>
  <si>
    <t>110-З</t>
  </si>
  <si>
    <t>245-С3</t>
  </si>
  <si>
    <t>352-С1</t>
  </si>
  <si>
    <t>Солнечное 1</t>
  </si>
  <si>
    <t>393-С1</t>
  </si>
  <si>
    <t>246-С3</t>
  </si>
  <si>
    <t>85-3</t>
  </si>
  <si>
    <t>Зеленогорск</t>
  </si>
  <si>
    <t>247-С3</t>
  </si>
  <si>
    <t>Калинский</t>
  </si>
  <si>
    <t>118-З</t>
  </si>
  <si>
    <t>87-3</t>
  </si>
  <si>
    <t>248-С3</t>
  </si>
  <si>
    <t>177-3</t>
  </si>
  <si>
    <t>Комната 14,15 смежные</t>
  </si>
  <si>
    <t>очень сыро</t>
  </si>
  <si>
    <t>249-С3</t>
  </si>
  <si>
    <t>84-85-Б</t>
  </si>
  <si>
    <t>Белоостров</t>
  </si>
  <si>
    <t>250-С3</t>
  </si>
  <si>
    <t>251-С3</t>
  </si>
  <si>
    <t>134-З</t>
  </si>
  <si>
    <t>252-С3</t>
  </si>
  <si>
    <t>253-С3</t>
  </si>
  <si>
    <t>140-З</t>
  </si>
  <si>
    <t>254-С3</t>
  </si>
  <si>
    <t>141-З</t>
  </si>
  <si>
    <t>142-З</t>
  </si>
  <si>
    <t>255-С3</t>
  </si>
  <si>
    <t>Комната2,3смежные</t>
  </si>
  <si>
    <t>Комната 2,3смежные</t>
  </si>
  <si>
    <t>189-З</t>
  </si>
  <si>
    <t>Ком. 1-2 для одного арендатора</t>
  </si>
  <si>
    <t>256-С3</t>
  </si>
  <si>
    <t>253-З</t>
  </si>
  <si>
    <t>255-З</t>
  </si>
  <si>
    <t>257-С3</t>
  </si>
  <si>
    <t>256-З</t>
  </si>
  <si>
    <t>257-З</t>
  </si>
  <si>
    <t>258-С3</t>
  </si>
  <si>
    <t>258-З</t>
  </si>
  <si>
    <t>259-С3</t>
  </si>
  <si>
    <t>259-З</t>
  </si>
  <si>
    <t>3-У</t>
  </si>
  <si>
    <t>260-С3</t>
  </si>
  <si>
    <t>16-У</t>
  </si>
  <si>
    <t>262-С3</t>
  </si>
  <si>
    <t>20-У</t>
  </si>
  <si>
    <t>263-С3</t>
  </si>
  <si>
    <t>264-С3</t>
  </si>
  <si>
    <t>265-С3</t>
  </si>
  <si>
    <t>266-С3</t>
  </si>
  <si>
    <t>267-С3</t>
  </si>
  <si>
    <t>268-С3</t>
  </si>
  <si>
    <t>269-С3</t>
  </si>
  <si>
    <t>270-С3</t>
  </si>
  <si>
    <t>272-С3</t>
  </si>
  <si>
    <t>274-С3</t>
  </si>
  <si>
    <t>275-С3</t>
  </si>
  <si>
    <t>276-С3</t>
  </si>
  <si>
    <t>277-С3</t>
  </si>
  <si>
    <t>278-С3</t>
  </si>
  <si>
    <t>279-С3</t>
  </si>
  <si>
    <t>281-С3</t>
  </si>
  <si>
    <t>282-С3</t>
  </si>
  <si>
    <t>285-С3</t>
  </si>
  <si>
    <t>286-С3</t>
  </si>
  <si>
    <t>287-С3</t>
  </si>
  <si>
    <t>288-С3</t>
  </si>
  <si>
    <t>289-С3</t>
  </si>
  <si>
    <t>290-С3</t>
  </si>
  <si>
    <t>291-С3</t>
  </si>
  <si>
    <t>292-С3</t>
  </si>
  <si>
    <t>293-С3</t>
  </si>
  <si>
    <t>294-С3</t>
  </si>
  <si>
    <t>296-С3</t>
  </si>
  <si>
    <t>297-С3</t>
  </si>
  <si>
    <t>298-С3</t>
  </si>
  <si>
    <t>300-С3</t>
  </si>
  <si>
    <t>Акт о нарушениях, незаконное подключение к центральному водопроводу</t>
  </si>
  <si>
    <t>303-С3</t>
  </si>
  <si>
    <t>304-С3</t>
  </si>
  <si>
    <t>305-С3</t>
  </si>
  <si>
    <t>306-С3</t>
  </si>
  <si>
    <t>307-С3</t>
  </si>
  <si>
    <t>308-С3</t>
  </si>
  <si>
    <t>309-С3</t>
  </si>
  <si>
    <t>310-С3</t>
  </si>
  <si>
    <t>311-С3</t>
  </si>
  <si>
    <t>312-С3</t>
  </si>
  <si>
    <t>313-С3</t>
  </si>
  <si>
    <t>314-С3</t>
  </si>
  <si>
    <t>315-С3</t>
  </si>
  <si>
    <t>316-С3</t>
  </si>
  <si>
    <t>318-С3</t>
  </si>
  <si>
    <t>319-С3</t>
  </si>
  <si>
    <t>320-С3</t>
  </si>
  <si>
    <t>321-С3</t>
  </si>
  <si>
    <t>322-С3</t>
  </si>
  <si>
    <t>323-С3</t>
  </si>
  <si>
    <t>325-С3</t>
  </si>
  <si>
    <t>327-С3</t>
  </si>
  <si>
    <t>328-С3</t>
  </si>
  <si>
    <t>330-С3</t>
  </si>
  <si>
    <t>331-С3</t>
  </si>
  <si>
    <t>332-С3</t>
  </si>
  <si>
    <t>333-С3</t>
  </si>
  <si>
    <t>систематические отказы, жалобы на неудовлетворительное состояние помещения</t>
  </si>
  <si>
    <t>334-С3</t>
  </si>
  <si>
    <t>336-С3</t>
  </si>
  <si>
    <t>337-С3</t>
  </si>
  <si>
    <t>338-С3</t>
  </si>
  <si>
    <t>340-С3</t>
  </si>
  <si>
    <t>341-С3</t>
  </si>
  <si>
    <t>342-С3</t>
  </si>
  <si>
    <t>343-С3</t>
  </si>
  <si>
    <t>344-С3</t>
  </si>
  <si>
    <t>345-С3</t>
  </si>
  <si>
    <t>Герои Советского Союза, РФ, Герои Социалистического Труда и лица, награжденные орденами Славы трех степеней;</t>
  </si>
  <si>
    <t>Герой СС, Герой РФ, Герой Труда</t>
  </si>
  <si>
    <t>вдовы Героев Советского Союза, РФ и лиц, награжденных орденами Славы трех степеней;</t>
  </si>
  <si>
    <t>ВГРФ</t>
  </si>
  <si>
    <t>инвалиды Великой Отечественной войны;</t>
  </si>
  <si>
    <t>Инвалид ВОВ</t>
  </si>
  <si>
    <t>инвалиды I и II групп из числа участников войны и ветеранов боевых действий на территории других государств (за исключением лиц, инвалидность которых наступила вследствие их противоправных действий);</t>
  </si>
  <si>
    <t>ВБД</t>
  </si>
  <si>
    <t>инвалиды I и II групп из числа реабилитированных граждан, подвергшихся необоснованным репрессиям по политическим мотивам;</t>
  </si>
  <si>
    <t>Репрессированные/ Реабил</t>
  </si>
  <si>
    <t>инвалиды I и II групп из числа лиц, награжденных знаком «Жителю блокадного Ленинграда»;</t>
  </si>
  <si>
    <t>ЖБЛ</t>
  </si>
  <si>
    <t>неработающие инвалиды I и II групп из числа лиц, пострадавших в результате аварий на Чернобыльской АЭС и производственном объединении "Маяк", ядерных испытаний на Семипалатинском полигоне и других радиационных катастроф;</t>
  </si>
  <si>
    <t>ЧАЭС/Маяк/Семип.</t>
  </si>
  <si>
    <t>неработающие инвалиды I и II групп из числа бывших несовершеннолетних узников фашистских концлагерей;</t>
  </si>
  <si>
    <t>Узник</t>
  </si>
  <si>
    <t>семьи, имеющие двух и более инвалидов I или II групп;</t>
  </si>
  <si>
    <t>Семья с 2+ инв. I/II</t>
  </si>
  <si>
    <t>многодетные семьи, имеющие 5 и более детей до 16 лет;</t>
  </si>
  <si>
    <t>Многодет. (5+ до 16)</t>
  </si>
  <si>
    <t>одинокие инвалиды с детства, получающие социальную пенсию в соответствии с Федеральным законом "О государственном пенсионном обеспечении в Российской Федерации";</t>
  </si>
  <si>
    <t>Одинокий ИД</t>
  </si>
  <si>
    <t>одинокие матери, имеющие детей до 16 лет, если на каждого члена семьи доход ниже величины прожиточного минимума в Санкт-Петербурге, установленного в соответствии с законодательством;</t>
  </si>
  <si>
    <t>Одинокая мать</t>
  </si>
  <si>
    <t>семьи с детьми-инвалидами до 16 лет;</t>
  </si>
  <si>
    <t>Семья с РИ до 16 лет</t>
  </si>
  <si>
    <t>вдовы и родители погибших воинов;</t>
  </si>
  <si>
    <t>Вдовы погибших воинов / Родители погибших воинов</t>
  </si>
  <si>
    <t>граждане, осуществляющие уход за ребенком-инвалидом</t>
  </si>
  <si>
    <t>Уход за 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</si>
</sst>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theme="1"/>
      <name val="Arial"/>
      <scheme val="minor"/>
    </font>
    <font>
      <b/>
      <sz val="10"/>
      <color theme="1"/>
      <name val="Times New Roman"/>
    </font>
    <font>
      <sz val="10"/>
      <name val="Arial"/>
    </font>
    <font>
      <b/>
      <sz val="10"/>
      <color rgb="FF000000"/>
      <name val="&quot;Times New Roman&quot;"/>
    </font>
    <font>
      <sz val="10"/>
      <color theme="1"/>
      <name val="Times New Roman"/>
    </font>
    <font>
      <sz val="10"/>
      <color rgb="FF2A2A30"/>
      <name val="Times New Roman"/>
    </font>
    <font>
      <sz val="10"/>
      <color rgb="FF000000"/>
      <name val="&quot;Times New Roman&quot;"/>
    </font>
    <font>
      <b/>
      <sz val="10"/>
      <color theme="1"/>
      <name val="Arial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b/>
      <i/>
      <u/>
      <sz val="10"/>
      <color rgb="FF000000"/>
      <name val="Times New Roman"/>
    </font>
    <font>
      <sz val="10"/>
      <color rgb="FF000000"/>
      <name val="Arial"/>
    </font>
    <font>
      <sz val="11"/>
      <color theme="1"/>
      <name val="Times New Roman"/>
    </font>
    <font>
      <sz val="11"/>
      <color rgb="FF000000"/>
      <name val="Times New Roman"/>
    </font>
    <font>
      <b/>
      <sz val="11"/>
      <color theme="1"/>
      <name val="Times New Roman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Times New Roman"/>
    </font>
    <font>
      <sz val="11"/>
      <color rgb="FF000000"/>
      <name val="Calibri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b/>
      <i/>
      <sz val="10"/>
      <color theme="1"/>
      <name val="Arial"/>
    </font>
    <font>
      <sz val="11"/>
      <color theme="1"/>
      <name val="Calibri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A8DCFF"/>
        <bgColor rgb="FFA8DCFF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DDDDD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FEDBA"/>
        <bgColor rgb="FFFFEDBA"/>
      </patternFill>
    </fill>
    <fill>
      <patternFill patternType="solid">
        <fgColor rgb="FFDDEBF7"/>
        <bgColor rgb="FFDDEBF7"/>
      </patternFill>
    </fill>
    <fill>
      <patternFill patternType="solid">
        <fgColor rgb="FFD8DCE6"/>
        <bgColor rgb="FFD8DCE6"/>
      </patternFill>
    </fill>
    <fill>
      <patternFill patternType="solid">
        <fgColor rgb="FF7EDD9C"/>
        <bgColor rgb="FF7EDD9C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49" fontId="1" fillId="6" borderId="8" xfId="0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/>
    </xf>
    <xf numFmtId="0" fontId="6" fillId="0" borderId="11" xfId="0" applyFont="1" applyBorder="1" applyAlignment="1">
      <alignment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horizontal="center"/>
    </xf>
    <xf numFmtId="0" fontId="7" fillId="3" borderId="12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4" fillId="8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1" fillId="12" borderId="11" xfId="0" applyFont="1" applyFill="1" applyBorder="1" applyAlignment="1">
      <alignment horizontal="center" vertical="center" wrapText="1"/>
    </xf>
    <xf numFmtId="0" fontId="1" fillId="13" borderId="1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8" fillId="8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8" borderId="1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0" fontId="8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4" fillId="10" borderId="1" xfId="0" applyFont="1" applyFill="1" applyBorder="1" applyAlignment="1">
      <alignment horizontal="right" vertical="center"/>
    </xf>
    <xf numFmtId="0" fontId="12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1" fontId="8" fillId="13" borderId="1" xfId="0" applyNumberFormat="1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9" fontId="4" fillId="7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2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1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8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top"/>
    </xf>
    <xf numFmtId="0" fontId="4" fillId="8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quotePrefix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4" borderId="1" xfId="0" quotePrefix="1" applyFont="1" applyFill="1" applyBorder="1" applyAlignment="1">
      <alignment horizontal="center"/>
    </xf>
    <xf numFmtId="0" fontId="4" fillId="8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8" fillId="0" borderId="10" xfId="0" applyFont="1" applyBorder="1" applyAlignment="1"/>
    <xf numFmtId="0" fontId="19" fillId="0" borderId="10" xfId="0" applyFont="1" applyBorder="1" applyAlignment="1">
      <alignment horizontal="center"/>
    </xf>
    <xf numFmtId="0" fontId="17" fillId="0" borderId="10" xfId="0" applyFont="1" applyBorder="1"/>
    <xf numFmtId="0" fontId="17" fillId="8" borderId="10" xfId="0" applyFont="1" applyFill="1" applyBorder="1"/>
    <xf numFmtId="0" fontId="17" fillId="0" borderId="1" xfId="0" applyFont="1" applyBorder="1" applyAlignment="1"/>
    <xf numFmtId="0" fontId="17" fillId="0" borderId="0" xfId="0" applyFont="1" applyAlignment="1"/>
    <xf numFmtId="0" fontId="4" fillId="0" borderId="1" xfId="0" applyFont="1" applyBorder="1" applyAlignment="1">
      <alignment horizontal="left"/>
    </xf>
    <xf numFmtId="0" fontId="20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/>
    <xf numFmtId="0" fontId="1" fillId="6" borderId="1" xfId="0" applyFont="1" applyFill="1" applyBorder="1" applyAlignment="1">
      <alignment horizontal="center" vertical="center"/>
    </xf>
    <xf numFmtId="0" fontId="1" fillId="0" borderId="0" xfId="0" applyFont="1"/>
    <xf numFmtId="0" fontId="4" fillId="0" borderId="1" xfId="0" quotePrefix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/>
    </xf>
    <xf numFmtId="0" fontId="4" fillId="0" borderId="1" xfId="0" quotePrefix="1" applyFont="1" applyBorder="1" applyAlignment="1">
      <alignment horizontal="center" vertical="top"/>
    </xf>
    <xf numFmtId="0" fontId="4" fillId="0" borderId="0" xfId="0" applyFont="1" applyAlignment="1"/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1" fillId="0" borderId="0" xfId="0" applyFont="1"/>
    <xf numFmtId="0" fontId="22" fillId="0" borderId="0" xfId="0" applyFont="1"/>
    <xf numFmtId="0" fontId="4" fillId="4" borderId="1" xfId="0" applyFont="1" applyFill="1" applyBorder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Alignment="1"/>
    <xf numFmtId="0" fontId="14" fillId="6" borderId="14" xfId="0" applyFont="1" applyFill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10" xfId="0" applyFont="1" applyBorder="1"/>
    <xf numFmtId="0" fontId="1" fillId="3" borderId="6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49" fontId="1" fillId="4" borderId="3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11" xfId="0" applyFont="1" applyBorder="1"/>
    <xf numFmtId="0" fontId="8" fillId="0" borderId="12" xfId="0" applyFont="1" applyBorder="1" applyAlignment="1">
      <alignment horizontal="center" vertical="center"/>
    </xf>
    <xf numFmtId="0" fontId="4" fillId="8" borderId="12" xfId="0" applyFont="1" applyFill="1" applyBorder="1" applyAlignment="1">
      <alignment horizontal="left" vertical="center"/>
    </xf>
    <xf numFmtId="49" fontId="4" fillId="0" borderId="12" xfId="0" applyNumberFormat="1" applyFont="1" applyBorder="1" applyAlignment="1">
      <alignment horizontal="center" vertical="center"/>
    </xf>
    <xf numFmtId="0" fontId="2" fillId="0" borderId="13" xfId="0" applyFont="1" applyBorder="1"/>
    <xf numFmtId="0" fontId="1" fillId="4" borderId="6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 wrapText="1"/>
    </xf>
    <xf numFmtId="0" fontId="24" fillId="0" borderId="16" xfId="0" applyFont="1" applyBorder="1" applyAlignment="1">
      <alignment vertical="center" wrapText="1"/>
    </xf>
    <xf numFmtId="0" fontId="24" fillId="0" borderId="17" xfId="0" applyFont="1" applyBorder="1" applyAlignment="1">
      <alignment vertical="center" wrapText="1"/>
    </xf>
    <xf numFmtId="0" fontId="24" fillId="0" borderId="18" xfId="0" applyFont="1" applyBorder="1" applyAlignment="1">
      <alignment vertical="center" wrapText="1"/>
    </xf>
  </cellXfs>
  <cellStyles count="1">
    <cellStyle name="Обычный" xfId="0" builtinId="0"/>
  </cellStyles>
  <dxfs count="1">
    <dxf>
      <font>
        <b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D2E9"/>
    <outlinePr summaryBelow="0" summaryRight="0"/>
    <pageSetUpPr fitToPage="1"/>
  </sheetPr>
  <dimension ref="A1:AA1001"/>
  <sheetViews>
    <sheetView workbookViewId="0"/>
  </sheetViews>
  <sheetFormatPr defaultColWidth="12.5703125" defaultRowHeight="15" customHeight="1"/>
  <cols>
    <col min="1" max="1" width="5.42578125" customWidth="1"/>
    <col min="2" max="2" width="15.140625" customWidth="1"/>
    <col min="3" max="3" width="22.140625" customWidth="1"/>
    <col min="4" max="4" width="13.28515625" customWidth="1"/>
    <col min="5" max="5" width="23.42578125" customWidth="1"/>
    <col min="6" max="6" width="37" customWidth="1"/>
    <col min="7" max="7" width="49.42578125" hidden="1" customWidth="1"/>
  </cols>
  <sheetData>
    <row r="1" spans="1:27">
      <c r="A1" s="1" t="s">
        <v>0</v>
      </c>
      <c r="B1" s="1" t="s">
        <v>3</v>
      </c>
      <c r="C1" s="4" t="s">
        <v>4</v>
      </c>
      <c r="D1" s="1" t="s">
        <v>7</v>
      </c>
      <c r="E1" s="1" t="s">
        <v>8</v>
      </c>
      <c r="F1" s="1" t="s">
        <v>9</v>
      </c>
      <c r="G1" s="5" t="s">
        <v>10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>
      <c r="A2" s="9">
        <v>1</v>
      </c>
      <c r="B2" s="14" t="s">
        <v>12</v>
      </c>
      <c r="C2" s="17" t="s">
        <v>22</v>
      </c>
      <c r="D2" s="9" t="s">
        <v>25</v>
      </c>
      <c r="E2" s="20" t="s">
        <v>26</v>
      </c>
      <c r="F2" s="20" t="s">
        <v>29</v>
      </c>
      <c r="G2" s="22" t="s">
        <v>30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>
      <c r="A3" s="9">
        <v>2</v>
      </c>
      <c r="B3" s="14" t="s">
        <v>36</v>
      </c>
      <c r="C3" s="17" t="s">
        <v>38</v>
      </c>
      <c r="D3" s="9" t="s">
        <v>40</v>
      </c>
      <c r="E3" s="20" t="s">
        <v>41</v>
      </c>
      <c r="F3" s="24"/>
      <c r="G3" s="22" t="s">
        <v>44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>
      <c r="A4" s="9">
        <v>3</v>
      </c>
      <c r="B4" s="14" t="s">
        <v>47</v>
      </c>
      <c r="C4" s="17" t="s">
        <v>49</v>
      </c>
      <c r="D4" s="9" t="s">
        <v>50</v>
      </c>
      <c r="E4" s="20" t="s">
        <v>52</v>
      </c>
      <c r="F4" s="24"/>
      <c r="G4" s="22" t="s">
        <v>53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>
      <c r="A5" s="9">
        <v>4</v>
      </c>
      <c r="B5" s="14" t="s">
        <v>55</v>
      </c>
      <c r="C5" s="17" t="s">
        <v>56</v>
      </c>
      <c r="D5" s="9" t="s">
        <v>57</v>
      </c>
      <c r="E5" s="28" t="s">
        <v>58</v>
      </c>
      <c r="F5" s="24"/>
      <c r="G5" s="22" t="s">
        <v>60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>
      <c r="A6" s="9">
        <v>5</v>
      </c>
      <c r="B6" s="14" t="s">
        <v>62</v>
      </c>
      <c r="C6" s="17" t="s">
        <v>63</v>
      </c>
      <c r="D6" s="9" t="s">
        <v>64</v>
      </c>
      <c r="E6" s="28" t="s">
        <v>65</v>
      </c>
      <c r="F6" s="20" t="s">
        <v>66</v>
      </c>
      <c r="G6" s="22" t="s">
        <v>67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>
      <c r="A7" s="9">
        <v>6</v>
      </c>
      <c r="B7" s="14" t="s">
        <v>69</v>
      </c>
      <c r="C7" s="17" t="s">
        <v>70</v>
      </c>
      <c r="D7" s="9" t="s">
        <v>71</v>
      </c>
      <c r="E7" s="28" t="s">
        <v>72</v>
      </c>
      <c r="F7" s="20" t="s">
        <v>74</v>
      </c>
      <c r="G7" s="22" t="s">
        <v>75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>
      <c r="A8" s="9">
        <v>7</v>
      </c>
      <c r="B8" s="14" t="s">
        <v>79</v>
      </c>
      <c r="C8" s="17" t="s">
        <v>80</v>
      </c>
      <c r="D8" s="36" t="s">
        <v>81</v>
      </c>
      <c r="E8" s="28" t="s">
        <v>86</v>
      </c>
      <c r="F8" s="24"/>
      <c r="G8" s="22" t="s">
        <v>87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>
      <c r="A9" s="9">
        <v>8</v>
      </c>
      <c r="B9" s="14" t="s">
        <v>89</v>
      </c>
      <c r="C9" s="17" t="s">
        <v>90</v>
      </c>
      <c r="D9" s="9" t="s">
        <v>91</v>
      </c>
      <c r="E9" s="28" t="s">
        <v>92</v>
      </c>
      <c r="F9" s="20" t="s">
        <v>94</v>
      </c>
      <c r="G9" s="22" t="s">
        <v>95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>
      <c r="A10" s="9">
        <v>9</v>
      </c>
      <c r="B10" s="14" t="s">
        <v>96</v>
      </c>
      <c r="C10" s="17" t="s">
        <v>98</v>
      </c>
      <c r="D10" s="9" t="s">
        <v>99</v>
      </c>
      <c r="E10" s="28" t="s">
        <v>100</v>
      </c>
      <c r="F10" s="20" t="s">
        <v>101</v>
      </c>
      <c r="G10" s="22" t="s">
        <v>102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>
      <c r="A11" s="9">
        <v>10</v>
      </c>
      <c r="B11" s="14" t="s">
        <v>106</v>
      </c>
      <c r="C11" s="17" t="s">
        <v>107</v>
      </c>
      <c r="D11" s="9" t="s">
        <v>108</v>
      </c>
      <c r="E11" s="28" t="s">
        <v>109</v>
      </c>
      <c r="F11" s="20" t="s">
        <v>110</v>
      </c>
      <c r="G11" s="22" t="s">
        <v>111</v>
      </c>
      <c r="H11" s="42"/>
      <c r="I11" s="42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>
      <c r="A12" s="9">
        <v>11</v>
      </c>
      <c r="B12" s="14" t="s">
        <v>112</v>
      </c>
      <c r="C12" s="17" t="s">
        <v>113</v>
      </c>
      <c r="D12" s="9" t="s">
        <v>114</v>
      </c>
      <c r="E12" s="28" t="s">
        <v>115</v>
      </c>
      <c r="F12" s="20" t="s">
        <v>116</v>
      </c>
      <c r="G12" s="22" t="s">
        <v>117</v>
      </c>
      <c r="H12" s="42"/>
      <c r="I12" s="42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>
      <c r="A13" s="9">
        <v>12</v>
      </c>
      <c r="B13" s="14" t="s">
        <v>118</v>
      </c>
      <c r="C13" s="17" t="s">
        <v>119</v>
      </c>
      <c r="D13" s="9" t="s">
        <v>120</v>
      </c>
      <c r="E13" s="28" t="s">
        <v>122</v>
      </c>
      <c r="F13" s="45"/>
      <c r="G13" s="22" t="s">
        <v>123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>
      <c r="A14" s="9">
        <v>13</v>
      </c>
      <c r="B14" s="14" t="s">
        <v>124</v>
      </c>
      <c r="C14" s="17" t="s">
        <v>125</v>
      </c>
      <c r="D14" s="9" t="s">
        <v>126</v>
      </c>
      <c r="E14" s="28" t="s">
        <v>127</v>
      </c>
      <c r="F14" s="24"/>
      <c r="G14" s="22" t="s">
        <v>131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>
      <c r="A15" s="9">
        <v>14</v>
      </c>
      <c r="B15" s="14" t="s">
        <v>132</v>
      </c>
      <c r="C15" s="17" t="s">
        <v>133</v>
      </c>
      <c r="D15" s="9" t="s">
        <v>134</v>
      </c>
      <c r="E15" s="28" t="s">
        <v>135</v>
      </c>
      <c r="F15" s="20" t="s">
        <v>136</v>
      </c>
      <c r="G15" s="22" t="s">
        <v>137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>
      <c r="A16" s="9">
        <v>15</v>
      </c>
      <c r="B16" s="14" t="s">
        <v>77</v>
      </c>
      <c r="C16" s="17" t="s">
        <v>138</v>
      </c>
      <c r="D16" s="9" t="s">
        <v>139</v>
      </c>
      <c r="E16" s="28" t="s">
        <v>140</v>
      </c>
      <c r="F16" s="24"/>
      <c r="G16" s="22" t="s">
        <v>142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>
      <c r="A17" s="9">
        <v>16</v>
      </c>
      <c r="B17" s="14" t="s">
        <v>51</v>
      </c>
      <c r="C17" s="17" t="s">
        <v>144</v>
      </c>
      <c r="D17" s="9" t="s">
        <v>145</v>
      </c>
      <c r="E17" s="28" t="s">
        <v>146</v>
      </c>
      <c r="F17" s="24"/>
      <c r="G17" s="22" t="s">
        <v>148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>
      <c r="A18" s="9">
        <v>17</v>
      </c>
      <c r="B18" s="14" t="s">
        <v>150</v>
      </c>
      <c r="C18" s="17" t="s">
        <v>151</v>
      </c>
      <c r="D18" s="9" t="s">
        <v>152</v>
      </c>
      <c r="E18" s="28" t="s">
        <v>153</v>
      </c>
      <c r="F18" s="24"/>
      <c r="G18" s="22" t="s">
        <v>154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>
      <c r="A19" s="9">
        <v>18</v>
      </c>
      <c r="B19" s="14" t="s">
        <v>88</v>
      </c>
      <c r="C19" s="17" t="s">
        <v>155</v>
      </c>
      <c r="D19" s="9" t="s">
        <v>156</v>
      </c>
      <c r="E19" s="28" t="s">
        <v>157</v>
      </c>
      <c r="F19" s="20" t="s">
        <v>160</v>
      </c>
      <c r="G19" s="22" t="s">
        <v>161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>
      <c r="A20" s="9">
        <v>19</v>
      </c>
      <c r="B20" s="9" t="s">
        <v>164</v>
      </c>
      <c r="C20" s="17" t="s">
        <v>165</v>
      </c>
      <c r="D20" s="9" t="s">
        <v>166</v>
      </c>
      <c r="E20" s="20" t="s">
        <v>167</v>
      </c>
      <c r="F20" s="45" t="s">
        <v>168</v>
      </c>
      <c r="G20" s="22" t="s">
        <v>169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>
      <c r="A21" s="55"/>
      <c r="B21" s="55"/>
      <c r="C21" s="57"/>
      <c r="D21" s="55"/>
      <c r="E21" s="58"/>
      <c r="F21" s="58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>
      <c r="A22" s="55"/>
      <c r="B22" s="55"/>
      <c r="C22" s="57"/>
      <c r="D22" s="55"/>
      <c r="E22" s="58"/>
      <c r="F22" s="58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>
      <c r="A23" s="55"/>
      <c r="B23" s="55"/>
      <c r="C23" s="57"/>
      <c r="D23" s="55"/>
      <c r="E23" s="58"/>
      <c r="F23" s="58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>
      <c r="A24" s="55"/>
      <c r="B24" s="55"/>
      <c r="C24" s="57"/>
      <c r="D24" s="55"/>
      <c r="E24" s="58"/>
      <c r="F24" s="58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>
      <c r="A25" s="55"/>
      <c r="B25" s="55"/>
      <c r="C25" s="57"/>
      <c r="D25" s="55"/>
      <c r="E25" s="58"/>
      <c r="F25" s="58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>
      <c r="A26" s="55"/>
      <c r="B26" s="55"/>
      <c r="C26" s="57"/>
      <c r="D26" s="55"/>
      <c r="E26" s="58"/>
      <c r="F26" s="58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>
      <c r="A27" s="55"/>
      <c r="B27" s="55"/>
      <c r="C27" s="57"/>
      <c r="D27" s="55"/>
      <c r="E27" s="58"/>
      <c r="F27" s="58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>
      <c r="A28" s="55"/>
      <c r="B28" s="55"/>
      <c r="C28" s="57"/>
      <c r="D28" s="55"/>
      <c r="E28" s="58"/>
      <c r="F28" s="58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>
      <c r="A29" s="55"/>
      <c r="B29" s="55"/>
      <c r="C29" s="57"/>
      <c r="D29" s="55"/>
      <c r="E29" s="58"/>
      <c r="F29" s="58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>
      <c r="A30" s="55"/>
      <c r="B30" s="55"/>
      <c r="C30" s="57"/>
      <c r="D30" s="55"/>
      <c r="E30" s="58"/>
      <c r="F30" s="58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>
      <c r="A31" s="55"/>
      <c r="B31" s="55"/>
      <c r="C31" s="57"/>
      <c r="D31" s="55"/>
      <c r="E31" s="58"/>
      <c r="F31" s="58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>
      <c r="A32" s="55"/>
      <c r="B32" s="55"/>
      <c r="C32" s="57"/>
      <c r="D32" s="55"/>
      <c r="E32" s="58"/>
      <c r="F32" s="58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>
      <c r="A33" s="55"/>
      <c r="B33" s="55"/>
      <c r="C33" s="57"/>
      <c r="D33" s="55"/>
      <c r="E33" s="58"/>
      <c r="F33" s="5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>
      <c r="A34" s="55"/>
      <c r="B34" s="55"/>
      <c r="C34" s="57"/>
      <c r="D34" s="55"/>
      <c r="E34" s="58"/>
      <c r="F34" s="58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>
      <c r="A35" s="55"/>
      <c r="B35" s="55"/>
      <c r="C35" s="57"/>
      <c r="D35" s="55"/>
      <c r="E35" s="58"/>
      <c r="F35" s="5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>
      <c r="A36" s="55"/>
      <c r="B36" s="55"/>
      <c r="C36" s="57"/>
      <c r="D36" s="55"/>
      <c r="E36" s="58"/>
      <c r="F36" s="58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>
      <c r="A37" s="55"/>
      <c r="B37" s="55"/>
      <c r="C37" s="57"/>
      <c r="D37" s="55"/>
      <c r="E37" s="58"/>
      <c r="F37" s="58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>
      <c r="A38" s="55"/>
      <c r="B38" s="55"/>
      <c r="C38" s="57"/>
      <c r="D38" s="55"/>
      <c r="E38" s="58"/>
      <c r="F38" s="58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>
      <c r="A39" s="55"/>
      <c r="B39" s="55"/>
      <c r="C39" s="57"/>
      <c r="D39" s="55"/>
      <c r="E39" s="58"/>
      <c r="F39" s="58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>
      <c r="A40" s="55"/>
      <c r="B40" s="55"/>
      <c r="C40" s="57"/>
      <c r="D40" s="55"/>
      <c r="E40" s="58"/>
      <c r="F40" s="58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>
      <c r="A41" s="55"/>
      <c r="B41" s="55"/>
      <c r="C41" s="57"/>
      <c r="D41" s="55"/>
      <c r="E41" s="58"/>
      <c r="F41" s="58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>
      <c r="A42" s="55"/>
      <c r="B42" s="55"/>
      <c r="C42" s="57"/>
      <c r="D42" s="55"/>
      <c r="E42" s="58"/>
      <c r="F42" s="58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>
      <c r="A43" s="55"/>
      <c r="B43" s="55"/>
      <c r="C43" s="57"/>
      <c r="D43" s="55"/>
      <c r="E43" s="58"/>
      <c r="F43" s="58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>
      <c r="A44" s="55"/>
      <c r="B44" s="55"/>
      <c r="C44" s="57"/>
      <c r="D44" s="55"/>
      <c r="E44" s="58"/>
      <c r="F44" s="58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>
      <c r="A45" s="55"/>
      <c r="B45" s="55"/>
      <c r="C45" s="57"/>
      <c r="D45" s="55"/>
      <c r="E45" s="58"/>
      <c r="F45" s="58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>
      <c r="A46" s="55"/>
      <c r="B46" s="55"/>
      <c r="C46" s="57"/>
      <c r="D46" s="55"/>
      <c r="E46" s="58"/>
      <c r="F46" s="5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>
      <c r="A47" s="55"/>
      <c r="B47" s="55"/>
      <c r="C47" s="57"/>
      <c r="D47" s="55"/>
      <c r="E47" s="58"/>
      <c r="F47" s="58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>
      <c r="A48" s="55"/>
      <c r="B48" s="55"/>
      <c r="C48" s="57"/>
      <c r="D48" s="55"/>
      <c r="E48" s="58"/>
      <c r="F48" s="58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>
      <c r="A49" s="55"/>
      <c r="B49" s="55"/>
      <c r="C49" s="57"/>
      <c r="D49" s="55"/>
      <c r="E49" s="58"/>
      <c r="F49" s="58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>
      <c r="A50" s="55"/>
      <c r="B50" s="55"/>
      <c r="C50" s="57"/>
      <c r="D50" s="55"/>
      <c r="E50" s="58"/>
      <c r="F50" s="58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>
      <c r="A51" s="76"/>
      <c r="B51" s="76"/>
      <c r="C51" s="57"/>
      <c r="D51" s="76"/>
      <c r="E51" s="6"/>
      <c r="F51" s="58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>
      <c r="A52" s="76"/>
      <c r="B52" s="76"/>
      <c r="C52" s="57"/>
      <c r="D52" s="76"/>
      <c r="E52" s="6"/>
      <c r="F52" s="58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>
      <c r="A53" s="76"/>
      <c r="B53" s="76"/>
      <c r="C53" s="57"/>
      <c r="D53" s="76"/>
      <c r="E53" s="6"/>
      <c r="F53" s="58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>
      <c r="A54" s="76"/>
      <c r="B54" s="76"/>
      <c r="C54" s="57"/>
      <c r="D54" s="76"/>
      <c r="E54" s="6"/>
      <c r="F54" s="58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>
      <c r="A55" s="76"/>
      <c r="B55" s="76"/>
      <c r="C55" s="57"/>
      <c r="D55" s="76"/>
      <c r="E55" s="6"/>
      <c r="F55" s="58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>
      <c r="A56" s="76"/>
      <c r="B56" s="76"/>
      <c r="C56" s="57"/>
      <c r="D56" s="76"/>
      <c r="E56" s="6"/>
      <c r="F56" s="58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>
      <c r="A57" s="76"/>
      <c r="B57" s="76"/>
      <c r="C57" s="57"/>
      <c r="D57" s="76"/>
      <c r="E57" s="6"/>
      <c r="F57" s="58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>
      <c r="A58" s="76"/>
      <c r="B58" s="76"/>
      <c r="C58" s="57"/>
      <c r="D58" s="76"/>
      <c r="E58" s="6"/>
      <c r="F58" s="58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>
      <c r="A59" s="76"/>
      <c r="B59" s="76"/>
      <c r="C59" s="57"/>
      <c r="D59" s="76"/>
      <c r="E59" s="6"/>
      <c r="F59" s="58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>
      <c r="A60" s="76"/>
      <c r="B60" s="76"/>
      <c r="C60" s="57"/>
      <c r="D60" s="76"/>
      <c r="E60" s="6"/>
      <c r="F60" s="58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>
      <c r="A61" s="76"/>
      <c r="B61" s="76"/>
      <c r="C61" s="57"/>
      <c r="D61" s="76"/>
      <c r="E61" s="6"/>
      <c r="F61" s="58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>
      <c r="A62" s="76"/>
      <c r="B62" s="76"/>
      <c r="C62" s="57"/>
      <c r="D62" s="76"/>
      <c r="E62" s="6"/>
      <c r="F62" s="58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>
      <c r="A63" s="76"/>
      <c r="B63" s="76"/>
      <c r="C63" s="57"/>
      <c r="D63" s="76"/>
      <c r="E63" s="6"/>
      <c r="F63" s="58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>
      <c r="A64" s="76"/>
      <c r="B64" s="76"/>
      <c r="C64" s="57"/>
      <c r="D64" s="76"/>
      <c r="E64" s="6"/>
      <c r="F64" s="58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>
      <c r="A65" s="76"/>
      <c r="B65" s="76"/>
      <c r="C65" s="57"/>
      <c r="D65" s="76"/>
      <c r="E65" s="6"/>
      <c r="F65" s="58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>
      <c r="A66" s="76"/>
      <c r="B66" s="76"/>
      <c r="C66" s="57"/>
      <c r="D66" s="76"/>
      <c r="E66" s="6"/>
      <c r="F66" s="58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>
      <c r="A67" s="76"/>
      <c r="B67" s="76"/>
      <c r="C67" s="57"/>
      <c r="D67" s="76"/>
      <c r="E67" s="6"/>
      <c r="F67" s="58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>
      <c r="A68" s="76"/>
      <c r="B68" s="76"/>
      <c r="C68" s="57"/>
      <c r="D68" s="76"/>
      <c r="E68" s="6"/>
      <c r="F68" s="58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>
      <c r="A69" s="76"/>
      <c r="B69" s="76"/>
      <c r="C69" s="57"/>
      <c r="D69" s="76"/>
      <c r="E69" s="6"/>
      <c r="F69" s="58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>
      <c r="A70" s="76"/>
      <c r="B70" s="76"/>
      <c r="C70" s="57"/>
      <c r="D70" s="76"/>
      <c r="E70" s="6"/>
      <c r="F70" s="58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>
      <c r="A71" s="76"/>
      <c r="B71" s="76"/>
      <c r="C71" s="57"/>
      <c r="D71" s="76"/>
      <c r="E71" s="6"/>
      <c r="F71" s="58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>
      <c r="A72" s="76"/>
      <c r="B72" s="76"/>
      <c r="C72" s="57"/>
      <c r="D72" s="76"/>
      <c r="E72" s="6"/>
      <c r="F72" s="58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>
      <c r="A73" s="76"/>
      <c r="B73" s="76"/>
      <c r="C73" s="57"/>
      <c r="D73" s="76"/>
      <c r="E73" s="6"/>
      <c r="F73" s="58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>
      <c r="A74" s="76"/>
      <c r="B74" s="76"/>
      <c r="C74" s="57"/>
      <c r="D74" s="76"/>
      <c r="E74" s="6"/>
      <c r="F74" s="58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>
      <c r="A75" s="76"/>
      <c r="B75" s="76"/>
      <c r="C75" s="57"/>
      <c r="D75" s="76"/>
      <c r="E75" s="6"/>
      <c r="F75" s="58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>
      <c r="A76" s="76"/>
      <c r="B76" s="76"/>
      <c r="C76" s="57"/>
      <c r="D76" s="76"/>
      <c r="E76" s="6"/>
      <c r="F76" s="58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>
      <c r="A77" s="76"/>
      <c r="B77" s="76"/>
      <c r="C77" s="57"/>
      <c r="D77" s="76"/>
      <c r="E77" s="6"/>
      <c r="F77" s="58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>
      <c r="A78" s="76"/>
      <c r="B78" s="76"/>
      <c r="C78" s="57"/>
      <c r="D78" s="76"/>
      <c r="E78" s="6"/>
      <c r="F78" s="58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>
      <c r="A79" s="76"/>
      <c r="B79" s="76"/>
      <c r="C79" s="57"/>
      <c r="D79" s="76"/>
      <c r="E79" s="6"/>
      <c r="F79" s="58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>
      <c r="A80" s="76"/>
      <c r="B80" s="76"/>
      <c r="C80" s="57"/>
      <c r="D80" s="76"/>
      <c r="E80" s="6"/>
      <c r="F80" s="58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>
      <c r="A81" s="76"/>
      <c r="B81" s="76"/>
      <c r="C81" s="57"/>
      <c r="D81" s="76"/>
      <c r="E81" s="6"/>
      <c r="F81" s="58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>
      <c r="A82" s="76"/>
      <c r="B82" s="76"/>
      <c r="C82" s="57"/>
      <c r="D82" s="76"/>
      <c r="E82" s="6"/>
      <c r="F82" s="58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>
      <c r="A83" s="76"/>
      <c r="B83" s="76"/>
      <c r="C83" s="57"/>
      <c r="D83" s="76"/>
      <c r="E83" s="6"/>
      <c r="F83" s="58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>
      <c r="A84" s="76"/>
      <c r="B84" s="76"/>
      <c r="C84" s="57"/>
      <c r="D84" s="76"/>
      <c r="E84" s="6"/>
      <c r="F84" s="58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>
      <c r="A85" s="76"/>
      <c r="B85" s="76"/>
      <c r="C85" s="57"/>
      <c r="D85" s="76"/>
      <c r="E85" s="6"/>
      <c r="F85" s="58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>
      <c r="A86" s="76"/>
      <c r="B86" s="76"/>
      <c r="C86" s="57"/>
      <c r="D86" s="76"/>
      <c r="E86" s="6"/>
      <c r="F86" s="58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>
      <c r="A87" s="76"/>
      <c r="B87" s="76"/>
      <c r="C87" s="57"/>
      <c r="D87" s="76"/>
      <c r="E87" s="6"/>
      <c r="F87" s="58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>
      <c r="A88" s="76"/>
      <c r="B88" s="76"/>
      <c r="C88" s="57"/>
      <c r="D88" s="76"/>
      <c r="E88" s="6"/>
      <c r="F88" s="58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>
      <c r="A89" s="76"/>
      <c r="B89" s="76"/>
      <c r="C89" s="57"/>
      <c r="D89" s="76"/>
      <c r="E89" s="6"/>
      <c r="F89" s="58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>
      <c r="A90" s="76"/>
      <c r="B90" s="76"/>
      <c r="C90" s="57"/>
      <c r="D90" s="76"/>
      <c r="E90" s="6"/>
      <c r="F90" s="58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>
      <c r="A91" s="76"/>
      <c r="B91" s="76"/>
      <c r="C91" s="57"/>
      <c r="D91" s="76"/>
      <c r="E91" s="6"/>
      <c r="F91" s="58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>
      <c r="A92" s="76"/>
      <c r="B92" s="76"/>
      <c r="C92" s="57"/>
      <c r="D92" s="76"/>
      <c r="E92" s="6"/>
      <c r="F92" s="58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>
      <c r="A93" s="76"/>
      <c r="B93" s="76"/>
      <c r="C93" s="57"/>
      <c r="D93" s="76"/>
      <c r="E93" s="6"/>
      <c r="F93" s="58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>
      <c r="A94" s="76"/>
      <c r="B94" s="76"/>
      <c r="C94" s="57"/>
      <c r="D94" s="76"/>
      <c r="E94" s="6"/>
      <c r="F94" s="58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>
      <c r="A95" s="76"/>
      <c r="B95" s="76"/>
      <c r="C95" s="57"/>
      <c r="D95" s="76"/>
      <c r="E95" s="6"/>
      <c r="F95" s="58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>
      <c r="A96" s="76"/>
      <c r="B96" s="76"/>
      <c r="C96" s="57"/>
      <c r="D96" s="76"/>
      <c r="E96" s="6"/>
      <c r="F96" s="58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>
      <c r="A97" s="76"/>
      <c r="B97" s="76"/>
      <c r="C97" s="57"/>
      <c r="D97" s="76"/>
      <c r="E97" s="6"/>
      <c r="F97" s="58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>
      <c r="A98" s="76"/>
      <c r="B98" s="76"/>
      <c r="C98" s="57"/>
      <c r="D98" s="76"/>
      <c r="E98" s="6"/>
      <c r="F98" s="58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>
      <c r="A99" s="76"/>
      <c r="B99" s="76"/>
      <c r="C99" s="57"/>
      <c r="D99" s="76"/>
      <c r="E99" s="6"/>
      <c r="F99" s="58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>
      <c r="A100" s="76"/>
      <c r="B100" s="76"/>
      <c r="C100" s="57"/>
      <c r="D100" s="76"/>
      <c r="E100" s="6"/>
      <c r="F100" s="58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>
      <c r="A101" s="76"/>
      <c r="B101" s="76"/>
      <c r="C101" s="57"/>
      <c r="D101" s="76"/>
      <c r="E101" s="6"/>
      <c r="F101" s="58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>
      <c r="A102" s="76"/>
      <c r="B102" s="76"/>
      <c r="C102" s="57"/>
      <c r="D102" s="76"/>
      <c r="E102" s="6"/>
      <c r="F102" s="58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>
      <c r="A103" s="76"/>
      <c r="B103" s="76"/>
      <c r="C103" s="57"/>
      <c r="D103" s="76"/>
      <c r="E103" s="6"/>
      <c r="F103" s="58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>
      <c r="A104" s="76"/>
      <c r="B104" s="76"/>
      <c r="C104" s="57"/>
      <c r="D104" s="76"/>
      <c r="E104" s="6"/>
      <c r="F104" s="58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>
      <c r="A105" s="76"/>
      <c r="B105" s="76"/>
      <c r="C105" s="57"/>
      <c r="D105" s="76"/>
      <c r="E105" s="6"/>
      <c r="F105" s="58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>
      <c r="A106" s="76"/>
      <c r="B106" s="76"/>
      <c r="C106" s="57"/>
      <c r="D106" s="76"/>
      <c r="E106" s="6"/>
      <c r="F106" s="58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>
      <c r="A107" s="76"/>
      <c r="B107" s="76"/>
      <c r="C107" s="57"/>
      <c r="D107" s="76"/>
      <c r="E107" s="6"/>
      <c r="F107" s="58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>
      <c r="A108" s="76"/>
      <c r="B108" s="76"/>
      <c r="C108" s="57"/>
      <c r="D108" s="76"/>
      <c r="E108" s="6"/>
      <c r="F108" s="58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>
      <c r="A109" s="76"/>
      <c r="B109" s="76"/>
      <c r="C109" s="57"/>
      <c r="D109" s="76"/>
      <c r="E109" s="6"/>
      <c r="F109" s="58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>
      <c r="A110" s="76"/>
      <c r="B110" s="76"/>
      <c r="C110" s="57"/>
      <c r="D110" s="76"/>
      <c r="E110" s="6"/>
      <c r="F110" s="58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>
      <c r="A111" s="76"/>
      <c r="B111" s="76"/>
      <c r="C111" s="57"/>
      <c r="D111" s="76"/>
      <c r="E111" s="6"/>
      <c r="F111" s="58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>
      <c r="A112" s="76"/>
      <c r="B112" s="76"/>
      <c r="C112" s="57"/>
      <c r="D112" s="76"/>
      <c r="E112" s="6"/>
      <c r="F112" s="58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>
      <c r="A113" s="76"/>
      <c r="B113" s="76"/>
      <c r="C113" s="57"/>
      <c r="D113" s="76"/>
      <c r="E113" s="6"/>
      <c r="F113" s="58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>
      <c r="A114" s="76"/>
      <c r="B114" s="76"/>
      <c r="C114" s="57"/>
      <c r="D114" s="76"/>
      <c r="E114" s="6"/>
      <c r="F114" s="58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>
      <c r="A115" s="76"/>
      <c r="B115" s="76"/>
      <c r="C115" s="57"/>
      <c r="D115" s="76"/>
      <c r="E115" s="6"/>
      <c r="F115" s="58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>
      <c r="A116" s="76"/>
      <c r="B116" s="76"/>
      <c r="C116" s="57"/>
      <c r="D116" s="76"/>
      <c r="E116" s="6"/>
      <c r="F116" s="58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>
      <c r="A117" s="76"/>
      <c r="B117" s="76"/>
      <c r="C117" s="57"/>
      <c r="D117" s="76"/>
      <c r="E117" s="6"/>
      <c r="F117" s="58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>
      <c r="A118" s="76"/>
      <c r="B118" s="76"/>
      <c r="C118" s="57"/>
      <c r="D118" s="76"/>
      <c r="E118" s="6"/>
      <c r="F118" s="58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>
      <c r="A119" s="76"/>
      <c r="B119" s="76"/>
      <c r="C119" s="57"/>
      <c r="D119" s="76"/>
      <c r="E119" s="6"/>
      <c r="F119" s="58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>
      <c r="A120" s="76"/>
      <c r="B120" s="76"/>
      <c r="C120" s="57"/>
      <c r="D120" s="76"/>
      <c r="E120" s="6"/>
      <c r="F120" s="58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>
      <c r="A121" s="76"/>
      <c r="B121" s="76"/>
      <c r="C121" s="57"/>
      <c r="D121" s="76"/>
      <c r="E121" s="6"/>
      <c r="F121" s="58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>
      <c r="A122" s="76"/>
      <c r="B122" s="76"/>
      <c r="C122" s="57"/>
      <c r="D122" s="76"/>
      <c r="E122" s="6"/>
      <c r="F122" s="58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>
      <c r="A123" s="76"/>
      <c r="B123" s="76"/>
      <c r="C123" s="57"/>
      <c r="D123" s="76"/>
      <c r="E123" s="6"/>
      <c r="F123" s="58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>
      <c r="A124" s="76"/>
      <c r="B124" s="76"/>
      <c r="C124" s="57"/>
      <c r="D124" s="76"/>
      <c r="E124" s="6"/>
      <c r="F124" s="58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>
      <c r="A125" s="76"/>
      <c r="B125" s="76"/>
      <c r="C125" s="57"/>
      <c r="D125" s="76"/>
      <c r="E125" s="6"/>
      <c r="F125" s="58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>
      <c r="A126" s="76"/>
      <c r="B126" s="76"/>
      <c r="C126" s="57"/>
      <c r="D126" s="76"/>
      <c r="E126" s="6"/>
      <c r="F126" s="58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>
      <c r="A127" s="76"/>
      <c r="B127" s="76"/>
      <c r="C127" s="57"/>
      <c r="D127" s="76"/>
      <c r="E127" s="6"/>
      <c r="F127" s="58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>
      <c r="A128" s="76"/>
      <c r="B128" s="76"/>
      <c r="C128" s="57"/>
      <c r="D128" s="76"/>
      <c r="E128" s="6"/>
      <c r="F128" s="58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>
      <c r="A129" s="76"/>
      <c r="B129" s="76"/>
      <c r="C129" s="57"/>
      <c r="D129" s="76"/>
      <c r="E129" s="6"/>
      <c r="F129" s="58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>
      <c r="A130" s="76"/>
      <c r="B130" s="76"/>
      <c r="C130" s="57"/>
      <c r="D130" s="76"/>
      <c r="E130" s="6"/>
      <c r="F130" s="58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>
      <c r="A131" s="76"/>
      <c r="B131" s="76"/>
      <c r="C131" s="57"/>
      <c r="D131" s="76"/>
      <c r="E131" s="6"/>
      <c r="F131" s="58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>
      <c r="A132" s="76"/>
      <c r="B132" s="76"/>
      <c r="C132" s="57"/>
      <c r="D132" s="76"/>
      <c r="E132" s="6"/>
      <c r="F132" s="58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>
      <c r="A133" s="76"/>
      <c r="B133" s="76"/>
      <c r="C133" s="57"/>
      <c r="D133" s="76"/>
      <c r="E133" s="6"/>
      <c r="F133" s="58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>
      <c r="A134" s="76"/>
      <c r="B134" s="76"/>
      <c r="C134" s="57"/>
      <c r="D134" s="76"/>
      <c r="E134" s="6"/>
      <c r="F134" s="58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>
      <c r="A135" s="76"/>
      <c r="B135" s="76"/>
      <c r="C135" s="57"/>
      <c r="D135" s="76"/>
      <c r="E135" s="6"/>
      <c r="F135" s="58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>
      <c r="A136" s="76"/>
      <c r="B136" s="76"/>
      <c r="C136" s="57"/>
      <c r="D136" s="76"/>
      <c r="E136" s="6"/>
      <c r="F136" s="58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>
      <c r="A137" s="76"/>
      <c r="B137" s="76"/>
      <c r="C137" s="57"/>
      <c r="D137" s="76"/>
      <c r="E137" s="6"/>
      <c r="F137" s="58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>
      <c r="A138" s="76"/>
      <c r="B138" s="76"/>
      <c r="C138" s="57"/>
      <c r="D138" s="76"/>
      <c r="E138" s="6"/>
      <c r="F138" s="58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>
      <c r="A139" s="76"/>
      <c r="B139" s="76"/>
      <c r="C139" s="57"/>
      <c r="D139" s="76"/>
      <c r="E139" s="6"/>
      <c r="F139" s="58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>
      <c r="A140" s="76"/>
      <c r="B140" s="76"/>
      <c r="C140" s="57"/>
      <c r="D140" s="76"/>
      <c r="E140" s="6"/>
      <c r="F140" s="58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>
      <c r="A141" s="76"/>
      <c r="B141" s="76"/>
      <c r="C141" s="57"/>
      <c r="D141" s="76"/>
      <c r="E141" s="6"/>
      <c r="F141" s="58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>
      <c r="A142" s="76"/>
      <c r="B142" s="76"/>
      <c r="C142" s="57"/>
      <c r="D142" s="76"/>
      <c r="E142" s="6"/>
      <c r="F142" s="58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>
      <c r="A143" s="76"/>
      <c r="B143" s="76"/>
      <c r="C143" s="57"/>
      <c r="D143" s="76"/>
      <c r="E143" s="6"/>
      <c r="F143" s="58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>
      <c r="A144" s="76"/>
      <c r="B144" s="76"/>
      <c r="C144" s="57"/>
      <c r="D144" s="76"/>
      <c r="E144" s="6"/>
      <c r="F144" s="58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>
      <c r="A145" s="76"/>
      <c r="B145" s="76"/>
      <c r="C145" s="57"/>
      <c r="D145" s="76"/>
      <c r="E145" s="6"/>
      <c r="F145" s="58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>
      <c r="A146" s="76"/>
      <c r="B146" s="76"/>
      <c r="C146" s="57"/>
      <c r="D146" s="76"/>
      <c r="E146" s="6"/>
      <c r="F146" s="58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>
      <c r="A147" s="76"/>
      <c r="B147" s="76"/>
      <c r="C147" s="57"/>
      <c r="D147" s="76"/>
      <c r="E147" s="6"/>
      <c r="F147" s="58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>
      <c r="A148" s="76"/>
      <c r="B148" s="76"/>
      <c r="C148" s="57"/>
      <c r="D148" s="76"/>
      <c r="E148" s="6"/>
      <c r="F148" s="58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>
      <c r="A149" s="76"/>
      <c r="B149" s="76"/>
      <c r="C149" s="57"/>
      <c r="D149" s="76"/>
      <c r="E149" s="6"/>
      <c r="F149" s="58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>
      <c r="A150" s="76"/>
      <c r="B150" s="76"/>
      <c r="C150" s="57"/>
      <c r="D150" s="76"/>
      <c r="E150" s="6"/>
      <c r="F150" s="58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>
      <c r="A151" s="76"/>
      <c r="B151" s="76"/>
      <c r="C151" s="57"/>
      <c r="D151" s="76"/>
      <c r="E151" s="6"/>
      <c r="F151" s="58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>
      <c r="A152" s="76"/>
      <c r="B152" s="76"/>
      <c r="C152" s="57"/>
      <c r="D152" s="76"/>
      <c r="E152" s="6"/>
      <c r="F152" s="58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>
      <c r="A153" s="76"/>
      <c r="B153" s="76"/>
      <c r="C153" s="57"/>
      <c r="D153" s="76"/>
      <c r="E153" s="6"/>
      <c r="F153" s="58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>
      <c r="A154" s="76"/>
      <c r="B154" s="76"/>
      <c r="C154" s="57"/>
      <c r="D154" s="76"/>
      <c r="E154" s="6"/>
      <c r="F154" s="58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>
      <c r="A155" s="76"/>
      <c r="B155" s="76"/>
      <c r="C155" s="57"/>
      <c r="D155" s="76"/>
      <c r="E155" s="6"/>
      <c r="F155" s="58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>
      <c r="A156" s="76"/>
      <c r="B156" s="76"/>
      <c r="C156" s="57"/>
      <c r="D156" s="76"/>
      <c r="E156" s="6"/>
      <c r="F156" s="58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>
      <c r="A157" s="76"/>
      <c r="B157" s="76"/>
      <c r="C157" s="57"/>
      <c r="D157" s="76"/>
      <c r="E157" s="6"/>
      <c r="F157" s="58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>
      <c r="A158" s="76"/>
      <c r="B158" s="76"/>
      <c r="C158" s="57"/>
      <c r="D158" s="76"/>
      <c r="E158" s="6"/>
      <c r="F158" s="58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>
      <c r="A159" s="76"/>
      <c r="B159" s="76"/>
      <c r="C159" s="57"/>
      <c r="D159" s="76"/>
      <c r="E159" s="6"/>
      <c r="F159" s="58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>
      <c r="A160" s="76"/>
      <c r="B160" s="76"/>
      <c r="C160" s="57"/>
      <c r="D160" s="76"/>
      <c r="E160" s="6"/>
      <c r="F160" s="58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>
      <c r="A161" s="76"/>
      <c r="B161" s="76"/>
      <c r="C161" s="57"/>
      <c r="D161" s="76"/>
      <c r="E161" s="6"/>
      <c r="F161" s="58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>
      <c r="A162" s="76"/>
      <c r="B162" s="76"/>
      <c r="C162" s="57"/>
      <c r="D162" s="76"/>
      <c r="E162" s="6"/>
      <c r="F162" s="58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>
      <c r="A163" s="76"/>
      <c r="B163" s="76"/>
      <c r="C163" s="57"/>
      <c r="D163" s="76"/>
      <c r="E163" s="6"/>
      <c r="F163" s="58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>
      <c r="A164" s="76"/>
      <c r="B164" s="76"/>
      <c r="C164" s="57"/>
      <c r="D164" s="76"/>
      <c r="E164" s="6"/>
      <c r="F164" s="58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>
      <c r="A165" s="76"/>
      <c r="B165" s="76"/>
      <c r="C165" s="57"/>
      <c r="D165" s="76"/>
      <c r="E165" s="6"/>
      <c r="F165" s="58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>
      <c r="A166" s="76"/>
      <c r="B166" s="76"/>
      <c r="C166" s="57"/>
      <c r="D166" s="76"/>
      <c r="E166" s="6"/>
      <c r="F166" s="58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>
      <c r="A167" s="76"/>
      <c r="B167" s="76"/>
      <c r="C167" s="57"/>
      <c r="D167" s="76"/>
      <c r="E167" s="6"/>
      <c r="F167" s="58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>
      <c r="A168" s="76"/>
      <c r="B168" s="76"/>
      <c r="C168" s="57"/>
      <c r="D168" s="76"/>
      <c r="E168" s="6"/>
      <c r="F168" s="58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>
      <c r="A169" s="76"/>
      <c r="B169" s="76"/>
      <c r="C169" s="57"/>
      <c r="D169" s="76"/>
      <c r="E169" s="6"/>
      <c r="F169" s="58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>
      <c r="A170" s="76"/>
      <c r="B170" s="76"/>
      <c r="C170" s="57"/>
      <c r="D170" s="76"/>
      <c r="E170" s="6"/>
      <c r="F170" s="58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>
      <c r="A171" s="76"/>
      <c r="B171" s="76"/>
      <c r="C171" s="57"/>
      <c r="D171" s="76"/>
      <c r="E171" s="6"/>
      <c r="F171" s="58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>
      <c r="A172" s="76"/>
      <c r="B172" s="76"/>
      <c r="C172" s="57"/>
      <c r="D172" s="76"/>
      <c r="E172" s="6"/>
      <c r="F172" s="58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>
      <c r="A173" s="76"/>
      <c r="B173" s="76"/>
      <c r="C173" s="57"/>
      <c r="D173" s="76"/>
      <c r="E173" s="6"/>
      <c r="F173" s="58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>
      <c r="A174" s="76"/>
      <c r="B174" s="76"/>
      <c r="C174" s="57"/>
      <c r="D174" s="76"/>
      <c r="E174" s="6"/>
      <c r="F174" s="58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>
      <c r="A175" s="76"/>
      <c r="B175" s="76"/>
      <c r="C175" s="57"/>
      <c r="D175" s="76"/>
      <c r="E175" s="6"/>
      <c r="F175" s="58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>
      <c r="A176" s="76"/>
      <c r="B176" s="76"/>
      <c r="C176" s="57"/>
      <c r="D176" s="76"/>
      <c r="E176" s="6"/>
      <c r="F176" s="58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>
      <c r="A177" s="76"/>
      <c r="B177" s="76"/>
      <c r="C177" s="57"/>
      <c r="D177" s="76"/>
      <c r="E177" s="6"/>
      <c r="F177" s="58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>
      <c r="A178" s="76"/>
      <c r="B178" s="76"/>
      <c r="C178" s="57"/>
      <c r="D178" s="76"/>
      <c r="E178" s="6"/>
      <c r="F178" s="58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>
      <c r="A179" s="76"/>
      <c r="B179" s="76"/>
      <c r="C179" s="57"/>
      <c r="D179" s="76"/>
      <c r="E179" s="6"/>
      <c r="F179" s="58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>
      <c r="A180" s="76"/>
      <c r="B180" s="76"/>
      <c r="C180" s="57"/>
      <c r="D180" s="76"/>
      <c r="E180" s="6"/>
      <c r="F180" s="58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>
      <c r="A181" s="76"/>
      <c r="B181" s="76"/>
      <c r="C181" s="57"/>
      <c r="D181" s="76"/>
      <c r="E181" s="6"/>
      <c r="F181" s="58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>
      <c r="A182" s="76"/>
      <c r="B182" s="76"/>
      <c r="C182" s="57"/>
      <c r="D182" s="76"/>
      <c r="E182" s="6"/>
      <c r="F182" s="58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>
      <c r="A183" s="76"/>
      <c r="B183" s="76"/>
      <c r="C183" s="57"/>
      <c r="D183" s="76"/>
      <c r="E183" s="6"/>
      <c r="F183" s="58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>
      <c r="A184" s="76"/>
      <c r="B184" s="76"/>
      <c r="C184" s="57"/>
      <c r="D184" s="76"/>
      <c r="E184" s="6"/>
      <c r="F184" s="58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>
      <c r="A185" s="76"/>
      <c r="B185" s="76"/>
      <c r="C185" s="57"/>
      <c r="D185" s="76"/>
      <c r="E185" s="6"/>
      <c r="F185" s="58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>
      <c r="A186" s="76"/>
      <c r="B186" s="76"/>
      <c r="C186" s="57"/>
      <c r="D186" s="76"/>
      <c r="E186" s="6"/>
      <c r="F186" s="58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>
      <c r="A187" s="76"/>
      <c r="B187" s="76"/>
      <c r="C187" s="57"/>
      <c r="D187" s="76"/>
      <c r="E187" s="6"/>
      <c r="F187" s="58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>
      <c r="A188" s="76"/>
      <c r="B188" s="76"/>
      <c r="C188" s="57"/>
      <c r="D188" s="76"/>
      <c r="E188" s="6"/>
      <c r="F188" s="58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>
      <c r="A189" s="76"/>
      <c r="B189" s="76"/>
      <c r="C189" s="57"/>
      <c r="D189" s="76"/>
      <c r="E189" s="6"/>
      <c r="F189" s="58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>
      <c r="A190" s="76"/>
      <c r="B190" s="76"/>
      <c r="C190" s="57"/>
      <c r="D190" s="76"/>
      <c r="E190" s="6"/>
      <c r="F190" s="58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>
      <c r="A191" s="76"/>
      <c r="B191" s="76"/>
      <c r="C191" s="57"/>
      <c r="D191" s="76"/>
      <c r="E191" s="6"/>
      <c r="F191" s="58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>
      <c r="A192" s="76"/>
      <c r="B192" s="76"/>
      <c r="C192" s="57"/>
      <c r="D192" s="76"/>
      <c r="E192" s="6"/>
      <c r="F192" s="58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>
      <c r="A193" s="76"/>
      <c r="B193" s="76"/>
      <c r="C193" s="57"/>
      <c r="D193" s="76"/>
      <c r="E193" s="6"/>
      <c r="F193" s="58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>
      <c r="A194" s="76"/>
      <c r="B194" s="76"/>
      <c r="C194" s="57"/>
      <c r="D194" s="76"/>
      <c r="E194" s="6"/>
      <c r="F194" s="58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>
      <c r="A195" s="76"/>
      <c r="B195" s="76"/>
      <c r="C195" s="57"/>
      <c r="D195" s="76"/>
      <c r="E195" s="6"/>
      <c r="F195" s="58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>
      <c r="A196" s="76"/>
      <c r="B196" s="76"/>
      <c r="C196" s="57"/>
      <c r="D196" s="76"/>
      <c r="E196" s="6"/>
      <c r="F196" s="58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>
      <c r="A197" s="76"/>
      <c r="B197" s="76"/>
      <c r="C197" s="57"/>
      <c r="D197" s="76"/>
      <c r="E197" s="6"/>
      <c r="F197" s="58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>
      <c r="A198" s="76"/>
      <c r="B198" s="76"/>
      <c r="C198" s="57"/>
      <c r="D198" s="76"/>
      <c r="E198" s="6"/>
      <c r="F198" s="58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>
      <c r="A199" s="76"/>
      <c r="B199" s="76"/>
      <c r="C199" s="57"/>
      <c r="D199" s="76"/>
      <c r="E199" s="6"/>
      <c r="F199" s="58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>
      <c r="A200" s="76"/>
      <c r="B200" s="76"/>
      <c r="C200" s="57"/>
      <c r="D200" s="76"/>
      <c r="E200" s="6"/>
      <c r="F200" s="58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>
      <c r="A201" s="76"/>
      <c r="B201" s="76"/>
      <c r="C201" s="57"/>
      <c r="D201" s="76"/>
      <c r="E201" s="6"/>
      <c r="F201" s="58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>
      <c r="A202" s="76"/>
      <c r="B202" s="76"/>
      <c r="C202" s="57"/>
      <c r="D202" s="76"/>
      <c r="E202" s="6"/>
      <c r="F202" s="58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>
      <c r="A203" s="76"/>
      <c r="B203" s="76"/>
      <c r="C203" s="57"/>
      <c r="D203" s="76"/>
      <c r="E203" s="6"/>
      <c r="F203" s="58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>
      <c r="A204" s="76"/>
      <c r="B204" s="76"/>
      <c r="C204" s="57"/>
      <c r="D204" s="76"/>
      <c r="E204" s="6"/>
      <c r="F204" s="58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>
      <c r="A205" s="76"/>
      <c r="B205" s="76"/>
      <c r="C205" s="57"/>
      <c r="D205" s="76"/>
      <c r="E205" s="6"/>
      <c r="F205" s="58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>
      <c r="A206" s="76"/>
      <c r="B206" s="76"/>
      <c r="C206" s="57"/>
      <c r="D206" s="76"/>
      <c r="E206" s="6"/>
      <c r="F206" s="58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>
      <c r="A207" s="76"/>
      <c r="B207" s="76"/>
      <c r="C207" s="57"/>
      <c r="D207" s="76"/>
      <c r="E207" s="6"/>
      <c r="F207" s="58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>
      <c r="A208" s="76"/>
      <c r="B208" s="76"/>
      <c r="C208" s="57"/>
      <c r="D208" s="76"/>
      <c r="E208" s="6"/>
      <c r="F208" s="58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>
      <c r="A209" s="76"/>
      <c r="B209" s="76"/>
      <c r="C209" s="57"/>
      <c r="D209" s="76"/>
      <c r="E209" s="6"/>
      <c r="F209" s="58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>
      <c r="A210" s="76"/>
      <c r="B210" s="76"/>
      <c r="C210" s="57"/>
      <c r="D210" s="76"/>
      <c r="E210" s="6"/>
      <c r="F210" s="58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>
      <c r="A211" s="76"/>
      <c r="B211" s="76"/>
      <c r="C211" s="57"/>
      <c r="D211" s="76"/>
      <c r="E211" s="6"/>
      <c r="F211" s="58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>
      <c r="A212" s="76"/>
      <c r="B212" s="76"/>
      <c r="C212" s="57"/>
      <c r="D212" s="76"/>
      <c r="E212" s="6"/>
      <c r="F212" s="58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>
      <c r="A213" s="76"/>
      <c r="B213" s="76"/>
      <c r="C213" s="57"/>
      <c r="D213" s="76"/>
      <c r="E213" s="6"/>
      <c r="F213" s="58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>
      <c r="A214" s="76"/>
      <c r="B214" s="76"/>
      <c r="C214" s="57"/>
      <c r="D214" s="76"/>
      <c r="E214" s="6"/>
      <c r="F214" s="58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>
      <c r="A215" s="76"/>
      <c r="B215" s="76"/>
      <c r="C215" s="57"/>
      <c r="D215" s="76"/>
      <c r="E215" s="6"/>
      <c r="F215" s="58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>
      <c r="A216" s="76"/>
      <c r="B216" s="76"/>
      <c r="C216" s="57"/>
      <c r="D216" s="76"/>
      <c r="E216" s="6"/>
      <c r="F216" s="58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>
      <c r="A217" s="76"/>
      <c r="B217" s="76"/>
      <c r="C217" s="57"/>
      <c r="D217" s="76"/>
      <c r="E217" s="6"/>
      <c r="F217" s="58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>
      <c r="A218" s="76"/>
      <c r="B218" s="76"/>
      <c r="C218" s="57"/>
      <c r="D218" s="76"/>
      <c r="E218" s="6"/>
      <c r="F218" s="58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>
      <c r="A219" s="76"/>
      <c r="B219" s="76"/>
      <c r="C219" s="57"/>
      <c r="D219" s="76"/>
      <c r="E219" s="6"/>
      <c r="F219" s="58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>
      <c r="A220" s="76"/>
      <c r="B220" s="76"/>
      <c r="C220" s="57"/>
      <c r="D220" s="76"/>
      <c r="E220" s="6"/>
      <c r="F220" s="58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>
      <c r="A221" s="76"/>
      <c r="B221" s="76"/>
      <c r="C221" s="57"/>
      <c r="D221" s="76"/>
      <c r="E221" s="6"/>
      <c r="F221" s="58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>
      <c r="A222" s="76"/>
      <c r="B222" s="76"/>
      <c r="C222" s="57"/>
      <c r="D222" s="76"/>
      <c r="E222" s="6"/>
      <c r="F222" s="58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>
      <c r="A223" s="76"/>
      <c r="B223" s="76"/>
      <c r="C223" s="57"/>
      <c r="D223" s="76"/>
      <c r="E223" s="6"/>
      <c r="F223" s="58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>
      <c r="A224" s="76"/>
      <c r="B224" s="76"/>
      <c r="C224" s="57"/>
      <c r="D224" s="76"/>
      <c r="E224" s="6"/>
      <c r="F224" s="58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>
      <c r="A225" s="76"/>
      <c r="B225" s="76"/>
      <c r="C225" s="57"/>
      <c r="D225" s="76"/>
      <c r="E225" s="6"/>
      <c r="F225" s="58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>
      <c r="A226" s="76"/>
      <c r="B226" s="76"/>
      <c r="C226" s="57"/>
      <c r="D226" s="76"/>
      <c r="E226" s="6"/>
      <c r="F226" s="58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>
      <c r="A227" s="76"/>
      <c r="B227" s="76"/>
      <c r="C227" s="57"/>
      <c r="D227" s="76"/>
      <c r="E227" s="6"/>
      <c r="F227" s="58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>
      <c r="A228" s="76"/>
      <c r="B228" s="76"/>
      <c r="C228" s="57"/>
      <c r="D228" s="76"/>
      <c r="E228" s="6"/>
      <c r="F228" s="58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>
      <c r="A229" s="76"/>
      <c r="B229" s="76"/>
      <c r="C229" s="57"/>
      <c r="D229" s="76"/>
      <c r="E229" s="6"/>
      <c r="F229" s="58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>
      <c r="A230" s="76"/>
      <c r="B230" s="76"/>
      <c r="C230" s="57"/>
      <c r="D230" s="76"/>
      <c r="E230" s="6"/>
      <c r="F230" s="58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>
      <c r="A231" s="76"/>
      <c r="B231" s="76"/>
      <c r="C231" s="57"/>
      <c r="D231" s="76"/>
      <c r="E231" s="6"/>
      <c r="F231" s="58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>
      <c r="A232" s="76"/>
      <c r="B232" s="76"/>
      <c r="C232" s="57"/>
      <c r="D232" s="76"/>
      <c r="E232" s="6"/>
      <c r="F232" s="58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>
      <c r="A233" s="76"/>
      <c r="B233" s="76"/>
      <c r="C233" s="57"/>
      <c r="D233" s="76"/>
      <c r="E233" s="6"/>
      <c r="F233" s="58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>
      <c r="A234" s="76"/>
      <c r="B234" s="76"/>
      <c r="C234" s="57"/>
      <c r="D234" s="76"/>
      <c r="E234" s="6"/>
      <c r="F234" s="58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>
      <c r="A235" s="76"/>
      <c r="B235" s="76"/>
      <c r="C235" s="57"/>
      <c r="D235" s="76"/>
      <c r="E235" s="6"/>
      <c r="F235" s="58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>
      <c r="A236" s="76"/>
      <c r="B236" s="76"/>
      <c r="C236" s="57"/>
      <c r="D236" s="76"/>
      <c r="E236" s="6"/>
      <c r="F236" s="58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>
      <c r="A237" s="76"/>
      <c r="B237" s="76"/>
      <c r="C237" s="57"/>
      <c r="D237" s="76"/>
      <c r="E237" s="6"/>
      <c r="F237" s="58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>
      <c r="A238" s="76"/>
      <c r="B238" s="76"/>
      <c r="C238" s="57"/>
      <c r="D238" s="76"/>
      <c r="E238" s="6"/>
      <c r="F238" s="58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>
      <c r="A239" s="76"/>
      <c r="B239" s="76"/>
      <c r="C239" s="57"/>
      <c r="D239" s="76"/>
      <c r="E239" s="6"/>
      <c r="F239" s="58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>
      <c r="A240" s="76"/>
      <c r="B240" s="76"/>
      <c r="C240" s="57"/>
      <c r="D240" s="76"/>
      <c r="E240" s="6"/>
      <c r="F240" s="58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>
      <c r="A241" s="76"/>
      <c r="B241" s="76"/>
      <c r="C241" s="57"/>
      <c r="D241" s="76"/>
      <c r="E241" s="6"/>
      <c r="F241" s="58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>
      <c r="A242" s="76"/>
      <c r="B242" s="76"/>
      <c r="C242" s="57"/>
      <c r="D242" s="76"/>
      <c r="E242" s="6"/>
      <c r="F242" s="58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>
      <c r="A243" s="76"/>
      <c r="B243" s="76"/>
      <c r="C243" s="57"/>
      <c r="D243" s="76"/>
      <c r="E243" s="6"/>
      <c r="F243" s="58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>
      <c r="A244" s="76"/>
      <c r="B244" s="76"/>
      <c r="C244" s="57"/>
      <c r="D244" s="76"/>
      <c r="E244" s="6"/>
      <c r="F244" s="58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>
      <c r="A245" s="76"/>
      <c r="B245" s="76"/>
      <c r="C245" s="57"/>
      <c r="D245" s="76"/>
      <c r="E245" s="6"/>
      <c r="F245" s="58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>
      <c r="A246" s="76"/>
      <c r="B246" s="76"/>
      <c r="C246" s="57"/>
      <c r="D246" s="76"/>
      <c r="E246" s="6"/>
      <c r="F246" s="58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>
      <c r="A247" s="76"/>
      <c r="B247" s="76"/>
      <c r="C247" s="57"/>
      <c r="D247" s="76"/>
      <c r="E247" s="6"/>
      <c r="F247" s="58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>
      <c r="A248" s="76"/>
      <c r="B248" s="76"/>
      <c r="C248" s="57"/>
      <c r="D248" s="76"/>
      <c r="E248" s="6"/>
      <c r="F248" s="58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>
      <c r="A249" s="76"/>
      <c r="B249" s="76"/>
      <c r="C249" s="57"/>
      <c r="D249" s="76"/>
      <c r="E249" s="6"/>
      <c r="F249" s="58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>
      <c r="A250" s="76"/>
      <c r="B250" s="76"/>
      <c r="C250" s="57"/>
      <c r="D250" s="76"/>
      <c r="E250" s="6"/>
      <c r="F250" s="58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>
      <c r="A251" s="76"/>
      <c r="B251" s="76"/>
      <c r="C251" s="57"/>
      <c r="D251" s="76"/>
      <c r="E251" s="6"/>
      <c r="F251" s="58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>
      <c r="A252" s="76"/>
      <c r="B252" s="76"/>
      <c r="C252" s="57"/>
      <c r="D252" s="76"/>
      <c r="E252" s="6"/>
      <c r="F252" s="58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>
      <c r="A253" s="76"/>
      <c r="B253" s="76"/>
      <c r="C253" s="57"/>
      <c r="D253" s="76"/>
      <c r="E253" s="6"/>
      <c r="F253" s="58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>
      <c r="A254" s="76"/>
      <c r="B254" s="76"/>
      <c r="C254" s="57"/>
      <c r="D254" s="76"/>
      <c r="E254" s="6"/>
      <c r="F254" s="58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>
      <c r="A255" s="76"/>
      <c r="B255" s="76"/>
      <c r="C255" s="57"/>
      <c r="D255" s="76"/>
      <c r="E255" s="6"/>
      <c r="F255" s="58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>
      <c r="A256" s="76"/>
      <c r="B256" s="76"/>
      <c r="C256" s="57"/>
      <c r="D256" s="76"/>
      <c r="E256" s="6"/>
      <c r="F256" s="58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>
      <c r="A257" s="76"/>
      <c r="B257" s="76"/>
      <c r="C257" s="57"/>
      <c r="D257" s="76"/>
      <c r="E257" s="6"/>
      <c r="F257" s="58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>
      <c r="A258" s="76"/>
      <c r="B258" s="76"/>
      <c r="C258" s="57"/>
      <c r="D258" s="76"/>
      <c r="E258" s="6"/>
      <c r="F258" s="58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>
      <c r="A259" s="76"/>
      <c r="B259" s="76"/>
      <c r="C259" s="57"/>
      <c r="D259" s="76"/>
      <c r="E259" s="6"/>
      <c r="F259" s="58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>
      <c r="A260" s="76"/>
      <c r="B260" s="76"/>
      <c r="C260" s="57"/>
      <c r="D260" s="76"/>
      <c r="E260" s="6"/>
      <c r="F260" s="58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>
      <c r="A261" s="76"/>
      <c r="B261" s="76"/>
      <c r="C261" s="57"/>
      <c r="D261" s="76"/>
      <c r="E261" s="6"/>
      <c r="F261" s="58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>
      <c r="A262" s="76"/>
      <c r="B262" s="76"/>
      <c r="C262" s="57"/>
      <c r="D262" s="76"/>
      <c r="E262" s="6"/>
      <c r="F262" s="58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>
      <c r="A263" s="76"/>
      <c r="B263" s="76"/>
      <c r="C263" s="57"/>
      <c r="D263" s="76"/>
      <c r="E263" s="6"/>
      <c r="F263" s="58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>
      <c r="A264" s="76"/>
      <c r="B264" s="76"/>
      <c r="C264" s="57"/>
      <c r="D264" s="76"/>
      <c r="E264" s="6"/>
      <c r="F264" s="58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>
      <c r="A265" s="76"/>
      <c r="B265" s="76"/>
      <c r="C265" s="57"/>
      <c r="D265" s="76"/>
      <c r="E265" s="6"/>
      <c r="F265" s="58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>
      <c r="A266" s="76"/>
      <c r="B266" s="76"/>
      <c r="C266" s="57"/>
      <c r="D266" s="76"/>
      <c r="E266" s="6"/>
      <c r="F266" s="58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>
      <c r="A267" s="76"/>
      <c r="B267" s="76"/>
      <c r="C267" s="57"/>
      <c r="D267" s="76"/>
      <c r="E267" s="6"/>
      <c r="F267" s="58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>
      <c r="A268" s="76"/>
      <c r="B268" s="76"/>
      <c r="C268" s="57"/>
      <c r="D268" s="76"/>
      <c r="E268" s="6"/>
      <c r="F268" s="58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>
      <c r="A269" s="76"/>
      <c r="B269" s="76"/>
      <c r="C269" s="57"/>
      <c r="D269" s="76"/>
      <c r="E269" s="6"/>
      <c r="F269" s="58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>
      <c r="A270" s="76"/>
      <c r="B270" s="76"/>
      <c r="C270" s="57"/>
      <c r="D270" s="76"/>
      <c r="E270" s="6"/>
      <c r="F270" s="58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>
      <c r="A271" s="76"/>
      <c r="B271" s="76"/>
      <c r="C271" s="57"/>
      <c r="D271" s="76"/>
      <c r="E271" s="6"/>
      <c r="F271" s="58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>
      <c r="A272" s="76"/>
      <c r="B272" s="76"/>
      <c r="C272" s="57"/>
      <c r="D272" s="76"/>
      <c r="E272" s="6"/>
      <c r="F272" s="58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>
      <c r="A273" s="76"/>
      <c r="B273" s="76"/>
      <c r="C273" s="57"/>
      <c r="D273" s="76"/>
      <c r="E273" s="6"/>
      <c r="F273" s="58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>
      <c r="A274" s="76"/>
      <c r="B274" s="76"/>
      <c r="C274" s="57"/>
      <c r="D274" s="76"/>
      <c r="E274" s="6"/>
      <c r="F274" s="58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>
      <c r="A275" s="76"/>
      <c r="B275" s="76"/>
      <c r="C275" s="57"/>
      <c r="D275" s="76"/>
      <c r="E275" s="6"/>
      <c r="F275" s="58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>
      <c r="A276" s="76"/>
      <c r="B276" s="76"/>
      <c r="C276" s="57"/>
      <c r="D276" s="76"/>
      <c r="E276" s="6"/>
      <c r="F276" s="58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>
      <c r="A277" s="76"/>
      <c r="B277" s="76"/>
      <c r="C277" s="57"/>
      <c r="D277" s="76"/>
      <c r="E277" s="6"/>
      <c r="F277" s="58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>
      <c r="A278" s="76"/>
      <c r="B278" s="76"/>
      <c r="C278" s="57"/>
      <c r="D278" s="76"/>
      <c r="E278" s="6"/>
      <c r="F278" s="58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>
      <c r="A279" s="76"/>
      <c r="B279" s="76"/>
      <c r="C279" s="57"/>
      <c r="D279" s="76"/>
      <c r="E279" s="6"/>
      <c r="F279" s="58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>
      <c r="A280" s="76"/>
      <c r="B280" s="76"/>
      <c r="C280" s="57"/>
      <c r="D280" s="76"/>
      <c r="E280" s="6"/>
      <c r="F280" s="58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>
      <c r="A281" s="76"/>
      <c r="B281" s="76"/>
      <c r="C281" s="57"/>
      <c r="D281" s="76"/>
      <c r="E281" s="6"/>
      <c r="F281" s="58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>
      <c r="A282" s="76"/>
      <c r="B282" s="76"/>
      <c r="C282" s="57"/>
      <c r="D282" s="76"/>
      <c r="E282" s="6"/>
      <c r="F282" s="58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>
      <c r="A283" s="76"/>
      <c r="B283" s="76"/>
      <c r="C283" s="57"/>
      <c r="D283" s="76"/>
      <c r="E283" s="6"/>
      <c r="F283" s="58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>
      <c r="A284" s="76"/>
      <c r="B284" s="76"/>
      <c r="C284" s="57"/>
      <c r="D284" s="76"/>
      <c r="E284" s="6"/>
      <c r="F284" s="58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>
      <c r="A285" s="76"/>
      <c r="B285" s="76"/>
      <c r="C285" s="57"/>
      <c r="D285" s="76"/>
      <c r="E285" s="6"/>
      <c r="F285" s="58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>
      <c r="A286" s="76"/>
      <c r="B286" s="76"/>
      <c r="C286" s="57"/>
      <c r="D286" s="76"/>
      <c r="E286" s="6"/>
      <c r="F286" s="58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>
      <c r="A287" s="76"/>
      <c r="B287" s="76"/>
      <c r="C287" s="57"/>
      <c r="D287" s="76"/>
      <c r="E287" s="6"/>
      <c r="F287" s="58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>
      <c r="A288" s="76"/>
      <c r="B288" s="76"/>
      <c r="C288" s="57"/>
      <c r="D288" s="76"/>
      <c r="E288" s="6"/>
      <c r="F288" s="58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>
      <c r="A289" s="76"/>
      <c r="B289" s="76"/>
      <c r="C289" s="57"/>
      <c r="D289" s="76"/>
      <c r="E289" s="6"/>
      <c r="F289" s="58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>
      <c r="A290" s="76"/>
      <c r="B290" s="76"/>
      <c r="C290" s="57"/>
      <c r="D290" s="76"/>
      <c r="E290" s="6"/>
      <c r="F290" s="58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>
      <c r="A291" s="76"/>
      <c r="B291" s="76"/>
      <c r="C291" s="57"/>
      <c r="D291" s="76"/>
      <c r="E291" s="6"/>
      <c r="F291" s="58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>
      <c r="A292" s="76"/>
      <c r="B292" s="76"/>
      <c r="C292" s="57"/>
      <c r="D292" s="76"/>
      <c r="E292" s="6"/>
      <c r="F292" s="58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>
      <c r="A293" s="76"/>
      <c r="B293" s="76"/>
      <c r="C293" s="57"/>
      <c r="D293" s="76"/>
      <c r="E293" s="6"/>
      <c r="F293" s="58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>
      <c r="A294" s="76"/>
      <c r="B294" s="76"/>
      <c r="C294" s="57"/>
      <c r="D294" s="76"/>
      <c r="E294" s="6"/>
      <c r="F294" s="58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>
      <c r="A295" s="76"/>
      <c r="B295" s="76"/>
      <c r="C295" s="57"/>
      <c r="D295" s="76"/>
      <c r="E295" s="6"/>
      <c r="F295" s="58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>
      <c r="A296" s="76"/>
      <c r="B296" s="76"/>
      <c r="C296" s="57"/>
      <c r="D296" s="76"/>
      <c r="E296" s="6"/>
      <c r="F296" s="58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>
      <c r="A297" s="76"/>
      <c r="B297" s="76"/>
      <c r="C297" s="57"/>
      <c r="D297" s="76"/>
      <c r="E297" s="6"/>
      <c r="F297" s="58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>
      <c r="A298" s="76"/>
      <c r="B298" s="76"/>
      <c r="C298" s="57"/>
      <c r="D298" s="76"/>
      <c r="E298" s="6"/>
      <c r="F298" s="58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>
      <c r="A299" s="76"/>
      <c r="B299" s="76"/>
      <c r="C299" s="57"/>
      <c r="D299" s="76"/>
      <c r="E299" s="6"/>
      <c r="F299" s="58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>
      <c r="A300" s="76"/>
      <c r="B300" s="76"/>
      <c r="C300" s="57"/>
      <c r="D300" s="76"/>
      <c r="E300" s="6"/>
      <c r="F300" s="58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>
      <c r="A301" s="76"/>
      <c r="B301" s="76"/>
      <c r="C301" s="57"/>
      <c r="D301" s="76"/>
      <c r="E301" s="6"/>
      <c r="F301" s="58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>
      <c r="A302" s="76"/>
      <c r="B302" s="76"/>
      <c r="C302" s="57"/>
      <c r="D302" s="76"/>
      <c r="E302" s="6"/>
      <c r="F302" s="58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>
      <c r="A303" s="76"/>
      <c r="B303" s="76"/>
      <c r="C303" s="57"/>
      <c r="D303" s="76"/>
      <c r="E303" s="6"/>
      <c r="F303" s="58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>
      <c r="A304" s="76"/>
      <c r="B304" s="76"/>
      <c r="C304" s="57"/>
      <c r="D304" s="76"/>
      <c r="E304" s="6"/>
      <c r="F304" s="58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>
      <c r="A305" s="76"/>
      <c r="B305" s="76"/>
      <c r="C305" s="57"/>
      <c r="D305" s="76"/>
      <c r="E305" s="6"/>
      <c r="F305" s="58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>
      <c r="A306" s="76"/>
      <c r="B306" s="76"/>
      <c r="C306" s="57"/>
      <c r="D306" s="76"/>
      <c r="E306" s="6"/>
      <c r="F306" s="58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>
      <c r="A307" s="76"/>
      <c r="B307" s="76"/>
      <c r="C307" s="57"/>
      <c r="D307" s="76"/>
      <c r="E307" s="6"/>
      <c r="F307" s="58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>
      <c r="A308" s="76"/>
      <c r="B308" s="76"/>
      <c r="C308" s="57"/>
      <c r="D308" s="76"/>
      <c r="E308" s="6"/>
      <c r="F308" s="58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>
      <c r="A309" s="76"/>
      <c r="B309" s="76"/>
      <c r="C309" s="57"/>
      <c r="D309" s="76"/>
      <c r="E309" s="6"/>
      <c r="F309" s="58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>
      <c r="A310" s="76"/>
      <c r="B310" s="76"/>
      <c r="C310" s="57"/>
      <c r="D310" s="76"/>
      <c r="E310" s="6"/>
      <c r="F310" s="58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>
      <c r="A311" s="76"/>
      <c r="B311" s="76"/>
      <c r="C311" s="57"/>
      <c r="D311" s="76"/>
      <c r="E311" s="6"/>
      <c r="F311" s="58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>
      <c r="A312" s="76"/>
      <c r="B312" s="76"/>
      <c r="C312" s="57"/>
      <c r="D312" s="76"/>
      <c r="E312" s="6"/>
      <c r="F312" s="58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>
      <c r="A313" s="76"/>
      <c r="B313" s="76"/>
      <c r="C313" s="57"/>
      <c r="D313" s="76"/>
      <c r="E313" s="6"/>
      <c r="F313" s="58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>
      <c r="A314" s="76"/>
      <c r="B314" s="76"/>
      <c r="C314" s="57"/>
      <c r="D314" s="76"/>
      <c r="E314" s="6"/>
      <c r="F314" s="58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>
      <c r="A315" s="76"/>
      <c r="B315" s="76"/>
      <c r="C315" s="57"/>
      <c r="D315" s="76"/>
      <c r="E315" s="6"/>
      <c r="F315" s="58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>
      <c r="A316" s="76"/>
      <c r="B316" s="76"/>
      <c r="C316" s="57"/>
      <c r="D316" s="76"/>
      <c r="E316" s="6"/>
      <c r="F316" s="58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>
      <c r="A317" s="76"/>
      <c r="B317" s="76"/>
      <c r="C317" s="57"/>
      <c r="D317" s="76"/>
      <c r="E317" s="6"/>
      <c r="F317" s="58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>
      <c r="A318" s="76"/>
      <c r="B318" s="76"/>
      <c r="C318" s="57"/>
      <c r="D318" s="76"/>
      <c r="E318" s="6"/>
      <c r="F318" s="58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>
      <c r="A319" s="76"/>
      <c r="B319" s="76"/>
      <c r="C319" s="57"/>
      <c r="D319" s="76"/>
      <c r="E319" s="6"/>
      <c r="F319" s="58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>
      <c r="A320" s="76"/>
      <c r="B320" s="76"/>
      <c r="C320" s="57"/>
      <c r="D320" s="76"/>
      <c r="E320" s="6"/>
      <c r="F320" s="58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>
      <c r="A321" s="76"/>
      <c r="B321" s="76"/>
      <c r="C321" s="57"/>
      <c r="D321" s="76"/>
      <c r="E321" s="6"/>
      <c r="F321" s="58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>
      <c r="A322" s="76"/>
      <c r="B322" s="76"/>
      <c r="C322" s="57"/>
      <c r="D322" s="76"/>
      <c r="E322" s="6"/>
      <c r="F322" s="58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>
      <c r="A323" s="76"/>
      <c r="B323" s="76"/>
      <c r="C323" s="57"/>
      <c r="D323" s="76"/>
      <c r="E323" s="6"/>
      <c r="F323" s="58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>
      <c r="A324" s="76"/>
      <c r="B324" s="76"/>
      <c r="C324" s="57"/>
      <c r="D324" s="76"/>
      <c r="E324" s="6"/>
      <c r="F324" s="58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>
      <c r="A325" s="76"/>
      <c r="B325" s="76"/>
      <c r="C325" s="57"/>
      <c r="D325" s="76"/>
      <c r="E325" s="6"/>
      <c r="F325" s="58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>
      <c r="A326" s="76"/>
      <c r="B326" s="76"/>
      <c r="C326" s="57"/>
      <c r="D326" s="76"/>
      <c r="E326" s="6"/>
      <c r="F326" s="58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>
      <c r="A327" s="76"/>
      <c r="B327" s="76"/>
      <c r="C327" s="57"/>
      <c r="D327" s="76"/>
      <c r="E327" s="6"/>
      <c r="F327" s="58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>
      <c r="A328" s="76"/>
      <c r="B328" s="76"/>
      <c r="C328" s="57"/>
      <c r="D328" s="76"/>
      <c r="E328" s="6"/>
      <c r="F328" s="58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>
      <c r="A329" s="76"/>
      <c r="B329" s="76"/>
      <c r="C329" s="57"/>
      <c r="D329" s="76"/>
      <c r="E329" s="6"/>
      <c r="F329" s="58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>
      <c r="A330" s="76"/>
      <c r="B330" s="76"/>
      <c r="C330" s="57"/>
      <c r="D330" s="76"/>
      <c r="E330" s="6"/>
      <c r="F330" s="58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>
      <c r="A331" s="76"/>
      <c r="B331" s="76"/>
      <c r="C331" s="57"/>
      <c r="D331" s="76"/>
      <c r="E331" s="6"/>
      <c r="F331" s="58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>
      <c r="A332" s="76"/>
      <c r="B332" s="76"/>
      <c r="C332" s="57"/>
      <c r="D332" s="76"/>
      <c r="E332" s="6"/>
      <c r="F332" s="58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>
      <c r="A333" s="76"/>
      <c r="B333" s="76"/>
      <c r="C333" s="57"/>
      <c r="D333" s="76"/>
      <c r="E333" s="6"/>
      <c r="F333" s="58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>
      <c r="A334" s="76"/>
      <c r="B334" s="76"/>
      <c r="C334" s="57"/>
      <c r="D334" s="76"/>
      <c r="E334" s="6"/>
      <c r="F334" s="58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>
      <c r="A335" s="76"/>
      <c r="B335" s="76"/>
      <c r="C335" s="57"/>
      <c r="D335" s="76"/>
      <c r="E335" s="6"/>
      <c r="F335" s="58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>
      <c r="A336" s="76"/>
      <c r="B336" s="76"/>
      <c r="C336" s="57"/>
      <c r="D336" s="76"/>
      <c r="E336" s="6"/>
      <c r="F336" s="58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>
      <c r="A337" s="76"/>
      <c r="B337" s="76"/>
      <c r="C337" s="57"/>
      <c r="D337" s="76"/>
      <c r="E337" s="6"/>
      <c r="F337" s="58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>
      <c r="A338" s="76"/>
      <c r="B338" s="76"/>
      <c r="C338" s="57"/>
      <c r="D338" s="76"/>
      <c r="E338" s="6"/>
      <c r="F338" s="58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>
      <c r="A339" s="76"/>
      <c r="B339" s="76"/>
      <c r="C339" s="57"/>
      <c r="D339" s="76"/>
      <c r="E339" s="6"/>
      <c r="F339" s="58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>
      <c r="A340" s="76"/>
      <c r="B340" s="76"/>
      <c r="C340" s="57"/>
      <c r="D340" s="76"/>
      <c r="E340" s="6"/>
      <c r="F340" s="58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>
      <c r="A341" s="76"/>
      <c r="B341" s="76"/>
      <c r="C341" s="57"/>
      <c r="D341" s="76"/>
      <c r="E341" s="6"/>
      <c r="F341" s="58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>
      <c r="A342" s="76"/>
      <c r="B342" s="76"/>
      <c r="C342" s="57"/>
      <c r="D342" s="76"/>
      <c r="E342" s="6"/>
      <c r="F342" s="58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>
      <c r="A343" s="76"/>
      <c r="B343" s="76"/>
      <c r="C343" s="57"/>
      <c r="D343" s="76"/>
      <c r="E343" s="6"/>
      <c r="F343" s="58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>
      <c r="A344" s="76"/>
      <c r="B344" s="76"/>
      <c r="C344" s="57"/>
      <c r="D344" s="76"/>
      <c r="E344" s="6"/>
      <c r="F344" s="58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>
      <c r="A345" s="76"/>
      <c r="B345" s="76"/>
      <c r="C345" s="57"/>
      <c r="D345" s="76"/>
      <c r="E345" s="6"/>
      <c r="F345" s="58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>
      <c r="A346" s="76"/>
      <c r="B346" s="76"/>
      <c r="C346" s="57"/>
      <c r="D346" s="76"/>
      <c r="E346" s="6"/>
      <c r="F346" s="58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>
      <c r="A347" s="76"/>
      <c r="B347" s="76"/>
      <c r="C347" s="57"/>
      <c r="D347" s="76"/>
      <c r="E347" s="6"/>
      <c r="F347" s="58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>
      <c r="A348" s="76"/>
      <c r="B348" s="76"/>
      <c r="C348" s="57"/>
      <c r="D348" s="76"/>
      <c r="E348" s="6"/>
      <c r="F348" s="58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>
      <c r="A349" s="76"/>
      <c r="B349" s="76"/>
      <c r="C349" s="57"/>
      <c r="D349" s="76"/>
      <c r="E349" s="6"/>
      <c r="F349" s="58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>
      <c r="A350" s="76"/>
      <c r="B350" s="76"/>
      <c r="C350" s="57"/>
      <c r="D350" s="76"/>
      <c r="E350" s="6"/>
      <c r="F350" s="58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>
      <c r="A351" s="76"/>
      <c r="B351" s="76"/>
      <c r="C351" s="57"/>
      <c r="D351" s="76"/>
      <c r="E351" s="6"/>
      <c r="F351" s="58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>
      <c r="A352" s="76"/>
      <c r="B352" s="76"/>
      <c r="C352" s="57"/>
      <c r="D352" s="76"/>
      <c r="E352" s="6"/>
      <c r="F352" s="58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>
      <c r="A353" s="76"/>
      <c r="B353" s="76"/>
      <c r="C353" s="57"/>
      <c r="D353" s="76"/>
      <c r="E353" s="6"/>
      <c r="F353" s="58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>
      <c r="A354" s="76"/>
      <c r="B354" s="76"/>
      <c r="C354" s="57"/>
      <c r="D354" s="76"/>
      <c r="E354" s="6"/>
      <c r="F354" s="58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>
      <c r="A355" s="76"/>
      <c r="B355" s="76"/>
      <c r="C355" s="57"/>
      <c r="D355" s="76"/>
      <c r="E355" s="6"/>
      <c r="F355" s="58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>
      <c r="A356" s="76"/>
      <c r="B356" s="76"/>
      <c r="C356" s="57"/>
      <c r="D356" s="76"/>
      <c r="E356" s="6"/>
      <c r="F356" s="58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>
      <c r="A357" s="76"/>
      <c r="B357" s="76"/>
      <c r="C357" s="57"/>
      <c r="D357" s="76"/>
      <c r="E357" s="6"/>
      <c r="F357" s="58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>
      <c r="A358" s="76"/>
      <c r="B358" s="76"/>
      <c r="C358" s="57"/>
      <c r="D358" s="76"/>
      <c r="E358" s="6"/>
      <c r="F358" s="58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>
      <c r="A359" s="76"/>
      <c r="B359" s="76"/>
      <c r="C359" s="57"/>
      <c r="D359" s="76"/>
      <c r="E359" s="6"/>
      <c r="F359" s="58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>
      <c r="A360" s="76"/>
      <c r="B360" s="76"/>
      <c r="C360" s="57"/>
      <c r="D360" s="76"/>
      <c r="E360" s="6"/>
      <c r="F360" s="58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>
      <c r="A361" s="76"/>
      <c r="B361" s="76"/>
      <c r="C361" s="57"/>
      <c r="D361" s="76"/>
      <c r="E361" s="6"/>
      <c r="F361" s="58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>
      <c r="A362" s="76"/>
      <c r="B362" s="76"/>
      <c r="C362" s="57"/>
      <c r="D362" s="76"/>
      <c r="E362" s="6"/>
      <c r="F362" s="58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>
      <c r="A363" s="76"/>
      <c r="B363" s="76"/>
      <c r="C363" s="57"/>
      <c r="D363" s="76"/>
      <c r="E363" s="6"/>
      <c r="F363" s="58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>
      <c r="A364" s="76"/>
      <c r="B364" s="76"/>
      <c r="C364" s="57"/>
      <c r="D364" s="76"/>
      <c r="E364" s="6"/>
      <c r="F364" s="58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>
      <c r="A365" s="76"/>
      <c r="B365" s="76"/>
      <c r="C365" s="57"/>
      <c r="D365" s="76"/>
      <c r="E365" s="6"/>
      <c r="F365" s="58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>
      <c r="A366" s="76"/>
      <c r="B366" s="76"/>
      <c r="C366" s="57"/>
      <c r="D366" s="76"/>
      <c r="E366" s="6"/>
      <c r="F366" s="58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>
      <c r="A367" s="76"/>
      <c r="B367" s="76"/>
      <c r="C367" s="57"/>
      <c r="D367" s="76"/>
      <c r="E367" s="6"/>
      <c r="F367" s="58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>
      <c r="A368" s="76"/>
      <c r="B368" s="76"/>
      <c r="C368" s="57"/>
      <c r="D368" s="76"/>
      <c r="E368" s="6"/>
      <c r="F368" s="58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>
      <c r="A369" s="76"/>
      <c r="B369" s="76"/>
      <c r="C369" s="57"/>
      <c r="D369" s="76"/>
      <c r="E369" s="6"/>
      <c r="F369" s="58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>
      <c r="A370" s="76"/>
      <c r="B370" s="76"/>
      <c r="C370" s="57"/>
      <c r="D370" s="76"/>
      <c r="E370" s="6"/>
      <c r="F370" s="58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>
      <c r="A371" s="76"/>
      <c r="B371" s="76"/>
      <c r="C371" s="57"/>
      <c r="D371" s="76"/>
      <c r="E371" s="6"/>
      <c r="F371" s="58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>
      <c r="A372" s="76"/>
      <c r="B372" s="76"/>
      <c r="C372" s="57"/>
      <c r="D372" s="76"/>
      <c r="E372" s="6"/>
      <c r="F372" s="58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>
      <c r="A373" s="76"/>
      <c r="B373" s="76"/>
      <c r="C373" s="57"/>
      <c r="D373" s="76"/>
      <c r="E373" s="6"/>
      <c r="F373" s="58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>
      <c r="A374" s="76"/>
      <c r="B374" s="76"/>
      <c r="C374" s="57"/>
      <c r="D374" s="76"/>
      <c r="E374" s="6"/>
      <c r="F374" s="58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>
      <c r="A375" s="76"/>
      <c r="B375" s="76"/>
      <c r="C375" s="57"/>
      <c r="D375" s="76"/>
      <c r="E375" s="6"/>
      <c r="F375" s="58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>
      <c r="A376" s="76"/>
      <c r="B376" s="76"/>
      <c r="C376" s="57"/>
      <c r="D376" s="76"/>
      <c r="E376" s="6"/>
      <c r="F376" s="58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>
      <c r="A377" s="76"/>
      <c r="B377" s="76"/>
      <c r="C377" s="57"/>
      <c r="D377" s="76"/>
      <c r="E377" s="6"/>
      <c r="F377" s="58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>
      <c r="A378" s="76"/>
      <c r="B378" s="76"/>
      <c r="C378" s="57"/>
      <c r="D378" s="76"/>
      <c r="E378" s="6"/>
      <c r="F378" s="58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>
      <c r="A379" s="76"/>
      <c r="B379" s="76"/>
      <c r="C379" s="57"/>
      <c r="D379" s="76"/>
      <c r="E379" s="6"/>
      <c r="F379" s="58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>
      <c r="A380" s="76"/>
      <c r="B380" s="76"/>
      <c r="C380" s="57"/>
      <c r="D380" s="76"/>
      <c r="E380" s="6"/>
      <c r="F380" s="58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>
      <c r="A381" s="76"/>
      <c r="B381" s="76"/>
      <c r="C381" s="57"/>
      <c r="D381" s="76"/>
      <c r="E381" s="6"/>
      <c r="F381" s="58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>
      <c r="A382" s="76"/>
      <c r="B382" s="76"/>
      <c r="C382" s="57"/>
      <c r="D382" s="76"/>
      <c r="E382" s="6"/>
      <c r="F382" s="58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>
      <c r="A383" s="76"/>
      <c r="B383" s="76"/>
      <c r="C383" s="57"/>
      <c r="D383" s="76"/>
      <c r="E383" s="6"/>
      <c r="F383" s="58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>
      <c r="A384" s="76"/>
      <c r="B384" s="76"/>
      <c r="C384" s="57"/>
      <c r="D384" s="76"/>
      <c r="E384" s="6"/>
      <c r="F384" s="58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>
      <c r="A385" s="76"/>
      <c r="B385" s="76"/>
      <c r="C385" s="57"/>
      <c r="D385" s="76"/>
      <c r="E385" s="6"/>
      <c r="F385" s="58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>
      <c r="A386" s="76"/>
      <c r="B386" s="76"/>
      <c r="C386" s="57"/>
      <c r="D386" s="76"/>
      <c r="E386" s="6"/>
      <c r="F386" s="58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>
      <c r="A387" s="76"/>
      <c r="B387" s="76"/>
      <c r="C387" s="57"/>
      <c r="D387" s="76"/>
      <c r="E387" s="6"/>
      <c r="F387" s="58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>
      <c r="A388" s="76"/>
      <c r="B388" s="76"/>
      <c r="C388" s="57"/>
      <c r="D388" s="76"/>
      <c r="E388" s="6"/>
      <c r="F388" s="58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>
      <c r="A389" s="76"/>
      <c r="B389" s="76"/>
      <c r="C389" s="57"/>
      <c r="D389" s="76"/>
      <c r="E389" s="6"/>
      <c r="F389" s="58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>
      <c r="A390" s="76"/>
      <c r="B390" s="76"/>
      <c r="C390" s="57"/>
      <c r="D390" s="76"/>
      <c r="E390" s="6"/>
      <c r="F390" s="58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>
      <c r="A391" s="76"/>
      <c r="B391" s="76"/>
      <c r="C391" s="57"/>
      <c r="D391" s="76"/>
      <c r="E391" s="6"/>
      <c r="F391" s="58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>
      <c r="A392" s="76"/>
      <c r="B392" s="76"/>
      <c r="C392" s="57"/>
      <c r="D392" s="76"/>
      <c r="E392" s="6"/>
      <c r="F392" s="58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>
      <c r="A393" s="76"/>
      <c r="B393" s="76"/>
      <c r="C393" s="57"/>
      <c r="D393" s="76"/>
      <c r="E393" s="6"/>
      <c r="F393" s="58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>
      <c r="A394" s="76"/>
      <c r="B394" s="76"/>
      <c r="C394" s="57"/>
      <c r="D394" s="76"/>
      <c r="E394" s="6"/>
      <c r="F394" s="58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>
      <c r="A395" s="76"/>
      <c r="B395" s="76"/>
      <c r="C395" s="57"/>
      <c r="D395" s="76"/>
      <c r="E395" s="6"/>
      <c r="F395" s="58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>
      <c r="A396" s="76"/>
      <c r="B396" s="76"/>
      <c r="C396" s="57"/>
      <c r="D396" s="76"/>
      <c r="E396" s="6"/>
      <c r="F396" s="58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>
      <c r="A397" s="76"/>
      <c r="B397" s="76"/>
      <c r="C397" s="57"/>
      <c r="D397" s="76"/>
      <c r="E397" s="6"/>
      <c r="F397" s="58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>
      <c r="A398" s="76"/>
      <c r="B398" s="76"/>
      <c r="C398" s="57"/>
      <c r="D398" s="76"/>
      <c r="E398" s="6"/>
      <c r="F398" s="58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>
      <c r="A399" s="76"/>
      <c r="B399" s="76"/>
      <c r="C399" s="57"/>
      <c r="D399" s="76"/>
      <c r="E399" s="6"/>
      <c r="F399" s="58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>
      <c r="A400" s="76"/>
      <c r="B400" s="76"/>
      <c r="C400" s="57"/>
      <c r="D400" s="76"/>
      <c r="E400" s="6"/>
      <c r="F400" s="58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>
      <c r="A401" s="76"/>
      <c r="B401" s="76"/>
      <c r="C401" s="57"/>
      <c r="D401" s="76"/>
      <c r="E401" s="6"/>
      <c r="F401" s="58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>
      <c r="A402" s="76"/>
      <c r="B402" s="76"/>
      <c r="C402" s="57"/>
      <c r="D402" s="76"/>
      <c r="E402" s="6"/>
      <c r="F402" s="58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>
      <c r="A403" s="76"/>
      <c r="B403" s="76"/>
      <c r="C403" s="57"/>
      <c r="D403" s="76"/>
      <c r="E403" s="6"/>
      <c r="F403" s="58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>
      <c r="A404" s="76"/>
      <c r="B404" s="76"/>
      <c r="C404" s="57"/>
      <c r="D404" s="76"/>
      <c r="E404" s="6"/>
      <c r="F404" s="58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>
      <c r="A405" s="76"/>
      <c r="B405" s="76"/>
      <c r="C405" s="57"/>
      <c r="D405" s="76"/>
      <c r="E405" s="6"/>
      <c r="F405" s="58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>
      <c r="A406" s="76"/>
      <c r="B406" s="76"/>
      <c r="C406" s="57"/>
      <c r="D406" s="76"/>
      <c r="E406" s="6"/>
      <c r="F406" s="58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>
      <c r="A407" s="76"/>
      <c r="B407" s="76"/>
      <c r="C407" s="57"/>
      <c r="D407" s="76"/>
      <c r="E407" s="6"/>
      <c r="F407" s="58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>
      <c r="A408" s="76"/>
      <c r="B408" s="76"/>
      <c r="C408" s="57"/>
      <c r="D408" s="76"/>
      <c r="E408" s="6"/>
      <c r="F408" s="58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>
      <c r="A409" s="76"/>
      <c r="B409" s="76"/>
      <c r="C409" s="57"/>
      <c r="D409" s="76"/>
      <c r="E409" s="6"/>
      <c r="F409" s="58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>
      <c r="A410" s="76"/>
      <c r="B410" s="76"/>
      <c r="C410" s="57"/>
      <c r="D410" s="76"/>
      <c r="E410" s="6"/>
      <c r="F410" s="58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>
      <c r="A411" s="76"/>
      <c r="B411" s="76"/>
      <c r="C411" s="57"/>
      <c r="D411" s="76"/>
      <c r="E411" s="6"/>
      <c r="F411" s="58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>
      <c r="A412" s="76"/>
      <c r="B412" s="76"/>
      <c r="C412" s="57"/>
      <c r="D412" s="76"/>
      <c r="E412" s="6"/>
      <c r="F412" s="58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>
      <c r="A413" s="76"/>
      <c r="B413" s="76"/>
      <c r="C413" s="57"/>
      <c r="D413" s="76"/>
      <c r="E413" s="6"/>
      <c r="F413" s="58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>
      <c r="A414" s="76"/>
      <c r="B414" s="76"/>
      <c r="C414" s="57"/>
      <c r="D414" s="76"/>
      <c r="E414" s="6"/>
      <c r="F414" s="58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>
      <c r="A415" s="76"/>
      <c r="B415" s="76"/>
      <c r="C415" s="57"/>
      <c r="D415" s="76"/>
      <c r="E415" s="6"/>
      <c r="F415" s="58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>
      <c r="A416" s="76"/>
      <c r="B416" s="76"/>
      <c r="C416" s="57"/>
      <c r="D416" s="76"/>
      <c r="E416" s="6"/>
      <c r="F416" s="58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>
      <c r="A417" s="76"/>
      <c r="B417" s="76"/>
      <c r="C417" s="57"/>
      <c r="D417" s="76"/>
      <c r="E417" s="6"/>
      <c r="F417" s="58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>
      <c r="A418" s="76"/>
      <c r="B418" s="76"/>
      <c r="C418" s="57"/>
      <c r="D418" s="76"/>
      <c r="E418" s="6"/>
      <c r="F418" s="58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>
      <c r="A419" s="76"/>
      <c r="B419" s="76"/>
      <c r="C419" s="57"/>
      <c r="D419" s="76"/>
      <c r="E419" s="6"/>
      <c r="F419" s="58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>
      <c r="A420" s="76"/>
      <c r="B420" s="76"/>
      <c r="C420" s="57"/>
      <c r="D420" s="76"/>
      <c r="E420" s="6"/>
      <c r="F420" s="58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>
      <c r="A421" s="76"/>
      <c r="B421" s="76"/>
      <c r="C421" s="57"/>
      <c r="D421" s="76"/>
      <c r="E421" s="6"/>
      <c r="F421" s="58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>
      <c r="A422" s="76"/>
      <c r="B422" s="76"/>
      <c r="C422" s="57"/>
      <c r="D422" s="76"/>
      <c r="E422" s="6"/>
      <c r="F422" s="58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>
      <c r="A423" s="76"/>
      <c r="B423" s="76"/>
      <c r="C423" s="57"/>
      <c r="D423" s="76"/>
      <c r="E423" s="6"/>
      <c r="F423" s="58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>
      <c r="A424" s="76"/>
      <c r="B424" s="76"/>
      <c r="C424" s="57"/>
      <c r="D424" s="76"/>
      <c r="E424" s="6"/>
      <c r="F424" s="58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>
      <c r="A425" s="76"/>
      <c r="B425" s="76"/>
      <c r="C425" s="57"/>
      <c r="D425" s="76"/>
      <c r="E425" s="6"/>
      <c r="F425" s="58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>
      <c r="A426" s="76"/>
      <c r="B426" s="76"/>
      <c r="C426" s="57"/>
      <c r="D426" s="76"/>
      <c r="E426" s="6"/>
      <c r="F426" s="58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>
      <c r="A427" s="76"/>
      <c r="B427" s="76"/>
      <c r="C427" s="57"/>
      <c r="D427" s="76"/>
      <c r="E427" s="6"/>
      <c r="F427" s="58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>
      <c r="A428" s="76"/>
      <c r="B428" s="76"/>
      <c r="C428" s="57"/>
      <c r="D428" s="76"/>
      <c r="E428" s="6"/>
      <c r="F428" s="58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>
      <c r="A429" s="76"/>
      <c r="B429" s="76"/>
      <c r="C429" s="57"/>
      <c r="D429" s="76"/>
      <c r="E429" s="6"/>
      <c r="F429" s="58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>
      <c r="A430" s="76"/>
      <c r="B430" s="76"/>
      <c r="C430" s="57"/>
      <c r="D430" s="76"/>
      <c r="E430" s="6"/>
      <c r="F430" s="58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>
      <c r="A431" s="76"/>
      <c r="B431" s="76"/>
      <c r="C431" s="57"/>
      <c r="D431" s="76"/>
      <c r="E431" s="6"/>
      <c r="F431" s="58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>
      <c r="A432" s="76"/>
      <c r="B432" s="76"/>
      <c r="C432" s="57"/>
      <c r="D432" s="76"/>
      <c r="E432" s="6"/>
      <c r="F432" s="58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>
      <c r="A433" s="76"/>
      <c r="B433" s="76"/>
      <c r="C433" s="57"/>
      <c r="D433" s="76"/>
      <c r="E433" s="6"/>
      <c r="F433" s="58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>
      <c r="A434" s="76"/>
      <c r="B434" s="76"/>
      <c r="C434" s="57"/>
      <c r="D434" s="76"/>
      <c r="E434" s="6"/>
      <c r="F434" s="58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>
      <c r="A435" s="76"/>
      <c r="B435" s="76"/>
      <c r="C435" s="57"/>
      <c r="D435" s="76"/>
      <c r="E435" s="6"/>
      <c r="F435" s="58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>
      <c r="A436" s="76"/>
      <c r="B436" s="76"/>
      <c r="C436" s="57"/>
      <c r="D436" s="76"/>
      <c r="E436" s="6"/>
      <c r="F436" s="58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>
      <c r="A437" s="76"/>
      <c r="B437" s="76"/>
      <c r="C437" s="57"/>
      <c r="D437" s="76"/>
      <c r="E437" s="6"/>
      <c r="F437" s="58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>
      <c r="A438" s="76"/>
      <c r="B438" s="76"/>
      <c r="C438" s="57"/>
      <c r="D438" s="76"/>
      <c r="E438" s="6"/>
      <c r="F438" s="58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>
      <c r="A439" s="76"/>
      <c r="B439" s="76"/>
      <c r="C439" s="57"/>
      <c r="D439" s="76"/>
      <c r="E439" s="6"/>
      <c r="F439" s="58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>
      <c r="A440" s="76"/>
      <c r="B440" s="76"/>
      <c r="C440" s="57"/>
      <c r="D440" s="76"/>
      <c r="E440" s="6"/>
      <c r="F440" s="58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>
      <c r="A441" s="76"/>
      <c r="B441" s="76"/>
      <c r="C441" s="57"/>
      <c r="D441" s="76"/>
      <c r="E441" s="6"/>
      <c r="F441" s="58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>
      <c r="A442" s="76"/>
      <c r="B442" s="76"/>
      <c r="C442" s="57"/>
      <c r="D442" s="76"/>
      <c r="E442" s="6"/>
      <c r="F442" s="58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>
      <c r="A443" s="76"/>
      <c r="B443" s="76"/>
      <c r="C443" s="57"/>
      <c r="D443" s="76"/>
      <c r="E443" s="6"/>
      <c r="F443" s="58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>
      <c r="A444" s="76"/>
      <c r="B444" s="76"/>
      <c r="C444" s="57"/>
      <c r="D444" s="76"/>
      <c r="E444" s="6"/>
      <c r="F444" s="58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>
      <c r="A445" s="76"/>
      <c r="B445" s="76"/>
      <c r="C445" s="57"/>
      <c r="D445" s="76"/>
      <c r="E445" s="6"/>
      <c r="F445" s="58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>
      <c r="A446" s="76"/>
      <c r="B446" s="76"/>
      <c r="C446" s="57"/>
      <c r="D446" s="76"/>
      <c r="E446" s="6"/>
      <c r="F446" s="58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>
      <c r="A447" s="76"/>
      <c r="B447" s="76"/>
      <c r="C447" s="57"/>
      <c r="D447" s="76"/>
      <c r="E447" s="6"/>
      <c r="F447" s="58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>
      <c r="A448" s="76"/>
      <c r="B448" s="76"/>
      <c r="C448" s="57"/>
      <c r="D448" s="76"/>
      <c r="E448" s="6"/>
      <c r="F448" s="58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>
      <c r="A449" s="76"/>
      <c r="B449" s="76"/>
      <c r="C449" s="57"/>
      <c r="D449" s="76"/>
      <c r="E449" s="6"/>
      <c r="F449" s="58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>
      <c r="A450" s="76"/>
      <c r="B450" s="76"/>
      <c r="C450" s="57"/>
      <c r="D450" s="76"/>
      <c r="E450" s="6"/>
      <c r="F450" s="58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>
      <c r="A451" s="76"/>
      <c r="B451" s="76"/>
      <c r="C451" s="57"/>
      <c r="D451" s="76"/>
      <c r="E451" s="6"/>
      <c r="F451" s="58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>
      <c r="A452" s="76"/>
      <c r="B452" s="76"/>
      <c r="C452" s="57"/>
      <c r="D452" s="76"/>
      <c r="E452" s="6"/>
      <c r="F452" s="58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>
      <c r="A453" s="76"/>
      <c r="B453" s="76"/>
      <c r="C453" s="57"/>
      <c r="D453" s="76"/>
      <c r="E453" s="6"/>
      <c r="F453" s="58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>
      <c r="A454" s="76"/>
      <c r="B454" s="76"/>
      <c r="C454" s="57"/>
      <c r="D454" s="76"/>
      <c r="E454" s="6"/>
      <c r="F454" s="58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>
      <c r="A455" s="76"/>
      <c r="B455" s="76"/>
      <c r="C455" s="57"/>
      <c r="D455" s="76"/>
      <c r="E455" s="6"/>
      <c r="F455" s="58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>
      <c r="A456" s="76"/>
      <c r="B456" s="76"/>
      <c r="C456" s="57"/>
      <c r="D456" s="76"/>
      <c r="E456" s="6"/>
      <c r="F456" s="58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>
      <c r="A457" s="76"/>
      <c r="B457" s="76"/>
      <c r="C457" s="57"/>
      <c r="D457" s="76"/>
      <c r="E457" s="6"/>
      <c r="F457" s="58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>
      <c r="A458" s="76"/>
      <c r="B458" s="76"/>
      <c r="C458" s="57"/>
      <c r="D458" s="76"/>
      <c r="E458" s="6"/>
      <c r="F458" s="58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>
      <c r="A459" s="76"/>
      <c r="B459" s="76"/>
      <c r="C459" s="57"/>
      <c r="D459" s="76"/>
      <c r="E459" s="6"/>
      <c r="F459" s="58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>
      <c r="A460" s="76"/>
      <c r="B460" s="76"/>
      <c r="C460" s="57"/>
      <c r="D460" s="76"/>
      <c r="E460" s="6"/>
      <c r="F460" s="58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>
      <c r="A461" s="76"/>
      <c r="B461" s="76"/>
      <c r="C461" s="57"/>
      <c r="D461" s="76"/>
      <c r="E461" s="6"/>
      <c r="F461" s="58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>
      <c r="A462" s="76"/>
      <c r="B462" s="76"/>
      <c r="C462" s="57"/>
      <c r="D462" s="76"/>
      <c r="E462" s="6"/>
      <c r="F462" s="58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>
      <c r="A463" s="76"/>
      <c r="B463" s="76"/>
      <c r="C463" s="57"/>
      <c r="D463" s="76"/>
      <c r="E463" s="6"/>
      <c r="F463" s="58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>
      <c r="A464" s="76"/>
      <c r="B464" s="76"/>
      <c r="C464" s="57"/>
      <c r="D464" s="76"/>
      <c r="E464" s="6"/>
      <c r="F464" s="58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>
      <c r="A465" s="76"/>
      <c r="B465" s="76"/>
      <c r="C465" s="57"/>
      <c r="D465" s="76"/>
      <c r="E465" s="6"/>
      <c r="F465" s="58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>
      <c r="A466" s="76"/>
      <c r="B466" s="76"/>
      <c r="C466" s="57"/>
      <c r="D466" s="76"/>
      <c r="E466" s="6"/>
      <c r="F466" s="58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>
      <c r="A467" s="76"/>
      <c r="B467" s="76"/>
      <c r="C467" s="57"/>
      <c r="D467" s="76"/>
      <c r="E467" s="6"/>
      <c r="F467" s="58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>
      <c r="A468" s="76"/>
      <c r="B468" s="76"/>
      <c r="C468" s="57"/>
      <c r="D468" s="76"/>
      <c r="E468" s="6"/>
      <c r="F468" s="58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>
      <c r="A469" s="76"/>
      <c r="B469" s="76"/>
      <c r="C469" s="57"/>
      <c r="D469" s="76"/>
      <c r="E469" s="6"/>
      <c r="F469" s="58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>
      <c r="A470" s="76"/>
      <c r="B470" s="76"/>
      <c r="C470" s="57"/>
      <c r="D470" s="76"/>
      <c r="E470" s="6"/>
      <c r="F470" s="58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>
      <c r="A471" s="76"/>
      <c r="B471" s="76"/>
      <c r="C471" s="57"/>
      <c r="D471" s="76"/>
      <c r="E471" s="6"/>
      <c r="F471" s="58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>
      <c r="A472" s="76"/>
      <c r="B472" s="76"/>
      <c r="C472" s="57"/>
      <c r="D472" s="76"/>
      <c r="E472" s="6"/>
      <c r="F472" s="58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>
      <c r="A473" s="76"/>
      <c r="B473" s="76"/>
      <c r="C473" s="57"/>
      <c r="D473" s="76"/>
      <c r="E473" s="6"/>
      <c r="F473" s="58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>
      <c r="A474" s="76"/>
      <c r="B474" s="76"/>
      <c r="C474" s="57"/>
      <c r="D474" s="76"/>
      <c r="E474" s="6"/>
      <c r="F474" s="58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>
      <c r="A475" s="76"/>
      <c r="B475" s="76"/>
      <c r="C475" s="57"/>
      <c r="D475" s="76"/>
      <c r="E475" s="6"/>
      <c r="F475" s="58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>
      <c r="A476" s="76"/>
      <c r="B476" s="76"/>
      <c r="C476" s="57"/>
      <c r="D476" s="76"/>
      <c r="E476" s="6"/>
      <c r="F476" s="58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>
      <c r="A477" s="76"/>
      <c r="B477" s="76"/>
      <c r="C477" s="57"/>
      <c r="D477" s="76"/>
      <c r="E477" s="6"/>
      <c r="F477" s="58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>
      <c r="A478" s="76"/>
      <c r="B478" s="76"/>
      <c r="C478" s="57"/>
      <c r="D478" s="76"/>
      <c r="E478" s="6"/>
      <c r="F478" s="58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>
      <c r="A479" s="76"/>
      <c r="B479" s="76"/>
      <c r="C479" s="57"/>
      <c r="D479" s="76"/>
      <c r="E479" s="6"/>
      <c r="F479" s="58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>
      <c r="A480" s="76"/>
      <c r="B480" s="76"/>
      <c r="C480" s="57"/>
      <c r="D480" s="76"/>
      <c r="E480" s="6"/>
      <c r="F480" s="58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>
      <c r="A481" s="76"/>
      <c r="B481" s="76"/>
      <c r="C481" s="57"/>
      <c r="D481" s="76"/>
      <c r="E481" s="6"/>
      <c r="F481" s="58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>
      <c r="A482" s="76"/>
      <c r="B482" s="76"/>
      <c r="C482" s="57"/>
      <c r="D482" s="76"/>
      <c r="E482" s="6"/>
      <c r="F482" s="58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>
      <c r="A483" s="76"/>
      <c r="B483" s="76"/>
      <c r="C483" s="57"/>
      <c r="D483" s="76"/>
      <c r="E483" s="6"/>
      <c r="F483" s="58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>
      <c r="A484" s="76"/>
      <c r="B484" s="76"/>
      <c r="C484" s="57"/>
      <c r="D484" s="76"/>
      <c r="E484" s="6"/>
      <c r="F484" s="58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>
      <c r="A485" s="76"/>
      <c r="B485" s="76"/>
      <c r="C485" s="57"/>
      <c r="D485" s="76"/>
      <c r="E485" s="6"/>
      <c r="F485" s="58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>
      <c r="A486" s="76"/>
      <c r="B486" s="76"/>
      <c r="C486" s="57"/>
      <c r="D486" s="76"/>
      <c r="E486" s="6"/>
      <c r="F486" s="58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>
      <c r="A487" s="76"/>
      <c r="B487" s="76"/>
      <c r="C487" s="57"/>
      <c r="D487" s="76"/>
      <c r="E487" s="6"/>
      <c r="F487" s="58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>
      <c r="A488" s="76"/>
      <c r="B488" s="76"/>
      <c r="C488" s="57"/>
      <c r="D488" s="76"/>
      <c r="E488" s="6"/>
      <c r="F488" s="58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>
      <c r="A489" s="76"/>
      <c r="B489" s="76"/>
      <c r="C489" s="57"/>
      <c r="D489" s="76"/>
      <c r="E489" s="6"/>
      <c r="F489" s="58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>
      <c r="A490" s="76"/>
      <c r="B490" s="76"/>
      <c r="C490" s="57"/>
      <c r="D490" s="76"/>
      <c r="E490" s="6"/>
      <c r="F490" s="58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>
      <c r="A491" s="76"/>
      <c r="B491" s="76"/>
      <c r="C491" s="57"/>
      <c r="D491" s="76"/>
      <c r="E491" s="6"/>
      <c r="F491" s="58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>
      <c r="A492" s="76"/>
      <c r="B492" s="76"/>
      <c r="C492" s="57"/>
      <c r="D492" s="76"/>
      <c r="E492" s="6"/>
      <c r="F492" s="58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>
      <c r="A493" s="76"/>
      <c r="B493" s="76"/>
      <c r="C493" s="57"/>
      <c r="D493" s="76"/>
      <c r="E493" s="6"/>
      <c r="F493" s="58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>
      <c r="A494" s="76"/>
      <c r="B494" s="76"/>
      <c r="C494" s="57"/>
      <c r="D494" s="76"/>
      <c r="E494" s="6"/>
      <c r="F494" s="58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>
      <c r="A495" s="76"/>
      <c r="B495" s="76"/>
      <c r="C495" s="57"/>
      <c r="D495" s="76"/>
      <c r="E495" s="6"/>
      <c r="F495" s="58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>
      <c r="A496" s="76"/>
      <c r="B496" s="76"/>
      <c r="C496" s="57"/>
      <c r="D496" s="76"/>
      <c r="E496" s="6"/>
      <c r="F496" s="58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>
      <c r="A497" s="76"/>
      <c r="B497" s="76"/>
      <c r="C497" s="57"/>
      <c r="D497" s="76"/>
      <c r="E497" s="6"/>
      <c r="F497" s="58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>
      <c r="A498" s="76"/>
      <c r="B498" s="76"/>
      <c r="C498" s="57"/>
      <c r="D498" s="76"/>
      <c r="E498" s="6"/>
      <c r="F498" s="58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>
      <c r="A499" s="76"/>
      <c r="B499" s="76"/>
      <c r="C499" s="57"/>
      <c r="D499" s="76"/>
      <c r="E499" s="6"/>
      <c r="F499" s="58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>
      <c r="A500" s="76"/>
      <c r="B500" s="76"/>
      <c r="C500" s="57"/>
      <c r="D500" s="76"/>
      <c r="E500" s="6"/>
      <c r="F500" s="58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>
      <c r="A501" s="76"/>
      <c r="B501" s="76"/>
      <c r="C501" s="57"/>
      <c r="D501" s="76"/>
      <c r="E501" s="6"/>
      <c r="F501" s="58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>
      <c r="A502" s="76"/>
      <c r="B502" s="76"/>
      <c r="C502" s="57"/>
      <c r="D502" s="76"/>
      <c r="E502" s="6"/>
      <c r="F502" s="58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>
      <c r="A503" s="76"/>
      <c r="B503" s="76"/>
      <c r="C503" s="57"/>
      <c r="D503" s="76"/>
      <c r="E503" s="6"/>
      <c r="F503" s="58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>
      <c r="A504" s="76"/>
      <c r="B504" s="76"/>
      <c r="C504" s="57"/>
      <c r="D504" s="76"/>
      <c r="E504" s="6"/>
      <c r="F504" s="58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>
      <c r="A505" s="76"/>
      <c r="B505" s="76"/>
      <c r="C505" s="57"/>
      <c r="D505" s="76"/>
      <c r="E505" s="6"/>
      <c r="F505" s="58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>
      <c r="A506" s="76"/>
      <c r="B506" s="76"/>
      <c r="C506" s="57"/>
      <c r="D506" s="76"/>
      <c r="E506" s="6"/>
      <c r="F506" s="58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>
      <c r="A507" s="76"/>
      <c r="B507" s="76"/>
      <c r="C507" s="57"/>
      <c r="D507" s="76"/>
      <c r="E507" s="6"/>
      <c r="F507" s="58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>
      <c r="A508" s="76"/>
      <c r="B508" s="76"/>
      <c r="C508" s="57"/>
      <c r="D508" s="76"/>
      <c r="E508" s="6"/>
      <c r="F508" s="58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>
      <c r="A509" s="76"/>
      <c r="B509" s="76"/>
      <c r="C509" s="57"/>
      <c r="D509" s="76"/>
      <c r="E509" s="6"/>
      <c r="F509" s="58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>
      <c r="A510" s="76"/>
      <c r="B510" s="76"/>
      <c r="C510" s="57"/>
      <c r="D510" s="76"/>
      <c r="E510" s="6"/>
      <c r="F510" s="58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>
      <c r="A511" s="76"/>
      <c r="B511" s="76"/>
      <c r="C511" s="57"/>
      <c r="D511" s="76"/>
      <c r="E511" s="6"/>
      <c r="F511" s="58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>
      <c r="A512" s="76"/>
      <c r="B512" s="76"/>
      <c r="C512" s="57"/>
      <c r="D512" s="76"/>
      <c r="E512" s="6"/>
      <c r="F512" s="58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>
      <c r="A513" s="76"/>
      <c r="B513" s="76"/>
      <c r="C513" s="57"/>
      <c r="D513" s="76"/>
      <c r="E513" s="6"/>
      <c r="F513" s="58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>
      <c r="A514" s="76"/>
      <c r="B514" s="76"/>
      <c r="C514" s="57"/>
      <c r="D514" s="76"/>
      <c r="E514" s="6"/>
      <c r="F514" s="58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>
      <c r="A515" s="76"/>
      <c r="B515" s="76"/>
      <c r="C515" s="57"/>
      <c r="D515" s="76"/>
      <c r="E515" s="6"/>
      <c r="F515" s="58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>
      <c r="A516" s="76"/>
      <c r="B516" s="76"/>
      <c r="C516" s="57"/>
      <c r="D516" s="76"/>
      <c r="E516" s="6"/>
      <c r="F516" s="58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>
      <c r="A517" s="76"/>
      <c r="B517" s="76"/>
      <c r="C517" s="57"/>
      <c r="D517" s="76"/>
      <c r="E517" s="6"/>
      <c r="F517" s="58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>
      <c r="A518" s="76"/>
      <c r="B518" s="76"/>
      <c r="C518" s="57"/>
      <c r="D518" s="76"/>
      <c r="E518" s="6"/>
      <c r="F518" s="58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>
      <c r="A519" s="76"/>
      <c r="B519" s="76"/>
      <c r="C519" s="57"/>
      <c r="D519" s="76"/>
      <c r="E519" s="6"/>
      <c r="F519" s="58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>
      <c r="A520" s="76"/>
      <c r="B520" s="76"/>
      <c r="C520" s="57"/>
      <c r="D520" s="76"/>
      <c r="E520" s="6"/>
      <c r="F520" s="58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>
      <c r="A521" s="76"/>
      <c r="B521" s="76"/>
      <c r="C521" s="57"/>
      <c r="D521" s="76"/>
      <c r="E521" s="6"/>
      <c r="F521" s="58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>
      <c r="A522" s="76"/>
      <c r="B522" s="76"/>
      <c r="C522" s="57"/>
      <c r="D522" s="76"/>
      <c r="E522" s="6"/>
      <c r="F522" s="58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>
      <c r="A523" s="76"/>
      <c r="B523" s="76"/>
      <c r="C523" s="57"/>
      <c r="D523" s="76"/>
      <c r="E523" s="6"/>
      <c r="F523" s="58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>
      <c r="A524" s="76"/>
      <c r="B524" s="76"/>
      <c r="C524" s="57"/>
      <c r="D524" s="76"/>
      <c r="E524" s="6"/>
      <c r="F524" s="58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>
      <c r="A525" s="76"/>
      <c r="B525" s="76"/>
      <c r="C525" s="57"/>
      <c r="D525" s="76"/>
      <c r="E525" s="6"/>
      <c r="F525" s="58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>
      <c r="A526" s="76"/>
      <c r="B526" s="76"/>
      <c r="C526" s="57"/>
      <c r="D526" s="76"/>
      <c r="E526" s="6"/>
      <c r="F526" s="58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>
      <c r="A527" s="76"/>
      <c r="B527" s="76"/>
      <c r="C527" s="57"/>
      <c r="D527" s="76"/>
      <c r="E527" s="6"/>
      <c r="F527" s="58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>
      <c r="A528" s="76"/>
      <c r="B528" s="76"/>
      <c r="C528" s="57"/>
      <c r="D528" s="76"/>
      <c r="E528" s="6"/>
      <c r="F528" s="58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>
      <c r="A529" s="76"/>
      <c r="B529" s="76"/>
      <c r="C529" s="57"/>
      <c r="D529" s="76"/>
      <c r="E529" s="6"/>
      <c r="F529" s="58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>
      <c r="A530" s="76"/>
      <c r="B530" s="76"/>
      <c r="C530" s="57"/>
      <c r="D530" s="76"/>
      <c r="E530" s="6"/>
      <c r="F530" s="58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>
      <c r="A531" s="76"/>
      <c r="B531" s="76"/>
      <c r="C531" s="57"/>
      <c r="D531" s="76"/>
      <c r="E531" s="6"/>
      <c r="F531" s="58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>
      <c r="A532" s="76"/>
      <c r="B532" s="76"/>
      <c r="C532" s="57"/>
      <c r="D532" s="76"/>
      <c r="E532" s="6"/>
      <c r="F532" s="58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>
      <c r="A533" s="76"/>
      <c r="B533" s="76"/>
      <c r="C533" s="57"/>
      <c r="D533" s="76"/>
      <c r="E533" s="6"/>
      <c r="F533" s="58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>
      <c r="A534" s="76"/>
      <c r="B534" s="76"/>
      <c r="C534" s="57"/>
      <c r="D534" s="76"/>
      <c r="E534" s="6"/>
      <c r="F534" s="58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>
      <c r="A535" s="76"/>
      <c r="B535" s="76"/>
      <c r="C535" s="57"/>
      <c r="D535" s="76"/>
      <c r="E535" s="6"/>
      <c r="F535" s="58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>
      <c r="A536" s="76"/>
      <c r="B536" s="76"/>
      <c r="C536" s="57"/>
      <c r="D536" s="76"/>
      <c r="E536" s="6"/>
      <c r="F536" s="58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>
      <c r="A537" s="76"/>
      <c r="B537" s="76"/>
      <c r="C537" s="57"/>
      <c r="D537" s="76"/>
      <c r="E537" s="6"/>
      <c r="F537" s="58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>
      <c r="A538" s="76"/>
      <c r="B538" s="76"/>
      <c r="C538" s="57"/>
      <c r="D538" s="76"/>
      <c r="E538" s="6"/>
      <c r="F538" s="58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>
      <c r="A539" s="76"/>
      <c r="B539" s="76"/>
      <c r="C539" s="57"/>
      <c r="D539" s="76"/>
      <c r="E539" s="6"/>
      <c r="F539" s="58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>
      <c r="A540" s="76"/>
      <c r="B540" s="76"/>
      <c r="C540" s="57"/>
      <c r="D540" s="76"/>
      <c r="E540" s="6"/>
      <c r="F540" s="58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>
      <c r="A541" s="76"/>
      <c r="B541" s="76"/>
      <c r="C541" s="57"/>
      <c r="D541" s="76"/>
      <c r="E541" s="6"/>
      <c r="F541" s="58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>
      <c r="A542" s="76"/>
      <c r="B542" s="76"/>
      <c r="C542" s="57"/>
      <c r="D542" s="76"/>
      <c r="E542" s="6"/>
      <c r="F542" s="58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>
      <c r="A543" s="76"/>
      <c r="B543" s="76"/>
      <c r="C543" s="57"/>
      <c r="D543" s="76"/>
      <c r="E543" s="6"/>
      <c r="F543" s="58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>
      <c r="A544" s="76"/>
      <c r="B544" s="76"/>
      <c r="C544" s="57"/>
      <c r="D544" s="76"/>
      <c r="E544" s="6"/>
      <c r="F544" s="58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>
      <c r="A545" s="76"/>
      <c r="B545" s="76"/>
      <c r="C545" s="57"/>
      <c r="D545" s="76"/>
      <c r="E545" s="6"/>
      <c r="F545" s="58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>
      <c r="A546" s="76"/>
      <c r="B546" s="76"/>
      <c r="C546" s="57"/>
      <c r="D546" s="76"/>
      <c r="E546" s="6"/>
      <c r="F546" s="58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>
      <c r="A547" s="76"/>
      <c r="B547" s="76"/>
      <c r="C547" s="57"/>
      <c r="D547" s="76"/>
      <c r="E547" s="6"/>
      <c r="F547" s="58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>
      <c r="A548" s="76"/>
      <c r="B548" s="76"/>
      <c r="C548" s="57"/>
      <c r="D548" s="76"/>
      <c r="E548" s="6"/>
      <c r="F548" s="58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>
      <c r="A549" s="76"/>
      <c r="B549" s="76"/>
      <c r="C549" s="57"/>
      <c r="D549" s="76"/>
      <c r="E549" s="6"/>
      <c r="F549" s="58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>
      <c r="A550" s="76"/>
      <c r="B550" s="76"/>
      <c r="C550" s="57"/>
      <c r="D550" s="76"/>
      <c r="E550" s="6"/>
      <c r="F550" s="58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>
      <c r="A551" s="76"/>
      <c r="B551" s="76"/>
      <c r="C551" s="57"/>
      <c r="D551" s="76"/>
      <c r="E551" s="6"/>
      <c r="F551" s="58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>
      <c r="A552" s="76"/>
      <c r="B552" s="76"/>
      <c r="C552" s="57"/>
      <c r="D552" s="76"/>
      <c r="E552" s="6"/>
      <c r="F552" s="58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>
      <c r="A553" s="76"/>
      <c r="B553" s="76"/>
      <c r="C553" s="57"/>
      <c r="D553" s="76"/>
      <c r="E553" s="6"/>
      <c r="F553" s="58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>
      <c r="A554" s="76"/>
      <c r="B554" s="76"/>
      <c r="C554" s="57"/>
      <c r="D554" s="76"/>
      <c r="E554" s="6"/>
      <c r="F554" s="58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>
      <c r="A555" s="76"/>
      <c r="B555" s="76"/>
      <c r="C555" s="57"/>
      <c r="D555" s="76"/>
      <c r="E555" s="6"/>
      <c r="F555" s="58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>
      <c r="A556" s="76"/>
      <c r="B556" s="76"/>
      <c r="C556" s="57"/>
      <c r="D556" s="76"/>
      <c r="E556" s="6"/>
      <c r="F556" s="58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>
      <c r="A557" s="76"/>
      <c r="B557" s="76"/>
      <c r="C557" s="57"/>
      <c r="D557" s="76"/>
      <c r="E557" s="6"/>
      <c r="F557" s="58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>
      <c r="A558" s="76"/>
      <c r="B558" s="76"/>
      <c r="C558" s="57"/>
      <c r="D558" s="76"/>
      <c r="E558" s="6"/>
      <c r="F558" s="58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>
      <c r="A559" s="76"/>
      <c r="B559" s="76"/>
      <c r="C559" s="57"/>
      <c r="D559" s="76"/>
      <c r="E559" s="6"/>
      <c r="F559" s="58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>
      <c r="A560" s="76"/>
      <c r="B560" s="76"/>
      <c r="C560" s="57"/>
      <c r="D560" s="76"/>
      <c r="E560" s="6"/>
      <c r="F560" s="58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>
      <c r="A561" s="76"/>
      <c r="B561" s="76"/>
      <c r="C561" s="57"/>
      <c r="D561" s="76"/>
      <c r="E561" s="6"/>
      <c r="F561" s="58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>
      <c r="A562" s="76"/>
      <c r="B562" s="76"/>
      <c r="C562" s="57"/>
      <c r="D562" s="76"/>
      <c r="E562" s="6"/>
      <c r="F562" s="58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>
      <c r="A563" s="76"/>
      <c r="B563" s="76"/>
      <c r="C563" s="57"/>
      <c r="D563" s="76"/>
      <c r="E563" s="6"/>
      <c r="F563" s="58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>
      <c r="A564" s="76"/>
      <c r="B564" s="76"/>
      <c r="C564" s="57"/>
      <c r="D564" s="76"/>
      <c r="E564" s="6"/>
      <c r="F564" s="58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>
      <c r="A565" s="76"/>
      <c r="B565" s="76"/>
      <c r="C565" s="57"/>
      <c r="D565" s="76"/>
      <c r="E565" s="6"/>
      <c r="F565" s="58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>
      <c r="A566" s="76"/>
      <c r="B566" s="76"/>
      <c r="C566" s="57"/>
      <c r="D566" s="76"/>
      <c r="E566" s="6"/>
      <c r="F566" s="58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>
      <c r="A567" s="76"/>
      <c r="B567" s="76"/>
      <c r="C567" s="57"/>
      <c r="D567" s="76"/>
      <c r="E567" s="6"/>
      <c r="F567" s="58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>
      <c r="A568" s="76"/>
      <c r="B568" s="76"/>
      <c r="C568" s="57"/>
      <c r="D568" s="76"/>
      <c r="E568" s="6"/>
      <c r="F568" s="58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>
      <c r="A569" s="76"/>
      <c r="B569" s="76"/>
      <c r="C569" s="57"/>
      <c r="D569" s="76"/>
      <c r="E569" s="6"/>
      <c r="F569" s="58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>
      <c r="A570" s="76"/>
      <c r="B570" s="76"/>
      <c r="C570" s="57"/>
      <c r="D570" s="76"/>
      <c r="E570" s="6"/>
      <c r="F570" s="58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>
      <c r="A571" s="76"/>
      <c r="B571" s="76"/>
      <c r="C571" s="57"/>
      <c r="D571" s="76"/>
      <c r="E571" s="6"/>
      <c r="F571" s="58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>
      <c r="A572" s="76"/>
      <c r="B572" s="76"/>
      <c r="C572" s="57"/>
      <c r="D572" s="76"/>
      <c r="E572" s="6"/>
      <c r="F572" s="58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>
      <c r="A573" s="76"/>
      <c r="B573" s="76"/>
      <c r="C573" s="57"/>
      <c r="D573" s="76"/>
      <c r="E573" s="6"/>
      <c r="F573" s="58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>
      <c r="A574" s="76"/>
      <c r="B574" s="76"/>
      <c r="C574" s="57"/>
      <c r="D574" s="76"/>
      <c r="E574" s="6"/>
      <c r="F574" s="58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>
      <c r="A575" s="76"/>
      <c r="B575" s="76"/>
      <c r="C575" s="57"/>
      <c r="D575" s="76"/>
      <c r="E575" s="6"/>
      <c r="F575" s="58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>
      <c r="A576" s="76"/>
      <c r="B576" s="76"/>
      <c r="C576" s="57"/>
      <c r="D576" s="76"/>
      <c r="E576" s="6"/>
      <c r="F576" s="58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>
      <c r="A577" s="76"/>
      <c r="B577" s="76"/>
      <c r="C577" s="57"/>
      <c r="D577" s="76"/>
      <c r="E577" s="6"/>
      <c r="F577" s="58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>
      <c r="A578" s="76"/>
      <c r="B578" s="76"/>
      <c r="C578" s="57"/>
      <c r="D578" s="76"/>
      <c r="E578" s="6"/>
      <c r="F578" s="58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>
      <c r="A579" s="76"/>
      <c r="B579" s="76"/>
      <c r="C579" s="57"/>
      <c r="D579" s="76"/>
      <c r="E579" s="6"/>
      <c r="F579" s="58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>
      <c r="A580" s="76"/>
      <c r="B580" s="76"/>
      <c r="C580" s="57"/>
      <c r="D580" s="76"/>
      <c r="E580" s="6"/>
      <c r="F580" s="58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>
      <c r="A581" s="76"/>
      <c r="B581" s="76"/>
      <c r="C581" s="57"/>
      <c r="D581" s="76"/>
      <c r="E581" s="6"/>
      <c r="F581" s="58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>
      <c r="A582" s="76"/>
      <c r="B582" s="76"/>
      <c r="C582" s="57"/>
      <c r="D582" s="76"/>
      <c r="E582" s="6"/>
      <c r="F582" s="58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>
      <c r="A583" s="76"/>
      <c r="B583" s="76"/>
      <c r="C583" s="57"/>
      <c r="D583" s="76"/>
      <c r="E583" s="6"/>
      <c r="F583" s="58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>
      <c r="A584" s="76"/>
      <c r="B584" s="76"/>
      <c r="C584" s="57"/>
      <c r="D584" s="76"/>
      <c r="E584" s="6"/>
      <c r="F584" s="58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>
      <c r="A585" s="76"/>
      <c r="B585" s="76"/>
      <c r="C585" s="57"/>
      <c r="D585" s="76"/>
      <c r="E585" s="6"/>
      <c r="F585" s="58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>
      <c r="A586" s="76"/>
      <c r="B586" s="76"/>
      <c r="C586" s="57"/>
      <c r="D586" s="76"/>
      <c r="E586" s="6"/>
      <c r="F586" s="58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>
      <c r="A587" s="76"/>
      <c r="B587" s="76"/>
      <c r="C587" s="57"/>
      <c r="D587" s="76"/>
      <c r="E587" s="6"/>
      <c r="F587" s="58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>
      <c r="A588" s="76"/>
      <c r="B588" s="76"/>
      <c r="C588" s="57"/>
      <c r="D588" s="76"/>
      <c r="E588" s="6"/>
      <c r="F588" s="58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>
      <c r="A589" s="76"/>
      <c r="B589" s="76"/>
      <c r="C589" s="57"/>
      <c r="D589" s="76"/>
      <c r="E589" s="6"/>
      <c r="F589" s="58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>
      <c r="A590" s="76"/>
      <c r="B590" s="76"/>
      <c r="C590" s="57"/>
      <c r="D590" s="76"/>
      <c r="E590" s="6"/>
      <c r="F590" s="58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>
      <c r="A591" s="76"/>
      <c r="B591" s="76"/>
      <c r="C591" s="57"/>
      <c r="D591" s="76"/>
      <c r="E591" s="6"/>
      <c r="F591" s="58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>
      <c r="A592" s="76"/>
      <c r="B592" s="76"/>
      <c r="C592" s="57"/>
      <c r="D592" s="76"/>
      <c r="E592" s="6"/>
      <c r="F592" s="58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>
      <c r="A593" s="76"/>
      <c r="B593" s="76"/>
      <c r="C593" s="57"/>
      <c r="D593" s="76"/>
      <c r="E593" s="6"/>
      <c r="F593" s="58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>
      <c r="A594" s="76"/>
      <c r="B594" s="76"/>
      <c r="C594" s="57"/>
      <c r="D594" s="76"/>
      <c r="E594" s="6"/>
      <c r="F594" s="58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>
      <c r="A595" s="76"/>
      <c r="B595" s="76"/>
      <c r="C595" s="57"/>
      <c r="D595" s="76"/>
      <c r="E595" s="6"/>
      <c r="F595" s="58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>
      <c r="A596" s="76"/>
      <c r="B596" s="76"/>
      <c r="C596" s="57"/>
      <c r="D596" s="76"/>
      <c r="E596" s="6"/>
      <c r="F596" s="58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>
      <c r="A597" s="76"/>
      <c r="B597" s="76"/>
      <c r="C597" s="57"/>
      <c r="D597" s="76"/>
      <c r="E597" s="6"/>
      <c r="F597" s="58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>
      <c r="A598" s="76"/>
      <c r="B598" s="76"/>
      <c r="C598" s="57"/>
      <c r="D598" s="76"/>
      <c r="E598" s="6"/>
      <c r="F598" s="58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>
      <c r="A599" s="76"/>
      <c r="B599" s="76"/>
      <c r="C599" s="57"/>
      <c r="D599" s="76"/>
      <c r="E599" s="6"/>
      <c r="F599" s="58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>
      <c r="A600" s="76"/>
      <c r="B600" s="76"/>
      <c r="C600" s="57"/>
      <c r="D600" s="76"/>
      <c r="E600" s="6"/>
      <c r="F600" s="58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>
      <c r="A601" s="76"/>
      <c r="B601" s="76"/>
      <c r="C601" s="57"/>
      <c r="D601" s="76"/>
      <c r="E601" s="6"/>
      <c r="F601" s="58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>
      <c r="A602" s="76"/>
      <c r="B602" s="76"/>
      <c r="C602" s="57"/>
      <c r="D602" s="76"/>
      <c r="E602" s="6"/>
      <c r="F602" s="58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>
      <c r="A603" s="76"/>
      <c r="B603" s="76"/>
      <c r="C603" s="57"/>
      <c r="D603" s="76"/>
      <c r="E603" s="6"/>
      <c r="F603" s="58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>
      <c r="A604" s="76"/>
      <c r="B604" s="76"/>
      <c r="C604" s="57"/>
      <c r="D604" s="76"/>
      <c r="E604" s="6"/>
      <c r="F604" s="58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>
      <c r="A605" s="76"/>
      <c r="B605" s="76"/>
      <c r="C605" s="57"/>
      <c r="D605" s="76"/>
      <c r="E605" s="6"/>
      <c r="F605" s="58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>
      <c r="A606" s="76"/>
      <c r="B606" s="76"/>
      <c r="C606" s="57"/>
      <c r="D606" s="76"/>
      <c r="E606" s="6"/>
      <c r="F606" s="58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>
      <c r="A607" s="76"/>
      <c r="B607" s="76"/>
      <c r="C607" s="57"/>
      <c r="D607" s="76"/>
      <c r="E607" s="6"/>
      <c r="F607" s="58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>
      <c r="A608" s="76"/>
      <c r="B608" s="76"/>
      <c r="C608" s="57"/>
      <c r="D608" s="76"/>
      <c r="E608" s="6"/>
      <c r="F608" s="58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>
      <c r="A609" s="76"/>
      <c r="B609" s="76"/>
      <c r="C609" s="57"/>
      <c r="D609" s="76"/>
      <c r="E609" s="6"/>
      <c r="F609" s="58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>
      <c r="A610" s="76"/>
      <c r="B610" s="76"/>
      <c r="C610" s="57"/>
      <c r="D610" s="76"/>
      <c r="E610" s="6"/>
      <c r="F610" s="58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>
      <c r="A611" s="76"/>
      <c r="B611" s="76"/>
      <c r="C611" s="57"/>
      <c r="D611" s="76"/>
      <c r="E611" s="6"/>
      <c r="F611" s="58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>
      <c r="A612" s="76"/>
      <c r="B612" s="76"/>
      <c r="C612" s="57"/>
      <c r="D612" s="76"/>
      <c r="E612" s="6"/>
      <c r="F612" s="58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>
      <c r="A613" s="76"/>
      <c r="B613" s="76"/>
      <c r="C613" s="57"/>
      <c r="D613" s="76"/>
      <c r="E613" s="6"/>
      <c r="F613" s="58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>
      <c r="A614" s="76"/>
      <c r="B614" s="76"/>
      <c r="C614" s="57"/>
      <c r="D614" s="76"/>
      <c r="E614" s="6"/>
      <c r="F614" s="58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>
      <c r="A615" s="76"/>
      <c r="B615" s="76"/>
      <c r="C615" s="57"/>
      <c r="D615" s="76"/>
      <c r="E615" s="6"/>
      <c r="F615" s="58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>
      <c r="A616" s="76"/>
      <c r="B616" s="76"/>
      <c r="C616" s="57"/>
      <c r="D616" s="76"/>
      <c r="E616" s="6"/>
      <c r="F616" s="58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>
      <c r="A617" s="76"/>
      <c r="B617" s="76"/>
      <c r="C617" s="57"/>
      <c r="D617" s="76"/>
      <c r="E617" s="6"/>
      <c r="F617" s="58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>
      <c r="A618" s="76"/>
      <c r="B618" s="76"/>
      <c r="C618" s="57"/>
      <c r="D618" s="76"/>
      <c r="E618" s="6"/>
      <c r="F618" s="58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>
      <c r="A619" s="76"/>
      <c r="B619" s="76"/>
      <c r="C619" s="57"/>
      <c r="D619" s="76"/>
      <c r="E619" s="6"/>
      <c r="F619" s="58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>
      <c r="A620" s="76"/>
      <c r="B620" s="76"/>
      <c r="C620" s="57"/>
      <c r="D620" s="76"/>
      <c r="E620" s="6"/>
      <c r="F620" s="58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>
      <c r="A621" s="76"/>
      <c r="B621" s="76"/>
      <c r="C621" s="57"/>
      <c r="D621" s="76"/>
      <c r="E621" s="6"/>
      <c r="F621" s="58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>
      <c r="A622" s="76"/>
      <c r="B622" s="76"/>
      <c r="C622" s="57"/>
      <c r="D622" s="76"/>
      <c r="E622" s="6"/>
      <c r="F622" s="58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>
      <c r="A623" s="76"/>
      <c r="B623" s="76"/>
      <c r="C623" s="57"/>
      <c r="D623" s="76"/>
      <c r="E623" s="6"/>
      <c r="F623" s="58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>
      <c r="A624" s="76"/>
      <c r="B624" s="76"/>
      <c r="C624" s="57"/>
      <c r="D624" s="76"/>
      <c r="E624" s="6"/>
      <c r="F624" s="58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>
      <c r="A625" s="76"/>
      <c r="B625" s="76"/>
      <c r="C625" s="57"/>
      <c r="D625" s="76"/>
      <c r="E625" s="6"/>
      <c r="F625" s="58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>
      <c r="A626" s="76"/>
      <c r="B626" s="76"/>
      <c r="C626" s="57"/>
      <c r="D626" s="76"/>
      <c r="E626" s="6"/>
      <c r="F626" s="58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>
      <c r="A627" s="76"/>
      <c r="B627" s="76"/>
      <c r="C627" s="57"/>
      <c r="D627" s="76"/>
      <c r="E627" s="6"/>
      <c r="F627" s="58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>
      <c r="A628" s="76"/>
      <c r="B628" s="76"/>
      <c r="C628" s="57"/>
      <c r="D628" s="76"/>
      <c r="E628" s="6"/>
      <c r="F628" s="58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>
      <c r="A629" s="76"/>
      <c r="B629" s="76"/>
      <c r="C629" s="57"/>
      <c r="D629" s="76"/>
      <c r="E629" s="6"/>
      <c r="F629" s="58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>
      <c r="A630" s="76"/>
      <c r="B630" s="76"/>
      <c r="C630" s="57"/>
      <c r="D630" s="76"/>
      <c r="E630" s="6"/>
      <c r="F630" s="58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>
      <c r="A631" s="76"/>
      <c r="B631" s="76"/>
      <c r="C631" s="57"/>
      <c r="D631" s="76"/>
      <c r="E631" s="6"/>
      <c r="F631" s="58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>
      <c r="A632" s="76"/>
      <c r="B632" s="76"/>
      <c r="C632" s="57"/>
      <c r="D632" s="76"/>
      <c r="E632" s="6"/>
      <c r="F632" s="58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>
      <c r="A633" s="76"/>
      <c r="B633" s="76"/>
      <c r="C633" s="57"/>
      <c r="D633" s="76"/>
      <c r="E633" s="6"/>
      <c r="F633" s="58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>
      <c r="A634" s="76"/>
      <c r="B634" s="76"/>
      <c r="C634" s="57"/>
      <c r="D634" s="76"/>
      <c r="E634" s="6"/>
      <c r="F634" s="58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>
      <c r="A635" s="76"/>
      <c r="B635" s="76"/>
      <c r="C635" s="57"/>
      <c r="D635" s="76"/>
      <c r="E635" s="6"/>
      <c r="F635" s="58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>
      <c r="A636" s="76"/>
      <c r="B636" s="76"/>
      <c r="C636" s="57"/>
      <c r="D636" s="76"/>
      <c r="E636" s="6"/>
      <c r="F636" s="58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>
      <c r="A637" s="76"/>
      <c r="B637" s="76"/>
      <c r="C637" s="57"/>
      <c r="D637" s="76"/>
      <c r="E637" s="6"/>
      <c r="F637" s="58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>
      <c r="A638" s="76"/>
      <c r="B638" s="76"/>
      <c r="C638" s="57"/>
      <c r="D638" s="76"/>
      <c r="E638" s="6"/>
      <c r="F638" s="58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>
      <c r="A639" s="76"/>
      <c r="B639" s="76"/>
      <c r="C639" s="57"/>
      <c r="D639" s="76"/>
      <c r="E639" s="6"/>
      <c r="F639" s="58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>
      <c r="A640" s="76"/>
      <c r="B640" s="76"/>
      <c r="C640" s="57"/>
      <c r="D640" s="76"/>
      <c r="E640" s="6"/>
      <c r="F640" s="58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>
      <c r="A641" s="76"/>
      <c r="B641" s="76"/>
      <c r="C641" s="57"/>
      <c r="D641" s="76"/>
      <c r="E641" s="6"/>
      <c r="F641" s="58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>
      <c r="A642" s="76"/>
      <c r="B642" s="76"/>
      <c r="C642" s="57"/>
      <c r="D642" s="76"/>
      <c r="E642" s="6"/>
      <c r="F642" s="58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>
      <c r="A643" s="76"/>
      <c r="B643" s="76"/>
      <c r="C643" s="57"/>
      <c r="D643" s="76"/>
      <c r="E643" s="6"/>
      <c r="F643" s="58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>
      <c r="A644" s="76"/>
      <c r="B644" s="76"/>
      <c r="C644" s="57"/>
      <c r="D644" s="76"/>
      <c r="E644" s="6"/>
      <c r="F644" s="58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>
      <c r="A645" s="76"/>
      <c r="B645" s="76"/>
      <c r="C645" s="57"/>
      <c r="D645" s="76"/>
      <c r="E645" s="6"/>
      <c r="F645" s="58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>
      <c r="A646" s="76"/>
      <c r="B646" s="76"/>
      <c r="C646" s="57"/>
      <c r="D646" s="76"/>
      <c r="E646" s="6"/>
      <c r="F646" s="58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>
      <c r="A647" s="76"/>
      <c r="B647" s="76"/>
      <c r="C647" s="57"/>
      <c r="D647" s="76"/>
      <c r="E647" s="6"/>
      <c r="F647" s="58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>
      <c r="A648" s="76"/>
      <c r="B648" s="76"/>
      <c r="C648" s="57"/>
      <c r="D648" s="76"/>
      <c r="E648" s="6"/>
      <c r="F648" s="58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>
      <c r="A649" s="76"/>
      <c r="B649" s="76"/>
      <c r="C649" s="57"/>
      <c r="D649" s="76"/>
      <c r="E649" s="6"/>
      <c r="F649" s="58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>
      <c r="A650" s="76"/>
      <c r="B650" s="76"/>
      <c r="C650" s="57"/>
      <c r="D650" s="76"/>
      <c r="E650" s="6"/>
      <c r="F650" s="58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>
      <c r="A651" s="76"/>
      <c r="B651" s="76"/>
      <c r="C651" s="57"/>
      <c r="D651" s="76"/>
      <c r="E651" s="6"/>
      <c r="F651" s="58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>
      <c r="A652" s="76"/>
      <c r="B652" s="76"/>
      <c r="C652" s="57"/>
      <c r="D652" s="76"/>
      <c r="E652" s="6"/>
      <c r="F652" s="58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>
      <c r="A653" s="76"/>
      <c r="B653" s="76"/>
      <c r="C653" s="57"/>
      <c r="D653" s="76"/>
      <c r="E653" s="6"/>
      <c r="F653" s="58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>
      <c r="A654" s="76"/>
      <c r="B654" s="76"/>
      <c r="C654" s="57"/>
      <c r="D654" s="76"/>
      <c r="E654" s="6"/>
      <c r="F654" s="58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>
      <c r="A655" s="76"/>
      <c r="B655" s="76"/>
      <c r="C655" s="57"/>
      <c r="D655" s="76"/>
      <c r="E655" s="6"/>
      <c r="F655" s="58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>
      <c r="A656" s="76"/>
      <c r="B656" s="76"/>
      <c r="C656" s="57"/>
      <c r="D656" s="76"/>
      <c r="E656" s="6"/>
      <c r="F656" s="58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>
      <c r="A657" s="76"/>
      <c r="B657" s="76"/>
      <c r="C657" s="57"/>
      <c r="D657" s="76"/>
      <c r="E657" s="6"/>
      <c r="F657" s="58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>
      <c r="A658" s="76"/>
      <c r="B658" s="76"/>
      <c r="C658" s="57"/>
      <c r="D658" s="76"/>
      <c r="E658" s="6"/>
      <c r="F658" s="58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>
      <c r="A659" s="76"/>
      <c r="B659" s="76"/>
      <c r="C659" s="57"/>
      <c r="D659" s="76"/>
      <c r="E659" s="6"/>
      <c r="F659" s="58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>
      <c r="A660" s="76"/>
      <c r="B660" s="76"/>
      <c r="C660" s="57"/>
      <c r="D660" s="76"/>
      <c r="E660" s="6"/>
      <c r="F660" s="58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>
      <c r="A661" s="76"/>
      <c r="B661" s="76"/>
      <c r="C661" s="57"/>
      <c r="D661" s="76"/>
      <c r="E661" s="6"/>
      <c r="F661" s="58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>
      <c r="A662" s="76"/>
      <c r="B662" s="76"/>
      <c r="C662" s="57"/>
      <c r="D662" s="76"/>
      <c r="E662" s="6"/>
      <c r="F662" s="58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>
      <c r="A663" s="76"/>
      <c r="B663" s="76"/>
      <c r="C663" s="57"/>
      <c r="D663" s="76"/>
      <c r="E663" s="6"/>
      <c r="F663" s="58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>
      <c r="A664" s="76"/>
      <c r="B664" s="76"/>
      <c r="C664" s="57"/>
      <c r="D664" s="76"/>
      <c r="E664" s="6"/>
      <c r="F664" s="58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>
      <c r="A665" s="76"/>
      <c r="B665" s="76"/>
      <c r="C665" s="57"/>
      <c r="D665" s="76"/>
      <c r="E665" s="6"/>
      <c r="F665" s="58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>
      <c r="A666" s="76"/>
      <c r="B666" s="76"/>
      <c r="C666" s="57"/>
      <c r="D666" s="76"/>
      <c r="E666" s="6"/>
      <c r="F666" s="58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>
      <c r="A667" s="76"/>
      <c r="B667" s="76"/>
      <c r="C667" s="57"/>
      <c r="D667" s="76"/>
      <c r="E667" s="6"/>
      <c r="F667" s="58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>
      <c r="A668" s="76"/>
      <c r="B668" s="76"/>
      <c r="C668" s="57"/>
      <c r="D668" s="76"/>
      <c r="E668" s="6"/>
      <c r="F668" s="58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>
      <c r="A669" s="76"/>
      <c r="B669" s="76"/>
      <c r="C669" s="57"/>
      <c r="D669" s="76"/>
      <c r="E669" s="6"/>
      <c r="F669" s="58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>
      <c r="A670" s="76"/>
      <c r="B670" s="76"/>
      <c r="C670" s="57"/>
      <c r="D670" s="76"/>
      <c r="E670" s="6"/>
      <c r="F670" s="58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>
      <c r="A671" s="76"/>
      <c r="B671" s="76"/>
      <c r="C671" s="57"/>
      <c r="D671" s="76"/>
      <c r="E671" s="6"/>
      <c r="F671" s="58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>
      <c r="A672" s="76"/>
      <c r="B672" s="76"/>
      <c r="C672" s="57"/>
      <c r="D672" s="76"/>
      <c r="E672" s="6"/>
      <c r="F672" s="58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>
      <c r="A673" s="76"/>
      <c r="B673" s="76"/>
      <c r="C673" s="57"/>
      <c r="D673" s="76"/>
      <c r="E673" s="6"/>
      <c r="F673" s="58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>
      <c r="A674" s="76"/>
      <c r="B674" s="76"/>
      <c r="C674" s="57"/>
      <c r="D674" s="76"/>
      <c r="E674" s="6"/>
      <c r="F674" s="58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>
      <c r="A675" s="76"/>
      <c r="B675" s="76"/>
      <c r="C675" s="57"/>
      <c r="D675" s="76"/>
      <c r="E675" s="6"/>
      <c r="F675" s="58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>
      <c r="A676" s="76"/>
      <c r="B676" s="76"/>
      <c r="C676" s="57"/>
      <c r="D676" s="76"/>
      <c r="E676" s="6"/>
      <c r="F676" s="58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>
      <c r="A677" s="76"/>
      <c r="B677" s="76"/>
      <c r="C677" s="57"/>
      <c r="D677" s="76"/>
      <c r="E677" s="6"/>
      <c r="F677" s="58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>
      <c r="A678" s="76"/>
      <c r="B678" s="76"/>
      <c r="C678" s="57"/>
      <c r="D678" s="76"/>
      <c r="E678" s="6"/>
      <c r="F678" s="58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>
      <c r="A679" s="76"/>
      <c r="B679" s="76"/>
      <c r="C679" s="57"/>
      <c r="D679" s="76"/>
      <c r="E679" s="6"/>
      <c r="F679" s="58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>
      <c r="A680" s="76"/>
      <c r="B680" s="76"/>
      <c r="C680" s="57"/>
      <c r="D680" s="76"/>
      <c r="E680" s="6"/>
      <c r="F680" s="58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>
      <c r="A681" s="76"/>
      <c r="B681" s="76"/>
      <c r="C681" s="57"/>
      <c r="D681" s="76"/>
      <c r="E681" s="6"/>
      <c r="F681" s="58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>
      <c r="A682" s="76"/>
      <c r="B682" s="76"/>
      <c r="C682" s="57"/>
      <c r="D682" s="76"/>
      <c r="E682" s="6"/>
      <c r="F682" s="58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>
      <c r="A683" s="76"/>
      <c r="B683" s="76"/>
      <c r="C683" s="57"/>
      <c r="D683" s="76"/>
      <c r="E683" s="6"/>
      <c r="F683" s="58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>
      <c r="A684" s="76"/>
      <c r="B684" s="76"/>
      <c r="C684" s="57"/>
      <c r="D684" s="76"/>
      <c r="E684" s="6"/>
      <c r="F684" s="58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>
      <c r="A685" s="76"/>
      <c r="B685" s="76"/>
      <c r="C685" s="57"/>
      <c r="D685" s="76"/>
      <c r="E685" s="6"/>
      <c r="F685" s="58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>
      <c r="A686" s="76"/>
      <c r="B686" s="76"/>
      <c r="C686" s="57"/>
      <c r="D686" s="76"/>
      <c r="E686" s="6"/>
      <c r="F686" s="58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>
      <c r="A687" s="76"/>
      <c r="B687" s="76"/>
      <c r="C687" s="57"/>
      <c r="D687" s="76"/>
      <c r="E687" s="6"/>
      <c r="F687" s="58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>
      <c r="A688" s="76"/>
      <c r="B688" s="76"/>
      <c r="C688" s="57"/>
      <c r="D688" s="76"/>
      <c r="E688" s="6"/>
      <c r="F688" s="58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>
      <c r="A689" s="76"/>
      <c r="B689" s="76"/>
      <c r="C689" s="57"/>
      <c r="D689" s="76"/>
      <c r="E689" s="6"/>
      <c r="F689" s="58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>
      <c r="A690" s="76"/>
      <c r="B690" s="76"/>
      <c r="C690" s="57"/>
      <c r="D690" s="76"/>
      <c r="E690" s="6"/>
      <c r="F690" s="58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>
      <c r="A691" s="76"/>
      <c r="B691" s="76"/>
      <c r="C691" s="57"/>
      <c r="D691" s="76"/>
      <c r="E691" s="6"/>
      <c r="F691" s="58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>
      <c r="A692" s="76"/>
      <c r="B692" s="76"/>
      <c r="C692" s="57"/>
      <c r="D692" s="76"/>
      <c r="E692" s="6"/>
      <c r="F692" s="58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>
      <c r="A693" s="76"/>
      <c r="B693" s="76"/>
      <c r="C693" s="57"/>
      <c r="D693" s="76"/>
      <c r="E693" s="6"/>
      <c r="F693" s="58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>
      <c r="A694" s="76"/>
      <c r="B694" s="76"/>
      <c r="C694" s="57"/>
      <c r="D694" s="76"/>
      <c r="E694" s="6"/>
      <c r="F694" s="58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>
      <c r="A695" s="76"/>
      <c r="B695" s="76"/>
      <c r="C695" s="57"/>
      <c r="D695" s="76"/>
      <c r="E695" s="6"/>
      <c r="F695" s="58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>
      <c r="A696" s="76"/>
      <c r="B696" s="76"/>
      <c r="C696" s="57"/>
      <c r="D696" s="76"/>
      <c r="E696" s="6"/>
      <c r="F696" s="58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>
      <c r="A697" s="76"/>
      <c r="B697" s="76"/>
      <c r="C697" s="57"/>
      <c r="D697" s="76"/>
      <c r="E697" s="6"/>
      <c r="F697" s="58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>
      <c r="A698" s="76"/>
      <c r="B698" s="76"/>
      <c r="C698" s="57"/>
      <c r="D698" s="76"/>
      <c r="E698" s="6"/>
      <c r="F698" s="58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>
      <c r="A699" s="76"/>
      <c r="B699" s="76"/>
      <c r="C699" s="57"/>
      <c r="D699" s="76"/>
      <c r="E699" s="6"/>
      <c r="F699" s="58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>
      <c r="A700" s="76"/>
      <c r="B700" s="76"/>
      <c r="C700" s="57"/>
      <c r="D700" s="76"/>
      <c r="E700" s="6"/>
      <c r="F700" s="58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>
      <c r="A701" s="76"/>
      <c r="B701" s="76"/>
      <c r="C701" s="57"/>
      <c r="D701" s="76"/>
      <c r="E701" s="6"/>
      <c r="F701" s="58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>
      <c r="A702" s="76"/>
      <c r="B702" s="76"/>
      <c r="C702" s="57"/>
      <c r="D702" s="76"/>
      <c r="E702" s="6"/>
      <c r="F702" s="58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>
      <c r="A703" s="76"/>
      <c r="B703" s="76"/>
      <c r="C703" s="57"/>
      <c r="D703" s="76"/>
      <c r="E703" s="6"/>
      <c r="F703" s="58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>
      <c r="A704" s="76"/>
      <c r="B704" s="76"/>
      <c r="C704" s="57"/>
      <c r="D704" s="76"/>
      <c r="E704" s="6"/>
      <c r="F704" s="58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>
      <c r="A705" s="76"/>
      <c r="B705" s="76"/>
      <c r="C705" s="57"/>
      <c r="D705" s="76"/>
      <c r="E705" s="6"/>
      <c r="F705" s="58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>
      <c r="A706" s="76"/>
      <c r="B706" s="76"/>
      <c r="C706" s="57"/>
      <c r="D706" s="76"/>
      <c r="E706" s="6"/>
      <c r="F706" s="58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>
      <c r="A707" s="76"/>
      <c r="B707" s="76"/>
      <c r="C707" s="57"/>
      <c r="D707" s="76"/>
      <c r="E707" s="6"/>
      <c r="F707" s="58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>
      <c r="A708" s="76"/>
      <c r="B708" s="76"/>
      <c r="C708" s="57"/>
      <c r="D708" s="76"/>
      <c r="E708" s="6"/>
      <c r="F708" s="58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>
      <c r="A709" s="76"/>
      <c r="B709" s="76"/>
      <c r="C709" s="57"/>
      <c r="D709" s="76"/>
      <c r="E709" s="6"/>
      <c r="F709" s="58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>
      <c r="A710" s="76"/>
      <c r="B710" s="76"/>
      <c r="C710" s="57"/>
      <c r="D710" s="76"/>
      <c r="E710" s="6"/>
      <c r="F710" s="58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>
      <c r="A711" s="76"/>
      <c r="B711" s="76"/>
      <c r="C711" s="57"/>
      <c r="D711" s="76"/>
      <c r="E711" s="6"/>
      <c r="F711" s="58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>
      <c r="A712" s="76"/>
      <c r="B712" s="76"/>
      <c r="C712" s="57"/>
      <c r="D712" s="76"/>
      <c r="E712" s="6"/>
      <c r="F712" s="58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>
      <c r="A713" s="76"/>
      <c r="B713" s="76"/>
      <c r="C713" s="57"/>
      <c r="D713" s="76"/>
      <c r="E713" s="6"/>
      <c r="F713" s="58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>
      <c r="A714" s="76"/>
      <c r="B714" s="76"/>
      <c r="C714" s="57"/>
      <c r="D714" s="76"/>
      <c r="E714" s="6"/>
      <c r="F714" s="58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>
      <c r="A715" s="76"/>
      <c r="B715" s="76"/>
      <c r="C715" s="57"/>
      <c r="D715" s="76"/>
      <c r="E715" s="6"/>
      <c r="F715" s="58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>
      <c r="A716" s="76"/>
      <c r="B716" s="76"/>
      <c r="C716" s="57"/>
      <c r="D716" s="76"/>
      <c r="E716" s="6"/>
      <c r="F716" s="58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>
      <c r="A717" s="76"/>
      <c r="B717" s="76"/>
      <c r="C717" s="57"/>
      <c r="D717" s="76"/>
      <c r="E717" s="6"/>
      <c r="F717" s="58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>
      <c r="A718" s="76"/>
      <c r="B718" s="76"/>
      <c r="C718" s="57"/>
      <c r="D718" s="76"/>
      <c r="E718" s="6"/>
      <c r="F718" s="58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>
      <c r="A719" s="76"/>
      <c r="B719" s="76"/>
      <c r="C719" s="57"/>
      <c r="D719" s="76"/>
      <c r="E719" s="6"/>
      <c r="F719" s="58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>
      <c r="A720" s="76"/>
      <c r="B720" s="76"/>
      <c r="C720" s="57"/>
      <c r="D720" s="76"/>
      <c r="E720" s="6"/>
      <c r="F720" s="58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>
      <c r="A721" s="76"/>
      <c r="B721" s="76"/>
      <c r="C721" s="57"/>
      <c r="D721" s="76"/>
      <c r="E721" s="6"/>
      <c r="F721" s="58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>
      <c r="A722" s="76"/>
      <c r="B722" s="76"/>
      <c r="C722" s="57"/>
      <c r="D722" s="76"/>
      <c r="E722" s="6"/>
      <c r="F722" s="58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>
      <c r="A723" s="76"/>
      <c r="B723" s="76"/>
      <c r="C723" s="57"/>
      <c r="D723" s="76"/>
      <c r="E723" s="6"/>
      <c r="F723" s="58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>
      <c r="A724" s="76"/>
      <c r="B724" s="76"/>
      <c r="C724" s="57"/>
      <c r="D724" s="76"/>
      <c r="E724" s="6"/>
      <c r="F724" s="58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>
      <c r="A725" s="76"/>
      <c r="B725" s="76"/>
      <c r="C725" s="57"/>
      <c r="D725" s="76"/>
      <c r="E725" s="6"/>
      <c r="F725" s="58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>
      <c r="A726" s="76"/>
      <c r="B726" s="76"/>
      <c r="C726" s="57"/>
      <c r="D726" s="76"/>
      <c r="E726" s="6"/>
      <c r="F726" s="58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>
      <c r="A727" s="76"/>
      <c r="B727" s="76"/>
      <c r="C727" s="57"/>
      <c r="D727" s="76"/>
      <c r="E727" s="6"/>
      <c r="F727" s="58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>
      <c r="A728" s="76"/>
      <c r="B728" s="76"/>
      <c r="C728" s="57"/>
      <c r="D728" s="76"/>
      <c r="E728" s="6"/>
      <c r="F728" s="58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>
      <c r="A729" s="76"/>
      <c r="B729" s="76"/>
      <c r="C729" s="57"/>
      <c r="D729" s="76"/>
      <c r="E729" s="6"/>
      <c r="F729" s="58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>
      <c r="A730" s="76"/>
      <c r="B730" s="76"/>
      <c r="C730" s="57"/>
      <c r="D730" s="76"/>
      <c r="E730" s="6"/>
      <c r="F730" s="58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>
      <c r="A731" s="76"/>
      <c r="B731" s="76"/>
      <c r="C731" s="57"/>
      <c r="D731" s="76"/>
      <c r="E731" s="6"/>
      <c r="F731" s="58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>
      <c r="A732" s="76"/>
      <c r="B732" s="76"/>
      <c r="C732" s="57"/>
      <c r="D732" s="76"/>
      <c r="E732" s="6"/>
      <c r="F732" s="58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>
      <c r="A733" s="76"/>
      <c r="B733" s="76"/>
      <c r="C733" s="57"/>
      <c r="D733" s="76"/>
      <c r="E733" s="6"/>
      <c r="F733" s="58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>
      <c r="A734" s="76"/>
      <c r="B734" s="76"/>
      <c r="C734" s="57"/>
      <c r="D734" s="76"/>
      <c r="E734" s="6"/>
      <c r="F734" s="58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>
      <c r="A735" s="76"/>
      <c r="B735" s="76"/>
      <c r="C735" s="57"/>
      <c r="D735" s="76"/>
      <c r="E735" s="6"/>
      <c r="F735" s="58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>
      <c r="A736" s="76"/>
      <c r="B736" s="76"/>
      <c r="C736" s="57"/>
      <c r="D736" s="76"/>
      <c r="E736" s="6"/>
      <c r="F736" s="58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>
      <c r="A737" s="76"/>
      <c r="B737" s="76"/>
      <c r="C737" s="57"/>
      <c r="D737" s="76"/>
      <c r="E737" s="6"/>
      <c r="F737" s="58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>
      <c r="A738" s="76"/>
      <c r="B738" s="76"/>
      <c r="C738" s="57"/>
      <c r="D738" s="76"/>
      <c r="E738" s="6"/>
      <c r="F738" s="58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>
      <c r="A739" s="76"/>
      <c r="B739" s="76"/>
      <c r="C739" s="57"/>
      <c r="D739" s="76"/>
      <c r="E739" s="6"/>
      <c r="F739" s="58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>
      <c r="A740" s="76"/>
      <c r="B740" s="76"/>
      <c r="C740" s="57"/>
      <c r="D740" s="76"/>
      <c r="E740" s="6"/>
      <c r="F740" s="58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>
      <c r="A741" s="76"/>
      <c r="B741" s="76"/>
      <c r="C741" s="57"/>
      <c r="D741" s="76"/>
      <c r="E741" s="6"/>
      <c r="F741" s="58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>
      <c r="A742" s="76"/>
      <c r="B742" s="76"/>
      <c r="C742" s="57"/>
      <c r="D742" s="76"/>
      <c r="E742" s="6"/>
      <c r="F742" s="58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>
      <c r="A743" s="76"/>
      <c r="B743" s="76"/>
      <c r="C743" s="57"/>
      <c r="D743" s="76"/>
      <c r="E743" s="6"/>
      <c r="F743" s="58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>
      <c r="A744" s="76"/>
      <c r="B744" s="76"/>
      <c r="C744" s="57"/>
      <c r="D744" s="76"/>
      <c r="E744" s="6"/>
      <c r="F744" s="58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>
      <c r="A745" s="76"/>
      <c r="B745" s="76"/>
      <c r="C745" s="57"/>
      <c r="D745" s="76"/>
      <c r="E745" s="6"/>
      <c r="F745" s="58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>
      <c r="A746" s="76"/>
      <c r="B746" s="76"/>
      <c r="C746" s="57"/>
      <c r="D746" s="76"/>
      <c r="E746" s="6"/>
      <c r="F746" s="58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>
      <c r="A747" s="76"/>
      <c r="B747" s="76"/>
      <c r="C747" s="57"/>
      <c r="D747" s="76"/>
      <c r="E747" s="6"/>
      <c r="F747" s="58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>
      <c r="A748" s="76"/>
      <c r="B748" s="76"/>
      <c r="C748" s="57"/>
      <c r="D748" s="76"/>
      <c r="E748" s="6"/>
      <c r="F748" s="58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>
      <c r="A749" s="76"/>
      <c r="B749" s="76"/>
      <c r="C749" s="57"/>
      <c r="D749" s="76"/>
      <c r="E749" s="6"/>
      <c r="F749" s="58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>
      <c r="A750" s="76"/>
      <c r="B750" s="76"/>
      <c r="C750" s="57"/>
      <c r="D750" s="76"/>
      <c r="E750" s="6"/>
      <c r="F750" s="58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>
      <c r="A751" s="76"/>
      <c r="B751" s="76"/>
      <c r="C751" s="57"/>
      <c r="D751" s="76"/>
      <c r="E751" s="6"/>
      <c r="F751" s="58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>
      <c r="A752" s="76"/>
      <c r="B752" s="76"/>
      <c r="C752" s="57"/>
      <c r="D752" s="76"/>
      <c r="E752" s="6"/>
      <c r="F752" s="58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>
      <c r="A753" s="76"/>
      <c r="B753" s="76"/>
      <c r="C753" s="57"/>
      <c r="D753" s="76"/>
      <c r="E753" s="6"/>
      <c r="F753" s="58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>
      <c r="A754" s="76"/>
      <c r="B754" s="76"/>
      <c r="C754" s="57"/>
      <c r="D754" s="76"/>
      <c r="E754" s="6"/>
      <c r="F754" s="58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>
      <c r="A755" s="76"/>
      <c r="B755" s="76"/>
      <c r="C755" s="57"/>
      <c r="D755" s="76"/>
      <c r="E755" s="6"/>
      <c r="F755" s="58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>
      <c r="A756" s="76"/>
      <c r="B756" s="76"/>
      <c r="C756" s="57"/>
      <c r="D756" s="76"/>
      <c r="E756" s="6"/>
      <c r="F756" s="58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>
      <c r="A757" s="76"/>
      <c r="B757" s="76"/>
      <c r="C757" s="57"/>
      <c r="D757" s="76"/>
      <c r="E757" s="6"/>
      <c r="F757" s="58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>
      <c r="A758" s="76"/>
      <c r="B758" s="76"/>
      <c r="C758" s="57"/>
      <c r="D758" s="76"/>
      <c r="E758" s="6"/>
      <c r="F758" s="58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>
      <c r="A759" s="76"/>
      <c r="B759" s="76"/>
      <c r="C759" s="57"/>
      <c r="D759" s="76"/>
      <c r="E759" s="6"/>
      <c r="F759" s="58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>
      <c r="A760" s="76"/>
      <c r="B760" s="76"/>
      <c r="C760" s="57"/>
      <c r="D760" s="76"/>
      <c r="E760" s="6"/>
      <c r="F760" s="58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>
      <c r="A761" s="76"/>
      <c r="B761" s="76"/>
      <c r="C761" s="57"/>
      <c r="D761" s="76"/>
      <c r="E761" s="6"/>
      <c r="F761" s="58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>
      <c r="A762" s="76"/>
      <c r="B762" s="76"/>
      <c r="C762" s="57"/>
      <c r="D762" s="76"/>
      <c r="E762" s="6"/>
      <c r="F762" s="58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>
      <c r="A763" s="76"/>
      <c r="B763" s="76"/>
      <c r="C763" s="57"/>
      <c r="D763" s="76"/>
      <c r="E763" s="6"/>
      <c r="F763" s="58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>
      <c r="A764" s="76"/>
      <c r="B764" s="76"/>
      <c r="C764" s="57"/>
      <c r="D764" s="76"/>
      <c r="E764" s="6"/>
      <c r="F764" s="58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>
      <c r="A765" s="76"/>
      <c r="B765" s="76"/>
      <c r="C765" s="57"/>
      <c r="D765" s="76"/>
      <c r="E765" s="6"/>
      <c r="F765" s="58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>
      <c r="A766" s="76"/>
      <c r="B766" s="76"/>
      <c r="C766" s="57"/>
      <c r="D766" s="76"/>
      <c r="E766" s="6"/>
      <c r="F766" s="58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>
      <c r="A767" s="76"/>
      <c r="B767" s="76"/>
      <c r="C767" s="57"/>
      <c r="D767" s="76"/>
      <c r="E767" s="6"/>
      <c r="F767" s="58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>
      <c r="A768" s="76"/>
      <c r="B768" s="76"/>
      <c r="C768" s="57"/>
      <c r="D768" s="76"/>
      <c r="E768" s="6"/>
      <c r="F768" s="58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>
      <c r="A769" s="76"/>
      <c r="B769" s="76"/>
      <c r="C769" s="57"/>
      <c r="D769" s="76"/>
      <c r="E769" s="6"/>
      <c r="F769" s="58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>
      <c r="A770" s="76"/>
      <c r="B770" s="76"/>
      <c r="C770" s="57"/>
      <c r="D770" s="76"/>
      <c r="E770" s="6"/>
      <c r="F770" s="58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>
      <c r="A771" s="76"/>
      <c r="B771" s="76"/>
      <c r="C771" s="57"/>
      <c r="D771" s="76"/>
      <c r="E771" s="6"/>
      <c r="F771" s="58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>
      <c r="A772" s="76"/>
      <c r="B772" s="76"/>
      <c r="C772" s="57"/>
      <c r="D772" s="76"/>
      <c r="E772" s="6"/>
      <c r="F772" s="58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>
      <c r="A773" s="76"/>
      <c r="B773" s="76"/>
      <c r="C773" s="57"/>
      <c r="D773" s="76"/>
      <c r="E773" s="6"/>
      <c r="F773" s="58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>
      <c r="A774" s="76"/>
      <c r="B774" s="76"/>
      <c r="C774" s="57"/>
      <c r="D774" s="76"/>
      <c r="E774" s="6"/>
      <c r="F774" s="58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>
      <c r="A775" s="76"/>
      <c r="B775" s="76"/>
      <c r="C775" s="57"/>
      <c r="D775" s="76"/>
      <c r="E775" s="6"/>
      <c r="F775" s="58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>
      <c r="A776" s="76"/>
      <c r="B776" s="76"/>
      <c r="C776" s="57"/>
      <c r="D776" s="76"/>
      <c r="E776" s="6"/>
      <c r="F776" s="58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>
      <c r="A777" s="76"/>
      <c r="B777" s="76"/>
      <c r="C777" s="57"/>
      <c r="D777" s="76"/>
      <c r="E777" s="6"/>
      <c r="F777" s="58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>
      <c r="A778" s="76"/>
      <c r="B778" s="76"/>
      <c r="C778" s="57"/>
      <c r="D778" s="76"/>
      <c r="E778" s="6"/>
      <c r="F778" s="58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>
      <c r="A779" s="76"/>
      <c r="B779" s="76"/>
      <c r="C779" s="57"/>
      <c r="D779" s="76"/>
      <c r="E779" s="6"/>
      <c r="F779" s="58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>
      <c r="A780" s="76"/>
      <c r="B780" s="76"/>
      <c r="C780" s="57"/>
      <c r="D780" s="76"/>
      <c r="E780" s="6"/>
      <c r="F780" s="58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>
      <c r="A781" s="76"/>
      <c r="B781" s="76"/>
      <c r="C781" s="57"/>
      <c r="D781" s="76"/>
      <c r="E781" s="6"/>
      <c r="F781" s="58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>
      <c r="A782" s="76"/>
      <c r="B782" s="76"/>
      <c r="C782" s="57"/>
      <c r="D782" s="76"/>
      <c r="E782" s="6"/>
      <c r="F782" s="58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>
      <c r="A783" s="76"/>
      <c r="B783" s="76"/>
      <c r="C783" s="57"/>
      <c r="D783" s="76"/>
      <c r="E783" s="6"/>
      <c r="F783" s="58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>
      <c r="A784" s="76"/>
      <c r="B784" s="76"/>
      <c r="C784" s="57"/>
      <c r="D784" s="76"/>
      <c r="E784" s="6"/>
      <c r="F784" s="58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>
      <c r="A785" s="76"/>
      <c r="B785" s="76"/>
      <c r="C785" s="57"/>
      <c r="D785" s="76"/>
      <c r="E785" s="6"/>
      <c r="F785" s="58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>
      <c r="A786" s="76"/>
      <c r="B786" s="76"/>
      <c r="C786" s="57"/>
      <c r="D786" s="76"/>
      <c r="E786" s="6"/>
      <c r="F786" s="58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>
      <c r="A787" s="76"/>
      <c r="B787" s="76"/>
      <c r="C787" s="57"/>
      <c r="D787" s="76"/>
      <c r="E787" s="6"/>
      <c r="F787" s="58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>
      <c r="A788" s="76"/>
      <c r="B788" s="76"/>
      <c r="C788" s="57"/>
      <c r="D788" s="76"/>
      <c r="E788" s="6"/>
      <c r="F788" s="58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>
      <c r="A789" s="76"/>
      <c r="B789" s="76"/>
      <c r="C789" s="57"/>
      <c r="D789" s="76"/>
      <c r="E789" s="6"/>
      <c r="F789" s="58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>
      <c r="A790" s="76"/>
      <c r="B790" s="76"/>
      <c r="C790" s="57"/>
      <c r="D790" s="76"/>
      <c r="E790" s="6"/>
      <c r="F790" s="58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>
      <c r="A791" s="76"/>
      <c r="B791" s="76"/>
      <c r="C791" s="57"/>
      <c r="D791" s="76"/>
      <c r="E791" s="6"/>
      <c r="F791" s="58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>
      <c r="A792" s="76"/>
      <c r="B792" s="76"/>
      <c r="C792" s="57"/>
      <c r="D792" s="76"/>
      <c r="E792" s="6"/>
      <c r="F792" s="58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>
      <c r="A793" s="76"/>
      <c r="B793" s="76"/>
      <c r="C793" s="57"/>
      <c r="D793" s="76"/>
      <c r="E793" s="6"/>
      <c r="F793" s="58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>
      <c r="A794" s="76"/>
      <c r="B794" s="76"/>
      <c r="C794" s="57"/>
      <c r="D794" s="76"/>
      <c r="E794" s="6"/>
      <c r="F794" s="58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>
      <c r="A795" s="76"/>
      <c r="B795" s="76"/>
      <c r="C795" s="57"/>
      <c r="D795" s="76"/>
      <c r="E795" s="6"/>
      <c r="F795" s="58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>
      <c r="A796" s="76"/>
      <c r="B796" s="76"/>
      <c r="C796" s="57"/>
      <c r="D796" s="76"/>
      <c r="E796" s="6"/>
      <c r="F796" s="58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>
      <c r="A797" s="76"/>
      <c r="B797" s="76"/>
      <c r="C797" s="57"/>
      <c r="D797" s="76"/>
      <c r="E797" s="6"/>
      <c r="F797" s="58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>
      <c r="A798" s="76"/>
      <c r="B798" s="76"/>
      <c r="C798" s="57"/>
      <c r="D798" s="76"/>
      <c r="E798" s="6"/>
      <c r="F798" s="58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>
      <c r="A799" s="76"/>
      <c r="B799" s="76"/>
      <c r="C799" s="57"/>
      <c r="D799" s="76"/>
      <c r="E799" s="6"/>
      <c r="F799" s="58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>
      <c r="A800" s="76"/>
      <c r="B800" s="76"/>
      <c r="C800" s="57"/>
      <c r="D800" s="76"/>
      <c r="E800" s="6"/>
      <c r="F800" s="58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>
      <c r="A801" s="76"/>
      <c r="B801" s="76"/>
      <c r="C801" s="57"/>
      <c r="D801" s="76"/>
      <c r="E801" s="6"/>
      <c r="F801" s="58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>
      <c r="A802" s="76"/>
      <c r="B802" s="76"/>
      <c r="C802" s="57"/>
      <c r="D802" s="76"/>
      <c r="E802" s="6"/>
      <c r="F802" s="58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>
      <c r="A803" s="76"/>
      <c r="B803" s="76"/>
      <c r="C803" s="57"/>
      <c r="D803" s="76"/>
      <c r="E803" s="6"/>
      <c r="F803" s="58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>
      <c r="A804" s="76"/>
      <c r="B804" s="76"/>
      <c r="C804" s="57"/>
      <c r="D804" s="76"/>
      <c r="E804" s="6"/>
      <c r="F804" s="58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>
      <c r="A805" s="76"/>
      <c r="B805" s="76"/>
      <c r="C805" s="57"/>
      <c r="D805" s="76"/>
      <c r="E805" s="6"/>
      <c r="F805" s="58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>
      <c r="A806" s="76"/>
      <c r="B806" s="76"/>
      <c r="C806" s="57"/>
      <c r="D806" s="76"/>
      <c r="E806" s="6"/>
      <c r="F806" s="58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>
      <c r="A807" s="76"/>
      <c r="B807" s="76"/>
      <c r="C807" s="57"/>
      <c r="D807" s="76"/>
      <c r="E807" s="6"/>
      <c r="F807" s="58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>
      <c r="A808" s="76"/>
      <c r="B808" s="76"/>
      <c r="C808" s="57"/>
      <c r="D808" s="76"/>
      <c r="E808" s="6"/>
      <c r="F808" s="58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>
      <c r="A809" s="76"/>
      <c r="B809" s="76"/>
      <c r="C809" s="57"/>
      <c r="D809" s="76"/>
      <c r="E809" s="6"/>
      <c r="F809" s="58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>
      <c r="A810" s="76"/>
      <c r="B810" s="76"/>
      <c r="C810" s="57"/>
      <c r="D810" s="76"/>
      <c r="E810" s="6"/>
      <c r="F810" s="58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>
      <c r="A811" s="76"/>
      <c r="B811" s="76"/>
      <c r="C811" s="57"/>
      <c r="D811" s="76"/>
      <c r="E811" s="6"/>
      <c r="F811" s="58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>
      <c r="A812" s="76"/>
      <c r="B812" s="76"/>
      <c r="C812" s="57"/>
      <c r="D812" s="76"/>
      <c r="E812" s="6"/>
      <c r="F812" s="58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>
      <c r="A813" s="76"/>
      <c r="B813" s="76"/>
      <c r="C813" s="57"/>
      <c r="D813" s="76"/>
      <c r="E813" s="6"/>
      <c r="F813" s="58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>
      <c r="A814" s="76"/>
      <c r="B814" s="76"/>
      <c r="C814" s="57"/>
      <c r="D814" s="76"/>
      <c r="E814" s="6"/>
      <c r="F814" s="58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>
      <c r="A815" s="76"/>
      <c r="B815" s="76"/>
      <c r="C815" s="57"/>
      <c r="D815" s="76"/>
      <c r="E815" s="6"/>
      <c r="F815" s="58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>
      <c r="A816" s="76"/>
      <c r="B816" s="76"/>
      <c r="C816" s="57"/>
      <c r="D816" s="76"/>
      <c r="E816" s="6"/>
      <c r="F816" s="58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>
      <c r="A817" s="76"/>
      <c r="B817" s="76"/>
      <c r="C817" s="57"/>
      <c r="D817" s="76"/>
      <c r="E817" s="6"/>
      <c r="F817" s="58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>
      <c r="A818" s="76"/>
      <c r="B818" s="76"/>
      <c r="C818" s="57"/>
      <c r="D818" s="76"/>
      <c r="E818" s="6"/>
      <c r="F818" s="58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>
      <c r="A819" s="76"/>
      <c r="B819" s="76"/>
      <c r="C819" s="57"/>
      <c r="D819" s="76"/>
      <c r="E819" s="6"/>
      <c r="F819" s="58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>
      <c r="A820" s="76"/>
      <c r="B820" s="76"/>
      <c r="C820" s="57"/>
      <c r="D820" s="76"/>
      <c r="E820" s="6"/>
      <c r="F820" s="58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>
      <c r="A821" s="76"/>
      <c r="B821" s="76"/>
      <c r="C821" s="57"/>
      <c r="D821" s="76"/>
      <c r="E821" s="6"/>
      <c r="F821" s="58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>
      <c r="A822" s="76"/>
      <c r="B822" s="76"/>
      <c r="C822" s="57"/>
      <c r="D822" s="76"/>
      <c r="E822" s="6"/>
      <c r="F822" s="58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>
      <c r="A823" s="76"/>
      <c r="B823" s="76"/>
      <c r="C823" s="57"/>
      <c r="D823" s="76"/>
      <c r="E823" s="6"/>
      <c r="F823" s="58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>
      <c r="A824" s="76"/>
      <c r="B824" s="76"/>
      <c r="C824" s="57"/>
      <c r="D824" s="76"/>
      <c r="E824" s="6"/>
      <c r="F824" s="58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>
      <c r="A825" s="76"/>
      <c r="B825" s="76"/>
      <c r="C825" s="57"/>
      <c r="D825" s="76"/>
      <c r="E825" s="6"/>
      <c r="F825" s="58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>
      <c r="A826" s="76"/>
      <c r="B826" s="76"/>
      <c r="C826" s="57"/>
      <c r="D826" s="76"/>
      <c r="E826" s="6"/>
      <c r="F826" s="58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>
      <c r="A827" s="76"/>
      <c r="B827" s="76"/>
      <c r="C827" s="57"/>
      <c r="D827" s="76"/>
      <c r="E827" s="6"/>
      <c r="F827" s="58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>
      <c r="A828" s="76"/>
      <c r="B828" s="76"/>
      <c r="C828" s="57"/>
      <c r="D828" s="76"/>
      <c r="E828" s="6"/>
      <c r="F828" s="58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>
      <c r="A829" s="76"/>
      <c r="B829" s="76"/>
      <c r="C829" s="57"/>
      <c r="D829" s="76"/>
      <c r="E829" s="6"/>
      <c r="F829" s="58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>
      <c r="A830" s="76"/>
      <c r="B830" s="76"/>
      <c r="C830" s="57"/>
      <c r="D830" s="76"/>
      <c r="E830" s="6"/>
      <c r="F830" s="58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>
      <c r="A831" s="76"/>
      <c r="B831" s="76"/>
      <c r="C831" s="57"/>
      <c r="D831" s="76"/>
      <c r="E831" s="6"/>
      <c r="F831" s="58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>
      <c r="A832" s="76"/>
      <c r="B832" s="76"/>
      <c r="C832" s="57"/>
      <c r="D832" s="76"/>
      <c r="E832" s="6"/>
      <c r="F832" s="58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>
      <c r="A833" s="76"/>
      <c r="B833" s="76"/>
      <c r="C833" s="57"/>
      <c r="D833" s="76"/>
      <c r="E833" s="6"/>
      <c r="F833" s="58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>
      <c r="A834" s="76"/>
      <c r="B834" s="76"/>
      <c r="C834" s="57"/>
      <c r="D834" s="76"/>
      <c r="E834" s="6"/>
      <c r="F834" s="58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>
      <c r="A835" s="76"/>
      <c r="B835" s="76"/>
      <c r="C835" s="57"/>
      <c r="D835" s="76"/>
      <c r="E835" s="6"/>
      <c r="F835" s="58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>
      <c r="A836" s="76"/>
      <c r="B836" s="76"/>
      <c r="C836" s="57"/>
      <c r="D836" s="76"/>
      <c r="E836" s="6"/>
      <c r="F836" s="58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>
      <c r="A837" s="76"/>
      <c r="B837" s="76"/>
      <c r="C837" s="57"/>
      <c r="D837" s="76"/>
      <c r="E837" s="6"/>
      <c r="F837" s="58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>
      <c r="A838" s="76"/>
      <c r="B838" s="76"/>
      <c r="C838" s="57"/>
      <c r="D838" s="76"/>
      <c r="E838" s="6"/>
      <c r="F838" s="58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>
      <c r="A839" s="76"/>
      <c r="B839" s="76"/>
      <c r="C839" s="57"/>
      <c r="D839" s="76"/>
      <c r="E839" s="6"/>
      <c r="F839" s="58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>
      <c r="A840" s="76"/>
      <c r="B840" s="76"/>
      <c r="C840" s="57"/>
      <c r="D840" s="76"/>
      <c r="E840" s="6"/>
      <c r="F840" s="58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>
      <c r="A841" s="76"/>
      <c r="B841" s="76"/>
      <c r="C841" s="57"/>
      <c r="D841" s="76"/>
      <c r="E841" s="6"/>
      <c r="F841" s="58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>
      <c r="A842" s="76"/>
      <c r="B842" s="76"/>
      <c r="C842" s="57"/>
      <c r="D842" s="76"/>
      <c r="E842" s="6"/>
      <c r="F842" s="58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>
      <c r="A843" s="76"/>
      <c r="B843" s="76"/>
      <c r="C843" s="57"/>
      <c r="D843" s="76"/>
      <c r="E843" s="6"/>
      <c r="F843" s="58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>
      <c r="A844" s="76"/>
      <c r="B844" s="76"/>
      <c r="C844" s="57"/>
      <c r="D844" s="76"/>
      <c r="E844" s="6"/>
      <c r="F844" s="58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>
      <c r="A845" s="76"/>
      <c r="B845" s="76"/>
      <c r="C845" s="57"/>
      <c r="D845" s="76"/>
      <c r="E845" s="6"/>
      <c r="F845" s="58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>
      <c r="A846" s="76"/>
      <c r="B846" s="76"/>
      <c r="C846" s="57"/>
      <c r="D846" s="76"/>
      <c r="E846" s="6"/>
      <c r="F846" s="58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>
      <c r="A847" s="76"/>
      <c r="B847" s="76"/>
      <c r="C847" s="57"/>
      <c r="D847" s="76"/>
      <c r="E847" s="6"/>
      <c r="F847" s="58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>
      <c r="A848" s="76"/>
      <c r="B848" s="76"/>
      <c r="C848" s="57"/>
      <c r="D848" s="76"/>
      <c r="E848" s="6"/>
      <c r="F848" s="58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>
      <c r="A849" s="76"/>
      <c r="B849" s="76"/>
      <c r="C849" s="57"/>
      <c r="D849" s="76"/>
      <c r="E849" s="6"/>
      <c r="F849" s="58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>
      <c r="A850" s="76"/>
      <c r="B850" s="76"/>
      <c r="C850" s="57"/>
      <c r="D850" s="76"/>
      <c r="E850" s="6"/>
      <c r="F850" s="58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>
      <c r="A851" s="76"/>
      <c r="B851" s="76"/>
      <c r="C851" s="57"/>
      <c r="D851" s="76"/>
      <c r="E851" s="6"/>
      <c r="F851" s="58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>
      <c r="A852" s="76"/>
      <c r="B852" s="76"/>
      <c r="C852" s="57"/>
      <c r="D852" s="76"/>
      <c r="E852" s="6"/>
      <c r="F852" s="58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>
      <c r="A853" s="76"/>
      <c r="B853" s="76"/>
      <c r="C853" s="57"/>
      <c r="D853" s="76"/>
      <c r="E853" s="6"/>
      <c r="F853" s="58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>
      <c r="A854" s="76"/>
      <c r="B854" s="76"/>
      <c r="C854" s="57"/>
      <c r="D854" s="76"/>
      <c r="E854" s="6"/>
      <c r="F854" s="58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>
      <c r="A855" s="76"/>
      <c r="B855" s="76"/>
      <c r="C855" s="57"/>
      <c r="D855" s="76"/>
      <c r="E855" s="6"/>
      <c r="F855" s="58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>
      <c r="A856" s="76"/>
      <c r="B856" s="76"/>
      <c r="C856" s="57"/>
      <c r="D856" s="76"/>
      <c r="E856" s="6"/>
      <c r="F856" s="58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>
      <c r="A857" s="76"/>
      <c r="B857" s="76"/>
      <c r="C857" s="57"/>
      <c r="D857" s="76"/>
      <c r="E857" s="6"/>
      <c r="F857" s="58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>
      <c r="A858" s="76"/>
      <c r="B858" s="76"/>
      <c r="C858" s="57"/>
      <c r="D858" s="76"/>
      <c r="E858" s="6"/>
      <c r="F858" s="58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>
      <c r="A859" s="76"/>
      <c r="B859" s="76"/>
      <c r="C859" s="57"/>
      <c r="D859" s="76"/>
      <c r="E859" s="6"/>
      <c r="F859" s="58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>
      <c r="A860" s="76"/>
      <c r="B860" s="76"/>
      <c r="C860" s="57"/>
      <c r="D860" s="76"/>
      <c r="E860" s="6"/>
      <c r="F860" s="58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>
      <c r="A861" s="76"/>
      <c r="B861" s="76"/>
      <c r="C861" s="57"/>
      <c r="D861" s="76"/>
      <c r="E861" s="6"/>
      <c r="F861" s="58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>
      <c r="A862" s="76"/>
      <c r="B862" s="76"/>
      <c r="C862" s="57"/>
      <c r="D862" s="76"/>
      <c r="E862" s="6"/>
      <c r="F862" s="58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>
      <c r="A863" s="76"/>
      <c r="B863" s="76"/>
      <c r="C863" s="57"/>
      <c r="D863" s="76"/>
      <c r="E863" s="6"/>
      <c r="F863" s="58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>
      <c r="A864" s="76"/>
      <c r="B864" s="76"/>
      <c r="C864" s="57"/>
      <c r="D864" s="76"/>
      <c r="E864" s="6"/>
      <c r="F864" s="58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>
      <c r="A865" s="76"/>
      <c r="B865" s="76"/>
      <c r="C865" s="57"/>
      <c r="D865" s="76"/>
      <c r="E865" s="6"/>
      <c r="F865" s="58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>
      <c r="A866" s="76"/>
      <c r="B866" s="76"/>
      <c r="C866" s="57"/>
      <c r="D866" s="76"/>
      <c r="E866" s="6"/>
      <c r="F866" s="58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>
      <c r="A867" s="76"/>
      <c r="B867" s="76"/>
      <c r="C867" s="57"/>
      <c r="D867" s="76"/>
      <c r="E867" s="6"/>
      <c r="F867" s="58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>
      <c r="A868" s="76"/>
      <c r="B868" s="76"/>
      <c r="C868" s="57"/>
      <c r="D868" s="76"/>
      <c r="E868" s="6"/>
      <c r="F868" s="58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>
      <c r="A869" s="76"/>
      <c r="B869" s="76"/>
      <c r="C869" s="57"/>
      <c r="D869" s="76"/>
      <c r="E869" s="6"/>
      <c r="F869" s="58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>
      <c r="A870" s="76"/>
      <c r="B870" s="76"/>
      <c r="C870" s="57"/>
      <c r="D870" s="76"/>
      <c r="E870" s="6"/>
      <c r="F870" s="58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>
      <c r="A871" s="76"/>
      <c r="B871" s="76"/>
      <c r="C871" s="57"/>
      <c r="D871" s="76"/>
      <c r="E871" s="6"/>
      <c r="F871" s="58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>
      <c r="A872" s="76"/>
      <c r="B872" s="76"/>
      <c r="C872" s="57"/>
      <c r="D872" s="76"/>
      <c r="E872" s="6"/>
      <c r="F872" s="58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>
      <c r="A873" s="76"/>
      <c r="B873" s="76"/>
      <c r="C873" s="57"/>
      <c r="D873" s="76"/>
      <c r="E873" s="6"/>
      <c r="F873" s="58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>
      <c r="A874" s="76"/>
      <c r="B874" s="76"/>
      <c r="C874" s="57"/>
      <c r="D874" s="76"/>
      <c r="E874" s="6"/>
      <c r="F874" s="58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>
      <c r="A875" s="76"/>
      <c r="B875" s="76"/>
      <c r="C875" s="57"/>
      <c r="D875" s="76"/>
      <c r="E875" s="6"/>
      <c r="F875" s="58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>
      <c r="A876" s="76"/>
      <c r="B876" s="76"/>
      <c r="C876" s="57"/>
      <c r="D876" s="76"/>
      <c r="E876" s="6"/>
      <c r="F876" s="58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>
      <c r="A877" s="76"/>
      <c r="B877" s="76"/>
      <c r="C877" s="57"/>
      <c r="D877" s="76"/>
      <c r="E877" s="6"/>
      <c r="F877" s="58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>
      <c r="A878" s="76"/>
      <c r="B878" s="76"/>
      <c r="C878" s="57"/>
      <c r="D878" s="76"/>
      <c r="E878" s="6"/>
      <c r="F878" s="58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>
      <c r="A879" s="76"/>
      <c r="B879" s="76"/>
      <c r="C879" s="57"/>
      <c r="D879" s="76"/>
      <c r="E879" s="6"/>
      <c r="F879" s="58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>
      <c r="A880" s="76"/>
      <c r="B880" s="76"/>
      <c r="C880" s="57"/>
      <c r="D880" s="76"/>
      <c r="E880" s="6"/>
      <c r="F880" s="58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>
      <c r="A881" s="76"/>
      <c r="B881" s="76"/>
      <c r="C881" s="57"/>
      <c r="D881" s="76"/>
      <c r="E881" s="6"/>
      <c r="F881" s="58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>
      <c r="A882" s="76"/>
      <c r="B882" s="76"/>
      <c r="C882" s="57"/>
      <c r="D882" s="76"/>
      <c r="E882" s="6"/>
      <c r="F882" s="58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>
      <c r="A883" s="76"/>
      <c r="B883" s="76"/>
      <c r="C883" s="57"/>
      <c r="D883" s="76"/>
      <c r="E883" s="6"/>
      <c r="F883" s="58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>
      <c r="A884" s="76"/>
      <c r="B884" s="76"/>
      <c r="C884" s="57"/>
      <c r="D884" s="76"/>
      <c r="E884" s="6"/>
      <c r="F884" s="58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>
      <c r="A885" s="76"/>
      <c r="B885" s="76"/>
      <c r="C885" s="57"/>
      <c r="D885" s="76"/>
      <c r="E885" s="6"/>
      <c r="F885" s="58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>
      <c r="A886" s="76"/>
      <c r="B886" s="76"/>
      <c r="C886" s="57"/>
      <c r="D886" s="76"/>
      <c r="E886" s="6"/>
      <c r="F886" s="58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>
      <c r="A887" s="76"/>
      <c r="B887" s="76"/>
      <c r="C887" s="57"/>
      <c r="D887" s="76"/>
      <c r="E887" s="6"/>
      <c r="F887" s="58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>
      <c r="A888" s="76"/>
      <c r="B888" s="76"/>
      <c r="C888" s="57"/>
      <c r="D888" s="76"/>
      <c r="E888" s="6"/>
      <c r="F888" s="58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>
      <c r="A889" s="76"/>
      <c r="B889" s="76"/>
      <c r="C889" s="57"/>
      <c r="D889" s="76"/>
      <c r="E889" s="6"/>
      <c r="F889" s="58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>
      <c r="A890" s="76"/>
      <c r="B890" s="76"/>
      <c r="C890" s="57"/>
      <c r="D890" s="76"/>
      <c r="E890" s="6"/>
      <c r="F890" s="58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>
      <c r="A891" s="76"/>
      <c r="B891" s="76"/>
      <c r="C891" s="57"/>
      <c r="D891" s="76"/>
      <c r="E891" s="6"/>
      <c r="F891" s="58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>
      <c r="A892" s="76"/>
      <c r="B892" s="76"/>
      <c r="C892" s="57"/>
      <c r="D892" s="76"/>
      <c r="E892" s="6"/>
      <c r="F892" s="58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>
      <c r="A893" s="76"/>
      <c r="B893" s="76"/>
      <c r="C893" s="57"/>
      <c r="D893" s="76"/>
      <c r="E893" s="6"/>
      <c r="F893" s="58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>
      <c r="A894" s="76"/>
      <c r="B894" s="76"/>
      <c r="C894" s="57"/>
      <c r="D894" s="76"/>
      <c r="E894" s="6"/>
      <c r="F894" s="58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>
      <c r="A895" s="76"/>
      <c r="B895" s="76"/>
      <c r="C895" s="57"/>
      <c r="D895" s="76"/>
      <c r="E895" s="6"/>
      <c r="F895" s="58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>
      <c r="A896" s="76"/>
      <c r="B896" s="76"/>
      <c r="C896" s="57"/>
      <c r="D896" s="76"/>
      <c r="E896" s="6"/>
      <c r="F896" s="58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>
      <c r="A897" s="76"/>
      <c r="B897" s="76"/>
      <c r="C897" s="57"/>
      <c r="D897" s="76"/>
      <c r="E897" s="6"/>
      <c r="F897" s="58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>
      <c r="A898" s="76"/>
      <c r="B898" s="76"/>
      <c r="C898" s="57"/>
      <c r="D898" s="76"/>
      <c r="E898" s="6"/>
      <c r="F898" s="58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>
      <c r="A899" s="76"/>
      <c r="B899" s="76"/>
      <c r="C899" s="57"/>
      <c r="D899" s="76"/>
      <c r="E899" s="6"/>
      <c r="F899" s="58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>
      <c r="A900" s="76"/>
      <c r="B900" s="76"/>
      <c r="C900" s="57"/>
      <c r="D900" s="76"/>
      <c r="E900" s="6"/>
      <c r="F900" s="58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>
      <c r="A901" s="76"/>
      <c r="B901" s="76"/>
      <c r="C901" s="57"/>
      <c r="D901" s="76"/>
      <c r="E901" s="6"/>
      <c r="F901" s="58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>
      <c r="A902" s="76"/>
      <c r="B902" s="76"/>
      <c r="C902" s="57"/>
      <c r="D902" s="76"/>
      <c r="E902" s="6"/>
      <c r="F902" s="58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>
      <c r="A903" s="76"/>
      <c r="B903" s="76"/>
      <c r="C903" s="57"/>
      <c r="D903" s="76"/>
      <c r="E903" s="6"/>
      <c r="F903" s="58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>
      <c r="A904" s="76"/>
      <c r="B904" s="76"/>
      <c r="C904" s="57"/>
      <c r="D904" s="76"/>
      <c r="E904" s="6"/>
      <c r="F904" s="58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>
      <c r="A905" s="76"/>
      <c r="B905" s="76"/>
      <c r="C905" s="57"/>
      <c r="D905" s="76"/>
      <c r="E905" s="6"/>
      <c r="F905" s="58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>
      <c r="A906" s="76"/>
      <c r="B906" s="76"/>
      <c r="C906" s="57"/>
      <c r="D906" s="76"/>
      <c r="E906" s="6"/>
      <c r="F906" s="58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>
      <c r="A907" s="76"/>
      <c r="B907" s="76"/>
      <c r="C907" s="57"/>
      <c r="D907" s="76"/>
      <c r="E907" s="6"/>
      <c r="F907" s="58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>
      <c r="A908" s="76"/>
      <c r="B908" s="76"/>
      <c r="C908" s="57"/>
      <c r="D908" s="76"/>
      <c r="E908" s="6"/>
      <c r="F908" s="58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>
      <c r="A909" s="76"/>
      <c r="B909" s="76"/>
      <c r="C909" s="57"/>
      <c r="D909" s="76"/>
      <c r="E909" s="6"/>
      <c r="F909" s="58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>
      <c r="A910" s="76"/>
      <c r="B910" s="76"/>
      <c r="C910" s="57"/>
      <c r="D910" s="76"/>
      <c r="E910" s="6"/>
      <c r="F910" s="58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>
      <c r="A911" s="76"/>
      <c r="B911" s="76"/>
      <c r="C911" s="57"/>
      <c r="D911" s="76"/>
      <c r="E911" s="6"/>
      <c r="F911" s="58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>
      <c r="A912" s="76"/>
      <c r="B912" s="76"/>
      <c r="C912" s="57"/>
      <c r="D912" s="76"/>
      <c r="E912" s="6"/>
      <c r="F912" s="58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>
      <c r="A913" s="76"/>
      <c r="B913" s="76"/>
      <c r="C913" s="57"/>
      <c r="D913" s="76"/>
      <c r="E913" s="6"/>
      <c r="F913" s="58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>
      <c r="A914" s="76"/>
      <c r="B914" s="76"/>
      <c r="C914" s="57"/>
      <c r="D914" s="76"/>
      <c r="E914" s="6"/>
      <c r="F914" s="58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>
      <c r="A915" s="76"/>
      <c r="B915" s="76"/>
      <c r="C915" s="57"/>
      <c r="D915" s="76"/>
      <c r="E915" s="6"/>
      <c r="F915" s="58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>
      <c r="A916" s="76"/>
      <c r="B916" s="76"/>
      <c r="C916" s="57"/>
      <c r="D916" s="76"/>
      <c r="E916" s="6"/>
      <c r="F916" s="58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>
      <c r="A917" s="76"/>
      <c r="B917" s="76"/>
      <c r="C917" s="57"/>
      <c r="D917" s="76"/>
      <c r="E917" s="6"/>
      <c r="F917" s="58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>
      <c r="A918" s="76"/>
      <c r="B918" s="76"/>
      <c r="C918" s="57"/>
      <c r="D918" s="76"/>
      <c r="E918" s="6"/>
      <c r="F918" s="58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>
      <c r="A919" s="76"/>
      <c r="B919" s="76"/>
      <c r="C919" s="57"/>
      <c r="D919" s="76"/>
      <c r="E919" s="6"/>
      <c r="F919" s="58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>
      <c r="A920" s="76"/>
      <c r="B920" s="76"/>
      <c r="C920" s="57"/>
      <c r="D920" s="76"/>
      <c r="E920" s="6"/>
      <c r="F920" s="58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>
      <c r="A921" s="76"/>
      <c r="B921" s="76"/>
      <c r="C921" s="57"/>
      <c r="D921" s="76"/>
      <c r="E921" s="6"/>
      <c r="F921" s="58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>
      <c r="A922" s="76"/>
      <c r="B922" s="76"/>
      <c r="C922" s="57"/>
      <c r="D922" s="76"/>
      <c r="E922" s="6"/>
      <c r="F922" s="58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>
      <c r="A923" s="76"/>
      <c r="B923" s="76"/>
      <c r="C923" s="57"/>
      <c r="D923" s="76"/>
      <c r="E923" s="6"/>
      <c r="F923" s="58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>
      <c r="A924" s="76"/>
      <c r="B924" s="76"/>
      <c r="C924" s="57"/>
      <c r="D924" s="76"/>
      <c r="E924" s="6"/>
      <c r="F924" s="58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>
      <c r="A925" s="76"/>
      <c r="B925" s="76"/>
      <c r="C925" s="57"/>
      <c r="D925" s="76"/>
      <c r="E925" s="6"/>
      <c r="F925" s="58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>
      <c r="A926" s="76"/>
      <c r="B926" s="76"/>
      <c r="C926" s="57"/>
      <c r="D926" s="76"/>
      <c r="E926" s="6"/>
      <c r="F926" s="58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>
      <c r="A927" s="76"/>
      <c r="B927" s="76"/>
      <c r="C927" s="57"/>
      <c r="D927" s="76"/>
      <c r="E927" s="6"/>
      <c r="F927" s="58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>
      <c r="A928" s="76"/>
      <c r="B928" s="76"/>
      <c r="C928" s="57"/>
      <c r="D928" s="76"/>
      <c r="E928" s="6"/>
      <c r="F928" s="58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>
      <c r="A929" s="76"/>
      <c r="B929" s="76"/>
      <c r="C929" s="57"/>
      <c r="D929" s="76"/>
      <c r="E929" s="6"/>
      <c r="F929" s="58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>
      <c r="A930" s="76"/>
      <c r="B930" s="76"/>
      <c r="C930" s="57"/>
      <c r="D930" s="76"/>
      <c r="E930" s="6"/>
      <c r="F930" s="58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>
      <c r="A931" s="76"/>
      <c r="B931" s="76"/>
      <c r="C931" s="57"/>
      <c r="D931" s="76"/>
      <c r="E931" s="6"/>
      <c r="F931" s="58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>
      <c r="A932" s="76"/>
      <c r="B932" s="76"/>
      <c r="C932" s="57"/>
      <c r="D932" s="76"/>
      <c r="E932" s="6"/>
      <c r="F932" s="58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>
      <c r="A933" s="76"/>
      <c r="B933" s="76"/>
      <c r="C933" s="57"/>
      <c r="D933" s="76"/>
      <c r="E933" s="6"/>
      <c r="F933" s="58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>
      <c r="A934" s="76"/>
      <c r="B934" s="76"/>
      <c r="C934" s="57"/>
      <c r="D934" s="76"/>
      <c r="E934" s="6"/>
      <c r="F934" s="58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>
      <c r="A935" s="76"/>
      <c r="B935" s="76"/>
      <c r="C935" s="57"/>
      <c r="D935" s="76"/>
      <c r="E935" s="6"/>
      <c r="F935" s="58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>
      <c r="A936" s="76"/>
      <c r="B936" s="76"/>
      <c r="C936" s="57"/>
      <c r="D936" s="76"/>
      <c r="E936" s="6"/>
      <c r="F936" s="58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>
      <c r="A937" s="76"/>
      <c r="B937" s="76"/>
      <c r="C937" s="57"/>
      <c r="D937" s="76"/>
      <c r="E937" s="6"/>
      <c r="F937" s="58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>
      <c r="A938" s="76"/>
      <c r="B938" s="76"/>
      <c r="C938" s="57"/>
      <c r="D938" s="76"/>
      <c r="E938" s="6"/>
      <c r="F938" s="58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>
      <c r="A939" s="76"/>
      <c r="B939" s="76"/>
      <c r="C939" s="57"/>
      <c r="D939" s="76"/>
      <c r="E939" s="6"/>
      <c r="F939" s="58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>
      <c r="A940" s="76"/>
      <c r="B940" s="76"/>
      <c r="C940" s="57"/>
      <c r="D940" s="76"/>
      <c r="E940" s="6"/>
      <c r="F940" s="58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>
      <c r="A941" s="76"/>
      <c r="B941" s="76"/>
      <c r="C941" s="57"/>
      <c r="D941" s="76"/>
      <c r="E941" s="6"/>
      <c r="F941" s="58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>
      <c r="A942" s="76"/>
      <c r="B942" s="76"/>
      <c r="C942" s="57"/>
      <c r="D942" s="76"/>
      <c r="E942" s="6"/>
      <c r="F942" s="58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>
      <c r="A943" s="76"/>
      <c r="B943" s="76"/>
      <c r="C943" s="57"/>
      <c r="D943" s="76"/>
      <c r="E943" s="6"/>
      <c r="F943" s="58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>
      <c r="A944" s="76"/>
      <c r="B944" s="76"/>
      <c r="C944" s="57"/>
      <c r="D944" s="76"/>
      <c r="E944" s="6"/>
      <c r="F944" s="58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>
      <c r="A945" s="76"/>
      <c r="B945" s="76"/>
      <c r="C945" s="57"/>
      <c r="D945" s="76"/>
      <c r="E945" s="6"/>
      <c r="F945" s="58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>
      <c r="A946" s="76"/>
      <c r="B946" s="76"/>
      <c r="C946" s="57"/>
      <c r="D946" s="76"/>
      <c r="E946" s="6"/>
      <c r="F946" s="58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>
      <c r="A947" s="76"/>
      <c r="B947" s="76"/>
      <c r="C947" s="57"/>
      <c r="D947" s="76"/>
      <c r="E947" s="6"/>
      <c r="F947" s="58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>
      <c r="A948" s="76"/>
      <c r="B948" s="76"/>
      <c r="C948" s="57"/>
      <c r="D948" s="76"/>
      <c r="E948" s="6"/>
      <c r="F948" s="58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>
      <c r="A949" s="76"/>
      <c r="B949" s="76"/>
      <c r="C949" s="57"/>
      <c r="D949" s="76"/>
      <c r="E949" s="6"/>
      <c r="F949" s="58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>
      <c r="A950" s="76"/>
      <c r="B950" s="76"/>
      <c r="C950" s="57"/>
      <c r="D950" s="76"/>
      <c r="E950" s="6"/>
      <c r="F950" s="58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>
      <c r="A951" s="76"/>
      <c r="B951" s="76"/>
      <c r="C951" s="57"/>
      <c r="D951" s="76"/>
      <c r="E951" s="6"/>
      <c r="F951" s="58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>
      <c r="A952" s="76"/>
      <c r="B952" s="76"/>
      <c r="C952" s="57"/>
      <c r="D952" s="76"/>
      <c r="E952" s="6"/>
      <c r="F952" s="58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>
      <c r="A953" s="76"/>
      <c r="B953" s="76"/>
      <c r="C953" s="57"/>
      <c r="D953" s="76"/>
      <c r="E953" s="6"/>
      <c r="F953" s="58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>
      <c r="A954" s="76"/>
      <c r="B954" s="76"/>
      <c r="C954" s="57"/>
      <c r="D954" s="76"/>
      <c r="E954" s="6"/>
      <c r="F954" s="58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>
      <c r="A955" s="76"/>
      <c r="B955" s="76"/>
      <c r="C955" s="57"/>
      <c r="D955" s="76"/>
      <c r="E955" s="6"/>
      <c r="F955" s="58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>
      <c r="A956" s="76"/>
      <c r="B956" s="76"/>
      <c r="C956" s="57"/>
      <c r="D956" s="76"/>
      <c r="E956" s="6"/>
      <c r="F956" s="58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>
      <c r="A957" s="76"/>
      <c r="B957" s="76"/>
      <c r="C957" s="57"/>
      <c r="D957" s="76"/>
      <c r="E957" s="6"/>
      <c r="F957" s="58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>
      <c r="A958" s="76"/>
      <c r="B958" s="76"/>
      <c r="C958" s="57"/>
      <c r="D958" s="76"/>
      <c r="E958" s="6"/>
      <c r="F958" s="58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>
      <c r="A959" s="76"/>
      <c r="B959" s="76"/>
      <c r="C959" s="57"/>
      <c r="D959" s="76"/>
      <c r="E959" s="6"/>
      <c r="F959" s="58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>
      <c r="A960" s="76"/>
      <c r="B960" s="76"/>
      <c r="C960" s="57"/>
      <c r="D960" s="76"/>
      <c r="E960" s="6"/>
      <c r="F960" s="58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>
      <c r="A961" s="76"/>
      <c r="B961" s="76"/>
      <c r="C961" s="57"/>
      <c r="D961" s="76"/>
      <c r="E961" s="6"/>
      <c r="F961" s="58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>
      <c r="A962" s="76"/>
      <c r="B962" s="76"/>
      <c r="C962" s="57"/>
      <c r="D962" s="76"/>
      <c r="E962" s="6"/>
      <c r="F962" s="58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>
      <c r="A963" s="76"/>
      <c r="B963" s="76"/>
      <c r="C963" s="57"/>
      <c r="D963" s="76"/>
      <c r="E963" s="6"/>
      <c r="F963" s="58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>
      <c r="A964" s="76"/>
      <c r="B964" s="76"/>
      <c r="C964" s="57"/>
      <c r="D964" s="76"/>
      <c r="E964" s="6"/>
      <c r="F964" s="58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>
      <c r="A965" s="76"/>
      <c r="B965" s="76"/>
      <c r="C965" s="57"/>
      <c r="D965" s="76"/>
      <c r="E965" s="6"/>
      <c r="F965" s="58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>
      <c r="A966" s="76"/>
      <c r="B966" s="76"/>
      <c r="C966" s="57"/>
      <c r="D966" s="76"/>
      <c r="E966" s="6"/>
      <c r="F966" s="58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>
      <c r="A967" s="76"/>
      <c r="B967" s="76"/>
      <c r="C967" s="57"/>
      <c r="D967" s="76"/>
      <c r="E967" s="6"/>
      <c r="F967" s="58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>
      <c r="A968" s="76"/>
      <c r="B968" s="76"/>
      <c r="C968" s="57"/>
      <c r="D968" s="76"/>
      <c r="E968" s="6"/>
      <c r="F968" s="58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>
      <c r="A969" s="76"/>
      <c r="B969" s="76"/>
      <c r="C969" s="57"/>
      <c r="D969" s="76"/>
      <c r="E969" s="6"/>
      <c r="F969" s="58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>
      <c r="A970" s="76"/>
      <c r="B970" s="76"/>
      <c r="C970" s="57"/>
      <c r="D970" s="76"/>
      <c r="E970" s="6"/>
      <c r="F970" s="58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>
      <c r="A971" s="76"/>
      <c r="B971" s="76"/>
      <c r="C971" s="57"/>
      <c r="D971" s="76"/>
      <c r="E971" s="6"/>
      <c r="F971" s="58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>
      <c r="A972" s="76"/>
      <c r="B972" s="76"/>
      <c r="C972" s="57"/>
      <c r="D972" s="76"/>
      <c r="E972" s="6"/>
      <c r="F972" s="58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>
      <c r="A973" s="76"/>
      <c r="B973" s="76"/>
      <c r="C973" s="57"/>
      <c r="D973" s="76"/>
      <c r="E973" s="6"/>
      <c r="F973" s="58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>
      <c r="A974" s="76"/>
      <c r="B974" s="76"/>
      <c r="C974" s="57"/>
      <c r="D974" s="76"/>
      <c r="E974" s="6"/>
      <c r="F974" s="58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>
      <c r="A975" s="76"/>
      <c r="B975" s="76"/>
      <c r="C975" s="57"/>
      <c r="D975" s="76"/>
      <c r="E975" s="6"/>
      <c r="F975" s="58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>
      <c r="A976" s="76"/>
      <c r="B976" s="76"/>
      <c r="C976" s="57"/>
      <c r="D976" s="76"/>
      <c r="E976" s="6"/>
      <c r="F976" s="58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>
      <c r="A977" s="76"/>
      <c r="B977" s="76"/>
      <c r="C977" s="57"/>
      <c r="D977" s="76"/>
      <c r="E977" s="6"/>
      <c r="F977" s="58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>
      <c r="A978" s="76"/>
      <c r="B978" s="76"/>
      <c r="C978" s="57"/>
      <c r="D978" s="76"/>
      <c r="E978" s="6"/>
      <c r="F978" s="58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>
      <c r="A979" s="76"/>
      <c r="B979" s="76"/>
      <c r="C979" s="57"/>
      <c r="D979" s="76"/>
      <c r="E979" s="6"/>
      <c r="F979" s="58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>
      <c r="A980" s="76"/>
      <c r="B980" s="76"/>
      <c r="C980" s="57"/>
      <c r="D980" s="76"/>
      <c r="E980" s="6"/>
      <c r="F980" s="58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>
      <c r="A981" s="76"/>
      <c r="B981" s="76"/>
      <c r="C981" s="57"/>
      <c r="D981" s="76"/>
      <c r="E981" s="6"/>
      <c r="F981" s="58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>
      <c r="A982" s="76"/>
      <c r="B982" s="76"/>
      <c r="C982" s="57"/>
      <c r="D982" s="76"/>
      <c r="E982" s="6"/>
      <c r="F982" s="58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>
      <c r="A983" s="76"/>
      <c r="B983" s="76"/>
      <c r="C983" s="57"/>
      <c r="D983" s="76"/>
      <c r="E983" s="6"/>
      <c r="F983" s="58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>
      <c r="A984" s="76"/>
      <c r="B984" s="76"/>
      <c r="C984" s="57"/>
      <c r="D984" s="76"/>
      <c r="E984" s="6"/>
      <c r="F984" s="58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>
      <c r="A985" s="76"/>
      <c r="B985" s="76"/>
      <c r="C985" s="57"/>
      <c r="D985" s="76"/>
      <c r="E985" s="6"/>
      <c r="F985" s="58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>
      <c r="A986" s="76"/>
      <c r="B986" s="76"/>
      <c r="C986" s="57"/>
      <c r="D986" s="76"/>
      <c r="E986" s="6"/>
      <c r="F986" s="58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>
      <c r="A987" s="76"/>
      <c r="B987" s="76"/>
      <c r="C987" s="57"/>
      <c r="D987" s="76"/>
      <c r="E987" s="6"/>
      <c r="F987" s="58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>
      <c r="A988" s="76"/>
      <c r="B988" s="76"/>
      <c r="C988" s="57"/>
      <c r="D988" s="76"/>
      <c r="E988" s="6"/>
      <c r="F988" s="58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>
      <c r="A989" s="76"/>
      <c r="B989" s="76"/>
      <c r="C989" s="57"/>
      <c r="D989" s="76"/>
      <c r="E989" s="6"/>
      <c r="F989" s="58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>
      <c r="A990" s="76"/>
      <c r="B990" s="76"/>
      <c r="C990" s="57"/>
      <c r="D990" s="76"/>
      <c r="E990" s="6"/>
      <c r="F990" s="58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>
      <c r="A991" s="76"/>
      <c r="B991" s="76"/>
      <c r="C991" s="57"/>
      <c r="D991" s="76"/>
      <c r="E991" s="6"/>
      <c r="F991" s="58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>
      <c r="A992" s="76"/>
      <c r="B992" s="76"/>
      <c r="C992" s="57"/>
      <c r="D992" s="76"/>
      <c r="E992" s="6"/>
      <c r="F992" s="58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>
      <c r="A993" s="76"/>
      <c r="B993" s="76"/>
      <c r="C993" s="57"/>
      <c r="D993" s="76"/>
      <c r="E993" s="6"/>
      <c r="F993" s="58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>
      <c r="A994" s="76"/>
      <c r="B994" s="76"/>
      <c r="C994" s="57"/>
      <c r="D994" s="76"/>
      <c r="E994" s="6"/>
      <c r="F994" s="58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>
      <c r="A995" s="76"/>
      <c r="B995" s="76"/>
      <c r="C995" s="57"/>
      <c r="D995" s="76"/>
      <c r="E995" s="6"/>
      <c r="F995" s="58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>
      <c r="A996" s="76"/>
      <c r="B996" s="76"/>
      <c r="C996" s="57"/>
      <c r="D996" s="76"/>
      <c r="E996" s="6"/>
      <c r="F996" s="58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>
      <c r="A997" s="76"/>
      <c r="B997" s="76"/>
      <c r="C997" s="57"/>
      <c r="D997" s="76"/>
      <c r="E997" s="6"/>
      <c r="F997" s="58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>
      <c r="A998" s="76"/>
      <c r="B998" s="76"/>
      <c r="C998" s="57"/>
      <c r="D998" s="76"/>
      <c r="E998" s="6"/>
      <c r="F998" s="58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>
      <c r="A999" s="76"/>
      <c r="B999" s="76"/>
      <c r="C999" s="57"/>
      <c r="D999" s="76"/>
      <c r="E999" s="6"/>
      <c r="F999" s="58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>
      <c r="A1000" s="76"/>
      <c r="B1000" s="76"/>
      <c r="C1000" s="57"/>
      <c r="D1000" s="76"/>
      <c r="E1000" s="6"/>
      <c r="F1000" s="58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spans="1:27">
      <c r="A1001" s="76"/>
      <c r="B1001" s="76"/>
      <c r="C1001" s="142"/>
      <c r="D1001" s="76"/>
      <c r="E1001" s="6"/>
      <c r="F1001" s="58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</sheetData>
  <autoFilter ref="A1:F1001" xr:uid="{00000000-0009-0000-0000-000000000000}"/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1085-EBCE-4512-B2AD-346ADFAB1B27}">
  <dimension ref="A1:B15"/>
  <sheetViews>
    <sheetView tabSelected="1" workbookViewId="0">
      <selection activeCell="G7" sqref="G7"/>
    </sheetView>
  </sheetViews>
  <sheetFormatPr defaultRowHeight="12.75"/>
  <cols>
    <col min="1" max="1" width="51.85546875" bestFit="1" customWidth="1"/>
    <col min="2" max="2" width="44.42578125" bestFit="1" customWidth="1"/>
  </cols>
  <sheetData>
    <row r="1" spans="1:2" ht="45.75" thickBot="1">
      <c r="A1" s="190" t="s">
        <v>867</v>
      </c>
      <c r="B1" s="191" t="s">
        <v>868</v>
      </c>
    </row>
    <row r="2" spans="1:2" ht="30.75" thickBot="1">
      <c r="A2" s="192" t="s">
        <v>869</v>
      </c>
      <c r="B2" s="193" t="s">
        <v>870</v>
      </c>
    </row>
    <row r="3" spans="1:2" ht="15.75" thickBot="1">
      <c r="A3" s="192" t="s">
        <v>871</v>
      </c>
      <c r="B3" s="193" t="s">
        <v>872</v>
      </c>
    </row>
    <row r="4" spans="1:2" ht="75.75" thickBot="1">
      <c r="A4" s="192" t="s">
        <v>873</v>
      </c>
      <c r="B4" s="193" t="s">
        <v>874</v>
      </c>
    </row>
    <row r="5" spans="1:2" ht="45.75" thickBot="1">
      <c r="A5" s="192" t="s">
        <v>875</v>
      </c>
      <c r="B5" s="193" t="s">
        <v>876</v>
      </c>
    </row>
    <row r="6" spans="1:2" ht="30.75" thickBot="1">
      <c r="A6" s="192" t="s">
        <v>877</v>
      </c>
      <c r="B6" s="193" t="s">
        <v>878</v>
      </c>
    </row>
    <row r="7" spans="1:2" ht="75.75" thickBot="1">
      <c r="A7" s="192" t="s">
        <v>879</v>
      </c>
      <c r="B7" s="193" t="s">
        <v>880</v>
      </c>
    </row>
    <row r="8" spans="1:2" ht="45.75" thickBot="1">
      <c r="A8" s="192" t="s">
        <v>881</v>
      </c>
      <c r="B8" s="193" t="s">
        <v>882</v>
      </c>
    </row>
    <row r="9" spans="1:2" ht="30.75" thickBot="1">
      <c r="A9" s="192" t="s">
        <v>883</v>
      </c>
      <c r="B9" s="193" t="s">
        <v>884</v>
      </c>
    </row>
    <row r="10" spans="1:2" ht="30.75" thickBot="1">
      <c r="A10" s="192" t="s">
        <v>885</v>
      </c>
      <c r="B10" s="193" t="s">
        <v>886</v>
      </c>
    </row>
    <row r="11" spans="1:2" ht="60.75" thickBot="1">
      <c r="A11" s="192" t="s">
        <v>887</v>
      </c>
      <c r="B11" s="193" t="s">
        <v>888</v>
      </c>
    </row>
    <row r="12" spans="1:2" ht="60.75" thickBot="1">
      <c r="A12" s="192" t="s">
        <v>889</v>
      </c>
      <c r="B12" s="193" t="s">
        <v>890</v>
      </c>
    </row>
    <row r="13" spans="1:2" ht="15.75" thickBot="1">
      <c r="A13" s="192" t="s">
        <v>891</v>
      </c>
      <c r="B13" s="193" t="s">
        <v>892</v>
      </c>
    </row>
    <row r="14" spans="1:2" ht="30.75" thickBot="1">
      <c r="A14" s="192" t="s">
        <v>893</v>
      </c>
      <c r="B14" s="193" t="s">
        <v>894</v>
      </c>
    </row>
    <row r="15" spans="1:2" ht="30.75" thickBot="1">
      <c r="A15" s="192" t="s">
        <v>895</v>
      </c>
      <c r="B15" s="193" t="s">
        <v>896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EDD9C"/>
  </sheetPr>
  <dimension ref="A1:AZ1000"/>
  <sheetViews>
    <sheetView workbookViewId="0">
      <pane xSplit="1" topLeftCell="B1" activePane="topRight" state="frozen"/>
      <selection pane="topRight" activeCell="D29" sqref="D29"/>
    </sheetView>
  </sheetViews>
  <sheetFormatPr defaultColWidth="12.5703125" defaultRowHeight="15" customHeight="1"/>
  <cols>
    <col min="1" max="1" width="20.5703125" customWidth="1"/>
    <col min="2" max="2" width="10.7109375" customWidth="1"/>
    <col min="3" max="45" width="12.42578125" customWidth="1"/>
    <col min="46" max="46" width="13.28515625" customWidth="1"/>
    <col min="47" max="47" width="12.42578125" customWidth="1"/>
    <col min="48" max="48" width="13.140625" customWidth="1"/>
    <col min="49" max="49" width="12.42578125" customWidth="1"/>
    <col min="50" max="50" width="14.28515625" customWidth="1"/>
    <col min="51" max="51" width="12.42578125" customWidth="1"/>
    <col min="52" max="52" width="12.42578125" hidden="1" customWidth="1"/>
  </cols>
  <sheetData>
    <row r="1" spans="1:52" ht="100.5" customHeight="1">
      <c r="A1" s="2" t="s">
        <v>1</v>
      </c>
      <c r="B1" s="3"/>
      <c r="C1" s="178" t="s">
        <v>6</v>
      </c>
      <c r="D1" s="176"/>
      <c r="E1" s="177"/>
      <c r="F1" s="178" t="s">
        <v>20</v>
      </c>
      <c r="G1" s="176"/>
      <c r="H1" s="177"/>
      <c r="I1" s="178" t="s">
        <v>21</v>
      </c>
      <c r="J1" s="176"/>
      <c r="K1" s="177"/>
      <c r="L1" s="175" t="s">
        <v>23</v>
      </c>
      <c r="M1" s="176"/>
      <c r="N1" s="177"/>
      <c r="O1" s="175" t="s">
        <v>27</v>
      </c>
      <c r="P1" s="176"/>
      <c r="Q1" s="177"/>
      <c r="R1" s="175" t="s">
        <v>28</v>
      </c>
      <c r="S1" s="176"/>
      <c r="T1" s="177"/>
      <c r="U1" s="175" t="s">
        <v>31</v>
      </c>
      <c r="V1" s="176"/>
      <c r="W1" s="177"/>
      <c r="X1" s="175" t="s">
        <v>34</v>
      </c>
      <c r="Y1" s="176"/>
      <c r="Z1" s="177"/>
      <c r="AA1" s="175" t="s">
        <v>35</v>
      </c>
      <c r="AB1" s="176"/>
      <c r="AC1" s="177"/>
      <c r="AD1" s="175" t="s">
        <v>39</v>
      </c>
      <c r="AE1" s="176"/>
      <c r="AF1" s="177"/>
      <c r="AG1" s="175" t="s">
        <v>42</v>
      </c>
      <c r="AH1" s="176"/>
      <c r="AI1" s="177"/>
      <c r="AJ1" s="175" t="s">
        <v>43</v>
      </c>
      <c r="AK1" s="176"/>
      <c r="AL1" s="177"/>
      <c r="AM1" s="175" t="s">
        <v>45</v>
      </c>
      <c r="AN1" s="176"/>
      <c r="AO1" s="177"/>
      <c r="AP1" s="175" t="s">
        <v>46</v>
      </c>
      <c r="AQ1" s="176"/>
      <c r="AR1" s="177"/>
      <c r="AS1" s="175" t="s">
        <v>48</v>
      </c>
      <c r="AT1" s="176"/>
      <c r="AU1" s="177"/>
      <c r="AV1" s="30"/>
      <c r="AW1" s="30"/>
      <c r="AX1" s="30"/>
      <c r="AY1" s="31"/>
      <c r="AZ1" s="31"/>
    </row>
    <row r="2" spans="1:52" ht="51" customHeight="1">
      <c r="A2" s="33" t="s">
        <v>73</v>
      </c>
      <c r="B2" s="35" t="s">
        <v>82</v>
      </c>
      <c r="C2" s="38" t="s">
        <v>85</v>
      </c>
      <c r="D2" s="39" t="s">
        <v>97</v>
      </c>
      <c r="E2" s="43" t="s">
        <v>105</v>
      </c>
      <c r="F2" s="38" t="s">
        <v>85</v>
      </c>
      <c r="G2" s="39" t="s">
        <v>97</v>
      </c>
      <c r="H2" s="43" t="s">
        <v>105</v>
      </c>
      <c r="I2" s="38" t="s">
        <v>85</v>
      </c>
      <c r="J2" s="39" t="s">
        <v>97</v>
      </c>
      <c r="K2" s="43" t="s">
        <v>105</v>
      </c>
      <c r="L2" s="38" t="s">
        <v>85</v>
      </c>
      <c r="M2" s="39" t="s">
        <v>97</v>
      </c>
      <c r="N2" s="43" t="s">
        <v>105</v>
      </c>
      <c r="O2" s="38" t="s">
        <v>85</v>
      </c>
      <c r="P2" s="39" t="s">
        <v>97</v>
      </c>
      <c r="Q2" s="46" t="s">
        <v>105</v>
      </c>
      <c r="R2" s="38" t="s">
        <v>85</v>
      </c>
      <c r="S2" s="39" t="s">
        <v>97</v>
      </c>
      <c r="T2" s="43" t="s">
        <v>105</v>
      </c>
      <c r="U2" s="38" t="s">
        <v>85</v>
      </c>
      <c r="V2" s="39" t="s">
        <v>97</v>
      </c>
      <c r="W2" s="43" t="s">
        <v>105</v>
      </c>
      <c r="X2" s="38" t="s">
        <v>85</v>
      </c>
      <c r="Y2" s="39" t="s">
        <v>97</v>
      </c>
      <c r="Z2" s="46" t="s">
        <v>105</v>
      </c>
      <c r="AA2" s="38" t="s">
        <v>85</v>
      </c>
      <c r="AB2" s="39" t="s">
        <v>97</v>
      </c>
      <c r="AC2" s="43" t="s">
        <v>105</v>
      </c>
      <c r="AD2" s="38" t="s">
        <v>85</v>
      </c>
      <c r="AE2" s="39" t="s">
        <v>97</v>
      </c>
      <c r="AF2" s="43" t="s">
        <v>105</v>
      </c>
      <c r="AG2" s="38" t="s">
        <v>85</v>
      </c>
      <c r="AH2" s="39" t="s">
        <v>97</v>
      </c>
      <c r="AI2" s="43" t="s">
        <v>105</v>
      </c>
      <c r="AJ2" s="38" t="s">
        <v>85</v>
      </c>
      <c r="AK2" s="39" t="s">
        <v>97</v>
      </c>
      <c r="AL2" s="43" t="s">
        <v>105</v>
      </c>
      <c r="AM2" s="38" t="s">
        <v>85</v>
      </c>
      <c r="AN2" s="39" t="s">
        <v>97</v>
      </c>
      <c r="AO2" s="43" t="s">
        <v>105</v>
      </c>
      <c r="AP2" s="38" t="s">
        <v>85</v>
      </c>
      <c r="AQ2" s="39" t="s">
        <v>97</v>
      </c>
      <c r="AR2" s="43" t="s">
        <v>105</v>
      </c>
      <c r="AS2" s="38" t="s">
        <v>85</v>
      </c>
      <c r="AT2" s="39" t="s">
        <v>97</v>
      </c>
      <c r="AU2" s="49" t="s">
        <v>105</v>
      </c>
      <c r="AV2" s="51" t="s">
        <v>141</v>
      </c>
      <c r="AW2" s="52" t="s">
        <v>147</v>
      </c>
      <c r="AX2" s="51" t="s">
        <v>158</v>
      </c>
      <c r="AY2" s="52" t="s">
        <v>159</v>
      </c>
      <c r="AZ2" s="53" t="s">
        <v>162</v>
      </c>
    </row>
    <row r="3" spans="1:52" ht="14.25" customHeight="1">
      <c r="A3" s="59" t="s">
        <v>12</v>
      </c>
      <c r="B3" s="60">
        <v>2</v>
      </c>
      <c r="C3" s="9">
        <v>0</v>
      </c>
      <c r="D3" s="9">
        <v>0</v>
      </c>
      <c r="E3" s="61">
        <v>0</v>
      </c>
      <c r="F3" s="9">
        <v>0</v>
      </c>
      <c r="G3" s="9">
        <v>0</v>
      </c>
      <c r="H3" s="61">
        <v>0</v>
      </c>
      <c r="I3" s="9">
        <v>0</v>
      </c>
      <c r="J3" s="63">
        <v>0</v>
      </c>
      <c r="K3" s="64">
        <v>0</v>
      </c>
      <c r="L3" s="63">
        <v>0</v>
      </c>
      <c r="M3" s="63">
        <v>0</v>
      </c>
      <c r="N3" s="64">
        <v>0</v>
      </c>
      <c r="O3" s="63">
        <v>0</v>
      </c>
      <c r="P3" s="63">
        <v>0</v>
      </c>
      <c r="Q3" s="64">
        <v>0</v>
      </c>
      <c r="R3" s="65">
        <v>1</v>
      </c>
      <c r="S3" s="65">
        <v>18</v>
      </c>
      <c r="T3" s="64">
        <v>16</v>
      </c>
      <c r="U3" s="63">
        <v>0</v>
      </c>
      <c r="V3" s="63">
        <v>0</v>
      </c>
      <c r="W3" s="64">
        <v>0</v>
      </c>
      <c r="X3" s="65">
        <v>0</v>
      </c>
      <c r="Y3" s="65">
        <v>3</v>
      </c>
      <c r="Z3" s="64">
        <v>3</v>
      </c>
      <c r="AA3" s="65">
        <v>1</v>
      </c>
      <c r="AB3" s="65">
        <v>2</v>
      </c>
      <c r="AC3" s="64">
        <v>3</v>
      </c>
      <c r="AD3" s="65">
        <v>1</v>
      </c>
      <c r="AE3" s="65">
        <v>0</v>
      </c>
      <c r="AF3" s="64">
        <v>0</v>
      </c>
      <c r="AG3" s="65">
        <v>1</v>
      </c>
      <c r="AH3" s="65">
        <v>4</v>
      </c>
      <c r="AI3" s="64">
        <v>4</v>
      </c>
      <c r="AJ3" s="65">
        <v>2</v>
      </c>
      <c r="AK3" s="65">
        <v>2</v>
      </c>
      <c r="AL3" s="64">
        <v>2</v>
      </c>
      <c r="AM3" s="65">
        <v>9</v>
      </c>
      <c r="AN3" s="65">
        <v>16</v>
      </c>
      <c r="AO3" s="64">
        <v>23</v>
      </c>
      <c r="AP3" s="65">
        <v>0</v>
      </c>
      <c r="AQ3" s="65">
        <v>1</v>
      </c>
      <c r="AR3" s="64">
        <v>1</v>
      </c>
      <c r="AS3" s="65">
        <v>0</v>
      </c>
      <c r="AT3" s="65">
        <v>3</v>
      </c>
      <c r="AU3" s="64">
        <v>3</v>
      </c>
      <c r="AV3" s="66">
        <f t="shared" ref="AV3:AV4" si="0">SUM(C3+D3+F3+G3+I3+J3+L3+M3+O3+P3+R3+S3+U3+V3+X3+Y3+AA3+AB3+AD3+AE3+AG3+AH3+AJ3+AK3+AM3+AN3+AP3+AQ3+AS3+AT3)</f>
        <v>64</v>
      </c>
      <c r="AW3" s="67">
        <f t="shared" ref="AW3:AW10" si="1">SUM(AV3+B3)</f>
        <v>66</v>
      </c>
      <c r="AX3" s="67">
        <f t="shared" ref="AX3:AX11" si="2">SUM(AU3,AR3,AO3,AL3,AI3,AF3,AC3,Z3,W3,T3,Q3,N3,K3,H3,E3)</f>
        <v>55</v>
      </c>
      <c r="AY3" s="68">
        <f t="shared" ref="AY3:AY21" si="3">SUM(AX3/AV3*100)</f>
        <v>85.9375</v>
      </c>
      <c r="AZ3" s="70">
        <f>SUM(9+18+5+3+20)</f>
        <v>55</v>
      </c>
    </row>
    <row r="4" spans="1:52" ht="14.25" customHeight="1">
      <c r="A4" s="59" t="s">
        <v>36</v>
      </c>
      <c r="B4" s="60">
        <v>8</v>
      </c>
      <c r="C4" s="60">
        <v>0</v>
      </c>
      <c r="D4" s="60">
        <v>0</v>
      </c>
      <c r="E4" s="71">
        <v>0</v>
      </c>
      <c r="F4" s="60">
        <v>0</v>
      </c>
      <c r="G4" s="60">
        <v>0</v>
      </c>
      <c r="H4" s="71">
        <v>0</v>
      </c>
      <c r="I4" s="60">
        <v>0</v>
      </c>
      <c r="J4" s="65">
        <v>0</v>
      </c>
      <c r="K4" s="73">
        <v>0</v>
      </c>
      <c r="L4" s="65">
        <v>0</v>
      </c>
      <c r="M4" s="65">
        <v>1</v>
      </c>
      <c r="N4" s="64">
        <v>1</v>
      </c>
      <c r="O4" s="65">
        <v>0</v>
      </c>
      <c r="P4" s="65">
        <v>0</v>
      </c>
      <c r="Q4" s="73">
        <v>0</v>
      </c>
      <c r="R4" s="65">
        <v>3</v>
      </c>
      <c r="S4" s="65">
        <v>19</v>
      </c>
      <c r="T4" s="64">
        <v>22</v>
      </c>
      <c r="U4" s="65">
        <v>0</v>
      </c>
      <c r="V4" s="65">
        <v>1</v>
      </c>
      <c r="W4" s="64">
        <v>0</v>
      </c>
      <c r="X4" s="65">
        <v>0</v>
      </c>
      <c r="Y4" s="65">
        <v>3</v>
      </c>
      <c r="Z4" s="64">
        <v>3</v>
      </c>
      <c r="AA4" s="65">
        <v>3</v>
      </c>
      <c r="AB4" s="65">
        <v>3</v>
      </c>
      <c r="AC4" s="64">
        <v>5</v>
      </c>
      <c r="AD4" s="65">
        <v>1</v>
      </c>
      <c r="AE4" s="65">
        <v>1</v>
      </c>
      <c r="AF4" s="64">
        <v>2</v>
      </c>
      <c r="AG4" s="65">
        <v>0</v>
      </c>
      <c r="AH4" s="65">
        <v>6</v>
      </c>
      <c r="AI4" s="64">
        <v>4</v>
      </c>
      <c r="AJ4" s="63">
        <v>4</v>
      </c>
      <c r="AK4" s="65">
        <v>5</v>
      </c>
      <c r="AL4" s="64">
        <v>9</v>
      </c>
      <c r="AM4" s="65">
        <v>10</v>
      </c>
      <c r="AN4" s="65">
        <v>20</v>
      </c>
      <c r="AO4" s="64">
        <v>25</v>
      </c>
      <c r="AP4" s="65">
        <v>1</v>
      </c>
      <c r="AQ4" s="65">
        <v>0</v>
      </c>
      <c r="AR4" s="64">
        <v>0</v>
      </c>
      <c r="AS4" s="65">
        <v>0</v>
      </c>
      <c r="AT4" s="65">
        <v>2</v>
      </c>
      <c r="AU4" s="64">
        <v>1</v>
      </c>
      <c r="AV4" s="67">
        <f t="shared" si="0"/>
        <v>83</v>
      </c>
      <c r="AW4" s="67">
        <f t="shared" si="1"/>
        <v>91</v>
      </c>
      <c r="AX4" s="67">
        <f t="shared" si="2"/>
        <v>72</v>
      </c>
      <c r="AY4" s="68">
        <f t="shared" si="3"/>
        <v>86.746987951807228</v>
      </c>
      <c r="AZ4" s="70">
        <f>SUM(2+5+25+23+8+7+2)</f>
        <v>72</v>
      </c>
    </row>
    <row r="5" spans="1:52" ht="14.25" customHeight="1">
      <c r="A5" s="59" t="s">
        <v>47</v>
      </c>
      <c r="B5" s="60">
        <v>44</v>
      </c>
      <c r="C5" s="60">
        <v>0</v>
      </c>
      <c r="D5" s="60">
        <v>0</v>
      </c>
      <c r="E5" s="71">
        <v>0</v>
      </c>
      <c r="F5" s="60">
        <v>0</v>
      </c>
      <c r="G5" s="60">
        <v>0</v>
      </c>
      <c r="H5" s="71">
        <v>0</v>
      </c>
      <c r="I5" s="60">
        <v>0</v>
      </c>
      <c r="J5" s="65">
        <v>0</v>
      </c>
      <c r="K5" s="73">
        <v>0</v>
      </c>
      <c r="L5" s="65">
        <v>7</v>
      </c>
      <c r="M5" s="63">
        <v>1</v>
      </c>
      <c r="N5" s="64">
        <v>2</v>
      </c>
      <c r="O5" s="65">
        <v>0</v>
      </c>
      <c r="P5" s="63">
        <v>1</v>
      </c>
      <c r="Q5" s="64">
        <v>1</v>
      </c>
      <c r="R5" s="65">
        <v>8</v>
      </c>
      <c r="S5" s="65">
        <v>31</v>
      </c>
      <c r="T5" s="64">
        <v>28</v>
      </c>
      <c r="U5" s="65">
        <v>0</v>
      </c>
      <c r="V5" s="65">
        <v>3</v>
      </c>
      <c r="W5" s="64">
        <v>3</v>
      </c>
      <c r="X5" s="65">
        <v>0</v>
      </c>
      <c r="Y5" s="65">
        <v>2</v>
      </c>
      <c r="Z5" s="64">
        <v>1</v>
      </c>
      <c r="AA5" s="65">
        <v>8</v>
      </c>
      <c r="AB5" s="65">
        <v>11</v>
      </c>
      <c r="AC5" s="64">
        <v>10</v>
      </c>
      <c r="AD5" s="65">
        <v>10</v>
      </c>
      <c r="AE5" s="65">
        <v>7</v>
      </c>
      <c r="AF5" s="64">
        <v>4</v>
      </c>
      <c r="AG5" s="65">
        <v>5</v>
      </c>
      <c r="AH5" s="65">
        <v>5</v>
      </c>
      <c r="AI5" s="64">
        <v>3</v>
      </c>
      <c r="AJ5" s="65">
        <v>6</v>
      </c>
      <c r="AK5" s="65">
        <v>5</v>
      </c>
      <c r="AL5" s="64">
        <v>3</v>
      </c>
      <c r="AM5" s="65">
        <v>59</v>
      </c>
      <c r="AN5" s="65">
        <v>50</v>
      </c>
      <c r="AO5" s="64">
        <v>62</v>
      </c>
      <c r="AP5" s="65">
        <v>7</v>
      </c>
      <c r="AQ5" s="65">
        <v>0</v>
      </c>
      <c r="AR5" s="64">
        <v>1</v>
      </c>
      <c r="AS5" s="65">
        <v>3</v>
      </c>
      <c r="AT5" s="65">
        <v>3</v>
      </c>
      <c r="AU5" s="64">
        <v>2</v>
      </c>
      <c r="AV5" s="67">
        <v>233</v>
      </c>
      <c r="AW5" s="67">
        <f t="shared" si="1"/>
        <v>277</v>
      </c>
      <c r="AX5" s="67">
        <f t="shared" si="2"/>
        <v>120</v>
      </c>
      <c r="AY5" s="68">
        <f t="shared" si="3"/>
        <v>51.502145922746777</v>
      </c>
      <c r="AZ5" s="70">
        <f>SUM(2+18+23+56+15+6+0)</f>
        <v>120</v>
      </c>
    </row>
    <row r="6" spans="1:52" ht="14.25" customHeight="1">
      <c r="A6" s="59" t="s">
        <v>55</v>
      </c>
      <c r="B6" s="60">
        <v>15</v>
      </c>
      <c r="C6" s="9">
        <v>0</v>
      </c>
      <c r="D6" s="9">
        <v>0</v>
      </c>
      <c r="E6" s="61">
        <v>0</v>
      </c>
      <c r="F6" s="9">
        <v>0</v>
      </c>
      <c r="G6" s="9">
        <v>0</v>
      </c>
      <c r="H6" s="61">
        <v>0</v>
      </c>
      <c r="I6" s="9">
        <v>0</v>
      </c>
      <c r="J6" s="63">
        <v>0</v>
      </c>
      <c r="K6" s="64">
        <v>0</v>
      </c>
      <c r="L6" s="65">
        <v>1</v>
      </c>
      <c r="M6" s="63">
        <v>4</v>
      </c>
      <c r="N6" s="64">
        <v>5</v>
      </c>
      <c r="O6" s="63">
        <v>0</v>
      </c>
      <c r="P6" s="65">
        <v>1</v>
      </c>
      <c r="Q6" s="64">
        <v>1</v>
      </c>
      <c r="R6" s="65">
        <v>8</v>
      </c>
      <c r="S6" s="65">
        <v>58</v>
      </c>
      <c r="T6" s="64">
        <v>60</v>
      </c>
      <c r="U6" s="63">
        <v>0</v>
      </c>
      <c r="V6" s="65">
        <v>3</v>
      </c>
      <c r="W6" s="64">
        <v>3</v>
      </c>
      <c r="X6" s="63">
        <v>0</v>
      </c>
      <c r="Y6" s="65">
        <v>3</v>
      </c>
      <c r="Z6" s="64">
        <v>3</v>
      </c>
      <c r="AA6" s="65">
        <v>2</v>
      </c>
      <c r="AB6" s="65">
        <v>15</v>
      </c>
      <c r="AC6" s="64">
        <v>15</v>
      </c>
      <c r="AD6" s="65">
        <v>3</v>
      </c>
      <c r="AE6" s="65">
        <v>1</v>
      </c>
      <c r="AF6" s="64">
        <v>2</v>
      </c>
      <c r="AG6" s="65">
        <v>2</v>
      </c>
      <c r="AH6" s="65">
        <v>4</v>
      </c>
      <c r="AI6" s="64">
        <v>6</v>
      </c>
      <c r="AJ6" s="65">
        <v>5</v>
      </c>
      <c r="AK6" s="65">
        <v>9</v>
      </c>
      <c r="AL6" s="64">
        <v>10</v>
      </c>
      <c r="AM6" s="65">
        <v>45</v>
      </c>
      <c r="AN6" s="65">
        <v>66</v>
      </c>
      <c r="AO6" s="64">
        <v>84</v>
      </c>
      <c r="AP6" s="65">
        <v>10</v>
      </c>
      <c r="AQ6" s="65">
        <v>3</v>
      </c>
      <c r="AR6" s="64">
        <v>7</v>
      </c>
      <c r="AS6" s="63">
        <v>0</v>
      </c>
      <c r="AT6" s="65">
        <v>5</v>
      </c>
      <c r="AU6" s="64">
        <v>5</v>
      </c>
      <c r="AV6" s="67">
        <f t="shared" ref="AV6:AV7" si="4">SUM(C6+D6+F6+G6+I6+J6+L6+M6+O6+P6+R6+S6+U6+V6+X6+Y6+AA6+AB6+AD6+AE6+AG6+AH6+AJ6+AK6+AM6+AN6+AP6+AQ6+AS6+AT6)</f>
        <v>248</v>
      </c>
      <c r="AW6" s="67">
        <f t="shared" si="1"/>
        <v>263</v>
      </c>
      <c r="AX6" s="67">
        <f t="shared" si="2"/>
        <v>201</v>
      </c>
      <c r="AY6" s="68">
        <f t="shared" si="3"/>
        <v>81.048387096774192</v>
      </c>
      <c r="AZ6" s="78">
        <v>201</v>
      </c>
    </row>
    <row r="7" spans="1:52" ht="14.25" customHeight="1">
      <c r="A7" s="59" t="s">
        <v>62</v>
      </c>
      <c r="B7" s="60">
        <v>5</v>
      </c>
      <c r="C7" s="60">
        <v>0</v>
      </c>
      <c r="D7" s="60">
        <v>0</v>
      </c>
      <c r="E7" s="61">
        <v>0</v>
      </c>
      <c r="F7" s="60">
        <v>0</v>
      </c>
      <c r="G7" s="60">
        <v>0</v>
      </c>
      <c r="H7" s="61">
        <v>0</v>
      </c>
      <c r="I7" s="60">
        <v>0</v>
      </c>
      <c r="J7" s="65">
        <v>0</v>
      </c>
      <c r="K7" s="64">
        <v>0</v>
      </c>
      <c r="L7" s="65">
        <v>0</v>
      </c>
      <c r="M7" s="65">
        <v>1</v>
      </c>
      <c r="N7" s="64">
        <v>1</v>
      </c>
      <c r="O7" s="65">
        <v>1</v>
      </c>
      <c r="P7" s="65">
        <v>1</v>
      </c>
      <c r="Q7" s="64">
        <v>1</v>
      </c>
      <c r="R7" s="65">
        <v>6</v>
      </c>
      <c r="S7" s="65">
        <v>36</v>
      </c>
      <c r="T7" s="64">
        <v>35</v>
      </c>
      <c r="U7" s="65">
        <v>0</v>
      </c>
      <c r="V7" s="65">
        <v>1</v>
      </c>
      <c r="W7" s="64">
        <v>1</v>
      </c>
      <c r="X7" s="65">
        <v>0</v>
      </c>
      <c r="Y7" s="65">
        <v>0</v>
      </c>
      <c r="Z7" s="64">
        <v>0</v>
      </c>
      <c r="AA7" s="65">
        <v>2</v>
      </c>
      <c r="AB7" s="65">
        <v>10</v>
      </c>
      <c r="AC7" s="64">
        <v>11</v>
      </c>
      <c r="AD7" s="65">
        <v>5</v>
      </c>
      <c r="AE7" s="65">
        <v>1</v>
      </c>
      <c r="AF7" s="64">
        <v>2</v>
      </c>
      <c r="AG7" s="65">
        <v>0</v>
      </c>
      <c r="AH7" s="65">
        <v>1</v>
      </c>
      <c r="AI7" s="64">
        <v>1</v>
      </c>
      <c r="AJ7" s="65">
        <v>2</v>
      </c>
      <c r="AK7" s="65">
        <v>0</v>
      </c>
      <c r="AL7" s="64">
        <v>2</v>
      </c>
      <c r="AM7" s="65">
        <v>10</v>
      </c>
      <c r="AN7" s="65">
        <v>25</v>
      </c>
      <c r="AO7" s="64">
        <v>26</v>
      </c>
      <c r="AP7" s="65">
        <v>0</v>
      </c>
      <c r="AQ7" s="65">
        <v>0</v>
      </c>
      <c r="AR7" s="64">
        <v>0</v>
      </c>
      <c r="AS7" s="65">
        <v>2</v>
      </c>
      <c r="AT7" s="65">
        <v>2</v>
      </c>
      <c r="AU7" s="64">
        <v>4</v>
      </c>
      <c r="AV7" s="67">
        <f t="shared" si="4"/>
        <v>106</v>
      </c>
      <c r="AW7" s="67">
        <f t="shared" si="1"/>
        <v>111</v>
      </c>
      <c r="AX7" s="67">
        <f t="shared" si="2"/>
        <v>84</v>
      </c>
      <c r="AY7" s="68">
        <f t="shared" si="3"/>
        <v>79.245283018867923</v>
      </c>
      <c r="AZ7" s="78">
        <v>84</v>
      </c>
    </row>
    <row r="8" spans="1:52" ht="14.25" customHeight="1">
      <c r="A8" s="59" t="s">
        <v>69</v>
      </c>
      <c r="B8" s="9">
        <v>2</v>
      </c>
      <c r="C8" s="60">
        <v>0</v>
      </c>
      <c r="D8" s="60">
        <v>0</v>
      </c>
      <c r="E8" s="71">
        <v>0</v>
      </c>
      <c r="F8" s="60">
        <v>0</v>
      </c>
      <c r="G8" s="60">
        <v>0</v>
      </c>
      <c r="H8" s="71">
        <v>0</v>
      </c>
      <c r="I8" s="60">
        <v>0</v>
      </c>
      <c r="J8" s="65">
        <v>0</v>
      </c>
      <c r="K8" s="64">
        <v>0</v>
      </c>
      <c r="L8" s="65">
        <v>0</v>
      </c>
      <c r="M8" s="65">
        <v>1</v>
      </c>
      <c r="N8" s="64">
        <v>1</v>
      </c>
      <c r="O8" s="65">
        <v>0</v>
      </c>
      <c r="P8" s="65">
        <v>0</v>
      </c>
      <c r="Q8" s="73">
        <v>0</v>
      </c>
      <c r="R8" s="65">
        <v>1</v>
      </c>
      <c r="S8" s="65">
        <v>5</v>
      </c>
      <c r="T8" s="64">
        <v>5</v>
      </c>
      <c r="U8" s="65">
        <v>0</v>
      </c>
      <c r="V8" s="65">
        <v>0</v>
      </c>
      <c r="W8" s="73">
        <v>0</v>
      </c>
      <c r="X8" s="65">
        <v>0</v>
      </c>
      <c r="Y8" s="65">
        <v>0</v>
      </c>
      <c r="Z8" s="73">
        <v>0</v>
      </c>
      <c r="AA8" s="65">
        <v>0</v>
      </c>
      <c r="AB8" s="63">
        <v>0</v>
      </c>
      <c r="AC8" s="64">
        <v>0</v>
      </c>
      <c r="AD8" s="65">
        <v>2</v>
      </c>
      <c r="AE8" s="65">
        <v>0</v>
      </c>
      <c r="AF8" s="73">
        <v>0</v>
      </c>
      <c r="AG8" s="65">
        <v>2</v>
      </c>
      <c r="AH8" s="65">
        <v>0</v>
      </c>
      <c r="AI8" s="64">
        <v>1</v>
      </c>
      <c r="AJ8" s="65">
        <v>2</v>
      </c>
      <c r="AK8" s="65">
        <v>2</v>
      </c>
      <c r="AL8" s="64">
        <v>4</v>
      </c>
      <c r="AM8" s="65">
        <v>11</v>
      </c>
      <c r="AN8" s="65">
        <v>5</v>
      </c>
      <c r="AO8" s="64">
        <v>7</v>
      </c>
      <c r="AP8" s="65">
        <v>2</v>
      </c>
      <c r="AQ8" s="65">
        <v>1</v>
      </c>
      <c r="AR8" s="64">
        <v>1</v>
      </c>
      <c r="AS8" s="65">
        <v>0</v>
      </c>
      <c r="AT8" s="65">
        <v>3</v>
      </c>
      <c r="AU8" s="64">
        <v>2</v>
      </c>
      <c r="AV8" s="70">
        <v>36</v>
      </c>
      <c r="AW8" s="67">
        <f t="shared" si="1"/>
        <v>38</v>
      </c>
      <c r="AX8" s="67">
        <f t="shared" si="2"/>
        <v>21</v>
      </c>
      <c r="AY8" s="68">
        <f t="shared" si="3"/>
        <v>58.333333333333336</v>
      </c>
      <c r="AZ8" s="78">
        <v>21</v>
      </c>
    </row>
    <row r="9" spans="1:52" ht="14.25" customHeight="1">
      <c r="A9" s="59" t="s">
        <v>79</v>
      </c>
      <c r="B9" s="60">
        <v>10</v>
      </c>
      <c r="C9" s="60">
        <v>0</v>
      </c>
      <c r="D9" s="60">
        <v>0</v>
      </c>
      <c r="E9" s="71">
        <v>0</v>
      </c>
      <c r="F9" s="60">
        <v>0</v>
      </c>
      <c r="G9" s="60">
        <v>0</v>
      </c>
      <c r="H9" s="71">
        <v>0</v>
      </c>
      <c r="I9" s="60">
        <v>0</v>
      </c>
      <c r="J9" s="65">
        <v>0</v>
      </c>
      <c r="K9" s="73">
        <v>0</v>
      </c>
      <c r="L9" s="65">
        <v>1</v>
      </c>
      <c r="M9" s="65">
        <v>2</v>
      </c>
      <c r="N9" s="64">
        <v>3</v>
      </c>
      <c r="O9" s="65">
        <v>0</v>
      </c>
      <c r="P9" s="65">
        <v>1</v>
      </c>
      <c r="Q9" s="64">
        <v>1</v>
      </c>
      <c r="R9" s="65">
        <v>11</v>
      </c>
      <c r="S9" s="65">
        <v>23</v>
      </c>
      <c r="T9" s="64">
        <v>27</v>
      </c>
      <c r="U9" s="65">
        <v>0</v>
      </c>
      <c r="V9" s="65">
        <v>1</v>
      </c>
      <c r="W9" s="64">
        <v>1</v>
      </c>
      <c r="X9" s="65">
        <v>0</v>
      </c>
      <c r="Y9" s="65">
        <v>2</v>
      </c>
      <c r="Z9" s="64">
        <v>2</v>
      </c>
      <c r="AA9" s="65">
        <v>1</v>
      </c>
      <c r="AB9" s="65">
        <v>6</v>
      </c>
      <c r="AC9" s="64">
        <v>6</v>
      </c>
      <c r="AD9" s="65">
        <v>3</v>
      </c>
      <c r="AE9" s="65">
        <v>3</v>
      </c>
      <c r="AF9" s="64">
        <v>3</v>
      </c>
      <c r="AG9" s="65">
        <v>1</v>
      </c>
      <c r="AH9" s="65">
        <v>10</v>
      </c>
      <c r="AI9" s="64">
        <v>10</v>
      </c>
      <c r="AJ9" s="65">
        <v>9</v>
      </c>
      <c r="AK9" s="65">
        <v>5</v>
      </c>
      <c r="AL9" s="64">
        <v>4</v>
      </c>
      <c r="AM9" s="65">
        <v>34</v>
      </c>
      <c r="AN9" s="65">
        <v>29</v>
      </c>
      <c r="AO9" s="64">
        <v>40</v>
      </c>
      <c r="AP9" s="65">
        <v>6</v>
      </c>
      <c r="AQ9" s="65">
        <v>1</v>
      </c>
      <c r="AR9" s="64">
        <v>3</v>
      </c>
      <c r="AS9" s="65">
        <v>2</v>
      </c>
      <c r="AT9" s="65">
        <v>4</v>
      </c>
      <c r="AU9" s="64">
        <v>4</v>
      </c>
      <c r="AV9" s="67">
        <f t="shared" ref="AV9:AV21" si="5">SUM(C9+D9+F9+G9+I9+J9+L9+M9+O9+P9+R9+S9+U9+V9+X9+Y9+AA9+AB9+AD9+AE9+AG9+AH9+AJ9+AK9+AM9+AN9+AP9+AQ9+AS9+AT9)</f>
        <v>155</v>
      </c>
      <c r="AW9" s="67">
        <f t="shared" si="1"/>
        <v>165</v>
      </c>
      <c r="AX9" s="67">
        <f t="shared" si="2"/>
        <v>104</v>
      </c>
      <c r="AY9" s="68">
        <f t="shared" si="3"/>
        <v>67.096774193548399</v>
      </c>
      <c r="AZ9" s="78">
        <v>104</v>
      </c>
    </row>
    <row r="10" spans="1:52" ht="14.25" customHeight="1">
      <c r="A10" s="59" t="s">
        <v>89</v>
      </c>
      <c r="B10" s="60">
        <v>10</v>
      </c>
      <c r="C10" s="60">
        <v>0</v>
      </c>
      <c r="D10" s="60">
        <v>0</v>
      </c>
      <c r="E10" s="71">
        <v>0</v>
      </c>
      <c r="F10" s="60">
        <v>0</v>
      </c>
      <c r="G10" s="60">
        <v>0</v>
      </c>
      <c r="H10" s="71">
        <v>0</v>
      </c>
      <c r="I10" s="60">
        <v>0</v>
      </c>
      <c r="J10" s="65">
        <v>0</v>
      </c>
      <c r="K10" s="73">
        <v>0</v>
      </c>
      <c r="L10" s="65">
        <v>2</v>
      </c>
      <c r="M10" s="65">
        <v>2</v>
      </c>
      <c r="N10" s="64">
        <v>2</v>
      </c>
      <c r="O10" s="65">
        <v>0</v>
      </c>
      <c r="P10" s="65">
        <v>0</v>
      </c>
      <c r="Q10" s="73">
        <v>0</v>
      </c>
      <c r="R10" s="65">
        <v>3</v>
      </c>
      <c r="S10" s="65">
        <v>23</v>
      </c>
      <c r="T10" s="64">
        <v>25</v>
      </c>
      <c r="U10" s="65">
        <v>0</v>
      </c>
      <c r="V10" s="65">
        <v>0</v>
      </c>
      <c r="W10" s="73">
        <v>0</v>
      </c>
      <c r="X10" s="65">
        <v>0</v>
      </c>
      <c r="Y10" s="65">
        <v>0</v>
      </c>
      <c r="Z10" s="73">
        <v>0</v>
      </c>
      <c r="AA10" s="65">
        <v>2</v>
      </c>
      <c r="AB10" s="65">
        <v>9</v>
      </c>
      <c r="AC10" s="64">
        <v>9</v>
      </c>
      <c r="AD10" s="65">
        <v>2</v>
      </c>
      <c r="AE10" s="65">
        <v>2</v>
      </c>
      <c r="AF10" s="64">
        <v>1</v>
      </c>
      <c r="AG10" s="65">
        <v>5</v>
      </c>
      <c r="AH10" s="65">
        <v>4</v>
      </c>
      <c r="AI10" s="64">
        <v>3</v>
      </c>
      <c r="AJ10" s="65">
        <v>4</v>
      </c>
      <c r="AK10" s="65">
        <v>4</v>
      </c>
      <c r="AL10" s="64">
        <v>3</v>
      </c>
      <c r="AM10" s="65">
        <v>32</v>
      </c>
      <c r="AN10" s="65">
        <v>40</v>
      </c>
      <c r="AO10" s="64">
        <v>44</v>
      </c>
      <c r="AP10" s="65">
        <v>2</v>
      </c>
      <c r="AQ10" s="65">
        <v>2</v>
      </c>
      <c r="AR10" s="64">
        <v>3</v>
      </c>
      <c r="AS10" s="65">
        <v>3</v>
      </c>
      <c r="AT10" s="65">
        <v>2</v>
      </c>
      <c r="AU10" s="64">
        <v>2</v>
      </c>
      <c r="AV10" s="67">
        <f t="shared" si="5"/>
        <v>143</v>
      </c>
      <c r="AW10" s="67">
        <f t="shared" si="1"/>
        <v>153</v>
      </c>
      <c r="AX10" s="67">
        <f t="shared" si="2"/>
        <v>92</v>
      </c>
      <c r="AY10" s="68">
        <f t="shared" si="3"/>
        <v>64.335664335664333</v>
      </c>
      <c r="AZ10" s="78">
        <v>92</v>
      </c>
    </row>
    <row r="11" spans="1:52" ht="14.25" customHeight="1">
      <c r="A11" s="59" t="s">
        <v>199</v>
      </c>
      <c r="B11" s="9">
        <v>4</v>
      </c>
      <c r="C11" s="9">
        <v>0</v>
      </c>
      <c r="D11" s="9">
        <v>0</v>
      </c>
      <c r="E11" s="71">
        <v>0</v>
      </c>
      <c r="F11" s="60">
        <v>0</v>
      </c>
      <c r="G11" s="60">
        <v>0</v>
      </c>
      <c r="H11" s="71">
        <v>0</v>
      </c>
      <c r="I11" s="60">
        <v>0</v>
      </c>
      <c r="J11" s="65">
        <v>0</v>
      </c>
      <c r="K11" s="73">
        <v>0</v>
      </c>
      <c r="L11" s="65">
        <v>1</v>
      </c>
      <c r="M11" s="65">
        <v>0</v>
      </c>
      <c r="N11" s="73">
        <v>0</v>
      </c>
      <c r="O11" s="65">
        <v>0</v>
      </c>
      <c r="P11" s="65">
        <v>0</v>
      </c>
      <c r="Q11" s="73">
        <v>0</v>
      </c>
      <c r="R11" s="63">
        <v>0</v>
      </c>
      <c r="S11" s="65">
        <v>1</v>
      </c>
      <c r="T11" s="64">
        <v>1</v>
      </c>
      <c r="U11" s="63">
        <v>0</v>
      </c>
      <c r="V11" s="63">
        <v>0</v>
      </c>
      <c r="W11" s="64">
        <v>0</v>
      </c>
      <c r="X11" s="63">
        <v>0</v>
      </c>
      <c r="Y11" s="63">
        <v>0</v>
      </c>
      <c r="Z11" s="64">
        <v>0</v>
      </c>
      <c r="AA11" s="63">
        <v>0</v>
      </c>
      <c r="AB11" s="63">
        <v>1</v>
      </c>
      <c r="AC11" s="64">
        <v>0</v>
      </c>
      <c r="AD11" s="63">
        <v>0</v>
      </c>
      <c r="AE11" s="63">
        <v>0</v>
      </c>
      <c r="AF11" s="64">
        <v>0</v>
      </c>
      <c r="AG11" s="63">
        <v>0</v>
      </c>
      <c r="AH11" s="63">
        <v>0</v>
      </c>
      <c r="AI11" s="64">
        <v>0</v>
      </c>
      <c r="AJ11" s="63">
        <v>0</v>
      </c>
      <c r="AK11" s="63">
        <v>0</v>
      </c>
      <c r="AL11" s="64">
        <v>0</v>
      </c>
      <c r="AM11" s="63">
        <v>3</v>
      </c>
      <c r="AN11" s="65">
        <v>2</v>
      </c>
      <c r="AO11" s="64">
        <v>3</v>
      </c>
      <c r="AP11" s="63">
        <v>0</v>
      </c>
      <c r="AQ11" s="63">
        <v>0</v>
      </c>
      <c r="AR11" s="64">
        <v>0</v>
      </c>
      <c r="AS11" s="63">
        <v>0</v>
      </c>
      <c r="AT11" s="63">
        <v>0</v>
      </c>
      <c r="AU11" s="64">
        <v>0</v>
      </c>
      <c r="AV11" s="67">
        <f t="shared" si="5"/>
        <v>8</v>
      </c>
      <c r="AW11" s="70">
        <v>8</v>
      </c>
      <c r="AX11" s="67">
        <f t="shared" si="2"/>
        <v>4</v>
      </c>
      <c r="AY11" s="68">
        <f t="shared" si="3"/>
        <v>50</v>
      </c>
      <c r="AZ11" s="78">
        <v>4</v>
      </c>
    </row>
    <row r="12" spans="1:52" ht="14.25" customHeight="1">
      <c r="A12" s="59" t="s">
        <v>106</v>
      </c>
      <c r="B12" s="9">
        <v>6</v>
      </c>
      <c r="C12" s="60">
        <v>0</v>
      </c>
      <c r="D12" s="60">
        <v>0</v>
      </c>
      <c r="E12" s="71">
        <v>0</v>
      </c>
      <c r="F12" s="60">
        <v>0</v>
      </c>
      <c r="G12" s="60">
        <v>0</v>
      </c>
      <c r="H12" s="71">
        <v>0</v>
      </c>
      <c r="I12" s="60">
        <v>0</v>
      </c>
      <c r="J12" s="65">
        <v>0</v>
      </c>
      <c r="K12" s="73">
        <v>0</v>
      </c>
      <c r="L12" s="65">
        <v>0</v>
      </c>
      <c r="M12" s="65">
        <v>0</v>
      </c>
      <c r="N12" s="73">
        <v>0</v>
      </c>
      <c r="O12" s="65">
        <v>0</v>
      </c>
      <c r="P12" s="65">
        <v>1</v>
      </c>
      <c r="Q12" s="64">
        <v>1</v>
      </c>
      <c r="R12" s="65">
        <v>1</v>
      </c>
      <c r="S12" s="65">
        <v>0</v>
      </c>
      <c r="T12" s="64">
        <v>1</v>
      </c>
      <c r="U12" s="65">
        <v>0</v>
      </c>
      <c r="V12" s="65">
        <v>0</v>
      </c>
      <c r="W12" s="73">
        <v>0</v>
      </c>
      <c r="X12" s="65">
        <v>0</v>
      </c>
      <c r="Y12" s="65">
        <v>0</v>
      </c>
      <c r="Z12" s="73">
        <v>0</v>
      </c>
      <c r="AA12" s="65">
        <v>0</v>
      </c>
      <c r="AB12" s="65">
        <v>1</v>
      </c>
      <c r="AC12" s="64">
        <v>1</v>
      </c>
      <c r="AD12" s="65">
        <v>0</v>
      </c>
      <c r="AE12" s="65">
        <v>1</v>
      </c>
      <c r="AF12" s="64">
        <v>1</v>
      </c>
      <c r="AG12" s="65">
        <v>0</v>
      </c>
      <c r="AH12" s="65">
        <v>0</v>
      </c>
      <c r="AI12" s="73">
        <v>0</v>
      </c>
      <c r="AJ12" s="65">
        <v>0</v>
      </c>
      <c r="AK12" s="65">
        <v>0</v>
      </c>
      <c r="AL12" s="73">
        <v>0</v>
      </c>
      <c r="AM12" s="65">
        <v>2</v>
      </c>
      <c r="AN12" s="65">
        <v>0</v>
      </c>
      <c r="AO12" s="64">
        <v>0</v>
      </c>
      <c r="AP12" s="65">
        <v>0</v>
      </c>
      <c r="AQ12" s="65">
        <v>0</v>
      </c>
      <c r="AR12" s="64">
        <v>0</v>
      </c>
      <c r="AS12" s="65">
        <v>0</v>
      </c>
      <c r="AT12" s="65">
        <v>0</v>
      </c>
      <c r="AU12" s="64">
        <v>0</v>
      </c>
      <c r="AV12" s="67">
        <f t="shared" si="5"/>
        <v>6</v>
      </c>
      <c r="AW12" s="70">
        <v>10</v>
      </c>
      <c r="AX12" s="70">
        <v>4</v>
      </c>
      <c r="AY12" s="68">
        <f t="shared" si="3"/>
        <v>66.666666666666657</v>
      </c>
      <c r="AZ12" s="78">
        <v>4</v>
      </c>
    </row>
    <row r="13" spans="1:52" ht="14.25" customHeight="1">
      <c r="A13" s="59" t="s">
        <v>112</v>
      </c>
      <c r="B13" s="60">
        <v>10</v>
      </c>
      <c r="C13" s="9">
        <v>0</v>
      </c>
      <c r="D13" s="9">
        <v>0</v>
      </c>
      <c r="E13" s="61">
        <v>0</v>
      </c>
      <c r="F13" s="9">
        <v>0</v>
      </c>
      <c r="G13" s="9">
        <v>0</v>
      </c>
      <c r="H13" s="61">
        <v>0</v>
      </c>
      <c r="I13" s="60">
        <v>0</v>
      </c>
      <c r="J13" s="65">
        <v>0</v>
      </c>
      <c r="K13" s="64">
        <v>0</v>
      </c>
      <c r="L13" s="65">
        <v>0</v>
      </c>
      <c r="M13" s="63">
        <v>5</v>
      </c>
      <c r="N13" s="64">
        <v>5</v>
      </c>
      <c r="O13" s="65">
        <v>0</v>
      </c>
      <c r="P13" s="63">
        <v>2</v>
      </c>
      <c r="Q13" s="64">
        <v>2</v>
      </c>
      <c r="R13" s="65">
        <v>5</v>
      </c>
      <c r="S13" s="65">
        <v>22</v>
      </c>
      <c r="T13" s="64">
        <v>24</v>
      </c>
      <c r="U13" s="65">
        <v>0</v>
      </c>
      <c r="V13" s="65">
        <v>2</v>
      </c>
      <c r="W13" s="64">
        <v>2</v>
      </c>
      <c r="X13" s="65">
        <v>0</v>
      </c>
      <c r="Y13" s="65">
        <v>1</v>
      </c>
      <c r="Z13" s="64">
        <v>1</v>
      </c>
      <c r="AA13" s="65">
        <v>5</v>
      </c>
      <c r="AB13" s="65">
        <v>2</v>
      </c>
      <c r="AC13" s="64">
        <v>4</v>
      </c>
      <c r="AD13" s="65">
        <v>1</v>
      </c>
      <c r="AE13" s="65">
        <v>1</v>
      </c>
      <c r="AF13" s="64">
        <v>0</v>
      </c>
      <c r="AG13" s="65">
        <v>1</v>
      </c>
      <c r="AH13" s="65">
        <v>3</v>
      </c>
      <c r="AI13" s="64">
        <v>4</v>
      </c>
      <c r="AJ13" s="65">
        <v>2</v>
      </c>
      <c r="AK13" s="65">
        <v>5</v>
      </c>
      <c r="AL13" s="64">
        <v>4</v>
      </c>
      <c r="AM13" s="65">
        <v>35</v>
      </c>
      <c r="AN13" s="65">
        <v>34</v>
      </c>
      <c r="AO13" s="64">
        <v>43</v>
      </c>
      <c r="AP13" s="65">
        <v>3</v>
      </c>
      <c r="AQ13" s="65">
        <v>0</v>
      </c>
      <c r="AR13" s="64">
        <v>1</v>
      </c>
      <c r="AS13" s="65">
        <v>1</v>
      </c>
      <c r="AT13" s="65">
        <v>3</v>
      </c>
      <c r="AU13" s="64">
        <v>3</v>
      </c>
      <c r="AV13" s="67">
        <f t="shared" si="5"/>
        <v>133</v>
      </c>
      <c r="AW13" s="67">
        <f t="shared" ref="AW13:AW14" si="6">SUM(AV13+B13)</f>
        <v>143</v>
      </c>
      <c r="AX13" s="67">
        <f t="shared" ref="AX13:AX14" si="7">SUM(AU13,AR13,AO13,AL13,AI13,AF13,AC13,Z13,W13,T13,Q13,N13,K13,H13,E13)</f>
        <v>93</v>
      </c>
      <c r="AY13" s="68">
        <f t="shared" si="3"/>
        <v>69.924812030075188</v>
      </c>
      <c r="AZ13" s="78">
        <v>93</v>
      </c>
    </row>
    <row r="14" spans="1:52" ht="14.25" customHeight="1">
      <c r="A14" s="59" t="s">
        <v>118</v>
      </c>
      <c r="B14" s="79">
        <v>14</v>
      </c>
      <c r="C14" s="79">
        <v>0</v>
      </c>
      <c r="D14" s="79">
        <v>0</v>
      </c>
      <c r="E14" s="80">
        <v>0</v>
      </c>
      <c r="F14" s="79">
        <v>0</v>
      </c>
      <c r="G14" s="79">
        <v>0</v>
      </c>
      <c r="H14" s="80">
        <v>0</v>
      </c>
      <c r="I14" s="79">
        <v>0</v>
      </c>
      <c r="J14" s="81">
        <v>0</v>
      </c>
      <c r="K14" s="82">
        <v>0</v>
      </c>
      <c r="L14" s="81">
        <v>1</v>
      </c>
      <c r="M14" s="81">
        <v>6</v>
      </c>
      <c r="N14" s="83">
        <v>5</v>
      </c>
      <c r="O14" s="81">
        <v>0</v>
      </c>
      <c r="P14" s="81">
        <v>3</v>
      </c>
      <c r="Q14" s="83">
        <v>3</v>
      </c>
      <c r="R14" s="81">
        <v>8</v>
      </c>
      <c r="S14" s="81">
        <v>29</v>
      </c>
      <c r="T14" s="83">
        <v>34</v>
      </c>
      <c r="U14" s="81">
        <v>1</v>
      </c>
      <c r="V14" s="81">
        <v>3</v>
      </c>
      <c r="W14" s="83">
        <v>3</v>
      </c>
      <c r="X14" s="81">
        <v>0</v>
      </c>
      <c r="Y14" s="81">
        <v>3</v>
      </c>
      <c r="Z14" s="83">
        <v>3</v>
      </c>
      <c r="AA14" s="81">
        <v>4</v>
      </c>
      <c r="AB14" s="81">
        <v>7</v>
      </c>
      <c r="AC14" s="83">
        <v>8</v>
      </c>
      <c r="AD14" s="81">
        <v>2</v>
      </c>
      <c r="AE14" s="81">
        <v>2</v>
      </c>
      <c r="AF14" s="83">
        <v>3</v>
      </c>
      <c r="AG14" s="81">
        <v>1</v>
      </c>
      <c r="AH14" s="81">
        <v>3</v>
      </c>
      <c r="AI14" s="83">
        <v>3</v>
      </c>
      <c r="AJ14" s="81">
        <v>6</v>
      </c>
      <c r="AK14" s="81">
        <v>4</v>
      </c>
      <c r="AL14" s="83">
        <v>4</v>
      </c>
      <c r="AM14" s="81">
        <v>41</v>
      </c>
      <c r="AN14" s="81">
        <v>47</v>
      </c>
      <c r="AO14" s="83">
        <v>55</v>
      </c>
      <c r="AP14" s="81">
        <v>6</v>
      </c>
      <c r="AQ14" s="81">
        <v>1</v>
      </c>
      <c r="AR14" s="83">
        <v>5</v>
      </c>
      <c r="AS14" s="81">
        <v>0</v>
      </c>
      <c r="AT14" s="81">
        <v>0</v>
      </c>
      <c r="AU14" s="83">
        <v>0</v>
      </c>
      <c r="AV14" s="67">
        <f t="shared" si="5"/>
        <v>178</v>
      </c>
      <c r="AW14" s="67">
        <f t="shared" si="6"/>
        <v>192</v>
      </c>
      <c r="AX14" s="67">
        <f t="shared" si="7"/>
        <v>126</v>
      </c>
      <c r="AY14" s="68">
        <f t="shared" si="3"/>
        <v>70.786516853932582</v>
      </c>
      <c r="AZ14" s="70">
        <f>SUM(1+18+25+69+9+4+0)</f>
        <v>126</v>
      </c>
    </row>
    <row r="15" spans="1:52" ht="14.25" customHeight="1">
      <c r="A15" s="59" t="s">
        <v>124</v>
      </c>
      <c r="B15" s="9">
        <v>2</v>
      </c>
      <c r="C15" s="60">
        <v>0</v>
      </c>
      <c r="D15" s="60">
        <v>0</v>
      </c>
      <c r="E15" s="71">
        <v>0</v>
      </c>
      <c r="F15" s="60">
        <v>0</v>
      </c>
      <c r="G15" s="60">
        <v>0</v>
      </c>
      <c r="H15" s="71">
        <v>0</v>
      </c>
      <c r="I15" s="60">
        <v>0</v>
      </c>
      <c r="J15" s="65">
        <v>0</v>
      </c>
      <c r="K15" s="73">
        <v>0</v>
      </c>
      <c r="L15" s="65">
        <v>0</v>
      </c>
      <c r="M15" s="65">
        <v>1</v>
      </c>
      <c r="N15" s="64">
        <v>1</v>
      </c>
      <c r="O15" s="65">
        <v>1</v>
      </c>
      <c r="P15" s="65">
        <v>0</v>
      </c>
      <c r="Q15" s="64">
        <v>1</v>
      </c>
      <c r="R15" s="65">
        <v>2</v>
      </c>
      <c r="S15" s="65">
        <v>14</v>
      </c>
      <c r="T15" s="64">
        <v>14</v>
      </c>
      <c r="U15" s="65">
        <v>0</v>
      </c>
      <c r="V15" s="65">
        <v>1</v>
      </c>
      <c r="W15" s="64">
        <v>1</v>
      </c>
      <c r="X15" s="65">
        <v>0</v>
      </c>
      <c r="Y15" s="65">
        <v>1</v>
      </c>
      <c r="Z15" s="64">
        <v>1</v>
      </c>
      <c r="AA15" s="65">
        <v>1</v>
      </c>
      <c r="AB15" s="65">
        <v>4</v>
      </c>
      <c r="AC15" s="64">
        <v>4</v>
      </c>
      <c r="AD15" s="65">
        <v>2</v>
      </c>
      <c r="AE15" s="65">
        <v>1</v>
      </c>
      <c r="AF15" s="64">
        <v>2</v>
      </c>
      <c r="AG15" s="65">
        <v>0</v>
      </c>
      <c r="AH15" s="63">
        <v>2</v>
      </c>
      <c r="AI15" s="64">
        <v>2</v>
      </c>
      <c r="AJ15" s="65">
        <v>2</v>
      </c>
      <c r="AK15" s="65">
        <v>1</v>
      </c>
      <c r="AL15" s="64">
        <v>3</v>
      </c>
      <c r="AM15" s="65">
        <v>4</v>
      </c>
      <c r="AN15" s="65">
        <v>14</v>
      </c>
      <c r="AO15" s="64">
        <v>16</v>
      </c>
      <c r="AP15" s="63">
        <v>0</v>
      </c>
      <c r="AQ15" s="63">
        <v>0</v>
      </c>
      <c r="AR15" s="64">
        <v>0</v>
      </c>
      <c r="AS15" s="63">
        <v>0</v>
      </c>
      <c r="AT15" s="63">
        <v>0</v>
      </c>
      <c r="AU15" s="64">
        <v>0</v>
      </c>
      <c r="AV15" s="67">
        <f t="shared" si="5"/>
        <v>51</v>
      </c>
      <c r="AW15" s="70">
        <v>53</v>
      </c>
      <c r="AX15" s="70">
        <v>45</v>
      </c>
      <c r="AY15" s="68">
        <f t="shared" si="3"/>
        <v>88.235294117647058</v>
      </c>
      <c r="AZ15" s="78">
        <v>45</v>
      </c>
    </row>
    <row r="16" spans="1:52" ht="14.25" customHeight="1">
      <c r="A16" s="59" t="s">
        <v>132</v>
      </c>
      <c r="B16" s="84">
        <v>0</v>
      </c>
      <c r="C16" s="84">
        <v>0</v>
      </c>
      <c r="D16" s="84">
        <v>0</v>
      </c>
      <c r="E16" s="85">
        <v>0</v>
      </c>
      <c r="F16" s="84">
        <v>0</v>
      </c>
      <c r="G16" s="84">
        <v>0</v>
      </c>
      <c r="H16" s="85">
        <v>0</v>
      </c>
      <c r="I16" s="84">
        <v>0</v>
      </c>
      <c r="J16" s="84">
        <v>0</v>
      </c>
      <c r="K16" s="85">
        <v>0</v>
      </c>
      <c r="L16" s="84">
        <v>0</v>
      </c>
      <c r="M16" s="84">
        <v>1</v>
      </c>
      <c r="N16" s="85">
        <v>0</v>
      </c>
      <c r="O16" s="84">
        <v>0</v>
      </c>
      <c r="P16" s="84">
        <v>0</v>
      </c>
      <c r="Q16" s="85">
        <v>0</v>
      </c>
      <c r="R16" s="84">
        <v>0</v>
      </c>
      <c r="S16" s="84">
        <v>0</v>
      </c>
      <c r="T16" s="85">
        <v>0</v>
      </c>
      <c r="U16" s="84">
        <v>0</v>
      </c>
      <c r="V16" s="84">
        <v>0</v>
      </c>
      <c r="W16" s="85">
        <v>0</v>
      </c>
      <c r="X16" s="84">
        <v>0</v>
      </c>
      <c r="Y16" s="84">
        <v>0</v>
      </c>
      <c r="Z16" s="85">
        <v>0</v>
      </c>
      <c r="AA16" s="84">
        <v>0</v>
      </c>
      <c r="AB16" s="84">
        <v>0</v>
      </c>
      <c r="AC16" s="85">
        <v>0</v>
      </c>
      <c r="AD16" s="84">
        <v>1</v>
      </c>
      <c r="AE16" s="84">
        <v>0</v>
      </c>
      <c r="AF16" s="85">
        <v>1</v>
      </c>
      <c r="AG16" s="84">
        <v>0</v>
      </c>
      <c r="AH16" s="84">
        <v>0</v>
      </c>
      <c r="AI16" s="85">
        <v>0</v>
      </c>
      <c r="AJ16" s="84">
        <v>0</v>
      </c>
      <c r="AK16" s="84">
        <v>0</v>
      </c>
      <c r="AL16" s="85">
        <v>0</v>
      </c>
      <c r="AM16" s="84">
        <v>6</v>
      </c>
      <c r="AN16" s="84">
        <v>0</v>
      </c>
      <c r="AO16" s="85">
        <v>0</v>
      </c>
      <c r="AP16" s="84">
        <v>1</v>
      </c>
      <c r="AQ16" s="84">
        <v>0</v>
      </c>
      <c r="AR16" s="85">
        <v>0</v>
      </c>
      <c r="AS16" s="84">
        <v>0</v>
      </c>
      <c r="AT16" s="86">
        <v>0</v>
      </c>
      <c r="AU16" s="87">
        <v>0</v>
      </c>
      <c r="AV16" s="67">
        <f t="shared" si="5"/>
        <v>9</v>
      </c>
      <c r="AW16" s="67">
        <f t="shared" ref="AW16:AW21" si="8">SUM(AV16+B16)</f>
        <v>9</v>
      </c>
      <c r="AX16" s="67">
        <f t="shared" ref="AX16:AX21" si="9">SUM(AU16,AR16,AO16,AL16,AI16,AF16,AC16,Z16,W16,T16,Q16,N16,K16,H16,E16)</f>
        <v>1</v>
      </c>
      <c r="AY16" s="68">
        <f t="shared" si="3"/>
        <v>11.111111111111111</v>
      </c>
      <c r="AZ16" s="78">
        <v>1</v>
      </c>
    </row>
    <row r="17" spans="1:52" ht="14.25" customHeight="1">
      <c r="A17" s="88" t="s">
        <v>77</v>
      </c>
      <c r="B17" s="9">
        <v>19</v>
      </c>
      <c r="C17" s="60">
        <v>0</v>
      </c>
      <c r="D17" s="60">
        <v>0</v>
      </c>
      <c r="E17" s="71">
        <v>0</v>
      </c>
      <c r="F17" s="60">
        <v>0</v>
      </c>
      <c r="G17" s="60">
        <v>0</v>
      </c>
      <c r="H17" s="71">
        <v>0</v>
      </c>
      <c r="I17" s="60">
        <v>0</v>
      </c>
      <c r="J17" s="65">
        <v>0</v>
      </c>
      <c r="K17" s="64">
        <v>0</v>
      </c>
      <c r="L17" s="63">
        <v>1</v>
      </c>
      <c r="M17" s="65">
        <v>13</v>
      </c>
      <c r="N17" s="64">
        <v>11</v>
      </c>
      <c r="O17" s="65">
        <v>0</v>
      </c>
      <c r="P17" s="65">
        <v>1</v>
      </c>
      <c r="Q17" s="64">
        <v>0</v>
      </c>
      <c r="R17" s="65">
        <v>11</v>
      </c>
      <c r="S17" s="65">
        <v>47</v>
      </c>
      <c r="T17" s="64">
        <v>38</v>
      </c>
      <c r="U17" s="65">
        <v>1</v>
      </c>
      <c r="V17" s="65">
        <v>3</v>
      </c>
      <c r="W17" s="64">
        <v>2</v>
      </c>
      <c r="X17" s="65">
        <v>0</v>
      </c>
      <c r="Y17" s="65">
        <v>1</v>
      </c>
      <c r="Z17" s="64">
        <v>1</v>
      </c>
      <c r="AA17" s="65">
        <v>0</v>
      </c>
      <c r="AB17" s="65">
        <v>7</v>
      </c>
      <c r="AC17" s="64">
        <v>6</v>
      </c>
      <c r="AD17" s="65">
        <v>4</v>
      </c>
      <c r="AE17" s="65">
        <v>1</v>
      </c>
      <c r="AF17" s="64">
        <v>3</v>
      </c>
      <c r="AG17" s="65">
        <v>3</v>
      </c>
      <c r="AH17" s="65">
        <v>6</v>
      </c>
      <c r="AI17" s="64">
        <v>6</v>
      </c>
      <c r="AJ17" s="63">
        <v>8</v>
      </c>
      <c r="AK17" s="63">
        <v>8</v>
      </c>
      <c r="AL17" s="64">
        <v>11</v>
      </c>
      <c r="AM17" s="65">
        <v>60</v>
      </c>
      <c r="AN17" s="65">
        <v>83</v>
      </c>
      <c r="AO17" s="64">
        <v>89</v>
      </c>
      <c r="AP17" s="63">
        <v>6</v>
      </c>
      <c r="AQ17" s="65">
        <v>6</v>
      </c>
      <c r="AR17" s="64">
        <v>5</v>
      </c>
      <c r="AS17" s="65">
        <v>0</v>
      </c>
      <c r="AT17" s="65">
        <v>9</v>
      </c>
      <c r="AU17" s="64">
        <v>7</v>
      </c>
      <c r="AV17" s="67">
        <f t="shared" si="5"/>
        <v>279</v>
      </c>
      <c r="AW17" s="67">
        <f t="shared" si="8"/>
        <v>298</v>
      </c>
      <c r="AX17" s="67">
        <f t="shared" si="9"/>
        <v>179</v>
      </c>
      <c r="AY17" s="68">
        <f t="shared" si="3"/>
        <v>64.157706093189958</v>
      </c>
      <c r="AZ17" s="78">
        <v>179</v>
      </c>
    </row>
    <row r="18" spans="1:52" ht="14.25" customHeight="1">
      <c r="A18" s="88" t="s">
        <v>215</v>
      </c>
      <c r="B18" s="79">
        <v>1</v>
      </c>
      <c r="C18" s="79">
        <v>0</v>
      </c>
      <c r="D18" s="79">
        <v>0</v>
      </c>
      <c r="E18" s="80">
        <v>0</v>
      </c>
      <c r="F18" s="79">
        <v>0</v>
      </c>
      <c r="G18" s="79">
        <v>0</v>
      </c>
      <c r="H18" s="80">
        <v>0</v>
      </c>
      <c r="I18" s="79">
        <v>0</v>
      </c>
      <c r="J18" s="84">
        <v>0</v>
      </c>
      <c r="K18" s="89">
        <v>0</v>
      </c>
      <c r="L18" s="84">
        <v>0</v>
      </c>
      <c r="M18" s="84">
        <v>0</v>
      </c>
      <c r="N18" s="89">
        <v>0</v>
      </c>
      <c r="O18" s="84">
        <v>0</v>
      </c>
      <c r="P18" s="84">
        <v>0</v>
      </c>
      <c r="Q18" s="89">
        <v>0</v>
      </c>
      <c r="R18" s="84">
        <v>1</v>
      </c>
      <c r="S18" s="84">
        <v>1</v>
      </c>
      <c r="T18" s="85">
        <v>1</v>
      </c>
      <c r="U18" s="84">
        <v>0</v>
      </c>
      <c r="V18" s="84">
        <v>0</v>
      </c>
      <c r="W18" s="89">
        <v>0</v>
      </c>
      <c r="X18" s="84">
        <v>0</v>
      </c>
      <c r="Y18" s="84">
        <v>0</v>
      </c>
      <c r="Z18" s="89">
        <v>0</v>
      </c>
      <c r="AA18" s="84">
        <v>1</v>
      </c>
      <c r="AB18" s="84">
        <v>0</v>
      </c>
      <c r="AC18" s="85">
        <v>0</v>
      </c>
      <c r="AD18" s="84">
        <v>1</v>
      </c>
      <c r="AE18" s="84">
        <v>2</v>
      </c>
      <c r="AF18" s="85">
        <v>3</v>
      </c>
      <c r="AG18" s="84">
        <v>1</v>
      </c>
      <c r="AH18" s="84">
        <v>0</v>
      </c>
      <c r="AI18" s="85">
        <v>0</v>
      </c>
      <c r="AJ18" s="84">
        <v>4</v>
      </c>
      <c r="AK18" s="84">
        <v>0</v>
      </c>
      <c r="AL18" s="85">
        <v>0</v>
      </c>
      <c r="AM18" s="84">
        <v>15</v>
      </c>
      <c r="AN18" s="84">
        <v>20</v>
      </c>
      <c r="AO18" s="85">
        <v>16</v>
      </c>
      <c r="AP18" s="84">
        <v>6</v>
      </c>
      <c r="AQ18" s="84">
        <v>0</v>
      </c>
      <c r="AR18" s="85">
        <v>3</v>
      </c>
      <c r="AS18" s="84">
        <v>1</v>
      </c>
      <c r="AT18" s="84">
        <v>2</v>
      </c>
      <c r="AU18" s="85">
        <v>2</v>
      </c>
      <c r="AV18" s="67">
        <f t="shared" si="5"/>
        <v>55</v>
      </c>
      <c r="AW18" s="67">
        <f t="shared" si="8"/>
        <v>56</v>
      </c>
      <c r="AX18" s="67">
        <f t="shared" si="9"/>
        <v>25</v>
      </c>
      <c r="AY18" s="68">
        <f t="shared" si="3"/>
        <v>45.454545454545453</v>
      </c>
      <c r="AZ18" s="78">
        <v>25</v>
      </c>
    </row>
    <row r="19" spans="1:52" ht="14.25" customHeight="1">
      <c r="A19" s="88" t="s">
        <v>150</v>
      </c>
      <c r="B19" s="60">
        <v>17</v>
      </c>
      <c r="C19" s="9">
        <v>0</v>
      </c>
      <c r="D19" s="9">
        <v>0</v>
      </c>
      <c r="E19" s="61">
        <v>0</v>
      </c>
      <c r="F19" s="9">
        <v>0</v>
      </c>
      <c r="G19" s="9">
        <v>0</v>
      </c>
      <c r="H19" s="61">
        <v>0</v>
      </c>
      <c r="I19" s="9">
        <v>0</v>
      </c>
      <c r="J19" s="63">
        <v>0</v>
      </c>
      <c r="K19" s="64">
        <v>0</v>
      </c>
      <c r="L19" s="65">
        <v>1</v>
      </c>
      <c r="M19" s="65">
        <v>0</v>
      </c>
      <c r="N19" s="64">
        <v>0</v>
      </c>
      <c r="O19" s="65">
        <v>0</v>
      </c>
      <c r="P19" s="65">
        <v>3</v>
      </c>
      <c r="Q19" s="64">
        <v>3</v>
      </c>
      <c r="R19" s="65">
        <v>4</v>
      </c>
      <c r="S19" s="65">
        <v>47</v>
      </c>
      <c r="T19" s="64">
        <v>47</v>
      </c>
      <c r="U19" s="65">
        <v>1</v>
      </c>
      <c r="V19" s="65">
        <v>0</v>
      </c>
      <c r="W19" s="64">
        <v>1</v>
      </c>
      <c r="X19" s="65">
        <v>0</v>
      </c>
      <c r="Y19" s="65">
        <v>0</v>
      </c>
      <c r="Z19" s="64">
        <v>0</v>
      </c>
      <c r="AA19" s="65">
        <v>3</v>
      </c>
      <c r="AB19" s="65">
        <v>9</v>
      </c>
      <c r="AC19" s="64">
        <v>10</v>
      </c>
      <c r="AD19" s="65">
        <v>0</v>
      </c>
      <c r="AE19" s="65">
        <v>1</v>
      </c>
      <c r="AF19" s="64">
        <v>1</v>
      </c>
      <c r="AG19" s="65">
        <v>1</v>
      </c>
      <c r="AH19" s="65">
        <v>3</v>
      </c>
      <c r="AI19" s="64">
        <v>4</v>
      </c>
      <c r="AJ19" s="65">
        <v>5</v>
      </c>
      <c r="AK19" s="65">
        <v>3</v>
      </c>
      <c r="AL19" s="64">
        <v>8</v>
      </c>
      <c r="AM19" s="65">
        <v>23</v>
      </c>
      <c r="AN19" s="65">
        <v>32</v>
      </c>
      <c r="AO19" s="64">
        <v>40</v>
      </c>
      <c r="AP19" s="65">
        <v>0</v>
      </c>
      <c r="AQ19" s="65">
        <v>0</v>
      </c>
      <c r="AR19" s="64">
        <v>0</v>
      </c>
      <c r="AS19" s="65">
        <v>1</v>
      </c>
      <c r="AT19" s="65">
        <v>2</v>
      </c>
      <c r="AU19" s="64">
        <v>3</v>
      </c>
      <c r="AV19" s="67">
        <f t="shared" si="5"/>
        <v>139</v>
      </c>
      <c r="AW19" s="67">
        <f t="shared" si="8"/>
        <v>156</v>
      </c>
      <c r="AX19" s="67">
        <f t="shared" si="9"/>
        <v>117</v>
      </c>
      <c r="AY19" s="68">
        <f t="shared" si="3"/>
        <v>84.172661870503589</v>
      </c>
      <c r="AZ19" s="78">
        <v>117</v>
      </c>
    </row>
    <row r="20" spans="1:52" ht="14.25" customHeight="1">
      <c r="A20" s="88" t="s">
        <v>88</v>
      </c>
      <c r="B20" s="60">
        <v>9</v>
      </c>
      <c r="C20" s="9">
        <v>0</v>
      </c>
      <c r="D20" s="9">
        <v>0</v>
      </c>
      <c r="E20" s="61">
        <v>0</v>
      </c>
      <c r="F20" s="9">
        <v>0</v>
      </c>
      <c r="G20" s="9">
        <v>0</v>
      </c>
      <c r="H20" s="61">
        <v>0</v>
      </c>
      <c r="I20" s="9">
        <v>0</v>
      </c>
      <c r="J20" s="63">
        <v>0</v>
      </c>
      <c r="K20" s="64">
        <v>0</v>
      </c>
      <c r="L20" s="65">
        <v>1</v>
      </c>
      <c r="M20" s="65">
        <v>4</v>
      </c>
      <c r="N20" s="64">
        <v>4</v>
      </c>
      <c r="O20" s="65">
        <v>0</v>
      </c>
      <c r="P20" s="63">
        <v>2</v>
      </c>
      <c r="Q20" s="64">
        <v>2</v>
      </c>
      <c r="R20" s="65">
        <v>2</v>
      </c>
      <c r="S20" s="65">
        <v>25</v>
      </c>
      <c r="T20" s="64">
        <v>25</v>
      </c>
      <c r="U20" s="65"/>
      <c r="V20" s="65">
        <v>1</v>
      </c>
      <c r="W20" s="64">
        <v>1</v>
      </c>
      <c r="X20" s="63">
        <v>1</v>
      </c>
      <c r="Y20" s="65">
        <v>0</v>
      </c>
      <c r="Z20" s="73"/>
      <c r="AA20" s="65">
        <v>1</v>
      </c>
      <c r="AB20" s="65">
        <v>8</v>
      </c>
      <c r="AC20" s="64">
        <v>9</v>
      </c>
      <c r="AD20" s="65">
        <v>1</v>
      </c>
      <c r="AE20" s="65">
        <v>1</v>
      </c>
      <c r="AF20" s="64">
        <v>2</v>
      </c>
      <c r="AG20" s="65">
        <v>1</v>
      </c>
      <c r="AH20" s="65">
        <v>1</v>
      </c>
      <c r="AI20" s="64">
        <v>2</v>
      </c>
      <c r="AJ20" s="65">
        <v>5</v>
      </c>
      <c r="AK20" s="65">
        <v>10</v>
      </c>
      <c r="AL20" s="64">
        <v>13</v>
      </c>
      <c r="AM20" s="65">
        <v>16</v>
      </c>
      <c r="AN20" s="65">
        <v>12</v>
      </c>
      <c r="AO20" s="64">
        <v>17</v>
      </c>
      <c r="AP20" s="65">
        <v>2</v>
      </c>
      <c r="AQ20" s="65">
        <v>1</v>
      </c>
      <c r="AR20" s="64">
        <v>3</v>
      </c>
      <c r="AS20" s="65">
        <v>1</v>
      </c>
      <c r="AT20" s="63">
        <v>4</v>
      </c>
      <c r="AU20" s="64">
        <v>4</v>
      </c>
      <c r="AV20" s="67">
        <f t="shared" si="5"/>
        <v>100</v>
      </c>
      <c r="AW20" s="67">
        <f t="shared" si="8"/>
        <v>109</v>
      </c>
      <c r="AX20" s="67">
        <f t="shared" si="9"/>
        <v>82</v>
      </c>
      <c r="AY20" s="68">
        <f t="shared" si="3"/>
        <v>82</v>
      </c>
      <c r="AZ20" s="78">
        <v>82</v>
      </c>
    </row>
    <row r="21" spans="1:52" ht="14.25" customHeight="1">
      <c r="A21" s="88" t="s">
        <v>164</v>
      </c>
      <c r="B21" s="79">
        <v>0</v>
      </c>
      <c r="C21" s="79">
        <v>0</v>
      </c>
      <c r="D21" s="79">
        <v>2</v>
      </c>
      <c r="E21" s="93">
        <v>2</v>
      </c>
      <c r="F21" s="79">
        <v>0</v>
      </c>
      <c r="G21" s="79">
        <v>4</v>
      </c>
      <c r="H21" s="94">
        <v>4</v>
      </c>
      <c r="I21" s="79">
        <v>0</v>
      </c>
      <c r="J21" s="81">
        <v>0</v>
      </c>
      <c r="K21" s="82">
        <v>0</v>
      </c>
      <c r="L21" s="81">
        <v>0</v>
      </c>
      <c r="M21" s="81">
        <v>0</v>
      </c>
      <c r="N21" s="82">
        <v>0</v>
      </c>
      <c r="O21" s="81">
        <v>0</v>
      </c>
      <c r="P21" s="81">
        <v>0</v>
      </c>
      <c r="Q21" s="82">
        <v>0</v>
      </c>
      <c r="R21" s="81">
        <v>0</v>
      </c>
      <c r="S21" s="81">
        <v>0</v>
      </c>
      <c r="T21" s="82">
        <v>0</v>
      </c>
      <c r="U21" s="81">
        <v>0</v>
      </c>
      <c r="V21" s="81">
        <v>0</v>
      </c>
      <c r="W21" s="82">
        <v>0</v>
      </c>
      <c r="X21" s="81">
        <v>0</v>
      </c>
      <c r="Y21" s="81">
        <v>0</v>
      </c>
      <c r="Z21" s="82">
        <v>0</v>
      </c>
      <c r="AA21" s="81">
        <v>0</v>
      </c>
      <c r="AB21" s="81">
        <v>0</v>
      </c>
      <c r="AC21" s="82">
        <v>0</v>
      </c>
      <c r="AD21" s="81">
        <v>0</v>
      </c>
      <c r="AE21" s="81">
        <v>0</v>
      </c>
      <c r="AF21" s="82">
        <v>0</v>
      </c>
      <c r="AG21" s="81">
        <v>0</v>
      </c>
      <c r="AH21" s="81">
        <v>0</v>
      </c>
      <c r="AI21" s="82">
        <v>0</v>
      </c>
      <c r="AJ21" s="81">
        <v>0</v>
      </c>
      <c r="AK21" s="81">
        <v>0</v>
      </c>
      <c r="AL21" s="82">
        <v>0</v>
      </c>
      <c r="AM21" s="81">
        <v>0</v>
      </c>
      <c r="AN21" s="81">
        <v>0</v>
      </c>
      <c r="AO21" s="82">
        <v>0</v>
      </c>
      <c r="AP21" s="81">
        <v>0</v>
      </c>
      <c r="AQ21" s="81">
        <v>0</v>
      </c>
      <c r="AR21" s="82">
        <v>0</v>
      </c>
      <c r="AS21" s="81">
        <v>0</v>
      </c>
      <c r="AT21" s="81">
        <v>0</v>
      </c>
      <c r="AU21" s="82">
        <v>0</v>
      </c>
      <c r="AV21" s="67">
        <f t="shared" si="5"/>
        <v>6</v>
      </c>
      <c r="AW21" s="67">
        <f t="shared" si="8"/>
        <v>6</v>
      </c>
      <c r="AX21" s="67">
        <f t="shared" si="9"/>
        <v>6</v>
      </c>
      <c r="AY21" s="68">
        <f t="shared" si="3"/>
        <v>100</v>
      </c>
      <c r="AZ21" s="78">
        <v>6</v>
      </c>
    </row>
    <row r="22" spans="1:52" ht="14.25" customHeight="1">
      <c r="A22" s="96"/>
      <c r="B22" s="96"/>
      <c r="C22" s="96"/>
      <c r="D22" s="96"/>
      <c r="E22" s="96"/>
      <c r="F22" s="96"/>
      <c r="G22" s="96"/>
      <c r="H22" s="96"/>
      <c r="I22" s="96"/>
      <c r="AW22" s="97"/>
      <c r="AX22" s="98"/>
      <c r="AY22" s="98"/>
      <c r="AZ22" s="67"/>
    </row>
    <row r="23" spans="1:52" ht="14.25" customHeight="1">
      <c r="A23" s="99" t="s">
        <v>223</v>
      </c>
      <c r="B23" s="100">
        <f t="shared" ref="B23:AV23" si="10">SUM(B3:B21)</f>
        <v>178</v>
      </c>
      <c r="C23" s="101">
        <f t="shared" si="10"/>
        <v>0</v>
      </c>
      <c r="D23" s="101">
        <f t="shared" si="10"/>
        <v>2</v>
      </c>
      <c r="E23" s="102">
        <f t="shared" si="10"/>
        <v>2</v>
      </c>
      <c r="F23" s="101">
        <f t="shared" si="10"/>
        <v>0</v>
      </c>
      <c r="G23" s="101">
        <f t="shared" si="10"/>
        <v>4</v>
      </c>
      <c r="H23" s="102">
        <f t="shared" si="10"/>
        <v>4</v>
      </c>
      <c r="I23" s="101">
        <f t="shared" si="10"/>
        <v>0</v>
      </c>
      <c r="J23" s="101">
        <f t="shared" si="10"/>
        <v>0</v>
      </c>
      <c r="K23" s="102">
        <f t="shared" si="10"/>
        <v>0</v>
      </c>
      <c r="L23" s="101">
        <f t="shared" si="10"/>
        <v>16</v>
      </c>
      <c r="M23" s="101">
        <f t="shared" si="10"/>
        <v>42</v>
      </c>
      <c r="N23" s="102">
        <f t="shared" si="10"/>
        <v>41</v>
      </c>
      <c r="O23" s="101">
        <f t="shared" si="10"/>
        <v>2</v>
      </c>
      <c r="P23" s="101">
        <f t="shared" si="10"/>
        <v>16</v>
      </c>
      <c r="Q23" s="102">
        <f t="shared" si="10"/>
        <v>16</v>
      </c>
      <c r="R23" s="101">
        <f t="shared" si="10"/>
        <v>75</v>
      </c>
      <c r="S23" s="101">
        <f t="shared" si="10"/>
        <v>399</v>
      </c>
      <c r="T23" s="102">
        <f t="shared" si="10"/>
        <v>403</v>
      </c>
      <c r="U23" s="101">
        <f t="shared" si="10"/>
        <v>3</v>
      </c>
      <c r="V23" s="101">
        <f t="shared" si="10"/>
        <v>19</v>
      </c>
      <c r="W23" s="102">
        <f t="shared" si="10"/>
        <v>18</v>
      </c>
      <c r="X23" s="101">
        <f t="shared" si="10"/>
        <v>1</v>
      </c>
      <c r="Y23" s="101">
        <f t="shared" si="10"/>
        <v>19</v>
      </c>
      <c r="Z23" s="102">
        <f t="shared" si="10"/>
        <v>18</v>
      </c>
      <c r="AA23" s="101">
        <f t="shared" si="10"/>
        <v>34</v>
      </c>
      <c r="AB23" s="101">
        <f t="shared" si="10"/>
        <v>95</v>
      </c>
      <c r="AC23" s="102">
        <f t="shared" si="10"/>
        <v>101</v>
      </c>
      <c r="AD23" s="101">
        <f t="shared" si="10"/>
        <v>39</v>
      </c>
      <c r="AE23" s="101">
        <f t="shared" si="10"/>
        <v>25</v>
      </c>
      <c r="AF23" s="102">
        <f t="shared" si="10"/>
        <v>30</v>
      </c>
      <c r="AG23" s="101">
        <f t="shared" si="10"/>
        <v>24</v>
      </c>
      <c r="AH23" s="101">
        <f t="shared" si="10"/>
        <v>52</v>
      </c>
      <c r="AI23" s="102">
        <f t="shared" si="10"/>
        <v>53</v>
      </c>
      <c r="AJ23" s="101">
        <f t="shared" si="10"/>
        <v>66</v>
      </c>
      <c r="AK23" s="101">
        <f t="shared" si="10"/>
        <v>63</v>
      </c>
      <c r="AL23" s="102">
        <f t="shared" si="10"/>
        <v>80</v>
      </c>
      <c r="AM23" s="101">
        <f t="shared" si="10"/>
        <v>415</v>
      </c>
      <c r="AN23" s="101">
        <f t="shared" si="10"/>
        <v>495</v>
      </c>
      <c r="AO23" s="102">
        <f t="shared" si="10"/>
        <v>590</v>
      </c>
      <c r="AP23" s="101">
        <f t="shared" si="10"/>
        <v>52</v>
      </c>
      <c r="AQ23" s="101">
        <f t="shared" si="10"/>
        <v>16</v>
      </c>
      <c r="AR23" s="102">
        <f t="shared" si="10"/>
        <v>33</v>
      </c>
      <c r="AS23" s="101">
        <f t="shared" si="10"/>
        <v>14</v>
      </c>
      <c r="AT23" s="101">
        <f t="shared" si="10"/>
        <v>44</v>
      </c>
      <c r="AU23" s="102">
        <f t="shared" si="10"/>
        <v>42</v>
      </c>
      <c r="AV23" s="103">
        <f t="shared" si="10"/>
        <v>2032</v>
      </c>
      <c r="AW23" s="104">
        <f>SUM(AV23+B23)</f>
        <v>2210</v>
      </c>
      <c r="AX23" s="105">
        <f>SUM(AU23,AR23,AO23,AL23,AI23,AF23,AC23,Z23,W23,T23,Q23,N23,K23,H23,E23)</f>
        <v>1431</v>
      </c>
      <c r="AY23" s="106">
        <f>SUM(AX23/AV23*100)</f>
        <v>70.423228346456696</v>
      </c>
      <c r="AZ23" s="107">
        <f>SUM(AZ3:AZ21)</f>
        <v>1431</v>
      </c>
    </row>
    <row r="24" spans="1:52" ht="14.25" customHeight="1">
      <c r="A24" s="96"/>
      <c r="B24" s="96"/>
      <c r="C24" s="96"/>
      <c r="D24" s="96"/>
      <c r="E24" s="96"/>
      <c r="F24" s="96"/>
      <c r="G24" s="96"/>
      <c r="H24" s="96"/>
      <c r="I24" s="96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</row>
    <row r="25" spans="1:52" ht="14.25" customHeight="1">
      <c r="A25" s="96"/>
      <c r="B25" s="96"/>
      <c r="C25" s="96"/>
      <c r="D25" s="96"/>
      <c r="E25" s="96"/>
      <c r="F25" s="96"/>
      <c r="G25" s="96"/>
      <c r="H25" s="96"/>
      <c r="I25" s="96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</row>
    <row r="26" spans="1:52" ht="14.25" customHeight="1">
      <c r="A26" s="96"/>
      <c r="B26" s="96"/>
      <c r="C26" s="96"/>
      <c r="D26" s="96"/>
      <c r="E26" s="96"/>
      <c r="F26" s="96"/>
      <c r="G26" s="96"/>
      <c r="H26" s="96"/>
      <c r="I26" s="96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</row>
    <row r="27" spans="1:52" ht="14.25" customHeight="1">
      <c r="A27" s="96"/>
      <c r="B27" s="96"/>
      <c r="C27" s="96"/>
      <c r="D27" s="96"/>
      <c r="E27" s="96"/>
      <c r="F27" s="96"/>
      <c r="G27" s="96"/>
      <c r="H27" s="96"/>
      <c r="I27" s="96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</row>
    <row r="28" spans="1:52" ht="14.25" customHeight="1">
      <c r="A28" s="96"/>
      <c r="B28" s="96"/>
      <c r="C28" s="96"/>
      <c r="D28" s="96"/>
      <c r="E28" s="96"/>
      <c r="F28" s="96"/>
      <c r="G28" s="96"/>
      <c r="H28" s="96"/>
      <c r="I28" s="96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</row>
    <row r="29" spans="1:52" ht="14.25" customHeight="1">
      <c r="A29" s="96"/>
      <c r="B29" s="96"/>
      <c r="C29" s="96"/>
      <c r="D29" s="96"/>
      <c r="E29" s="96"/>
      <c r="F29" s="96"/>
      <c r="G29" s="96"/>
      <c r="H29" s="96"/>
      <c r="I29" s="96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</row>
    <row r="30" spans="1:52" ht="14.25" customHeight="1">
      <c r="A30" s="96"/>
      <c r="B30" s="96"/>
      <c r="C30" s="96"/>
      <c r="D30" s="96"/>
      <c r="E30" s="96"/>
      <c r="F30" s="96"/>
      <c r="G30" s="96"/>
      <c r="H30" s="96"/>
      <c r="I30" s="96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</row>
    <row r="31" spans="1:52" ht="14.25" customHeight="1">
      <c r="A31" s="96"/>
      <c r="B31" s="96"/>
      <c r="C31" s="96"/>
      <c r="D31" s="96"/>
      <c r="E31" s="96"/>
      <c r="F31" s="96"/>
      <c r="G31" s="96"/>
      <c r="H31" s="96"/>
      <c r="I31" s="96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9"/>
      <c r="AP31" s="109"/>
      <c r="AQ31" s="109"/>
      <c r="AR31" s="108"/>
      <c r="AS31" s="108"/>
      <c r="AT31" s="108"/>
      <c r="AU31" s="108"/>
      <c r="AV31" s="108"/>
      <c r="AW31" s="108"/>
      <c r="AX31" s="108"/>
      <c r="AY31" s="108"/>
      <c r="AZ31" s="108"/>
    </row>
    <row r="32" spans="1:52" ht="14.25" customHeight="1">
      <c r="A32" s="96"/>
      <c r="B32" s="96"/>
      <c r="C32" s="96"/>
      <c r="D32" s="96"/>
      <c r="E32" s="96"/>
      <c r="F32" s="96"/>
      <c r="G32" s="96"/>
      <c r="H32" s="96"/>
      <c r="I32" s="96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9"/>
      <c r="AP32" s="109"/>
      <c r="AQ32" s="109"/>
      <c r="AR32" s="108"/>
      <c r="AS32" s="108"/>
      <c r="AT32" s="108"/>
      <c r="AU32" s="108"/>
      <c r="AV32" s="108"/>
      <c r="AW32" s="108"/>
      <c r="AX32" s="108"/>
      <c r="AY32" s="108"/>
      <c r="AZ32" s="108"/>
    </row>
    <row r="33" spans="1:52" ht="14.25" customHeight="1">
      <c r="A33" s="96"/>
      <c r="B33" s="96"/>
      <c r="C33" s="96"/>
      <c r="D33" s="96"/>
      <c r="E33" s="96"/>
      <c r="F33" s="96"/>
      <c r="G33" s="96"/>
      <c r="H33" s="96"/>
      <c r="I33" s="96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9"/>
      <c r="AP33" s="109"/>
      <c r="AQ33" s="109"/>
      <c r="AR33" s="108"/>
      <c r="AS33" s="108"/>
      <c r="AT33" s="108"/>
      <c r="AU33" s="108"/>
      <c r="AV33" s="108"/>
      <c r="AW33" s="108"/>
      <c r="AX33" s="108"/>
      <c r="AY33" s="108"/>
      <c r="AZ33" s="108"/>
    </row>
    <row r="34" spans="1:52" ht="14.25" customHeight="1">
      <c r="A34" s="96"/>
      <c r="B34" s="96"/>
      <c r="C34" s="96"/>
      <c r="D34" s="96"/>
      <c r="E34" s="96"/>
      <c r="F34" s="96"/>
      <c r="G34" s="96"/>
      <c r="H34" s="96"/>
      <c r="I34" s="96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9"/>
      <c r="AP34" s="109"/>
      <c r="AQ34" s="109"/>
      <c r="AR34" s="108"/>
      <c r="AS34" s="108"/>
      <c r="AT34" s="108"/>
      <c r="AU34" s="108"/>
      <c r="AV34" s="108"/>
      <c r="AW34" s="108"/>
      <c r="AX34" s="108"/>
      <c r="AY34" s="108"/>
      <c r="AZ34" s="108"/>
    </row>
    <row r="35" spans="1:52" ht="14.25" customHeight="1">
      <c r="A35" s="96"/>
      <c r="B35" s="96"/>
      <c r="C35" s="96"/>
      <c r="D35" s="96"/>
      <c r="E35" s="96"/>
      <c r="F35" s="96"/>
      <c r="G35" s="96"/>
      <c r="H35" s="96"/>
      <c r="I35" s="96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9"/>
      <c r="AP35" s="109"/>
      <c r="AQ35" s="109"/>
      <c r="AR35" s="108"/>
      <c r="AS35" s="108"/>
      <c r="AT35" s="108"/>
      <c r="AU35" s="108"/>
      <c r="AV35" s="108"/>
      <c r="AW35" s="108"/>
      <c r="AX35" s="108"/>
      <c r="AY35" s="108"/>
      <c r="AZ35" s="108"/>
    </row>
    <row r="36" spans="1:52" ht="14.25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9"/>
      <c r="AP36" s="109"/>
      <c r="AQ36" s="109"/>
      <c r="AR36" s="108"/>
      <c r="AS36" s="108"/>
      <c r="AT36" s="108"/>
      <c r="AU36" s="108"/>
      <c r="AV36" s="108"/>
      <c r="AW36" s="108"/>
      <c r="AX36" s="108"/>
      <c r="AY36" s="108"/>
      <c r="AZ36" s="108"/>
    </row>
    <row r="37" spans="1:52" ht="14.25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9"/>
      <c r="AP37" s="109"/>
      <c r="AQ37" s="109"/>
      <c r="AR37" s="108"/>
      <c r="AS37" s="108"/>
      <c r="AT37" s="108"/>
      <c r="AU37" s="108"/>
      <c r="AV37" s="108"/>
      <c r="AW37" s="108"/>
      <c r="AX37" s="108"/>
      <c r="AY37" s="108"/>
      <c r="AZ37" s="108"/>
    </row>
    <row r="38" spans="1:52" ht="14.25" customHeight="1">
      <c r="A38" s="109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</row>
    <row r="39" spans="1:52" ht="14.25" customHeight="1">
      <c r="A39" s="109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</row>
    <row r="40" spans="1:52" ht="14.25" customHeight="1">
      <c r="A40" s="109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</row>
    <row r="41" spans="1:52" ht="14.25" customHeight="1">
      <c r="A41" s="109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</row>
    <row r="42" spans="1:52" ht="14.25" customHeight="1">
      <c r="A42" s="109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</row>
    <row r="43" spans="1:52" ht="14.25" customHeight="1">
      <c r="A43" s="109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</row>
    <row r="44" spans="1:52" ht="14.25" customHeight="1">
      <c r="A44" s="109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</row>
    <row r="45" spans="1:52" ht="14.25" customHeight="1">
      <c r="A45" s="109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</row>
    <row r="46" spans="1:52" ht="14.25" customHeight="1">
      <c r="A46" s="109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</row>
    <row r="47" spans="1:52" ht="14.25" customHeight="1">
      <c r="A47" s="109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</row>
    <row r="48" spans="1:52" ht="14.25" customHeight="1">
      <c r="A48" s="109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</row>
    <row r="49" spans="1:52" ht="14.25" customHeight="1">
      <c r="A49" s="109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</row>
    <row r="50" spans="1:52" ht="14.25" customHeight="1">
      <c r="A50" s="109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</row>
    <row r="51" spans="1:52" ht="14.25" customHeight="1">
      <c r="A51" s="109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</row>
    <row r="52" spans="1:52" ht="14.25" customHeight="1">
      <c r="A52" s="109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</row>
    <row r="53" spans="1:52" ht="14.25" customHeight="1">
      <c r="A53" s="109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</row>
    <row r="54" spans="1:52" ht="14.25" customHeight="1">
      <c r="A54" s="109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</row>
    <row r="55" spans="1:52" ht="14.25" customHeight="1">
      <c r="A55" s="109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</row>
    <row r="56" spans="1:52" ht="14.25" customHeight="1">
      <c r="A56" s="109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</row>
    <row r="57" spans="1:52" ht="14.25" customHeight="1">
      <c r="A57" s="109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</row>
    <row r="58" spans="1:52" ht="14.25" customHeight="1">
      <c r="A58" s="109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</row>
    <row r="59" spans="1:52" ht="14.25" customHeight="1">
      <c r="A59" s="109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</row>
    <row r="60" spans="1:52" ht="14.25" customHeight="1">
      <c r="A60" s="109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</row>
    <row r="61" spans="1:52" ht="14.25" customHeight="1">
      <c r="A61" s="109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</row>
    <row r="62" spans="1:52" ht="14.25" customHeight="1">
      <c r="A62" s="109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</row>
    <row r="63" spans="1:52" ht="14.25" customHeight="1">
      <c r="A63" s="109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</row>
    <row r="64" spans="1:52" ht="14.25" customHeight="1">
      <c r="A64" s="109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</row>
    <row r="65" spans="1:52" ht="14.25" customHeight="1">
      <c r="A65" s="109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</row>
    <row r="66" spans="1:52" ht="14.25" customHeight="1">
      <c r="A66" s="109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</row>
    <row r="67" spans="1:52" ht="14.25" customHeight="1">
      <c r="A67" s="109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</row>
    <row r="68" spans="1:52" ht="14.25" customHeight="1">
      <c r="A68" s="109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</row>
    <row r="69" spans="1:52" ht="14.25" customHeight="1">
      <c r="A69" s="109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</row>
    <row r="70" spans="1:52" ht="14.25" customHeight="1">
      <c r="A70" s="109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</row>
    <row r="71" spans="1:52" ht="14.25" customHeight="1">
      <c r="A71" s="109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</row>
    <row r="72" spans="1:52" ht="14.25" customHeight="1">
      <c r="A72" s="109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</row>
    <row r="73" spans="1:52" ht="14.25" customHeight="1">
      <c r="A73" s="109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</row>
    <row r="74" spans="1:52" ht="14.25" customHeight="1">
      <c r="A74" s="109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</row>
    <row r="75" spans="1:52" ht="14.25" customHeight="1">
      <c r="A75" s="109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</row>
    <row r="76" spans="1:52" ht="14.25" customHeight="1">
      <c r="A76" s="109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</row>
    <row r="77" spans="1:52" ht="14.25" customHeight="1">
      <c r="A77" s="109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</row>
    <row r="78" spans="1:52" ht="14.25" customHeight="1">
      <c r="A78" s="109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</row>
    <row r="79" spans="1:52" ht="14.25" customHeight="1">
      <c r="A79" s="109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</row>
    <row r="80" spans="1:52" ht="14.25" customHeight="1">
      <c r="A80" s="109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</row>
    <row r="81" spans="1:52" ht="14.25" customHeight="1">
      <c r="A81" s="109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</row>
    <row r="82" spans="1:52" ht="14.25" customHeight="1">
      <c r="A82" s="109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  <c r="AK82" s="108"/>
      <c r="AL82" s="108"/>
      <c r="AM82" s="108"/>
      <c r="AN82" s="108"/>
      <c r="AO82" s="108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</row>
    <row r="83" spans="1:52" ht="14.2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</row>
    <row r="84" spans="1:52" ht="14.2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8"/>
      <c r="AV84" s="108"/>
      <c r="AW84" s="108"/>
      <c r="AX84" s="108"/>
      <c r="AY84" s="108"/>
      <c r="AZ84" s="108"/>
    </row>
    <row r="85" spans="1:52" ht="14.2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</row>
    <row r="86" spans="1:52" ht="14.2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</row>
    <row r="87" spans="1:52" ht="14.2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</row>
    <row r="88" spans="1:52" ht="14.2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</row>
    <row r="89" spans="1:52" ht="14.2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</row>
    <row r="90" spans="1:52" ht="14.2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</row>
    <row r="91" spans="1:52" ht="14.2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</row>
    <row r="92" spans="1:52" ht="14.2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</row>
    <row r="93" spans="1:52" ht="14.2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</row>
    <row r="94" spans="1:52" ht="14.2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</row>
    <row r="95" spans="1:52" ht="14.2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</row>
    <row r="96" spans="1:52" ht="14.2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</row>
    <row r="97" spans="1:52" ht="14.2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</row>
    <row r="98" spans="1:52" ht="14.2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</row>
    <row r="99" spans="1:52" ht="14.2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</row>
    <row r="100" spans="1:52" ht="14.2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</row>
    <row r="101" spans="1:52" ht="14.2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</row>
    <row r="102" spans="1:52" ht="14.2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</row>
    <row r="103" spans="1:52" ht="14.2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</row>
    <row r="104" spans="1:52" ht="14.2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</row>
    <row r="105" spans="1:52" ht="14.2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</row>
    <row r="106" spans="1:52" ht="14.2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</row>
    <row r="107" spans="1:52" ht="14.2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108"/>
      <c r="AU107" s="108"/>
      <c r="AV107" s="108"/>
      <c r="AW107" s="108"/>
      <c r="AX107" s="108"/>
      <c r="AY107" s="108"/>
      <c r="AZ107" s="108"/>
    </row>
    <row r="108" spans="1:52" ht="14.2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</row>
    <row r="109" spans="1:52" ht="14.2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</row>
    <row r="110" spans="1:52" ht="14.2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</row>
    <row r="111" spans="1:52" ht="14.2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</row>
    <row r="112" spans="1:52" ht="14.2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</row>
    <row r="113" spans="1:52" ht="14.2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</row>
    <row r="114" spans="1:52" ht="14.2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</row>
    <row r="115" spans="1:52" ht="14.2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</row>
    <row r="116" spans="1:52" ht="14.2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</row>
    <row r="117" spans="1:52" ht="14.2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</row>
    <row r="118" spans="1:52" ht="14.2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</row>
    <row r="119" spans="1:52" ht="14.2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</row>
    <row r="120" spans="1:52" ht="14.2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</row>
    <row r="121" spans="1:52" ht="14.2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</row>
    <row r="122" spans="1:52" ht="14.2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</row>
    <row r="123" spans="1:52" ht="14.2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</row>
    <row r="124" spans="1:52" ht="14.2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</row>
    <row r="125" spans="1:52" ht="14.2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  <c r="AS125" s="108"/>
      <c r="AT125" s="108"/>
      <c r="AU125" s="108"/>
      <c r="AV125" s="108"/>
      <c r="AW125" s="108"/>
      <c r="AX125" s="108"/>
      <c r="AY125" s="108"/>
      <c r="AZ125" s="108"/>
    </row>
    <row r="126" spans="1:52" ht="14.2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08"/>
      <c r="AN126" s="108"/>
      <c r="AO126" s="108"/>
      <c r="AP126" s="108"/>
      <c r="AQ126" s="108"/>
      <c r="AR126" s="108"/>
      <c r="AS126" s="108"/>
      <c r="AT126" s="108"/>
      <c r="AU126" s="108"/>
      <c r="AV126" s="108"/>
      <c r="AW126" s="108"/>
      <c r="AX126" s="108"/>
      <c r="AY126" s="108"/>
      <c r="AZ126" s="108"/>
    </row>
    <row r="127" spans="1:52" ht="14.2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08"/>
      <c r="AN127" s="108"/>
      <c r="AO127" s="108"/>
      <c r="AP127" s="108"/>
      <c r="AQ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</row>
    <row r="128" spans="1:52" ht="14.2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  <c r="AI128" s="108"/>
      <c r="AJ128" s="108"/>
      <c r="AK128" s="108"/>
      <c r="AL128" s="108"/>
      <c r="AM128" s="108"/>
      <c r="AN128" s="108"/>
      <c r="AO128" s="108"/>
      <c r="AP128" s="108"/>
      <c r="AQ128" s="108"/>
      <c r="AR128" s="108"/>
      <c r="AS128" s="108"/>
      <c r="AT128" s="108"/>
      <c r="AU128" s="108"/>
      <c r="AV128" s="108"/>
      <c r="AW128" s="108"/>
      <c r="AX128" s="108"/>
      <c r="AY128" s="108"/>
      <c r="AZ128" s="108"/>
    </row>
    <row r="129" spans="1:52" ht="14.2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</row>
    <row r="130" spans="1:52" ht="14.2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  <c r="AI130" s="108"/>
      <c r="AJ130" s="108"/>
      <c r="AK130" s="108"/>
      <c r="AL130" s="108"/>
      <c r="AM130" s="108"/>
      <c r="AN130" s="108"/>
      <c r="AO130" s="108"/>
      <c r="AP130" s="108"/>
      <c r="AQ130" s="108"/>
      <c r="AR130" s="108"/>
      <c r="AS130" s="108"/>
      <c r="AT130" s="108"/>
      <c r="AU130" s="108"/>
      <c r="AV130" s="108"/>
      <c r="AW130" s="108"/>
      <c r="AX130" s="108"/>
      <c r="AY130" s="108"/>
      <c r="AZ130" s="108"/>
    </row>
    <row r="131" spans="1:52" ht="14.2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  <c r="AS131" s="108"/>
      <c r="AT131" s="108"/>
      <c r="AU131" s="108"/>
      <c r="AV131" s="108"/>
      <c r="AW131" s="108"/>
      <c r="AX131" s="108"/>
      <c r="AY131" s="108"/>
      <c r="AZ131" s="108"/>
    </row>
    <row r="132" spans="1:52" ht="14.2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8"/>
      <c r="AM132" s="108"/>
      <c r="AN132" s="108"/>
      <c r="AO132" s="108"/>
      <c r="AP132" s="108"/>
      <c r="AQ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</row>
    <row r="133" spans="1:52" ht="14.2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</row>
    <row r="134" spans="1:52" ht="14.2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  <c r="AI134" s="108"/>
      <c r="AJ134" s="108"/>
      <c r="AK134" s="108"/>
      <c r="AL134" s="108"/>
      <c r="AM134" s="108"/>
      <c r="AN134" s="108"/>
      <c r="AO134" s="108"/>
      <c r="AP134" s="108"/>
      <c r="AQ134" s="108"/>
      <c r="AR134" s="108"/>
      <c r="AS134" s="108"/>
      <c r="AT134" s="108"/>
      <c r="AU134" s="108"/>
      <c r="AV134" s="108"/>
      <c r="AW134" s="108"/>
      <c r="AX134" s="108"/>
      <c r="AY134" s="108"/>
      <c r="AZ134" s="108"/>
    </row>
    <row r="135" spans="1:52" ht="14.2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</row>
    <row r="136" spans="1:52" ht="14.2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  <c r="AS136" s="108"/>
      <c r="AT136" s="108"/>
      <c r="AU136" s="108"/>
      <c r="AV136" s="108"/>
      <c r="AW136" s="108"/>
      <c r="AX136" s="108"/>
      <c r="AY136" s="108"/>
      <c r="AZ136" s="108"/>
    </row>
    <row r="137" spans="1:52" ht="14.2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</row>
    <row r="138" spans="1:52" ht="14.2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  <c r="AI138" s="108"/>
      <c r="AJ138" s="108"/>
      <c r="AK138" s="108"/>
      <c r="AL138" s="108"/>
      <c r="AM138" s="108"/>
      <c r="AN138" s="108"/>
      <c r="AO138" s="108"/>
      <c r="AP138" s="108"/>
      <c r="AQ138" s="108"/>
      <c r="AR138" s="108"/>
      <c r="AS138" s="108"/>
      <c r="AT138" s="108"/>
      <c r="AU138" s="108"/>
      <c r="AV138" s="108"/>
      <c r="AW138" s="108"/>
      <c r="AX138" s="108"/>
      <c r="AY138" s="108"/>
      <c r="AZ138" s="108"/>
    </row>
    <row r="139" spans="1:52" ht="14.2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108"/>
      <c r="AU139" s="108"/>
      <c r="AV139" s="108"/>
      <c r="AW139" s="108"/>
      <c r="AX139" s="108"/>
      <c r="AY139" s="108"/>
      <c r="AZ139" s="108"/>
    </row>
    <row r="140" spans="1:52" ht="14.2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</row>
    <row r="141" spans="1:52" ht="14.2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</row>
    <row r="142" spans="1:52" ht="14.2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</row>
    <row r="143" spans="1:52" ht="14.2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</row>
    <row r="144" spans="1:52" ht="14.2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</row>
    <row r="145" spans="1:52" ht="14.2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</row>
    <row r="146" spans="1:52" ht="14.2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</row>
    <row r="147" spans="1:52" ht="14.2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/>
      <c r="AK147" s="108"/>
      <c r="AL147" s="108"/>
      <c r="AM147" s="108"/>
      <c r="AN147" s="108"/>
      <c r="AO147" s="108"/>
      <c r="AP147" s="108"/>
      <c r="AQ147" s="108"/>
      <c r="AR147" s="108"/>
      <c r="AS147" s="108"/>
      <c r="AT147" s="108"/>
      <c r="AU147" s="108"/>
      <c r="AV147" s="108"/>
      <c r="AW147" s="108"/>
      <c r="AX147" s="108"/>
      <c r="AY147" s="108"/>
      <c r="AZ147" s="108"/>
    </row>
    <row r="148" spans="1:52" ht="14.2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  <c r="AI148" s="108"/>
      <c r="AJ148" s="108"/>
      <c r="AK148" s="108"/>
      <c r="AL148" s="108"/>
      <c r="AM148" s="108"/>
      <c r="AN148" s="108"/>
      <c r="AO148" s="108"/>
      <c r="AP148" s="108"/>
      <c r="AQ148" s="108"/>
      <c r="AR148" s="108"/>
      <c r="AS148" s="108"/>
      <c r="AT148" s="108"/>
      <c r="AU148" s="108"/>
      <c r="AV148" s="108"/>
      <c r="AW148" s="108"/>
      <c r="AX148" s="108"/>
      <c r="AY148" s="108"/>
      <c r="AZ148" s="108"/>
    </row>
    <row r="149" spans="1:52" ht="14.2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  <c r="AN149" s="108"/>
      <c r="AO149" s="108"/>
      <c r="AP149" s="108"/>
      <c r="AQ149" s="108"/>
      <c r="AR149" s="108"/>
      <c r="AS149" s="108"/>
      <c r="AT149" s="108"/>
      <c r="AU149" s="108"/>
      <c r="AV149" s="108"/>
      <c r="AW149" s="108"/>
      <c r="AX149" s="108"/>
      <c r="AY149" s="108"/>
      <c r="AZ149" s="108"/>
    </row>
    <row r="150" spans="1:52" ht="14.2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8"/>
      <c r="AM150" s="108"/>
      <c r="AN150" s="108"/>
      <c r="AO150" s="108"/>
      <c r="AP150" s="108"/>
      <c r="AQ150" s="108"/>
      <c r="AR150" s="108"/>
      <c r="AS150" s="108"/>
      <c r="AT150" s="108"/>
      <c r="AU150" s="108"/>
      <c r="AV150" s="108"/>
      <c r="AW150" s="108"/>
      <c r="AX150" s="108"/>
      <c r="AY150" s="108"/>
      <c r="AZ150" s="108"/>
    </row>
    <row r="151" spans="1:52" ht="14.2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8"/>
      <c r="AK151" s="108"/>
      <c r="AL151" s="108"/>
      <c r="AM151" s="108"/>
      <c r="AN151" s="108"/>
      <c r="AO151" s="108"/>
      <c r="AP151" s="108"/>
      <c r="AQ151" s="108"/>
      <c r="AR151" s="108"/>
      <c r="AS151" s="108"/>
      <c r="AT151" s="108"/>
      <c r="AU151" s="108"/>
      <c r="AV151" s="108"/>
      <c r="AW151" s="108"/>
      <c r="AX151" s="108"/>
      <c r="AY151" s="108"/>
      <c r="AZ151" s="108"/>
    </row>
    <row r="152" spans="1:52" ht="14.2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8"/>
      <c r="AK152" s="108"/>
      <c r="AL152" s="108"/>
      <c r="AM152" s="108"/>
      <c r="AN152" s="108"/>
      <c r="AO152" s="108"/>
      <c r="AP152" s="108"/>
      <c r="AQ152" s="108"/>
      <c r="AR152" s="108"/>
      <c r="AS152" s="108"/>
      <c r="AT152" s="108"/>
      <c r="AU152" s="108"/>
      <c r="AV152" s="108"/>
      <c r="AW152" s="108"/>
      <c r="AX152" s="108"/>
      <c r="AY152" s="108"/>
      <c r="AZ152" s="108"/>
    </row>
    <row r="153" spans="1:52" ht="14.2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  <c r="AI153" s="108"/>
      <c r="AJ153" s="108"/>
      <c r="AK153" s="108"/>
      <c r="AL153" s="108"/>
      <c r="AM153" s="108"/>
      <c r="AN153" s="108"/>
      <c r="AO153" s="108"/>
      <c r="AP153" s="108"/>
      <c r="AQ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</row>
    <row r="154" spans="1:52" ht="14.2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</row>
    <row r="155" spans="1:52" ht="14.2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</row>
    <row r="156" spans="1:52" ht="14.2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  <c r="AI156" s="108"/>
      <c r="AJ156" s="108"/>
      <c r="AK156" s="108"/>
      <c r="AL156" s="108"/>
      <c r="AM156" s="108"/>
      <c r="AN156" s="108"/>
      <c r="AO156" s="108"/>
      <c r="AP156" s="108"/>
      <c r="AQ156" s="108"/>
      <c r="AR156" s="108"/>
      <c r="AS156" s="108"/>
      <c r="AT156" s="108"/>
      <c r="AU156" s="108"/>
      <c r="AV156" s="108"/>
      <c r="AW156" s="108"/>
      <c r="AX156" s="108"/>
      <c r="AY156" s="108"/>
      <c r="AZ156" s="108"/>
    </row>
    <row r="157" spans="1:52" ht="14.2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  <c r="AI157" s="108"/>
      <c r="AJ157" s="108"/>
      <c r="AK157" s="108"/>
      <c r="AL157" s="108"/>
      <c r="AM157" s="108"/>
      <c r="AN157" s="108"/>
      <c r="AO157" s="108"/>
      <c r="AP157" s="108"/>
      <c r="AQ157" s="108"/>
      <c r="AR157" s="108"/>
      <c r="AS157" s="108"/>
      <c r="AT157" s="108"/>
      <c r="AU157" s="108"/>
      <c r="AV157" s="108"/>
      <c r="AW157" s="108"/>
      <c r="AX157" s="108"/>
      <c r="AY157" s="108"/>
      <c r="AZ157" s="108"/>
    </row>
    <row r="158" spans="1:52" ht="14.2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  <c r="AS158" s="108"/>
      <c r="AT158" s="108"/>
      <c r="AU158" s="108"/>
      <c r="AV158" s="108"/>
      <c r="AW158" s="108"/>
      <c r="AX158" s="108"/>
      <c r="AY158" s="108"/>
      <c r="AZ158" s="108"/>
    </row>
    <row r="159" spans="1:52" ht="14.2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  <c r="AI159" s="108"/>
      <c r="AJ159" s="108"/>
      <c r="AK159" s="108"/>
      <c r="AL159" s="108"/>
      <c r="AM159" s="108"/>
      <c r="AN159" s="108"/>
      <c r="AO159" s="108"/>
      <c r="AP159" s="108"/>
      <c r="AQ159" s="108"/>
      <c r="AR159" s="108"/>
      <c r="AS159" s="108"/>
      <c r="AT159" s="108"/>
      <c r="AU159" s="108"/>
      <c r="AV159" s="108"/>
      <c r="AW159" s="108"/>
      <c r="AX159" s="108"/>
      <c r="AY159" s="108"/>
      <c r="AZ159" s="108"/>
    </row>
    <row r="160" spans="1:52" ht="14.2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8"/>
      <c r="AS160" s="108"/>
      <c r="AT160" s="108"/>
      <c r="AU160" s="108"/>
      <c r="AV160" s="108"/>
      <c r="AW160" s="108"/>
      <c r="AX160" s="108"/>
      <c r="AY160" s="108"/>
      <c r="AZ160" s="108"/>
    </row>
    <row r="161" spans="1:52" ht="14.2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  <c r="AS161" s="108"/>
      <c r="AT161" s="108"/>
      <c r="AU161" s="108"/>
      <c r="AV161" s="108"/>
      <c r="AW161" s="108"/>
      <c r="AX161" s="108"/>
      <c r="AY161" s="108"/>
      <c r="AZ161" s="108"/>
    </row>
    <row r="162" spans="1:52" ht="14.2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  <c r="AS162" s="108"/>
      <c r="AT162" s="108"/>
      <c r="AU162" s="108"/>
      <c r="AV162" s="108"/>
      <c r="AW162" s="108"/>
      <c r="AX162" s="108"/>
      <c r="AY162" s="108"/>
      <c r="AZ162" s="108"/>
    </row>
    <row r="163" spans="1:52" ht="14.2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</row>
    <row r="164" spans="1:52" ht="14.2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  <c r="AI164" s="108"/>
      <c r="AJ164" s="108"/>
      <c r="AK164" s="108"/>
      <c r="AL164" s="108"/>
      <c r="AM164" s="108"/>
      <c r="AN164" s="108"/>
      <c r="AO164" s="108"/>
      <c r="AP164" s="108"/>
      <c r="AQ164" s="108"/>
      <c r="AR164" s="108"/>
      <c r="AS164" s="108"/>
      <c r="AT164" s="108"/>
      <c r="AU164" s="108"/>
      <c r="AV164" s="108"/>
      <c r="AW164" s="108"/>
      <c r="AX164" s="108"/>
      <c r="AY164" s="108"/>
      <c r="AZ164" s="108"/>
    </row>
    <row r="165" spans="1:52" ht="14.2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  <c r="AS165" s="108"/>
      <c r="AT165" s="108"/>
      <c r="AU165" s="108"/>
      <c r="AV165" s="108"/>
      <c r="AW165" s="108"/>
      <c r="AX165" s="108"/>
      <c r="AY165" s="108"/>
      <c r="AZ165" s="108"/>
    </row>
    <row r="166" spans="1:52" ht="14.2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  <c r="AI166" s="108"/>
      <c r="AJ166" s="108"/>
      <c r="AK166" s="108"/>
      <c r="AL166" s="108"/>
      <c r="AM166" s="108"/>
      <c r="AN166" s="108"/>
      <c r="AO166" s="108"/>
      <c r="AP166" s="108"/>
      <c r="AQ166" s="108"/>
      <c r="AR166" s="108"/>
      <c r="AS166" s="108"/>
      <c r="AT166" s="108"/>
      <c r="AU166" s="108"/>
      <c r="AV166" s="108"/>
      <c r="AW166" s="108"/>
      <c r="AX166" s="108"/>
      <c r="AY166" s="108"/>
      <c r="AZ166" s="108"/>
    </row>
    <row r="167" spans="1:52" ht="14.2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108"/>
      <c r="AS167" s="108"/>
      <c r="AT167" s="108"/>
      <c r="AU167" s="108"/>
      <c r="AV167" s="108"/>
      <c r="AW167" s="108"/>
      <c r="AX167" s="108"/>
      <c r="AY167" s="108"/>
      <c r="AZ167" s="108"/>
    </row>
    <row r="168" spans="1:52" ht="14.2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  <c r="AI168" s="108"/>
      <c r="AJ168" s="108"/>
      <c r="AK168" s="108"/>
      <c r="AL168" s="108"/>
      <c r="AM168" s="108"/>
      <c r="AN168" s="108"/>
      <c r="AO168" s="108"/>
      <c r="AP168" s="108"/>
      <c r="AQ168" s="108"/>
      <c r="AR168" s="108"/>
      <c r="AS168" s="108"/>
      <c r="AT168" s="108"/>
      <c r="AU168" s="108"/>
      <c r="AV168" s="108"/>
      <c r="AW168" s="108"/>
      <c r="AX168" s="108"/>
      <c r="AY168" s="108"/>
      <c r="AZ168" s="108"/>
    </row>
    <row r="169" spans="1:52" ht="14.2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8"/>
      <c r="AM169" s="108"/>
      <c r="AN169" s="108"/>
      <c r="AO169" s="108"/>
      <c r="AP169" s="108"/>
      <c r="AQ169" s="108"/>
      <c r="AR169" s="108"/>
      <c r="AS169" s="108"/>
      <c r="AT169" s="108"/>
      <c r="AU169" s="108"/>
      <c r="AV169" s="108"/>
      <c r="AW169" s="108"/>
      <c r="AX169" s="108"/>
      <c r="AY169" s="108"/>
      <c r="AZ169" s="108"/>
    </row>
    <row r="170" spans="1:52" ht="14.2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  <c r="AI170" s="108"/>
      <c r="AJ170" s="108"/>
      <c r="AK170" s="108"/>
      <c r="AL170" s="108"/>
      <c r="AM170" s="108"/>
      <c r="AN170" s="108"/>
      <c r="AO170" s="108"/>
      <c r="AP170" s="108"/>
      <c r="AQ170" s="108"/>
      <c r="AR170" s="108"/>
      <c r="AS170" s="108"/>
      <c r="AT170" s="108"/>
      <c r="AU170" s="108"/>
      <c r="AV170" s="108"/>
      <c r="AW170" s="108"/>
      <c r="AX170" s="108"/>
      <c r="AY170" s="108"/>
      <c r="AZ170" s="108"/>
    </row>
    <row r="171" spans="1:52" ht="14.2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  <c r="AI171" s="108"/>
      <c r="AJ171" s="108"/>
      <c r="AK171" s="108"/>
      <c r="AL171" s="108"/>
      <c r="AM171" s="108"/>
      <c r="AN171" s="108"/>
      <c r="AO171" s="108"/>
      <c r="AP171" s="108"/>
      <c r="AQ171" s="108"/>
      <c r="AR171" s="108"/>
      <c r="AS171" s="108"/>
      <c r="AT171" s="108"/>
      <c r="AU171" s="108"/>
      <c r="AV171" s="108"/>
      <c r="AW171" s="108"/>
      <c r="AX171" s="108"/>
      <c r="AY171" s="108"/>
      <c r="AZ171" s="108"/>
    </row>
    <row r="172" spans="1:52" ht="14.2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  <c r="AI172" s="108"/>
      <c r="AJ172" s="108"/>
      <c r="AK172" s="108"/>
      <c r="AL172" s="108"/>
      <c r="AM172" s="108"/>
      <c r="AN172" s="108"/>
      <c r="AO172" s="108"/>
      <c r="AP172" s="108"/>
      <c r="AQ172" s="108"/>
      <c r="AR172" s="108"/>
      <c r="AS172" s="108"/>
      <c r="AT172" s="108"/>
      <c r="AU172" s="108"/>
      <c r="AV172" s="108"/>
      <c r="AW172" s="108"/>
      <c r="AX172" s="108"/>
      <c r="AY172" s="108"/>
      <c r="AZ172" s="108"/>
    </row>
    <row r="173" spans="1:52" ht="14.2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  <c r="AI173" s="108"/>
      <c r="AJ173" s="108"/>
      <c r="AK173" s="108"/>
      <c r="AL173" s="108"/>
      <c r="AM173" s="108"/>
      <c r="AN173" s="108"/>
      <c r="AO173" s="108"/>
      <c r="AP173" s="108"/>
      <c r="AQ173" s="108"/>
      <c r="AR173" s="108"/>
      <c r="AS173" s="108"/>
      <c r="AT173" s="108"/>
      <c r="AU173" s="108"/>
      <c r="AV173" s="108"/>
      <c r="AW173" s="108"/>
      <c r="AX173" s="108"/>
      <c r="AY173" s="108"/>
      <c r="AZ173" s="108"/>
    </row>
    <row r="174" spans="1:52" ht="14.2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  <c r="AI174" s="108"/>
      <c r="AJ174" s="108"/>
      <c r="AK174" s="108"/>
      <c r="AL174" s="108"/>
      <c r="AM174" s="108"/>
      <c r="AN174" s="108"/>
      <c r="AO174" s="108"/>
      <c r="AP174" s="108"/>
      <c r="AQ174" s="108"/>
      <c r="AR174" s="108"/>
      <c r="AS174" s="108"/>
      <c r="AT174" s="108"/>
      <c r="AU174" s="108"/>
      <c r="AV174" s="108"/>
      <c r="AW174" s="108"/>
      <c r="AX174" s="108"/>
      <c r="AY174" s="108"/>
      <c r="AZ174" s="108"/>
    </row>
    <row r="175" spans="1:52" ht="14.2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/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</row>
    <row r="176" spans="1:52" ht="14.2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  <c r="AI176" s="108"/>
      <c r="AJ176" s="108"/>
      <c r="AK176" s="108"/>
      <c r="AL176" s="108"/>
      <c r="AM176" s="108"/>
      <c r="AN176" s="108"/>
      <c r="AO176" s="108"/>
      <c r="AP176" s="108"/>
      <c r="AQ176" s="108"/>
      <c r="AR176" s="108"/>
      <c r="AS176" s="108"/>
      <c r="AT176" s="108"/>
      <c r="AU176" s="108"/>
      <c r="AV176" s="108"/>
      <c r="AW176" s="108"/>
      <c r="AX176" s="108"/>
      <c r="AY176" s="108"/>
      <c r="AZ176" s="108"/>
    </row>
    <row r="177" spans="1:52" ht="14.2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  <c r="AI177" s="108"/>
      <c r="AJ177" s="108"/>
      <c r="AK177" s="108"/>
      <c r="AL177" s="108"/>
      <c r="AM177" s="108"/>
      <c r="AN177" s="108"/>
      <c r="AO177" s="108"/>
      <c r="AP177" s="108"/>
      <c r="AQ177" s="108"/>
      <c r="AR177" s="108"/>
      <c r="AS177" s="108"/>
      <c r="AT177" s="108"/>
      <c r="AU177" s="108"/>
      <c r="AV177" s="108"/>
      <c r="AW177" s="108"/>
      <c r="AX177" s="108"/>
      <c r="AY177" s="108"/>
      <c r="AZ177" s="108"/>
    </row>
    <row r="178" spans="1:52" ht="14.2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/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</row>
    <row r="179" spans="1:52" ht="14.2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  <c r="AI179" s="108"/>
      <c r="AJ179" s="108"/>
      <c r="AK179" s="108"/>
      <c r="AL179" s="108"/>
      <c r="AM179" s="108"/>
      <c r="AN179" s="108"/>
      <c r="AO179" s="108"/>
      <c r="AP179" s="108"/>
      <c r="AQ179" s="108"/>
      <c r="AR179" s="108"/>
      <c r="AS179" s="108"/>
      <c r="AT179" s="108"/>
      <c r="AU179" s="108"/>
      <c r="AV179" s="108"/>
      <c r="AW179" s="108"/>
      <c r="AX179" s="108"/>
      <c r="AY179" s="108"/>
      <c r="AZ179" s="108"/>
    </row>
    <row r="180" spans="1:52" ht="14.2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  <c r="AI180" s="108"/>
      <c r="AJ180" s="108"/>
      <c r="AK180" s="108"/>
      <c r="AL180" s="108"/>
      <c r="AM180" s="108"/>
      <c r="AN180" s="108"/>
      <c r="AO180" s="108"/>
      <c r="AP180" s="108"/>
      <c r="AQ180" s="108"/>
      <c r="AR180" s="108"/>
      <c r="AS180" s="108"/>
      <c r="AT180" s="108"/>
      <c r="AU180" s="108"/>
      <c r="AV180" s="108"/>
      <c r="AW180" s="108"/>
      <c r="AX180" s="108"/>
      <c r="AY180" s="108"/>
      <c r="AZ180" s="108"/>
    </row>
    <row r="181" spans="1:52" ht="14.2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  <c r="AI181" s="108"/>
      <c r="AJ181" s="108"/>
      <c r="AK181" s="108"/>
      <c r="AL181" s="108"/>
      <c r="AM181" s="108"/>
      <c r="AN181" s="108"/>
      <c r="AO181" s="108"/>
      <c r="AP181" s="108"/>
      <c r="AQ181" s="108"/>
      <c r="AR181" s="108"/>
      <c r="AS181" s="108"/>
      <c r="AT181" s="108"/>
      <c r="AU181" s="108"/>
      <c r="AV181" s="108"/>
      <c r="AW181" s="108"/>
      <c r="AX181" s="108"/>
      <c r="AY181" s="108"/>
      <c r="AZ181" s="108"/>
    </row>
    <row r="182" spans="1:52" ht="14.2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  <c r="AI182" s="108"/>
      <c r="AJ182" s="108"/>
      <c r="AK182" s="108"/>
      <c r="AL182" s="108"/>
      <c r="AM182" s="108"/>
      <c r="AN182" s="108"/>
      <c r="AO182" s="108"/>
      <c r="AP182" s="108"/>
      <c r="AQ182" s="108"/>
      <c r="AR182" s="108"/>
      <c r="AS182" s="108"/>
      <c r="AT182" s="108"/>
      <c r="AU182" s="108"/>
      <c r="AV182" s="108"/>
      <c r="AW182" s="108"/>
      <c r="AX182" s="108"/>
      <c r="AY182" s="108"/>
      <c r="AZ182" s="108"/>
    </row>
    <row r="183" spans="1:52" ht="14.2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  <c r="AI183" s="108"/>
      <c r="AJ183" s="108"/>
      <c r="AK183" s="108"/>
      <c r="AL183" s="108"/>
      <c r="AM183" s="108"/>
      <c r="AN183" s="108"/>
      <c r="AO183" s="108"/>
      <c r="AP183" s="108"/>
      <c r="AQ183" s="108"/>
      <c r="AR183" s="108"/>
      <c r="AS183" s="108"/>
      <c r="AT183" s="108"/>
      <c r="AU183" s="108"/>
      <c r="AV183" s="108"/>
      <c r="AW183" s="108"/>
      <c r="AX183" s="108"/>
      <c r="AY183" s="108"/>
      <c r="AZ183" s="108"/>
    </row>
    <row r="184" spans="1:52" ht="14.2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  <c r="AI184" s="108"/>
      <c r="AJ184" s="108"/>
      <c r="AK184" s="108"/>
      <c r="AL184" s="108"/>
      <c r="AM184" s="108"/>
      <c r="AN184" s="108"/>
      <c r="AO184" s="108"/>
      <c r="AP184" s="108"/>
      <c r="AQ184" s="108"/>
      <c r="AR184" s="108"/>
      <c r="AS184" s="108"/>
      <c r="AT184" s="108"/>
      <c r="AU184" s="108"/>
      <c r="AV184" s="108"/>
      <c r="AW184" s="108"/>
      <c r="AX184" s="108"/>
      <c r="AY184" s="108"/>
      <c r="AZ184" s="108"/>
    </row>
    <row r="185" spans="1:52" ht="14.2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  <c r="AI185" s="108"/>
      <c r="AJ185" s="108"/>
      <c r="AK185" s="108"/>
      <c r="AL185" s="108"/>
      <c r="AM185" s="108"/>
      <c r="AN185" s="108"/>
      <c r="AO185" s="108"/>
      <c r="AP185" s="108"/>
      <c r="AQ185" s="108"/>
      <c r="AR185" s="108"/>
      <c r="AS185" s="108"/>
      <c r="AT185" s="108"/>
      <c r="AU185" s="108"/>
      <c r="AV185" s="108"/>
      <c r="AW185" s="108"/>
      <c r="AX185" s="108"/>
      <c r="AY185" s="108"/>
      <c r="AZ185" s="108"/>
    </row>
    <row r="186" spans="1:52" ht="14.2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  <c r="AI186" s="108"/>
      <c r="AJ186" s="108"/>
      <c r="AK186" s="108"/>
      <c r="AL186" s="108"/>
      <c r="AM186" s="108"/>
      <c r="AN186" s="108"/>
      <c r="AO186" s="108"/>
      <c r="AP186" s="108"/>
      <c r="AQ186" s="108"/>
      <c r="AR186" s="108"/>
      <c r="AS186" s="108"/>
      <c r="AT186" s="108"/>
      <c r="AU186" s="108"/>
      <c r="AV186" s="108"/>
      <c r="AW186" s="108"/>
      <c r="AX186" s="108"/>
      <c r="AY186" s="108"/>
      <c r="AZ186" s="108"/>
    </row>
    <row r="187" spans="1:52" ht="14.2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108"/>
      <c r="AU187" s="108"/>
      <c r="AV187" s="108"/>
      <c r="AW187" s="108"/>
      <c r="AX187" s="108"/>
      <c r="AY187" s="108"/>
      <c r="AZ187" s="108"/>
    </row>
    <row r="188" spans="1:52" ht="14.2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  <c r="AI188" s="108"/>
      <c r="AJ188" s="108"/>
      <c r="AK188" s="108"/>
      <c r="AL188" s="108"/>
      <c r="AM188" s="108"/>
      <c r="AN188" s="108"/>
      <c r="AO188" s="108"/>
      <c r="AP188" s="108"/>
      <c r="AQ188" s="108"/>
      <c r="AR188" s="108"/>
      <c r="AS188" s="108"/>
      <c r="AT188" s="108"/>
      <c r="AU188" s="108"/>
      <c r="AV188" s="108"/>
      <c r="AW188" s="108"/>
      <c r="AX188" s="108"/>
      <c r="AY188" s="108"/>
      <c r="AZ188" s="108"/>
    </row>
    <row r="189" spans="1:52" ht="14.2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</row>
    <row r="190" spans="1:52" ht="14.2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</row>
    <row r="191" spans="1:52" ht="14.2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</row>
    <row r="192" spans="1:52" ht="14.2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</row>
    <row r="193" spans="1:52" ht="14.2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</row>
    <row r="194" spans="1:52" ht="14.2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</row>
    <row r="195" spans="1:52" ht="14.2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  <c r="AI195" s="108"/>
      <c r="AJ195" s="108"/>
      <c r="AK195" s="108"/>
      <c r="AL195" s="108"/>
      <c r="AM195" s="108"/>
      <c r="AN195" s="108"/>
      <c r="AO195" s="108"/>
      <c r="AP195" s="108"/>
      <c r="AQ195" s="108"/>
      <c r="AR195" s="108"/>
      <c r="AS195" s="108"/>
      <c r="AT195" s="108"/>
      <c r="AU195" s="108"/>
      <c r="AV195" s="108"/>
      <c r="AW195" s="108"/>
      <c r="AX195" s="108"/>
      <c r="AY195" s="108"/>
      <c r="AZ195" s="108"/>
    </row>
    <row r="196" spans="1:52" ht="14.2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  <c r="AI196" s="108"/>
      <c r="AJ196" s="108"/>
      <c r="AK196" s="108"/>
      <c r="AL196" s="108"/>
      <c r="AM196" s="108"/>
      <c r="AN196" s="108"/>
      <c r="AO196" s="108"/>
      <c r="AP196" s="108"/>
      <c r="AQ196" s="108"/>
      <c r="AR196" s="108"/>
      <c r="AS196" s="108"/>
      <c r="AT196" s="108"/>
      <c r="AU196" s="108"/>
      <c r="AV196" s="108"/>
      <c r="AW196" s="108"/>
      <c r="AX196" s="108"/>
      <c r="AY196" s="108"/>
      <c r="AZ196" s="108"/>
    </row>
    <row r="197" spans="1:52" ht="14.2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  <c r="AI197" s="108"/>
      <c r="AJ197" s="108"/>
      <c r="AK197" s="108"/>
      <c r="AL197" s="108"/>
      <c r="AM197" s="108"/>
      <c r="AN197" s="108"/>
      <c r="AO197" s="108"/>
      <c r="AP197" s="108"/>
      <c r="AQ197" s="108"/>
      <c r="AR197" s="108"/>
      <c r="AS197" s="108"/>
      <c r="AT197" s="108"/>
      <c r="AU197" s="108"/>
      <c r="AV197" s="108"/>
      <c r="AW197" s="108"/>
      <c r="AX197" s="108"/>
      <c r="AY197" s="108"/>
      <c r="AZ197" s="108"/>
    </row>
    <row r="198" spans="1:52" ht="14.2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  <c r="AI198" s="108"/>
      <c r="AJ198" s="108"/>
      <c r="AK198" s="108"/>
      <c r="AL198" s="108"/>
      <c r="AM198" s="108"/>
      <c r="AN198" s="108"/>
      <c r="AO198" s="108"/>
      <c r="AP198" s="108"/>
      <c r="AQ198" s="108"/>
      <c r="AR198" s="108"/>
      <c r="AS198" s="108"/>
      <c r="AT198" s="108"/>
      <c r="AU198" s="108"/>
      <c r="AV198" s="108"/>
      <c r="AW198" s="108"/>
      <c r="AX198" s="108"/>
      <c r="AY198" s="108"/>
      <c r="AZ198" s="108"/>
    </row>
    <row r="199" spans="1:52" ht="14.2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  <c r="AI199" s="108"/>
      <c r="AJ199" s="108"/>
      <c r="AK199" s="108"/>
      <c r="AL199" s="108"/>
      <c r="AM199" s="108"/>
      <c r="AN199" s="108"/>
      <c r="AO199" s="108"/>
      <c r="AP199" s="108"/>
      <c r="AQ199" s="108"/>
      <c r="AR199" s="108"/>
      <c r="AS199" s="108"/>
      <c r="AT199" s="108"/>
      <c r="AU199" s="108"/>
      <c r="AV199" s="108"/>
      <c r="AW199" s="108"/>
      <c r="AX199" s="108"/>
      <c r="AY199" s="108"/>
      <c r="AZ199" s="108"/>
    </row>
    <row r="200" spans="1:52" ht="14.2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  <c r="AI200" s="108"/>
      <c r="AJ200" s="108"/>
      <c r="AK200" s="108"/>
      <c r="AL200" s="108"/>
      <c r="AM200" s="108"/>
      <c r="AN200" s="108"/>
      <c r="AO200" s="108"/>
      <c r="AP200" s="108"/>
      <c r="AQ200" s="108"/>
      <c r="AR200" s="108"/>
      <c r="AS200" s="108"/>
      <c r="AT200" s="108"/>
      <c r="AU200" s="108"/>
      <c r="AV200" s="108"/>
      <c r="AW200" s="108"/>
      <c r="AX200" s="108"/>
      <c r="AY200" s="108"/>
      <c r="AZ200" s="108"/>
    </row>
    <row r="201" spans="1:52" ht="14.2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  <c r="AI201" s="108"/>
      <c r="AJ201" s="108"/>
      <c r="AK201" s="108"/>
      <c r="AL201" s="108"/>
      <c r="AM201" s="108"/>
      <c r="AN201" s="108"/>
      <c r="AO201" s="108"/>
      <c r="AP201" s="108"/>
      <c r="AQ201" s="108"/>
      <c r="AR201" s="108"/>
      <c r="AS201" s="108"/>
      <c r="AT201" s="108"/>
      <c r="AU201" s="108"/>
      <c r="AV201" s="108"/>
      <c r="AW201" s="108"/>
      <c r="AX201" s="108"/>
      <c r="AY201" s="108"/>
      <c r="AZ201" s="108"/>
    </row>
    <row r="202" spans="1:52" ht="14.2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  <c r="AI202" s="108"/>
      <c r="AJ202" s="108"/>
      <c r="AK202" s="108"/>
      <c r="AL202" s="108"/>
      <c r="AM202" s="108"/>
      <c r="AN202" s="108"/>
      <c r="AO202" s="108"/>
      <c r="AP202" s="108"/>
      <c r="AQ202" s="108"/>
      <c r="AR202" s="108"/>
      <c r="AS202" s="108"/>
      <c r="AT202" s="108"/>
      <c r="AU202" s="108"/>
      <c r="AV202" s="108"/>
      <c r="AW202" s="108"/>
      <c r="AX202" s="108"/>
      <c r="AY202" s="108"/>
      <c r="AZ202" s="108"/>
    </row>
    <row r="203" spans="1:52" ht="14.2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8"/>
      <c r="AV203" s="108"/>
      <c r="AW203" s="108"/>
      <c r="AX203" s="108"/>
      <c r="AY203" s="108"/>
      <c r="AZ203" s="108"/>
    </row>
    <row r="204" spans="1:52" ht="14.2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  <c r="AI204" s="108"/>
      <c r="AJ204" s="108"/>
      <c r="AK204" s="108"/>
      <c r="AL204" s="108"/>
      <c r="AM204" s="108"/>
      <c r="AN204" s="108"/>
      <c r="AO204" s="108"/>
      <c r="AP204" s="108"/>
      <c r="AQ204" s="108"/>
      <c r="AR204" s="108"/>
      <c r="AS204" s="108"/>
      <c r="AT204" s="108"/>
      <c r="AU204" s="108"/>
      <c r="AV204" s="108"/>
      <c r="AW204" s="108"/>
      <c r="AX204" s="108"/>
      <c r="AY204" s="108"/>
      <c r="AZ204" s="108"/>
    </row>
    <row r="205" spans="1:52" ht="14.2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  <c r="AI205" s="108"/>
      <c r="AJ205" s="108"/>
      <c r="AK205" s="108"/>
      <c r="AL205" s="108"/>
      <c r="AM205" s="108"/>
      <c r="AN205" s="108"/>
      <c r="AO205" s="108"/>
      <c r="AP205" s="108"/>
      <c r="AQ205" s="108"/>
      <c r="AR205" s="108"/>
      <c r="AS205" s="108"/>
      <c r="AT205" s="108"/>
      <c r="AU205" s="108"/>
      <c r="AV205" s="108"/>
      <c r="AW205" s="108"/>
      <c r="AX205" s="108"/>
      <c r="AY205" s="108"/>
      <c r="AZ205" s="108"/>
    </row>
    <row r="206" spans="1:52" ht="14.2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  <c r="AI206" s="108"/>
      <c r="AJ206" s="108"/>
      <c r="AK206" s="108"/>
      <c r="AL206" s="108"/>
      <c r="AM206" s="108"/>
      <c r="AN206" s="108"/>
      <c r="AO206" s="108"/>
      <c r="AP206" s="108"/>
      <c r="AQ206" s="108"/>
      <c r="AR206" s="108"/>
      <c r="AS206" s="108"/>
      <c r="AT206" s="108"/>
      <c r="AU206" s="108"/>
      <c r="AV206" s="108"/>
      <c r="AW206" s="108"/>
      <c r="AX206" s="108"/>
      <c r="AY206" s="108"/>
      <c r="AZ206" s="108"/>
    </row>
    <row r="207" spans="1:52" ht="14.2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  <c r="AI207" s="108"/>
      <c r="AJ207" s="108"/>
      <c r="AK207" s="108"/>
      <c r="AL207" s="108"/>
      <c r="AM207" s="108"/>
      <c r="AN207" s="108"/>
      <c r="AO207" s="108"/>
      <c r="AP207" s="108"/>
      <c r="AQ207" s="108"/>
      <c r="AR207" s="108"/>
      <c r="AS207" s="108"/>
      <c r="AT207" s="108"/>
      <c r="AU207" s="108"/>
      <c r="AV207" s="108"/>
      <c r="AW207" s="108"/>
      <c r="AX207" s="108"/>
      <c r="AY207" s="108"/>
      <c r="AZ207" s="108"/>
    </row>
    <row r="208" spans="1:52" ht="14.2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  <c r="AI208" s="108"/>
      <c r="AJ208" s="108"/>
      <c r="AK208" s="108"/>
      <c r="AL208" s="108"/>
      <c r="AM208" s="108"/>
      <c r="AN208" s="108"/>
      <c r="AO208" s="108"/>
      <c r="AP208" s="108"/>
      <c r="AQ208" s="108"/>
      <c r="AR208" s="108"/>
      <c r="AS208" s="108"/>
      <c r="AT208" s="108"/>
      <c r="AU208" s="108"/>
      <c r="AV208" s="108"/>
      <c r="AW208" s="108"/>
      <c r="AX208" s="108"/>
      <c r="AY208" s="108"/>
      <c r="AZ208" s="108"/>
    </row>
    <row r="209" spans="1:52" ht="14.2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  <c r="AI209" s="108"/>
      <c r="AJ209" s="108"/>
      <c r="AK209" s="108"/>
      <c r="AL209" s="108"/>
      <c r="AM209" s="108"/>
      <c r="AN209" s="108"/>
      <c r="AO209" s="108"/>
      <c r="AP209" s="108"/>
      <c r="AQ209" s="108"/>
      <c r="AR209" s="108"/>
      <c r="AS209" s="108"/>
      <c r="AT209" s="108"/>
      <c r="AU209" s="108"/>
      <c r="AV209" s="108"/>
      <c r="AW209" s="108"/>
      <c r="AX209" s="108"/>
      <c r="AY209" s="108"/>
      <c r="AZ209" s="108"/>
    </row>
    <row r="210" spans="1:52" ht="14.2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  <c r="AI210" s="108"/>
      <c r="AJ210" s="108"/>
      <c r="AK210" s="108"/>
      <c r="AL210" s="108"/>
      <c r="AM210" s="108"/>
      <c r="AN210" s="108"/>
      <c r="AO210" s="108"/>
      <c r="AP210" s="108"/>
      <c r="AQ210" s="108"/>
      <c r="AR210" s="108"/>
      <c r="AS210" s="108"/>
      <c r="AT210" s="108"/>
      <c r="AU210" s="108"/>
      <c r="AV210" s="108"/>
      <c r="AW210" s="108"/>
      <c r="AX210" s="108"/>
      <c r="AY210" s="108"/>
      <c r="AZ210" s="108"/>
    </row>
    <row r="211" spans="1:52" ht="14.2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  <c r="AI211" s="108"/>
      <c r="AJ211" s="108"/>
      <c r="AK211" s="108"/>
      <c r="AL211" s="108"/>
      <c r="AM211" s="108"/>
      <c r="AN211" s="108"/>
      <c r="AO211" s="108"/>
      <c r="AP211" s="108"/>
      <c r="AQ211" s="108"/>
      <c r="AR211" s="108"/>
      <c r="AS211" s="108"/>
      <c r="AT211" s="108"/>
      <c r="AU211" s="108"/>
      <c r="AV211" s="108"/>
      <c r="AW211" s="108"/>
      <c r="AX211" s="108"/>
      <c r="AY211" s="108"/>
      <c r="AZ211" s="108"/>
    </row>
    <row r="212" spans="1:52" ht="14.2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  <c r="AI212" s="108"/>
      <c r="AJ212" s="108"/>
      <c r="AK212" s="108"/>
      <c r="AL212" s="108"/>
      <c r="AM212" s="108"/>
      <c r="AN212" s="108"/>
      <c r="AO212" s="108"/>
      <c r="AP212" s="108"/>
      <c r="AQ212" s="108"/>
      <c r="AR212" s="108"/>
      <c r="AS212" s="108"/>
      <c r="AT212" s="108"/>
      <c r="AU212" s="108"/>
      <c r="AV212" s="108"/>
      <c r="AW212" s="108"/>
      <c r="AX212" s="108"/>
      <c r="AY212" s="108"/>
      <c r="AZ212" s="108"/>
    </row>
    <row r="213" spans="1:52" ht="14.2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/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</row>
    <row r="214" spans="1:52" ht="14.2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  <c r="AE214" s="108"/>
      <c r="AF214" s="108"/>
      <c r="AG214" s="108"/>
      <c r="AH214" s="108"/>
      <c r="AI214" s="108"/>
      <c r="AJ214" s="108"/>
      <c r="AK214" s="108"/>
      <c r="AL214" s="108"/>
      <c r="AM214" s="108"/>
      <c r="AN214" s="108"/>
      <c r="AO214" s="108"/>
      <c r="AP214" s="108"/>
      <c r="AQ214" s="108"/>
      <c r="AR214" s="108"/>
      <c r="AS214" s="108"/>
      <c r="AT214" s="108"/>
      <c r="AU214" s="108"/>
      <c r="AV214" s="108"/>
      <c r="AW214" s="108"/>
      <c r="AX214" s="108"/>
      <c r="AY214" s="108"/>
      <c r="AZ214" s="108"/>
    </row>
    <row r="215" spans="1:52" ht="14.2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  <c r="AE215" s="108"/>
      <c r="AF215" s="108"/>
      <c r="AG215" s="108"/>
      <c r="AH215" s="108"/>
      <c r="AI215" s="108"/>
      <c r="AJ215" s="108"/>
      <c r="AK215" s="108"/>
      <c r="AL215" s="108"/>
      <c r="AM215" s="108"/>
      <c r="AN215" s="108"/>
      <c r="AO215" s="108"/>
      <c r="AP215" s="108"/>
      <c r="AQ215" s="108"/>
      <c r="AR215" s="108"/>
      <c r="AS215" s="108"/>
      <c r="AT215" s="108"/>
      <c r="AU215" s="108"/>
      <c r="AV215" s="108"/>
      <c r="AW215" s="108"/>
      <c r="AX215" s="108"/>
      <c r="AY215" s="108"/>
      <c r="AZ215" s="108"/>
    </row>
    <row r="216" spans="1:52" ht="14.2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/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</row>
    <row r="217" spans="1:52" ht="14.2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  <c r="AI217" s="108"/>
      <c r="AJ217" s="108"/>
      <c r="AK217" s="108"/>
      <c r="AL217" s="108"/>
      <c r="AM217" s="108"/>
      <c r="AN217" s="108"/>
      <c r="AO217" s="108"/>
      <c r="AP217" s="108"/>
      <c r="AQ217" s="108"/>
      <c r="AR217" s="108"/>
      <c r="AS217" s="108"/>
      <c r="AT217" s="108"/>
      <c r="AU217" s="108"/>
      <c r="AV217" s="108"/>
      <c r="AW217" s="108"/>
      <c r="AX217" s="108"/>
      <c r="AY217" s="108"/>
      <c r="AZ217" s="108"/>
    </row>
    <row r="218" spans="1:52" ht="14.2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  <c r="AE218" s="108"/>
      <c r="AF218" s="108"/>
      <c r="AG218" s="108"/>
      <c r="AH218" s="108"/>
      <c r="AI218" s="108"/>
      <c r="AJ218" s="108"/>
      <c r="AK218" s="108"/>
      <c r="AL218" s="108"/>
      <c r="AM218" s="108"/>
      <c r="AN218" s="108"/>
      <c r="AO218" s="108"/>
      <c r="AP218" s="108"/>
      <c r="AQ218" s="108"/>
      <c r="AR218" s="108"/>
      <c r="AS218" s="108"/>
      <c r="AT218" s="108"/>
      <c r="AU218" s="108"/>
      <c r="AV218" s="108"/>
      <c r="AW218" s="108"/>
      <c r="AX218" s="108"/>
      <c r="AY218" s="108"/>
      <c r="AZ218" s="108"/>
    </row>
    <row r="219" spans="1:52" ht="14.2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  <c r="AI219" s="108"/>
      <c r="AJ219" s="108"/>
      <c r="AK219" s="108"/>
      <c r="AL219" s="108"/>
      <c r="AM219" s="108"/>
      <c r="AN219" s="108"/>
      <c r="AO219" s="108"/>
      <c r="AP219" s="108"/>
      <c r="AQ219" s="108"/>
      <c r="AR219" s="108"/>
      <c r="AS219" s="108"/>
      <c r="AT219" s="108"/>
      <c r="AU219" s="108"/>
      <c r="AV219" s="108"/>
      <c r="AW219" s="108"/>
      <c r="AX219" s="108"/>
      <c r="AY219" s="108"/>
      <c r="AZ219" s="108"/>
    </row>
    <row r="220" spans="1:52" ht="14.2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  <c r="AI220" s="108"/>
      <c r="AJ220" s="108"/>
      <c r="AK220" s="108"/>
      <c r="AL220" s="108"/>
      <c r="AM220" s="108"/>
      <c r="AN220" s="108"/>
      <c r="AO220" s="108"/>
      <c r="AP220" s="108"/>
      <c r="AQ220" s="108"/>
      <c r="AR220" s="108"/>
      <c r="AS220" s="108"/>
      <c r="AT220" s="108"/>
      <c r="AU220" s="108"/>
      <c r="AV220" s="108"/>
      <c r="AW220" s="108"/>
      <c r="AX220" s="108"/>
      <c r="AY220" s="108"/>
      <c r="AZ220" s="108"/>
    </row>
    <row r="221" spans="1:52" ht="14.2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  <c r="AI221" s="108"/>
      <c r="AJ221" s="108"/>
      <c r="AK221" s="108"/>
      <c r="AL221" s="108"/>
      <c r="AM221" s="108"/>
      <c r="AN221" s="108"/>
      <c r="AO221" s="108"/>
      <c r="AP221" s="108"/>
      <c r="AQ221" s="108"/>
      <c r="AR221" s="108"/>
      <c r="AS221" s="108"/>
      <c r="AT221" s="108"/>
      <c r="AU221" s="108"/>
      <c r="AV221" s="108"/>
      <c r="AW221" s="108"/>
      <c r="AX221" s="108"/>
      <c r="AY221" s="108"/>
      <c r="AZ221" s="108"/>
    </row>
    <row r="222" spans="1:52" ht="14.2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  <c r="AI222" s="108"/>
      <c r="AJ222" s="108"/>
      <c r="AK222" s="108"/>
      <c r="AL222" s="108"/>
      <c r="AM222" s="108"/>
      <c r="AN222" s="108"/>
      <c r="AO222" s="108"/>
      <c r="AP222" s="108"/>
      <c r="AQ222" s="108"/>
      <c r="AR222" s="108"/>
      <c r="AS222" s="108"/>
      <c r="AT222" s="108"/>
      <c r="AU222" s="108"/>
      <c r="AV222" s="108"/>
      <c r="AW222" s="108"/>
      <c r="AX222" s="108"/>
      <c r="AY222" s="108"/>
      <c r="AZ222" s="108"/>
    </row>
    <row r="223" spans="1:52" ht="14.2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  <c r="AI223" s="108"/>
      <c r="AJ223" s="108"/>
      <c r="AK223" s="108"/>
      <c r="AL223" s="108"/>
      <c r="AM223" s="108"/>
      <c r="AN223" s="108"/>
      <c r="AO223" s="108"/>
      <c r="AP223" s="108"/>
      <c r="AQ223" s="108"/>
      <c r="AR223" s="108"/>
      <c r="AS223" s="108"/>
      <c r="AT223" s="108"/>
      <c r="AU223" s="108"/>
      <c r="AV223" s="108"/>
      <c r="AW223" s="108"/>
      <c r="AX223" s="108"/>
      <c r="AY223" s="108"/>
      <c r="AZ223" s="108"/>
    </row>
    <row r="224" spans="1:52" ht="14.2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  <c r="AI224" s="108"/>
      <c r="AJ224" s="108"/>
      <c r="AK224" s="108"/>
      <c r="AL224" s="108"/>
      <c r="AM224" s="108"/>
      <c r="AN224" s="108"/>
      <c r="AO224" s="108"/>
      <c r="AP224" s="108"/>
      <c r="AQ224" s="108"/>
      <c r="AR224" s="108"/>
      <c r="AS224" s="108"/>
      <c r="AT224" s="108"/>
      <c r="AU224" s="108"/>
      <c r="AV224" s="108"/>
      <c r="AW224" s="108"/>
      <c r="AX224" s="108"/>
      <c r="AY224" s="108"/>
      <c r="AZ224" s="108"/>
    </row>
    <row r="225" spans="1:52" ht="14.2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  <c r="AI225" s="108"/>
      <c r="AJ225" s="108"/>
      <c r="AK225" s="108"/>
      <c r="AL225" s="108"/>
      <c r="AM225" s="108"/>
      <c r="AN225" s="108"/>
      <c r="AO225" s="108"/>
      <c r="AP225" s="108"/>
      <c r="AQ225" s="108"/>
      <c r="AR225" s="108"/>
      <c r="AS225" s="108"/>
      <c r="AT225" s="108"/>
      <c r="AU225" s="108"/>
      <c r="AV225" s="108"/>
      <c r="AW225" s="108"/>
      <c r="AX225" s="108"/>
      <c r="AY225" s="108"/>
      <c r="AZ225" s="108"/>
    </row>
    <row r="226" spans="1:52" ht="14.2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  <c r="AE226" s="108"/>
      <c r="AF226" s="108"/>
      <c r="AG226" s="108"/>
      <c r="AH226" s="108"/>
      <c r="AI226" s="108"/>
      <c r="AJ226" s="108"/>
      <c r="AK226" s="108"/>
      <c r="AL226" s="108"/>
      <c r="AM226" s="108"/>
      <c r="AN226" s="108"/>
      <c r="AO226" s="108"/>
      <c r="AP226" s="108"/>
      <c r="AQ226" s="108"/>
      <c r="AR226" s="108"/>
      <c r="AS226" s="108"/>
      <c r="AT226" s="108"/>
      <c r="AU226" s="108"/>
      <c r="AV226" s="108"/>
      <c r="AW226" s="108"/>
      <c r="AX226" s="108"/>
      <c r="AY226" s="108"/>
      <c r="AZ226" s="108"/>
    </row>
    <row r="227" spans="1:52" ht="14.2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  <c r="AI227" s="108"/>
      <c r="AJ227" s="108"/>
      <c r="AK227" s="108"/>
      <c r="AL227" s="108"/>
      <c r="AM227" s="108"/>
      <c r="AN227" s="108"/>
      <c r="AO227" s="108"/>
      <c r="AP227" s="108"/>
      <c r="AQ227" s="108"/>
      <c r="AR227" s="108"/>
      <c r="AS227" s="108"/>
      <c r="AT227" s="108"/>
      <c r="AU227" s="108"/>
      <c r="AV227" s="108"/>
      <c r="AW227" s="108"/>
      <c r="AX227" s="108"/>
      <c r="AY227" s="108"/>
      <c r="AZ227" s="108"/>
    </row>
    <row r="228" spans="1:52" ht="14.2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  <c r="AI228" s="108"/>
      <c r="AJ228" s="108"/>
      <c r="AK228" s="108"/>
      <c r="AL228" s="108"/>
      <c r="AM228" s="108"/>
      <c r="AN228" s="108"/>
      <c r="AO228" s="108"/>
      <c r="AP228" s="108"/>
      <c r="AQ228" s="108"/>
      <c r="AR228" s="108"/>
      <c r="AS228" s="108"/>
      <c r="AT228" s="108"/>
      <c r="AU228" s="108"/>
      <c r="AV228" s="108"/>
      <c r="AW228" s="108"/>
      <c r="AX228" s="108"/>
      <c r="AY228" s="108"/>
      <c r="AZ228" s="108"/>
    </row>
    <row r="229" spans="1:52" ht="14.2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  <c r="AI229" s="108"/>
      <c r="AJ229" s="108"/>
      <c r="AK229" s="108"/>
      <c r="AL229" s="108"/>
      <c r="AM229" s="108"/>
      <c r="AN229" s="108"/>
      <c r="AO229" s="108"/>
      <c r="AP229" s="108"/>
      <c r="AQ229" s="108"/>
      <c r="AR229" s="108"/>
      <c r="AS229" s="108"/>
      <c r="AT229" s="108"/>
      <c r="AU229" s="108"/>
      <c r="AV229" s="108"/>
      <c r="AW229" s="108"/>
      <c r="AX229" s="108"/>
      <c r="AY229" s="108"/>
      <c r="AZ229" s="108"/>
    </row>
    <row r="230" spans="1:52" ht="14.2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  <c r="AI230" s="108"/>
      <c r="AJ230" s="108"/>
      <c r="AK230" s="108"/>
      <c r="AL230" s="108"/>
      <c r="AM230" s="108"/>
      <c r="AN230" s="108"/>
      <c r="AO230" s="108"/>
      <c r="AP230" s="108"/>
      <c r="AQ230" s="108"/>
      <c r="AR230" s="108"/>
      <c r="AS230" s="108"/>
      <c r="AT230" s="108"/>
      <c r="AU230" s="108"/>
      <c r="AV230" s="108"/>
      <c r="AW230" s="108"/>
      <c r="AX230" s="108"/>
      <c r="AY230" s="108"/>
      <c r="AZ230" s="108"/>
    </row>
    <row r="231" spans="1:52" ht="14.2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  <c r="AI231" s="108"/>
      <c r="AJ231" s="108"/>
      <c r="AK231" s="108"/>
      <c r="AL231" s="108"/>
      <c r="AM231" s="108"/>
      <c r="AN231" s="108"/>
      <c r="AO231" s="108"/>
      <c r="AP231" s="108"/>
      <c r="AQ231" s="108"/>
      <c r="AR231" s="108"/>
      <c r="AS231" s="108"/>
      <c r="AT231" s="108"/>
      <c r="AU231" s="108"/>
      <c r="AV231" s="108"/>
      <c r="AW231" s="108"/>
      <c r="AX231" s="108"/>
      <c r="AY231" s="108"/>
      <c r="AZ231" s="108"/>
    </row>
    <row r="232" spans="1:52" ht="14.2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  <c r="AE232" s="108"/>
      <c r="AF232" s="108"/>
      <c r="AG232" s="108"/>
      <c r="AH232" s="108"/>
      <c r="AI232" s="108"/>
      <c r="AJ232" s="108"/>
      <c r="AK232" s="108"/>
      <c r="AL232" s="108"/>
      <c r="AM232" s="108"/>
      <c r="AN232" s="108"/>
      <c r="AO232" s="108"/>
      <c r="AP232" s="108"/>
      <c r="AQ232" s="108"/>
      <c r="AR232" s="108"/>
      <c r="AS232" s="108"/>
      <c r="AT232" s="108"/>
      <c r="AU232" s="108"/>
      <c r="AV232" s="108"/>
      <c r="AW232" s="108"/>
      <c r="AX232" s="108"/>
      <c r="AY232" s="108"/>
      <c r="AZ232" s="108"/>
    </row>
    <row r="233" spans="1:52" ht="14.2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  <c r="AE233" s="108"/>
      <c r="AF233" s="108"/>
      <c r="AG233" s="108"/>
      <c r="AH233" s="108"/>
      <c r="AI233" s="108"/>
      <c r="AJ233" s="108"/>
      <c r="AK233" s="108"/>
      <c r="AL233" s="108"/>
      <c r="AM233" s="108"/>
      <c r="AN233" s="108"/>
      <c r="AO233" s="108"/>
      <c r="AP233" s="108"/>
      <c r="AQ233" s="108"/>
      <c r="AR233" s="108"/>
      <c r="AS233" s="108"/>
      <c r="AT233" s="108"/>
      <c r="AU233" s="108"/>
      <c r="AV233" s="108"/>
      <c r="AW233" s="108"/>
      <c r="AX233" s="108"/>
      <c r="AY233" s="108"/>
      <c r="AZ233" s="108"/>
    </row>
    <row r="234" spans="1:52" ht="14.2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  <c r="AE234" s="108"/>
      <c r="AF234" s="108"/>
      <c r="AG234" s="108"/>
      <c r="AH234" s="108"/>
      <c r="AI234" s="108"/>
      <c r="AJ234" s="108"/>
      <c r="AK234" s="108"/>
      <c r="AL234" s="108"/>
      <c r="AM234" s="108"/>
      <c r="AN234" s="108"/>
      <c r="AO234" s="108"/>
      <c r="AP234" s="108"/>
      <c r="AQ234" s="108"/>
      <c r="AR234" s="108"/>
      <c r="AS234" s="108"/>
      <c r="AT234" s="108"/>
      <c r="AU234" s="108"/>
      <c r="AV234" s="108"/>
      <c r="AW234" s="108"/>
      <c r="AX234" s="108"/>
      <c r="AY234" s="108"/>
      <c r="AZ234" s="108"/>
    </row>
    <row r="235" spans="1:52" ht="14.2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  <c r="AF235" s="108"/>
      <c r="AG235" s="108"/>
      <c r="AH235" s="108"/>
      <c r="AI235" s="108"/>
      <c r="AJ235" s="108"/>
      <c r="AK235" s="108"/>
      <c r="AL235" s="108"/>
      <c r="AM235" s="108"/>
      <c r="AN235" s="108"/>
      <c r="AO235" s="108"/>
      <c r="AP235" s="108"/>
      <c r="AQ235" s="108"/>
      <c r="AR235" s="108"/>
      <c r="AS235" s="108"/>
      <c r="AT235" s="108"/>
      <c r="AU235" s="108"/>
      <c r="AV235" s="108"/>
      <c r="AW235" s="108"/>
      <c r="AX235" s="108"/>
      <c r="AY235" s="108"/>
      <c r="AZ235" s="108"/>
    </row>
    <row r="236" spans="1:52" ht="14.2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  <c r="AE236" s="108"/>
      <c r="AF236" s="108"/>
      <c r="AG236" s="108"/>
      <c r="AH236" s="108"/>
      <c r="AI236" s="108"/>
      <c r="AJ236" s="108"/>
      <c r="AK236" s="108"/>
      <c r="AL236" s="108"/>
      <c r="AM236" s="108"/>
      <c r="AN236" s="108"/>
      <c r="AO236" s="108"/>
      <c r="AP236" s="108"/>
      <c r="AQ236" s="108"/>
      <c r="AR236" s="108"/>
      <c r="AS236" s="108"/>
      <c r="AT236" s="108"/>
      <c r="AU236" s="108"/>
      <c r="AV236" s="108"/>
      <c r="AW236" s="108"/>
      <c r="AX236" s="108"/>
      <c r="AY236" s="108"/>
      <c r="AZ236" s="108"/>
    </row>
    <row r="237" spans="1:52" ht="14.2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  <c r="AI237" s="108"/>
      <c r="AJ237" s="108"/>
      <c r="AK237" s="108"/>
      <c r="AL237" s="108"/>
      <c r="AM237" s="108"/>
      <c r="AN237" s="108"/>
      <c r="AO237" s="108"/>
      <c r="AP237" s="108"/>
      <c r="AQ237" s="108"/>
      <c r="AR237" s="108"/>
      <c r="AS237" s="108"/>
      <c r="AT237" s="108"/>
      <c r="AU237" s="108"/>
      <c r="AV237" s="108"/>
      <c r="AW237" s="108"/>
      <c r="AX237" s="108"/>
      <c r="AY237" s="108"/>
      <c r="AZ237" s="108"/>
    </row>
    <row r="238" spans="1:52" ht="14.2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  <c r="AI238" s="108"/>
      <c r="AJ238" s="108"/>
      <c r="AK238" s="108"/>
      <c r="AL238" s="108"/>
      <c r="AM238" s="108"/>
      <c r="AN238" s="108"/>
      <c r="AO238" s="108"/>
      <c r="AP238" s="108"/>
      <c r="AQ238" s="108"/>
      <c r="AR238" s="108"/>
      <c r="AS238" s="108"/>
      <c r="AT238" s="108"/>
      <c r="AU238" s="108"/>
      <c r="AV238" s="108"/>
      <c r="AW238" s="108"/>
      <c r="AX238" s="108"/>
      <c r="AY238" s="108"/>
      <c r="AZ238" s="108"/>
    </row>
    <row r="239" spans="1:52" ht="14.2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  <c r="AF239" s="108"/>
      <c r="AG239" s="108"/>
      <c r="AH239" s="108"/>
      <c r="AI239" s="108"/>
      <c r="AJ239" s="108"/>
      <c r="AK239" s="108"/>
      <c r="AL239" s="108"/>
      <c r="AM239" s="108"/>
      <c r="AN239" s="108"/>
      <c r="AO239" s="108"/>
      <c r="AP239" s="108"/>
      <c r="AQ239" s="108"/>
      <c r="AR239" s="108"/>
      <c r="AS239" s="108"/>
      <c r="AT239" s="108"/>
      <c r="AU239" s="108"/>
      <c r="AV239" s="108"/>
      <c r="AW239" s="108"/>
      <c r="AX239" s="108"/>
      <c r="AY239" s="108"/>
      <c r="AZ239" s="108"/>
    </row>
    <row r="240" spans="1:52" ht="14.2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/>
      <c r="AH240" s="108"/>
      <c r="AI240" s="108"/>
      <c r="AJ240" s="108"/>
      <c r="AK240" s="108"/>
      <c r="AL240" s="108"/>
      <c r="AM240" s="108"/>
      <c r="AN240" s="108"/>
      <c r="AO240" s="108"/>
      <c r="AP240" s="108"/>
      <c r="AQ240" s="108"/>
      <c r="AR240" s="108"/>
      <c r="AS240" s="108"/>
      <c r="AT240" s="108"/>
      <c r="AU240" s="108"/>
      <c r="AV240" s="108"/>
      <c r="AW240" s="108"/>
      <c r="AX240" s="108"/>
      <c r="AY240" s="108"/>
      <c r="AZ240" s="108"/>
    </row>
    <row r="241" spans="1:52" ht="14.2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8"/>
      <c r="AI241" s="108"/>
      <c r="AJ241" s="108"/>
      <c r="AK241" s="108"/>
      <c r="AL241" s="108"/>
      <c r="AM241" s="108"/>
      <c r="AN241" s="108"/>
      <c r="AO241" s="108"/>
      <c r="AP241" s="108"/>
      <c r="AQ241" s="108"/>
      <c r="AR241" s="108"/>
      <c r="AS241" s="108"/>
      <c r="AT241" s="108"/>
      <c r="AU241" s="108"/>
      <c r="AV241" s="108"/>
      <c r="AW241" s="108"/>
      <c r="AX241" s="108"/>
      <c r="AY241" s="108"/>
      <c r="AZ241" s="108"/>
    </row>
    <row r="242" spans="1:52" ht="14.2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  <c r="AI242" s="108"/>
      <c r="AJ242" s="108"/>
      <c r="AK242" s="108"/>
      <c r="AL242" s="108"/>
      <c r="AM242" s="108"/>
      <c r="AN242" s="108"/>
      <c r="AO242" s="108"/>
      <c r="AP242" s="108"/>
      <c r="AQ242" s="108"/>
      <c r="AR242" s="108"/>
      <c r="AS242" s="108"/>
      <c r="AT242" s="108"/>
      <c r="AU242" s="108"/>
      <c r="AV242" s="108"/>
      <c r="AW242" s="108"/>
      <c r="AX242" s="108"/>
      <c r="AY242" s="108"/>
      <c r="AZ242" s="108"/>
    </row>
    <row r="243" spans="1:52" ht="14.2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  <c r="AI243" s="108"/>
      <c r="AJ243" s="108"/>
      <c r="AK243" s="108"/>
      <c r="AL243" s="108"/>
      <c r="AM243" s="108"/>
      <c r="AN243" s="108"/>
      <c r="AO243" s="108"/>
      <c r="AP243" s="108"/>
      <c r="AQ243" s="108"/>
      <c r="AR243" s="108"/>
      <c r="AS243" s="108"/>
      <c r="AT243" s="108"/>
      <c r="AU243" s="108"/>
      <c r="AV243" s="108"/>
      <c r="AW243" s="108"/>
      <c r="AX243" s="108"/>
      <c r="AY243" s="108"/>
      <c r="AZ243" s="108"/>
    </row>
    <row r="244" spans="1:52" ht="14.2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  <c r="AI244" s="108"/>
      <c r="AJ244" s="108"/>
      <c r="AK244" s="108"/>
      <c r="AL244" s="108"/>
      <c r="AM244" s="108"/>
      <c r="AN244" s="108"/>
      <c r="AO244" s="108"/>
      <c r="AP244" s="108"/>
      <c r="AQ244" s="108"/>
      <c r="AR244" s="108"/>
      <c r="AS244" s="108"/>
      <c r="AT244" s="108"/>
      <c r="AU244" s="108"/>
      <c r="AV244" s="108"/>
      <c r="AW244" s="108"/>
      <c r="AX244" s="108"/>
      <c r="AY244" s="108"/>
      <c r="AZ244" s="108"/>
    </row>
    <row r="245" spans="1:52" ht="14.2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  <c r="AI245" s="108"/>
      <c r="AJ245" s="108"/>
      <c r="AK245" s="108"/>
      <c r="AL245" s="108"/>
      <c r="AM245" s="108"/>
      <c r="AN245" s="108"/>
      <c r="AO245" s="108"/>
      <c r="AP245" s="108"/>
      <c r="AQ245" s="108"/>
      <c r="AR245" s="108"/>
      <c r="AS245" s="108"/>
      <c r="AT245" s="108"/>
      <c r="AU245" s="108"/>
      <c r="AV245" s="108"/>
      <c r="AW245" s="108"/>
      <c r="AX245" s="108"/>
      <c r="AY245" s="108"/>
      <c r="AZ245" s="108"/>
    </row>
    <row r="246" spans="1:52" ht="14.2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8"/>
      <c r="AF246" s="108"/>
      <c r="AG246" s="108"/>
      <c r="AH246" s="108"/>
      <c r="AI246" s="108"/>
      <c r="AJ246" s="108"/>
      <c r="AK246" s="108"/>
      <c r="AL246" s="108"/>
      <c r="AM246" s="108"/>
      <c r="AN246" s="108"/>
      <c r="AO246" s="108"/>
      <c r="AP246" s="108"/>
      <c r="AQ246" s="108"/>
      <c r="AR246" s="108"/>
      <c r="AS246" s="108"/>
      <c r="AT246" s="108"/>
      <c r="AU246" s="108"/>
      <c r="AV246" s="108"/>
      <c r="AW246" s="108"/>
      <c r="AX246" s="108"/>
      <c r="AY246" s="108"/>
      <c r="AZ246" s="108"/>
    </row>
    <row r="247" spans="1:52" ht="14.2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  <c r="AI247" s="108"/>
      <c r="AJ247" s="108"/>
      <c r="AK247" s="108"/>
      <c r="AL247" s="108"/>
      <c r="AM247" s="108"/>
      <c r="AN247" s="108"/>
      <c r="AO247" s="108"/>
      <c r="AP247" s="108"/>
      <c r="AQ247" s="108"/>
      <c r="AR247" s="108"/>
      <c r="AS247" s="108"/>
      <c r="AT247" s="108"/>
      <c r="AU247" s="108"/>
      <c r="AV247" s="108"/>
      <c r="AW247" s="108"/>
      <c r="AX247" s="108"/>
      <c r="AY247" s="108"/>
      <c r="AZ247" s="108"/>
    </row>
    <row r="248" spans="1:52" ht="14.2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  <c r="AI248" s="108"/>
      <c r="AJ248" s="108"/>
      <c r="AK248" s="108"/>
      <c r="AL248" s="108"/>
      <c r="AM248" s="108"/>
      <c r="AN248" s="108"/>
      <c r="AO248" s="108"/>
      <c r="AP248" s="108"/>
      <c r="AQ248" s="108"/>
      <c r="AR248" s="108"/>
      <c r="AS248" s="108"/>
      <c r="AT248" s="108"/>
      <c r="AU248" s="108"/>
      <c r="AV248" s="108"/>
      <c r="AW248" s="108"/>
      <c r="AX248" s="108"/>
      <c r="AY248" s="108"/>
      <c r="AZ248" s="108"/>
    </row>
    <row r="249" spans="1:52" ht="14.2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  <c r="AE249" s="108"/>
      <c r="AF249" s="108"/>
      <c r="AG249" s="108"/>
      <c r="AH249" s="108"/>
      <c r="AI249" s="108"/>
      <c r="AJ249" s="108"/>
      <c r="AK249" s="108"/>
      <c r="AL249" s="108"/>
      <c r="AM249" s="108"/>
      <c r="AN249" s="108"/>
      <c r="AO249" s="108"/>
      <c r="AP249" s="108"/>
      <c r="AQ249" s="108"/>
      <c r="AR249" s="108"/>
      <c r="AS249" s="108"/>
      <c r="AT249" s="108"/>
      <c r="AU249" s="108"/>
      <c r="AV249" s="108"/>
      <c r="AW249" s="108"/>
      <c r="AX249" s="108"/>
      <c r="AY249" s="108"/>
      <c r="AZ249" s="108"/>
    </row>
    <row r="250" spans="1:52" ht="14.2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  <c r="AF250" s="108"/>
      <c r="AG250" s="108"/>
      <c r="AH250" s="108"/>
      <c r="AI250" s="108"/>
      <c r="AJ250" s="108"/>
      <c r="AK250" s="108"/>
      <c r="AL250" s="108"/>
      <c r="AM250" s="108"/>
      <c r="AN250" s="108"/>
      <c r="AO250" s="108"/>
      <c r="AP250" s="108"/>
      <c r="AQ250" s="108"/>
      <c r="AR250" s="108"/>
      <c r="AS250" s="108"/>
      <c r="AT250" s="108"/>
      <c r="AU250" s="108"/>
      <c r="AV250" s="108"/>
      <c r="AW250" s="108"/>
      <c r="AX250" s="108"/>
      <c r="AY250" s="108"/>
      <c r="AZ250" s="108"/>
    </row>
    <row r="251" spans="1:52" ht="14.2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/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</row>
    <row r="252" spans="1:52" ht="14.2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  <c r="AE252" s="108"/>
      <c r="AF252" s="108"/>
      <c r="AG252" s="108"/>
      <c r="AH252" s="108"/>
      <c r="AI252" s="108"/>
      <c r="AJ252" s="108"/>
      <c r="AK252" s="108"/>
      <c r="AL252" s="108"/>
      <c r="AM252" s="108"/>
      <c r="AN252" s="108"/>
      <c r="AO252" s="108"/>
      <c r="AP252" s="108"/>
      <c r="AQ252" s="108"/>
      <c r="AR252" s="108"/>
      <c r="AS252" s="108"/>
      <c r="AT252" s="108"/>
      <c r="AU252" s="108"/>
      <c r="AV252" s="108"/>
      <c r="AW252" s="108"/>
      <c r="AX252" s="108"/>
      <c r="AY252" s="108"/>
      <c r="AZ252" s="108"/>
    </row>
    <row r="253" spans="1:52" ht="14.2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  <c r="AF253" s="108"/>
      <c r="AG253" s="108"/>
      <c r="AH253" s="108"/>
      <c r="AI253" s="108"/>
      <c r="AJ253" s="108"/>
      <c r="AK253" s="108"/>
      <c r="AL253" s="108"/>
      <c r="AM253" s="108"/>
      <c r="AN253" s="108"/>
      <c r="AO253" s="108"/>
      <c r="AP253" s="108"/>
      <c r="AQ253" s="108"/>
      <c r="AR253" s="108"/>
      <c r="AS253" s="108"/>
      <c r="AT253" s="108"/>
      <c r="AU253" s="108"/>
      <c r="AV253" s="108"/>
      <c r="AW253" s="108"/>
      <c r="AX253" s="108"/>
      <c r="AY253" s="108"/>
      <c r="AZ253" s="108"/>
    </row>
    <row r="254" spans="1:52" ht="14.2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/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</row>
    <row r="255" spans="1:52" ht="14.2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  <c r="AI255" s="108"/>
      <c r="AJ255" s="108"/>
      <c r="AK255" s="108"/>
      <c r="AL255" s="108"/>
      <c r="AM255" s="108"/>
      <c r="AN255" s="108"/>
      <c r="AO255" s="108"/>
      <c r="AP255" s="108"/>
      <c r="AQ255" s="108"/>
      <c r="AR255" s="108"/>
      <c r="AS255" s="108"/>
      <c r="AT255" s="108"/>
      <c r="AU255" s="108"/>
      <c r="AV255" s="108"/>
      <c r="AW255" s="108"/>
      <c r="AX255" s="108"/>
      <c r="AY255" s="108"/>
      <c r="AZ255" s="108"/>
    </row>
    <row r="256" spans="1:52" ht="14.2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  <c r="AF256" s="108"/>
      <c r="AG256" s="108"/>
      <c r="AH256" s="108"/>
      <c r="AI256" s="108"/>
      <c r="AJ256" s="108"/>
      <c r="AK256" s="108"/>
      <c r="AL256" s="108"/>
      <c r="AM256" s="108"/>
      <c r="AN256" s="108"/>
      <c r="AO256" s="108"/>
      <c r="AP256" s="108"/>
      <c r="AQ256" s="108"/>
      <c r="AR256" s="108"/>
      <c r="AS256" s="108"/>
      <c r="AT256" s="108"/>
      <c r="AU256" s="108"/>
      <c r="AV256" s="108"/>
      <c r="AW256" s="108"/>
      <c r="AX256" s="108"/>
      <c r="AY256" s="108"/>
      <c r="AZ256" s="108"/>
    </row>
    <row r="257" spans="1:52" ht="14.2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  <c r="AE257" s="108"/>
      <c r="AF257" s="108"/>
      <c r="AG257" s="108"/>
      <c r="AH257" s="108"/>
      <c r="AI257" s="108"/>
      <c r="AJ257" s="108"/>
      <c r="AK257" s="108"/>
      <c r="AL257" s="108"/>
      <c r="AM257" s="108"/>
      <c r="AN257" s="108"/>
      <c r="AO257" s="108"/>
      <c r="AP257" s="108"/>
      <c r="AQ257" s="108"/>
      <c r="AR257" s="108"/>
      <c r="AS257" s="108"/>
      <c r="AT257" s="108"/>
      <c r="AU257" s="108"/>
      <c r="AV257" s="108"/>
      <c r="AW257" s="108"/>
      <c r="AX257" s="108"/>
      <c r="AY257" s="108"/>
      <c r="AZ257" s="108"/>
    </row>
    <row r="258" spans="1:52" ht="14.2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  <c r="AG258" s="108"/>
      <c r="AH258" s="108"/>
      <c r="AI258" s="108"/>
      <c r="AJ258" s="108"/>
      <c r="AK258" s="108"/>
      <c r="AL258" s="108"/>
      <c r="AM258" s="108"/>
      <c r="AN258" s="108"/>
      <c r="AO258" s="108"/>
      <c r="AP258" s="108"/>
      <c r="AQ258" s="108"/>
      <c r="AR258" s="108"/>
      <c r="AS258" s="108"/>
      <c r="AT258" s="108"/>
      <c r="AU258" s="108"/>
      <c r="AV258" s="108"/>
      <c r="AW258" s="108"/>
      <c r="AX258" s="108"/>
      <c r="AY258" s="108"/>
      <c r="AZ258" s="108"/>
    </row>
    <row r="259" spans="1:52" ht="14.2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  <c r="AE259" s="108"/>
      <c r="AF259" s="108"/>
      <c r="AG259" s="108"/>
      <c r="AH259" s="108"/>
      <c r="AI259" s="108"/>
      <c r="AJ259" s="108"/>
      <c r="AK259" s="108"/>
      <c r="AL259" s="108"/>
      <c r="AM259" s="108"/>
      <c r="AN259" s="108"/>
      <c r="AO259" s="108"/>
      <c r="AP259" s="108"/>
      <c r="AQ259" s="108"/>
      <c r="AR259" s="108"/>
      <c r="AS259" s="108"/>
      <c r="AT259" s="108"/>
      <c r="AU259" s="108"/>
      <c r="AV259" s="108"/>
      <c r="AW259" s="108"/>
      <c r="AX259" s="108"/>
      <c r="AY259" s="108"/>
      <c r="AZ259" s="108"/>
    </row>
    <row r="260" spans="1:52" ht="14.2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  <c r="AE260" s="108"/>
      <c r="AF260" s="108"/>
      <c r="AG260" s="108"/>
      <c r="AH260" s="108"/>
      <c r="AI260" s="108"/>
      <c r="AJ260" s="108"/>
      <c r="AK260" s="108"/>
      <c r="AL260" s="108"/>
      <c r="AM260" s="108"/>
      <c r="AN260" s="108"/>
      <c r="AO260" s="108"/>
      <c r="AP260" s="108"/>
      <c r="AQ260" s="108"/>
      <c r="AR260" s="108"/>
      <c r="AS260" s="108"/>
      <c r="AT260" s="108"/>
      <c r="AU260" s="108"/>
      <c r="AV260" s="108"/>
      <c r="AW260" s="108"/>
      <c r="AX260" s="108"/>
      <c r="AY260" s="108"/>
      <c r="AZ260" s="108"/>
    </row>
    <row r="261" spans="1:52" ht="14.2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  <c r="AE261" s="108"/>
      <c r="AF261" s="108"/>
      <c r="AG261" s="108"/>
      <c r="AH261" s="108"/>
      <c r="AI261" s="108"/>
      <c r="AJ261" s="108"/>
      <c r="AK261" s="108"/>
      <c r="AL261" s="108"/>
      <c r="AM261" s="108"/>
      <c r="AN261" s="108"/>
      <c r="AO261" s="108"/>
      <c r="AP261" s="108"/>
      <c r="AQ261" s="108"/>
      <c r="AR261" s="108"/>
      <c r="AS261" s="108"/>
      <c r="AT261" s="108"/>
      <c r="AU261" s="108"/>
      <c r="AV261" s="108"/>
      <c r="AW261" s="108"/>
      <c r="AX261" s="108"/>
      <c r="AY261" s="108"/>
      <c r="AZ261" s="108"/>
    </row>
    <row r="262" spans="1:52" ht="14.2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  <c r="AE262" s="108"/>
      <c r="AF262" s="108"/>
      <c r="AG262" s="108"/>
      <c r="AH262" s="108"/>
      <c r="AI262" s="108"/>
      <c r="AJ262" s="108"/>
      <c r="AK262" s="108"/>
      <c r="AL262" s="108"/>
      <c r="AM262" s="108"/>
      <c r="AN262" s="108"/>
      <c r="AO262" s="108"/>
      <c r="AP262" s="108"/>
      <c r="AQ262" s="108"/>
      <c r="AR262" s="108"/>
      <c r="AS262" s="108"/>
      <c r="AT262" s="108"/>
      <c r="AU262" s="108"/>
      <c r="AV262" s="108"/>
      <c r="AW262" s="108"/>
      <c r="AX262" s="108"/>
      <c r="AY262" s="108"/>
      <c r="AZ262" s="108"/>
    </row>
    <row r="263" spans="1:52" ht="14.2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  <c r="AF263" s="108"/>
      <c r="AG263" s="108"/>
      <c r="AH263" s="108"/>
      <c r="AI263" s="108"/>
      <c r="AJ263" s="108"/>
      <c r="AK263" s="108"/>
      <c r="AL263" s="108"/>
      <c r="AM263" s="108"/>
      <c r="AN263" s="108"/>
      <c r="AO263" s="108"/>
      <c r="AP263" s="108"/>
      <c r="AQ263" s="108"/>
      <c r="AR263" s="108"/>
      <c r="AS263" s="108"/>
      <c r="AT263" s="108"/>
      <c r="AU263" s="108"/>
      <c r="AV263" s="108"/>
      <c r="AW263" s="108"/>
      <c r="AX263" s="108"/>
      <c r="AY263" s="108"/>
      <c r="AZ263" s="108"/>
    </row>
    <row r="264" spans="1:52" ht="14.2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  <c r="AE264" s="108"/>
      <c r="AF264" s="108"/>
      <c r="AG264" s="108"/>
      <c r="AH264" s="108"/>
      <c r="AI264" s="108"/>
      <c r="AJ264" s="108"/>
      <c r="AK264" s="108"/>
      <c r="AL264" s="108"/>
      <c r="AM264" s="108"/>
      <c r="AN264" s="108"/>
      <c r="AO264" s="108"/>
      <c r="AP264" s="108"/>
      <c r="AQ264" s="108"/>
      <c r="AR264" s="108"/>
      <c r="AS264" s="108"/>
      <c r="AT264" s="108"/>
      <c r="AU264" s="108"/>
      <c r="AV264" s="108"/>
      <c r="AW264" s="108"/>
      <c r="AX264" s="108"/>
      <c r="AY264" s="108"/>
      <c r="AZ264" s="108"/>
    </row>
    <row r="265" spans="1:52" ht="14.2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  <c r="AE265" s="108"/>
      <c r="AF265" s="108"/>
      <c r="AG265" s="108"/>
      <c r="AH265" s="108"/>
      <c r="AI265" s="108"/>
      <c r="AJ265" s="108"/>
      <c r="AK265" s="108"/>
      <c r="AL265" s="108"/>
      <c r="AM265" s="108"/>
      <c r="AN265" s="108"/>
      <c r="AO265" s="108"/>
      <c r="AP265" s="108"/>
      <c r="AQ265" s="108"/>
      <c r="AR265" s="108"/>
      <c r="AS265" s="108"/>
      <c r="AT265" s="108"/>
      <c r="AU265" s="108"/>
      <c r="AV265" s="108"/>
      <c r="AW265" s="108"/>
      <c r="AX265" s="108"/>
      <c r="AY265" s="108"/>
      <c r="AZ265" s="108"/>
    </row>
    <row r="266" spans="1:52" ht="14.2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  <c r="AE266" s="108"/>
      <c r="AF266" s="108"/>
      <c r="AG266" s="108"/>
      <c r="AH266" s="108"/>
      <c r="AI266" s="108"/>
      <c r="AJ266" s="108"/>
      <c r="AK266" s="108"/>
      <c r="AL266" s="108"/>
      <c r="AM266" s="108"/>
      <c r="AN266" s="108"/>
      <c r="AO266" s="108"/>
      <c r="AP266" s="108"/>
      <c r="AQ266" s="108"/>
      <c r="AR266" s="108"/>
      <c r="AS266" s="108"/>
      <c r="AT266" s="108"/>
      <c r="AU266" s="108"/>
      <c r="AV266" s="108"/>
      <c r="AW266" s="108"/>
      <c r="AX266" s="108"/>
      <c r="AY266" s="108"/>
      <c r="AZ266" s="108"/>
    </row>
    <row r="267" spans="1:52" ht="14.2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  <c r="AF267" s="108"/>
      <c r="AG267" s="108"/>
      <c r="AH267" s="108"/>
      <c r="AI267" s="108"/>
      <c r="AJ267" s="108"/>
      <c r="AK267" s="108"/>
      <c r="AL267" s="108"/>
      <c r="AM267" s="108"/>
      <c r="AN267" s="108"/>
      <c r="AO267" s="108"/>
      <c r="AP267" s="108"/>
      <c r="AQ267" s="108"/>
      <c r="AR267" s="108"/>
      <c r="AS267" s="108"/>
      <c r="AT267" s="108"/>
      <c r="AU267" s="108"/>
      <c r="AV267" s="108"/>
      <c r="AW267" s="108"/>
      <c r="AX267" s="108"/>
      <c r="AY267" s="108"/>
      <c r="AZ267" s="108"/>
    </row>
    <row r="268" spans="1:52" ht="14.2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  <c r="AI268" s="108"/>
      <c r="AJ268" s="108"/>
      <c r="AK268" s="108"/>
      <c r="AL268" s="108"/>
      <c r="AM268" s="108"/>
      <c r="AN268" s="108"/>
      <c r="AO268" s="108"/>
      <c r="AP268" s="108"/>
      <c r="AQ268" s="108"/>
      <c r="AR268" s="108"/>
      <c r="AS268" s="108"/>
      <c r="AT268" s="108"/>
      <c r="AU268" s="108"/>
      <c r="AV268" s="108"/>
      <c r="AW268" s="108"/>
      <c r="AX268" s="108"/>
      <c r="AY268" s="108"/>
      <c r="AZ268" s="108"/>
    </row>
    <row r="269" spans="1:52" ht="14.2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  <c r="AG269" s="108"/>
      <c r="AH269" s="108"/>
      <c r="AI269" s="108"/>
      <c r="AJ269" s="108"/>
      <c r="AK269" s="108"/>
      <c r="AL269" s="108"/>
      <c r="AM269" s="108"/>
      <c r="AN269" s="108"/>
      <c r="AO269" s="108"/>
      <c r="AP269" s="108"/>
      <c r="AQ269" s="108"/>
      <c r="AR269" s="108"/>
      <c r="AS269" s="108"/>
      <c r="AT269" s="108"/>
      <c r="AU269" s="108"/>
      <c r="AV269" s="108"/>
      <c r="AW269" s="108"/>
      <c r="AX269" s="108"/>
      <c r="AY269" s="108"/>
      <c r="AZ269" s="108"/>
    </row>
    <row r="270" spans="1:52" ht="14.2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  <c r="AG270" s="108"/>
      <c r="AH270" s="108"/>
      <c r="AI270" s="108"/>
      <c r="AJ270" s="108"/>
      <c r="AK270" s="108"/>
      <c r="AL270" s="108"/>
      <c r="AM270" s="108"/>
      <c r="AN270" s="108"/>
      <c r="AO270" s="108"/>
      <c r="AP270" s="108"/>
      <c r="AQ270" s="108"/>
      <c r="AR270" s="108"/>
      <c r="AS270" s="108"/>
      <c r="AT270" s="108"/>
      <c r="AU270" s="108"/>
      <c r="AV270" s="108"/>
      <c r="AW270" s="108"/>
      <c r="AX270" s="108"/>
      <c r="AY270" s="108"/>
      <c r="AZ270" s="108"/>
    </row>
    <row r="271" spans="1:52" ht="14.2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  <c r="AG271" s="108"/>
      <c r="AH271" s="108"/>
      <c r="AI271" s="108"/>
      <c r="AJ271" s="108"/>
      <c r="AK271" s="108"/>
      <c r="AL271" s="108"/>
      <c r="AM271" s="108"/>
      <c r="AN271" s="108"/>
      <c r="AO271" s="108"/>
      <c r="AP271" s="108"/>
      <c r="AQ271" s="108"/>
      <c r="AR271" s="108"/>
      <c r="AS271" s="108"/>
      <c r="AT271" s="108"/>
      <c r="AU271" s="108"/>
      <c r="AV271" s="108"/>
      <c r="AW271" s="108"/>
      <c r="AX271" s="108"/>
      <c r="AY271" s="108"/>
      <c r="AZ271" s="108"/>
    </row>
    <row r="272" spans="1:52" ht="14.2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  <c r="AG272" s="108"/>
      <c r="AH272" s="108"/>
      <c r="AI272" s="108"/>
      <c r="AJ272" s="108"/>
      <c r="AK272" s="108"/>
      <c r="AL272" s="108"/>
      <c r="AM272" s="108"/>
      <c r="AN272" s="108"/>
      <c r="AO272" s="108"/>
      <c r="AP272" s="108"/>
      <c r="AQ272" s="108"/>
      <c r="AR272" s="108"/>
      <c r="AS272" s="108"/>
      <c r="AT272" s="108"/>
      <c r="AU272" s="108"/>
      <c r="AV272" s="108"/>
      <c r="AW272" s="108"/>
      <c r="AX272" s="108"/>
      <c r="AY272" s="108"/>
      <c r="AZ272" s="108"/>
    </row>
    <row r="273" spans="1:52" ht="14.2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  <c r="AE273" s="108"/>
      <c r="AF273" s="108"/>
      <c r="AG273" s="108"/>
      <c r="AH273" s="108"/>
      <c r="AI273" s="108"/>
      <c r="AJ273" s="108"/>
      <c r="AK273" s="108"/>
      <c r="AL273" s="108"/>
      <c r="AM273" s="108"/>
      <c r="AN273" s="108"/>
      <c r="AO273" s="108"/>
      <c r="AP273" s="108"/>
      <c r="AQ273" s="108"/>
      <c r="AR273" s="108"/>
      <c r="AS273" s="108"/>
      <c r="AT273" s="108"/>
      <c r="AU273" s="108"/>
      <c r="AV273" s="108"/>
      <c r="AW273" s="108"/>
      <c r="AX273" s="108"/>
      <c r="AY273" s="108"/>
      <c r="AZ273" s="108"/>
    </row>
    <row r="274" spans="1:52" ht="14.2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  <c r="AE274" s="108"/>
      <c r="AF274" s="108"/>
      <c r="AG274" s="108"/>
      <c r="AH274" s="108"/>
      <c r="AI274" s="108"/>
      <c r="AJ274" s="108"/>
      <c r="AK274" s="108"/>
      <c r="AL274" s="108"/>
      <c r="AM274" s="108"/>
      <c r="AN274" s="108"/>
      <c r="AO274" s="108"/>
      <c r="AP274" s="108"/>
      <c r="AQ274" s="108"/>
      <c r="AR274" s="108"/>
      <c r="AS274" s="108"/>
      <c r="AT274" s="108"/>
      <c r="AU274" s="108"/>
      <c r="AV274" s="108"/>
      <c r="AW274" s="108"/>
      <c r="AX274" s="108"/>
      <c r="AY274" s="108"/>
      <c r="AZ274" s="108"/>
    </row>
    <row r="275" spans="1:52" ht="14.2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  <c r="AE275" s="108"/>
      <c r="AF275" s="108"/>
      <c r="AG275" s="108"/>
      <c r="AH275" s="108"/>
      <c r="AI275" s="108"/>
      <c r="AJ275" s="108"/>
      <c r="AK275" s="108"/>
      <c r="AL275" s="108"/>
      <c r="AM275" s="108"/>
      <c r="AN275" s="108"/>
      <c r="AO275" s="108"/>
      <c r="AP275" s="108"/>
      <c r="AQ275" s="108"/>
      <c r="AR275" s="108"/>
      <c r="AS275" s="108"/>
      <c r="AT275" s="108"/>
      <c r="AU275" s="108"/>
      <c r="AV275" s="108"/>
      <c r="AW275" s="108"/>
      <c r="AX275" s="108"/>
      <c r="AY275" s="108"/>
      <c r="AZ275" s="108"/>
    </row>
    <row r="276" spans="1:52" ht="14.2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  <c r="AE276" s="108"/>
      <c r="AF276" s="108"/>
      <c r="AG276" s="108"/>
      <c r="AH276" s="108"/>
      <c r="AI276" s="108"/>
      <c r="AJ276" s="108"/>
      <c r="AK276" s="108"/>
      <c r="AL276" s="108"/>
      <c r="AM276" s="108"/>
      <c r="AN276" s="108"/>
      <c r="AO276" s="108"/>
      <c r="AP276" s="108"/>
      <c r="AQ276" s="108"/>
      <c r="AR276" s="108"/>
      <c r="AS276" s="108"/>
      <c r="AT276" s="108"/>
      <c r="AU276" s="108"/>
      <c r="AV276" s="108"/>
      <c r="AW276" s="108"/>
      <c r="AX276" s="108"/>
      <c r="AY276" s="108"/>
      <c r="AZ276" s="108"/>
    </row>
    <row r="277" spans="1:52" ht="14.2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  <c r="AD277" s="108"/>
      <c r="AE277" s="108"/>
      <c r="AF277" s="108"/>
      <c r="AG277" s="108"/>
      <c r="AH277" s="108"/>
      <c r="AI277" s="108"/>
      <c r="AJ277" s="108"/>
      <c r="AK277" s="108"/>
      <c r="AL277" s="108"/>
      <c r="AM277" s="108"/>
      <c r="AN277" s="108"/>
      <c r="AO277" s="108"/>
      <c r="AP277" s="108"/>
      <c r="AQ277" s="108"/>
      <c r="AR277" s="108"/>
      <c r="AS277" s="108"/>
      <c r="AT277" s="108"/>
      <c r="AU277" s="108"/>
      <c r="AV277" s="108"/>
      <c r="AW277" s="108"/>
      <c r="AX277" s="108"/>
      <c r="AY277" s="108"/>
      <c r="AZ277" s="108"/>
    </row>
    <row r="278" spans="1:52" ht="14.2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  <c r="AE278" s="108"/>
      <c r="AF278" s="108"/>
      <c r="AG278" s="108"/>
      <c r="AH278" s="108"/>
      <c r="AI278" s="108"/>
      <c r="AJ278" s="108"/>
      <c r="AK278" s="108"/>
      <c r="AL278" s="108"/>
      <c r="AM278" s="108"/>
      <c r="AN278" s="108"/>
      <c r="AO278" s="108"/>
      <c r="AP278" s="108"/>
      <c r="AQ278" s="108"/>
      <c r="AR278" s="108"/>
      <c r="AS278" s="108"/>
      <c r="AT278" s="108"/>
      <c r="AU278" s="108"/>
      <c r="AV278" s="108"/>
      <c r="AW278" s="108"/>
      <c r="AX278" s="108"/>
      <c r="AY278" s="108"/>
      <c r="AZ278" s="108"/>
    </row>
    <row r="279" spans="1:52" ht="14.2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  <c r="AD279" s="108"/>
      <c r="AE279" s="108"/>
      <c r="AF279" s="108"/>
      <c r="AG279" s="108"/>
      <c r="AH279" s="108"/>
      <c r="AI279" s="108"/>
      <c r="AJ279" s="108"/>
      <c r="AK279" s="108"/>
      <c r="AL279" s="108"/>
      <c r="AM279" s="108"/>
      <c r="AN279" s="108"/>
      <c r="AO279" s="108"/>
      <c r="AP279" s="108"/>
      <c r="AQ279" s="108"/>
      <c r="AR279" s="108"/>
      <c r="AS279" s="108"/>
      <c r="AT279" s="108"/>
      <c r="AU279" s="108"/>
      <c r="AV279" s="108"/>
      <c r="AW279" s="108"/>
      <c r="AX279" s="108"/>
      <c r="AY279" s="108"/>
      <c r="AZ279" s="108"/>
    </row>
    <row r="280" spans="1:52" ht="14.2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  <c r="AE280" s="108"/>
      <c r="AF280" s="108"/>
      <c r="AG280" s="108"/>
      <c r="AH280" s="108"/>
      <c r="AI280" s="108"/>
      <c r="AJ280" s="108"/>
      <c r="AK280" s="108"/>
      <c r="AL280" s="108"/>
      <c r="AM280" s="108"/>
      <c r="AN280" s="108"/>
      <c r="AO280" s="108"/>
      <c r="AP280" s="108"/>
      <c r="AQ280" s="108"/>
      <c r="AR280" s="108"/>
      <c r="AS280" s="108"/>
      <c r="AT280" s="108"/>
      <c r="AU280" s="108"/>
      <c r="AV280" s="108"/>
      <c r="AW280" s="108"/>
      <c r="AX280" s="108"/>
      <c r="AY280" s="108"/>
      <c r="AZ280" s="108"/>
    </row>
    <row r="281" spans="1:52" ht="14.2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  <c r="AE281" s="108"/>
      <c r="AF281" s="108"/>
      <c r="AG281" s="108"/>
      <c r="AH281" s="108"/>
      <c r="AI281" s="108"/>
      <c r="AJ281" s="108"/>
      <c r="AK281" s="108"/>
      <c r="AL281" s="108"/>
      <c r="AM281" s="108"/>
      <c r="AN281" s="108"/>
      <c r="AO281" s="108"/>
      <c r="AP281" s="108"/>
      <c r="AQ281" s="108"/>
      <c r="AR281" s="108"/>
      <c r="AS281" s="108"/>
      <c r="AT281" s="108"/>
      <c r="AU281" s="108"/>
      <c r="AV281" s="108"/>
      <c r="AW281" s="108"/>
      <c r="AX281" s="108"/>
      <c r="AY281" s="108"/>
      <c r="AZ281" s="108"/>
    </row>
    <row r="282" spans="1:52" ht="14.2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  <c r="AE282" s="108"/>
      <c r="AF282" s="108"/>
      <c r="AG282" s="108"/>
      <c r="AH282" s="108"/>
      <c r="AI282" s="108"/>
      <c r="AJ282" s="108"/>
      <c r="AK282" s="108"/>
      <c r="AL282" s="108"/>
      <c r="AM282" s="108"/>
      <c r="AN282" s="108"/>
      <c r="AO282" s="108"/>
      <c r="AP282" s="108"/>
      <c r="AQ282" s="108"/>
      <c r="AR282" s="108"/>
      <c r="AS282" s="108"/>
      <c r="AT282" s="108"/>
      <c r="AU282" s="108"/>
      <c r="AV282" s="108"/>
      <c r="AW282" s="108"/>
      <c r="AX282" s="108"/>
      <c r="AY282" s="108"/>
      <c r="AZ282" s="108"/>
    </row>
    <row r="283" spans="1:52" ht="14.2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  <c r="AE283" s="108"/>
      <c r="AF283" s="108"/>
      <c r="AG283" s="108"/>
      <c r="AH283" s="108"/>
      <c r="AI283" s="108"/>
      <c r="AJ283" s="108"/>
      <c r="AK283" s="108"/>
      <c r="AL283" s="108"/>
      <c r="AM283" s="108"/>
      <c r="AN283" s="108"/>
      <c r="AO283" s="108"/>
      <c r="AP283" s="108"/>
      <c r="AQ283" s="108"/>
      <c r="AR283" s="108"/>
      <c r="AS283" s="108"/>
      <c r="AT283" s="108"/>
      <c r="AU283" s="108"/>
      <c r="AV283" s="108"/>
      <c r="AW283" s="108"/>
      <c r="AX283" s="108"/>
      <c r="AY283" s="108"/>
      <c r="AZ283" s="108"/>
    </row>
    <row r="284" spans="1:52" ht="14.2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  <c r="AI284" s="108"/>
      <c r="AJ284" s="108"/>
      <c r="AK284" s="108"/>
      <c r="AL284" s="108"/>
      <c r="AM284" s="108"/>
      <c r="AN284" s="108"/>
      <c r="AO284" s="108"/>
      <c r="AP284" s="108"/>
      <c r="AQ284" s="108"/>
      <c r="AR284" s="108"/>
      <c r="AS284" s="108"/>
      <c r="AT284" s="108"/>
      <c r="AU284" s="108"/>
      <c r="AV284" s="108"/>
      <c r="AW284" s="108"/>
      <c r="AX284" s="108"/>
      <c r="AY284" s="108"/>
      <c r="AZ284" s="108"/>
    </row>
    <row r="285" spans="1:52" ht="14.2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  <c r="AE285" s="108"/>
      <c r="AF285" s="108"/>
      <c r="AG285" s="108"/>
      <c r="AH285" s="108"/>
      <c r="AI285" s="108"/>
      <c r="AJ285" s="108"/>
      <c r="AK285" s="108"/>
      <c r="AL285" s="108"/>
      <c r="AM285" s="108"/>
      <c r="AN285" s="108"/>
      <c r="AO285" s="108"/>
      <c r="AP285" s="108"/>
      <c r="AQ285" s="108"/>
      <c r="AR285" s="108"/>
      <c r="AS285" s="108"/>
      <c r="AT285" s="108"/>
      <c r="AU285" s="108"/>
      <c r="AV285" s="108"/>
      <c r="AW285" s="108"/>
      <c r="AX285" s="108"/>
      <c r="AY285" s="108"/>
      <c r="AZ285" s="108"/>
    </row>
    <row r="286" spans="1:52" ht="14.2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  <c r="AE286" s="108"/>
      <c r="AF286" s="108"/>
      <c r="AG286" s="108"/>
      <c r="AH286" s="108"/>
      <c r="AI286" s="108"/>
      <c r="AJ286" s="108"/>
      <c r="AK286" s="108"/>
      <c r="AL286" s="108"/>
      <c r="AM286" s="108"/>
      <c r="AN286" s="108"/>
      <c r="AO286" s="108"/>
      <c r="AP286" s="108"/>
      <c r="AQ286" s="108"/>
      <c r="AR286" s="108"/>
      <c r="AS286" s="108"/>
      <c r="AT286" s="108"/>
      <c r="AU286" s="108"/>
      <c r="AV286" s="108"/>
      <c r="AW286" s="108"/>
      <c r="AX286" s="108"/>
      <c r="AY286" s="108"/>
      <c r="AZ286" s="108"/>
    </row>
    <row r="287" spans="1:52" ht="14.2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  <c r="AE287" s="108"/>
      <c r="AF287" s="108"/>
      <c r="AG287" s="108"/>
      <c r="AH287" s="108"/>
      <c r="AI287" s="108"/>
      <c r="AJ287" s="108"/>
      <c r="AK287" s="108"/>
      <c r="AL287" s="108"/>
      <c r="AM287" s="108"/>
      <c r="AN287" s="108"/>
      <c r="AO287" s="108"/>
      <c r="AP287" s="108"/>
      <c r="AQ287" s="108"/>
      <c r="AR287" s="108"/>
      <c r="AS287" s="108"/>
      <c r="AT287" s="108"/>
      <c r="AU287" s="108"/>
      <c r="AV287" s="108"/>
      <c r="AW287" s="108"/>
      <c r="AX287" s="108"/>
      <c r="AY287" s="108"/>
      <c r="AZ287" s="108"/>
    </row>
    <row r="288" spans="1:52" ht="14.2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  <c r="AF288" s="108"/>
      <c r="AG288" s="108"/>
      <c r="AH288" s="108"/>
      <c r="AI288" s="108"/>
      <c r="AJ288" s="108"/>
      <c r="AK288" s="108"/>
      <c r="AL288" s="108"/>
      <c r="AM288" s="108"/>
      <c r="AN288" s="108"/>
      <c r="AO288" s="108"/>
      <c r="AP288" s="108"/>
      <c r="AQ288" s="108"/>
      <c r="AR288" s="108"/>
      <c r="AS288" s="108"/>
      <c r="AT288" s="108"/>
      <c r="AU288" s="108"/>
      <c r="AV288" s="108"/>
      <c r="AW288" s="108"/>
      <c r="AX288" s="108"/>
      <c r="AY288" s="108"/>
      <c r="AZ288" s="108"/>
    </row>
    <row r="289" spans="1:52" ht="14.2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/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</row>
    <row r="290" spans="1:52" ht="14.2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  <c r="AF290" s="108"/>
      <c r="AG290" s="108"/>
      <c r="AH290" s="108"/>
      <c r="AI290" s="108"/>
      <c r="AJ290" s="108"/>
      <c r="AK290" s="108"/>
      <c r="AL290" s="108"/>
      <c r="AM290" s="108"/>
      <c r="AN290" s="108"/>
      <c r="AO290" s="108"/>
      <c r="AP290" s="108"/>
      <c r="AQ290" s="108"/>
      <c r="AR290" s="108"/>
      <c r="AS290" s="108"/>
      <c r="AT290" s="108"/>
      <c r="AU290" s="108"/>
      <c r="AV290" s="108"/>
      <c r="AW290" s="108"/>
      <c r="AX290" s="108"/>
      <c r="AY290" s="108"/>
      <c r="AZ290" s="108"/>
    </row>
    <row r="291" spans="1:52" ht="14.2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  <c r="AD291" s="108"/>
      <c r="AE291" s="108"/>
      <c r="AF291" s="108"/>
      <c r="AG291" s="108"/>
      <c r="AH291" s="108"/>
      <c r="AI291" s="108"/>
      <c r="AJ291" s="108"/>
      <c r="AK291" s="108"/>
      <c r="AL291" s="108"/>
      <c r="AM291" s="108"/>
      <c r="AN291" s="108"/>
      <c r="AO291" s="108"/>
      <c r="AP291" s="108"/>
      <c r="AQ291" s="108"/>
      <c r="AR291" s="108"/>
      <c r="AS291" s="108"/>
      <c r="AT291" s="108"/>
      <c r="AU291" s="108"/>
      <c r="AV291" s="108"/>
      <c r="AW291" s="108"/>
      <c r="AX291" s="108"/>
      <c r="AY291" s="108"/>
      <c r="AZ291" s="108"/>
    </row>
    <row r="292" spans="1:52" ht="14.2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/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</row>
    <row r="293" spans="1:52" ht="14.2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  <c r="AD293" s="108"/>
      <c r="AE293" s="108"/>
      <c r="AF293" s="108"/>
      <c r="AG293" s="108"/>
      <c r="AH293" s="108"/>
      <c r="AI293" s="108"/>
      <c r="AJ293" s="108"/>
      <c r="AK293" s="108"/>
      <c r="AL293" s="108"/>
      <c r="AM293" s="108"/>
      <c r="AN293" s="108"/>
      <c r="AO293" s="108"/>
      <c r="AP293" s="108"/>
      <c r="AQ293" s="108"/>
      <c r="AR293" s="108"/>
      <c r="AS293" s="108"/>
      <c r="AT293" s="108"/>
      <c r="AU293" s="108"/>
      <c r="AV293" s="108"/>
      <c r="AW293" s="108"/>
      <c r="AX293" s="108"/>
      <c r="AY293" s="108"/>
      <c r="AZ293" s="108"/>
    </row>
    <row r="294" spans="1:52" ht="14.2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  <c r="AD294" s="108"/>
      <c r="AE294" s="108"/>
      <c r="AF294" s="108"/>
      <c r="AG294" s="108"/>
      <c r="AH294" s="108"/>
      <c r="AI294" s="108"/>
      <c r="AJ294" s="108"/>
      <c r="AK294" s="108"/>
      <c r="AL294" s="108"/>
      <c r="AM294" s="108"/>
      <c r="AN294" s="108"/>
      <c r="AO294" s="108"/>
      <c r="AP294" s="108"/>
      <c r="AQ294" s="108"/>
      <c r="AR294" s="108"/>
      <c r="AS294" s="108"/>
      <c r="AT294" s="108"/>
      <c r="AU294" s="108"/>
      <c r="AV294" s="108"/>
      <c r="AW294" s="108"/>
      <c r="AX294" s="108"/>
      <c r="AY294" s="108"/>
      <c r="AZ294" s="108"/>
    </row>
    <row r="295" spans="1:52" ht="14.2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  <c r="AE295" s="108"/>
      <c r="AF295" s="108"/>
      <c r="AG295" s="108"/>
      <c r="AH295" s="108"/>
      <c r="AI295" s="108"/>
      <c r="AJ295" s="108"/>
      <c r="AK295" s="108"/>
      <c r="AL295" s="108"/>
      <c r="AM295" s="108"/>
      <c r="AN295" s="108"/>
      <c r="AO295" s="108"/>
      <c r="AP295" s="108"/>
      <c r="AQ295" s="108"/>
      <c r="AR295" s="108"/>
      <c r="AS295" s="108"/>
      <c r="AT295" s="108"/>
      <c r="AU295" s="108"/>
      <c r="AV295" s="108"/>
      <c r="AW295" s="108"/>
      <c r="AX295" s="108"/>
      <c r="AY295" s="108"/>
      <c r="AZ295" s="108"/>
    </row>
    <row r="296" spans="1:52" ht="14.2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  <c r="AE296" s="108"/>
      <c r="AF296" s="108"/>
      <c r="AG296" s="108"/>
      <c r="AH296" s="108"/>
      <c r="AI296" s="108"/>
      <c r="AJ296" s="108"/>
      <c r="AK296" s="108"/>
      <c r="AL296" s="108"/>
      <c r="AM296" s="108"/>
      <c r="AN296" s="108"/>
      <c r="AO296" s="108"/>
      <c r="AP296" s="108"/>
      <c r="AQ296" s="108"/>
      <c r="AR296" s="108"/>
      <c r="AS296" s="108"/>
      <c r="AT296" s="108"/>
      <c r="AU296" s="108"/>
      <c r="AV296" s="108"/>
      <c r="AW296" s="108"/>
      <c r="AX296" s="108"/>
      <c r="AY296" s="108"/>
      <c r="AZ296" s="108"/>
    </row>
    <row r="297" spans="1:52" ht="14.2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  <c r="AE297" s="108"/>
      <c r="AF297" s="108"/>
      <c r="AG297" s="108"/>
      <c r="AH297" s="108"/>
      <c r="AI297" s="108"/>
      <c r="AJ297" s="108"/>
      <c r="AK297" s="108"/>
      <c r="AL297" s="108"/>
      <c r="AM297" s="108"/>
      <c r="AN297" s="108"/>
      <c r="AO297" s="108"/>
      <c r="AP297" s="108"/>
      <c r="AQ297" s="108"/>
      <c r="AR297" s="108"/>
      <c r="AS297" s="108"/>
      <c r="AT297" s="108"/>
      <c r="AU297" s="108"/>
      <c r="AV297" s="108"/>
      <c r="AW297" s="108"/>
      <c r="AX297" s="108"/>
      <c r="AY297" s="108"/>
      <c r="AZ297" s="108"/>
    </row>
    <row r="298" spans="1:52" ht="14.2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  <c r="AE298" s="108"/>
      <c r="AF298" s="108"/>
      <c r="AG298" s="108"/>
      <c r="AH298" s="108"/>
      <c r="AI298" s="108"/>
      <c r="AJ298" s="108"/>
      <c r="AK298" s="108"/>
      <c r="AL298" s="108"/>
      <c r="AM298" s="108"/>
      <c r="AN298" s="108"/>
      <c r="AO298" s="108"/>
      <c r="AP298" s="108"/>
      <c r="AQ298" s="108"/>
      <c r="AR298" s="108"/>
      <c r="AS298" s="108"/>
      <c r="AT298" s="108"/>
      <c r="AU298" s="108"/>
      <c r="AV298" s="108"/>
      <c r="AW298" s="108"/>
      <c r="AX298" s="108"/>
      <c r="AY298" s="108"/>
      <c r="AZ298" s="108"/>
    </row>
    <row r="299" spans="1:52" ht="14.2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  <c r="AE299" s="108"/>
      <c r="AF299" s="108"/>
      <c r="AG299" s="108"/>
      <c r="AH299" s="108"/>
      <c r="AI299" s="108"/>
      <c r="AJ299" s="108"/>
      <c r="AK299" s="108"/>
      <c r="AL299" s="108"/>
      <c r="AM299" s="108"/>
      <c r="AN299" s="108"/>
      <c r="AO299" s="108"/>
      <c r="AP299" s="108"/>
      <c r="AQ299" s="108"/>
      <c r="AR299" s="108"/>
      <c r="AS299" s="108"/>
      <c r="AT299" s="108"/>
      <c r="AU299" s="108"/>
      <c r="AV299" s="108"/>
      <c r="AW299" s="108"/>
      <c r="AX299" s="108"/>
      <c r="AY299" s="108"/>
      <c r="AZ299" s="108"/>
    </row>
    <row r="300" spans="1:52" ht="14.2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  <c r="AE300" s="108"/>
      <c r="AF300" s="108"/>
      <c r="AG300" s="108"/>
      <c r="AH300" s="108"/>
      <c r="AI300" s="108"/>
      <c r="AJ300" s="108"/>
      <c r="AK300" s="108"/>
      <c r="AL300" s="108"/>
      <c r="AM300" s="108"/>
      <c r="AN300" s="108"/>
      <c r="AO300" s="108"/>
      <c r="AP300" s="108"/>
      <c r="AQ300" s="108"/>
      <c r="AR300" s="108"/>
      <c r="AS300" s="108"/>
      <c r="AT300" s="108"/>
      <c r="AU300" s="108"/>
      <c r="AV300" s="108"/>
      <c r="AW300" s="108"/>
      <c r="AX300" s="108"/>
      <c r="AY300" s="108"/>
      <c r="AZ300" s="108"/>
    </row>
    <row r="301" spans="1:52" ht="14.2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  <c r="AE301" s="108"/>
      <c r="AF301" s="108"/>
      <c r="AG301" s="108"/>
      <c r="AH301" s="108"/>
      <c r="AI301" s="108"/>
      <c r="AJ301" s="108"/>
      <c r="AK301" s="108"/>
      <c r="AL301" s="108"/>
      <c r="AM301" s="108"/>
      <c r="AN301" s="108"/>
      <c r="AO301" s="108"/>
      <c r="AP301" s="108"/>
      <c r="AQ301" s="108"/>
      <c r="AR301" s="108"/>
      <c r="AS301" s="108"/>
      <c r="AT301" s="108"/>
      <c r="AU301" s="108"/>
      <c r="AV301" s="108"/>
      <c r="AW301" s="108"/>
      <c r="AX301" s="108"/>
      <c r="AY301" s="108"/>
      <c r="AZ301" s="108"/>
    </row>
    <row r="302" spans="1:52" ht="14.2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  <c r="AF302" s="108"/>
      <c r="AG302" s="108"/>
      <c r="AH302" s="108"/>
      <c r="AI302" s="108"/>
      <c r="AJ302" s="108"/>
      <c r="AK302" s="108"/>
      <c r="AL302" s="108"/>
      <c r="AM302" s="108"/>
      <c r="AN302" s="108"/>
      <c r="AO302" s="108"/>
      <c r="AP302" s="108"/>
      <c r="AQ302" s="108"/>
      <c r="AR302" s="108"/>
      <c r="AS302" s="108"/>
      <c r="AT302" s="108"/>
      <c r="AU302" s="108"/>
      <c r="AV302" s="108"/>
      <c r="AW302" s="108"/>
      <c r="AX302" s="108"/>
      <c r="AY302" s="108"/>
      <c r="AZ302" s="108"/>
    </row>
    <row r="303" spans="1:52" ht="14.2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08"/>
      <c r="AG303" s="108"/>
      <c r="AH303" s="108"/>
      <c r="AI303" s="108"/>
      <c r="AJ303" s="108"/>
      <c r="AK303" s="108"/>
      <c r="AL303" s="108"/>
      <c r="AM303" s="108"/>
      <c r="AN303" s="108"/>
      <c r="AO303" s="108"/>
      <c r="AP303" s="108"/>
      <c r="AQ303" s="108"/>
      <c r="AR303" s="108"/>
      <c r="AS303" s="108"/>
      <c r="AT303" s="108"/>
      <c r="AU303" s="108"/>
      <c r="AV303" s="108"/>
      <c r="AW303" s="108"/>
      <c r="AX303" s="108"/>
      <c r="AY303" s="108"/>
      <c r="AZ303" s="108"/>
    </row>
    <row r="304" spans="1:52" ht="14.2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8"/>
      <c r="AH304" s="108"/>
      <c r="AI304" s="108"/>
      <c r="AJ304" s="108"/>
      <c r="AK304" s="108"/>
      <c r="AL304" s="108"/>
      <c r="AM304" s="108"/>
      <c r="AN304" s="108"/>
      <c r="AO304" s="108"/>
      <c r="AP304" s="108"/>
      <c r="AQ304" s="108"/>
      <c r="AR304" s="108"/>
      <c r="AS304" s="108"/>
      <c r="AT304" s="108"/>
      <c r="AU304" s="108"/>
      <c r="AV304" s="108"/>
      <c r="AW304" s="108"/>
      <c r="AX304" s="108"/>
      <c r="AY304" s="108"/>
      <c r="AZ304" s="108"/>
    </row>
    <row r="305" spans="1:52" ht="14.2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  <c r="AE305" s="108"/>
      <c r="AF305" s="108"/>
      <c r="AG305" s="108"/>
      <c r="AH305" s="108"/>
      <c r="AI305" s="108"/>
      <c r="AJ305" s="108"/>
      <c r="AK305" s="108"/>
      <c r="AL305" s="108"/>
      <c r="AM305" s="108"/>
      <c r="AN305" s="108"/>
      <c r="AO305" s="108"/>
      <c r="AP305" s="108"/>
      <c r="AQ305" s="108"/>
      <c r="AR305" s="108"/>
      <c r="AS305" s="108"/>
      <c r="AT305" s="108"/>
      <c r="AU305" s="108"/>
      <c r="AV305" s="108"/>
      <c r="AW305" s="108"/>
      <c r="AX305" s="108"/>
      <c r="AY305" s="108"/>
      <c r="AZ305" s="108"/>
    </row>
    <row r="306" spans="1:52" ht="14.2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108"/>
      <c r="AH306" s="108"/>
      <c r="AI306" s="108"/>
      <c r="AJ306" s="108"/>
      <c r="AK306" s="108"/>
      <c r="AL306" s="108"/>
      <c r="AM306" s="108"/>
      <c r="AN306" s="108"/>
      <c r="AO306" s="108"/>
      <c r="AP306" s="108"/>
      <c r="AQ306" s="108"/>
      <c r="AR306" s="108"/>
      <c r="AS306" s="108"/>
      <c r="AT306" s="108"/>
      <c r="AU306" s="108"/>
      <c r="AV306" s="108"/>
      <c r="AW306" s="108"/>
      <c r="AX306" s="108"/>
      <c r="AY306" s="108"/>
      <c r="AZ306" s="108"/>
    </row>
    <row r="307" spans="1:52" ht="14.2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  <c r="AE307" s="108"/>
      <c r="AF307" s="108"/>
      <c r="AG307" s="108"/>
      <c r="AH307" s="108"/>
      <c r="AI307" s="108"/>
      <c r="AJ307" s="108"/>
      <c r="AK307" s="108"/>
      <c r="AL307" s="108"/>
      <c r="AM307" s="108"/>
      <c r="AN307" s="108"/>
      <c r="AO307" s="108"/>
      <c r="AP307" s="108"/>
      <c r="AQ307" s="108"/>
      <c r="AR307" s="108"/>
      <c r="AS307" s="108"/>
      <c r="AT307" s="108"/>
      <c r="AU307" s="108"/>
      <c r="AV307" s="108"/>
      <c r="AW307" s="108"/>
      <c r="AX307" s="108"/>
      <c r="AY307" s="108"/>
      <c r="AZ307" s="108"/>
    </row>
    <row r="308" spans="1:52" ht="14.2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  <c r="AE308" s="108"/>
      <c r="AF308" s="108"/>
      <c r="AG308" s="108"/>
      <c r="AH308" s="108"/>
      <c r="AI308" s="108"/>
      <c r="AJ308" s="108"/>
      <c r="AK308" s="108"/>
      <c r="AL308" s="108"/>
      <c r="AM308" s="108"/>
      <c r="AN308" s="108"/>
      <c r="AO308" s="108"/>
      <c r="AP308" s="108"/>
      <c r="AQ308" s="108"/>
      <c r="AR308" s="108"/>
      <c r="AS308" s="108"/>
      <c r="AT308" s="108"/>
      <c r="AU308" s="108"/>
      <c r="AV308" s="108"/>
      <c r="AW308" s="108"/>
      <c r="AX308" s="108"/>
      <c r="AY308" s="108"/>
      <c r="AZ308" s="108"/>
    </row>
    <row r="309" spans="1:52" ht="14.2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  <c r="AE309" s="108"/>
      <c r="AF309" s="108"/>
      <c r="AG309" s="108"/>
      <c r="AH309" s="108"/>
      <c r="AI309" s="108"/>
      <c r="AJ309" s="108"/>
      <c r="AK309" s="108"/>
      <c r="AL309" s="108"/>
      <c r="AM309" s="108"/>
      <c r="AN309" s="108"/>
      <c r="AO309" s="108"/>
      <c r="AP309" s="108"/>
      <c r="AQ309" s="108"/>
      <c r="AR309" s="108"/>
      <c r="AS309" s="108"/>
      <c r="AT309" s="108"/>
      <c r="AU309" s="108"/>
      <c r="AV309" s="108"/>
      <c r="AW309" s="108"/>
      <c r="AX309" s="108"/>
      <c r="AY309" s="108"/>
      <c r="AZ309" s="108"/>
    </row>
    <row r="310" spans="1:52" ht="14.2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  <c r="AE310" s="108"/>
      <c r="AF310" s="108"/>
      <c r="AG310" s="108"/>
      <c r="AH310" s="108"/>
      <c r="AI310" s="108"/>
      <c r="AJ310" s="108"/>
      <c r="AK310" s="108"/>
      <c r="AL310" s="108"/>
      <c r="AM310" s="108"/>
      <c r="AN310" s="108"/>
      <c r="AO310" s="108"/>
      <c r="AP310" s="108"/>
      <c r="AQ310" s="108"/>
      <c r="AR310" s="108"/>
      <c r="AS310" s="108"/>
      <c r="AT310" s="108"/>
      <c r="AU310" s="108"/>
      <c r="AV310" s="108"/>
      <c r="AW310" s="108"/>
      <c r="AX310" s="108"/>
      <c r="AY310" s="108"/>
      <c r="AZ310" s="108"/>
    </row>
    <row r="311" spans="1:52" ht="14.2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  <c r="AE311" s="108"/>
      <c r="AF311" s="108"/>
      <c r="AG311" s="108"/>
      <c r="AH311" s="108"/>
      <c r="AI311" s="108"/>
      <c r="AJ311" s="108"/>
      <c r="AK311" s="108"/>
      <c r="AL311" s="108"/>
      <c r="AM311" s="108"/>
      <c r="AN311" s="108"/>
      <c r="AO311" s="108"/>
      <c r="AP311" s="108"/>
      <c r="AQ311" s="108"/>
      <c r="AR311" s="108"/>
      <c r="AS311" s="108"/>
      <c r="AT311" s="108"/>
      <c r="AU311" s="108"/>
      <c r="AV311" s="108"/>
      <c r="AW311" s="108"/>
      <c r="AX311" s="108"/>
      <c r="AY311" s="108"/>
      <c r="AZ311" s="108"/>
    </row>
    <row r="312" spans="1:52" ht="14.2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  <c r="AE312" s="108"/>
      <c r="AF312" s="108"/>
      <c r="AG312" s="108"/>
      <c r="AH312" s="108"/>
      <c r="AI312" s="108"/>
      <c r="AJ312" s="108"/>
      <c r="AK312" s="108"/>
      <c r="AL312" s="108"/>
      <c r="AM312" s="108"/>
      <c r="AN312" s="108"/>
      <c r="AO312" s="108"/>
      <c r="AP312" s="108"/>
      <c r="AQ312" s="108"/>
      <c r="AR312" s="108"/>
      <c r="AS312" s="108"/>
      <c r="AT312" s="108"/>
      <c r="AU312" s="108"/>
      <c r="AV312" s="108"/>
      <c r="AW312" s="108"/>
      <c r="AX312" s="108"/>
      <c r="AY312" s="108"/>
      <c r="AZ312" s="108"/>
    </row>
    <row r="313" spans="1:52" ht="14.2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  <c r="AE313" s="108"/>
      <c r="AF313" s="108"/>
      <c r="AG313" s="108"/>
      <c r="AH313" s="108"/>
      <c r="AI313" s="108"/>
      <c r="AJ313" s="108"/>
      <c r="AK313" s="108"/>
      <c r="AL313" s="108"/>
      <c r="AM313" s="108"/>
      <c r="AN313" s="108"/>
      <c r="AO313" s="108"/>
      <c r="AP313" s="108"/>
      <c r="AQ313" s="108"/>
      <c r="AR313" s="108"/>
      <c r="AS313" s="108"/>
      <c r="AT313" s="108"/>
      <c r="AU313" s="108"/>
      <c r="AV313" s="108"/>
      <c r="AW313" s="108"/>
      <c r="AX313" s="108"/>
      <c r="AY313" s="108"/>
      <c r="AZ313" s="108"/>
    </row>
    <row r="314" spans="1:52" ht="14.2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  <c r="AE314" s="108"/>
      <c r="AF314" s="108"/>
      <c r="AG314" s="108"/>
      <c r="AH314" s="108"/>
      <c r="AI314" s="108"/>
      <c r="AJ314" s="108"/>
      <c r="AK314" s="108"/>
      <c r="AL314" s="108"/>
      <c r="AM314" s="108"/>
      <c r="AN314" s="108"/>
      <c r="AO314" s="108"/>
      <c r="AP314" s="108"/>
      <c r="AQ314" s="108"/>
      <c r="AR314" s="108"/>
      <c r="AS314" s="108"/>
      <c r="AT314" s="108"/>
      <c r="AU314" s="108"/>
      <c r="AV314" s="108"/>
      <c r="AW314" s="108"/>
      <c r="AX314" s="108"/>
      <c r="AY314" s="108"/>
      <c r="AZ314" s="108"/>
    </row>
    <row r="315" spans="1:52" ht="14.2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  <c r="AE315" s="108"/>
      <c r="AF315" s="108"/>
      <c r="AG315" s="108"/>
      <c r="AH315" s="108"/>
      <c r="AI315" s="108"/>
      <c r="AJ315" s="108"/>
      <c r="AK315" s="108"/>
      <c r="AL315" s="108"/>
      <c r="AM315" s="108"/>
      <c r="AN315" s="108"/>
      <c r="AO315" s="108"/>
      <c r="AP315" s="108"/>
      <c r="AQ315" s="108"/>
      <c r="AR315" s="108"/>
      <c r="AS315" s="108"/>
      <c r="AT315" s="108"/>
      <c r="AU315" s="108"/>
      <c r="AV315" s="108"/>
      <c r="AW315" s="108"/>
      <c r="AX315" s="108"/>
      <c r="AY315" s="108"/>
      <c r="AZ315" s="108"/>
    </row>
    <row r="316" spans="1:52" ht="14.2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  <c r="AE316" s="108"/>
      <c r="AF316" s="108"/>
      <c r="AG316" s="108"/>
      <c r="AH316" s="108"/>
      <c r="AI316" s="108"/>
      <c r="AJ316" s="108"/>
      <c r="AK316" s="108"/>
      <c r="AL316" s="108"/>
      <c r="AM316" s="108"/>
      <c r="AN316" s="108"/>
      <c r="AO316" s="108"/>
      <c r="AP316" s="108"/>
      <c r="AQ316" s="108"/>
      <c r="AR316" s="108"/>
      <c r="AS316" s="108"/>
      <c r="AT316" s="108"/>
      <c r="AU316" s="108"/>
      <c r="AV316" s="108"/>
      <c r="AW316" s="108"/>
      <c r="AX316" s="108"/>
      <c r="AY316" s="108"/>
      <c r="AZ316" s="108"/>
    </row>
    <row r="317" spans="1:52" ht="14.2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  <c r="AE317" s="108"/>
      <c r="AF317" s="108"/>
      <c r="AG317" s="108"/>
      <c r="AH317" s="108"/>
      <c r="AI317" s="108"/>
      <c r="AJ317" s="108"/>
      <c r="AK317" s="108"/>
      <c r="AL317" s="108"/>
      <c r="AM317" s="108"/>
      <c r="AN317" s="108"/>
      <c r="AO317" s="108"/>
      <c r="AP317" s="108"/>
      <c r="AQ317" s="108"/>
      <c r="AR317" s="108"/>
      <c r="AS317" s="108"/>
      <c r="AT317" s="108"/>
      <c r="AU317" s="108"/>
      <c r="AV317" s="108"/>
      <c r="AW317" s="108"/>
      <c r="AX317" s="108"/>
      <c r="AY317" s="108"/>
      <c r="AZ317" s="108"/>
    </row>
    <row r="318" spans="1:52" ht="14.2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  <c r="AE318" s="108"/>
      <c r="AF318" s="108"/>
      <c r="AG318" s="108"/>
      <c r="AH318" s="108"/>
      <c r="AI318" s="108"/>
      <c r="AJ318" s="108"/>
      <c r="AK318" s="108"/>
      <c r="AL318" s="108"/>
      <c r="AM318" s="108"/>
      <c r="AN318" s="108"/>
      <c r="AO318" s="108"/>
      <c r="AP318" s="108"/>
      <c r="AQ318" s="108"/>
      <c r="AR318" s="108"/>
      <c r="AS318" s="108"/>
      <c r="AT318" s="108"/>
      <c r="AU318" s="108"/>
      <c r="AV318" s="108"/>
      <c r="AW318" s="108"/>
      <c r="AX318" s="108"/>
      <c r="AY318" s="108"/>
      <c r="AZ318" s="108"/>
    </row>
    <row r="319" spans="1:52" ht="14.2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  <c r="AE319" s="108"/>
      <c r="AF319" s="108"/>
      <c r="AG319" s="108"/>
      <c r="AH319" s="108"/>
      <c r="AI319" s="108"/>
      <c r="AJ319" s="108"/>
      <c r="AK319" s="108"/>
      <c r="AL319" s="108"/>
      <c r="AM319" s="108"/>
      <c r="AN319" s="108"/>
      <c r="AO319" s="108"/>
      <c r="AP319" s="108"/>
      <c r="AQ319" s="108"/>
      <c r="AR319" s="108"/>
      <c r="AS319" s="108"/>
      <c r="AT319" s="108"/>
      <c r="AU319" s="108"/>
      <c r="AV319" s="108"/>
      <c r="AW319" s="108"/>
      <c r="AX319" s="108"/>
      <c r="AY319" s="108"/>
      <c r="AZ319" s="108"/>
    </row>
    <row r="320" spans="1:52" ht="14.2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  <c r="AE320" s="108"/>
      <c r="AF320" s="108"/>
      <c r="AG320" s="108"/>
      <c r="AH320" s="108"/>
      <c r="AI320" s="108"/>
      <c r="AJ320" s="108"/>
      <c r="AK320" s="108"/>
      <c r="AL320" s="108"/>
      <c r="AM320" s="108"/>
      <c r="AN320" s="108"/>
      <c r="AO320" s="108"/>
      <c r="AP320" s="108"/>
      <c r="AQ320" s="108"/>
      <c r="AR320" s="108"/>
      <c r="AS320" s="108"/>
      <c r="AT320" s="108"/>
      <c r="AU320" s="108"/>
      <c r="AV320" s="108"/>
      <c r="AW320" s="108"/>
      <c r="AX320" s="108"/>
      <c r="AY320" s="108"/>
      <c r="AZ320" s="108"/>
    </row>
    <row r="321" spans="1:52" ht="14.2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  <c r="AE321" s="108"/>
      <c r="AF321" s="108"/>
      <c r="AG321" s="108"/>
      <c r="AH321" s="108"/>
      <c r="AI321" s="108"/>
      <c r="AJ321" s="108"/>
      <c r="AK321" s="108"/>
      <c r="AL321" s="108"/>
      <c r="AM321" s="108"/>
      <c r="AN321" s="108"/>
      <c r="AO321" s="108"/>
      <c r="AP321" s="108"/>
      <c r="AQ321" s="108"/>
      <c r="AR321" s="108"/>
      <c r="AS321" s="108"/>
      <c r="AT321" s="108"/>
      <c r="AU321" s="108"/>
      <c r="AV321" s="108"/>
      <c r="AW321" s="108"/>
      <c r="AX321" s="108"/>
      <c r="AY321" s="108"/>
      <c r="AZ321" s="108"/>
    </row>
    <row r="322" spans="1:52" ht="14.2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  <c r="AE322" s="108"/>
      <c r="AF322" s="108"/>
      <c r="AG322" s="108"/>
      <c r="AH322" s="108"/>
      <c r="AI322" s="108"/>
      <c r="AJ322" s="108"/>
      <c r="AK322" s="108"/>
      <c r="AL322" s="108"/>
      <c r="AM322" s="108"/>
      <c r="AN322" s="108"/>
      <c r="AO322" s="108"/>
      <c r="AP322" s="108"/>
      <c r="AQ322" s="108"/>
      <c r="AR322" s="108"/>
      <c r="AS322" s="108"/>
      <c r="AT322" s="108"/>
      <c r="AU322" s="108"/>
      <c r="AV322" s="108"/>
      <c r="AW322" s="108"/>
      <c r="AX322" s="108"/>
      <c r="AY322" s="108"/>
      <c r="AZ322" s="108"/>
    </row>
    <row r="323" spans="1:52" ht="14.2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108"/>
      <c r="AH323" s="108"/>
      <c r="AI323" s="108"/>
      <c r="AJ323" s="108"/>
      <c r="AK323" s="108"/>
      <c r="AL323" s="108"/>
      <c r="AM323" s="108"/>
      <c r="AN323" s="108"/>
      <c r="AO323" s="108"/>
      <c r="AP323" s="108"/>
      <c r="AQ323" s="108"/>
      <c r="AR323" s="108"/>
      <c r="AS323" s="108"/>
      <c r="AT323" s="108"/>
      <c r="AU323" s="108"/>
      <c r="AV323" s="108"/>
      <c r="AW323" s="108"/>
      <c r="AX323" s="108"/>
      <c r="AY323" s="108"/>
      <c r="AZ323" s="108"/>
    </row>
    <row r="324" spans="1:52" ht="14.2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  <c r="AE324" s="108"/>
      <c r="AF324" s="108"/>
      <c r="AG324" s="108"/>
      <c r="AH324" s="108"/>
      <c r="AI324" s="108"/>
      <c r="AJ324" s="108"/>
      <c r="AK324" s="108"/>
      <c r="AL324" s="108"/>
      <c r="AM324" s="108"/>
      <c r="AN324" s="108"/>
      <c r="AO324" s="108"/>
      <c r="AP324" s="108"/>
      <c r="AQ324" s="108"/>
      <c r="AR324" s="108"/>
      <c r="AS324" s="108"/>
      <c r="AT324" s="108"/>
      <c r="AU324" s="108"/>
      <c r="AV324" s="108"/>
      <c r="AW324" s="108"/>
      <c r="AX324" s="108"/>
      <c r="AY324" s="108"/>
      <c r="AZ324" s="108"/>
    </row>
    <row r="325" spans="1:52" ht="14.2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  <c r="AE325" s="108"/>
      <c r="AF325" s="108"/>
      <c r="AG325" s="108"/>
      <c r="AH325" s="108"/>
      <c r="AI325" s="108"/>
      <c r="AJ325" s="108"/>
      <c r="AK325" s="108"/>
      <c r="AL325" s="108"/>
      <c r="AM325" s="108"/>
      <c r="AN325" s="108"/>
      <c r="AO325" s="108"/>
      <c r="AP325" s="108"/>
      <c r="AQ325" s="108"/>
      <c r="AR325" s="108"/>
      <c r="AS325" s="108"/>
      <c r="AT325" s="108"/>
      <c r="AU325" s="108"/>
      <c r="AV325" s="108"/>
      <c r="AW325" s="108"/>
      <c r="AX325" s="108"/>
      <c r="AY325" s="108"/>
      <c r="AZ325" s="108"/>
    </row>
    <row r="326" spans="1:52" ht="14.2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  <c r="AE326" s="108"/>
      <c r="AF326" s="108"/>
      <c r="AG326" s="108"/>
      <c r="AH326" s="108"/>
      <c r="AI326" s="108"/>
      <c r="AJ326" s="108"/>
      <c r="AK326" s="108"/>
      <c r="AL326" s="108"/>
      <c r="AM326" s="108"/>
      <c r="AN326" s="108"/>
      <c r="AO326" s="108"/>
      <c r="AP326" s="108"/>
      <c r="AQ326" s="108"/>
      <c r="AR326" s="108"/>
      <c r="AS326" s="108"/>
      <c r="AT326" s="108"/>
      <c r="AU326" s="108"/>
      <c r="AV326" s="108"/>
      <c r="AW326" s="108"/>
      <c r="AX326" s="108"/>
      <c r="AY326" s="108"/>
      <c r="AZ326" s="108"/>
    </row>
    <row r="327" spans="1:52" ht="14.2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/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</row>
    <row r="328" spans="1:52" ht="14.2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  <c r="AE328" s="108"/>
      <c r="AF328" s="108"/>
      <c r="AG328" s="108"/>
      <c r="AH328" s="108"/>
      <c r="AI328" s="108"/>
      <c r="AJ328" s="108"/>
      <c r="AK328" s="108"/>
      <c r="AL328" s="108"/>
      <c r="AM328" s="108"/>
      <c r="AN328" s="108"/>
      <c r="AO328" s="108"/>
      <c r="AP328" s="108"/>
      <c r="AQ328" s="108"/>
      <c r="AR328" s="108"/>
      <c r="AS328" s="108"/>
      <c r="AT328" s="108"/>
      <c r="AU328" s="108"/>
      <c r="AV328" s="108"/>
      <c r="AW328" s="108"/>
      <c r="AX328" s="108"/>
      <c r="AY328" s="108"/>
      <c r="AZ328" s="108"/>
    </row>
    <row r="329" spans="1:52" ht="14.2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  <c r="AE329" s="108"/>
      <c r="AF329" s="108"/>
      <c r="AG329" s="108"/>
      <c r="AH329" s="108"/>
      <c r="AI329" s="108"/>
      <c r="AJ329" s="108"/>
      <c r="AK329" s="108"/>
      <c r="AL329" s="108"/>
      <c r="AM329" s="108"/>
      <c r="AN329" s="108"/>
      <c r="AO329" s="108"/>
      <c r="AP329" s="108"/>
      <c r="AQ329" s="108"/>
      <c r="AR329" s="108"/>
      <c r="AS329" s="108"/>
      <c r="AT329" s="108"/>
      <c r="AU329" s="108"/>
      <c r="AV329" s="108"/>
      <c r="AW329" s="108"/>
      <c r="AX329" s="108"/>
      <c r="AY329" s="108"/>
      <c r="AZ329" s="108"/>
    </row>
    <row r="330" spans="1:52" ht="14.2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/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</row>
    <row r="331" spans="1:52" ht="14.2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  <c r="AE331" s="108"/>
      <c r="AF331" s="108"/>
      <c r="AG331" s="108"/>
      <c r="AH331" s="108"/>
      <c r="AI331" s="108"/>
      <c r="AJ331" s="108"/>
      <c r="AK331" s="108"/>
      <c r="AL331" s="108"/>
      <c r="AM331" s="108"/>
      <c r="AN331" s="108"/>
      <c r="AO331" s="108"/>
      <c r="AP331" s="108"/>
      <c r="AQ331" s="108"/>
      <c r="AR331" s="108"/>
      <c r="AS331" s="108"/>
      <c r="AT331" s="108"/>
      <c r="AU331" s="108"/>
      <c r="AV331" s="108"/>
      <c r="AW331" s="108"/>
      <c r="AX331" s="108"/>
      <c r="AY331" s="108"/>
      <c r="AZ331" s="108"/>
    </row>
    <row r="332" spans="1:52" ht="14.2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  <c r="AE332" s="108"/>
      <c r="AF332" s="108"/>
      <c r="AG332" s="108"/>
      <c r="AH332" s="108"/>
      <c r="AI332" s="108"/>
      <c r="AJ332" s="108"/>
      <c r="AK332" s="108"/>
      <c r="AL332" s="108"/>
      <c r="AM332" s="108"/>
      <c r="AN332" s="108"/>
      <c r="AO332" s="108"/>
      <c r="AP332" s="108"/>
      <c r="AQ332" s="108"/>
      <c r="AR332" s="108"/>
      <c r="AS332" s="108"/>
      <c r="AT332" s="108"/>
      <c r="AU332" s="108"/>
      <c r="AV332" s="108"/>
      <c r="AW332" s="108"/>
      <c r="AX332" s="108"/>
      <c r="AY332" s="108"/>
      <c r="AZ332" s="108"/>
    </row>
    <row r="333" spans="1:52" ht="14.2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  <c r="AE333" s="108"/>
      <c r="AF333" s="108"/>
      <c r="AG333" s="108"/>
      <c r="AH333" s="108"/>
      <c r="AI333" s="108"/>
      <c r="AJ333" s="108"/>
      <c r="AK333" s="108"/>
      <c r="AL333" s="108"/>
      <c r="AM333" s="108"/>
      <c r="AN333" s="108"/>
      <c r="AO333" s="108"/>
      <c r="AP333" s="108"/>
      <c r="AQ333" s="108"/>
      <c r="AR333" s="108"/>
      <c r="AS333" s="108"/>
      <c r="AT333" s="108"/>
      <c r="AU333" s="108"/>
      <c r="AV333" s="108"/>
      <c r="AW333" s="108"/>
      <c r="AX333" s="108"/>
      <c r="AY333" s="108"/>
      <c r="AZ333" s="108"/>
    </row>
    <row r="334" spans="1:52" ht="14.2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  <c r="AE334" s="108"/>
      <c r="AF334" s="108"/>
      <c r="AG334" s="108"/>
      <c r="AH334" s="108"/>
      <c r="AI334" s="108"/>
      <c r="AJ334" s="108"/>
      <c r="AK334" s="108"/>
      <c r="AL334" s="108"/>
      <c r="AM334" s="108"/>
      <c r="AN334" s="108"/>
      <c r="AO334" s="108"/>
      <c r="AP334" s="108"/>
      <c r="AQ334" s="108"/>
      <c r="AR334" s="108"/>
      <c r="AS334" s="108"/>
      <c r="AT334" s="108"/>
      <c r="AU334" s="108"/>
      <c r="AV334" s="108"/>
      <c r="AW334" s="108"/>
      <c r="AX334" s="108"/>
      <c r="AY334" s="108"/>
      <c r="AZ334" s="108"/>
    </row>
    <row r="335" spans="1:52" ht="14.2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  <c r="AE335" s="108"/>
      <c r="AF335" s="108"/>
      <c r="AG335" s="108"/>
      <c r="AH335" s="108"/>
      <c r="AI335" s="108"/>
      <c r="AJ335" s="108"/>
      <c r="AK335" s="108"/>
      <c r="AL335" s="108"/>
      <c r="AM335" s="108"/>
      <c r="AN335" s="108"/>
      <c r="AO335" s="108"/>
      <c r="AP335" s="108"/>
      <c r="AQ335" s="108"/>
      <c r="AR335" s="108"/>
      <c r="AS335" s="108"/>
      <c r="AT335" s="108"/>
      <c r="AU335" s="108"/>
      <c r="AV335" s="108"/>
      <c r="AW335" s="108"/>
      <c r="AX335" s="108"/>
      <c r="AY335" s="108"/>
      <c r="AZ335" s="108"/>
    </row>
    <row r="336" spans="1:52" ht="14.2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  <c r="AE336" s="108"/>
      <c r="AF336" s="108"/>
      <c r="AG336" s="108"/>
      <c r="AH336" s="108"/>
      <c r="AI336" s="108"/>
      <c r="AJ336" s="108"/>
      <c r="AK336" s="108"/>
      <c r="AL336" s="108"/>
      <c r="AM336" s="108"/>
      <c r="AN336" s="108"/>
      <c r="AO336" s="108"/>
      <c r="AP336" s="108"/>
      <c r="AQ336" s="108"/>
      <c r="AR336" s="108"/>
      <c r="AS336" s="108"/>
      <c r="AT336" s="108"/>
      <c r="AU336" s="108"/>
      <c r="AV336" s="108"/>
      <c r="AW336" s="108"/>
      <c r="AX336" s="108"/>
      <c r="AY336" s="108"/>
      <c r="AZ336" s="108"/>
    </row>
    <row r="337" spans="1:52" ht="14.2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  <c r="AE337" s="108"/>
      <c r="AF337" s="108"/>
      <c r="AG337" s="108"/>
      <c r="AH337" s="108"/>
      <c r="AI337" s="108"/>
      <c r="AJ337" s="108"/>
      <c r="AK337" s="108"/>
      <c r="AL337" s="108"/>
      <c r="AM337" s="108"/>
      <c r="AN337" s="108"/>
      <c r="AO337" s="108"/>
      <c r="AP337" s="108"/>
      <c r="AQ337" s="108"/>
      <c r="AR337" s="108"/>
      <c r="AS337" s="108"/>
      <c r="AT337" s="108"/>
      <c r="AU337" s="108"/>
      <c r="AV337" s="108"/>
      <c r="AW337" s="108"/>
      <c r="AX337" s="108"/>
      <c r="AY337" s="108"/>
      <c r="AZ337" s="108"/>
    </row>
    <row r="338" spans="1:52" ht="14.2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  <c r="AG338" s="108"/>
      <c r="AH338" s="108"/>
      <c r="AI338" s="108"/>
      <c r="AJ338" s="108"/>
      <c r="AK338" s="108"/>
      <c r="AL338" s="108"/>
      <c r="AM338" s="108"/>
      <c r="AN338" s="108"/>
      <c r="AO338" s="108"/>
      <c r="AP338" s="108"/>
      <c r="AQ338" s="108"/>
      <c r="AR338" s="108"/>
      <c r="AS338" s="108"/>
      <c r="AT338" s="108"/>
      <c r="AU338" s="108"/>
      <c r="AV338" s="108"/>
      <c r="AW338" s="108"/>
      <c r="AX338" s="108"/>
      <c r="AY338" s="108"/>
      <c r="AZ338" s="108"/>
    </row>
    <row r="339" spans="1:52" ht="14.2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  <c r="AE339" s="108"/>
      <c r="AF339" s="108"/>
      <c r="AG339" s="108"/>
      <c r="AH339" s="108"/>
      <c r="AI339" s="108"/>
      <c r="AJ339" s="108"/>
      <c r="AK339" s="108"/>
      <c r="AL339" s="108"/>
      <c r="AM339" s="108"/>
      <c r="AN339" s="108"/>
      <c r="AO339" s="108"/>
      <c r="AP339" s="108"/>
      <c r="AQ339" s="108"/>
      <c r="AR339" s="108"/>
      <c r="AS339" s="108"/>
      <c r="AT339" s="108"/>
      <c r="AU339" s="108"/>
      <c r="AV339" s="108"/>
      <c r="AW339" s="108"/>
      <c r="AX339" s="108"/>
      <c r="AY339" s="108"/>
      <c r="AZ339" s="108"/>
    </row>
    <row r="340" spans="1:52" ht="14.2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  <c r="AE340" s="108"/>
      <c r="AF340" s="108"/>
      <c r="AG340" s="108"/>
      <c r="AH340" s="108"/>
      <c r="AI340" s="108"/>
      <c r="AJ340" s="108"/>
      <c r="AK340" s="108"/>
      <c r="AL340" s="108"/>
      <c r="AM340" s="108"/>
      <c r="AN340" s="108"/>
      <c r="AO340" s="108"/>
      <c r="AP340" s="108"/>
      <c r="AQ340" s="108"/>
      <c r="AR340" s="108"/>
      <c r="AS340" s="108"/>
      <c r="AT340" s="108"/>
      <c r="AU340" s="108"/>
      <c r="AV340" s="108"/>
      <c r="AW340" s="108"/>
      <c r="AX340" s="108"/>
      <c r="AY340" s="108"/>
      <c r="AZ340" s="108"/>
    </row>
    <row r="341" spans="1:52" ht="14.2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  <c r="AE341" s="108"/>
      <c r="AF341" s="108"/>
      <c r="AG341" s="108"/>
      <c r="AH341" s="108"/>
      <c r="AI341" s="108"/>
      <c r="AJ341" s="108"/>
      <c r="AK341" s="108"/>
      <c r="AL341" s="108"/>
      <c r="AM341" s="108"/>
      <c r="AN341" s="108"/>
      <c r="AO341" s="108"/>
      <c r="AP341" s="108"/>
      <c r="AQ341" s="108"/>
      <c r="AR341" s="108"/>
      <c r="AS341" s="108"/>
      <c r="AT341" s="108"/>
      <c r="AU341" s="108"/>
      <c r="AV341" s="108"/>
      <c r="AW341" s="108"/>
      <c r="AX341" s="108"/>
      <c r="AY341" s="108"/>
      <c r="AZ341" s="108"/>
    </row>
    <row r="342" spans="1:52" ht="14.2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  <c r="AE342" s="108"/>
      <c r="AF342" s="108"/>
      <c r="AG342" s="108"/>
      <c r="AH342" s="108"/>
      <c r="AI342" s="108"/>
      <c r="AJ342" s="108"/>
      <c r="AK342" s="108"/>
      <c r="AL342" s="108"/>
      <c r="AM342" s="108"/>
      <c r="AN342" s="108"/>
      <c r="AO342" s="108"/>
      <c r="AP342" s="108"/>
      <c r="AQ342" s="108"/>
      <c r="AR342" s="108"/>
      <c r="AS342" s="108"/>
      <c r="AT342" s="108"/>
      <c r="AU342" s="108"/>
      <c r="AV342" s="108"/>
      <c r="AW342" s="108"/>
      <c r="AX342" s="108"/>
      <c r="AY342" s="108"/>
      <c r="AZ342" s="108"/>
    </row>
    <row r="343" spans="1:52" ht="14.2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  <c r="AE343" s="108"/>
      <c r="AF343" s="108"/>
      <c r="AG343" s="108"/>
      <c r="AH343" s="108"/>
      <c r="AI343" s="108"/>
      <c r="AJ343" s="108"/>
      <c r="AK343" s="108"/>
      <c r="AL343" s="108"/>
      <c r="AM343" s="108"/>
      <c r="AN343" s="108"/>
      <c r="AO343" s="108"/>
      <c r="AP343" s="108"/>
      <c r="AQ343" s="108"/>
      <c r="AR343" s="108"/>
      <c r="AS343" s="108"/>
      <c r="AT343" s="108"/>
      <c r="AU343" s="108"/>
      <c r="AV343" s="108"/>
      <c r="AW343" s="108"/>
      <c r="AX343" s="108"/>
      <c r="AY343" s="108"/>
      <c r="AZ343" s="108"/>
    </row>
    <row r="344" spans="1:52" ht="14.2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  <c r="AF344" s="108"/>
      <c r="AG344" s="108"/>
      <c r="AH344" s="108"/>
      <c r="AI344" s="108"/>
      <c r="AJ344" s="108"/>
      <c r="AK344" s="108"/>
      <c r="AL344" s="108"/>
      <c r="AM344" s="108"/>
      <c r="AN344" s="108"/>
      <c r="AO344" s="108"/>
      <c r="AP344" s="108"/>
      <c r="AQ344" s="108"/>
      <c r="AR344" s="108"/>
      <c r="AS344" s="108"/>
      <c r="AT344" s="108"/>
      <c r="AU344" s="108"/>
      <c r="AV344" s="108"/>
      <c r="AW344" s="108"/>
      <c r="AX344" s="108"/>
      <c r="AY344" s="108"/>
      <c r="AZ344" s="108"/>
    </row>
    <row r="345" spans="1:52" ht="14.2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  <c r="AE345" s="108"/>
      <c r="AF345" s="108"/>
      <c r="AG345" s="108"/>
      <c r="AH345" s="108"/>
      <c r="AI345" s="108"/>
      <c r="AJ345" s="108"/>
      <c r="AK345" s="108"/>
      <c r="AL345" s="108"/>
      <c r="AM345" s="108"/>
      <c r="AN345" s="108"/>
      <c r="AO345" s="108"/>
      <c r="AP345" s="108"/>
      <c r="AQ345" s="108"/>
      <c r="AR345" s="108"/>
      <c r="AS345" s="108"/>
      <c r="AT345" s="108"/>
      <c r="AU345" s="108"/>
      <c r="AV345" s="108"/>
      <c r="AW345" s="108"/>
      <c r="AX345" s="108"/>
      <c r="AY345" s="108"/>
      <c r="AZ345" s="108"/>
    </row>
    <row r="346" spans="1:52" ht="14.2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  <c r="AE346" s="108"/>
      <c r="AF346" s="108"/>
      <c r="AG346" s="108"/>
      <c r="AH346" s="108"/>
      <c r="AI346" s="108"/>
      <c r="AJ346" s="108"/>
      <c r="AK346" s="108"/>
      <c r="AL346" s="108"/>
      <c r="AM346" s="108"/>
      <c r="AN346" s="108"/>
      <c r="AO346" s="108"/>
      <c r="AP346" s="108"/>
      <c r="AQ346" s="108"/>
      <c r="AR346" s="108"/>
      <c r="AS346" s="108"/>
      <c r="AT346" s="108"/>
      <c r="AU346" s="108"/>
      <c r="AV346" s="108"/>
      <c r="AW346" s="108"/>
      <c r="AX346" s="108"/>
      <c r="AY346" s="108"/>
      <c r="AZ346" s="108"/>
    </row>
    <row r="347" spans="1:52" ht="14.2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  <c r="AE347" s="108"/>
      <c r="AF347" s="108"/>
      <c r="AG347" s="108"/>
      <c r="AH347" s="108"/>
      <c r="AI347" s="108"/>
      <c r="AJ347" s="108"/>
      <c r="AK347" s="108"/>
      <c r="AL347" s="108"/>
      <c r="AM347" s="108"/>
      <c r="AN347" s="108"/>
      <c r="AO347" s="108"/>
      <c r="AP347" s="108"/>
      <c r="AQ347" s="108"/>
      <c r="AR347" s="108"/>
      <c r="AS347" s="108"/>
      <c r="AT347" s="108"/>
      <c r="AU347" s="108"/>
      <c r="AV347" s="108"/>
      <c r="AW347" s="108"/>
      <c r="AX347" s="108"/>
      <c r="AY347" s="108"/>
      <c r="AZ347" s="108"/>
    </row>
    <row r="348" spans="1:52" ht="14.2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  <c r="AG348" s="108"/>
      <c r="AH348" s="108"/>
      <c r="AI348" s="108"/>
      <c r="AJ348" s="108"/>
      <c r="AK348" s="108"/>
      <c r="AL348" s="108"/>
      <c r="AM348" s="108"/>
      <c r="AN348" s="108"/>
      <c r="AO348" s="108"/>
      <c r="AP348" s="108"/>
      <c r="AQ348" s="108"/>
      <c r="AR348" s="108"/>
      <c r="AS348" s="108"/>
      <c r="AT348" s="108"/>
      <c r="AU348" s="108"/>
      <c r="AV348" s="108"/>
      <c r="AW348" s="108"/>
      <c r="AX348" s="108"/>
      <c r="AY348" s="108"/>
      <c r="AZ348" s="108"/>
    </row>
    <row r="349" spans="1:52" ht="14.2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  <c r="AG349" s="108"/>
      <c r="AH349" s="108"/>
      <c r="AI349" s="108"/>
      <c r="AJ349" s="108"/>
      <c r="AK349" s="108"/>
      <c r="AL349" s="108"/>
      <c r="AM349" s="108"/>
      <c r="AN349" s="108"/>
      <c r="AO349" s="108"/>
      <c r="AP349" s="108"/>
      <c r="AQ349" s="108"/>
      <c r="AR349" s="108"/>
      <c r="AS349" s="108"/>
      <c r="AT349" s="108"/>
      <c r="AU349" s="108"/>
      <c r="AV349" s="108"/>
      <c r="AW349" s="108"/>
      <c r="AX349" s="108"/>
      <c r="AY349" s="108"/>
      <c r="AZ349" s="108"/>
    </row>
    <row r="350" spans="1:52" ht="14.2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  <c r="AG350" s="108"/>
      <c r="AH350" s="108"/>
      <c r="AI350" s="108"/>
      <c r="AJ350" s="108"/>
      <c r="AK350" s="108"/>
      <c r="AL350" s="108"/>
      <c r="AM350" s="108"/>
      <c r="AN350" s="108"/>
      <c r="AO350" s="108"/>
      <c r="AP350" s="108"/>
      <c r="AQ350" s="108"/>
      <c r="AR350" s="108"/>
      <c r="AS350" s="108"/>
      <c r="AT350" s="108"/>
      <c r="AU350" s="108"/>
      <c r="AV350" s="108"/>
      <c r="AW350" s="108"/>
      <c r="AX350" s="108"/>
      <c r="AY350" s="108"/>
      <c r="AZ350" s="108"/>
    </row>
    <row r="351" spans="1:52" ht="14.2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  <c r="AG351" s="108"/>
      <c r="AH351" s="108"/>
      <c r="AI351" s="108"/>
      <c r="AJ351" s="108"/>
      <c r="AK351" s="108"/>
      <c r="AL351" s="108"/>
      <c r="AM351" s="108"/>
      <c r="AN351" s="108"/>
      <c r="AO351" s="108"/>
      <c r="AP351" s="108"/>
      <c r="AQ351" s="108"/>
      <c r="AR351" s="108"/>
      <c r="AS351" s="108"/>
      <c r="AT351" s="108"/>
      <c r="AU351" s="108"/>
      <c r="AV351" s="108"/>
      <c r="AW351" s="108"/>
      <c r="AX351" s="108"/>
      <c r="AY351" s="108"/>
      <c r="AZ351" s="108"/>
    </row>
    <row r="352" spans="1:52" ht="14.2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  <c r="AG352" s="108"/>
      <c r="AH352" s="108"/>
      <c r="AI352" s="108"/>
      <c r="AJ352" s="108"/>
      <c r="AK352" s="108"/>
      <c r="AL352" s="108"/>
      <c r="AM352" s="108"/>
      <c r="AN352" s="108"/>
      <c r="AO352" s="108"/>
      <c r="AP352" s="108"/>
      <c r="AQ352" s="108"/>
      <c r="AR352" s="108"/>
      <c r="AS352" s="108"/>
      <c r="AT352" s="108"/>
      <c r="AU352" s="108"/>
      <c r="AV352" s="108"/>
      <c r="AW352" s="108"/>
      <c r="AX352" s="108"/>
      <c r="AY352" s="108"/>
      <c r="AZ352" s="108"/>
    </row>
    <row r="353" spans="1:52" ht="14.2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  <c r="AE353" s="108"/>
      <c r="AF353" s="108"/>
      <c r="AG353" s="108"/>
      <c r="AH353" s="108"/>
      <c r="AI353" s="108"/>
      <c r="AJ353" s="108"/>
      <c r="AK353" s="108"/>
      <c r="AL353" s="108"/>
      <c r="AM353" s="108"/>
      <c r="AN353" s="108"/>
      <c r="AO353" s="108"/>
      <c r="AP353" s="108"/>
      <c r="AQ353" s="108"/>
      <c r="AR353" s="108"/>
      <c r="AS353" s="108"/>
      <c r="AT353" s="108"/>
      <c r="AU353" s="108"/>
      <c r="AV353" s="108"/>
      <c r="AW353" s="108"/>
      <c r="AX353" s="108"/>
      <c r="AY353" s="108"/>
      <c r="AZ353" s="108"/>
    </row>
    <row r="354" spans="1:52" ht="14.2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  <c r="AD354" s="108"/>
      <c r="AE354" s="108"/>
      <c r="AF354" s="108"/>
      <c r="AG354" s="108"/>
      <c r="AH354" s="108"/>
      <c r="AI354" s="108"/>
      <c r="AJ354" s="108"/>
      <c r="AK354" s="108"/>
      <c r="AL354" s="108"/>
      <c r="AM354" s="108"/>
      <c r="AN354" s="108"/>
      <c r="AO354" s="108"/>
      <c r="AP354" s="108"/>
      <c r="AQ354" s="108"/>
      <c r="AR354" s="108"/>
      <c r="AS354" s="108"/>
      <c r="AT354" s="108"/>
      <c r="AU354" s="108"/>
      <c r="AV354" s="108"/>
      <c r="AW354" s="108"/>
      <c r="AX354" s="108"/>
      <c r="AY354" s="108"/>
      <c r="AZ354" s="108"/>
    </row>
    <row r="355" spans="1:52" ht="14.2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  <c r="AD355" s="108"/>
      <c r="AE355" s="108"/>
      <c r="AF355" s="108"/>
      <c r="AG355" s="108"/>
      <c r="AH355" s="108"/>
      <c r="AI355" s="108"/>
      <c r="AJ355" s="108"/>
      <c r="AK355" s="108"/>
      <c r="AL355" s="108"/>
      <c r="AM355" s="108"/>
      <c r="AN355" s="108"/>
      <c r="AO355" s="108"/>
      <c r="AP355" s="108"/>
      <c r="AQ355" s="108"/>
      <c r="AR355" s="108"/>
      <c r="AS355" s="108"/>
      <c r="AT355" s="108"/>
      <c r="AU355" s="108"/>
      <c r="AV355" s="108"/>
      <c r="AW355" s="108"/>
      <c r="AX355" s="108"/>
      <c r="AY355" s="108"/>
      <c r="AZ355" s="108"/>
    </row>
    <row r="356" spans="1:52" ht="14.2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  <c r="AE356" s="108"/>
      <c r="AF356" s="108"/>
      <c r="AG356" s="108"/>
      <c r="AH356" s="108"/>
      <c r="AI356" s="108"/>
      <c r="AJ356" s="108"/>
      <c r="AK356" s="108"/>
      <c r="AL356" s="108"/>
      <c r="AM356" s="108"/>
      <c r="AN356" s="108"/>
      <c r="AO356" s="108"/>
      <c r="AP356" s="108"/>
      <c r="AQ356" s="108"/>
      <c r="AR356" s="108"/>
      <c r="AS356" s="108"/>
      <c r="AT356" s="108"/>
      <c r="AU356" s="108"/>
      <c r="AV356" s="108"/>
      <c r="AW356" s="108"/>
      <c r="AX356" s="108"/>
      <c r="AY356" s="108"/>
      <c r="AZ356" s="108"/>
    </row>
    <row r="357" spans="1:52" ht="14.2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  <c r="AE357" s="108"/>
      <c r="AF357" s="108"/>
      <c r="AG357" s="108"/>
      <c r="AH357" s="108"/>
      <c r="AI357" s="108"/>
      <c r="AJ357" s="108"/>
      <c r="AK357" s="108"/>
      <c r="AL357" s="108"/>
      <c r="AM357" s="108"/>
      <c r="AN357" s="108"/>
      <c r="AO357" s="108"/>
      <c r="AP357" s="108"/>
      <c r="AQ357" s="108"/>
      <c r="AR357" s="108"/>
      <c r="AS357" s="108"/>
      <c r="AT357" s="108"/>
      <c r="AU357" s="108"/>
      <c r="AV357" s="108"/>
      <c r="AW357" s="108"/>
      <c r="AX357" s="108"/>
      <c r="AY357" s="108"/>
      <c r="AZ357" s="108"/>
    </row>
    <row r="358" spans="1:52" ht="14.2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  <c r="AE358" s="108"/>
      <c r="AF358" s="108"/>
      <c r="AG358" s="108"/>
      <c r="AH358" s="108"/>
      <c r="AI358" s="108"/>
      <c r="AJ358" s="108"/>
      <c r="AK358" s="108"/>
      <c r="AL358" s="108"/>
      <c r="AM358" s="108"/>
      <c r="AN358" s="108"/>
      <c r="AO358" s="108"/>
      <c r="AP358" s="108"/>
      <c r="AQ358" s="108"/>
      <c r="AR358" s="108"/>
      <c r="AS358" s="108"/>
      <c r="AT358" s="108"/>
      <c r="AU358" s="108"/>
      <c r="AV358" s="108"/>
      <c r="AW358" s="108"/>
      <c r="AX358" s="108"/>
      <c r="AY358" s="108"/>
      <c r="AZ358" s="108"/>
    </row>
    <row r="359" spans="1:52" ht="14.2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  <c r="AE359" s="108"/>
      <c r="AF359" s="108"/>
      <c r="AG359" s="108"/>
      <c r="AH359" s="108"/>
      <c r="AI359" s="108"/>
      <c r="AJ359" s="108"/>
      <c r="AK359" s="108"/>
      <c r="AL359" s="108"/>
      <c r="AM359" s="108"/>
      <c r="AN359" s="108"/>
      <c r="AO359" s="108"/>
      <c r="AP359" s="108"/>
      <c r="AQ359" s="108"/>
      <c r="AR359" s="108"/>
      <c r="AS359" s="108"/>
      <c r="AT359" s="108"/>
      <c r="AU359" s="108"/>
      <c r="AV359" s="108"/>
      <c r="AW359" s="108"/>
      <c r="AX359" s="108"/>
      <c r="AY359" s="108"/>
      <c r="AZ359" s="108"/>
    </row>
    <row r="360" spans="1:52" ht="14.2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  <c r="AD360" s="108"/>
      <c r="AE360" s="108"/>
      <c r="AF360" s="108"/>
      <c r="AG360" s="108"/>
      <c r="AH360" s="108"/>
      <c r="AI360" s="108"/>
      <c r="AJ360" s="108"/>
      <c r="AK360" s="108"/>
      <c r="AL360" s="108"/>
      <c r="AM360" s="108"/>
      <c r="AN360" s="108"/>
      <c r="AO360" s="108"/>
      <c r="AP360" s="108"/>
      <c r="AQ360" s="108"/>
      <c r="AR360" s="108"/>
      <c r="AS360" s="108"/>
      <c r="AT360" s="108"/>
      <c r="AU360" s="108"/>
      <c r="AV360" s="108"/>
      <c r="AW360" s="108"/>
      <c r="AX360" s="108"/>
      <c r="AY360" s="108"/>
      <c r="AZ360" s="108"/>
    </row>
    <row r="361" spans="1:52" ht="14.2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  <c r="AE361" s="108"/>
      <c r="AF361" s="108"/>
      <c r="AG361" s="108"/>
      <c r="AH361" s="108"/>
      <c r="AI361" s="108"/>
      <c r="AJ361" s="108"/>
      <c r="AK361" s="108"/>
      <c r="AL361" s="108"/>
      <c r="AM361" s="108"/>
      <c r="AN361" s="108"/>
      <c r="AO361" s="108"/>
      <c r="AP361" s="108"/>
      <c r="AQ361" s="108"/>
      <c r="AR361" s="108"/>
      <c r="AS361" s="108"/>
      <c r="AT361" s="108"/>
      <c r="AU361" s="108"/>
      <c r="AV361" s="108"/>
      <c r="AW361" s="108"/>
      <c r="AX361" s="108"/>
      <c r="AY361" s="108"/>
      <c r="AZ361" s="108"/>
    </row>
    <row r="362" spans="1:52" ht="14.2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  <c r="AF362" s="108"/>
      <c r="AG362" s="108"/>
      <c r="AH362" s="108"/>
      <c r="AI362" s="108"/>
      <c r="AJ362" s="108"/>
      <c r="AK362" s="108"/>
      <c r="AL362" s="108"/>
      <c r="AM362" s="108"/>
      <c r="AN362" s="108"/>
      <c r="AO362" s="108"/>
      <c r="AP362" s="108"/>
      <c r="AQ362" s="108"/>
      <c r="AR362" s="108"/>
      <c r="AS362" s="108"/>
      <c r="AT362" s="108"/>
      <c r="AU362" s="108"/>
      <c r="AV362" s="108"/>
      <c r="AW362" s="108"/>
      <c r="AX362" s="108"/>
      <c r="AY362" s="108"/>
      <c r="AZ362" s="108"/>
    </row>
    <row r="363" spans="1:52" ht="14.2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  <c r="AF363" s="108"/>
      <c r="AG363" s="108"/>
      <c r="AH363" s="108"/>
      <c r="AI363" s="108"/>
      <c r="AJ363" s="108"/>
      <c r="AK363" s="108"/>
      <c r="AL363" s="108"/>
      <c r="AM363" s="108"/>
      <c r="AN363" s="108"/>
      <c r="AO363" s="108"/>
      <c r="AP363" s="108"/>
      <c r="AQ363" s="108"/>
      <c r="AR363" s="108"/>
      <c r="AS363" s="108"/>
      <c r="AT363" s="108"/>
      <c r="AU363" s="108"/>
      <c r="AV363" s="108"/>
      <c r="AW363" s="108"/>
      <c r="AX363" s="108"/>
      <c r="AY363" s="108"/>
      <c r="AZ363" s="108"/>
    </row>
    <row r="364" spans="1:52" ht="14.2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  <c r="AE364" s="108"/>
      <c r="AF364" s="108"/>
      <c r="AG364" s="108"/>
      <c r="AH364" s="108"/>
      <c r="AI364" s="108"/>
      <c r="AJ364" s="108"/>
      <c r="AK364" s="108"/>
      <c r="AL364" s="108"/>
      <c r="AM364" s="108"/>
      <c r="AN364" s="108"/>
      <c r="AO364" s="108"/>
      <c r="AP364" s="108"/>
      <c r="AQ364" s="108"/>
      <c r="AR364" s="108"/>
      <c r="AS364" s="108"/>
      <c r="AT364" s="108"/>
      <c r="AU364" s="108"/>
      <c r="AV364" s="108"/>
      <c r="AW364" s="108"/>
      <c r="AX364" s="108"/>
      <c r="AY364" s="108"/>
      <c r="AZ364" s="108"/>
    </row>
    <row r="365" spans="1:52" ht="14.2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/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</row>
    <row r="366" spans="1:52" ht="14.2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  <c r="AE366" s="108"/>
      <c r="AF366" s="108"/>
      <c r="AG366" s="108"/>
      <c r="AH366" s="108"/>
      <c r="AI366" s="108"/>
      <c r="AJ366" s="108"/>
      <c r="AK366" s="108"/>
      <c r="AL366" s="108"/>
      <c r="AM366" s="108"/>
      <c r="AN366" s="108"/>
      <c r="AO366" s="108"/>
      <c r="AP366" s="108"/>
      <c r="AQ366" s="108"/>
      <c r="AR366" s="108"/>
      <c r="AS366" s="108"/>
      <c r="AT366" s="108"/>
      <c r="AU366" s="108"/>
      <c r="AV366" s="108"/>
      <c r="AW366" s="108"/>
      <c r="AX366" s="108"/>
      <c r="AY366" s="108"/>
      <c r="AZ366" s="108"/>
    </row>
    <row r="367" spans="1:52" ht="14.2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  <c r="AG367" s="108"/>
      <c r="AH367" s="108"/>
      <c r="AI367" s="108"/>
      <c r="AJ367" s="108"/>
      <c r="AK367" s="108"/>
      <c r="AL367" s="108"/>
      <c r="AM367" s="108"/>
      <c r="AN367" s="108"/>
      <c r="AO367" s="108"/>
      <c r="AP367" s="108"/>
      <c r="AQ367" s="108"/>
      <c r="AR367" s="108"/>
      <c r="AS367" s="108"/>
      <c r="AT367" s="108"/>
      <c r="AU367" s="108"/>
      <c r="AV367" s="108"/>
      <c r="AW367" s="108"/>
      <c r="AX367" s="108"/>
      <c r="AY367" s="108"/>
      <c r="AZ367" s="108"/>
    </row>
    <row r="368" spans="1:52" ht="14.2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/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</row>
    <row r="369" spans="1:52" ht="14.2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8"/>
      <c r="AH369" s="108"/>
      <c r="AI369" s="108"/>
      <c r="AJ369" s="108"/>
      <c r="AK369" s="108"/>
      <c r="AL369" s="108"/>
      <c r="AM369" s="108"/>
      <c r="AN369" s="108"/>
      <c r="AO369" s="108"/>
      <c r="AP369" s="108"/>
      <c r="AQ369" s="108"/>
      <c r="AR369" s="108"/>
      <c r="AS369" s="108"/>
      <c r="AT369" s="108"/>
      <c r="AU369" s="108"/>
      <c r="AV369" s="108"/>
      <c r="AW369" s="108"/>
      <c r="AX369" s="108"/>
      <c r="AY369" s="108"/>
      <c r="AZ369" s="108"/>
    </row>
    <row r="370" spans="1:52" ht="14.2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  <c r="AG370" s="108"/>
      <c r="AH370" s="108"/>
      <c r="AI370" s="108"/>
      <c r="AJ370" s="108"/>
      <c r="AK370" s="108"/>
      <c r="AL370" s="108"/>
      <c r="AM370" s="108"/>
      <c r="AN370" s="108"/>
      <c r="AO370" s="108"/>
      <c r="AP370" s="108"/>
      <c r="AQ370" s="108"/>
      <c r="AR370" s="108"/>
      <c r="AS370" s="108"/>
      <c r="AT370" s="108"/>
      <c r="AU370" s="108"/>
      <c r="AV370" s="108"/>
      <c r="AW370" s="108"/>
      <c r="AX370" s="108"/>
      <c r="AY370" s="108"/>
      <c r="AZ370" s="108"/>
    </row>
    <row r="371" spans="1:52" ht="14.2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108"/>
      <c r="AH371" s="108"/>
      <c r="AI371" s="108"/>
      <c r="AJ371" s="108"/>
      <c r="AK371" s="108"/>
      <c r="AL371" s="108"/>
      <c r="AM371" s="108"/>
      <c r="AN371" s="108"/>
      <c r="AO371" s="108"/>
      <c r="AP371" s="108"/>
      <c r="AQ371" s="108"/>
      <c r="AR371" s="108"/>
      <c r="AS371" s="108"/>
      <c r="AT371" s="108"/>
      <c r="AU371" s="108"/>
      <c r="AV371" s="108"/>
      <c r="AW371" s="108"/>
      <c r="AX371" s="108"/>
      <c r="AY371" s="108"/>
      <c r="AZ371" s="108"/>
    </row>
    <row r="372" spans="1:52" ht="14.2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  <c r="AI372" s="108"/>
      <c r="AJ372" s="108"/>
      <c r="AK372" s="108"/>
      <c r="AL372" s="108"/>
      <c r="AM372" s="108"/>
      <c r="AN372" s="108"/>
      <c r="AO372" s="108"/>
      <c r="AP372" s="108"/>
      <c r="AQ372" s="108"/>
      <c r="AR372" s="108"/>
      <c r="AS372" s="108"/>
      <c r="AT372" s="108"/>
      <c r="AU372" s="108"/>
      <c r="AV372" s="108"/>
      <c r="AW372" s="108"/>
      <c r="AX372" s="108"/>
      <c r="AY372" s="108"/>
      <c r="AZ372" s="108"/>
    </row>
    <row r="373" spans="1:52" ht="14.2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  <c r="AI373" s="108"/>
      <c r="AJ373" s="108"/>
      <c r="AK373" s="108"/>
      <c r="AL373" s="108"/>
      <c r="AM373" s="108"/>
      <c r="AN373" s="108"/>
      <c r="AO373" s="108"/>
      <c r="AP373" s="108"/>
      <c r="AQ373" s="108"/>
      <c r="AR373" s="108"/>
      <c r="AS373" s="108"/>
      <c r="AT373" s="108"/>
      <c r="AU373" s="108"/>
      <c r="AV373" s="108"/>
      <c r="AW373" s="108"/>
      <c r="AX373" s="108"/>
      <c r="AY373" s="108"/>
      <c r="AZ373" s="108"/>
    </row>
    <row r="374" spans="1:52" ht="14.2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  <c r="AF374" s="108"/>
      <c r="AG374" s="108"/>
      <c r="AH374" s="108"/>
      <c r="AI374" s="108"/>
      <c r="AJ374" s="108"/>
      <c r="AK374" s="108"/>
      <c r="AL374" s="108"/>
      <c r="AM374" s="108"/>
      <c r="AN374" s="108"/>
      <c r="AO374" s="108"/>
      <c r="AP374" s="108"/>
      <c r="AQ374" s="108"/>
      <c r="AR374" s="108"/>
      <c r="AS374" s="108"/>
      <c r="AT374" s="108"/>
      <c r="AU374" s="108"/>
      <c r="AV374" s="108"/>
      <c r="AW374" s="108"/>
      <c r="AX374" s="108"/>
      <c r="AY374" s="108"/>
      <c r="AZ374" s="108"/>
    </row>
    <row r="375" spans="1:52" ht="14.2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  <c r="AG375" s="108"/>
      <c r="AH375" s="108"/>
      <c r="AI375" s="108"/>
      <c r="AJ375" s="108"/>
      <c r="AK375" s="108"/>
      <c r="AL375" s="108"/>
      <c r="AM375" s="108"/>
      <c r="AN375" s="108"/>
      <c r="AO375" s="108"/>
      <c r="AP375" s="108"/>
      <c r="AQ375" s="108"/>
      <c r="AR375" s="108"/>
      <c r="AS375" s="108"/>
      <c r="AT375" s="108"/>
      <c r="AU375" s="108"/>
      <c r="AV375" s="108"/>
      <c r="AW375" s="108"/>
      <c r="AX375" s="108"/>
      <c r="AY375" s="108"/>
      <c r="AZ375" s="108"/>
    </row>
    <row r="376" spans="1:52" ht="14.2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  <c r="AF376" s="108"/>
      <c r="AG376" s="108"/>
      <c r="AH376" s="108"/>
      <c r="AI376" s="108"/>
      <c r="AJ376" s="108"/>
      <c r="AK376" s="108"/>
      <c r="AL376" s="108"/>
      <c r="AM376" s="108"/>
      <c r="AN376" s="108"/>
      <c r="AO376" s="108"/>
      <c r="AP376" s="108"/>
      <c r="AQ376" s="108"/>
      <c r="AR376" s="108"/>
      <c r="AS376" s="108"/>
      <c r="AT376" s="108"/>
      <c r="AU376" s="108"/>
      <c r="AV376" s="108"/>
      <c r="AW376" s="108"/>
      <c r="AX376" s="108"/>
      <c r="AY376" s="108"/>
      <c r="AZ376" s="108"/>
    </row>
    <row r="377" spans="1:52" ht="14.2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  <c r="AG377" s="108"/>
      <c r="AH377" s="108"/>
      <c r="AI377" s="108"/>
      <c r="AJ377" s="108"/>
      <c r="AK377" s="108"/>
      <c r="AL377" s="108"/>
      <c r="AM377" s="108"/>
      <c r="AN377" s="108"/>
      <c r="AO377" s="108"/>
      <c r="AP377" s="108"/>
      <c r="AQ377" s="108"/>
      <c r="AR377" s="108"/>
      <c r="AS377" s="108"/>
      <c r="AT377" s="108"/>
      <c r="AU377" s="108"/>
      <c r="AV377" s="108"/>
      <c r="AW377" s="108"/>
      <c r="AX377" s="108"/>
      <c r="AY377" s="108"/>
      <c r="AZ377" s="108"/>
    </row>
    <row r="378" spans="1:52" ht="14.2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8"/>
      <c r="AI378" s="108"/>
      <c r="AJ378" s="108"/>
      <c r="AK378" s="108"/>
      <c r="AL378" s="108"/>
      <c r="AM378" s="108"/>
      <c r="AN378" s="108"/>
      <c r="AO378" s="108"/>
      <c r="AP378" s="108"/>
      <c r="AQ378" s="108"/>
      <c r="AR378" s="108"/>
      <c r="AS378" s="108"/>
      <c r="AT378" s="108"/>
      <c r="AU378" s="108"/>
      <c r="AV378" s="108"/>
      <c r="AW378" s="108"/>
      <c r="AX378" s="108"/>
      <c r="AY378" s="108"/>
      <c r="AZ378" s="108"/>
    </row>
    <row r="379" spans="1:52" ht="14.2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  <c r="AF379" s="108"/>
      <c r="AG379" s="108"/>
      <c r="AH379" s="108"/>
      <c r="AI379" s="108"/>
      <c r="AJ379" s="108"/>
      <c r="AK379" s="108"/>
      <c r="AL379" s="108"/>
      <c r="AM379" s="108"/>
      <c r="AN379" s="108"/>
      <c r="AO379" s="108"/>
      <c r="AP379" s="108"/>
      <c r="AQ379" s="108"/>
      <c r="AR379" s="108"/>
      <c r="AS379" s="108"/>
      <c r="AT379" s="108"/>
      <c r="AU379" s="108"/>
      <c r="AV379" s="108"/>
      <c r="AW379" s="108"/>
      <c r="AX379" s="108"/>
      <c r="AY379" s="108"/>
      <c r="AZ379" s="108"/>
    </row>
    <row r="380" spans="1:52" ht="14.2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  <c r="AG380" s="108"/>
      <c r="AH380" s="108"/>
      <c r="AI380" s="108"/>
      <c r="AJ380" s="108"/>
      <c r="AK380" s="108"/>
      <c r="AL380" s="108"/>
      <c r="AM380" s="108"/>
      <c r="AN380" s="108"/>
      <c r="AO380" s="108"/>
      <c r="AP380" s="108"/>
      <c r="AQ380" s="108"/>
      <c r="AR380" s="108"/>
      <c r="AS380" s="108"/>
      <c r="AT380" s="108"/>
      <c r="AU380" s="108"/>
      <c r="AV380" s="108"/>
      <c r="AW380" s="108"/>
      <c r="AX380" s="108"/>
      <c r="AY380" s="108"/>
      <c r="AZ380" s="108"/>
    </row>
    <row r="381" spans="1:52" ht="14.2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  <c r="AG381" s="108"/>
      <c r="AH381" s="108"/>
      <c r="AI381" s="108"/>
      <c r="AJ381" s="108"/>
      <c r="AK381" s="108"/>
      <c r="AL381" s="108"/>
      <c r="AM381" s="108"/>
      <c r="AN381" s="108"/>
      <c r="AO381" s="108"/>
      <c r="AP381" s="108"/>
      <c r="AQ381" s="108"/>
      <c r="AR381" s="108"/>
      <c r="AS381" s="108"/>
      <c r="AT381" s="108"/>
      <c r="AU381" s="108"/>
      <c r="AV381" s="108"/>
      <c r="AW381" s="108"/>
      <c r="AX381" s="108"/>
      <c r="AY381" s="108"/>
      <c r="AZ381" s="108"/>
    </row>
    <row r="382" spans="1:52" ht="14.2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  <c r="AI382" s="108"/>
      <c r="AJ382" s="108"/>
      <c r="AK382" s="108"/>
      <c r="AL382" s="108"/>
      <c r="AM382" s="108"/>
      <c r="AN382" s="108"/>
      <c r="AO382" s="108"/>
      <c r="AP382" s="108"/>
      <c r="AQ382" s="108"/>
      <c r="AR382" s="108"/>
      <c r="AS382" s="108"/>
      <c r="AT382" s="108"/>
      <c r="AU382" s="108"/>
      <c r="AV382" s="108"/>
      <c r="AW382" s="108"/>
      <c r="AX382" s="108"/>
      <c r="AY382" s="108"/>
      <c r="AZ382" s="108"/>
    </row>
    <row r="383" spans="1:52" ht="14.2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  <c r="AG383" s="108"/>
      <c r="AH383" s="108"/>
      <c r="AI383" s="108"/>
      <c r="AJ383" s="108"/>
      <c r="AK383" s="108"/>
      <c r="AL383" s="108"/>
      <c r="AM383" s="108"/>
      <c r="AN383" s="108"/>
      <c r="AO383" s="108"/>
      <c r="AP383" s="108"/>
      <c r="AQ383" s="108"/>
      <c r="AR383" s="108"/>
      <c r="AS383" s="108"/>
      <c r="AT383" s="108"/>
      <c r="AU383" s="108"/>
      <c r="AV383" s="108"/>
      <c r="AW383" s="108"/>
      <c r="AX383" s="108"/>
      <c r="AY383" s="108"/>
      <c r="AZ383" s="108"/>
    </row>
    <row r="384" spans="1:52" ht="14.2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  <c r="AG384" s="108"/>
      <c r="AH384" s="108"/>
      <c r="AI384" s="108"/>
      <c r="AJ384" s="108"/>
      <c r="AK384" s="108"/>
      <c r="AL384" s="108"/>
      <c r="AM384" s="108"/>
      <c r="AN384" s="108"/>
      <c r="AO384" s="108"/>
      <c r="AP384" s="108"/>
      <c r="AQ384" s="108"/>
      <c r="AR384" s="108"/>
      <c r="AS384" s="108"/>
      <c r="AT384" s="108"/>
      <c r="AU384" s="108"/>
      <c r="AV384" s="108"/>
      <c r="AW384" s="108"/>
      <c r="AX384" s="108"/>
      <c r="AY384" s="108"/>
      <c r="AZ384" s="108"/>
    </row>
    <row r="385" spans="1:52" ht="14.2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  <c r="AF385" s="108"/>
      <c r="AG385" s="108"/>
      <c r="AH385" s="108"/>
      <c r="AI385" s="108"/>
      <c r="AJ385" s="108"/>
      <c r="AK385" s="108"/>
      <c r="AL385" s="108"/>
      <c r="AM385" s="108"/>
      <c r="AN385" s="108"/>
      <c r="AO385" s="108"/>
      <c r="AP385" s="108"/>
      <c r="AQ385" s="108"/>
      <c r="AR385" s="108"/>
      <c r="AS385" s="108"/>
      <c r="AT385" s="108"/>
      <c r="AU385" s="108"/>
      <c r="AV385" s="108"/>
      <c r="AW385" s="108"/>
      <c r="AX385" s="108"/>
      <c r="AY385" s="108"/>
      <c r="AZ385" s="108"/>
    </row>
    <row r="386" spans="1:52" ht="14.2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  <c r="AG386" s="108"/>
      <c r="AH386" s="108"/>
      <c r="AI386" s="108"/>
      <c r="AJ386" s="108"/>
      <c r="AK386" s="108"/>
      <c r="AL386" s="108"/>
      <c r="AM386" s="108"/>
      <c r="AN386" s="108"/>
      <c r="AO386" s="108"/>
      <c r="AP386" s="108"/>
      <c r="AQ386" s="108"/>
      <c r="AR386" s="108"/>
      <c r="AS386" s="108"/>
      <c r="AT386" s="108"/>
      <c r="AU386" s="108"/>
      <c r="AV386" s="108"/>
      <c r="AW386" s="108"/>
      <c r="AX386" s="108"/>
      <c r="AY386" s="108"/>
      <c r="AZ386" s="108"/>
    </row>
    <row r="387" spans="1:52" ht="14.2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  <c r="AG387" s="108"/>
      <c r="AH387" s="108"/>
      <c r="AI387" s="108"/>
      <c r="AJ387" s="108"/>
      <c r="AK387" s="108"/>
      <c r="AL387" s="108"/>
      <c r="AM387" s="108"/>
      <c r="AN387" s="108"/>
      <c r="AO387" s="108"/>
      <c r="AP387" s="108"/>
      <c r="AQ387" s="108"/>
      <c r="AR387" s="108"/>
      <c r="AS387" s="108"/>
      <c r="AT387" s="108"/>
      <c r="AU387" s="108"/>
      <c r="AV387" s="108"/>
      <c r="AW387" s="108"/>
      <c r="AX387" s="108"/>
      <c r="AY387" s="108"/>
      <c r="AZ387" s="108"/>
    </row>
    <row r="388" spans="1:52" ht="14.2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  <c r="AF388" s="108"/>
      <c r="AG388" s="108"/>
      <c r="AH388" s="108"/>
      <c r="AI388" s="108"/>
      <c r="AJ388" s="108"/>
      <c r="AK388" s="108"/>
      <c r="AL388" s="108"/>
      <c r="AM388" s="108"/>
      <c r="AN388" s="108"/>
      <c r="AO388" s="108"/>
      <c r="AP388" s="108"/>
      <c r="AQ388" s="108"/>
      <c r="AR388" s="108"/>
      <c r="AS388" s="108"/>
      <c r="AT388" s="108"/>
      <c r="AU388" s="108"/>
      <c r="AV388" s="108"/>
      <c r="AW388" s="108"/>
      <c r="AX388" s="108"/>
      <c r="AY388" s="108"/>
      <c r="AZ388" s="108"/>
    </row>
    <row r="389" spans="1:52" ht="14.2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  <c r="AG389" s="108"/>
      <c r="AH389" s="108"/>
      <c r="AI389" s="108"/>
      <c r="AJ389" s="108"/>
      <c r="AK389" s="108"/>
      <c r="AL389" s="108"/>
      <c r="AM389" s="108"/>
      <c r="AN389" s="108"/>
      <c r="AO389" s="108"/>
      <c r="AP389" s="108"/>
      <c r="AQ389" s="108"/>
      <c r="AR389" s="108"/>
      <c r="AS389" s="108"/>
      <c r="AT389" s="108"/>
      <c r="AU389" s="108"/>
      <c r="AV389" s="108"/>
      <c r="AW389" s="108"/>
      <c r="AX389" s="108"/>
      <c r="AY389" s="108"/>
      <c r="AZ389" s="108"/>
    </row>
    <row r="390" spans="1:52" ht="14.2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  <c r="AF390" s="108"/>
      <c r="AG390" s="108"/>
      <c r="AH390" s="108"/>
      <c r="AI390" s="108"/>
      <c r="AJ390" s="108"/>
      <c r="AK390" s="108"/>
      <c r="AL390" s="108"/>
      <c r="AM390" s="108"/>
      <c r="AN390" s="108"/>
      <c r="AO390" s="108"/>
      <c r="AP390" s="108"/>
      <c r="AQ390" s="108"/>
      <c r="AR390" s="108"/>
      <c r="AS390" s="108"/>
      <c r="AT390" s="108"/>
      <c r="AU390" s="108"/>
      <c r="AV390" s="108"/>
      <c r="AW390" s="108"/>
      <c r="AX390" s="108"/>
      <c r="AY390" s="108"/>
      <c r="AZ390" s="108"/>
    </row>
    <row r="391" spans="1:52" ht="14.2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  <c r="AF391" s="108"/>
      <c r="AG391" s="108"/>
      <c r="AH391" s="108"/>
      <c r="AI391" s="108"/>
      <c r="AJ391" s="108"/>
      <c r="AK391" s="108"/>
      <c r="AL391" s="108"/>
      <c r="AM391" s="108"/>
      <c r="AN391" s="108"/>
      <c r="AO391" s="108"/>
      <c r="AP391" s="108"/>
      <c r="AQ391" s="108"/>
      <c r="AR391" s="108"/>
      <c r="AS391" s="108"/>
      <c r="AT391" s="108"/>
      <c r="AU391" s="108"/>
      <c r="AV391" s="108"/>
      <c r="AW391" s="108"/>
      <c r="AX391" s="108"/>
      <c r="AY391" s="108"/>
      <c r="AZ391" s="108"/>
    </row>
    <row r="392" spans="1:52" ht="14.2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  <c r="AF392" s="108"/>
      <c r="AG392" s="108"/>
      <c r="AH392" s="108"/>
      <c r="AI392" s="108"/>
      <c r="AJ392" s="108"/>
      <c r="AK392" s="108"/>
      <c r="AL392" s="108"/>
      <c r="AM392" s="108"/>
      <c r="AN392" s="108"/>
      <c r="AO392" s="108"/>
      <c r="AP392" s="108"/>
      <c r="AQ392" s="108"/>
      <c r="AR392" s="108"/>
      <c r="AS392" s="108"/>
      <c r="AT392" s="108"/>
      <c r="AU392" s="108"/>
      <c r="AV392" s="108"/>
      <c r="AW392" s="108"/>
      <c r="AX392" s="108"/>
      <c r="AY392" s="108"/>
      <c r="AZ392" s="108"/>
    </row>
    <row r="393" spans="1:52" ht="14.2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  <c r="AF393" s="108"/>
      <c r="AG393" s="108"/>
      <c r="AH393" s="108"/>
      <c r="AI393" s="108"/>
      <c r="AJ393" s="108"/>
      <c r="AK393" s="108"/>
      <c r="AL393" s="108"/>
      <c r="AM393" s="108"/>
      <c r="AN393" s="108"/>
      <c r="AO393" s="108"/>
      <c r="AP393" s="108"/>
      <c r="AQ393" s="108"/>
      <c r="AR393" s="108"/>
      <c r="AS393" s="108"/>
      <c r="AT393" s="108"/>
      <c r="AU393" s="108"/>
      <c r="AV393" s="108"/>
      <c r="AW393" s="108"/>
      <c r="AX393" s="108"/>
      <c r="AY393" s="108"/>
      <c r="AZ393" s="108"/>
    </row>
    <row r="394" spans="1:52" ht="14.2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  <c r="AF394" s="108"/>
      <c r="AG394" s="108"/>
      <c r="AH394" s="108"/>
      <c r="AI394" s="108"/>
      <c r="AJ394" s="108"/>
      <c r="AK394" s="108"/>
      <c r="AL394" s="108"/>
      <c r="AM394" s="108"/>
      <c r="AN394" s="108"/>
      <c r="AO394" s="108"/>
      <c r="AP394" s="108"/>
      <c r="AQ394" s="108"/>
      <c r="AR394" s="108"/>
      <c r="AS394" s="108"/>
      <c r="AT394" s="108"/>
      <c r="AU394" s="108"/>
      <c r="AV394" s="108"/>
      <c r="AW394" s="108"/>
      <c r="AX394" s="108"/>
      <c r="AY394" s="108"/>
      <c r="AZ394" s="108"/>
    </row>
    <row r="395" spans="1:52" ht="14.2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  <c r="AF395" s="108"/>
      <c r="AG395" s="108"/>
      <c r="AH395" s="108"/>
      <c r="AI395" s="108"/>
      <c r="AJ395" s="108"/>
      <c r="AK395" s="108"/>
      <c r="AL395" s="108"/>
      <c r="AM395" s="108"/>
      <c r="AN395" s="108"/>
      <c r="AO395" s="108"/>
      <c r="AP395" s="108"/>
      <c r="AQ395" s="108"/>
      <c r="AR395" s="108"/>
      <c r="AS395" s="108"/>
      <c r="AT395" s="108"/>
      <c r="AU395" s="108"/>
      <c r="AV395" s="108"/>
      <c r="AW395" s="108"/>
      <c r="AX395" s="108"/>
      <c r="AY395" s="108"/>
      <c r="AZ395" s="108"/>
    </row>
    <row r="396" spans="1:52" ht="14.2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  <c r="AF396" s="108"/>
      <c r="AG396" s="108"/>
      <c r="AH396" s="108"/>
      <c r="AI396" s="108"/>
      <c r="AJ396" s="108"/>
      <c r="AK396" s="108"/>
      <c r="AL396" s="108"/>
      <c r="AM396" s="108"/>
      <c r="AN396" s="108"/>
      <c r="AO396" s="108"/>
      <c r="AP396" s="108"/>
      <c r="AQ396" s="108"/>
      <c r="AR396" s="108"/>
      <c r="AS396" s="108"/>
      <c r="AT396" s="108"/>
      <c r="AU396" s="108"/>
      <c r="AV396" s="108"/>
      <c r="AW396" s="108"/>
      <c r="AX396" s="108"/>
      <c r="AY396" s="108"/>
      <c r="AZ396" s="108"/>
    </row>
    <row r="397" spans="1:52" ht="14.2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  <c r="AI397" s="108"/>
      <c r="AJ397" s="108"/>
      <c r="AK397" s="108"/>
      <c r="AL397" s="108"/>
      <c r="AM397" s="108"/>
      <c r="AN397" s="108"/>
      <c r="AO397" s="108"/>
      <c r="AP397" s="108"/>
      <c r="AQ397" s="108"/>
      <c r="AR397" s="108"/>
      <c r="AS397" s="108"/>
      <c r="AT397" s="108"/>
      <c r="AU397" s="108"/>
      <c r="AV397" s="108"/>
      <c r="AW397" s="108"/>
      <c r="AX397" s="108"/>
      <c r="AY397" s="108"/>
      <c r="AZ397" s="108"/>
    </row>
    <row r="398" spans="1:52" ht="14.2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  <c r="AF398" s="108"/>
      <c r="AG398" s="108"/>
      <c r="AH398" s="108"/>
      <c r="AI398" s="108"/>
      <c r="AJ398" s="108"/>
      <c r="AK398" s="108"/>
      <c r="AL398" s="108"/>
      <c r="AM398" s="108"/>
      <c r="AN398" s="108"/>
      <c r="AO398" s="108"/>
      <c r="AP398" s="108"/>
      <c r="AQ398" s="108"/>
      <c r="AR398" s="108"/>
      <c r="AS398" s="108"/>
      <c r="AT398" s="108"/>
      <c r="AU398" s="108"/>
      <c r="AV398" s="108"/>
      <c r="AW398" s="108"/>
      <c r="AX398" s="108"/>
      <c r="AY398" s="108"/>
      <c r="AZ398" s="108"/>
    </row>
    <row r="399" spans="1:52" ht="14.2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  <c r="AF399" s="108"/>
      <c r="AG399" s="108"/>
      <c r="AH399" s="108"/>
      <c r="AI399" s="108"/>
      <c r="AJ399" s="108"/>
      <c r="AK399" s="108"/>
      <c r="AL399" s="108"/>
      <c r="AM399" s="108"/>
      <c r="AN399" s="108"/>
      <c r="AO399" s="108"/>
      <c r="AP399" s="108"/>
      <c r="AQ399" s="108"/>
      <c r="AR399" s="108"/>
      <c r="AS399" s="108"/>
      <c r="AT399" s="108"/>
      <c r="AU399" s="108"/>
      <c r="AV399" s="108"/>
      <c r="AW399" s="108"/>
      <c r="AX399" s="108"/>
      <c r="AY399" s="108"/>
      <c r="AZ399" s="108"/>
    </row>
    <row r="400" spans="1:52" ht="14.2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  <c r="AF400" s="108"/>
      <c r="AG400" s="108"/>
      <c r="AH400" s="108"/>
      <c r="AI400" s="108"/>
      <c r="AJ400" s="108"/>
      <c r="AK400" s="108"/>
      <c r="AL400" s="108"/>
      <c r="AM400" s="108"/>
      <c r="AN400" s="108"/>
      <c r="AO400" s="108"/>
      <c r="AP400" s="108"/>
      <c r="AQ400" s="108"/>
      <c r="AR400" s="108"/>
      <c r="AS400" s="108"/>
      <c r="AT400" s="108"/>
      <c r="AU400" s="108"/>
      <c r="AV400" s="108"/>
      <c r="AW400" s="108"/>
      <c r="AX400" s="108"/>
      <c r="AY400" s="108"/>
      <c r="AZ400" s="108"/>
    </row>
    <row r="401" spans="1:52" ht="14.2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  <c r="AF401" s="108"/>
      <c r="AG401" s="108"/>
      <c r="AH401" s="108"/>
      <c r="AI401" s="108"/>
      <c r="AJ401" s="108"/>
      <c r="AK401" s="108"/>
      <c r="AL401" s="108"/>
      <c r="AM401" s="108"/>
      <c r="AN401" s="108"/>
      <c r="AO401" s="108"/>
      <c r="AP401" s="108"/>
      <c r="AQ401" s="108"/>
      <c r="AR401" s="108"/>
      <c r="AS401" s="108"/>
      <c r="AT401" s="108"/>
      <c r="AU401" s="108"/>
      <c r="AV401" s="108"/>
      <c r="AW401" s="108"/>
      <c r="AX401" s="108"/>
      <c r="AY401" s="108"/>
      <c r="AZ401" s="108"/>
    </row>
    <row r="402" spans="1:52" ht="14.2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  <c r="AG402" s="108"/>
      <c r="AH402" s="108"/>
      <c r="AI402" s="108"/>
      <c r="AJ402" s="108"/>
      <c r="AK402" s="108"/>
      <c r="AL402" s="108"/>
      <c r="AM402" s="108"/>
      <c r="AN402" s="108"/>
      <c r="AO402" s="108"/>
      <c r="AP402" s="108"/>
      <c r="AQ402" s="108"/>
      <c r="AR402" s="108"/>
      <c r="AS402" s="108"/>
      <c r="AT402" s="108"/>
      <c r="AU402" s="108"/>
      <c r="AV402" s="108"/>
      <c r="AW402" s="108"/>
      <c r="AX402" s="108"/>
      <c r="AY402" s="108"/>
      <c r="AZ402" s="108"/>
    </row>
    <row r="403" spans="1:52" ht="14.2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/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</row>
    <row r="404" spans="1:52" ht="14.2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  <c r="AG404" s="108"/>
      <c r="AH404" s="108"/>
      <c r="AI404" s="108"/>
      <c r="AJ404" s="108"/>
      <c r="AK404" s="108"/>
      <c r="AL404" s="108"/>
      <c r="AM404" s="108"/>
      <c r="AN404" s="108"/>
      <c r="AO404" s="108"/>
      <c r="AP404" s="108"/>
      <c r="AQ404" s="108"/>
      <c r="AR404" s="108"/>
      <c r="AS404" s="108"/>
      <c r="AT404" s="108"/>
      <c r="AU404" s="108"/>
      <c r="AV404" s="108"/>
      <c r="AW404" s="108"/>
      <c r="AX404" s="108"/>
      <c r="AY404" s="108"/>
      <c r="AZ404" s="108"/>
    </row>
    <row r="405" spans="1:52" ht="14.2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  <c r="AG405" s="108"/>
      <c r="AH405" s="108"/>
      <c r="AI405" s="108"/>
      <c r="AJ405" s="108"/>
      <c r="AK405" s="108"/>
      <c r="AL405" s="108"/>
      <c r="AM405" s="108"/>
      <c r="AN405" s="108"/>
      <c r="AO405" s="108"/>
      <c r="AP405" s="108"/>
      <c r="AQ405" s="108"/>
      <c r="AR405" s="108"/>
      <c r="AS405" s="108"/>
      <c r="AT405" s="108"/>
      <c r="AU405" s="108"/>
      <c r="AV405" s="108"/>
      <c r="AW405" s="108"/>
      <c r="AX405" s="108"/>
      <c r="AY405" s="108"/>
      <c r="AZ405" s="108"/>
    </row>
    <row r="406" spans="1:52" ht="14.2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/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</row>
    <row r="407" spans="1:52" ht="14.2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8"/>
      <c r="AH407" s="108"/>
      <c r="AI407" s="108"/>
      <c r="AJ407" s="108"/>
      <c r="AK407" s="108"/>
      <c r="AL407" s="108"/>
      <c r="AM407" s="108"/>
      <c r="AN407" s="108"/>
      <c r="AO407" s="108"/>
      <c r="AP407" s="108"/>
      <c r="AQ407" s="108"/>
      <c r="AR407" s="108"/>
      <c r="AS407" s="108"/>
      <c r="AT407" s="108"/>
      <c r="AU407" s="108"/>
      <c r="AV407" s="108"/>
      <c r="AW407" s="108"/>
      <c r="AX407" s="108"/>
      <c r="AY407" s="108"/>
      <c r="AZ407" s="108"/>
    </row>
    <row r="408" spans="1:52" ht="14.2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8"/>
      <c r="AH408" s="108"/>
      <c r="AI408" s="108"/>
      <c r="AJ408" s="108"/>
      <c r="AK408" s="108"/>
      <c r="AL408" s="108"/>
      <c r="AM408" s="108"/>
      <c r="AN408" s="108"/>
      <c r="AO408" s="108"/>
      <c r="AP408" s="108"/>
      <c r="AQ408" s="108"/>
      <c r="AR408" s="108"/>
      <c r="AS408" s="108"/>
      <c r="AT408" s="108"/>
      <c r="AU408" s="108"/>
      <c r="AV408" s="108"/>
      <c r="AW408" s="108"/>
      <c r="AX408" s="108"/>
      <c r="AY408" s="108"/>
      <c r="AZ408" s="108"/>
    </row>
    <row r="409" spans="1:52" ht="14.2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  <c r="AG409" s="108"/>
      <c r="AH409" s="108"/>
      <c r="AI409" s="108"/>
      <c r="AJ409" s="108"/>
      <c r="AK409" s="108"/>
      <c r="AL409" s="108"/>
      <c r="AM409" s="108"/>
      <c r="AN409" s="108"/>
      <c r="AO409" s="108"/>
      <c r="AP409" s="108"/>
      <c r="AQ409" s="108"/>
      <c r="AR409" s="108"/>
      <c r="AS409" s="108"/>
      <c r="AT409" s="108"/>
      <c r="AU409" s="108"/>
      <c r="AV409" s="108"/>
      <c r="AW409" s="108"/>
      <c r="AX409" s="108"/>
      <c r="AY409" s="108"/>
      <c r="AZ409" s="108"/>
    </row>
    <row r="410" spans="1:52" ht="14.2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8"/>
      <c r="AH410" s="108"/>
      <c r="AI410" s="108"/>
      <c r="AJ410" s="108"/>
      <c r="AK410" s="108"/>
      <c r="AL410" s="108"/>
      <c r="AM410" s="108"/>
      <c r="AN410" s="108"/>
      <c r="AO410" s="108"/>
      <c r="AP410" s="108"/>
      <c r="AQ410" s="108"/>
      <c r="AR410" s="108"/>
      <c r="AS410" s="108"/>
      <c r="AT410" s="108"/>
      <c r="AU410" s="108"/>
      <c r="AV410" s="108"/>
      <c r="AW410" s="108"/>
      <c r="AX410" s="108"/>
      <c r="AY410" s="108"/>
      <c r="AZ410" s="108"/>
    </row>
    <row r="411" spans="1:52" ht="14.2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  <c r="AG411" s="108"/>
      <c r="AH411" s="108"/>
      <c r="AI411" s="108"/>
      <c r="AJ411" s="108"/>
      <c r="AK411" s="108"/>
      <c r="AL411" s="108"/>
      <c r="AM411" s="108"/>
      <c r="AN411" s="108"/>
      <c r="AO411" s="108"/>
      <c r="AP411" s="108"/>
      <c r="AQ411" s="108"/>
      <c r="AR411" s="108"/>
      <c r="AS411" s="108"/>
      <c r="AT411" s="108"/>
      <c r="AU411" s="108"/>
      <c r="AV411" s="108"/>
      <c r="AW411" s="108"/>
      <c r="AX411" s="108"/>
      <c r="AY411" s="108"/>
      <c r="AZ411" s="108"/>
    </row>
    <row r="412" spans="1:52" ht="14.2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8"/>
      <c r="AI412" s="108"/>
      <c r="AJ412" s="108"/>
      <c r="AK412" s="108"/>
      <c r="AL412" s="108"/>
      <c r="AM412" s="108"/>
      <c r="AN412" s="108"/>
      <c r="AO412" s="108"/>
      <c r="AP412" s="108"/>
      <c r="AQ412" s="108"/>
      <c r="AR412" s="108"/>
      <c r="AS412" s="108"/>
      <c r="AT412" s="108"/>
      <c r="AU412" s="108"/>
      <c r="AV412" s="108"/>
      <c r="AW412" s="108"/>
      <c r="AX412" s="108"/>
      <c r="AY412" s="108"/>
      <c r="AZ412" s="108"/>
    </row>
    <row r="413" spans="1:52" ht="14.2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8"/>
      <c r="AH413" s="108"/>
      <c r="AI413" s="108"/>
      <c r="AJ413" s="108"/>
      <c r="AK413" s="108"/>
      <c r="AL413" s="108"/>
      <c r="AM413" s="108"/>
      <c r="AN413" s="108"/>
      <c r="AO413" s="108"/>
      <c r="AP413" s="108"/>
      <c r="AQ413" s="108"/>
      <c r="AR413" s="108"/>
      <c r="AS413" s="108"/>
      <c r="AT413" s="108"/>
      <c r="AU413" s="108"/>
      <c r="AV413" s="108"/>
      <c r="AW413" s="108"/>
      <c r="AX413" s="108"/>
      <c r="AY413" s="108"/>
      <c r="AZ413" s="108"/>
    </row>
    <row r="414" spans="1:52" ht="14.2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  <c r="AG414" s="108"/>
      <c r="AH414" s="108"/>
      <c r="AI414" s="108"/>
      <c r="AJ414" s="108"/>
      <c r="AK414" s="108"/>
      <c r="AL414" s="108"/>
      <c r="AM414" s="108"/>
      <c r="AN414" s="108"/>
      <c r="AO414" s="108"/>
      <c r="AP414" s="108"/>
      <c r="AQ414" s="108"/>
      <c r="AR414" s="108"/>
      <c r="AS414" s="108"/>
      <c r="AT414" s="108"/>
      <c r="AU414" s="108"/>
      <c r="AV414" s="108"/>
      <c r="AW414" s="108"/>
      <c r="AX414" s="108"/>
      <c r="AY414" s="108"/>
      <c r="AZ414" s="108"/>
    </row>
    <row r="415" spans="1:52" ht="14.2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  <c r="AI415" s="108"/>
      <c r="AJ415" s="108"/>
      <c r="AK415" s="108"/>
      <c r="AL415" s="108"/>
      <c r="AM415" s="108"/>
      <c r="AN415" s="108"/>
      <c r="AO415" s="108"/>
      <c r="AP415" s="108"/>
      <c r="AQ415" s="108"/>
      <c r="AR415" s="108"/>
      <c r="AS415" s="108"/>
      <c r="AT415" s="108"/>
      <c r="AU415" s="108"/>
      <c r="AV415" s="108"/>
      <c r="AW415" s="108"/>
      <c r="AX415" s="108"/>
      <c r="AY415" s="108"/>
      <c r="AZ415" s="108"/>
    </row>
    <row r="416" spans="1:52" ht="14.2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8"/>
      <c r="AH416" s="108"/>
      <c r="AI416" s="108"/>
      <c r="AJ416" s="108"/>
      <c r="AK416" s="108"/>
      <c r="AL416" s="108"/>
      <c r="AM416" s="108"/>
      <c r="AN416" s="108"/>
      <c r="AO416" s="108"/>
      <c r="AP416" s="108"/>
      <c r="AQ416" s="108"/>
      <c r="AR416" s="108"/>
      <c r="AS416" s="108"/>
      <c r="AT416" s="108"/>
      <c r="AU416" s="108"/>
      <c r="AV416" s="108"/>
      <c r="AW416" s="108"/>
      <c r="AX416" s="108"/>
      <c r="AY416" s="108"/>
      <c r="AZ416" s="108"/>
    </row>
    <row r="417" spans="1:52" ht="14.2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8"/>
      <c r="AH417" s="108"/>
      <c r="AI417" s="108"/>
      <c r="AJ417" s="108"/>
      <c r="AK417" s="108"/>
      <c r="AL417" s="108"/>
      <c r="AM417" s="108"/>
      <c r="AN417" s="108"/>
      <c r="AO417" s="108"/>
      <c r="AP417" s="108"/>
      <c r="AQ417" s="108"/>
      <c r="AR417" s="108"/>
      <c r="AS417" s="108"/>
      <c r="AT417" s="108"/>
      <c r="AU417" s="108"/>
      <c r="AV417" s="108"/>
      <c r="AW417" s="108"/>
      <c r="AX417" s="108"/>
      <c r="AY417" s="108"/>
      <c r="AZ417" s="108"/>
    </row>
    <row r="418" spans="1:52" ht="14.2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8"/>
      <c r="AH418" s="108"/>
      <c r="AI418" s="108"/>
      <c r="AJ418" s="108"/>
      <c r="AK418" s="108"/>
      <c r="AL418" s="108"/>
      <c r="AM418" s="108"/>
      <c r="AN418" s="108"/>
      <c r="AO418" s="108"/>
      <c r="AP418" s="108"/>
      <c r="AQ418" s="108"/>
      <c r="AR418" s="108"/>
      <c r="AS418" s="108"/>
      <c r="AT418" s="108"/>
      <c r="AU418" s="108"/>
      <c r="AV418" s="108"/>
      <c r="AW418" s="108"/>
      <c r="AX418" s="108"/>
      <c r="AY418" s="108"/>
      <c r="AZ418" s="108"/>
    </row>
    <row r="419" spans="1:52" ht="14.2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  <c r="AI419" s="108"/>
      <c r="AJ419" s="108"/>
      <c r="AK419" s="108"/>
      <c r="AL419" s="108"/>
      <c r="AM419" s="108"/>
      <c r="AN419" s="108"/>
      <c r="AO419" s="108"/>
      <c r="AP419" s="108"/>
      <c r="AQ419" s="108"/>
      <c r="AR419" s="108"/>
      <c r="AS419" s="108"/>
      <c r="AT419" s="108"/>
      <c r="AU419" s="108"/>
      <c r="AV419" s="108"/>
      <c r="AW419" s="108"/>
      <c r="AX419" s="108"/>
      <c r="AY419" s="108"/>
      <c r="AZ419" s="108"/>
    </row>
    <row r="420" spans="1:52" ht="14.2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8"/>
      <c r="AH420" s="108"/>
      <c r="AI420" s="108"/>
      <c r="AJ420" s="108"/>
      <c r="AK420" s="108"/>
      <c r="AL420" s="108"/>
      <c r="AM420" s="108"/>
      <c r="AN420" s="108"/>
      <c r="AO420" s="108"/>
      <c r="AP420" s="108"/>
      <c r="AQ420" s="108"/>
      <c r="AR420" s="108"/>
      <c r="AS420" s="108"/>
      <c r="AT420" s="108"/>
      <c r="AU420" s="108"/>
      <c r="AV420" s="108"/>
      <c r="AW420" s="108"/>
      <c r="AX420" s="108"/>
      <c r="AY420" s="108"/>
      <c r="AZ420" s="108"/>
    </row>
    <row r="421" spans="1:52" ht="14.2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8"/>
      <c r="AH421" s="108"/>
      <c r="AI421" s="108"/>
      <c r="AJ421" s="108"/>
      <c r="AK421" s="108"/>
      <c r="AL421" s="108"/>
      <c r="AM421" s="108"/>
      <c r="AN421" s="108"/>
      <c r="AO421" s="108"/>
      <c r="AP421" s="108"/>
      <c r="AQ421" s="108"/>
      <c r="AR421" s="108"/>
      <c r="AS421" s="108"/>
      <c r="AT421" s="108"/>
      <c r="AU421" s="108"/>
      <c r="AV421" s="108"/>
      <c r="AW421" s="108"/>
      <c r="AX421" s="108"/>
      <c r="AY421" s="108"/>
      <c r="AZ421" s="108"/>
    </row>
    <row r="422" spans="1:52" ht="14.2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  <c r="AI422" s="108"/>
      <c r="AJ422" s="108"/>
      <c r="AK422" s="108"/>
      <c r="AL422" s="108"/>
      <c r="AM422" s="108"/>
      <c r="AN422" s="108"/>
      <c r="AO422" s="108"/>
      <c r="AP422" s="108"/>
      <c r="AQ422" s="108"/>
      <c r="AR422" s="108"/>
      <c r="AS422" s="108"/>
      <c r="AT422" s="108"/>
      <c r="AU422" s="108"/>
      <c r="AV422" s="108"/>
      <c r="AW422" s="108"/>
      <c r="AX422" s="108"/>
      <c r="AY422" s="108"/>
      <c r="AZ422" s="108"/>
    </row>
    <row r="423" spans="1:52" ht="14.2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  <c r="AG423" s="108"/>
      <c r="AH423" s="108"/>
      <c r="AI423" s="108"/>
      <c r="AJ423" s="108"/>
      <c r="AK423" s="108"/>
      <c r="AL423" s="108"/>
      <c r="AM423" s="108"/>
      <c r="AN423" s="108"/>
      <c r="AO423" s="108"/>
      <c r="AP423" s="108"/>
      <c r="AQ423" s="108"/>
      <c r="AR423" s="108"/>
      <c r="AS423" s="108"/>
      <c r="AT423" s="108"/>
      <c r="AU423" s="108"/>
      <c r="AV423" s="108"/>
      <c r="AW423" s="108"/>
      <c r="AX423" s="108"/>
      <c r="AY423" s="108"/>
      <c r="AZ423" s="108"/>
    </row>
    <row r="424" spans="1:52" ht="14.2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  <c r="AG424" s="108"/>
      <c r="AH424" s="108"/>
      <c r="AI424" s="108"/>
      <c r="AJ424" s="108"/>
      <c r="AK424" s="108"/>
      <c r="AL424" s="108"/>
      <c r="AM424" s="108"/>
      <c r="AN424" s="108"/>
      <c r="AO424" s="108"/>
      <c r="AP424" s="108"/>
      <c r="AQ424" s="108"/>
      <c r="AR424" s="108"/>
      <c r="AS424" s="108"/>
      <c r="AT424" s="108"/>
      <c r="AU424" s="108"/>
      <c r="AV424" s="108"/>
      <c r="AW424" s="108"/>
      <c r="AX424" s="108"/>
      <c r="AY424" s="108"/>
      <c r="AZ424" s="108"/>
    </row>
    <row r="425" spans="1:52" ht="14.2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  <c r="AG425" s="108"/>
      <c r="AH425" s="108"/>
      <c r="AI425" s="108"/>
      <c r="AJ425" s="108"/>
      <c r="AK425" s="108"/>
      <c r="AL425" s="108"/>
      <c r="AM425" s="108"/>
      <c r="AN425" s="108"/>
      <c r="AO425" s="108"/>
      <c r="AP425" s="108"/>
      <c r="AQ425" s="108"/>
      <c r="AR425" s="108"/>
      <c r="AS425" s="108"/>
      <c r="AT425" s="108"/>
      <c r="AU425" s="108"/>
      <c r="AV425" s="108"/>
      <c r="AW425" s="108"/>
      <c r="AX425" s="108"/>
      <c r="AY425" s="108"/>
      <c r="AZ425" s="108"/>
    </row>
    <row r="426" spans="1:52" ht="14.2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  <c r="AG426" s="108"/>
      <c r="AH426" s="108"/>
      <c r="AI426" s="108"/>
      <c r="AJ426" s="108"/>
      <c r="AK426" s="108"/>
      <c r="AL426" s="108"/>
      <c r="AM426" s="108"/>
      <c r="AN426" s="108"/>
      <c r="AO426" s="108"/>
      <c r="AP426" s="108"/>
      <c r="AQ426" s="108"/>
      <c r="AR426" s="108"/>
      <c r="AS426" s="108"/>
      <c r="AT426" s="108"/>
      <c r="AU426" s="108"/>
      <c r="AV426" s="108"/>
      <c r="AW426" s="108"/>
      <c r="AX426" s="108"/>
      <c r="AY426" s="108"/>
      <c r="AZ426" s="108"/>
    </row>
    <row r="427" spans="1:52" ht="14.2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  <c r="AG427" s="108"/>
      <c r="AH427" s="108"/>
      <c r="AI427" s="108"/>
      <c r="AJ427" s="108"/>
      <c r="AK427" s="108"/>
      <c r="AL427" s="108"/>
      <c r="AM427" s="108"/>
      <c r="AN427" s="108"/>
      <c r="AO427" s="108"/>
      <c r="AP427" s="108"/>
      <c r="AQ427" s="108"/>
      <c r="AR427" s="108"/>
      <c r="AS427" s="108"/>
      <c r="AT427" s="108"/>
      <c r="AU427" s="108"/>
      <c r="AV427" s="108"/>
      <c r="AW427" s="108"/>
      <c r="AX427" s="108"/>
      <c r="AY427" s="108"/>
      <c r="AZ427" s="108"/>
    </row>
    <row r="428" spans="1:52" ht="14.2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  <c r="AF428" s="108"/>
      <c r="AG428" s="108"/>
      <c r="AH428" s="108"/>
      <c r="AI428" s="108"/>
      <c r="AJ428" s="108"/>
      <c r="AK428" s="108"/>
      <c r="AL428" s="108"/>
      <c r="AM428" s="108"/>
      <c r="AN428" s="108"/>
      <c r="AO428" s="108"/>
      <c r="AP428" s="108"/>
      <c r="AQ428" s="108"/>
      <c r="AR428" s="108"/>
      <c r="AS428" s="108"/>
      <c r="AT428" s="108"/>
      <c r="AU428" s="108"/>
      <c r="AV428" s="108"/>
      <c r="AW428" s="108"/>
      <c r="AX428" s="108"/>
      <c r="AY428" s="108"/>
      <c r="AZ428" s="108"/>
    </row>
    <row r="429" spans="1:52" ht="14.2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108"/>
      <c r="AG429" s="108"/>
      <c r="AH429" s="108"/>
      <c r="AI429" s="108"/>
      <c r="AJ429" s="108"/>
      <c r="AK429" s="108"/>
      <c r="AL429" s="108"/>
      <c r="AM429" s="108"/>
      <c r="AN429" s="108"/>
      <c r="AO429" s="108"/>
      <c r="AP429" s="108"/>
      <c r="AQ429" s="108"/>
      <c r="AR429" s="108"/>
      <c r="AS429" s="108"/>
      <c r="AT429" s="108"/>
      <c r="AU429" s="108"/>
      <c r="AV429" s="108"/>
      <c r="AW429" s="108"/>
      <c r="AX429" s="108"/>
      <c r="AY429" s="108"/>
      <c r="AZ429" s="108"/>
    </row>
    <row r="430" spans="1:52" ht="14.2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  <c r="AF430" s="108"/>
      <c r="AG430" s="108"/>
      <c r="AH430" s="108"/>
      <c r="AI430" s="108"/>
      <c r="AJ430" s="108"/>
      <c r="AK430" s="108"/>
      <c r="AL430" s="108"/>
      <c r="AM430" s="108"/>
      <c r="AN430" s="108"/>
      <c r="AO430" s="108"/>
      <c r="AP430" s="108"/>
      <c r="AQ430" s="108"/>
      <c r="AR430" s="108"/>
      <c r="AS430" s="108"/>
      <c r="AT430" s="108"/>
      <c r="AU430" s="108"/>
      <c r="AV430" s="108"/>
      <c r="AW430" s="108"/>
      <c r="AX430" s="108"/>
      <c r="AY430" s="108"/>
      <c r="AZ430" s="108"/>
    </row>
    <row r="431" spans="1:52" ht="14.2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  <c r="AF431" s="108"/>
      <c r="AG431" s="108"/>
      <c r="AH431" s="108"/>
      <c r="AI431" s="108"/>
      <c r="AJ431" s="108"/>
      <c r="AK431" s="108"/>
      <c r="AL431" s="108"/>
      <c r="AM431" s="108"/>
      <c r="AN431" s="108"/>
      <c r="AO431" s="108"/>
      <c r="AP431" s="108"/>
      <c r="AQ431" s="108"/>
      <c r="AR431" s="108"/>
      <c r="AS431" s="108"/>
      <c r="AT431" s="108"/>
      <c r="AU431" s="108"/>
      <c r="AV431" s="108"/>
      <c r="AW431" s="108"/>
      <c r="AX431" s="108"/>
      <c r="AY431" s="108"/>
      <c r="AZ431" s="108"/>
    </row>
    <row r="432" spans="1:52" ht="14.2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  <c r="AF432" s="108"/>
      <c r="AG432" s="108"/>
      <c r="AH432" s="108"/>
      <c r="AI432" s="108"/>
      <c r="AJ432" s="108"/>
      <c r="AK432" s="108"/>
      <c r="AL432" s="108"/>
      <c r="AM432" s="108"/>
      <c r="AN432" s="108"/>
      <c r="AO432" s="108"/>
      <c r="AP432" s="108"/>
      <c r="AQ432" s="108"/>
      <c r="AR432" s="108"/>
      <c r="AS432" s="108"/>
      <c r="AT432" s="108"/>
      <c r="AU432" s="108"/>
      <c r="AV432" s="108"/>
      <c r="AW432" s="108"/>
      <c r="AX432" s="108"/>
      <c r="AY432" s="108"/>
      <c r="AZ432" s="108"/>
    </row>
    <row r="433" spans="1:52" ht="14.2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08"/>
      <c r="AH433" s="108"/>
      <c r="AI433" s="108"/>
      <c r="AJ433" s="108"/>
      <c r="AK433" s="108"/>
      <c r="AL433" s="108"/>
      <c r="AM433" s="108"/>
      <c r="AN433" s="108"/>
      <c r="AO433" s="108"/>
      <c r="AP433" s="108"/>
      <c r="AQ433" s="108"/>
      <c r="AR433" s="108"/>
      <c r="AS433" s="108"/>
      <c r="AT433" s="108"/>
      <c r="AU433" s="108"/>
      <c r="AV433" s="108"/>
      <c r="AW433" s="108"/>
      <c r="AX433" s="108"/>
      <c r="AY433" s="108"/>
      <c r="AZ433" s="108"/>
    </row>
    <row r="434" spans="1:52" ht="14.2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  <c r="AF434" s="108"/>
      <c r="AG434" s="108"/>
      <c r="AH434" s="108"/>
      <c r="AI434" s="108"/>
      <c r="AJ434" s="108"/>
      <c r="AK434" s="108"/>
      <c r="AL434" s="108"/>
      <c r="AM434" s="108"/>
      <c r="AN434" s="108"/>
      <c r="AO434" s="108"/>
      <c r="AP434" s="108"/>
      <c r="AQ434" s="108"/>
      <c r="AR434" s="108"/>
      <c r="AS434" s="108"/>
      <c r="AT434" s="108"/>
      <c r="AU434" s="108"/>
      <c r="AV434" s="108"/>
      <c r="AW434" s="108"/>
      <c r="AX434" s="108"/>
      <c r="AY434" s="108"/>
      <c r="AZ434" s="108"/>
    </row>
    <row r="435" spans="1:52" ht="14.2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  <c r="AF435" s="108"/>
      <c r="AG435" s="108"/>
      <c r="AH435" s="108"/>
      <c r="AI435" s="108"/>
      <c r="AJ435" s="108"/>
      <c r="AK435" s="108"/>
      <c r="AL435" s="108"/>
      <c r="AM435" s="108"/>
      <c r="AN435" s="108"/>
      <c r="AO435" s="108"/>
      <c r="AP435" s="108"/>
      <c r="AQ435" s="108"/>
      <c r="AR435" s="108"/>
      <c r="AS435" s="108"/>
      <c r="AT435" s="108"/>
      <c r="AU435" s="108"/>
      <c r="AV435" s="108"/>
      <c r="AW435" s="108"/>
      <c r="AX435" s="108"/>
      <c r="AY435" s="108"/>
      <c r="AZ435" s="108"/>
    </row>
    <row r="436" spans="1:52" ht="14.2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  <c r="AF436" s="108"/>
      <c r="AG436" s="108"/>
      <c r="AH436" s="108"/>
      <c r="AI436" s="108"/>
      <c r="AJ436" s="108"/>
      <c r="AK436" s="108"/>
      <c r="AL436" s="108"/>
      <c r="AM436" s="108"/>
      <c r="AN436" s="108"/>
      <c r="AO436" s="108"/>
      <c r="AP436" s="108"/>
      <c r="AQ436" s="108"/>
      <c r="AR436" s="108"/>
      <c r="AS436" s="108"/>
      <c r="AT436" s="108"/>
      <c r="AU436" s="108"/>
      <c r="AV436" s="108"/>
      <c r="AW436" s="108"/>
      <c r="AX436" s="108"/>
      <c r="AY436" s="108"/>
      <c r="AZ436" s="108"/>
    </row>
    <row r="437" spans="1:52" ht="14.2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  <c r="AF437" s="108"/>
      <c r="AG437" s="108"/>
      <c r="AH437" s="108"/>
      <c r="AI437" s="108"/>
      <c r="AJ437" s="108"/>
      <c r="AK437" s="108"/>
      <c r="AL437" s="108"/>
      <c r="AM437" s="108"/>
      <c r="AN437" s="108"/>
      <c r="AO437" s="108"/>
      <c r="AP437" s="108"/>
      <c r="AQ437" s="108"/>
      <c r="AR437" s="108"/>
      <c r="AS437" s="108"/>
      <c r="AT437" s="108"/>
      <c r="AU437" s="108"/>
      <c r="AV437" s="108"/>
      <c r="AW437" s="108"/>
      <c r="AX437" s="108"/>
      <c r="AY437" s="108"/>
      <c r="AZ437" s="108"/>
    </row>
    <row r="438" spans="1:52" ht="14.2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  <c r="AI438" s="108"/>
      <c r="AJ438" s="108"/>
      <c r="AK438" s="108"/>
      <c r="AL438" s="108"/>
      <c r="AM438" s="108"/>
      <c r="AN438" s="108"/>
      <c r="AO438" s="108"/>
      <c r="AP438" s="108"/>
      <c r="AQ438" s="108"/>
      <c r="AR438" s="108"/>
      <c r="AS438" s="108"/>
      <c r="AT438" s="108"/>
      <c r="AU438" s="108"/>
      <c r="AV438" s="108"/>
      <c r="AW438" s="108"/>
      <c r="AX438" s="108"/>
      <c r="AY438" s="108"/>
      <c r="AZ438" s="108"/>
    </row>
    <row r="439" spans="1:52" ht="14.2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  <c r="AG439" s="108"/>
      <c r="AH439" s="108"/>
      <c r="AI439" s="108"/>
      <c r="AJ439" s="108"/>
      <c r="AK439" s="108"/>
      <c r="AL439" s="108"/>
      <c r="AM439" s="108"/>
      <c r="AN439" s="108"/>
      <c r="AO439" s="108"/>
      <c r="AP439" s="108"/>
      <c r="AQ439" s="108"/>
      <c r="AR439" s="108"/>
      <c r="AS439" s="108"/>
      <c r="AT439" s="108"/>
      <c r="AU439" s="108"/>
      <c r="AV439" s="108"/>
      <c r="AW439" s="108"/>
      <c r="AX439" s="108"/>
      <c r="AY439" s="108"/>
      <c r="AZ439" s="108"/>
    </row>
    <row r="440" spans="1:52" ht="14.2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  <c r="AF440" s="108"/>
      <c r="AG440" s="108"/>
      <c r="AH440" s="108"/>
      <c r="AI440" s="108"/>
      <c r="AJ440" s="108"/>
      <c r="AK440" s="108"/>
      <c r="AL440" s="108"/>
      <c r="AM440" s="108"/>
      <c r="AN440" s="108"/>
      <c r="AO440" s="108"/>
      <c r="AP440" s="108"/>
      <c r="AQ440" s="108"/>
      <c r="AR440" s="108"/>
      <c r="AS440" s="108"/>
      <c r="AT440" s="108"/>
      <c r="AU440" s="108"/>
      <c r="AV440" s="108"/>
      <c r="AW440" s="108"/>
      <c r="AX440" s="108"/>
      <c r="AY440" s="108"/>
      <c r="AZ440" s="108"/>
    </row>
    <row r="441" spans="1:52" ht="14.2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/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</row>
    <row r="442" spans="1:52" ht="14.2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  <c r="AG442" s="108"/>
      <c r="AH442" s="108"/>
      <c r="AI442" s="108"/>
      <c r="AJ442" s="108"/>
      <c r="AK442" s="108"/>
      <c r="AL442" s="108"/>
      <c r="AM442" s="108"/>
      <c r="AN442" s="108"/>
      <c r="AO442" s="108"/>
      <c r="AP442" s="108"/>
      <c r="AQ442" s="108"/>
      <c r="AR442" s="108"/>
      <c r="AS442" s="108"/>
      <c r="AT442" s="108"/>
      <c r="AU442" s="108"/>
      <c r="AV442" s="108"/>
      <c r="AW442" s="108"/>
      <c r="AX442" s="108"/>
      <c r="AY442" s="108"/>
      <c r="AZ442" s="108"/>
    </row>
    <row r="443" spans="1:52" ht="14.2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  <c r="AG443" s="108"/>
      <c r="AH443" s="108"/>
      <c r="AI443" s="108"/>
      <c r="AJ443" s="108"/>
      <c r="AK443" s="108"/>
      <c r="AL443" s="108"/>
      <c r="AM443" s="108"/>
      <c r="AN443" s="108"/>
      <c r="AO443" s="108"/>
      <c r="AP443" s="108"/>
      <c r="AQ443" s="108"/>
      <c r="AR443" s="108"/>
      <c r="AS443" s="108"/>
      <c r="AT443" s="108"/>
      <c r="AU443" s="108"/>
      <c r="AV443" s="108"/>
      <c r="AW443" s="108"/>
      <c r="AX443" s="108"/>
      <c r="AY443" s="108"/>
      <c r="AZ443" s="108"/>
    </row>
    <row r="444" spans="1:52" ht="14.2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/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</row>
    <row r="445" spans="1:52" ht="14.2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8"/>
      <c r="AI445" s="108"/>
      <c r="AJ445" s="108"/>
      <c r="AK445" s="108"/>
      <c r="AL445" s="108"/>
      <c r="AM445" s="108"/>
      <c r="AN445" s="108"/>
      <c r="AO445" s="108"/>
      <c r="AP445" s="108"/>
      <c r="AQ445" s="108"/>
      <c r="AR445" s="108"/>
      <c r="AS445" s="108"/>
      <c r="AT445" s="108"/>
      <c r="AU445" s="108"/>
      <c r="AV445" s="108"/>
      <c r="AW445" s="108"/>
      <c r="AX445" s="108"/>
      <c r="AY445" s="108"/>
      <c r="AZ445" s="108"/>
    </row>
    <row r="446" spans="1:52" ht="14.2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  <c r="AG446" s="108"/>
      <c r="AH446" s="108"/>
      <c r="AI446" s="108"/>
      <c r="AJ446" s="108"/>
      <c r="AK446" s="108"/>
      <c r="AL446" s="108"/>
      <c r="AM446" s="108"/>
      <c r="AN446" s="108"/>
      <c r="AO446" s="108"/>
      <c r="AP446" s="108"/>
      <c r="AQ446" s="108"/>
      <c r="AR446" s="108"/>
      <c r="AS446" s="108"/>
      <c r="AT446" s="108"/>
      <c r="AU446" s="108"/>
      <c r="AV446" s="108"/>
      <c r="AW446" s="108"/>
      <c r="AX446" s="108"/>
      <c r="AY446" s="108"/>
      <c r="AZ446" s="108"/>
    </row>
    <row r="447" spans="1:52" ht="14.2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  <c r="AG447" s="108"/>
      <c r="AH447" s="108"/>
      <c r="AI447" s="108"/>
      <c r="AJ447" s="108"/>
      <c r="AK447" s="108"/>
      <c r="AL447" s="108"/>
      <c r="AM447" s="108"/>
      <c r="AN447" s="108"/>
      <c r="AO447" s="108"/>
      <c r="AP447" s="108"/>
      <c r="AQ447" s="108"/>
      <c r="AR447" s="108"/>
      <c r="AS447" s="108"/>
      <c r="AT447" s="108"/>
      <c r="AU447" s="108"/>
      <c r="AV447" s="108"/>
      <c r="AW447" s="108"/>
      <c r="AX447" s="108"/>
      <c r="AY447" s="108"/>
      <c r="AZ447" s="108"/>
    </row>
    <row r="448" spans="1:52" ht="14.2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  <c r="AG448" s="108"/>
      <c r="AH448" s="108"/>
      <c r="AI448" s="108"/>
      <c r="AJ448" s="108"/>
      <c r="AK448" s="108"/>
      <c r="AL448" s="108"/>
      <c r="AM448" s="108"/>
      <c r="AN448" s="108"/>
      <c r="AO448" s="108"/>
      <c r="AP448" s="108"/>
      <c r="AQ448" s="108"/>
      <c r="AR448" s="108"/>
      <c r="AS448" s="108"/>
      <c r="AT448" s="108"/>
      <c r="AU448" s="108"/>
      <c r="AV448" s="108"/>
      <c r="AW448" s="108"/>
      <c r="AX448" s="108"/>
      <c r="AY448" s="108"/>
      <c r="AZ448" s="108"/>
    </row>
    <row r="449" spans="1:52" ht="14.2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  <c r="AG449" s="108"/>
      <c r="AH449" s="108"/>
      <c r="AI449" s="108"/>
      <c r="AJ449" s="108"/>
      <c r="AK449" s="108"/>
      <c r="AL449" s="108"/>
      <c r="AM449" s="108"/>
      <c r="AN449" s="108"/>
      <c r="AO449" s="108"/>
      <c r="AP449" s="108"/>
      <c r="AQ449" s="108"/>
      <c r="AR449" s="108"/>
      <c r="AS449" s="108"/>
      <c r="AT449" s="108"/>
      <c r="AU449" s="108"/>
      <c r="AV449" s="108"/>
      <c r="AW449" s="108"/>
      <c r="AX449" s="108"/>
      <c r="AY449" s="108"/>
      <c r="AZ449" s="108"/>
    </row>
    <row r="450" spans="1:52" ht="14.2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  <c r="AG450" s="108"/>
      <c r="AH450" s="108"/>
      <c r="AI450" s="108"/>
      <c r="AJ450" s="108"/>
      <c r="AK450" s="108"/>
      <c r="AL450" s="108"/>
      <c r="AM450" s="108"/>
      <c r="AN450" s="108"/>
      <c r="AO450" s="108"/>
      <c r="AP450" s="108"/>
      <c r="AQ450" s="108"/>
      <c r="AR450" s="108"/>
      <c r="AS450" s="108"/>
      <c r="AT450" s="108"/>
      <c r="AU450" s="108"/>
      <c r="AV450" s="108"/>
      <c r="AW450" s="108"/>
      <c r="AX450" s="108"/>
      <c r="AY450" s="108"/>
      <c r="AZ450" s="108"/>
    </row>
    <row r="451" spans="1:52" ht="14.2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  <c r="AG451" s="108"/>
      <c r="AH451" s="108"/>
      <c r="AI451" s="108"/>
      <c r="AJ451" s="108"/>
      <c r="AK451" s="108"/>
      <c r="AL451" s="108"/>
      <c r="AM451" s="108"/>
      <c r="AN451" s="108"/>
      <c r="AO451" s="108"/>
      <c r="AP451" s="108"/>
      <c r="AQ451" s="108"/>
      <c r="AR451" s="108"/>
      <c r="AS451" s="108"/>
      <c r="AT451" s="108"/>
      <c r="AU451" s="108"/>
      <c r="AV451" s="108"/>
      <c r="AW451" s="108"/>
      <c r="AX451" s="108"/>
      <c r="AY451" s="108"/>
      <c r="AZ451" s="108"/>
    </row>
    <row r="452" spans="1:52" ht="14.2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  <c r="AG452" s="108"/>
      <c r="AH452" s="108"/>
      <c r="AI452" s="108"/>
      <c r="AJ452" s="108"/>
      <c r="AK452" s="108"/>
      <c r="AL452" s="108"/>
      <c r="AM452" s="108"/>
      <c r="AN452" s="108"/>
      <c r="AO452" s="108"/>
      <c r="AP452" s="108"/>
      <c r="AQ452" s="108"/>
      <c r="AR452" s="108"/>
      <c r="AS452" s="108"/>
      <c r="AT452" s="108"/>
      <c r="AU452" s="108"/>
      <c r="AV452" s="108"/>
      <c r="AW452" s="108"/>
      <c r="AX452" s="108"/>
      <c r="AY452" s="108"/>
      <c r="AZ452" s="108"/>
    </row>
    <row r="453" spans="1:52" ht="14.2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  <c r="AI453" s="108"/>
      <c r="AJ453" s="108"/>
      <c r="AK453" s="108"/>
      <c r="AL453" s="108"/>
      <c r="AM453" s="108"/>
      <c r="AN453" s="108"/>
      <c r="AO453" s="108"/>
      <c r="AP453" s="108"/>
      <c r="AQ453" s="108"/>
      <c r="AR453" s="108"/>
      <c r="AS453" s="108"/>
      <c r="AT453" s="108"/>
      <c r="AU453" s="108"/>
      <c r="AV453" s="108"/>
      <c r="AW453" s="108"/>
      <c r="AX453" s="108"/>
      <c r="AY453" s="108"/>
      <c r="AZ453" s="108"/>
    </row>
    <row r="454" spans="1:52" ht="14.2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  <c r="AG454" s="108"/>
      <c r="AH454" s="108"/>
      <c r="AI454" s="108"/>
      <c r="AJ454" s="108"/>
      <c r="AK454" s="108"/>
      <c r="AL454" s="108"/>
      <c r="AM454" s="108"/>
      <c r="AN454" s="108"/>
      <c r="AO454" s="108"/>
      <c r="AP454" s="108"/>
      <c r="AQ454" s="108"/>
      <c r="AR454" s="108"/>
      <c r="AS454" s="108"/>
      <c r="AT454" s="108"/>
      <c r="AU454" s="108"/>
      <c r="AV454" s="108"/>
      <c r="AW454" s="108"/>
      <c r="AX454" s="108"/>
      <c r="AY454" s="108"/>
      <c r="AZ454" s="108"/>
    </row>
    <row r="455" spans="1:52" ht="14.2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  <c r="AG455" s="108"/>
      <c r="AH455" s="108"/>
      <c r="AI455" s="108"/>
      <c r="AJ455" s="108"/>
      <c r="AK455" s="108"/>
      <c r="AL455" s="108"/>
      <c r="AM455" s="108"/>
      <c r="AN455" s="108"/>
      <c r="AO455" s="108"/>
      <c r="AP455" s="108"/>
      <c r="AQ455" s="108"/>
      <c r="AR455" s="108"/>
      <c r="AS455" s="108"/>
      <c r="AT455" s="108"/>
      <c r="AU455" s="108"/>
      <c r="AV455" s="108"/>
      <c r="AW455" s="108"/>
      <c r="AX455" s="108"/>
      <c r="AY455" s="108"/>
      <c r="AZ455" s="108"/>
    </row>
    <row r="456" spans="1:52" ht="14.2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  <c r="AG456" s="108"/>
      <c r="AH456" s="108"/>
      <c r="AI456" s="108"/>
      <c r="AJ456" s="108"/>
      <c r="AK456" s="108"/>
      <c r="AL456" s="108"/>
      <c r="AM456" s="108"/>
      <c r="AN456" s="108"/>
      <c r="AO456" s="108"/>
      <c r="AP456" s="108"/>
      <c r="AQ456" s="108"/>
      <c r="AR456" s="108"/>
      <c r="AS456" s="108"/>
      <c r="AT456" s="108"/>
      <c r="AU456" s="108"/>
      <c r="AV456" s="108"/>
      <c r="AW456" s="108"/>
      <c r="AX456" s="108"/>
      <c r="AY456" s="108"/>
      <c r="AZ456" s="108"/>
    </row>
    <row r="457" spans="1:52" ht="14.2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  <c r="AF457" s="108"/>
      <c r="AG457" s="108"/>
      <c r="AH457" s="108"/>
      <c r="AI457" s="108"/>
      <c r="AJ457" s="108"/>
      <c r="AK457" s="108"/>
      <c r="AL457" s="108"/>
      <c r="AM457" s="108"/>
      <c r="AN457" s="108"/>
      <c r="AO457" s="108"/>
      <c r="AP457" s="108"/>
      <c r="AQ457" s="108"/>
      <c r="AR457" s="108"/>
      <c r="AS457" s="108"/>
      <c r="AT457" s="108"/>
      <c r="AU457" s="108"/>
      <c r="AV457" s="108"/>
      <c r="AW457" s="108"/>
      <c r="AX457" s="108"/>
      <c r="AY457" s="108"/>
      <c r="AZ457" s="108"/>
    </row>
    <row r="458" spans="1:52" ht="14.2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  <c r="AF458" s="108"/>
      <c r="AG458" s="108"/>
      <c r="AH458" s="108"/>
      <c r="AI458" s="108"/>
      <c r="AJ458" s="108"/>
      <c r="AK458" s="108"/>
      <c r="AL458" s="108"/>
      <c r="AM458" s="108"/>
      <c r="AN458" s="108"/>
      <c r="AO458" s="108"/>
      <c r="AP458" s="108"/>
      <c r="AQ458" s="108"/>
      <c r="AR458" s="108"/>
      <c r="AS458" s="108"/>
      <c r="AT458" s="108"/>
      <c r="AU458" s="108"/>
      <c r="AV458" s="108"/>
      <c r="AW458" s="108"/>
      <c r="AX458" s="108"/>
      <c r="AY458" s="108"/>
      <c r="AZ458" s="108"/>
    </row>
    <row r="459" spans="1:52" ht="14.2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  <c r="AF459" s="108"/>
      <c r="AG459" s="108"/>
      <c r="AH459" s="108"/>
      <c r="AI459" s="108"/>
      <c r="AJ459" s="108"/>
      <c r="AK459" s="108"/>
      <c r="AL459" s="108"/>
      <c r="AM459" s="108"/>
      <c r="AN459" s="108"/>
      <c r="AO459" s="108"/>
      <c r="AP459" s="108"/>
      <c r="AQ459" s="108"/>
      <c r="AR459" s="108"/>
      <c r="AS459" s="108"/>
      <c r="AT459" s="108"/>
      <c r="AU459" s="108"/>
      <c r="AV459" s="108"/>
      <c r="AW459" s="108"/>
      <c r="AX459" s="108"/>
      <c r="AY459" s="108"/>
      <c r="AZ459" s="108"/>
    </row>
    <row r="460" spans="1:52" ht="14.2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  <c r="AI460" s="108"/>
      <c r="AJ460" s="108"/>
      <c r="AK460" s="108"/>
      <c r="AL460" s="108"/>
      <c r="AM460" s="108"/>
      <c r="AN460" s="108"/>
      <c r="AO460" s="108"/>
      <c r="AP460" s="108"/>
      <c r="AQ460" s="108"/>
      <c r="AR460" s="108"/>
      <c r="AS460" s="108"/>
      <c r="AT460" s="108"/>
      <c r="AU460" s="108"/>
      <c r="AV460" s="108"/>
      <c r="AW460" s="108"/>
      <c r="AX460" s="108"/>
      <c r="AY460" s="108"/>
      <c r="AZ460" s="108"/>
    </row>
    <row r="461" spans="1:52" ht="14.2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  <c r="AG461" s="108"/>
      <c r="AH461" s="108"/>
      <c r="AI461" s="108"/>
      <c r="AJ461" s="108"/>
      <c r="AK461" s="108"/>
      <c r="AL461" s="108"/>
      <c r="AM461" s="108"/>
      <c r="AN461" s="108"/>
      <c r="AO461" s="108"/>
      <c r="AP461" s="108"/>
      <c r="AQ461" s="108"/>
      <c r="AR461" s="108"/>
      <c r="AS461" s="108"/>
      <c r="AT461" s="108"/>
      <c r="AU461" s="108"/>
      <c r="AV461" s="108"/>
      <c r="AW461" s="108"/>
      <c r="AX461" s="108"/>
      <c r="AY461" s="108"/>
      <c r="AZ461" s="108"/>
    </row>
    <row r="462" spans="1:52" ht="14.2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  <c r="AG462" s="108"/>
      <c r="AH462" s="108"/>
      <c r="AI462" s="108"/>
      <c r="AJ462" s="108"/>
      <c r="AK462" s="108"/>
      <c r="AL462" s="108"/>
      <c r="AM462" s="108"/>
      <c r="AN462" s="108"/>
      <c r="AO462" s="108"/>
      <c r="AP462" s="108"/>
      <c r="AQ462" s="108"/>
      <c r="AR462" s="108"/>
      <c r="AS462" s="108"/>
      <c r="AT462" s="108"/>
      <c r="AU462" s="108"/>
      <c r="AV462" s="108"/>
      <c r="AW462" s="108"/>
      <c r="AX462" s="108"/>
      <c r="AY462" s="108"/>
      <c r="AZ462" s="108"/>
    </row>
    <row r="463" spans="1:52" ht="14.2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  <c r="AG463" s="108"/>
      <c r="AH463" s="108"/>
      <c r="AI463" s="108"/>
      <c r="AJ463" s="108"/>
      <c r="AK463" s="108"/>
      <c r="AL463" s="108"/>
      <c r="AM463" s="108"/>
      <c r="AN463" s="108"/>
      <c r="AO463" s="108"/>
      <c r="AP463" s="108"/>
      <c r="AQ463" s="108"/>
      <c r="AR463" s="108"/>
      <c r="AS463" s="108"/>
      <c r="AT463" s="108"/>
      <c r="AU463" s="108"/>
      <c r="AV463" s="108"/>
      <c r="AW463" s="108"/>
      <c r="AX463" s="108"/>
      <c r="AY463" s="108"/>
      <c r="AZ463" s="108"/>
    </row>
    <row r="464" spans="1:52" ht="14.2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  <c r="AG464" s="108"/>
      <c r="AH464" s="108"/>
      <c r="AI464" s="108"/>
      <c r="AJ464" s="108"/>
      <c r="AK464" s="108"/>
      <c r="AL464" s="108"/>
      <c r="AM464" s="108"/>
      <c r="AN464" s="108"/>
      <c r="AO464" s="108"/>
      <c r="AP464" s="108"/>
      <c r="AQ464" s="108"/>
      <c r="AR464" s="108"/>
      <c r="AS464" s="108"/>
      <c r="AT464" s="108"/>
      <c r="AU464" s="108"/>
      <c r="AV464" s="108"/>
      <c r="AW464" s="108"/>
      <c r="AX464" s="108"/>
      <c r="AY464" s="108"/>
      <c r="AZ464" s="108"/>
    </row>
    <row r="465" spans="1:52" ht="14.2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  <c r="AG465" s="108"/>
      <c r="AH465" s="108"/>
      <c r="AI465" s="108"/>
      <c r="AJ465" s="108"/>
      <c r="AK465" s="108"/>
      <c r="AL465" s="108"/>
      <c r="AM465" s="108"/>
      <c r="AN465" s="108"/>
      <c r="AO465" s="108"/>
      <c r="AP465" s="108"/>
      <c r="AQ465" s="108"/>
      <c r="AR465" s="108"/>
      <c r="AS465" s="108"/>
      <c r="AT465" s="108"/>
      <c r="AU465" s="108"/>
      <c r="AV465" s="108"/>
      <c r="AW465" s="108"/>
      <c r="AX465" s="108"/>
      <c r="AY465" s="108"/>
      <c r="AZ465" s="108"/>
    </row>
    <row r="466" spans="1:52" ht="14.2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  <c r="AI466" s="108"/>
      <c r="AJ466" s="108"/>
      <c r="AK466" s="108"/>
      <c r="AL466" s="108"/>
      <c r="AM466" s="108"/>
      <c r="AN466" s="108"/>
      <c r="AO466" s="108"/>
      <c r="AP466" s="108"/>
      <c r="AQ466" s="108"/>
      <c r="AR466" s="108"/>
      <c r="AS466" s="108"/>
      <c r="AT466" s="108"/>
      <c r="AU466" s="108"/>
      <c r="AV466" s="108"/>
      <c r="AW466" s="108"/>
      <c r="AX466" s="108"/>
      <c r="AY466" s="108"/>
      <c r="AZ466" s="108"/>
    </row>
    <row r="467" spans="1:52" ht="14.2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  <c r="AG467" s="108"/>
      <c r="AH467" s="108"/>
      <c r="AI467" s="108"/>
      <c r="AJ467" s="108"/>
      <c r="AK467" s="108"/>
      <c r="AL467" s="108"/>
      <c r="AM467" s="108"/>
      <c r="AN467" s="108"/>
      <c r="AO467" s="108"/>
      <c r="AP467" s="108"/>
      <c r="AQ467" s="108"/>
      <c r="AR467" s="108"/>
      <c r="AS467" s="108"/>
      <c r="AT467" s="108"/>
      <c r="AU467" s="108"/>
      <c r="AV467" s="108"/>
      <c r="AW467" s="108"/>
      <c r="AX467" s="108"/>
      <c r="AY467" s="108"/>
      <c r="AZ467" s="108"/>
    </row>
    <row r="468" spans="1:52" ht="14.2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  <c r="AG468" s="108"/>
      <c r="AH468" s="108"/>
      <c r="AI468" s="108"/>
      <c r="AJ468" s="108"/>
      <c r="AK468" s="108"/>
      <c r="AL468" s="108"/>
      <c r="AM468" s="108"/>
      <c r="AN468" s="108"/>
      <c r="AO468" s="108"/>
      <c r="AP468" s="108"/>
      <c r="AQ468" s="108"/>
      <c r="AR468" s="108"/>
      <c r="AS468" s="108"/>
      <c r="AT468" s="108"/>
      <c r="AU468" s="108"/>
      <c r="AV468" s="108"/>
      <c r="AW468" s="108"/>
      <c r="AX468" s="108"/>
      <c r="AY468" s="108"/>
      <c r="AZ468" s="108"/>
    </row>
    <row r="469" spans="1:52" ht="14.2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  <c r="AG469" s="108"/>
      <c r="AH469" s="108"/>
      <c r="AI469" s="108"/>
      <c r="AJ469" s="108"/>
      <c r="AK469" s="108"/>
      <c r="AL469" s="108"/>
      <c r="AM469" s="108"/>
      <c r="AN469" s="108"/>
      <c r="AO469" s="108"/>
      <c r="AP469" s="108"/>
      <c r="AQ469" s="108"/>
      <c r="AR469" s="108"/>
      <c r="AS469" s="108"/>
      <c r="AT469" s="108"/>
      <c r="AU469" s="108"/>
      <c r="AV469" s="108"/>
      <c r="AW469" s="108"/>
      <c r="AX469" s="108"/>
      <c r="AY469" s="108"/>
      <c r="AZ469" s="108"/>
    </row>
    <row r="470" spans="1:52" ht="14.2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  <c r="AG470" s="108"/>
      <c r="AH470" s="108"/>
      <c r="AI470" s="108"/>
      <c r="AJ470" s="108"/>
      <c r="AK470" s="108"/>
      <c r="AL470" s="108"/>
      <c r="AM470" s="108"/>
      <c r="AN470" s="108"/>
      <c r="AO470" s="108"/>
      <c r="AP470" s="108"/>
      <c r="AQ470" s="108"/>
      <c r="AR470" s="108"/>
      <c r="AS470" s="108"/>
      <c r="AT470" s="108"/>
      <c r="AU470" s="108"/>
      <c r="AV470" s="108"/>
      <c r="AW470" s="108"/>
      <c r="AX470" s="108"/>
      <c r="AY470" s="108"/>
      <c r="AZ470" s="108"/>
    </row>
    <row r="471" spans="1:52" ht="14.2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  <c r="AG471" s="108"/>
      <c r="AH471" s="108"/>
      <c r="AI471" s="108"/>
      <c r="AJ471" s="108"/>
      <c r="AK471" s="108"/>
      <c r="AL471" s="108"/>
      <c r="AM471" s="108"/>
      <c r="AN471" s="108"/>
      <c r="AO471" s="108"/>
      <c r="AP471" s="108"/>
      <c r="AQ471" s="108"/>
      <c r="AR471" s="108"/>
      <c r="AS471" s="108"/>
      <c r="AT471" s="108"/>
      <c r="AU471" s="108"/>
      <c r="AV471" s="108"/>
      <c r="AW471" s="108"/>
      <c r="AX471" s="108"/>
      <c r="AY471" s="108"/>
      <c r="AZ471" s="108"/>
    </row>
    <row r="472" spans="1:52" ht="14.2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  <c r="AI472" s="108"/>
      <c r="AJ472" s="108"/>
      <c r="AK472" s="108"/>
      <c r="AL472" s="108"/>
      <c r="AM472" s="108"/>
      <c r="AN472" s="108"/>
      <c r="AO472" s="108"/>
      <c r="AP472" s="108"/>
      <c r="AQ472" s="108"/>
      <c r="AR472" s="108"/>
      <c r="AS472" s="108"/>
      <c r="AT472" s="108"/>
      <c r="AU472" s="108"/>
      <c r="AV472" s="108"/>
      <c r="AW472" s="108"/>
      <c r="AX472" s="108"/>
      <c r="AY472" s="108"/>
      <c r="AZ472" s="108"/>
    </row>
    <row r="473" spans="1:52" ht="14.2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  <c r="AG473" s="108"/>
      <c r="AH473" s="108"/>
      <c r="AI473" s="108"/>
      <c r="AJ473" s="108"/>
      <c r="AK473" s="108"/>
      <c r="AL473" s="108"/>
      <c r="AM473" s="108"/>
      <c r="AN473" s="108"/>
      <c r="AO473" s="108"/>
      <c r="AP473" s="108"/>
      <c r="AQ473" s="108"/>
      <c r="AR473" s="108"/>
      <c r="AS473" s="108"/>
      <c r="AT473" s="108"/>
      <c r="AU473" s="108"/>
      <c r="AV473" s="108"/>
      <c r="AW473" s="108"/>
      <c r="AX473" s="108"/>
      <c r="AY473" s="108"/>
      <c r="AZ473" s="108"/>
    </row>
    <row r="474" spans="1:52" ht="14.2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  <c r="AG474" s="108"/>
      <c r="AH474" s="108"/>
      <c r="AI474" s="108"/>
      <c r="AJ474" s="108"/>
      <c r="AK474" s="108"/>
      <c r="AL474" s="108"/>
      <c r="AM474" s="108"/>
      <c r="AN474" s="108"/>
      <c r="AO474" s="108"/>
      <c r="AP474" s="108"/>
      <c r="AQ474" s="108"/>
      <c r="AR474" s="108"/>
      <c r="AS474" s="108"/>
      <c r="AT474" s="108"/>
      <c r="AU474" s="108"/>
      <c r="AV474" s="108"/>
      <c r="AW474" s="108"/>
      <c r="AX474" s="108"/>
      <c r="AY474" s="108"/>
      <c r="AZ474" s="108"/>
    </row>
    <row r="475" spans="1:52" ht="14.2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  <c r="AG475" s="108"/>
      <c r="AH475" s="108"/>
      <c r="AI475" s="108"/>
      <c r="AJ475" s="108"/>
      <c r="AK475" s="108"/>
      <c r="AL475" s="108"/>
      <c r="AM475" s="108"/>
      <c r="AN475" s="108"/>
      <c r="AO475" s="108"/>
      <c r="AP475" s="108"/>
      <c r="AQ475" s="108"/>
      <c r="AR475" s="108"/>
      <c r="AS475" s="108"/>
      <c r="AT475" s="108"/>
      <c r="AU475" s="108"/>
      <c r="AV475" s="108"/>
      <c r="AW475" s="108"/>
      <c r="AX475" s="108"/>
      <c r="AY475" s="108"/>
      <c r="AZ475" s="108"/>
    </row>
    <row r="476" spans="1:52" ht="14.2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  <c r="AG476" s="108"/>
      <c r="AH476" s="108"/>
      <c r="AI476" s="108"/>
      <c r="AJ476" s="108"/>
      <c r="AK476" s="108"/>
      <c r="AL476" s="108"/>
      <c r="AM476" s="108"/>
      <c r="AN476" s="108"/>
      <c r="AO476" s="108"/>
      <c r="AP476" s="108"/>
      <c r="AQ476" s="108"/>
      <c r="AR476" s="108"/>
      <c r="AS476" s="108"/>
      <c r="AT476" s="108"/>
      <c r="AU476" s="108"/>
      <c r="AV476" s="108"/>
      <c r="AW476" s="108"/>
      <c r="AX476" s="108"/>
      <c r="AY476" s="108"/>
      <c r="AZ476" s="108"/>
    </row>
    <row r="477" spans="1:52" ht="14.2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  <c r="AG477" s="108"/>
      <c r="AH477" s="108"/>
      <c r="AI477" s="108"/>
      <c r="AJ477" s="108"/>
      <c r="AK477" s="108"/>
      <c r="AL477" s="108"/>
      <c r="AM477" s="108"/>
      <c r="AN477" s="108"/>
      <c r="AO477" s="108"/>
      <c r="AP477" s="108"/>
      <c r="AQ477" s="108"/>
      <c r="AR477" s="108"/>
      <c r="AS477" s="108"/>
      <c r="AT477" s="108"/>
      <c r="AU477" s="108"/>
      <c r="AV477" s="108"/>
      <c r="AW477" s="108"/>
      <c r="AX477" s="108"/>
      <c r="AY477" s="108"/>
      <c r="AZ477" s="108"/>
    </row>
    <row r="478" spans="1:52" ht="14.2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  <c r="AG478" s="108"/>
      <c r="AH478" s="108"/>
      <c r="AI478" s="108"/>
      <c r="AJ478" s="108"/>
      <c r="AK478" s="108"/>
      <c r="AL478" s="108"/>
      <c r="AM478" s="108"/>
      <c r="AN478" s="108"/>
      <c r="AO478" s="108"/>
      <c r="AP478" s="108"/>
      <c r="AQ478" s="108"/>
      <c r="AR478" s="108"/>
      <c r="AS478" s="108"/>
      <c r="AT478" s="108"/>
      <c r="AU478" s="108"/>
      <c r="AV478" s="108"/>
      <c r="AW478" s="108"/>
      <c r="AX478" s="108"/>
      <c r="AY478" s="108"/>
      <c r="AZ478" s="108"/>
    </row>
    <row r="479" spans="1:52" ht="14.2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/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</row>
    <row r="480" spans="1:52" ht="14.2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  <c r="AF480" s="108"/>
      <c r="AG480" s="108"/>
      <c r="AH480" s="108"/>
      <c r="AI480" s="108"/>
      <c r="AJ480" s="108"/>
      <c r="AK480" s="108"/>
      <c r="AL480" s="108"/>
      <c r="AM480" s="108"/>
      <c r="AN480" s="108"/>
      <c r="AO480" s="108"/>
      <c r="AP480" s="108"/>
      <c r="AQ480" s="108"/>
      <c r="AR480" s="108"/>
      <c r="AS480" s="108"/>
      <c r="AT480" s="108"/>
      <c r="AU480" s="108"/>
      <c r="AV480" s="108"/>
      <c r="AW480" s="108"/>
      <c r="AX480" s="108"/>
      <c r="AY480" s="108"/>
      <c r="AZ480" s="108"/>
    </row>
    <row r="481" spans="1:52" ht="14.2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08"/>
      <c r="AG481" s="108"/>
      <c r="AH481" s="108"/>
      <c r="AI481" s="108"/>
      <c r="AJ481" s="108"/>
      <c r="AK481" s="108"/>
      <c r="AL481" s="108"/>
      <c r="AM481" s="108"/>
      <c r="AN481" s="108"/>
      <c r="AO481" s="108"/>
      <c r="AP481" s="108"/>
      <c r="AQ481" s="108"/>
      <c r="AR481" s="108"/>
      <c r="AS481" s="108"/>
      <c r="AT481" s="108"/>
      <c r="AU481" s="108"/>
      <c r="AV481" s="108"/>
      <c r="AW481" s="108"/>
      <c r="AX481" s="108"/>
      <c r="AY481" s="108"/>
      <c r="AZ481" s="108"/>
    </row>
    <row r="482" spans="1:52" ht="14.2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/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</row>
    <row r="483" spans="1:52" ht="14.2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  <c r="AF483" s="108"/>
      <c r="AG483" s="108"/>
      <c r="AH483" s="108"/>
      <c r="AI483" s="108"/>
      <c r="AJ483" s="108"/>
      <c r="AK483" s="108"/>
      <c r="AL483" s="108"/>
      <c r="AM483" s="108"/>
      <c r="AN483" s="108"/>
      <c r="AO483" s="108"/>
      <c r="AP483" s="108"/>
      <c r="AQ483" s="108"/>
      <c r="AR483" s="108"/>
      <c r="AS483" s="108"/>
      <c r="AT483" s="108"/>
      <c r="AU483" s="108"/>
      <c r="AV483" s="108"/>
      <c r="AW483" s="108"/>
      <c r="AX483" s="108"/>
      <c r="AY483" s="108"/>
      <c r="AZ483" s="108"/>
    </row>
    <row r="484" spans="1:52" ht="14.2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  <c r="AF484" s="108"/>
      <c r="AG484" s="108"/>
      <c r="AH484" s="108"/>
      <c r="AI484" s="108"/>
      <c r="AJ484" s="108"/>
      <c r="AK484" s="108"/>
      <c r="AL484" s="108"/>
      <c r="AM484" s="108"/>
      <c r="AN484" s="108"/>
      <c r="AO484" s="108"/>
      <c r="AP484" s="108"/>
      <c r="AQ484" s="108"/>
      <c r="AR484" s="108"/>
      <c r="AS484" s="108"/>
      <c r="AT484" s="108"/>
      <c r="AU484" s="108"/>
      <c r="AV484" s="108"/>
      <c r="AW484" s="108"/>
      <c r="AX484" s="108"/>
      <c r="AY484" s="108"/>
      <c r="AZ484" s="108"/>
    </row>
    <row r="485" spans="1:52" ht="14.2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  <c r="AF485" s="108"/>
      <c r="AG485" s="108"/>
      <c r="AH485" s="108"/>
      <c r="AI485" s="108"/>
      <c r="AJ485" s="108"/>
      <c r="AK485" s="108"/>
      <c r="AL485" s="108"/>
      <c r="AM485" s="108"/>
      <c r="AN485" s="108"/>
      <c r="AO485" s="108"/>
      <c r="AP485" s="108"/>
      <c r="AQ485" s="108"/>
      <c r="AR485" s="108"/>
      <c r="AS485" s="108"/>
      <c r="AT485" s="108"/>
      <c r="AU485" s="108"/>
      <c r="AV485" s="108"/>
      <c r="AW485" s="108"/>
      <c r="AX485" s="108"/>
      <c r="AY485" s="108"/>
      <c r="AZ485" s="108"/>
    </row>
    <row r="486" spans="1:52" ht="14.2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  <c r="AF486" s="108"/>
      <c r="AG486" s="108"/>
      <c r="AH486" s="108"/>
      <c r="AI486" s="108"/>
      <c r="AJ486" s="108"/>
      <c r="AK486" s="108"/>
      <c r="AL486" s="108"/>
      <c r="AM486" s="108"/>
      <c r="AN486" s="108"/>
      <c r="AO486" s="108"/>
      <c r="AP486" s="108"/>
      <c r="AQ486" s="108"/>
      <c r="AR486" s="108"/>
      <c r="AS486" s="108"/>
      <c r="AT486" s="108"/>
      <c r="AU486" s="108"/>
      <c r="AV486" s="108"/>
      <c r="AW486" s="108"/>
      <c r="AX486" s="108"/>
      <c r="AY486" s="108"/>
      <c r="AZ486" s="108"/>
    </row>
    <row r="487" spans="1:52" ht="14.2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  <c r="AF487" s="108"/>
      <c r="AG487" s="108"/>
      <c r="AH487" s="108"/>
      <c r="AI487" s="108"/>
      <c r="AJ487" s="108"/>
      <c r="AK487" s="108"/>
      <c r="AL487" s="108"/>
      <c r="AM487" s="108"/>
      <c r="AN487" s="108"/>
      <c r="AO487" s="108"/>
      <c r="AP487" s="108"/>
      <c r="AQ487" s="108"/>
      <c r="AR487" s="108"/>
      <c r="AS487" s="108"/>
      <c r="AT487" s="108"/>
      <c r="AU487" s="108"/>
      <c r="AV487" s="108"/>
      <c r="AW487" s="108"/>
      <c r="AX487" s="108"/>
      <c r="AY487" s="108"/>
      <c r="AZ487" s="108"/>
    </row>
    <row r="488" spans="1:52" ht="14.2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  <c r="AF488" s="108"/>
      <c r="AG488" s="108"/>
      <c r="AH488" s="108"/>
      <c r="AI488" s="108"/>
      <c r="AJ488" s="108"/>
      <c r="AK488" s="108"/>
      <c r="AL488" s="108"/>
      <c r="AM488" s="108"/>
      <c r="AN488" s="108"/>
      <c r="AO488" s="108"/>
      <c r="AP488" s="108"/>
      <c r="AQ488" s="108"/>
      <c r="AR488" s="108"/>
      <c r="AS488" s="108"/>
      <c r="AT488" s="108"/>
      <c r="AU488" s="108"/>
      <c r="AV488" s="108"/>
      <c r="AW488" s="108"/>
      <c r="AX488" s="108"/>
      <c r="AY488" s="108"/>
      <c r="AZ488" s="108"/>
    </row>
    <row r="489" spans="1:52" ht="14.2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  <c r="AG489" s="108"/>
      <c r="AH489" s="108"/>
      <c r="AI489" s="108"/>
      <c r="AJ489" s="108"/>
      <c r="AK489" s="108"/>
      <c r="AL489" s="108"/>
      <c r="AM489" s="108"/>
      <c r="AN489" s="108"/>
      <c r="AO489" s="108"/>
      <c r="AP489" s="108"/>
      <c r="AQ489" s="108"/>
      <c r="AR489" s="108"/>
      <c r="AS489" s="108"/>
      <c r="AT489" s="108"/>
      <c r="AU489" s="108"/>
      <c r="AV489" s="108"/>
      <c r="AW489" s="108"/>
      <c r="AX489" s="108"/>
      <c r="AY489" s="108"/>
      <c r="AZ489" s="108"/>
    </row>
    <row r="490" spans="1:52" ht="14.2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  <c r="AF490" s="108"/>
      <c r="AG490" s="108"/>
      <c r="AH490" s="108"/>
      <c r="AI490" s="108"/>
      <c r="AJ490" s="108"/>
      <c r="AK490" s="108"/>
      <c r="AL490" s="108"/>
      <c r="AM490" s="108"/>
      <c r="AN490" s="108"/>
      <c r="AO490" s="108"/>
      <c r="AP490" s="108"/>
      <c r="AQ490" s="108"/>
      <c r="AR490" s="108"/>
      <c r="AS490" s="108"/>
      <c r="AT490" s="108"/>
      <c r="AU490" s="108"/>
      <c r="AV490" s="108"/>
      <c r="AW490" s="108"/>
      <c r="AX490" s="108"/>
      <c r="AY490" s="108"/>
      <c r="AZ490" s="108"/>
    </row>
    <row r="491" spans="1:52" ht="14.2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  <c r="AF491" s="108"/>
      <c r="AG491" s="108"/>
      <c r="AH491" s="108"/>
      <c r="AI491" s="108"/>
      <c r="AJ491" s="108"/>
      <c r="AK491" s="108"/>
      <c r="AL491" s="108"/>
      <c r="AM491" s="108"/>
      <c r="AN491" s="108"/>
      <c r="AO491" s="108"/>
      <c r="AP491" s="108"/>
      <c r="AQ491" s="108"/>
      <c r="AR491" s="108"/>
      <c r="AS491" s="108"/>
      <c r="AT491" s="108"/>
      <c r="AU491" s="108"/>
      <c r="AV491" s="108"/>
      <c r="AW491" s="108"/>
      <c r="AX491" s="108"/>
      <c r="AY491" s="108"/>
      <c r="AZ491" s="108"/>
    </row>
    <row r="492" spans="1:52" ht="14.2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  <c r="AF492" s="108"/>
      <c r="AG492" s="108"/>
      <c r="AH492" s="108"/>
      <c r="AI492" s="108"/>
      <c r="AJ492" s="108"/>
      <c r="AK492" s="108"/>
      <c r="AL492" s="108"/>
      <c r="AM492" s="108"/>
      <c r="AN492" s="108"/>
      <c r="AO492" s="108"/>
      <c r="AP492" s="108"/>
      <c r="AQ492" s="108"/>
      <c r="AR492" s="108"/>
      <c r="AS492" s="108"/>
      <c r="AT492" s="108"/>
      <c r="AU492" s="108"/>
      <c r="AV492" s="108"/>
      <c r="AW492" s="108"/>
      <c r="AX492" s="108"/>
      <c r="AY492" s="108"/>
      <c r="AZ492" s="108"/>
    </row>
    <row r="493" spans="1:52" ht="14.2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  <c r="AF493" s="108"/>
      <c r="AG493" s="108"/>
      <c r="AH493" s="108"/>
      <c r="AI493" s="108"/>
      <c r="AJ493" s="108"/>
      <c r="AK493" s="108"/>
      <c r="AL493" s="108"/>
      <c r="AM493" s="108"/>
      <c r="AN493" s="108"/>
      <c r="AO493" s="108"/>
      <c r="AP493" s="108"/>
      <c r="AQ493" s="108"/>
      <c r="AR493" s="108"/>
      <c r="AS493" s="108"/>
      <c r="AT493" s="108"/>
      <c r="AU493" s="108"/>
      <c r="AV493" s="108"/>
      <c r="AW493" s="108"/>
      <c r="AX493" s="108"/>
      <c r="AY493" s="108"/>
      <c r="AZ493" s="108"/>
    </row>
    <row r="494" spans="1:52" ht="14.2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  <c r="AI494" s="108"/>
      <c r="AJ494" s="108"/>
      <c r="AK494" s="108"/>
      <c r="AL494" s="108"/>
      <c r="AM494" s="108"/>
      <c r="AN494" s="108"/>
      <c r="AO494" s="108"/>
      <c r="AP494" s="108"/>
      <c r="AQ494" s="108"/>
      <c r="AR494" s="108"/>
      <c r="AS494" s="108"/>
      <c r="AT494" s="108"/>
      <c r="AU494" s="108"/>
      <c r="AV494" s="108"/>
      <c r="AW494" s="108"/>
      <c r="AX494" s="108"/>
      <c r="AY494" s="108"/>
      <c r="AZ494" s="108"/>
    </row>
    <row r="495" spans="1:52" ht="14.2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  <c r="AF495" s="108"/>
      <c r="AG495" s="108"/>
      <c r="AH495" s="108"/>
      <c r="AI495" s="108"/>
      <c r="AJ495" s="108"/>
      <c r="AK495" s="108"/>
      <c r="AL495" s="108"/>
      <c r="AM495" s="108"/>
      <c r="AN495" s="108"/>
      <c r="AO495" s="108"/>
      <c r="AP495" s="108"/>
      <c r="AQ495" s="108"/>
      <c r="AR495" s="108"/>
      <c r="AS495" s="108"/>
      <c r="AT495" s="108"/>
      <c r="AU495" s="108"/>
      <c r="AV495" s="108"/>
      <c r="AW495" s="108"/>
      <c r="AX495" s="108"/>
      <c r="AY495" s="108"/>
      <c r="AZ495" s="108"/>
    </row>
    <row r="496" spans="1:52" ht="14.2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  <c r="AF496" s="108"/>
      <c r="AG496" s="108"/>
      <c r="AH496" s="108"/>
      <c r="AI496" s="108"/>
      <c r="AJ496" s="108"/>
      <c r="AK496" s="108"/>
      <c r="AL496" s="108"/>
      <c r="AM496" s="108"/>
      <c r="AN496" s="108"/>
      <c r="AO496" s="108"/>
      <c r="AP496" s="108"/>
      <c r="AQ496" s="108"/>
      <c r="AR496" s="108"/>
      <c r="AS496" s="108"/>
      <c r="AT496" s="108"/>
      <c r="AU496" s="108"/>
      <c r="AV496" s="108"/>
      <c r="AW496" s="108"/>
      <c r="AX496" s="108"/>
      <c r="AY496" s="108"/>
      <c r="AZ496" s="108"/>
    </row>
    <row r="497" spans="1:52" ht="14.2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  <c r="AF497" s="108"/>
      <c r="AG497" s="108"/>
      <c r="AH497" s="108"/>
      <c r="AI497" s="108"/>
      <c r="AJ497" s="108"/>
      <c r="AK497" s="108"/>
      <c r="AL497" s="108"/>
      <c r="AM497" s="108"/>
      <c r="AN497" s="108"/>
      <c r="AO497" s="108"/>
      <c r="AP497" s="108"/>
      <c r="AQ497" s="108"/>
      <c r="AR497" s="108"/>
      <c r="AS497" s="108"/>
      <c r="AT497" s="108"/>
      <c r="AU497" s="108"/>
      <c r="AV497" s="108"/>
      <c r="AW497" s="108"/>
      <c r="AX497" s="108"/>
      <c r="AY497" s="108"/>
      <c r="AZ497" s="108"/>
    </row>
    <row r="498" spans="1:52" ht="14.2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  <c r="AF498" s="108"/>
      <c r="AG498" s="108"/>
      <c r="AH498" s="108"/>
      <c r="AI498" s="108"/>
      <c r="AJ498" s="108"/>
      <c r="AK498" s="108"/>
      <c r="AL498" s="108"/>
      <c r="AM498" s="108"/>
      <c r="AN498" s="108"/>
      <c r="AO498" s="108"/>
      <c r="AP498" s="108"/>
      <c r="AQ498" s="108"/>
      <c r="AR498" s="108"/>
      <c r="AS498" s="108"/>
      <c r="AT498" s="108"/>
      <c r="AU498" s="108"/>
      <c r="AV498" s="108"/>
      <c r="AW498" s="108"/>
      <c r="AX498" s="108"/>
      <c r="AY498" s="108"/>
      <c r="AZ498" s="108"/>
    </row>
    <row r="499" spans="1:52" ht="14.2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  <c r="AF499" s="108"/>
      <c r="AG499" s="108"/>
      <c r="AH499" s="108"/>
      <c r="AI499" s="108"/>
      <c r="AJ499" s="108"/>
      <c r="AK499" s="108"/>
      <c r="AL499" s="108"/>
      <c r="AM499" s="108"/>
      <c r="AN499" s="108"/>
      <c r="AO499" s="108"/>
      <c r="AP499" s="108"/>
      <c r="AQ499" s="108"/>
      <c r="AR499" s="108"/>
      <c r="AS499" s="108"/>
      <c r="AT499" s="108"/>
      <c r="AU499" s="108"/>
      <c r="AV499" s="108"/>
      <c r="AW499" s="108"/>
      <c r="AX499" s="108"/>
      <c r="AY499" s="108"/>
      <c r="AZ499" s="108"/>
    </row>
    <row r="500" spans="1:52" ht="14.2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  <c r="AF500" s="108"/>
      <c r="AG500" s="108"/>
      <c r="AH500" s="108"/>
      <c r="AI500" s="108"/>
      <c r="AJ500" s="108"/>
      <c r="AK500" s="108"/>
      <c r="AL500" s="108"/>
      <c r="AM500" s="108"/>
      <c r="AN500" s="108"/>
      <c r="AO500" s="108"/>
      <c r="AP500" s="108"/>
      <c r="AQ500" s="108"/>
      <c r="AR500" s="108"/>
      <c r="AS500" s="108"/>
      <c r="AT500" s="108"/>
      <c r="AU500" s="108"/>
      <c r="AV500" s="108"/>
      <c r="AW500" s="108"/>
      <c r="AX500" s="108"/>
      <c r="AY500" s="108"/>
      <c r="AZ500" s="108"/>
    </row>
    <row r="501" spans="1:52" ht="14.2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  <c r="AF501" s="108"/>
      <c r="AG501" s="108"/>
      <c r="AH501" s="108"/>
      <c r="AI501" s="108"/>
      <c r="AJ501" s="108"/>
      <c r="AK501" s="108"/>
      <c r="AL501" s="108"/>
      <c r="AM501" s="108"/>
      <c r="AN501" s="108"/>
      <c r="AO501" s="108"/>
      <c r="AP501" s="108"/>
      <c r="AQ501" s="108"/>
      <c r="AR501" s="108"/>
      <c r="AS501" s="108"/>
      <c r="AT501" s="108"/>
      <c r="AU501" s="108"/>
      <c r="AV501" s="108"/>
      <c r="AW501" s="108"/>
      <c r="AX501" s="108"/>
      <c r="AY501" s="108"/>
      <c r="AZ501" s="108"/>
    </row>
    <row r="502" spans="1:52" ht="14.2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  <c r="AF502" s="108"/>
      <c r="AG502" s="108"/>
      <c r="AH502" s="108"/>
      <c r="AI502" s="108"/>
      <c r="AJ502" s="108"/>
      <c r="AK502" s="108"/>
      <c r="AL502" s="108"/>
      <c r="AM502" s="108"/>
      <c r="AN502" s="108"/>
      <c r="AO502" s="108"/>
      <c r="AP502" s="108"/>
      <c r="AQ502" s="108"/>
      <c r="AR502" s="108"/>
      <c r="AS502" s="108"/>
      <c r="AT502" s="108"/>
      <c r="AU502" s="108"/>
      <c r="AV502" s="108"/>
      <c r="AW502" s="108"/>
      <c r="AX502" s="108"/>
      <c r="AY502" s="108"/>
      <c r="AZ502" s="108"/>
    </row>
    <row r="503" spans="1:52" ht="14.2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  <c r="AI503" s="108"/>
      <c r="AJ503" s="108"/>
      <c r="AK503" s="108"/>
      <c r="AL503" s="108"/>
      <c r="AM503" s="108"/>
      <c r="AN503" s="108"/>
      <c r="AO503" s="108"/>
      <c r="AP503" s="108"/>
      <c r="AQ503" s="108"/>
      <c r="AR503" s="108"/>
      <c r="AS503" s="108"/>
      <c r="AT503" s="108"/>
      <c r="AU503" s="108"/>
      <c r="AV503" s="108"/>
      <c r="AW503" s="108"/>
      <c r="AX503" s="108"/>
      <c r="AY503" s="108"/>
      <c r="AZ503" s="108"/>
    </row>
    <row r="504" spans="1:52" ht="14.2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  <c r="AF504" s="108"/>
      <c r="AG504" s="108"/>
      <c r="AH504" s="108"/>
      <c r="AI504" s="108"/>
      <c r="AJ504" s="108"/>
      <c r="AK504" s="108"/>
      <c r="AL504" s="108"/>
      <c r="AM504" s="108"/>
      <c r="AN504" s="108"/>
      <c r="AO504" s="108"/>
      <c r="AP504" s="108"/>
      <c r="AQ504" s="108"/>
      <c r="AR504" s="108"/>
      <c r="AS504" s="108"/>
      <c r="AT504" s="108"/>
      <c r="AU504" s="108"/>
      <c r="AV504" s="108"/>
      <c r="AW504" s="108"/>
      <c r="AX504" s="108"/>
      <c r="AY504" s="108"/>
      <c r="AZ504" s="108"/>
    </row>
    <row r="505" spans="1:52" ht="14.2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  <c r="AF505" s="108"/>
      <c r="AG505" s="108"/>
      <c r="AH505" s="108"/>
      <c r="AI505" s="108"/>
      <c r="AJ505" s="108"/>
      <c r="AK505" s="108"/>
      <c r="AL505" s="108"/>
      <c r="AM505" s="108"/>
      <c r="AN505" s="108"/>
      <c r="AO505" s="108"/>
      <c r="AP505" s="108"/>
      <c r="AQ505" s="108"/>
      <c r="AR505" s="108"/>
      <c r="AS505" s="108"/>
      <c r="AT505" s="108"/>
      <c r="AU505" s="108"/>
      <c r="AV505" s="108"/>
      <c r="AW505" s="108"/>
      <c r="AX505" s="108"/>
      <c r="AY505" s="108"/>
      <c r="AZ505" s="108"/>
    </row>
    <row r="506" spans="1:52" ht="14.2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  <c r="AG506" s="108"/>
      <c r="AH506" s="108"/>
      <c r="AI506" s="108"/>
      <c r="AJ506" s="108"/>
      <c r="AK506" s="108"/>
      <c r="AL506" s="108"/>
      <c r="AM506" s="108"/>
      <c r="AN506" s="108"/>
      <c r="AO506" s="108"/>
      <c r="AP506" s="108"/>
      <c r="AQ506" s="108"/>
      <c r="AR506" s="108"/>
      <c r="AS506" s="108"/>
      <c r="AT506" s="108"/>
      <c r="AU506" s="108"/>
      <c r="AV506" s="108"/>
      <c r="AW506" s="108"/>
      <c r="AX506" s="108"/>
      <c r="AY506" s="108"/>
      <c r="AZ506" s="108"/>
    </row>
    <row r="507" spans="1:52" ht="14.2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  <c r="AF507" s="108"/>
      <c r="AG507" s="108"/>
      <c r="AH507" s="108"/>
      <c r="AI507" s="108"/>
      <c r="AJ507" s="108"/>
      <c r="AK507" s="108"/>
      <c r="AL507" s="108"/>
      <c r="AM507" s="108"/>
      <c r="AN507" s="108"/>
      <c r="AO507" s="108"/>
      <c r="AP507" s="108"/>
      <c r="AQ507" s="108"/>
      <c r="AR507" s="108"/>
      <c r="AS507" s="108"/>
      <c r="AT507" s="108"/>
      <c r="AU507" s="108"/>
      <c r="AV507" s="108"/>
      <c r="AW507" s="108"/>
      <c r="AX507" s="108"/>
      <c r="AY507" s="108"/>
      <c r="AZ507" s="108"/>
    </row>
    <row r="508" spans="1:52" ht="14.2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  <c r="AF508" s="108"/>
      <c r="AG508" s="108"/>
      <c r="AH508" s="108"/>
      <c r="AI508" s="108"/>
      <c r="AJ508" s="108"/>
      <c r="AK508" s="108"/>
      <c r="AL508" s="108"/>
      <c r="AM508" s="108"/>
      <c r="AN508" s="108"/>
      <c r="AO508" s="108"/>
      <c r="AP508" s="108"/>
      <c r="AQ508" s="108"/>
      <c r="AR508" s="108"/>
      <c r="AS508" s="108"/>
      <c r="AT508" s="108"/>
      <c r="AU508" s="108"/>
      <c r="AV508" s="108"/>
      <c r="AW508" s="108"/>
      <c r="AX508" s="108"/>
      <c r="AY508" s="108"/>
      <c r="AZ508" s="108"/>
    </row>
    <row r="509" spans="1:52" ht="14.2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  <c r="AF509" s="108"/>
      <c r="AG509" s="108"/>
      <c r="AH509" s="108"/>
      <c r="AI509" s="108"/>
      <c r="AJ509" s="108"/>
      <c r="AK509" s="108"/>
      <c r="AL509" s="108"/>
      <c r="AM509" s="108"/>
      <c r="AN509" s="108"/>
      <c r="AO509" s="108"/>
      <c r="AP509" s="108"/>
      <c r="AQ509" s="108"/>
      <c r="AR509" s="108"/>
      <c r="AS509" s="108"/>
      <c r="AT509" s="108"/>
      <c r="AU509" s="108"/>
      <c r="AV509" s="108"/>
      <c r="AW509" s="108"/>
      <c r="AX509" s="108"/>
      <c r="AY509" s="108"/>
      <c r="AZ509" s="108"/>
    </row>
    <row r="510" spans="1:52" ht="14.2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  <c r="AF510" s="108"/>
      <c r="AG510" s="108"/>
      <c r="AH510" s="108"/>
      <c r="AI510" s="108"/>
      <c r="AJ510" s="108"/>
      <c r="AK510" s="108"/>
      <c r="AL510" s="108"/>
      <c r="AM510" s="108"/>
      <c r="AN510" s="108"/>
      <c r="AO510" s="108"/>
      <c r="AP510" s="108"/>
      <c r="AQ510" s="108"/>
      <c r="AR510" s="108"/>
      <c r="AS510" s="108"/>
      <c r="AT510" s="108"/>
      <c r="AU510" s="108"/>
      <c r="AV510" s="108"/>
      <c r="AW510" s="108"/>
      <c r="AX510" s="108"/>
      <c r="AY510" s="108"/>
      <c r="AZ510" s="108"/>
    </row>
    <row r="511" spans="1:52" ht="14.2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  <c r="AF511" s="108"/>
      <c r="AG511" s="108"/>
      <c r="AH511" s="108"/>
      <c r="AI511" s="108"/>
      <c r="AJ511" s="108"/>
      <c r="AK511" s="108"/>
      <c r="AL511" s="108"/>
      <c r="AM511" s="108"/>
      <c r="AN511" s="108"/>
      <c r="AO511" s="108"/>
      <c r="AP511" s="108"/>
      <c r="AQ511" s="108"/>
      <c r="AR511" s="108"/>
      <c r="AS511" s="108"/>
      <c r="AT511" s="108"/>
      <c r="AU511" s="108"/>
      <c r="AV511" s="108"/>
      <c r="AW511" s="108"/>
      <c r="AX511" s="108"/>
      <c r="AY511" s="108"/>
      <c r="AZ511" s="108"/>
    </row>
    <row r="512" spans="1:52" ht="14.2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8"/>
      <c r="AI512" s="108"/>
      <c r="AJ512" s="108"/>
      <c r="AK512" s="108"/>
      <c r="AL512" s="108"/>
      <c r="AM512" s="108"/>
      <c r="AN512" s="108"/>
      <c r="AO512" s="108"/>
      <c r="AP512" s="108"/>
      <c r="AQ512" s="108"/>
      <c r="AR512" s="108"/>
      <c r="AS512" s="108"/>
      <c r="AT512" s="108"/>
      <c r="AU512" s="108"/>
      <c r="AV512" s="108"/>
      <c r="AW512" s="108"/>
      <c r="AX512" s="108"/>
      <c r="AY512" s="108"/>
      <c r="AZ512" s="108"/>
    </row>
    <row r="513" spans="1:52" ht="14.2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  <c r="AF513" s="108"/>
      <c r="AG513" s="108"/>
      <c r="AH513" s="108"/>
      <c r="AI513" s="108"/>
      <c r="AJ513" s="108"/>
      <c r="AK513" s="108"/>
      <c r="AL513" s="108"/>
      <c r="AM513" s="108"/>
      <c r="AN513" s="108"/>
      <c r="AO513" s="108"/>
      <c r="AP513" s="108"/>
      <c r="AQ513" s="108"/>
      <c r="AR513" s="108"/>
      <c r="AS513" s="108"/>
      <c r="AT513" s="108"/>
      <c r="AU513" s="108"/>
      <c r="AV513" s="108"/>
      <c r="AW513" s="108"/>
      <c r="AX513" s="108"/>
      <c r="AY513" s="108"/>
      <c r="AZ513" s="108"/>
    </row>
    <row r="514" spans="1:52" ht="14.2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  <c r="AG514" s="108"/>
      <c r="AH514" s="108"/>
      <c r="AI514" s="108"/>
      <c r="AJ514" s="108"/>
      <c r="AK514" s="108"/>
      <c r="AL514" s="108"/>
      <c r="AM514" s="108"/>
      <c r="AN514" s="108"/>
      <c r="AO514" s="108"/>
      <c r="AP514" s="108"/>
      <c r="AQ514" s="108"/>
      <c r="AR514" s="108"/>
      <c r="AS514" s="108"/>
      <c r="AT514" s="108"/>
      <c r="AU514" s="108"/>
      <c r="AV514" s="108"/>
      <c r="AW514" s="108"/>
      <c r="AX514" s="108"/>
      <c r="AY514" s="108"/>
      <c r="AZ514" s="108"/>
    </row>
    <row r="515" spans="1:52" ht="14.2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  <c r="AF515" s="108"/>
      <c r="AG515" s="108"/>
      <c r="AH515" s="108"/>
      <c r="AI515" s="108"/>
      <c r="AJ515" s="108"/>
      <c r="AK515" s="108"/>
      <c r="AL515" s="108"/>
      <c r="AM515" s="108"/>
      <c r="AN515" s="108"/>
      <c r="AO515" s="108"/>
      <c r="AP515" s="108"/>
      <c r="AQ515" s="108"/>
      <c r="AR515" s="108"/>
      <c r="AS515" s="108"/>
      <c r="AT515" s="108"/>
      <c r="AU515" s="108"/>
      <c r="AV515" s="108"/>
      <c r="AW515" s="108"/>
      <c r="AX515" s="108"/>
      <c r="AY515" s="108"/>
      <c r="AZ515" s="108"/>
    </row>
    <row r="516" spans="1:52" ht="14.2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  <c r="AF516" s="108"/>
      <c r="AG516" s="108"/>
      <c r="AH516" s="108"/>
      <c r="AI516" s="108"/>
      <c r="AJ516" s="108"/>
      <c r="AK516" s="108"/>
      <c r="AL516" s="108"/>
      <c r="AM516" s="108"/>
      <c r="AN516" s="108"/>
      <c r="AO516" s="108"/>
      <c r="AP516" s="108"/>
      <c r="AQ516" s="108"/>
      <c r="AR516" s="108"/>
      <c r="AS516" s="108"/>
      <c r="AT516" s="108"/>
      <c r="AU516" s="108"/>
      <c r="AV516" s="108"/>
      <c r="AW516" s="108"/>
      <c r="AX516" s="108"/>
      <c r="AY516" s="108"/>
      <c r="AZ516" s="108"/>
    </row>
    <row r="517" spans="1:52" ht="14.2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/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</row>
    <row r="518" spans="1:52" ht="14.2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  <c r="AF518" s="108"/>
      <c r="AG518" s="108"/>
      <c r="AH518" s="108"/>
      <c r="AI518" s="108"/>
      <c r="AJ518" s="108"/>
      <c r="AK518" s="108"/>
      <c r="AL518" s="108"/>
      <c r="AM518" s="108"/>
      <c r="AN518" s="108"/>
      <c r="AO518" s="108"/>
      <c r="AP518" s="108"/>
      <c r="AQ518" s="108"/>
      <c r="AR518" s="108"/>
      <c r="AS518" s="108"/>
      <c r="AT518" s="108"/>
      <c r="AU518" s="108"/>
      <c r="AV518" s="108"/>
      <c r="AW518" s="108"/>
      <c r="AX518" s="108"/>
      <c r="AY518" s="108"/>
      <c r="AZ518" s="108"/>
    </row>
    <row r="519" spans="1:52" ht="14.2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  <c r="AF519" s="108"/>
      <c r="AG519" s="108"/>
      <c r="AH519" s="108"/>
      <c r="AI519" s="108"/>
      <c r="AJ519" s="108"/>
      <c r="AK519" s="108"/>
      <c r="AL519" s="108"/>
      <c r="AM519" s="108"/>
      <c r="AN519" s="108"/>
      <c r="AO519" s="108"/>
      <c r="AP519" s="108"/>
      <c r="AQ519" s="108"/>
      <c r="AR519" s="108"/>
      <c r="AS519" s="108"/>
      <c r="AT519" s="108"/>
      <c r="AU519" s="108"/>
      <c r="AV519" s="108"/>
      <c r="AW519" s="108"/>
      <c r="AX519" s="108"/>
      <c r="AY519" s="108"/>
      <c r="AZ519" s="108"/>
    </row>
    <row r="520" spans="1:52" ht="14.2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/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</row>
    <row r="521" spans="1:52" ht="14.2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  <c r="AF521" s="108"/>
      <c r="AG521" s="108"/>
      <c r="AH521" s="108"/>
      <c r="AI521" s="108"/>
      <c r="AJ521" s="108"/>
      <c r="AK521" s="108"/>
      <c r="AL521" s="108"/>
      <c r="AM521" s="108"/>
      <c r="AN521" s="108"/>
      <c r="AO521" s="108"/>
      <c r="AP521" s="108"/>
      <c r="AQ521" s="108"/>
      <c r="AR521" s="108"/>
      <c r="AS521" s="108"/>
      <c r="AT521" s="108"/>
      <c r="AU521" s="108"/>
      <c r="AV521" s="108"/>
      <c r="AW521" s="108"/>
      <c r="AX521" s="108"/>
      <c r="AY521" s="108"/>
      <c r="AZ521" s="108"/>
    </row>
    <row r="522" spans="1:52" ht="14.2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  <c r="AF522" s="108"/>
      <c r="AG522" s="108"/>
      <c r="AH522" s="108"/>
      <c r="AI522" s="108"/>
      <c r="AJ522" s="108"/>
      <c r="AK522" s="108"/>
      <c r="AL522" s="108"/>
      <c r="AM522" s="108"/>
      <c r="AN522" s="108"/>
      <c r="AO522" s="108"/>
      <c r="AP522" s="108"/>
      <c r="AQ522" s="108"/>
      <c r="AR522" s="108"/>
      <c r="AS522" s="108"/>
      <c r="AT522" s="108"/>
      <c r="AU522" s="108"/>
      <c r="AV522" s="108"/>
      <c r="AW522" s="108"/>
      <c r="AX522" s="108"/>
      <c r="AY522" s="108"/>
      <c r="AZ522" s="108"/>
    </row>
    <row r="523" spans="1:52" ht="14.2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  <c r="AF523" s="108"/>
      <c r="AG523" s="108"/>
      <c r="AH523" s="108"/>
      <c r="AI523" s="108"/>
      <c r="AJ523" s="108"/>
      <c r="AK523" s="108"/>
      <c r="AL523" s="108"/>
      <c r="AM523" s="108"/>
      <c r="AN523" s="108"/>
      <c r="AO523" s="108"/>
      <c r="AP523" s="108"/>
      <c r="AQ523" s="108"/>
      <c r="AR523" s="108"/>
      <c r="AS523" s="108"/>
      <c r="AT523" s="108"/>
      <c r="AU523" s="108"/>
      <c r="AV523" s="108"/>
      <c r="AW523" s="108"/>
      <c r="AX523" s="108"/>
      <c r="AY523" s="108"/>
      <c r="AZ523" s="108"/>
    </row>
    <row r="524" spans="1:52" ht="14.2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  <c r="AF524" s="108"/>
      <c r="AG524" s="108"/>
      <c r="AH524" s="108"/>
      <c r="AI524" s="108"/>
      <c r="AJ524" s="108"/>
      <c r="AK524" s="108"/>
      <c r="AL524" s="108"/>
      <c r="AM524" s="108"/>
      <c r="AN524" s="108"/>
      <c r="AO524" s="108"/>
      <c r="AP524" s="108"/>
      <c r="AQ524" s="108"/>
      <c r="AR524" s="108"/>
      <c r="AS524" s="108"/>
      <c r="AT524" s="108"/>
      <c r="AU524" s="108"/>
      <c r="AV524" s="108"/>
      <c r="AW524" s="108"/>
      <c r="AX524" s="108"/>
      <c r="AY524" s="108"/>
      <c r="AZ524" s="108"/>
    </row>
    <row r="525" spans="1:52" ht="14.2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  <c r="AF525" s="108"/>
      <c r="AG525" s="108"/>
      <c r="AH525" s="108"/>
      <c r="AI525" s="108"/>
      <c r="AJ525" s="108"/>
      <c r="AK525" s="108"/>
      <c r="AL525" s="108"/>
      <c r="AM525" s="108"/>
      <c r="AN525" s="108"/>
      <c r="AO525" s="108"/>
      <c r="AP525" s="108"/>
      <c r="AQ525" s="108"/>
      <c r="AR525" s="108"/>
      <c r="AS525" s="108"/>
      <c r="AT525" s="108"/>
      <c r="AU525" s="108"/>
      <c r="AV525" s="108"/>
      <c r="AW525" s="108"/>
      <c r="AX525" s="108"/>
      <c r="AY525" s="108"/>
      <c r="AZ525" s="108"/>
    </row>
    <row r="526" spans="1:52" ht="14.2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  <c r="AF526" s="108"/>
      <c r="AG526" s="108"/>
      <c r="AH526" s="108"/>
      <c r="AI526" s="108"/>
      <c r="AJ526" s="108"/>
      <c r="AK526" s="108"/>
      <c r="AL526" s="108"/>
      <c r="AM526" s="108"/>
      <c r="AN526" s="108"/>
      <c r="AO526" s="108"/>
      <c r="AP526" s="108"/>
      <c r="AQ526" s="108"/>
      <c r="AR526" s="108"/>
      <c r="AS526" s="108"/>
      <c r="AT526" s="108"/>
      <c r="AU526" s="108"/>
      <c r="AV526" s="108"/>
      <c r="AW526" s="108"/>
      <c r="AX526" s="108"/>
      <c r="AY526" s="108"/>
      <c r="AZ526" s="108"/>
    </row>
    <row r="527" spans="1:52" ht="14.2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  <c r="AF527" s="108"/>
      <c r="AG527" s="108"/>
      <c r="AH527" s="108"/>
      <c r="AI527" s="108"/>
      <c r="AJ527" s="108"/>
      <c r="AK527" s="108"/>
      <c r="AL527" s="108"/>
      <c r="AM527" s="108"/>
      <c r="AN527" s="108"/>
      <c r="AO527" s="108"/>
      <c r="AP527" s="108"/>
      <c r="AQ527" s="108"/>
      <c r="AR527" s="108"/>
      <c r="AS527" s="108"/>
      <c r="AT527" s="108"/>
      <c r="AU527" s="108"/>
      <c r="AV527" s="108"/>
      <c r="AW527" s="108"/>
      <c r="AX527" s="108"/>
      <c r="AY527" s="108"/>
      <c r="AZ527" s="108"/>
    </row>
    <row r="528" spans="1:52" ht="14.2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  <c r="AG528" s="108"/>
      <c r="AH528" s="108"/>
      <c r="AI528" s="108"/>
      <c r="AJ528" s="108"/>
      <c r="AK528" s="108"/>
      <c r="AL528" s="108"/>
      <c r="AM528" s="108"/>
      <c r="AN528" s="108"/>
      <c r="AO528" s="108"/>
      <c r="AP528" s="108"/>
      <c r="AQ528" s="108"/>
      <c r="AR528" s="108"/>
      <c r="AS528" s="108"/>
      <c r="AT528" s="108"/>
      <c r="AU528" s="108"/>
      <c r="AV528" s="108"/>
      <c r="AW528" s="108"/>
      <c r="AX528" s="108"/>
      <c r="AY528" s="108"/>
      <c r="AZ528" s="108"/>
    </row>
    <row r="529" spans="1:52" ht="14.2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  <c r="AF529" s="108"/>
      <c r="AG529" s="108"/>
      <c r="AH529" s="108"/>
      <c r="AI529" s="108"/>
      <c r="AJ529" s="108"/>
      <c r="AK529" s="108"/>
      <c r="AL529" s="108"/>
      <c r="AM529" s="108"/>
      <c r="AN529" s="108"/>
      <c r="AO529" s="108"/>
      <c r="AP529" s="108"/>
      <c r="AQ529" s="108"/>
      <c r="AR529" s="108"/>
      <c r="AS529" s="108"/>
      <c r="AT529" s="108"/>
      <c r="AU529" s="108"/>
      <c r="AV529" s="108"/>
      <c r="AW529" s="108"/>
      <c r="AX529" s="108"/>
      <c r="AY529" s="108"/>
      <c r="AZ529" s="108"/>
    </row>
    <row r="530" spans="1:52" ht="14.2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  <c r="AF530" s="108"/>
      <c r="AG530" s="108"/>
      <c r="AH530" s="108"/>
      <c r="AI530" s="108"/>
      <c r="AJ530" s="108"/>
      <c r="AK530" s="108"/>
      <c r="AL530" s="108"/>
      <c r="AM530" s="108"/>
      <c r="AN530" s="108"/>
      <c r="AO530" s="108"/>
      <c r="AP530" s="108"/>
      <c r="AQ530" s="108"/>
      <c r="AR530" s="108"/>
      <c r="AS530" s="108"/>
      <c r="AT530" s="108"/>
      <c r="AU530" s="108"/>
      <c r="AV530" s="108"/>
      <c r="AW530" s="108"/>
      <c r="AX530" s="108"/>
      <c r="AY530" s="108"/>
      <c r="AZ530" s="108"/>
    </row>
    <row r="531" spans="1:52" ht="14.2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  <c r="AF531" s="108"/>
      <c r="AG531" s="108"/>
      <c r="AH531" s="108"/>
      <c r="AI531" s="108"/>
      <c r="AJ531" s="108"/>
      <c r="AK531" s="108"/>
      <c r="AL531" s="108"/>
      <c r="AM531" s="108"/>
      <c r="AN531" s="108"/>
      <c r="AO531" s="108"/>
      <c r="AP531" s="108"/>
      <c r="AQ531" s="108"/>
      <c r="AR531" s="108"/>
      <c r="AS531" s="108"/>
      <c r="AT531" s="108"/>
      <c r="AU531" s="108"/>
      <c r="AV531" s="108"/>
      <c r="AW531" s="108"/>
      <c r="AX531" s="108"/>
      <c r="AY531" s="108"/>
      <c r="AZ531" s="108"/>
    </row>
    <row r="532" spans="1:52" ht="14.2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  <c r="AF532" s="108"/>
      <c r="AG532" s="108"/>
      <c r="AH532" s="108"/>
      <c r="AI532" s="108"/>
      <c r="AJ532" s="108"/>
      <c r="AK532" s="108"/>
      <c r="AL532" s="108"/>
      <c r="AM532" s="108"/>
      <c r="AN532" s="108"/>
      <c r="AO532" s="108"/>
      <c r="AP532" s="108"/>
      <c r="AQ532" s="108"/>
      <c r="AR532" s="108"/>
      <c r="AS532" s="108"/>
      <c r="AT532" s="108"/>
      <c r="AU532" s="108"/>
      <c r="AV532" s="108"/>
      <c r="AW532" s="108"/>
      <c r="AX532" s="108"/>
      <c r="AY532" s="108"/>
      <c r="AZ532" s="108"/>
    </row>
    <row r="533" spans="1:52" ht="14.2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  <c r="AF533" s="108"/>
      <c r="AG533" s="108"/>
      <c r="AH533" s="108"/>
      <c r="AI533" s="108"/>
      <c r="AJ533" s="108"/>
      <c r="AK533" s="108"/>
      <c r="AL533" s="108"/>
      <c r="AM533" s="108"/>
      <c r="AN533" s="108"/>
      <c r="AO533" s="108"/>
      <c r="AP533" s="108"/>
      <c r="AQ533" s="108"/>
      <c r="AR533" s="108"/>
      <c r="AS533" s="108"/>
      <c r="AT533" s="108"/>
      <c r="AU533" s="108"/>
      <c r="AV533" s="108"/>
      <c r="AW533" s="108"/>
      <c r="AX533" s="108"/>
      <c r="AY533" s="108"/>
      <c r="AZ533" s="108"/>
    </row>
    <row r="534" spans="1:52" ht="14.2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108"/>
      <c r="AG534" s="108"/>
      <c r="AH534" s="108"/>
      <c r="AI534" s="108"/>
      <c r="AJ534" s="108"/>
      <c r="AK534" s="108"/>
      <c r="AL534" s="108"/>
      <c r="AM534" s="108"/>
      <c r="AN534" s="108"/>
      <c r="AO534" s="108"/>
      <c r="AP534" s="108"/>
      <c r="AQ534" s="108"/>
      <c r="AR534" s="108"/>
      <c r="AS534" s="108"/>
      <c r="AT534" s="108"/>
      <c r="AU534" s="108"/>
      <c r="AV534" s="108"/>
      <c r="AW534" s="108"/>
      <c r="AX534" s="108"/>
      <c r="AY534" s="108"/>
      <c r="AZ534" s="108"/>
    </row>
    <row r="535" spans="1:52" ht="14.2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  <c r="AF535" s="108"/>
      <c r="AG535" s="108"/>
      <c r="AH535" s="108"/>
      <c r="AI535" s="108"/>
      <c r="AJ535" s="108"/>
      <c r="AK535" s="108"/>
      <c r="AL535" s="108"/>
      <c r="AM535" s="108"/>
      <c r="AN535" s="108"/>
      <c r="AO535" s="108"/>
      <c r="AP535" s="108"/>
      <c r="AQ535" s="108"/>
      <c r="AR535" s="108"/>
      <c r="AS535" s="108"/>
      <c r="AT535" s="108"/>
      <c r="AU535" s="108"/>
      <c r="AV535" s="108"/>
      <c r="AW535" s="108"/>
      <c r="AX535" s="108"/>
      <c r="AY535" s="108"/>
      <c r="AZ535" s="108"/>
    </row>
    <row r="536" spans="1:52" ht="14.2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  <c r="AF536" s="108"/>
      <c r="AG536" s="108"/>
      <c r="AH536" s="108"/>
      <c r="AI536" s="108"/>
      <c r="AJ536" s="108"/>
      <c r="AK536" s="108"/>
      <c r="AL536" s="108"/>
      <c r="AM536" s="108"/>
      <c r="AN536" s="108"/>
      <c r="AO536" s="108"/>
      <c r="AP536" s="108"/>
      <c r="AQ536" s="108"/>
      <c r="AR536" s="108"/>
      <c r="AS536" s="108"/>
      <c r="AT536" s="108"/>
      <c r="AU536" s="108"/>
      <c r="AV536" s="108"/>
      <c r="AW536" s="108"/>
      <c r="AX536" s="108"/>
      <c r="AY536" s="108"/>
      <c r="AZ536" s="108"/>
    </row>
    <row r="537" spans="1:52" ht="14.2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  <c r="AF537" s="108"/>
      <c r="AG537" s="108"/>
      <c r="AH537" s="108"/>
      <c r="AI537" s="108"/>
      <c r="AJ537" s="108"/>
      <c r="AK537" s="108"/>
      <c r="AL537" s="108"/>
      <c r="AM537" s="108"/>
      <c r="AN537" s="108"/>
      <c r="AO537" s="108"/>
      <c r="AP537" s="108"/>
      <c r="AQ537" s="108"/>
      <c r="AR537" s="108"/>
      <c r="AS537" s="108"/>
      <c r="AT537" s="108"/>
      <c r="AU537" s="108"/>
      <c r="AV537" s="108"/>
      <c r="AW537" s="108"/>
      <c r="AX537" s="108"/>
      <c r="AY537" s="108"/>
      <c r="AZ537" s="108"/>
    </row>
    <row r="538" spans="1:52" ht="14.2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  <c r="AG538" s="108"/>
      <c r="AH538" s="108"/>
      <c r="AI538" s="108"/>
      <c r="AJ538" s="108"/>
      <c r="AK538" s="108"/>
      <c r="AL538" s="108"/>
      <c r="AM538" s="108"/>
      <c r="AN538" s="108"/>
      <c r="AO538" s="108"/>
      <c r="AP538" s="108"/>
      <c r="AQ538" s="108"/>
      <c r="AR538" s="108"/>
      <c r="AS538" s="108"/>
      <c r="AT538" s="108"/>
      <c r="AU538" s="108"/>
      <c r="AV538" s="108"/>
      <c r="AW538" s="108"/>
      <c r="AX538" s="108"/>
      <c r="AY538" s="108"/>
      <c r="AZ538" s="108"/>
    </row>
    <row r="539" spans="1:52" ht="14.2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  <c r="AG539" s="108"/>
      <c r="AH539" s="108"/>
      <c r="AI539" s="108"/>
      <c r="AJ539" s="108"/>
      <c r="AK539" s="108"/>
      <c r="AL539" s="108"/>
      <c r="AM539" s="108"/>
      <c r="AN539" s="108"/>
      <c r="AO539" s="108"/>
      <c r="AP539" s="108"/>
      <c r="AQ539" s="108"/>
      <c r="AR539" s="108"/>
      <c r="AS539" s="108"/>
      <c r="AT539" s="108"/>
      <c r="AU539" s="108"/>
      <c r="AV539" s="108"/>
      <c r="AW539" s="108"/>
      <c r="AX539" s="108"/>
      <c r="AY539" s="108"/>
      <c r="AZ539" s="108"/>
    </row>
    <row r="540" spans="1:52" ht="14.2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  <c r="AG540" s="108"/>
      <c r="AH540" s="108"/>
      <c r="AI540" s="108"/>
      <c r="AJ540" s="108"/>
      <c r="AK540" s="108"/>
      <c r="AL540" s="108"/>
      <c r="AM540" s="108"/>
      <c r="AN540" s="108"/>
      <c r="AO540" s="108"/>
      <c r="AP540" s="108"/>
      <c r="AQ540" s="108"/>
      <c r="AR540" s="108"/>
      <c r="AS540" s="108"/>
      <c r="AT540" s="108"/>
      <c r="AU540" s="108"/>
      <c r="AV540" s="108"/>
      <c r="AW540" s="108"/>
      <c r="AX540" s="108"/>
      <c r="AY540" s="108"/>
      <c r="AZ540" s="108"/>
    </row>
    <row r="541" spans="1:52" ht="14.2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  <c r="AI541" s="108"/>
      <c r="AJ541" s="108"/>
      <c r="AK541" s="108"/>
      <c r="AL541" s="108"/>
      <c r="AM541" s="108"/>
      <c r="AN541" s="108"/>
      <c r="AO541" s="108"/>
      <c r="AP541" s="108"/>
      <c r="AQ541" s="108"/>
      <c r="AR541" s="108"/>
      <c r="AS541" s="108"/>
      <c r="AT541" s="108"/>
      <c r="AU541" s="108"/>
      <c r="AV541" s="108"/>
      <c r="AW541" s="108"/>
      <c r="AX541" s="108"/>
      <c r="AY541" s="108"/>
      <c r="AZ541" s="108"/>
    </row>
    <row r="542" spans="1:52" ht="14.2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  <c r="AG542" s="108"/>
      <c r="AH542" s="108"/>
      <c r="AI542" s="108"/>
      <c r="AJ542" s="108"/>
      <c r="AK542" s="108"/>
      <c r="AL542" s="108"/>
      <c r="AM542" s="108"/>
      <c r="AN542" s="108"/>
      <c r="AO542" s="108"/>
      <c r="AP542" s="108"/>
      <c r="AQ542" s="108"/>
      <c r="AR542" s="108"/>
      <c r="AS542" s="108"/>
      <c r="AT542" s="108"/>
      <c r="AU542" s="108"/>
      <c r="AV542" s="108"/>
      <c r="AW542" s="108"/>
      <c r="AX542" s="108"/>
      <c r="AY542" s="108"/>
      <c r="AZ542" s="108"/>
    </row>
    <row r="543" spans="1:52" ht="14.2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  <c r="AG543" s="108"/>
      <c r="AH543" s="108"/>
      <c r="AI543" s="108"/>
      <c r="AJ543" s="108"/>
      <c r="AK543" s="108"/>
      <c r="AL543" s="108"/>
      <c r="AM543" s="108"/>
      <c r="AN543" s="108"/>
      <c r="AO543" s="108"/>
      <c r="AP543" s="108"/>
      <c r="AQ543" s="108"/>
      <c r="AR543" s="108"/>
      <c r="AS543" s="108"/>
      <c r="AT543" s="108"/>
      <c r="AU543" s="108"/>
      <c r="AV543" s="108"/>
      <c r="AW543" s="108"/>
      <c r="AX543" s="108"/>
      <c r="AY543" s="108"/>
      <c r="AZ543" s="108"/>
    </row>
    <row r="544" spans="1:52" ht="14.2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  <c r="AG544" s="108"/>
      <c r="AH544" s="108"/>
      <c r="AI544" s="108"/>
      <c r="AJ544" s="108"/>
      <c r="AK544" s="108"/>
      <c r="AL544" s="108"/>
      <c r="AM544" s="108"/>
      <c r="AN544" s="108"/>
      <c r="AO544" s="108"/>
      <c r="AP544" s="108"/>
      <c r="AQ544" s="108"/>
      <c r="AR544" s="108"/>
      <c r="AS544" s="108"/>
      <c r="AT544" s="108"/>
      <c r="AU544" s="108"/>
      <c r="AV544" s="108"/>
      <c r="AW544" s="108"/>
      <c r="AX544" s="108"/>
      <c r="AY544" s="108"/>
      <c r="AZ544" s="108"/>
    </row>
    <row r="545" spans="1:52" ht="14.2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  <c r="AG545" s="108"/>
      <c r="AH545" s="108"/>
      <c r="AI545" s="108"/>
      <c r="AJ545" s="108"/>
      <c r="AK545" s="108"/>
      <c r="AL545" s="108"/>
      <c r="AM545" s="108"/>
      <c r="AN545" s="108"/>
      <c r="AO545" s="108"/>
      <c r="AP545" s="108"/>
      <c r="AQ545" s="108"/>
      <c r="AR545" s="108"/>
      <c r="AS545" s="108"/>
      <c r="AT545" s="108"/>
      <c r="AU545" s="108"/>
      <c r="AV545" s="108"/>
      <c r="AW545" s="108"/>
      <c r="AX545" s="108"/>
      <c r="AY545" s="108"/>
      <c r="AZ545" s="108"/>
    </row>
    <row r="546" spans="1:52" ht="14.2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  <c r="AI546" s="108"/>
      <c r="AJ546" s="108"/>
      <c r="AK546" s="108"/>
      <c r="AL546" s="108"/>
      <c r="AM546" s="108"/>
      <c r="AN546" s="108"/>
      <c r="AO546" s="108"/>
      <c r="AP546" s="108"/>
      <c r="AQ546" s="108"/>
      <c r="AR546" s="108"/>
      <c r="AS546" s="108"/>
      <c r="AT546" s="108"/>
      <c r="AU546" s="108"/>
      <c r="AV546" s="108"/>
      <c r="AW546" s="108"/>
      <c r="AX546" s="108"/>
      <c r="AY546" s="108"/>
      <c r="AZ546" s="108"/>
    </row>
    <row r="547" spans="1:52" ht="14.2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  <c r="AI547" s="108"/>
      <c r="AJ547" s="108"/>
      <c r="AK547" s="108"/>
      <c r="AL547" s="108"/>
      <c r="AM547" s="108"/>
      <c r="AN547" s="108"/>
      <c r="AO547" s="108"/>
      <c r="AP547" s="108"/>
      <c r="AQ547" s="108"/>
      <c r="AR547" s="108"/>
      <c r="AS547" s="108"/>
      <c r="AT547" s="108"/>
      <c r="AU547" s="108"/>
      <c r="AV547" s="108"/>
      <c r="AW547" s="108"/>
      <c r="AX547" s="108"/>
      <c r="AY547" s="108"/>
      <c r="AZ547" s="108"/>
    </row>
    <row r="548" spans="1:52" ht="14.2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  <c r="AG548" s="108"/>
      <c r="AH548" s="108"/>
      <c r="AI548" s="108"/>
      <c r="AJ548" s="108"/>
      <c r="AK548" s="108"/>
      <c r="AL548" s="108"/>
      <c r="AM548" s="108"/>
      <c r="AN548" s="108"/>
      <c r="AO548" s="108"/>
      <c r="AP548" s="108"/>
      <c r="AQ548" s="108"/>
      <c r="AR548" s="108"/>
      <c r="AS548" s="108"/>
      <c r="AT548" s="108"/>
      <c r="AU548" s="108"/>
      <c r="AV548" s="108"/>
      <c r="AW548" s="108"/>
      <c r="AX548" s="108"/>
      <c r="AY548" s="108"/>
      <c r="AZ548" s="108"/>
    </row>
    <row r="549" spans="1:52" ht="14.2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  <c r="AG549" s="108"/>
      <c r="AH549" s="108"/>
      <c r="AI549" s="108"/>
      <c r="AJ549" s="108"/>
      <c r="AK549" s="108"/>
      <c r="AL549" s="108"/>
      <c r="AM549" s="108"/>
      <c r="AN549" s="108"/>
      <c r="AO549" s="108"/>
      <c r="AP549" s="108"/>
      <c r="AQ549" s="108"/>
      <c r="AR549" s="108"/>
      <c r="AS549" s="108"/>
      <c r="AT549" s="108"/>
      <c r="AU549" s="108"/>
      <c r="AV549" s="108"/>
      <c r="AW549" s="108"/>
      <c r="AX549" s="108"/>
      <c r="AY549" s="108"/>
      <c r="AZ549" s="108"/>
    </row>
    <row r="550" spans="1:52" ht="14.2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  <c r="AI550" s="108"/>
      <c r="AJ550" s="108"/>
      <c r="AK550" s="108"/>
      <c r="AL550" s="108"/>
      <c r="AM550" s="108"/>
      <c r="AN550" s="108"/>
      <c r="AO550" s="108"/>
      <c r="AP550" s="108"/>
      <c r="AQ550" s="108"/>
      <c r="AR550" s="108"/>
      <c r="AS550" s="108"/>
      <c r="AT550" s="108"/>
      <c r="AU550" s="108"/>
      <c r="AV550" s="108"/>
      <c r="AW550" s="108"/>
      <c r="AX550" s="108"/>
      <c r="AY550" s="108"/>
      <c r="AZ550" s="108"/>
    </row>
    <row r="551" spans="1:52" ht="14.2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  <c r="AG551" s="108"/>
      <c r="AH551" s="108"/>
      <c r="AI551" s="108"/>
      <c r="AJ551" s="108"/>
      <c r="AK551" s="108"/>
      <c r="AL551" s="108"/>
      <c r="AM551" s="108"/>
      <c r="AN551" s="108"/>
      <c r="AO551" s="108"/>
      <c r="AP551" s="108"/>
      <c r="AQ551" s="108"/>
      <c r="AR551" s="108"/>
      <c r="AS551" s="108"/>
      <c r="AT551" s="108"/>
      <c r="AU551" s="108"/>
      <c r="AV551" s="108"/>
      <c r="AW551" s="108"/>
      <c r="AX551" s="108"/>
      <c r="AY551" s="108"/>
      <c r="AZ551" s="108"/>
    </row>
    <row r="552" spans="1:52" ht="14.2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  <c r="AG552" s="108"/>
      <c r="AH552" s="108"/>
      <c r="AI552" s="108"/>
      <c r="AJ552" s="108"/>
      <c r="AK552" s="108"/>
      <c r="AL552" s="108"/>
      <c r="AM552" s="108"/>
      <c r="AN552" s="108"/>
      <c r="AO552" s="108"/>
      <c r="AP552" s="108"/>
      <c r="AQ552" s="108"/>
      <c r="AR552" s="108"/>
      <c r="AS552" s="108"/>
      <c r="AT552" s="108"/>
      <c r="AU552" s="108"/>
      <c r="AV552" s="108"/>
      <c r="AW552" s="108"/>
      <c r="AX552" s="108"/>
      <c r="AY552" s="108"/>
      <c r="AZ552" s="108"/>
    </row>
    <row r="553" spans="1:52" ht="14.2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08"/>
      <c r="AG553" s="108"/>
      <c r="AH553" s="108"/>
      <c r="AI553" s="108"/>
      <c r="AJ553" s="108"/>
      <c r="AK553" s="108"/>
      <c r="AL553" s="108"/>
      <c r="AM553" s="108"/>
      <c r="AN553" s="108"/>
      <c r="AO553" s="108"/>
      <c r="AP553" s="108"/>
      <c r="AQ553" s="108"/>
      <c r="AR553" s="108"/>
      <c r="AS553" s="108"/>
      <c r="AT553" s="108"/>
      <c r="AU553" s="108"/>
      <c r="AV553" s="108"/>
      <c r="AW553" s="108"/>
      <c r="AX553" s="108"/>
      <c r="AY553" s="108"/>
      <c r="AZ553" s="108"/>
    </row>
    <row r="554" spans="1:52" ht="14.2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  <c r="AG554" s="108"/>
      <c r="AH554" s="108"/>
      <c r="AI554" s="108"/>
      <c r="AJ554" s="108"/>
      <c r="AK554" s="108"/>
      <c r="AL554" s="108"/>
      <c r="AM554" s="108"/>
      <c r="AN554" s="108"/>
      <c r="AO554" s="108"/>
      <c r="AP554" s="108"/>
      <c r="AQ554" s="108"/>
      <c r="AR554" s="108"/>
      <c r="AS554" s="108"/>
      <c r="AT554" s="108"/>
      <c r="AU554" s="108"/>
      <c r="AV554" s="108"/>
      <c r="AW554" s="108"/>
      <c r="AX554" s="108"/>
      <c r="AY554" s="108"/>
      <c r="AZ554" s="108"/>
    </row>
    <row r="555" spans="1:52" ht="14.2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/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</row>
    <row r="556" spans="1:52" ht="14.2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  <c r="AF556" s="108"/>
      <c r="AG556" s="108"/>
      <c r="AH556" s="108"/>
      <c r="AI556" s="108"/>
      <c r="AJ556" s="108"/>
      <c r="AK556" s="108"/>
      <c r="AL556" s="108"/>
      <c r="AM556" s="108"/>
      <c r="AN556" s="108"/>
      <c r="AO556" s="108"/>
      <c r="AP556" s="108"/>
      <c r="AQ556" s="108"/>
      <c r="AR556" s="108"/>
      <c r="AS556" s="108"/>
      <c r="AT556" s="108"/>
      <c r="AU556" s="108"/>
      <c r="AV556" s="108"/>
      <c r="AW556" s="108"/>
      <c r="AX556" s="108"/>
      <c r="AY556" s="108"/>
      <c r="AZ556" s="108"/>
    </row>
    <row r="557" spans="1:52" ht="14.2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  <c r="AG557" s="108"/>
      <c r="AH557" s="108"/>
      <c r="AI557" s="108"/>
      <c r="AJ557" s="108"/>
      <c r="AK557" s="108"/>
      <c r="AL557" s="108"/>
      <c r="AM557" s="108"/>
      <c r="AN557" s="108"/>
      <c r="AO557" s="108"/>
      <c r="AP557" s="108"/>
      <c r="AQ557" s="108"/>
      <c r="AR557" s="108"/>
      <c r="AS557" s="108"/>
      <c r="AT557" s="108"/>
      <c r="AU557" s="108"/>
      <c r="AV557" s="108"/>
      <c r="AW557" s="108"/>
      <c r="AX557" s="108"/>
      <c r="AY557" s="108"/>
      <c r="AZ557" s="108"/>
    </row>
    <row r="558" spans="1:52" ht="14.2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/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</row>
    <row r="559" spans="1:52" ht="14.2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  <c r="AF559" s="108"/>
      <c r="AG559" s="108"/>
      <c r="AH559" s="108"/>
      <c r="AI559" s="108"/>
      <c r="AJ559" s="108"/>
      <c r="AK559" s="108"/>
      <c r="AL559" s="108"/>
      <c r="AM559" s="108"/>
      <c r="AN559" s="108"/>
      <c r="AO559" s="108"/>
      <c r="AP559" s="108"/>
      <c r="AQ559" s="108"/>
      <c r="AR559" s="108"/>
      <c r="AS559" s="108"/>
      <c r="AT559" s="108"/>
      <c r="AU559" s="108"/>
      <c r="AV559" s="108"/>
      <c r="AW559" s="108"/>
      <c r="AX559" s="108"/>
      <c r="AY559" s="108"/>
      <c r="AZ559" s="108"/>
    </row>
    <row r="560" spans="1:52" ht="14.2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  <c r="AF560" s="108"/>
      <c r="AG560" s="108"/>
      <c r="AH560" s="108"/>
      <c r="AI560" s="108"/>
      <c r="AJ560" s="108"/>
      <c r="AK560" s="108"/>
      <c r="AL560" s="108"/>
      <c r="AM560" s="108"/>
      <c r="AN560" s="108"/>
      <c r="AO560" s="108"/>
      <c r="AP560" s="108"/>
      <c r="AQ560" s="108"/>
      <c r="AR560" s="108"/>
      <c r="AS560" s="108"/>
      <c r="AT560" s="108"/>
      <c r="AU560" s="108"/>
      <c r="AV560" s="108"/>
      <c r="AW560" s="108"/>
      <c r="AX560" s="108"/>
      <c r="AY560" s="108"/>
      <c r="AZ560" s="108"/>
    </row>
    <row r="561" spans="1:52" ht="14.2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  <c r="AF561" s="108"/>
      <c r="AG561" s="108"/>
      <c r="AH561" s="108"/>
      <c r="AI561" s="108"/>
      <c r="AJ561" s="108"/>
      <c r="AK561" s="108"/>
      <c r="AL561" s="108"/>
      <c r="AM561" s="108"/>
      <c r="AN561" s="108"/>
      <c r="AO561" s="108"/>
      <c r="AP561" s="108"/>
      <c r="AQ561" s="108"/>
      <c r="AR561" s="108"/>
      <c r="AS561" s="108"/>
      <c r="AT561" s="108"/>
      <c r="AU561" s="108"/>
      <c r="AV561" s="108"/>
      <c r="AW561" s="108"/>
      <c r="AX561" s="108"/>
      <c r="AY561" s="108"/>
      <c r="AZ561" s="108"/>
    </row>
    <row r="562" spans="1:52" ht="14.2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  <c r="AF562" s="108"/>
      <c r="AG562" s="108"/>
      <c r="AH562" s="108"/>
      <c r="AI562" s="108"/>
      <c r="AJ562" s="108"/>
      <c r="AK562" s="108"/>
      <c r="AL562" s="108"/>
      <c r="AM562" s="108"/>
      <c r="AN562" s="108"/>
      <c r="AO562" s="108"/>
      <c r="AP562" s="108"/>
      <c r="AQ562" s="108"/>
      <c r="AR562" s="108"/>
      <c r="AS562" s="108"/>
      <c r="AT562" s="108"/>
      <c r="AU562" s="108"/>
      <c r="AV562" s="108"/>
      <c r="AW562" s="108"/>
      <c r="AX562" s="108"/>
      <c r="AY562" s="108"/>
      <c r="AZ562" s="108"/>
    </row>
    <row r="563" spans="1:52" ht="14.2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  <c r="AF563" s="108"/>
      <c r="AG563" s="108"/>
      <c r="AH563" s="108"/>
      <c r="AI563" s="108"/>
      <c r="AJ563" s="108"/>
      <c r="AK563" s="108"/>
      <c r="AL563" s="108"/>
      <c r="AM563" s="108"/>
      <c r="AN563" s="108"/>
      <c r="AO563" s="108"/>
      <c r="AP563" s="108"/>
      <c r="AQ563" s="108"/>
      <c r="AR563" s="108"/>
      <c r="AS563" s="108"/>
      <c r="AT563" s="108"/>
      <c r="AU563" s="108"/>
      <c r="AV563" s="108"/>
      <c r="AW563" s="108"/>
      <c r="AX563" s="108"/>
      <c r="AY563" s="108"/>
      <c r="AZ563" s="108"/>
    </row>
    <row r="564" spans="1:52" ht="14.2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  <c r="AG564" s="108"/>
      <c r="AH564" s="108"/>
      <c r="AI564" s="108"/>
      <c r="AJ564" s="108"/>
      <c r="AK564" s="108"/>
      <c r="AL564" s="108"/>
      <c r="AM564" s="108"/>
      <c r="AN564" s="108"/>
      <c r="AO564" s="108"/>
      <c r="AP564" s="108"/>
      <c r="AQ564" s="108"/>
      <c r="AR564" s="108"/>
      <c r="AS564" s="108"/>
      <c r="AT564" s="108"/>
      <c r="AU564" s="108"/>
      <c r="AV564" s="108"/>
      <c r="AW564" s="108"/>
      <c r="AX564" s="108"/>
      <c r="AY564" s="108"/>
      <c r="AZ564" s="108"/>
    </row>
    <row r="565" spans="1:52" ht="14.2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08"/>
      <c r="AG565" s="108"/>
      <c r="AH565" s="108"/>
      <c r="AI565" s="108"/>
      <c r="AJ565" s="108"/>
      <c r="AK565" s="108"/>
      <c r="AL565" s="108"/>
      <c r="AM565" s="108"/>
      <c r="AN565" s="108"/>
      <c r="AO565" s="108"/>
      <c r="AP565" s="108"/>
      <c r="AQ565" s="108"/>
      <c r="AR565" s="108"/>
      <c r="AS565" s="108"/>
      <c r="AT565" s="108"/>
      <c r="AU565" s="108"/>
      <c r="AV565" s="108"/>
      <c r="AW565" s="108"/>
      <c r="AX565" s="108"/>
      <c r="AY565" s="108"/>
      <c r="AZ565" s="108"/>
    </row>
    <row r="566" spans="1:52" ht="14.2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  <c r="AF566" s="108"/>
      <c r="AG566" s="108"/>
      <c r="AH566" s="108"/>
      <c r="AI566" s="108"/>
      <c r="AJ566" s="108"/>
      <c r="AK566" s="108"/>
      <c r="AL566" s="108"/>
      <c r="AM566" s="108"/>
      <c r="AN566" s="108"/>
      <c r="AO566" s="108"/>
      <c r="AP566" s="108"/>
      <c r="AQ566" s="108"/>
      <c r="AR566" s="108"/>
      <c r="AS566" s="108"/>
      <c r="AT566" s="108"/>
      <c r="AU566" s="108"/>
      <c r="AV566" s="108"/>
      <c r="AW566" s="108"/>
      <c r="AX566" s="108"/>
      <c r="AY566" s="108"/>
      <c r="AZ566" s="108"/>
    </row>
    <row r="567" spans="1:52" ht="14.2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  <c r="AF567" s="108"/>
      <c r="AG567" s="108"/>
      <c r="AH567" s="108"/>
      <c r="AI567" s="108"/>
      <c r="AJ567" s="108"/>
      <c r="AK567" s="108"/>
      <c r="AL567" s="108"/>
      <c r="AM567" s="108"/>
      <c r="AN567" s="108"/>
      <c r="AO567" s="108"/>
      <c r="AP567" s="108"/>
      <c r="AQ567" s="108"/>
      <c r="AR567" s="108"/>
      <c r="AS567" s="108"/>
      <c r="AT567" s="108"/>
      <c r="AU567" s="108"/>
      <c r="AV567" s="108"/>
      <c r="AW567" s="108"/>
      <c r="AX567" s="108"/>
      <c r="AY567" s="108"/>
      <c r="AZ567" s="108"/>
    </row>
    <row r="568" spans="1:52" ht="14.2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  <c r="AE568" s="108"/>
      <c r="AF568" s="108"/>
      <c r="AG568" s="108"/>
      <c r="AH568" s="108"/>
      <c r="AI568" s="108"/>
      <c r="AJ568" s="108"/>
      <c r="AK568" s="108"/>
      <c r="AL568" s="108"/>
      <c r="AM568" s="108"/>
      <c r="AN568" s="108"/>
      <c r="AO568" s="108"/>
      <c r="AP568" s="108"/>
      <c r="AQ568" s="108"/>
      <c r="AR568" s="108"/>
      <c r="AS568" s="108"/>
      <c r="AT568" s="108"/>
      <c r="AU568" s="108"/>
      <c r="AV568" s="108"/>
      <c r="AW568" s="108"/>
      <c r="AX568" s="108"/>
      <c r="AY568" s="108"/>
      <c r="AZ568" s="108"/>
    </row>
    <row r="569" spans="1:52" ht="14.2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  <c r="AF569" s="108"/>
      <c r="AG569" s="108"/>
      <c r="AH569" s="108"/>
      <c r="AI569" s="108"/>
      <c r="AJ569" s="108"/>
      <c r="AK569" s="108"/>
      <c r="AL569" s="108"/>
      <c r="AM569" s="108"/>
      <c r="AN569" s="108"/>
      <c r="AO569" s="108"/>
      <c r="AP569" s="108"/>
      <c r="AQ569" s="108"/>
      <c r="AR569" s="108"/>
      <c r="AS569" s="108"/>
      <c r="AT569" s="108"/>
      <c r="AU569" s="108"/>
      <c r="AV569" s="108"/>
      <c r="AW569" s="108"/>
      <c r="AX569" s="108"/>
      <c r="AY569" s="108"/>
      <c r="AZ569" s="108"/>
    </row>
    <row r="570" spans="1:52" ht="14.2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  <c r="AF570" s="108"/>
      <c r="AG570" s="108"/>
      <c r="AH570" s="108"/>
      <c r="AI570" s="108"/>
      <c r="AJ570" s="108"/>
      <c r="AK570" s="108"/>
      <c r="AL570" s="108"/>
      <c r="AM570" s="108"/>
      <c r="AN570" s="108"/>
      <c r="AO570" s="108"/>
      <c r="AP570" s="108"/>
      <c r="AQ570" s="108"/>
      <c r="AR570" s="108"/>
      <c r="AS570" s="108"/>
      <c r="AT570" s="108"/>
      <c r="AU570" s="108"/>
      <c r="AV570" s="108"/>
      <c r="AW570" s="108"/>
      <c r="AX570" s="108"/>
      <c r="AY570" s="108"/>
      <c r="AZ570" s="108"/>
    </row>
    <row r="571" spans="1:52" ht="14.2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  <c r="AG571" s="108"/>
      <c r="AH571" s="108"/>
      <c r="AI571" s="108"/>
      <c r="AJ571" s="108"/>
      <c r="AK571" s="108"/>
      <c r="AL571" s="108"/>
      <c r="AM571" s="108"/>
      <c r="AN571" s="108"/>
      <c r="AO571" s="108"/>
      <c r="AP571" s="108"/>
      <c r="AQ571" s="108"/>
      <c r="AR571" s="108"/>
      <c r="AS571" s="108"/>
      <c r="AT571" s="108"/>
      <c r="AU571" s="108"/>
      <c r="AV571" s="108"/>
      <c r="AW571" s="108"/>
      <c r="AX571" s="108"/>
      <c r="AY571" s="108"/>
      <c r="AZ571" s="108"/>
    </row>
    <row r="572" spans="1:52" ht="14.2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  <c r="AG572" s="108"/>
      <c r="AH572" s="108"/>
      <c r="AI572" s="108"/>
      <c r="AJ572" s="108"/>
      <c r="AK572" s="108"/>
      <c r="AL572" s="108"/>
      <c r="AM572" s="108"/>
      <c r="AN572" s="108"/>
      <c r="AO572" s="108"/>
      <c r="AP572" s="108"/>
      <c r="AQ572" s="108"/>
      <c r="AR572" s="108"/>
      <c r="AS572" s="108"/>
      <c r="AT572" s="108"/>
      <c r="AU572" s="108"/>
      <c r="AV572" s="108"/>
      <c r="AW572" s="108"/>
      <c r="AX572" s="108"/>
      <c r="AY572" s="108"/>
      <c r="AZ572" s="108"/>
    </row>
    <row r="573" spans="1:52" ht="14.2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  <c r="AG573" s="108"/>
      <c r="AH573" s="108"/>
      <c r="AI573" s="108"/>
      <c r="AJ573" s="108"/>
      <c r="AK573" s="108"/>
      <c r="AL573" s="108"/>
      <c r="AM573" s="108"/>
      <c r="AN573" s="108"/>
      <c r="AO573" s="108"/>
      <c r="AP573" s="108"/>
      <c r="AQ573" s="108"/>
      <c r="AR573" s="108"/>
      <c r="AS573" s="108"/>
      <c r="AT573" s="108"/>
      <c r="AU573" s="108"/>
      <c r="AV573" s="108"/>
      <c r="AW573" s="108"/>
      <c r="AX573" s="108"/>
      <c r="AY573" s="108"/>
      <c r="AZ573" s="108"/>
    </row>
    <row r="574" spans="1:52" ht="14.2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  <c r="AG574" s="108"/>
      <c r="AH574" s="108"/>
      <c r="AI574" s="108"/>
      <c r="AJ574" s="108"/>
      <c r="AK574" s="108"/>
      <c r="AL574" s="108"/>
      <c r="AM574" s="108"/>
      <c r="AN574" s="108"/>
      <c r="AO574" s="108"/>
      <c r="AP574" s="108"/>
      <c r="AQ574" s="108"/>
      <c r="AR574" s="108"/>
      <c r="AS574" s="108"/>
      <c r="AT574" s="108"/>
      <c r="AU574" s="108"/>
      <c r="AV574" s="108"/>
      <c r="AW574" s="108"/>
      <c r="AX574" s="108"/>
      <c r="AY574" s="108"/>
      <c r="AZ574" s="108"/>
    </row>
    <row r="575" spans="1:52" ht="14.2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  <c r="AG575" s="108"/>
      <c r="AH575" s="108"/>
      <c r="AI575" s="108"/>
      <c r="AJ575" s="108"/>
      <c r="AK575" s="108"/>
      <c r="AL575" s="108"/>
      <c r="AM575" s="108"/>
      <c r="AN575" s="108"/>
      <c r="AO575" s="108"/>
      <c r="AP575" s="108"/>
      <c r="AQ575" s="108"/>
      <c r="AR575" s="108"/>
      <c r="AS575" s="108"/>
      <c r="AT575" s="108"/>
      <c r="AU575" s="108"/>
      <c r="AV575" s="108"/>
      <c r="AW575" s="108"/>
      <c r="AX575" s="108"/>
      <c r="AY575" s="108"/>
      <c r="AZ575" s="108"/>
    </row>
    <row r="576" spans="1:52" ht="14.2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  <c r="AG576" s="108"/>
      <c r="AH576" s="108"/>
      <c r="AI576" s="108"/>
      <c r="AJ576" s="108"/>
      <c r="AK576" s="108"/>
      <c r="AL576" s="108"/>
      <c r="AM576" s="108"/>
      <c r="AN576" s="108"/>
      <c r="AO576" s="108"/>
      <c r="AP576" s="108"/>
      <c r="AQ576" s="108"/>
      <c r="AR576" s="108"/>
      <c r="AS576" s="108"/>
      <c r="AT576" s="108"/>
      <c r="AU576" s="108"/>
      <c r="AV576" s="108"/>
      <c r="AW576" s="108"/>
      <c r="AX576" s="108"/>
      <c r="AY576" s="108"/>
      <c r="AZ576" s="108"/>
    </row>
    <row r="577" spans="1:52" ht="14.2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  <c r="AE577" s="108"/>
      <c r="AF577" s="108"/>
      <c r="AG577" s="108"/>
      <c r="AH577" s="108"/>
      <c r="AI577" s="108"/>
      <c r="AJ577" s="108"/>
      <c r="AK577" s="108"/>
      <c r="AL577" s="108"/>
      <c r="AM577" s="108"/>
      <c r="AN577" s="108"/>
      <c r="AO577" s="108"/>
      <c r="AP577" s="108"/>
      <c r="AQ577" s="108"/>
      <c r="AR577" s="108"/>
      <c r="AS577" s="108"/>
      <c r="AT577" s="108"/>
      <c r="AU577" s="108"/>
      <c r="AV577" s="108"/>
      <c r="AW577" s="108"/>
      <c r="AX577" s="108"/>
      <c r="AY577" s="108"/>
      <c r="AZ577" s="108"/>
    </row>
    <row r="578" spans="1:52" ht="14.2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  <c r="AF578" s="108"/>
      <c r="AG578" s="108"/>
      <c r="AH578" s="108"/>
      <c r="AI578" s="108"/>
      <c r="AJ578" s="108"/>
      <c r="AK578" s="108"/>
      <c r="AL578" s="108"/>
      <c r="AM578" s="108"/>
      <c r="AN578" s="108"/>
      <c r="AO578" s="108"/>
      <c r="AP578" s="108"/>
      <c r="AQ578" s="108"/>
      <c r="AR578" s="108"/>
      <c r="AS578" s="108"/>
      <c r="AT578" s="108"/>
      <c r="AU578" s="108"/>
      <c r="AV578" s="108"/>
      <c r="AW578" s="108"/>
      <c r="AX578" s="108"/>
      <c r="AY578" s="108"/>
      <c r="AZ578" s="108"/>
    </row>
    <row r="579" spans="1:52" ht="14.2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  <c r="AF579" s="108"/>
      <c r="AG579" s="108"/>
      <c r="AH579" s="108"/>
      <c r="AI579" s="108"/>
      <c r="AJ579" s="108"/>
      <c r="AK579" s="108"/>
      <c r="AL579" s="108"/>
      <c r="AM579" s="108"/>
      <c r="AN579" s="108"/>
      <c r="AO579" s="108"/>
      <c r="AP579" s="108"/>
      <c r="AQ579" s="108"/>
      <c r="AR579" s="108"/>
      <c r="AS579" s="108"/>
      <c r="AT579" s="108"/>
      <c r="AU579" s="108"/>
      <c r="AV579" s="108"/>
      <c r="AW579" s="108"/>
      <c r="AX579" s="108"/>
      <c r="AY579" s="108"/>
      <c r="AZ579" s="108"/>
    </row>
    <row r="580" spans="1:52" ht="14.2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  <c r="AE580" s="108"/>
      <c r="AF580" s="108"/>
      <c r="AG580" s="108"/>
      <c r="AH580" s="108"/>
      <c r="AI580" s="108"/>
      <c r="AJ580" s="108"/>
      <c r="AK580" s="108"/>
      <c r="AL580" s="108"/>
      <c r="AM580" s="108"/>
      <c r="AN580" s="108"/>
      <c r="AO580" s="108"/>
      <c r="AP580" s="108"/>
      <c r="AQ580" s="108"/>
      <c r="AR580" s="108"/>
      <c r="AS580" s="108"/>
      <c r="AT580" s="108"/>
      <c r="AU580" s="108"/>
      <c r="AV580" s="108"/>
      <c r="AW580" s="108"/>
      <c r="AX580" s="108"/>
      <c r="AY580" s="108"/>
      <c r="AZ580" s="108"/>
    </row>
    <row r="581" spans="1:52" ht="14.2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  <c r="AE581" s="108"/>
      <c r="AF581" s="108"/>
      <c r="AG581" s="108"/>
      <c r="AH581" s="108"/>
      <c r="AI581" s="108"/>
      <c r="AJ581" s="108"/>
      <c r="AK581" s="108"/>
      <c r="AL581" s="108"/>
      <c r="AM581" s="108"/>
      <c r="AN581" s="108"/>
      <c r="AO581" s="108"/>
      <c r="AP581" s="108"/>
      <c r="AQ581" s="108"/>
      <c r="AR581" s="108"/>
      <c r="AS581" s="108"/>
      <c r="AT581" s="108"/>
      <c r="AU581" s="108"/>
      <c r="AV581" s="108"/>
      <c r="AW581" s="108"/>
      <c r="AX581" s="108"/>
      <c r="AY581" s="108"/>
      <c r="AZ581" s="108"/>
    </row>
    <row r="582" spans="1:52" ht="14.2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  <c r="AE582" s="108"/>
      <c r="AF582" s="108"/>
      <c r="AG582" s="108"/>
      <c r="AH582" s="108"/>
      <c r="AI582" s="108"/>
      <c r="AJ582" s="108"/>
      <c r="AK582" s="108"/>
      <c r="AL582" s="108"/>
      <c r="AM582" s="108"/>
      <c r="AN582" s="108"/>
      <c r="AO582" s="108"/>
      <c r="AP582" s="108"/>
      <c r="AQ582" s="108"/>
      <c r="AR582" s="108"/>
      <c r="AS582" s="108"/>
      <c r="AT582" s="108"/>
      <c r="AU582" s="108"/>
      <c r="AV582" s="108"/>
      <c r="AW582" s="108"/>
      <c r="AX582" s="108"/>
      <c r="AY582" s="108"/>
      <c r="AZ582" s="108"/>
    </row>
    <row r="583" spans="1:52" ht="14.2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  <c r="AF583" s="108"/>
      <c r="AG583" s="108"/>
      <c r="AH583" s="108"/>
      <c r="AI583" s="108"/>
      <c r="AJ583" s="108"/>
      <c r="AK583" s="108"/>
      <c r="AL583" s="108"/>
      <c r="AM583" s="108"/>
      <c r="AN583" s="108"/>
      <c r="AO583" s="108"/>
      <c r="AP583" s="108"/>
      <c r="AQ583" s="108"/>
      <c r="AR583" s="108"/>
      <c r="AS583" s="108"/>
      <c r="AT583" s="108"/>
      <c r="AU583" s="108"/>
      <c r="AV583" s="108"/>
      <c r="AW583" s="108"/>
      <c r="AX583" s="108"/>
      <c r="AY583" s="108"/>
      <c r="AZ583" s="108"/>
    </row>
    <row r="584" spans="1:52" ht="14.2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  <c r="AF584" s="108"/>
      <c r="AG584" s="108"/>
      <c r="AH584" s="108"/>
      <c r="AI584" s="108"/>
      <c r="AJ584" s="108"/>
      <c r="AK584" s="108"/>
      <c r="AL584" s="108"/>
      <c r="AM584" s="108"/>
      <c r="AN584" s="108"/>
      <c r="AO584" s="108"/>
      <c r="AP584" s="108"/>
      <c r="AQ584" s="108"/>
      <c r="AR584" s="108"/>
      <c r="AS584" s="108"/>
      <c r="AT584" s="108"/>
      <c r="AU584" s="108"/>
      <c r="AV584" s="108"/>
      <c r="AW584" s="108"/>
      <c r="AX584" s="108"/>
      <c r="AY584" s="108"/>
      <c r="AZ584" s="108"/>
    </row>
    <row r="585" spans="1:52" ht="14.2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  <c r="AF585" s="108"/>
      <c r="AG585" s="108"/>
      <c r="AH585" s="108"/>
      <c r="AI585" s="108"/>
      <c r="AJ585" s="108"/>
      <c r="AK585" s="108"/>
      <c r="AL585" s="108"/>
      <c r="AM585" s="108"/>
      <c r="AN585" s="108"/>
      <c r="AO585" s="108"/>
      <c r="AP585" s="108"/>
      <c r="AQ585" s="108"/>
      <c r="AR585" s="108"/>
      <c r="AS585" s="108"/>
      <c r="AT585" s="108"/>
      <c r="AU585" s="108"/>
      <c r="AV585" s="108"/>
      <c r="AW585" s="108"/>
      <c r="AX585" s="108"/>
      <c r="AY585" s="108"/>
      <c r="AZ585" s="108"/>
    </row>
    <row r="586" spans="1:52" ht="14.2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08"/>
      <c r="AG586" s="108"/>
      <c r="AH586" s="108"/>
      <c r="AI586" s="108"/>
      <c r="AJ586" s="108"/>
      <c r="AK586" s="108"/>
      <c r="AL586" s="108"/>
      <c r="AM586" s="108"/>
      <c r="AN586" s="108"/>
      <c r="AO586" s="108"/>
      <c r="AP586" s="108"/>
      <c r="AQ586" s="108"/>
      <c r="AR586" s="108"/>
      <c r="AS586" s="108"/>
      <c r="AT586" s="108"/>
      <c r="AU586" s="108"/>
      <c r="AV586" s="108"/>
      <c r="AW586" s="108"/>
      <c r="AX586" s="108"/>
      <c r="AY586" s="108"/>
      <c r="AZ586" s="108"/>
    </row>
    <row r="587" spans="1:52" ht="14.2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  <c r="AF587" s="108"/>
      <c r="AG587" s="108"/>
      <c r="AH587" s="108"/>
      <c r="AI587" s="108"/>
      <c r="AJ587" s="108"/>
      <c r="AK587" s="108"/>
      <c r="AL587" s="108"/>
      <c r="AM587" s="108"/>
      <c r="AN587" s="108"/>
      <c r="AO587" s="108"/>
      <c r="AP587" s="108"/>
      <c r="AQ587" s="108"/>
      <c r="AR587" s="108"/>
      <c r="AS587" s="108"/>
      <c r="AT587" s="108"/>
      <c r="AU587" s="108"/>
      <c r="AV587" s="108"/>
      <c r="AW587" s="108"/>
      <c r="AX587" s="108"/>
      <c r="AY587" s="108"/>
      <c r="AZ587" s="108"/>
    </row>
    <row r="588" spans="1:52" ht="14.2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  <c r="AI588" s="108"/>
      <c r="AJ588" s="108"/>
      <c r="AK588" s="108"/>
      <c r="AL588" s="108"/>
      <c r="AM588" s="108"/>
      <c r="AN588" s="108"/>
      <c r="AO588" s="108"/>
      <c r="AP588" s="108"/>
      <c r="AQ588" s="108"/>
      <c r="AR588" s="108"/>
      <c r="AS588" s="108"/>
      <c r="AT588" s="108"/>
      <c r="AU588" s="108"/>
      <c r="AV588" s="108"/>
      <c r="AW588" s="108"/>
      <c r="AX588" s="108"/>
      <c r="AY588" s="108"/>
      <c r="AZ588" s="108"/>
    </row>
    <row r="589" spans="1:52" ht="14.2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  <c r="AF589" s="108"/>
      <c r="AG589" s="108"/>
      <c r="AH589" s="108"/>
      <c r="AI589" s="108"/>
      <c r="AJ589" s="108"/>
      <c r="AK589" s="108"/>
      <c r="AL589" s="108"/>
      <c r="AM589" s="108"/>
      <c r="AN589" s="108"/>
      <c r="AO589" s="108"/>
      <c r="AP589" s="108"/>
      <c r="AQ589" s="108"/>
      <c r="AR589" s="108"/>
      <c r="AS589" s="108"/>
      <c r="AT589" s="108"/>
      <c r="AU589" s="108"/>
      <c r="AV589" s="108"/>
      <c r="AW589" s="108"/>
      <c r="AX589" s="108"/>
      <c r="AY589" s="108"/>
      <c r="AZ589" s="108"/>
    </row>
    <row r="590" spans="1:52" ht="14.2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  <c r="AF590" s="108"/>
      <c r="AG590" s="108"/>
      <c r="AH590" s="108"/>
      <c r="AI590" s="108"/>
      <c r="AJ590" s="108"/>
      <c r="AK590" s="108"/>
      <c r="AL590" s="108"/>
      <c r="AM590" s="108"/>
      <c r="AN590" s="108"/>
      <c r="AO590" s="108"/>
      <c r="AP590" s="108"/>
      <c r="AQ590" s="108"/>
      <c r="AR590" s="108"/>
      <c r="AS590" s="108"/>
      <c r="AT590" s="108"/>
      <c r="AU590" s="108"/>
      <c r="AV590" s="108"/>
      <c r="AW590" s="108"/>
      <c r="AX590" s="108"/>
      <c r="AY590" s="108"/>
      <c r="AZ590" s="108"/>
    </row>
    <row r="591" spans="1:52" ht="14.2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  <c r="AF591" s="108"/>
      <c r="AG591" s="108"/>
      <c r="AH591" s="108"/>
      <c r="AI591" s="108"/>
      <c r="AJ591" s="108"/>
      <c r="AK591" s="108"/>
      <c r="AL591" s="108"/>
      <c r="AM591" s="108"/>
      <c r="AN591" s="108"/>
      <c r="AO591" s="108"/>
      <c r="AP591" s="108"/>
      <c r="AQ591" s="108"/>
      <c r="AR591" s="108"/>
      <c r="AS591" s="108"/>
      <c r="AT591" s="108"/>
      <c r="AU591" s="108"/>
      <c r="AV591" s="108"/>
      <c r="AW591" s="108"/>
      <c r="AX591" s="108"/>
      <c r="AY591" s="108"/>
      <c r="AZ591" s="108"/>
    </row>
    <row r="592" spans="1:52" ht="14.2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  <c r="AF592" s="108"/>
      <c r="AG592" s="108"/>
      <c r="AH592" s="108"/>
      <c r="AI592" s="108"/>
      <c r="AJ592" s="108"/>
      <c r="AK592" s="108"/>
      <c r="AL592" s="108"/>
      <c r="AM592" s="108"/>
      <c r="AN592" s="108"/>
      <c r="AO592" s="108"/>
      <c r="AP592" s="108"/>
      <c r="AQ592" s="108"/>
      <c r="AR592" s="108"/>
      <c r="AS592" s="108"/>
      <c r="AT592" s="108"/>
      <c r="AU592" s="108"/>
      <c r="AV592" s="108"/>
      <c r="AW592" s="108"/>
      <c r="AX592" s="108"/>
      <c r="AY592" s="108"/>
      <c r="AZ592" s="108"/>
    </row>
    <row r="593" spans="1:52" ht="14.2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/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</row>
    <row r="594" spans="1:52" ht="14.2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  <c r="AF594" s="108"/>
      <c r="AG594" s="108"/>
      <c r="AH594" s="108"/>
      <c r="AI594" s="108"/>
      <c r="AJ594" s="108"/>
      <c r="AK594" s="108"/>
      <c r="AL594" s="108"/>
      <c r="AM594" s="108"/>
      <c r="AN594" s="108"/>
      <c r="AO594" s="108"/>
      <c r="AP594" s="108"/>
      <c r="AQ594" s="108"/>
      <c r="AR594" s="108"/>
      <c r="AS594" s="108"/>
      <c r="AT594" s="108"/>
      <c r="AU594" s="108"/>
      <c r="AV594" s="108"/>
      <c r="AW594" s="108"/>
      <c r="AX594" s="108"/>
      <c r="AY594" s="108"/>
      <c r="AZ594" s="108"/>
    </row>
    <row r="595" spans="1:52" ht="14.2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  <c r="AF595" s="108"/>
      <c r="AG595" s="108"/>
      <c r="AH595" s="108"/>
      <c r="AI595" s="108"/>
      <c r="AJ595" s="108"/>
      <c r="AK595" s="108"/>
      <c r="AL595" s="108"/>
      <c r="AM595" s="108"/>
      <c r="AN595" s="108"/>
      <c r="AO595" s="108"/>
      <c r="AP595" s="108"/>
      <c r="AQ595" s="108"/>
      <c r="AR595" s="108"/>
      <c r="AS595" s="108"/>
      <c r="AT595" s="108"/>
      <c r="AU595" s="108"/>
      <c r="AV595" s="108"/>
      <c r="AW595" s="108"/>
      <c r="AX595" s="108"/>
      <c r="AY595" s="108"/>
      <c r="AZ595" s="108"/>
    </row>
    <row r="596" spans="1:52" ht="14.2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/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</row>
    <row r="597" spans="1:52" ht="14.2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  <c r="AF597" s="108"/>
      <c r="AG597" s="108"/>
      <c r="AH597" s="108"/>
      <c r="AI597" s="108"/>
      <c r="AJ597" s="108"/>
      <c r="AK597" s="108"/>
      <c r="AL597" s="108"/>
      <c r="AM597" s="108"/>
      <c r="AN597" s="108"/>
      <c r="AO597" s="108"/>
      <c r="AP597" s="108"/>
      <c r="AQ597" s="108"/>
      <c r="AR597" s="108"/>
      <c r="AS597" s="108"/>
      <c r="AT597" s="108"/>
      <c r="AU597" s="108"/>
      <c r="AV597" s="108"/>
      <c r="AW597" s="108"/>
      <c r="AX597" s="108"/>
      <c r="AY597" s="108"/>
      <c r="AZ597" s="108"/>
    </row>
    <row r="598" spans="1:52" ht="14.2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  <c r="AF598" s="108"/>
      <c r="AG598" s="108"/>
      <c r="AH598" s="108"/>
      <c r="AI598" s="108"/>
      <c r="AJ598" s="108"/>
      <c r="AK598" s="108"/>
      <c r="AL598" s="108"/>
      <c r="AM598" s="108"/>
      <c r="AN598" s="108"/>
      <c r="AO598" s="108"/>
      <c r="AP598" s="108"/>
      <c r="AQ598" s="108"/>
      <c r="AR598" s="108"/>
      <c r="AS598" s="108"/>
      <c r="AT598" s="108"/>
      <c r="AU598" s="108"/>
      <c r="AV598" s="108"/>
      <c r="AW598" s="108"/>
      <c r="AX598" s="108"/>
      <c r="AY598" s="108"/>
      <c r="AZ598" s="108"/>
    </row>
    <row r="599" spans="1:52" ht="14.2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  <c r="AF599" s="108"/>
      <c r="AG599" s="108"/>
      <c r="AH599" s="108"/>
      <c r="AI599" s="108"/>
      <c r="AJ599" s="108"/>
      <c r="AK599" s="108"/>
      <c r="AL599" s="108"/>
      <c r="AM599" s="108"/>
      <c r="AN599" s="108"/>
      <c r="AO599" s="108"/>
      <c r="AP599" s="108"/>
      <c r="AQ599" s="108"/>
      <c r="AR599" s="108"/>
      <c r="AS599" s="108"/>
      <c r="AT599" s="108"/>
      <c r="AU599" s="108"/>
      <c r="AV599" s="108"/>
      <c r="AW599" s="108"/>
      <c r="AX599" s="108"/>
      <c r="AY599" s="108"/>
      <c r="AZ599" s="108"/>
    </row>
    <row r="600" spans="1:52" ht="14.2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  <c r="AF600" s="108"/>
      <c r="AG600" s="108"/>
      <c r="AH600" s="108"/>
      <c r="AI600" s="108"/>
      <c r="AJ600" s="108"/>
      <c r="AK600" s="108"/>
      <c r="AL600" s="108"/>
      <c r="AM600" s="108"/>
      <c r="AN600" s="108"/>
      <c r="AO600" s="108"/>
      <c r="AP600" s="108"/>
      <c r="AQ600" s="108"/>
      <c r="AR600" s="108"/>
      <c r="AS600" s="108"/>
      <c r="AT600" s="108"/>
      <c r="AU600" s="108"/>
      <c r="AV600" s="108"/>
      <c r="AW600" s="108"/>
      <c r="AX600" s="108"/>
      <c r="AY600" s="108"/>
      <c r="AZ600" s="108"/>
    </row>
    <row r="601" spans="1:52" ht="14.2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  <c r="AI601" s="108"/>
      <c r="AJ601" s="108"/>
      <c r="AK601" s="108"/>
      <c r="AL601" s="108"/>
      <c r="AM601" s="108"/>
      <c r="AN601" s="108"/>
      <c r="AO601" s="108"/>
      <c r="AP601" s="108"/>
      <c r="AQ601" s="108"/>
      <c r="AR601" s="108"/>
      <c r="AS601" s="108"/>
      <c r="AT601" s="108"/>
      <c r="AU601" s="108"/>
      <c r="AV601" s="108"/>
      <c r="AW601" s="108"/>
      <c r="AX601" s="108"/>
      <c r="AY601" s="108"/>
      <c r="AZ601" s="108"/>
    </row>
    <row r="602" spans="1:52" ht="14.2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  <c r="AF602" s="108"/>
      <c r="AG602" s="108"/>
      <c r="AH602" s="108"/>
      <c r="AI602" s="108"/>
      <c r="AJ602" s="108"/>
      <c r="AK602" s="108"/>
      <c r="AL602" s="108"/>
      <c r="AM602" s="108"/>
      <c r="AN602" s="108"/>
      <c r="AO602" s="108"/>
      <c r="AP602" s="108"/>
      <c r="AQ602" s="108"/>
      <c r="AR602" s="108"/>
      <c r="AS602" s="108"/>
      <c r="AT602" s="108"/>
      <c r="AU602" s="108"/>
      <c r="AV602" s="108"/>
      <c r="AW602" s="108"/>
      <c r="AX602" s="108"/>
      <c r="AY602" s="108"/>
      <c r="AZ602" s="108"/>
    </row>
    <row r="603" spans="1:52" ht="14.2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  <c r="AF603" s="108"/>
      <c r="AG603" s="108"/>
      <c r="AH603" s="108"/>
      <c r="AI603" s="108"/>
      <c r="AJ603" s="108"/>
      <c r="AK603" s="108"/>
      <c r="AL603" s="108"/>
      <c r="AM603" s="108"/>
      <c r="AN603" s="108"/>
      <c r="AO603" s="108"/>
      <c r="AP603" s="108"/>
      <c r="AQ603" s="108"/>
      <c r="AR603" s="108"/>
      <c r="AS603" s="108"/>
      <c r="AT603" s="108"/>
      <c r="AU603" s="108"/>
      <c r="AV603" s="108"/>
      <c r="AW603" s="108"/>
      <c r="AX603" s="108"/>
      <c r="AY603" s="108"/>
      <c r="AZ603" s="108"/>
    </row>
    <row r="604" spans="1:52" ht="14.2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  <c r="AF604" s="108"/>
      <c r="AG604" s="108"/>
      <c r="AH604" s="108"/>
      <c r="AI604" s="108"/>
      <c r="AJ604" s="108"/>
      <c r="AK604" s="108"/>
      <c r="AL604" s="108"/>
      <c r="AM604" s="108"/>
      <c r="AN604" s="108"/>
      <c r="AO604" s="108"/>
      <c r="AP604" s="108"/>
      <c r="AQ604" s="108"/>
      <c r="AR604" s="108"/>
      <c r="AS604" s="108"/>
      <c r="AT604" s="108"/>
      <c r="AU604" s="108"/>
      <c r="AV604" s="108"/>
      <c r="AW604" s="108"/>
      <c r="AX604" s="108"/>
      <c r="AY604" s="108"/>
      <c r="AZ604" s="108"/>
    </row>
    <row r="605" spans="1:52" ht="14.2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  <c r="AF605" s="108"/>
      <c r="AG605" s="108"/>
      <c r="AH605" s="108"/>
      <c r="AI605" s="108"/>
      <c r="AJ605" s="108"/>
      <c r="AK605" s="108"/>
      <c r="AL605" s="108"/>
      <c r="AM605" s="108"/>
      <c r="AN605" s="108"/>
      <c r="AO605" s="108"/>
      <c r="AP605" s="108"/>
      <c r="AQ605" s="108"/>
      <c r="AR605" s="108"/>
      <c r="AS605" s="108"/>
      <c r="AT605" s="108"/>
      <c r="AU605" s="108"/>
      <c r="AV605" s="108"/>
      <c r="AW605" s="108"/>
      <c r="AX605" s="108"/>
      <c r="AY605" s="108"/>
      <c r="AZ605" s="108"/>
    </row>
    <row r="606" spans="1:52" ht="14.2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  <c r="AF606" s="108"/>
      <c r="AG606" s="108"/>
      <c r="AH606" s="108"/>
      <c r="AI606" s="108"/>
      <c r="AJ606" s="108"/>
      <c r="AK606" s="108"/>
      <c r="AL606" s="108"/>
      <c r="AM606" s="108"/>
      <c r="AN606" s="108"/>
      <c r="AO606" s="108"/>
      <c r="AP606" s="108"/>
      <c r="AQ606" s="108"/>
      <c r="AR606" s="108"/>
      <c r="AS606" s="108"/>
      <c r="AT606" s="108"/>
      <c r="AU606" s="108"/>
      <c r="AV606" s="108"/>
      <c r="AW606" s="108"/>
      <c r="AX606" s="108"/>
      <c r="AY606" s="108"/>
      <c r="AZ606" s="108"/>
    </row>
    <row r="607" spans="1:52" ht="14.2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  <c r="AF607" s="108"/>
      <c r="AG607" s="108"/>
      <c r="AH607" s="108"/>
      <c r="AI607" s="108"/>
      <c r="AJ607" s="108"/>
      <c r="AK607" s="108"/>
      <c r="AL607" s="108"/>
      <c r="AM607" s="108"/>
      <c r="AN607" s="108"/>
      <c r="AO607" s="108"/>
      <c r="AP607" s="108"/>
      <c r="AQ607" s="108"/>
      <c r="AR607" s="108"/>
      <c r="AS607" s="108"/>
      <c r="AT607" s="108"/>
      <c r="AU607" s="108"/>
      <c r="AV607" s="108"/>
      <c r="AW607" s="108"/>
      <c r="AX607" s="108"/>
      <c r="AY607" s="108"/>
      <c r="AZ607" s="108"/>
    </row>
    <row r="608" spans="1:52" ht="14.2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  <c r="AF608" s="108"/>
      <c r="AG608" s="108"/>
      <c r="AH608" s="108"/>
      <c r="AI608" s="108"/>
      <c r="AJ608" s="108"/>
      <c r="AK608" s="108"/>
      <c r="AL608" s="108"/>
      <c r="AM608" s="108"/>
      <c r="AN608" s="108"/>
      <c r="AO608" s="108"/>
      <c r="AP608" s="108"/>
      <c r="AQ608" s="108"/>
      <c r="AR608" s="108"/>
      <c r="AS608" s="108"/>
      <c r="AT608" s="108"/>
      <c r="AU608" s="108"/>
      <c r="AV608" s="108"/>
      <c r="AW608" s="108"/>
      <c r="AX608" s="108"/>
      <c r="AY608" s="108"/>
      <c r="AZ608" s="108"/>
    </row>
    <row r="609" spans="1:52" ht="14.2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  <c r="AF609" s="108"/>
      <c r="AG609" s="108"/>
      <c r="AH609" s="108"/>
      <c r="AI609" s="108"/>
      <c r="AJ609" s="108"/>
      <c r="AK609" s="108"/>
      <c r="AL609" s="108"/>
      <c r="AM609" s="108"/>
      <c r="AN609" s="108"/>
      <c r="AO609" s="108"/>
      <c r="AP609" s="108"/>
      <c r="AQ609" s="108"/>
      <c r="AR609" s="108"/>
      <c r="AS609" s="108"/>
      <c r="AT609" s="108"/>
      <c r="AU609" s="108"/>
      <c r="AV609" s="108"/>
      <c r="AW609" s="108"/>
      <c r="AX609" s="108"/>
      <c r="AY609" s="108"/>
      <c r="AZ609" s="108"/>
    </row>
    <row r="610" spans="1:52" ht="14.2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  <c r="AF610" s="108"/>
      <c r="AG610" s="108"/>
      <c r="AH610" s="108"/>
      <c r="AI610" s="108"/>
      <c r="AJ610" s="108"/>
      <c r="AK610" s="108"/>
      <c r="AL610" s="108"/>
      <c r="AM610" s="108"/>
      <c r="AN610" s="108"/>
      <c r="AO610" s="108"/>
      <c r="AP610" s="108"/>
      <c r="AQ610" s="108"/>
      <c r="AR610" s="108"/>
      <c r="AS610" s="108"/>
      <c r="AT610" s="108"/>
      <c r="AU610" s="108"/>
      <c r="AV610" s="108"/>
      <c r="AW610" s="108"/>
      <c r="AX610" s="108"/>
      <c r="AY610" s="108"/>
      <c r="AZ610" s="108"/>
    </row>
    <row r="611" spans="1:52" ht="14.2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  <c r="AF611" s="108"/>
      <c r="AG611" s="108"/>
      <c r="AH611" s="108"/>
      <c r="AI611" s="108"/>
      <c r="AJ611" s="108"/>
      <c r="AK611" s="108"/>
      <c r="AL611" s="108"/>
      <c r="AM611" s="108"/>
      <c r="AN611" s="108"/>
      <c r="AO611" s="108"/>
      <c r="AP611" s="108"/>
      <c r="AQ611" s="108"/>
      <c r="AR611" s="108"/>
      <c r="AS611" s="108"/>
      <c r="AT611" s="108"/>
      <c r="AU611" s="108"/>
      <c r="AV611" s="108"/>
      <c r="AW611" s="108"/>
      <c r="AX611" s="108"/>
      <c r="AY611" s="108"/>
      <c r="AZ611" s="108"/>
    </row>
    <row r="612" spans="1:52" ht="14.2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  <c r="AF612" s="108"/>
      <c r="AG612" s="108"/>
      <c r="AH612" s="108"/>
      <c r="AI612" s="108"/>
      <c r="AJ612" s="108"/>
      <c r="AK612" s="108"/>
      <c r="AL612" s="108"/>
      <c r="AM612" s="108"/>
      <c r="AN612" s="108"/>
      <c r="AO612" s="108"/>
      <c r="AP612" s="108"/>
      <c r="AQ612" s="108"/>
      <c r="AR612" s="108"/>
      <c r="AS612" s="108"/>
      <c r="AT612" s="108"/>
      <c r="AU612" s="108"/>
      <c r="AV612" s="108"/>
      <c r="AW612" s="108"/>
      <c r="AX612" s="108"/>
      <c r="AY612" s="108"/>
      <c r="AZ612" s="108"/>
    </row>
    <row r="613" spans="1:52" ht="14.2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  <c r="AF613" s="108"/>
      <c r="AG613" s="108"/>
      <c r="AH613" s="108"/>
      <c r="AI613" s="108"/>
      <c r="AJ613" s="108"/>
      <c r="AK613" s="108"/>
      <c r="AL613" s="108"/>
      <c r="AM613" s="108"/>
      <c r="AN613" s="108"/>
      <c r="AO613" s="108"/>
      <c r="AP613" s="108"/>
      <c r="AQ613" s="108"/>
      <c r="AR613" s="108"/>
      <c r="AS613" s="108"/>
      <c r="AT613" s="108"/>
      <c r="AU613" s="108"/>
      <c r="AV613" s="108"/>
      <c r="AW613" s="108"/>
      <c r="AX613" s="108"/>
      <c r="AY613" s="108"/>
      <c r="AZ613" s="108"/>
    </row>
    <row r="614" spans="1:52" ht="14.2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  <c r="AE614" s="108"/>
      <c r="AF614" s="108"/>
      <c r="AG614" s="108"/>
      <c r="AH614" s="108"/>
      <c r="AI614" s="108"/>
      <c r="AJ614" s="108"/>
      <c r="AK614" s="108"/>
      <c r="AL614" s="108"/>
      <c r="AM614" s="108"/>
      <c r="AN614" s="108"/>
      <c r="AO614" s="108"/>
      <c r="AP614" s="108"/>
      <c r="AQ614" s="108"/>
      <c r="AR614" s="108"/>
      <c r="AS614" s="108"/>
      <c r="AT614" s="108"/>
      <c r="AU614" s="108"/>
      <c r="AV614" s="108"/>
      <c r="AW614" s="108"/>
      <c r="AX614" s="108"/>
      <c r="AY614" s="108"/>
      <c r="AZ614" s="108"/>
    </row>
    <row r="615" spans="1:52" ht="14.2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  <c r="AF615" s="108"/>
      <c r="AG615" s="108"/>
      <c r="AH615" s="108"/>
      <c r="AI615" s="108"/>
      <c r="AJ615" s="108"/>
      <c r="AK615" s="108"/>
      <c r="AL615" s="108"/>
      <c r="AM615" s="108"/>
      <c r="AN615" s="108"/>
      <c r="AO615" s="108"/>
      <c r="AP615" s="108"/>
      <c r="AQ615" s="108"/>
      <c r="AR615" s="108"/>
      <c r="AS615" s="108"/>
      <c r="AT615" s="108"/>
      <c r="AU615" s="108"/>
      <c r="AV615" s="108"/>
      <c r="AW615" s="108"/>
      <c r="AX615" s="108"/>
      <c r="AY615" s="108"/>
      <c r="AZ615" s="108"/>
    </row>
    <row r="616" spans="1:52" ht="14.2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  <c r="AI616" s="108"/>
      <c r="AJ616" s="108"/>
      <c r="AK616" s="108"/>
      <c r="AL616" s="108"/>
      <c r="AM616" s="108"/>
      <c r="AN616" s="108"/>
      <c r="AO616" s="108"/>
      <c r="AP616" s="108"/>
      <c r="AQ616" s="108"/>
      <c r="AR616" s="108"/>
      <c r="AS616" s="108"/>
      <c r="AT616" s="108"/>
      <c r="AU616" s="108"/>
      <c r="AV616" s="108"/>
      <c r="AW616" s="108"/>
      <c r="AX616" s="108"/>
      <c r="AY616" s="108"/>
      <c r="AZ616" s="108"/>
    </row>
    <row r="617" spans="1:52" ht="14.2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  <c r="AF617" s="108"/>
      <c r="AG617" s="108"/>
      <c r="AH617" s="108"/>
      <c r="AI617" s="108"/>
      <c r="AJ617" s="108"/>
      <c r="AK617" s="108"/>
      <c r="AL617" s="108"/>
      <c r="AM617" s="108"/>
      <c r="AN617" s="108"/>
      <c r="AO617" s="108"/>
      <c r="AP617" s="108"/>
      <c r="AQ617" s="108"/>
      <c r="AR617" s="108"/>
      <c r="AS617" s="108"/>
      <c r="AT617" s="108"/>
      <c r="AU617" s="108"/>
      <c r="AV617" s="108"/>
      <c r="AW617" s="108"/>
      <c r="AX617" s="108"/>
      <c r="AY617" s="108"/>
      <c r="AZ617" s="108"/>
    </row>
    <row r="618" spans="1:52" ht="14.2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  <c r="AE618" s="108"/>
      <c r="AF618" s="108"/>
      <c r="AG618" s="108"/>
      <c r="AH618" s="108"/>
      <c r="AI618" s="108"/>
      <c r="AJ618" s="108"/>
      <c r="AK618" s="108"/>
      <c r="AL618" s="108"/>
      <c r="AM618" s="108"/>
      <c r="AN618" s="108"/>
      <c r="AO618" s="108"/>
      <c r="AP618" s="108"/>
      <c r="AQ618" s="108"/>
      <c r="AR618" s="108"/>
      <c r="AS618" s="108"/>
      <c r="AT618" s="108"/>
      <c r="AU618" s="108"/>
      <c r="AV618" s="108"/>
      <c r="AW618" s="108"/>
      <c r="AX618" s="108"/>
      <c r="AY618" s="108"/>
      <c r="AZ618" s="108"/>
    </row>
    <row r="619" spans="1:52" ht="14.2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  <c r="AF619" s="108"/>
      <c r="AG619" s="108"/>
      <c r="AH619" s="108"/>
      <c r="AI619" s="108"/>
      <c r="AJ619" s="108"/>
      <c r="AK619" s="108"/>
      <c r="AL619" s="108"/>
      <c r="AM619" s="108"/>
      <c r="AN619" s="108"/>
      <c r="AO619" s="108"/>
      <c r="AP619" s="108"/>
      <c r="AQ619" s="108"/>
      <c r="AR619" s="108"/>
      <c r="AS619" s="108"/>
      <c r="AT619" s="108"/>
      <c r="AU619" s="108"/>
      <c r="AV619" s="108"/>
      <c r="AW619" s="108"/>
      <c r="AX619" s="108"/>
      <c r="AY619" s="108"/>
      <c r="AZ619" s="108"/>
    </row>
    <row r="620" spans="1:52" ht="14.2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  <c r="AE620" s="108"/>
      <c r="AF620" s="108"/>
      <c r="AG620" s="108"/>
      <c r="AH620" s="108"/>
      <c r="AI620" s="108"/>
      <c r="AJ620" s="108"/>
      <c r="AK620" s="108"/>
      <c r="AL620" s="108"/>
      <c r="AM620" s="108"/>
      <c r="AN620" s="108"/>
      <c r="AO620" s="108"/>
      <c r="AP620" s="108"/>
      <c r="AQ620" s="108"/>
      <c r="AR620" s="108"/>
      <c r="AS620" s="108"/>
      <c r="AT620" s="108"/>
      <c r="AU620" s="108"/>
      <c r="AV620" s="108"/>
      <c r="AW620" s="108"/>
      <c r="AX620" s="108"/>
      <c r="AY620" s="108"/>
      <c r="AZ620" s="108"/>
    </row>
    <row r="621" spans="1:52" ht="14.2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  <c r="AE621" s="108"/>
      <c r="AF621" s="108"/>
      <c r="AG621" s="108"/>
      <c r="AH621" s="108"/>
      <c r="AI621" s="108"/>
      <c r="AJ621" s="108"/>
      <c r="AK621" s="108"/>
      <c r="AL621" s="108"/>
      <c r="AM621" s="108"/>
      <c r="AN621" s="108"/>
      <c r="AO621" s="108"/>
      <c r="AP621" s="108"/>
      <c r="AQ621" s="108"/>
      <c r="AR621" s="108"/>
      <c r="AS621" s="108"/>
      <c r="AT621" s="108"/>
      <c r="AU621" s="108"/>
      <c r="AV621" s="108"/>
      <c r="AW621" s="108"/>
      <c r="AX621" s="108"/>
      <c r="AY621" s="108"/>
      <c r="AZ621" s="108"/>
    </row>
    <row r="622" spans="1:52" ht="14.2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  <c r="AE622" s="108"/>
      <c r="AF622" s="108"/>
      <c r="AG622" s="108"/>
      <c r="AH622" s="108"/>
      <c r="AI622" s="108"/>
      <c r="AJ622" s="108"/>
      <c r="AK622" s="108"/>
      <c r="AL622" s="108"/>
      <c r="AM622" s="108"/>
      <c r="AN622" s="108"/>
      <c r="AO622" s="108"/>
      <c r="AP622" s="108"/>
      <c r="AQ622" s="108"/>
      <c r="AR622" s="108"/>
      <c r="AS622" s="108"/>
      <c r="AT622" s="108"/>
      <c r="AU622" s="108"/>
      <c r="AV622" s="108"/>
      <c r="AW622" s="108"/>
      <c r="AX622" s="108"/>
      <c r="AY622" s="108"/>
      <c r="AZ622" s="108"/>
    </row>
    <row r="623" spans="1:52" ht="14.2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  <c r="AE623" s="108"/>
      <c r="AF623" s="108"/>
      <c r="AG623" s="108"/>
      <c r="AH623" s="108"/>
      <c r="AI623" s="108"/>
      <c r="AJ623" s="108"/>
      <c r="AK623" s="108"/>
      <c r="AL623" s="108"/>
      <c r="AM623" s="108"/>
      <c r="AN623" s="108"/>
      <c r="AO623" s="108"/>
      <c r="AP623" s="108"/>
      <c r="AQ623" s="108"/>
      <c r="AR623" s="108"/>
      <c r="AS623" s="108"/>
      <c r="AT623" s="108"/>
      <c r="AU623" s="108"/>
      <c r="AV623" s="108"/>
      <c r="AW623" s="108"/>
      <c r="AX623" s="108"/>
      <c r="AY623" s="108"/>
      <c r="AZ623" s="108"/>
    </row>
    <row r="624" spans="1:52" ht="14.2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  <c r="AE624" s="108"/>
      <c r="AF624" s="108"/>
      <c r="AG624" s="108"/>
      <c r="AH624" s="108"/>
      <c r="AI624" s="108"/>
      <c r="AJ624" s="108"/>
      <c r="AK624" s="108"/>
      <c r="AL624" s="108"/>
      <c r="AM624" s="108"/>
      <c r="AN624" s="108"/>
      <c r="AO624" s="108"/>
      <c r="AP624" s="108"/>
      <c r="AQ624" s="108"/>
      <c r="AR624" s="108"/>
      <c r="AS624" s="108"/>
      <c r="AT624" s="108"/>
      <c r="AU624" s="108"/>
      <c r="AV624" s="108"/>
      <c r="AW624" s="108"/>
      <c r="AX624" s="108"/>
      <c r="AY624" s="108"/>
      <c r="AZ624" s="108"/>
    </row>
    <row r="625" spans="1:52" ht="14.2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  <c r="AE625" s="108"/>
      <c r="AF625" s="108"/>
      <c r="AG625" s="108"/>
      <c r="AH625" s="108"/>
      <c r="AI625" s="108"/>
      <c r="AJ625" s="108"/>
      <c r="AK625" s="108"/>
      <c r="AL625" s="108"/>
      <c r="AM625" s="108"/>
      <c r="AN625" s="108"/>
      <c r="AO625" s="108"/>
      <c r="AP625" s="108"/>
      <c r="AQ625" s="108"/>
      <c r="AR625" s="108"/>
      <c r="AS625" s="108"/>
      <c r="AT625" s="108"/>
      <c r="AU625" s="108"/>
      <c r="AV625" s="108"/>
      <c r="AW625" s="108"/>
      <c r="AX625" s="108"/>
      <c r="AY625" s="108"/>
      <c r="AZ625" s="108"/>
    </row>
    <row r="626" spans="1:52" ht="14.2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  <c r="AE626" s="108"/>
      <c r="AF626" s="108"/>
      <c r="AG626" s="108"/>
      <c r="AH626" s="108"/>
      <c r="AI626" s="108"/>
      <c r="AJ626" s="108"/>
      <c r="AK626" s="108"/>
      <c r="AL626" s="108"/>
      <c r="AM626" s="108"/>
      <c r="AN626" s="108"/>
      <c r="AO626" s="108"/>
      <c r="AP626" s="108"/>
      <c r="AQ626" s="108"/>
      <c r="AR626" s="108"/>
      <c r="AS626" s="108"/>
      <c r="AT626" s="108"/>
      <c r="AU626" s="108"/>
      <c r="AV626" s="108"/>
      <c r="AW626" s="108"/>
      <c r="AX626" s="108"/>
      <c r="AY626" s="108"/>
      <c r="AZ626" s="108"/>
    </row>
    <row r="627" spans="1:52" ht="14.2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  <c r="AG627" s="108"/>
      <c r="AH627" s="108"/>
      <c r="AI627" s="108"/>
      <c r="AJ627" s="108"/>
      <c r="AK627" s="108"/>
      <c r="AL627" s="108"/>
      <c r="AM627" s="108"/>
      <c r="AN627" s="108"/>
      <c r="AO627" s="108"/>
      <c r="AP627" s="108"/>
      <c r="AQ627" s="108"/>
      <c r="AR627" s="108"/>
      <c r="AS627" s="108"/>
      <c r="AT627" s="108"/>
      <c r="AU627" s="108"/>
      <c r="AV627" s="108"/>
      <c r="AW627" s="108"/>
      <c r="AX627" s="108"/>
      <c r="AY627" s="108"/>
      <c r="AZ627" s="108"/>
    </row>
    <row r="628" spans="1:52" ht="14.2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  <c r="AG628" s="108"/>
      <c r="AH628" s="108"/>
      <c r="AI628" s="108"/>
      <c r="AJ628" s="108"/>
      <c r="AK628" s="108"/>
      <c r="AL628" s="108"/>
      <c r="AM628" s="108"/>
      <c r="AN628" s="108"/>
      <c r="AO628" s="108"/>
      <c r="AP628" s="108"/>
      <c r="AQ628" s="108"/>
      <c r="AR628" s="108"/>
      <c r="AS628" s="108"/>
      <c r="AT628" s="108"/>
      <c r="AU628" s="108"/>
      <c r="AV628" s="108"/>
      <c r="AW628" s="108"/>
      <c r="AX628" s="108"/>
      <c r="AY628" s="108"/>
      <c r="AZ628" s="108"/>
    </row>
    <row r="629" spans="1:52" ht="14.2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  <c r="AG629" s="108"/>
      <c r="AH629" s="108"/>
      <c r="AI629" s="108"/>
      <c r="AJ629" s="108"/>
      <c r="AK629" s="108"/>
      <c r="AL629" s="108"/>
      <c r="AM629" s="108"/>
      <c r="AN629" s="108"/>
      <c r="AO629" s="108"/>
      <c r="AP629" s="108"/>
      <c r="AQ629" s="108"/>
      <c r="AR629" s="108"/>
      <c r="AS629" s="108"/>
      <c r="AT629" s="108"/>
      <c r="AU629" s="108"/>
      <c r="AV629" s="108"/>
      <c r="AW629" s="108"/>
      <c r="AX629" s="108"/>
      <c r="AY629" s="108"/>
      <c r="AZ629" s="108"/>
    </row>
    <row r="630" spans="1:52" ht="14.2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  <c r="AE630" s="108"/>
      <c r="AF630" s="108"/>
      <c r="AG630" s="108"/>
      <c r="AH630" s="108"/>
      <c r="AI630" s="108"/>
      <c r="AJ630" s="108"/>
      <c r="AK630" s="108"/>
      <c r="AL630" s="108"/>
      <c r="AM630" s="108"/>
      <c r="AN630" s="108"/>
      <c r="AO630" s="108"/>
      <c r="AP630" s="108"/>
      <c r="AQ630" s="108"/>
      <c r="AR630" s="108"/>
      <c r="AS630" s="108"/>
      <c r="AT630" s="108"/>
      <c r="AU630" s="108"/>
      <c r="AV630" s="108"/>
      <c r="AW630" s="108"/>
      <c r="AX630" s="108"/>
      <c r="AY630" s="108"/>
      <c r="AZ630" s="108"/>
    </row>
    <row r="631" spans="1:52" ht="14.2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/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</row>
    <row r="632" spans="1:52" ht="14.2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  <c r="AF632" s="108"/>
      <c r="AG632" s="108"/>
      <c r="AH632" s="108"/>
      <c r="AI632" s="108"/>
      <c r="AJ632" s="108"/>
      <c r="AK632" s="108"/>
      <c r="AL632" s="108"/>
      <c r="AM632" s="108"/>
      <c r="AN632" s="108"/>
      <c r="AO632" s="108"/>
      <c r="AP632" s="108"/>
      <c r="AQ632" s="108"/>
      <c r="AR632" s="108"/>
      <c r="AS632" s="108"/>
      <c r="AT632" s="108"/>
      <c r="AU632" s="108"/>
      <c r="AV632" s="108"/>
      <c r="AW632" s="108"/>
      <c r="AX632" s="108"/>
      <c r="AY632" s="108"/>
      <c r="AZ632" s="108"/>
    </row>
    <row r="633" spans="1:52" ht="14.2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108"/>
      <c r="AG633" s="108"/>
      <c r="AH633" s="108"/>
      <c r="AI633" s="108"/>
      <c r="AJ633" s="108"/>
      <c r="AK633" s="108"/>
      <c r="AL633" s="108"/>
      <c r="AM633" s="108"/>
      <c r="AN633" s="108"/>
      <c r="AO633" s="108"/>
      <c r="AP633" s="108"/>
      <c r="AQ633" s="108"/>
      <c r="AR633" s="108"/>
      <c r="AS633" s="108"/>
      <c r="AT633" s="108"/>
      <c r="AU633" s="108"/>
      <c r="AV633" s="108"/>
      <c r="AW633" s="108"/>
      <c r="AX633" s="108"/>
      <c r="AY633" s="108"/>
      <c r="AZ633" s="108"/>
    </row>
    <row r="634" spans="1:52" ht="14.2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/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</row>
    <row r="635" spans="1:52" ht="14.2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  <c r="AE635" s="108"/>
      <c r="AF635" s="108"/>
      <c r="AG635" s="108"/>
      <c r="AH635" s="108"/>
      <c r="AI635" s="108"/>
      <c r="AJ635" s="108"/>
      <c r="AK635" s="108"/>
      <c r="AL635" s="108"/>
      <c r="AM635" s="108"/>
      <c r="AN635" s="108"/>
      <c r="AO635" s="108"/>
      <c r="AP635" s="108"/>
      <c r="AQ635" s="108"/>
      <c r="AR635" s="108"/>
      <c r="AS635" s="108"/>
      <c r="AT635" s="108"/>
      <c r="AU635" s="108"/>
      <c r="AV635" s="108"/>
      <c r="AW635" s="108"/>
      <c r="AX635" s="108"/>
      <c r="AY635" s="108"/>
      <c r="AZ635" s="108"/>
    </row>
    <row r="636" spans="1:52" ht="14.2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  <c r="AI636" s="108"/>
      <c r="AJ636" s="108"/>
      <c r="AK636" s="108"/>
      <c r="AL636" s="108"/>
      <c r="AM636" s="108"/>
      <c r="AN636" s="108"/>
      <c r="AO636" s="108"/>
      <c r="AP636" s="108"/>
      <c r="AQ636" s="108"/>
      <c r="AR636" s="108"/>
      <c r="AS636" s="108"/>
      <c r="AT636" s="108"/>
      <c r="AU636" s="108"/>
      <c r="AV636" s="108"/>
      <c r="AW636" s="108"/>
      <c r="AX636" s="108"/>
      <c r="AY636" s="108"/>
      <c r="AZ636" s="108"/>
    </row>
    <row r="637" spans="1:52" ht="14.2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  <c r="AI637" s="108"/>
      <c r="AJ637" s="108"/>
      <c r="AK637" s="108"/>
      <c r="AL637" s="108"/>
      <c r="AM637" s="108"/>
      <c r="AN637" s="108"/>
      <c r="AO637" s="108"/>
      <c r="AP637" s="108"/>
      <c r="AQ637" s="108"/>
      <c r="AR637" s="108"/>
      <c r="AS637" s="108"/>
      <c r="AT637" s="108"/>
      <c r="AU637" s="108"/>
      <c r="AV637" s="108"/>
      <c r="AW637" s="108"/>
      <c r="AX637" s="108"/>
      <c r="AY637" s="108"/>
      <c r="AZ637" s="108"/>
    </row>
    <row r="638" spans="1:52" ht="14.2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  <c r="AG638" s="108"/>
      <c r="AH638" s="108"/>
      <c r="AI638" s="108"/>
      <c r="AJ638" s="108"/>
      <c r="AK638" s="108"/>
      <c r="AL638" s="108"/>
      <c r="AM638" s="108"/>
      <c r="AN638" s="108"/>
      <c r="AO638" s="108"/>
      <c r="AP638" s="108"/>
      <c r="AQ638" s="108"/>
      <c r="AR638" s="108"/>
      <c r="AS638" s="108"/>
      <c r="AT638" s="108"/>
      <c r="AU638" s="108"/>
      <c r="AV638" s="108"/>
      <c r="AW638" s="108"/>
      <c r="AX638" s="108"/>
      <c r="AY638" s="108"/>
      <c r="AZ638" s="108"/>
    </row>
    <row r="639" spans="1:52" ht="14.2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  <c r="AG639" s="108"/>
      <c r="AH639" s="108"/>
      <c r="AI639" s="108"/>
      <c r="AJ639" s="108"/>
      <c r="AK639" s="108"/>
      <c r="AL639" s="108"/>
      <c r="AM639" s="108"/>
      <c r="AN639" s="108"/>
      <c r="AO639" s="108"/>
      <c r="AP639" s="108"/>
      <c r="AQ639" s="108"/>
      <c r="AR639" s="108"/>
      <c r="AS639" s="108"/>
      <c r="AT639" s="108"/>
      <c r="AU639" s="108"/>
      <c r="AV639" s="108"/>
      <c r="AW639" s="108"/>
      <c r="AX639" s="108"/>
      <c r="AY639" s="108"/>
      <c r="AZ639" s="108"/>
    </row>
    <row r="640" spans="1:52" ht="14.2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  <c r="AF640" s="108"/>
      <c r="AG640" s="108"/>
      <c r="AH640" s="108"/>
      <c r="AI640" s="108"/>
      <c r="AJ640" s="108"/>
      <c r="AK640" s="108"/>
      <c r="AL640" s="108"/>
      <c r="AM640" s="108"/>
      <c r="AN640" s="108"/>
      <c r="AO640" s="108"/>
      <c r="AP640" s="108"/>
      <c r="AQ640" s="108"/>
      <c r="AR640" s="108"/>
      <c r="AS640" s="108"/>
      <c r="AT640" s="108"/>
      <c r="AU640" s="108"/>
      <c r="AV640" s="108"/>
      <c r="AW640" s="108"/>
      <c r="AX640" s="108"/>
      <c r="AY640" s="108"/>
      <c r="AZ640" s="108"/>
    </row>
    <row r="641" spans="1:52" ht="14.2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  <c r="AF641" s="108"/>
      <c r="AG641" s="108"/>
      <c r="AH641" s="108"/>
      <c r="AI641" s="108"/>
      <c r="AJ641" s="108"/>
      <c r="AK641" s="108"/>
      <c r="AL641" s="108"/>
      <c r="AM641" s="108"/>
      <c r="AN641" s="108"/>
      <c r="AO641" s="108"/>
      <c r="AP641" s="108"/>
      <c r="AQ641" s="108"/>
      <c r="AR641" s="108"/>
      <c r="AS641" s="108"/>
      <c r="AT641" s="108"/>
      <c r="AU641" s="108"/>
      <c r="AV641" s="108"/>
      <c r="AW641" s="108"/>
      <c r="AX641" s="108"/>
      <c r="AY641" s="108"/>
      <c r="AZ641" s="108"/>
    </row>
    <row r="642" spans="1:52" ht="14.2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  <c r="AE642" s="108"/>
      <c r="AF642" s="108"/>
      <c r="AG642" s="108"/>
      <c r="AH642" s="108"/>
      <c r="AI642" s="108"/>
      <c r="AJ642" s="108"/>
      <c r="AK642" s="108"/>
      <c r="AL642" s="108"/>
      <c r="AM642" s="108"/>
      <c r="AN642" s="108"/>
      <c r="AO642" s="108"/>
      <c r="AP642" s="108"/>
      <c r="AQ642" s="108"/>
      <c r="AR642" s="108"/>
      <c r="AS642" s="108"/>
      <c r="AT642" s="108"/>
      <c r="AU642" s="108"/>
      <c r="AV642" s="108"/>
      <c r="AW642" s="108"/>
      <c r="AX642" s="108"/>
      <c r="AY642" s="108"/>
      <c r="AZ642" s="108"/>
    </row>
    <row r="643" spans="1:52" ht="14.2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  <c r="AE643" s="108"/>
      <c r="AF643" s="108"/>
      <c r="AG643" s="108"/>
      <c r="AH643" s="108"/>
      <c r="AI643" s="108"/>
      <c r="AJ643" s="108"/>
      <c r="AK643" s="108"/>
      <c r="AL643" s="108"/>
      <c r="AM643" s="108"/>
      <c r="AN643" s="108"/>
      <c r="AO643" s="108"/>
      <c r="AP643" s="108"/>
      <c r="AQ643" s="108"/>
      <c r="AR643" s="108"/>
      <c r="AS643" s="108"/>
      <c r="AT643" s="108"/>
      <c r="AU643" s="108"/>
      <c r="AV643" s="108"/>
      <c r="AW643" s="108"/>
      <c r="AX643" s="108"/>
      <c r="AY643" s="108"/>
      <c r="AZ643" s="108"/>
    </row>
    <row r="644" spans="1:52" ht="14.2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  <c r="AF644" s="108"/>
      <c r="AG644" s="108"/>
      <c r="AH644" s="108"/>
      <c r="AI644" s="108"/>
      <c r="AJ644" s="108"/>
      <c r="AK644" s="108"/>
      <c r="AL644" s="108"/>
      <c r="AM644" s="108"/>
      <c r="AN644" s="108"/>
      <c r="AO644" s="108"/>
      <c r="AP644" s="108"/>
      <c r="AQ644" s="108"/>
      <c r="AR644" s="108"/>
      <c r="AS644" s="108"/>
      <c r="AT644" s="108"/>
      <c r="AU644" s="108"/>
      <c r="AV644" s="108"/>
      <c r="AW644" s="108"/>
      <c r="AX644" s="108"/>
      <c r="AY644" s="108"/>
      <c r="AZ644" s="108"/>
    </row>
    <row r="645" spans="1:52" ht="14.2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  <c r="AE645" s="108"/>
      <c r="AF645" s="108"/>
      <c r="AG645" s="108"/>
      <c r="AH645" s="108"/>
      <c r="AI645" s="108"/>
      <c r="AJ645" s="108"/>
      <c r="AK645" s="108"/>
      <c r="AL645" s="108"/>
      <c r="AM645" s="108"/>
      <c r="AN645" s="108"/>
      <c r="AO645" s="108"/>
      <c r="AP645" s="108"/>
      <c r="AQ645" s="108"/>
      <c r="AR645" s="108"/>
      <c r="AS645" s="108"/>
      <c r="AT645" s="108"/>
      <c r="AU645" s="108"/>
      <c r="AV645" s="108"/>
      <c r="AW645" s="108"/>
      <c r="AX645" s="108"/>
      <c r="AY645" s="108"/>
      <c r="AZ645" s="108"/>
    </row>
    <row r="646" spans="1:52" ht="14.2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  <c r="AF646" s="108"/>
      <c r="AG646" s="108"/>
      <c r="AH646" s="108"/>
      <c r="AI646" s="108"/>
      <c r="AJ646" s="108"/>
      <c r="AK646" s="108"/>
      <c r="AL646" s="108"/>
      <c r="AM646" s="108"/>
      <c r="AN646" s="108"/>
      <c r="AO646" s="108"/>
      <c r="AP646" s="108"/>
      <c r="AQ646" s="108"/>
      <c r="AR646" s="108"/>
      <c r="AS646" s="108"/>
      <c r="AT646" s="108"/>
      <c r="AU646" s="108"/>
      <c r="AV646" s="108"/>
      <c r="AW646" s="108"/>
      <c r="AX646" s="108"/>
      <c r="AY646" s="108"/>
      <c r="AZ646" s="108"/>
    </row>
    <row r="647" spans="1:52" ht="14.2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  <c r="AE647" s="108"/>
      <c r="AF647" s="108"/>
      <c r="AG647" s="108"/>
      <c r="AH647" s="108"/>
      <c r="AI647" s="108"/>
      <c r="AJ647" s="108"/>
      <c r="AK647" s="108"/>
      <c r="AL647" s="108"/>
      <c r="AM647" s="108"/>
      <c r="AN647" s="108"/>
      <c r="AO647" s="108"/>
      <c r="AP647" s="108"/>
      <c r="AQ647" s="108"/>
      <c r="AR647" s="108"/>
      <c r="AS647" s="108"/>
      <c r="AT647" s="108"/>
      <c r="AU647" s="108"/>
      <c r="AV647" s="108"/>
      <c r="AW647" s="108"/>
      <c r="AX647" s="108"/>
      <c r="AY647" s="108"/>
      <c r="AZ647" s="108"/>
    </row>
    <row r="648" spans="1:52" ht="14.2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  <c r="AF648" s="108"/>
      <c r="AG648" s="108"/>
      <c r="AH648" s="108"/>
      <c r="AI648" s="108"/>
      <c r="AJ648" s="108"/>
      <c r="AK648" s="108"/>
      <c r="AL648" s="108"/>
      <c r="AM648" s="108"/>
      <c r="AN648" s="108"/>
      <c r="AO648" s="108"/>
      <c r="AP648" s="108"/>
      <c r="AQ648" s="108"/>
      <c r="AR648" s="108"/>
      <c r="AS648" s="108"/>
      <c r="AT648" s="108"/>
      <c r="AU648" s="108"/>
      <c r="AV648" s="108"/>
      <c r="AW648" s="108"/>
      <c r="AX648" s="108"/>
      <c r="AY648" s="108"/>
      <c r="AZ648" s="108"/>
    </row>
    <row r="649" spans="1:52" ht="14.2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  <c r="AF649" s="108"/>
      <c r="AG649" s="108"/>
      <c r="AH649" s="108"/>
      <c r="AI649" s="108"/>
      <c r="AJ649" s="108"/>
      <c r="AK649" s="108"/>
      <c r="AL649" s="108"/>
      <c r="AM649" s="108"/>
      <c r="AN649" s="108"/>
      <c r="AO649" s="108"/>
      <c r="AP649" s="108"/>
      <c r="AQ649" s="108"/>
      <c r="AR649" s="108"/>
      <c r="AS649" s="108"/>
      <c r="AT649" s="108"/>
      <c r="AU649" s="108"/>
      <c r="AV649" s="108"/>
      <c r="AW649" s="108"/>
      <c r="AX649" s="108"/>
      <c r="AY649" s="108"/>
      <c r="AZ649" s="108"/>
    </row>
    <row r="650" spans="1:52" ht="14.2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  <c r="AI650" s="108"/>
      <c r="AJ650" s="108"/>
      <c r="AK650" s="108"/>
      <c r="AL650" s="108"/>
      <c r="AM650" s="108"/>
      <c r="AN650" s="108"/>
      <c r="AO650" s="108"/>
      <c r="AP650" s="108"/>
      <c r="AQ650" s="108"/>
      <c r="AR650" s="108"/>
      <c r="AS650" s="108"/>
      <c r="AT650" s="108"/>
      <c r="AU650" s="108"/>
      <c r="AV650" s="108"/>
      <c r="AW650" s="108"/>
      <c r="AX650" s="108"/>
      <c r="AY650" s="108"/>
      <c r="AZ650" s="108"/>
    </row>
    <row r="651" spans="1:52" ht="14.2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  <c r="AI651" s="108"/>
      <c r="AJ651" s="108"/>
      <c r="AK651" s="108"/>
      <c r="AL651" s="108"/>
      <c r="AM651" s="108"/>
      <c r="AN651" s="108"/>
      <c r="AO651" s="108"/>
      <c r="AP651" s="108"/>
      <c r="AQ651" s="108"/>
      <c r="AR651" s="108"/>
      <c r="AS651" s="108"/>
      <c r="AT651" s="108"/>
      <c r="AU651" s="108"/>
      <c r="AV651" s="108"/>
      <c r="AW651" s="108"/>
      <c r="AX651" s="108"/>
      <c r="AY651" s="108"/>
      <c r="AZ651" s="108"/>
    </row>
    <row r="652" spans="1:52" ht="14.2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  <c r="AF652" s="108"/>
      <c r="AG652" s="108"/>
      <c r="AH652" s="108"/>
      <c r="AI652" s="108"/>
      <c r="AJ652" s="108"/>
      <c r="AK652" s="108"/>
      <c r="AL652" s="108"/>
      <c r="AM652" s="108"/>
      <c r="AN652" s="108"/>
      <c r="AO652" s="108"/>
      <c r="AP652" s="108"/>
      <c r="AQ652" s="108"/>
      <c r="AR652" s="108"/>
      <c r="AS652" s="108"/>
      <c r="AT652" s="108"/>
      <c r="AU652" s="108"/>
      <c r="AV652" s="108"/>
      <c r="AW652" s="108"/>
      <c r="AX652" s="108"/>
      <c r="AY652" s="108"/>
      <c r="AZ652" s="108"/>
    </row>
    <row r="653" spans="1:52" ht="14.2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  <c r="AF653" s="108"/>
      <c r="AG653" s="108"/>
      <c r="AH653" s="108"/>
      <c r="AI653" s="108"/>
      <c r="AJ653" s="108"/>
      <c r="AK653" s="108"/>
      <c r="AL653" s="108"/>
      <c r="AM653" s="108"/>
      <c r="AN653" s="108"/>
      <c r="AO653" s="108"/>
      <c r="AP653" s="108"/>
      <c r="AQ653" s="108"/>
      <c r="AR653" s="108"/>
      <c r="AS653" s="108"/>
      <c r="AT653" s="108"/>
      <c r="AU653" s="108"/>
      <c r="AV653" s="108"/>
      <c r="AW653" s="108"/>
      <c r="AX653" s="108"/>
      <c r="AY653" s="108"/>
      <c r="AZ653" s="108"/>
    </row>
    <row r="654" spans="1:52" ht="14.2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  <c r="AI654" s="108"/>
      <c r="AJ654" s="108"/>
      <c r="AK654" s="108"/>
      <c r="AL654" s="108"/>
      <c r="AM654" s="108"/>
      <c r="AN654" s="108"/>
      <c r="AO654" s="108"/>
      <c r="AP654" s="108"/>
      <c r="AQ654" s="108"/>
      <c r="AR654" s="108"/>
      <c r="AS654" s="108"/>
      <c r="AT654" s="108"/>
      <c r="AU654" s="108"/>
      <c r="AV654" s="108"/>
      <c r="AW654" s="108"/>
      <c r="AX654" s="108"/>
      <c r="AY654" s="108"/>
      <c r="AZ654" s="108"/>
    </row>
    <row r="655" spans="1:52" ht="14.2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  <c r="AF655" s="108"/>
      <c r="AG655" s="108"/>
      <c r="AH655" s="108"/>
      <c r="AI655" s="108"/>
      <c r="AJ655" s="108"/>
      <c r="AK655" s="108"/>
      <c r="AL655" s="108"/>
      <c r="AM655" s="108"/>
      <c r="AN655" s="108"/>
      <c r="AO655" s="108"/>
      <c r="AP655" s="108"/>
      <c r="AQ655" s="108"/>
      <c r="AR655" s="108"/>
      <c r="AS655" s="108"/>
      <c r="AT655" s="108"/>
      <c r="AU655" s="108"/>
      <c r="AV655" s="108"/>
      <c r="AW655" s="108"/>
      <c r="AX655" s="108"/>
      <c r="AY655" s="108"/>
      <c r="AZ655" s="108"/>
    </row>
    <row r="656" spans="1:52" ht="14.2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  <c r="AF656" s="108"/>
      <c r="AG656" s="108"/>
      <c r="AH656" s="108"/>
      <c r="AI656" s="108"/>
      <c r="AJ656" s="108"/>
      <c r="AK656" s="108"/>
      <c r="AL656" s="108"/>
      <c r="AM656" s="108"/>
      <c r="AN656" s="108"/>
      <c r="AO656" s="108"/>
      <c r="AP656" s="108"/>
      <c r="AQ656" s="108"/>
      <c r="AR656" s="108"/>
      <c r="AS656" s="108"/>
      <c r="AT656" s="108"/>
      <c r="AU656" s="108"/>
      <c r="AV656" s="108"/>
      <c r="AW656" s="108"/>
      <c r="AX656" s="108"/>
      <c r="AY656" s="108"/>
      <c r="AZ656" s="108"/>
    </row>
    <row r="657" spans="1:52" ht="14.2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  <c r="AG657" s="108"/>
      <c r="AH657" s="108"/>
      <c r="AI657" s="108"/>
      <c r="AJ657" s="108"/>
      <c r="AK657" s="108"/>
      <c r="AL657" s="108"/>
      <c r="AM657" s="108"/>
      <c r="AN657" s="108"/>
      <c r="AO657" s="108"/>
      <c r="AP657" s="108"/>
      <c r="AQ657" s="108"/>
      <c r="AR657" s="108"/>
      <c r="AS657" s="108"/>
      <c r="AT657" s="108"/>
      <c r="AU657" s="108"/>
      <c r="AV657" s="108"/>
      <c r="AW657" s="108"/>
      <c r="AX657" s="108"/>
      <c r="AY657" s="108"/>
      <c r="AZ657" s="108"/>
    </row>
    <row r="658" spans="1:52" ht="14.2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  <c r="AI658" s="108"/>
      <c r="AJ658" s="108"/>
      <c r="AK658" s="108"/>
      <c r="AL658" s="108"/>
      <c r="AM658" s="108"/>
      <c r="AN658" s="108"/>
      <c r="AO658" s="108"/>
      <c r="AP658" s="108"/>
      <c r="AQ658" s="108"/>
      <c r="AR658" s="108"/>
      <c r="AS658" s="108"/>
      <c r="AT658" s="108"/>
      <c r="AU658" s="108"/>
      <c r="AV658" s="108"/>
      <c r="AW658" s="108"/>
      <c r="AX658" s="108"/>
      <c r="AY658" s="108"/>
      <c r="AZ658" s="108"/>
    </row>
    <row r="659" spans="1:52" ht="14.2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  <c r="AE659" s="108"/>
      <c r="AF659" s="108"/>
      <c r="AG659" s="108"/>
      <c r="AH659" s="108"/>
      <c r="AI659" s="108"/>
      <c r="AJ659" s="108"/>
      <c r="AK659" s="108"/>
      <c r="AL659" s="108"/>
      <c r="AM659" s="108"/>
      <c r="AN659" s="108"/>
      <c r="AO659" s="108"/>
      <c r="AP659" s="108"/>
      <c r="AQ659" s="108"/>
      <c r="AR659" s="108"/>
      <c r="AS659" s="108"/>
      <c r="AT659" s="108"/>
      <c r="AU659" s="108"/>
      <c r="AV659" s="108"/>
      <c r="AW659" s="108"/>
      <c r="AX659" s="108"/>
      <c r="AY659" s="108"/>
      <c r="AZ659" s="108"/>
    </row>
    <row r="660" spans="1:52" ht="14.2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  <c r="AI660" s="108"/>
      <c r="AJ660" s="108"/>
      <c r="AK660" s="108"/>
      <c r="AL660" s="108"/>
      <c r="AM660" s="108"/>
      <c r="AN660" s="108"/>
      <c r="AO660" s="108"/>
      <c r="AP660" s="108"/>
      <c r="AQ660" s="108"/>
      <c r="AR660" s="108"/>
      <c r="AS660" s="108"/>
      <c r="AT660" s="108"/>
      <c r="AU660" s="108"/>
      <c r="AV660" s="108"/>
      <c r="AW660" s="108"/>
      <c r="AX660" s="108"/>
      <c r="AY660" s="108"/>
      <c r="AZ660" s="108"/>
    </row>
    <row r="661" spans="1:52" ht="14.2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  <c r="AI661" s="108"/>
      <c r="AJ661" s="108"/>
      <c r="AK661" s="108"/>
      <c r="AL661" s="108"/>
      <c r="AM661" s="108"/>
      <c r="AN661" s="108"/>
      <c r="AO661" s="108"/>
      <c r="AP661" s="108"/>
      <c r="AQ661" s="108"/>
      <c r="AR661" s="108"/>
      <c r="AS661" s="108"/>
      <c r="AT661" s="108"/>
      <c r="AU661" s="108"/>
      <c r="AV661" s="108"/>
      <c r="AW661" s="108"/>
      <c r="AX661" s="108"/>
      <c r="AY661" s="108"/>
      <c r="AZ661" s="108"/>
    </row>
    <row r="662" spans="1:52" ht="14.2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  <c r="AI662" s="108"/>
      <c r="AJ662" s="108"/>
      <c r="AK662" s="108"/>
      <c r="AL662" s="108"/>
      <c r="AM662" s="108"/>
      <c r="AN662" s="108"/>
      <c r="AO662" s="108"/>
      <c r="AP662" s="108"/>
      <c r="AQ662" s="108"/>
      <c r="AR662" s="108"/>
      <c r="AS662" s="108"/>
      <c r="AT662" s="108"/>
      <c r="AU662" s="108"/>
      <c r="AV662" s="108"/>
      <c r="AW662" s="108"/>
      <c r="AX662" s="108"/>
      <c r="AY662" s="108"/>
      <c r="AZ662" s="108"/>
    </row>
    <row r="663" spans="1:52" ht="14.2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  <c r="AI663" s="108"/>
      <c r="AJ663" s="108"/>
      <c r="AK663" s="108"/>
      <c r="AL663" s="108"/>
      <c r="AM663" s="108"/>
      <c r="AN663" s="108"/>
      <c r="AO663" s="108"/>
      <c r="AP663" s="108"/>
      <c r="AQ663" s="108"/>
      <c r="AR663" s="108"/>
      <c r="AS663" s="108"/>
      <c r="AT663" s="108"/>
      <c r="AU663" s="108"/>
      <c r="AV663" s="108"/>
      <c r="AW663" s="108"/>
      <c r="AX663" s="108"/>
      <c r="AY663" s="108"/>
      <c r="AZ663" s="108"/>
    </row>
    <row r="664" spans="1:52" ht="14.2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  <c r="AF664" s="108"/>
      <c r="AG664" s="108"/>
      <c r="AH664" s="108"/>
      <c r="AI664" s="108"/>
      <c r="AJ664" s="108"/>
      <c r="AK664" s="108"/>
      <c r="AL664" s="108"/>
      <c r="AM664" s="108"/>
      <c r="AN664" s="108"/>
      <c r="AO664" s="108"/>
      <c r="AP664" s="108"/>
      <c r="AQ664" s="108"/>
      <c r="AR664" s="108"/>
      <c r="AS664" s="108"/>
      <c r="AT664" s="108"/>
      <c r="AU664" s="108"/>
      <c r="AV664" s="108"/>
      <c r="AW664" s="108"/>
      <c r="AX664" s="108"/>
      <c r="AY664" s="108"/>
      <c r="AZ664" s="108"/>
    </row>
    <row r="665" spans="1:52" ht="14.2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  <c r="AF665" s="108"/>
      <c r="AG665" s="108"/>
      <c r="AH665" s="108"/>
      <c r="AI665" s="108"/>
      <c r="AJ665" s="108"/>
      <c r="AK665" s="108"/>
      <c r="AL665" s="108"/>
      <c r="AM665" s="108"/>
      <c r="AN665" s="108"/>
      <c r="AO665" s="108"/>
      <c r="AP665" s="108"/>
      <c r="AQ665" s="108"/>
      <c r="AR665" s="108"/>
      <c r="AS665" s="108"/>
      <c r="AT665" s="108"/>
      <c r="AU665" s="108"/>
      <c r="AV665" s="108"/>
      <c r="AW665" s="108"/>
      <c r="AX665" s="108"/>
      <c r="AY665" s="108"/>
      <c r="AZ665" s="108"/>
    </row>
    <row r="666" spans="1:52" ht="14.2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  <c r="AG666" s="108"/>
      <c r="AH666" s="108"/>
      <c r="AI666" s="108"/>
      <c r="AJ666" s="108"/>
      <c r="AK666" s="108"/>
      <c r="AL666" s="108"/>
      <c r="AM666" s="108"/>
      <c r="AN666" s="108"/>
      <c r="AO666" s="108"/>
      <c r="AP666" s="108"/>
      <c r="AQ666" s="108"/>
      <c r="AR666" s="108"/>
      <c r="AS666" s="108"/>
      <c r="AT666" s="108"/>
      <c r="AU666" s="108"/>
      <c r="AV666" s="108"/>
      <c r="AW666" s="108"/>
      <c r="AX666" s="108"/>
      <c r="AY666" s="108"/>
      <c r="AZ666" s="108"/>
    </row>
    <row r="667" spans="1:52" ht="14.2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  <c r="AF667" s="108"/>
      <c r="AG667" s="108"/>
      <c r="AH667" s="108"/>
      <c r="AI667" s="108"/>
      <c r="AJ667" s="108"/>
      <c r="AK667" s="108"/>
      <c r="AL667" s="108"/>
      <c r="AM667" s="108"/>
      <c r="AN667" s="108"/>
      <c r="AO667" s="108"/>
      <c r="AP667" s="108"/>
      <c r="AQ667" s="108"/>
      <c r="AR667" s="108"/>
      <c r="AS667" s="108"/>
      <c r="AT667" s="108"/>
      <c r="AU667" s="108"/>
      <c r="AV667" s="108"/>
      <c r="AW667" s="108"/>
      <c r="AX667" s="108"/>
      <c r="AY667" s="108"/>
      <c r="AZ667" s="108"/>
    </row>
    <row r="668" spans="1:52" ht="14.2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  <c r="AI668" s="108"/>
      <c r="AJ668" s="108"/>
      <c r="AK668" s="108"/>
      <c r="AL668" s="108"/>
      <c r="AM668" s="108"/>
      <c r="AN668" s="108"/>
      <c r="AO668" s="108"/>
      <c r="AP668" s="108"/>
      <c r="AQ668" s="108"/>
      <c r="AR668" s="108"/>
      <c r="AS668" s="108"/>
      <c r="AT668" s="108"/>
      <c r="AU668" s="108"/>
      <c r="AV668" s="108"/>
      <c r="AW668" s="108"/>
      <c r="AX668" s="108"/>
      <c r="AY668" s="108"/>
      <c r="AZ668" s="108"/>
    </row>
    <row r="669" spans="1:52" ht="14.2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/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</row>
    <row r="670" spans="1:52" ht="14.2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  <c r="AG670" s="108"/>
      <c r="AH670" s="108"/>
      <c r="AI670" s="108"/>
      <c r="AJ670" s="108"/>
      <c r="AK670" s="108"/>
      <c r="AL670" s="108"/>
      <c r="AM670" s="108"/>
      <c r="AN670" s="108"/>
      <c r="AO670" s="108"/>
      <c r="AP670" s="108"/>
      <c r="AQ670" s="108"/>
      <c r="AR670" s="108"/>
      <c r="AS670" s="108"/>
      <c r="AT670" s="108"/>
      <c r="AU670" s="108"/>
      <c r="AV670" s="108"/>
      <c r="AW670" s="108"/>
      <c r="AX670" s="108"/>
      <c r="AY670" s="108"/>
      <c r="AZ670" s="108"/>
    </row>
    <row r="671" spans="1:52" ht="14.2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  <c r="AG671" s="108"/>
      <c r="AH671" s="108"/>
      <c r="AI671" s="108"/>
      <c r="AJ671" s="108"/>
      <c r="AK671" s="108"/>
      <c r="AL671" s="108"/>
      <c r="AM671" s="108"/>
      <c r="AN671" s="108"/>
      <c r="AO671" s="108"/>
      <c r="AP671" s="108"/>
      <c r="AQ671" s="108"/>
      <c r="AR671" s="108"/>
      <c r="AS671" s="108"/>
      <c r="AT671" s="108"/>
      <c r="AU671" s="108"/>
      <c r="AV671" s="108"/>
      <c r="AW671" s="108"/>
      <c r="AX671" s="108"/>
      <c r="AY671" s="108"/>
      <c r="AZ671" s="108"/>
    </row>
    <row r="672" spans="1:52" ht="14.2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/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</row>
    <row r="673" spans="1:52" ht="14.2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  <c r="AF673" s="108"/>
      <c r="AG673" s="108"/>
      <c r="AH673" s="108"/>
      <c r="AI673" s="108"/>
      <c r="AJ673" s="108"/>
      <c r="AK673" s="108"/>
      <c r="AL673" s="108"/>
      <c r="AM673" s="108"/>
      <c r="AN673" s="108"/>
      <c r="AO673" s="108"/>
      <c r="AP673" s="108"/>
      <c r="AQ673" s="108"/>
      <c r="AR673" s="108"/>
      <c r="AS673" s="108"/>
      <c r="AT673" s="108"/>
      <c r="AU673" s="108"/>
      <c r="AV673" s="108"/>
      <c r="AW673" s="108"/>
      <c r="AX673" s="108"/>
      <c r="AY673" s="108"/>
      <c r="AZ673" s="108"/>
    </row>
    <row r="674" spans="1:52" ht="14.2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  <c r="AI674" s="108"/>
      <c r="AJ674" s="108"/>
      <c r="AK674" s="108"/>
      <c r="AL674" s="108"/>
      <c r="AM674" s="108"/>
      <c r="AN674" s="108"/>
      <c r="AO674" s="108"/>
      <c r="AP674" s="108"/>
      <c r="AQ674" s="108"/>
      <c r="AR674" s="108"/>
      <c r="AS674" s="108"/>
      <c r="AT674" s="108"/>
      <c r="AU674" s="108"/>
      <c r="AV674" s="108"/>
      <c r="AW674" s="108"/>
      <c r="AX674" s="108"/>
      <c r="AY674" s="108"/>
      <c r="AZ674" s="108"/>
    </row>
    <row r="675" spans="1:52" ht="14.2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  <c r="AI675" s="108"/>
      <c r="AJ675" s="108"/>
      <c r="AK675" s="108"/>
      <c r="AL675" s="108"/>
      <c r="AM675" s="108"/>
      <c r="AN675" s="108"/>
      <c r="AO675" s="108"/>
      <c r="AP675" s="108"/>
      <c r="AQ675" s="108"/>
      <c r="AR675" s="108"/>
      <c r="AS675" s="108"/>
      <c r="AT675" s="108"/>
      <c r="AU675" s="108"/>
      <c r="AV675" s="108"/>
      <c r="AW675" s="108"/>
      <c r="AX675" s="108"/>
      <c r="AY675" s="108"/>
      <c r="AZ675" s="108"/>
    </row>
    <row r="676" spans="1:52" ht="14.2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  <c r="AI676" s="108"/>
      <c r="AJ676" s="108"/>
      <c r="AK676" s="108"/>
      <c r="AL676" s="108"/>
      <c r="AM676" s="108"/>
      <c r="AN676" s="108"/>
      <c r="AO676" s="108"/>
      <c r="AP676" s="108"/>
      <c r="AQ676" s="108"/>
      <c r="AR676" s="108"/>
      <c r="AS676" s="108"/>
      <c r="AT676" s="108"/>
      <c r="AU676" s="108"/>
      <c r="AV676" s="108"/>
      <c r="AW676" s="108"/>
      <c r="AX676" s="108"/>
      <c r="AY676" s="108"/>
      <c r="AZ676" s="108"/>
    </row>
    <row r="677" spans="1:52" ht="14.2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  <c r="AI677" s="108"/>
      <c r="AJ677" s="108"/>
      <c r="AK677" s="108"/>
      <c r="AL677" s="108"/>
      <c r="AM677" s="108"/>
      <c r="AN677" s="108"/>
      <c r="AO677" s="108"/>
      <c r="AP677" s="108"/>
      <c r="AQ677" s="108"/>
      <c r="AR677" s="108"/>
      <c r="AS677" s="108"/>
      <c r="AT677" s="108"/>
      <c r="AU677" s="108"/>
      <c r="AV677" s="108"/>
      <c r="AW677" s="108"/>
      <c r="AX677" s="108"/>
      <c r="AY677" s="108"/>
      <c r="AZ677" s="108"/>
    </row>
    <row r="678" spans="1:52" ht="14.2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  <c r="AF678" s="108"/>
      <c r="AG678" s="108"/>
      <c r="AH678" s="108"/>
      <c r="AI678" s="108"/>
      <c r="AJ678" s="108"/>
      <c r="AK678" s="108"/>
      <c r="AL678" s="108"/>
      <c r="AM678" s="108"/>
      <c r="AN678" s="108"/>
      <c r="AO678" s="108"/>
      <c r="AP678" s="108"/>
      <c r="AQ678" s="108"/>
      <c r="AR678" s="108"/>
      <c r="AS678" s="108"/>
      <c r="AT678" s="108"/>
      <c r="AU678" s="108"/>
      <c r="AV678" s="108"/>
      <c r="AW678" s="108"/>
      <c r="AX678" s="108"/>
      <c r="AY678" s="108"/>
      <c r="AZ678" s="108"/>
    </row>
    <row r="679" spans="1:52" ht="14.2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  <c r="AF679" s="108"/>
      <c r="AG679" s="108"/>
      <c r="AH679" s="108"/>
      <c r="AI679" s="108"/>
      <c r="AJ679" s="108"/>
      <c r="AK679" s="108"/>
      <c r="AL679" s="108"/>
      <c r="AM679" s="108"/>
      <c r="AN679" s="108"/>
      <c r="AO679" s="108"/>
      <c r="AP679" s="108"/>
      <c r="AQ679" s="108"/>
      <c r="AR679" s="108"/>
      <c r="AS679" s="108"/>
      <c r="AT679" s="108"/>
      <c r="AU679" s="108"/>
      <c r="AV679" s="108"/>
      <c r="AW679" s="108"/>
      <c r="AX679" s="108"/>
      <c r="AY679" s="108"/>
      <c r="AZ679" s="108"/>
    </row>
    <row r="680" spans="1:52" ht="14.2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  <c r="AF680" s="108"/>
      <c r="AG680" s="108"/>
      <c r="AH680" s="108"/>
      <c r="AI680" s="108"/>
      <c r="AJ680" s="108"/>
      <c r="AK680" s="108"/>
      <c r="AL680" s="108"/>
      <c r="AM680" s="108"/>
      <c r="AN680" s="108"/>
      <c r="AO680" s="108"/>
      <c r="AP680" s="108"/>
      <c r="AQ680" s="108"/>
      <c r="AR680" s="108"/>
      <c r="AS680" s="108"/>
      <c r="AT680" s="108"/>
      <c r="AU680" s="108"/>
      <c r="AV680" s="108"/>
      <c r="AW680" s="108"/>
      <c r="AX680" s="108"/>
      <c r="AY680" s="108"/>
      <c r="AZ680" s="108"/>
    </row>
    <row r="681" spans="1:52" ht="14.2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  <c r="AF681" s="108"/>
      <c r="AG681" s="108"/>
      <c r="AH681" s="108"/>
      <c r="AI681" s="108"/>
      <c r="AJ681" s="108"/>
      <c r="AK681" s="108"/>
      <c r="AL681" s="108"/>
      <c r="AM681" s="108"/>
      <c r="AN681" s="108"/>
      <c r="AO681" s="108"/>
      <c r="AP681" s="108"/>
      <c r="AQ681" s="108"/>
      <c r="AR681" s="108"/>
      <c r="AS681" s="108"/>
      <c r="AT681" s="108"/>
      <c r="AU681" s="108"/>
      <c r="AV681" s="108"/>
      <c r="AW681" s="108"/>
      <c r="AX681" s="108"/>
      <c r="AY681" s="108"/>
      <c r="AZ681" s="108"/>
    </row>
    <row r="682" spans="1:52" ht="14.2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  <c r="AF682" s="108"/>
      <c r="AG682" s="108"/>
      <c r="AH682" s="108"/>
      <c r="AI682" s="108"/>
      <c r="AJ682" s="108"/>
      <c r="AK682" s="108"/>
      <c r="AL682" s="108"/>
      <c r="AM682" s="108"/>
      <c r="AN682" s="108"/>
      <c r="AO682" s="108"/>
      <c r="AP682" s="108"/>
      <c r="AQ682" s="108"/>
      <c r="AR682" s="108"/>
      <c r="AS682" s="108"/>
      <c r="AT682" s="108"/>
      <c r="AU682" s="108"/>
      <c r="AV682" s="108"/>
      <c r="AW682" s="108"/>
      <c r="AX682" s="108"/>
      <c r="AY682" s="108"/>
      <c r="AZ682" s="108"/>
    </row>
    <row r="683" spans="1:52" ht="14.2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  <c r="AI683" s="108"/>
      <c r="AJ683" s="108"/>
      <c r="AK683" s="108"/>
      <c r="AL683" s="108"/>
      <c r="AM683" s="108"/>
      <c r="AN683" s="108"/>
      <c r="AO683" s="108"/>
      <c r="AP683" s="108"/>
      <c r="AQ683" s="108"/>
      <c r="AR683" s="108"/>
      <c r="AS683" s="108"/>
      <c r="AT683" s="108"/>
      <c r="AU683" s="108"/>
      <c r="AV683" s="108"/>
      <c r="AW683" s="108"/>
      <c r="AX683" s="108"/>
      <c r="AY683" s="108"/>
      <c r="AZ683" s="108"/>
    </row>
    <row r="684" spans="1:52" ht="14.2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  <c r="AI684" s="108"/>
      <c r="AJ684" s="108"/>
      <c r="AK684" s="108"/>
      <c r="AL684" s="108"/>
      <c r="AM684" s="108"/>
      <c r="AN684" s="108"/>
      <c r="AO684" s="108"/>
      <c r="AP684" s="108"/>
      <c r="AQ684" s="108"/>
      <c r="AR684" s="108"/>
      <c r="AS684" s="108"/>
      <c r="AT684" s="108"/>
      <c r="AU684" s="108"/>
      <c r="AV684" s="108"/>
      <c r="AW684" s="108"/>
      <c r="AX684" s="108"/>
      <c r="AY684" s="108"/>
      <c r="AZ684" s="108"/>
    </row>
    <row r="685" spans="1:52" ht="14.2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  <c r="AF685" s="108"/>
      <c r="AG685" s="108"/>
      <c r="AH685" s="108"/>
      <c r="AI685" s="108"/>
      <c r="AJ685" s="108"/>
      <c r="AK685" s="108"/>
      <c r="AL685" s="108"/>
      <c r="AM685" s="108"/>
      <c r="AN685" s="108"/>
      <c r="AO685" s="108"/>
      <c r="AP685" s="108"/>
      <c r="AQ685" s="108"/>
      <c r="AR685" s="108"/>
      <c r="AS685" s="108"/>
      <c r="AT685" s="108"/>
      <c r="AU685" s="108"/>
      <c r="AV685" s="108"/>
      <c r="AW685" s="108"/>
      <c r="AX685" s="108"/>
      <c r="AY685" s="108"/>
      <c r="AZ685" s="108"/>
    </row>
    <row r="686" spans="1:52" ht="14.2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  <c r="AF686" s="108"/>
      <c r="AG686" s="108"/>
      <c r="AH686" s="108"/>
      <c r="AI686" s="108"/>
      <c r="AJ686" s="108"/>
      <c r="AK686" s="108"/>
      <c r="AL686" s="108"/>
      <c r="AM686" s="108"/>
      <c r="AN686" s="108"/>
      <c r="AO686" s="108"/>
      <c r="AP686" s="108"/>
      <c r="AQ686" s="108"/>
      <c r="AR686" s="108"/>
      <c r="AS686" s="108"/>
      <c r="AT686" s="108"/>
      <c r="AU686" s="108"/>
      <c r="AV686" s="108"/>
      <c r="AW686" s="108"/>
      <c r="AX686" s="108"/>
      <c r="AY686" s="108"/>
      <c r="AZ686" s="108"/>
    </row>
    <row r="687" spans="1:52" ht="14.2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  <c r="AI687" s="108"/>
      <c r="AJ687" s="108"/>
      <c r="AK687" s="108"/>
      <c r="AL687" s="108"/>
      <c r="AM687" s="108"/>
      <c r="AN687" s="108"/>
      <c r="AO687" s="108"/>
      <c r="AP687" s="108"/>
      <c r="AQ687" s="108"/>
      <c r="AR687" s="108"/>
      <c r="AS687" s="108"/>
      <c r="AT687" s="108"/>
      <c r="AU687" s="108"/>
      <c r="AV687" s="108"/>
      <c r="AW687" s="108"/>
      <c r="AX687" s="108"/>
      <c r="AY687" s="108"/>
      <c r="AZ687" s="108"/>
    </row>
    <row r="688" spans="1:52" ht="14.2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  <c r="AI688" s="108"/>
      <c r="AJ688" s="108"/>
      <c r="AK688" s="108"/>
      <c r="AL688" s="108"/>
      <c r="AM688" s="108"/>
      <c r="AN688" s="108"/>
      <c r="AO688" s="108"/>
      <c r="AP688" s="108"/>
      <c r="AQ688" s="108"/>
      <c r="AR688" s="108"/>
      <c r="AS688" s="108"/>
      <c r="AT688" s="108"/>
      <c r="AU688" s="108"/>
      <c r="AV688" s="108"/>
      <c r="AW688" s="108"/>
      <c r="AX688" s="108"/>
      <c r="AY688" s="108"/>
      <c r="AZ688" s="108"/>
    </row>
    <row r="689" spans="1:52" ht="14.2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  <c r="AI689" s="108"/>
      <c r="AJ689" s="108"/>
      <c r="AK689" s="108"/>
      <c r="AL689" s="108"/>
      <c r="AM689" s="108"/>
      <c r="AN689" s="108"/>
      <c r="AO689" s="108"/>
      <c r="AP689" s="108"/>
      <c r="AQ689" s="108"/>
      <c r="AR689" s="108"/>
      <c r="AS689" s="108"/>
      <c r="AT689" s="108"/>
      <c r="AU689" s="108"/>
      <c r="AV689" s="108"/>
      <c r="AW689" s="108"/>
      <c r="AX689" s="108"/>
      <c r="AY689" s="108"/>
      <c r="AZ689" s="108"/>
    </row>
    <row r="690" spans="1:52" ht="14.2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  <c r="AF690" s="108"/>
      <c r="AG690" s="108"/>
      <c r="AH690" s="108"/>
      <c r="AI690" s="108"/>
      <c r="AJ690" s="108"/>
      <c r="AK690" s="108"/>
      <c r="AL690" s="108"/>
      <c r="AM690" s="108"/>
      <c r="AN690" s="108"/>
      <c r="AO690" s="108"/>
      <c r="AP690" s="108"/>
      <c r="AQ690" s="108"/>
      <c r="AR690" s="108"/>
      <c r="AS690" s="108"/>
      <c r="AT690" s="108"/>
      <c r="AU690" s="108"/>
      <c r="AV690" s="108"/>
      <c r="AW690" s="108"/>
      <c r="AX690" s="108"/>
      <c r="AY690" s="108"/>
      <c r="AZ690" s="108"/>
    </row>
    <row r="691" spans="1:52" ht="14.2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  <c r="AI691" s="108"/>
      <c r="AJ691" s="108"/>
      <c r="AK691" s="108"/>
      <c r="AL691" s="108"/>
      <c r="AM691" s="108"/>
      <c r="AN691" s="108"/>
      <c r="AO691" s="108"/>
      <c r="AP691" s="108"/>
      <c r="AQ691" s="108"/>
      <c r="AR691" s="108"/>
      <c r="AS691" s="108"/>
      <c r="AT691" s="108"/>
      <c r="AU691" s="108"/>
      <c r="AV691" s="108"/>
      <c r="AW691" s="108"/>
      <c r="AX691" s="108"/>
      <c r="AY691" s="108"/>
      <c r="AZ691" s="108"/>
    </row>
    <row r="692" spans="1:52" ht="14.2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  <c r="AI692" s="108"/>
      <c r="AJ692" s="108"/>
      <c r="AK692" s="108"/>
      <c r="AL692" s="108"/>
      <c r="AM692" s="108"/>
      <c r="AN692" s="108"/>
      <c r="AO692" s="108"/>
      <c r="AP692" s="108"/>
      <c r="AQ692" s="108"/>
      <c r="AR692" s="108"/>
      <c r="AS692" s="108"/>
      <c r="AT692" s="108"/>
      <c r="AU692" s="108"/>
      <c r="AV692" s="108"/>
      <c r="AW692" s="108"/>
      <c r="AX692" s="108"/>
      <c r="AY692" s="108"/>
      <c r="AZ692" s="108"/>
    </row>
    <row r="693" spans="1:52" ht="14.2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  <c r="AI693" s="108"/>
      <c r="AJ693" s="108"/>
      <c r="AK693" s="108"/>
      <c r="AL693" s="108"/>
      <c r="AM693" s="108"/>
      <c r="AN693" s="108"/>
      <c r="AO693" s="108"/>
      <c r="AP693" s="108"/>
      <c r="AQ693" s="108"/>
      <c r="AR693" s="108"/>
      <c r="AS693" s="108"/>
      <c r="AT693" s="108"/>
      <c r="AU693" s="108"/>
      <c r="AV693" s="108"/>
      <c r="AW693" s="108"/>
      <c r="AX693" s="108"/>
      <c r="AY693" s="108"/>
      <c r="AZ693" s="108"/>
    </row>
    <row r="694" spans="1:52" ht="14.2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  <c r="AI694" s="108"/>
      <c r="AJ694" s="108"/>
      <c r="AK694" s="108"/>
      <c r="AL694" s="108"/>
      <c r="AM694" s="108"/>
      <c r="AN694" s="108"/>
      <c r="AO694" s="108"/>
      <c r="AP694" s="108"/>
      <c r="AQ694" s="108"/>
      <c r="AR694" s="108"/>
      <c r="AS694" s="108"/>
      <c r="AT694" s="108"/>
      <c r="AU694" s="108"/>
      <c r="AV694" s="108"/>
      <c r="AW694" s="108"/>
      <c r="AX694" s="108"/>
      <c r="AY694" s="108"/>
      <c r="AZ694" s="108"/>
    </row>
    <row r="695" spans="1:52" ht="14.2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08"/>
      <c r="AG695" s="108"/>
      <c r="AH695" s="108"/>
      <c r="AI695" s="108"/>
      <c r="AJ695" s="108"/>
      <c r="AK695" s="108"/>
      <c r="AL695" s="108"/>
      <c r="AM695" s="108"/>
      <c r="AN695" s="108"/>
      <c r="AO695" s="108"/>
      <c r="AP695" s="108"/>
      <c r="AQ695" s="108"/>
      <c r="AR695" s="108"/>
      <c r="AS695" s="108"/>
      <c r="AT695" s="108"/>
      <c r="AU695" s="108"/>
      <c r="AV695" s="108"/>
      <c r="AW695" s="108"/>
      <c r="AX695" s="108"/>
      <c r="AY695" s="108"/>
      <c r="AZ695" s="108"/>
    </row>
    <row r="696" spans="1:52" ht="14.2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  <c r="AI696" s="108"/>
      <c r="AJ696" s="108"/>
      <c r="AK696" s="108"/>
      <c r="AL696" s="108"/>
      <c r="AM696" s="108"/>
      <c r="AN696" s="108"/>
      <c r="AO696" s="108"/>
      <c r="AP696" s="108"/>
      <c r="AQ696" s="108"/>
      <c r="AR696" s="108"/>
      <c r="AS696" s="108"/>
      <c r="AT696" s="108"/>
      <c r="AU696" s="108"/>
      <c r="AV696" s="108"/>
      <c r="AW696" s="108"/>
      <c r="AX696" s="108"/>
      <c r="AY696" s="108"/>
      <c r="AZ696" s="108"/>
    </row>
    <row r="697" spans="1:52" ht="14.2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  <c r="AF697" s="108"/>
      <c r="AG697" s="108"/>
      <c r="AH697" s="108"/>
      <c r="AI697" s="108"/>
      <c r="AJ697" s="108"/>
      <c r="AK697" s="108"/>
      <c r="AL697" s="108"/>
      <c r="AM697" s="108"/>
      <c r="AN697" s="108"/>
      <c r="AO697" s="108"/>
      <c r="AP697" s="108"/>
      <c r="AQ697" s="108"/>
      <c r="AR697" s="108"/>
      <c r="AS697" s="108"/>
      <c r="AT697" s="108"/>
      <c r="AU697" s="108"/>
      <c r="AV697" s="108"/>
      <c r="AW697" s="108"/>
      <c r="AX697" s="108"/>
      <c r="AY697" s="108"/>
      <c r="AZ697" s="108"/>
    </row>
    <row r="698" spans="1:52" ht="14.2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s="108"/>
      <c r="AG698" s="108"/>
      <c r="AH698" s="108"/>
      <c r="AI698" s="108"/>
      <c r="AJ698" s="108"/>
      <c r="AK698" s="108"/>
      <c r="AL698" s="108"/>
      <c r="AM698" s="108"/>
      <c r="AN698" s="108"/>
      <c r="AO698" s="108"/>
      <c r="AP698" s="108"/>
      <c r="AQ698" s="108"/>
      <c r="AR698" s="108"/>
      <c r="AS698" s="108"/>
      <c r="AT698" s="108"/>
      <c r="AU698" s="108"/>
      <c r="AV698" s="108"/>
      <c r="AW698" s="108"/>
      <c r="AX698" s="108"/>
      <c r="AY698" s="108"/>
      <c r="AZ698" s="108"/>
    </row>
    <row r="699" spans="1:52" ht="14.2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  <c r="AI699" s="108"/>
      <c r="AJ699" s="108"/>
      <c r="AK699" s="108"/>
      <c r="AL699" s="108"/>
      <c r="AM699" s="108"/>
      <c r="AN699" s="108"/>
      <c r="AO699" s="108"/>
      <c r="AP699" s="108"/>
      <c r="AQ699" s="108"/>
      <c r="AR699" s="108"/>
      <c r="AS699" s="108"/>
      <c r="AT699" s="108"/>
      <c r="AU699" s="108"/>
      <c r="AV699" s="108"/>
      <c r="AW699" s="108"/>
      <c r="AX699" s="108"/>
      <c r="AY699" s="108"/>
      <c r="AZ699" s="108"/>
    </row>
    <row r="700" spans="1:52" ht="14.2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  <c r="AI700" s="108"/>
      <c r="AJ700" s="108"/>
      <c r="AK700" s="108"/>
      <c r="AL700" s="108"/>
      <c r="AM700" s="108"/>
      <c r="AN700" s="108"/>
      <c r="AO700" s="108"/>
      <c r="AP700" s="108"/>
      <c r="AQ700" s="108"/>
      <c r="AR700" s="108"/>
      <c r="AS700" s="108"/>
      <c r="AT700" s="108"/>
      <c r="AU700" s="108"/>
      <c r="AV700" s="108"/>
      <c r="AW700" s="108"/>
      <c r="AX700" s="108"/>
      <c r="AY700" s="108"/>
      <c r="AZ700" s="108"/>
    </row>
    <row r="701" spans="1:52" ht="14.2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  <c r="AF701" s="108"/>
      <c r="AG701" s="108"/>
      <c r="AH701" s="108"/>
      <c r="AI701" s="108"/>
      <c r="AJ701" s="108"/>
      <c r="AK701" s="108"/>
      <c r="AL701" s="108"/>
      <c r="AM701" s="108"/>
      <c r="AN701" s="108"/>
      <c r="AO701" s="108"/>
      <c r="AP701" s="108"/>
      <c r="AQ701" s="108"/>
      <c r="AR701" s="108"/>
      <c r="AS701" s="108"/>
      <c r="AT701" s="108"/>
      <c r="AU701" s="108"/>
      <c r="AV701" s="108"/>
      <c r="AW701" s="108"/>
      <c r="AX701" s="108"/>
      <c r="AY701" s="108"/>
      <c r="AZ701" s="108"/>
    </row>
    <row r="702" spans="1:52" ht="14.2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  <c r="AF702" s="108"/>
      <c r="AG702" s="108"/>
      <c r="AH702" s="108"/>
      <c r="AI702" s="108"/>
      <c r="AJ702" s="108"/>
      <c r="AK702" s="108"/>
      <c r="AL702" s="108"/>
      <c r="AM702" s="108"/>
      <c r="AN702" s="108"/>
      <c r="AO702" s="108"/>
      <c r="AP702" s="108"/>
      <c r="AQ702" s="108"/>
      <c r="AR702" s="108"/>
      <c r="AS702" s="108"/>
      <c r="AT702" s="108"/>
      <c r="AU702" s="108"/>
      <c r="AV702" s="108"/>
      <c r="AW702" s="108"/>
      <c r="AX702" s="108"/>
      <c r="AY702" s="108"/>
      <c r="AZ702" s="108"/>
    </row>
    <row r="703" spans="1:52" ht="14.2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  <c r="AF703" s="108"/>
      <c r="AG703" s="108"/>
      <c r="AH703" s="108"/>
      <c r="AI703" s="108"/>
      <c r="AJ703" s="108"/>
      <c r="AK703" s="108"/>
      <c r="AL703" s="108"/>
      <c r="AM703" s="108"/>
      <c r="AN703" s="108"/>
      <c r="AO703" s="108"/>
      <c r="AP703" s="108"/>
      <c r="AQ703" s="108"/>
      <c r="AR703" s="108"/>
      <c r="AS703" s="108"/>
      <c r="AT703" s="108"/>
      <c r="AU703" s="108"/>
      <c r="AV703" s="108"/>
      <c r="AW703" s="108"/>
      <c r="AX703" s="108"/>
      <c r="AY703" s="108"/>
      <c r="AZ703" s="108"/>
    </row>
    <row r="704" spans="1:52" ht="14.2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  <c r="AF704" s="108"/>
      <c r="AG704" s="108"/>
      <c r="AH704" s="108"/>
      <c r="AI704" s="108"/>
      <c r="AJ704" s="108"/>
      <c r="AK704" s="108"/>
      <c r="AL704" s="108"/>
      <c r="AM704" s="108"/>
      <c r="AN704" s="108"/>
      <c r="AO704" s="108"/>
      <c r="AP704" s="108"/>
      <c r="AQ704" s="108"/>
      <c r="AR704" s="108"/>
      <c r="AS704" s="108"/>
      <c r="AT704" s="108"/>
      <c r="AU704" s="108"/>
      <c r="AV704" s="108"/>
      <c r="AW704" s="108"/>
      <c r="AX704" s="108"/>
      <c r="AY704" s="108"/>
      <c r="AZ704" s="108"/>
    </row>
    <row r="705" spans="1:52" ht="14.2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  <c r="AI705" s="108"/>
      <c r="AJ705" s="108"/>
      <c r="AK705" s="108"/>
      <c r="AL705" s="108"/>
      <c r="AM705" s="108"/>
      <c r="AN705" s="108"/>
      <c r="AO705" s="108"/>
      <c r="AP705" s="108"/>
      <c r="AQ705" s="108"/>
      <c r="AR705" s="108"/>
      <c r="AS705" s="108"/>
      <c r="AT705" s="108"/>
      <c r="AU705" s="108"/>
      <c r="AV705" s="108"/>
      <c r="AW705" s="108"/>
      <c r="AX705" s="108"/>
      <c r="AY705" s="108"/>
      <c r="AZ705" s="108"/>
    </row>
    <row r="706" spans="1:52" ht="14.2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  <c r="AF706" s="108"/>
      <c r="AG706" s="108"/>
      <c r="AH706" s="108"/>
      <c r="AI706" s="108"/>
      <c r="AJ706" s="108"/>
      <c r="AK706" s="108"/>
      <c r="AL706" s="108"/>
      <c r="AM706" s="108"/>
      <c r="AN706" s="108"/>
      <c r="AO706" s="108"/>
      <c r="AP706" s="108"/>
      <c r="AQ706" s="108"/>
      <c r="AR706" s="108"/>
      <c r="AS706" s="108"/>
      <c r="AT706" s="108"/>
      <c r="AU706" s="108"/>
      <c r="AV706" s="108"/>
      <c r="AW706" s="108"/>
      <c r="AX706" s="108"/>
      <c r="AY706" s="108"/>
      <c r="AZ706" s="108"/>
    </row>
    <row r="707" spans="1:52" ht="14.2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/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</row>
    <row r="708" spans="1:52" ht="14.2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  <c r="AF708" s="108"/>
      <c r="AG708" s="108"/>
      <c r="AH708" s="108"/>
      <c r="AI708" s="108"/>
      <c r="AJ708" s="108"/>
      <c r="AK708" s="108"/>
      <c r="AL708" s="108"/>
      <c r="AM708" s="108"/>
      <c r="AN708" s="108"/>
      <c r="AO708" s="108"/>
      <c r="AP708" s="108"/>
      <c r="AQ708" s="108"/>
      <c r="AR708" s="108"/>
      <c r="AS708" s="108"/>
      <c r="AT708" s="108"/>
      <c r="AU708" s="108"/>
      <c r="AV708" s="108"/>
      <c r="AW708" s="108"/>
      <c r="AX708" s="108"/>
      <c r="AY708" s="108"/>
      <c r="AZ708" s="108"/>
    </row>
    <row r="709" spans="1:52" ht="14.2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  <c r="AE709" s="108"/>
      <c r="AF709" s="108"/>
      <c r="AG709" s="108"/>
      <c r="AH709" s="108"/>
      <c r="AI709" s="108"/>
      <c r="AJ709" s="108"/>
      <c r="AK709" s="108"/>
      <c r="AL709" s="108"/>
      <c r="AM709" s="108"/>
      <c r="AN709" s="108"/>
      <c r="AO709" s="108"/>
      <c r="AP709" s="108"/>
      <c r="AQ709" s="108"/>
      <c r="AR709" s="108"/>
      <c r="AS709" s="108"/>
      <c r="AT709" s="108"/>
      <c r="AU709" s="108"/>
      <c r="AV709" s="108"/>
      <c r="AW709" s="108"/>
      <c r="AX709" s="108"/>
      <c r="AY709" s="108"/>
      <c r="AZ709" s="108"/>
    </row>
    <row r="710" spans="1:52" ht="14.2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/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</row>
    <row r="711" spans="1:52" ht="14.2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  <c r="AF711" s="108"/>
      <c r="AG711" s="108"/>
      <c r="AH711" s="108"/>
      <c r="AI711" s="108"/>
      <c r="AJ711" s="108"/>
      <c r="AK711" s="108"/>
      <c r="AL711" s="108"/>
      <c r="AM711" s="108"/>
      <c r="AN711" s="108"/>
      <c r="AO711" s="108"/>
      <c r="AP711" s="108"/>
      <c r="AQ711" s="108"/>
      <c r="AR711" s="108"/>
      <c r="AS711" s="108"/>
      <c r="AT711" s="108"/>
      <c r="AU711" s="108"/>
      <c r="AV711" s="108"/>
      <c r="AW711" s="108"/>
      <c r="AX711" s="108"/>
      <c r="AY711" s="108"/>
      <c r="AZ711" s="108"/>
    </row>
    <row r="712" spans="1:52" ht="14.2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  <c r="AG712" s="108"/>
      <c r="AH712" s="108"/>
      <c r="AI712" s="108"/>
      <c r="AJ712" s="108"/>
      <c r="AK712" s="108"/>
      <c r="AL712" s="108"/>
      <c r="AM712" s="108"/>
      <c r="AN712" s="108"/>
      <c r="AO712" s="108"/>
      <c r="AP712" s="108"/>
      <c r="AQ712" s="108"/>
      <c r="AR712" s="108"/>
      <c r="AS712" s="108"/>
      <c r="AT712" s="108"/>
      <c r="AU712" s="108"/>
      <c r="AV712" s="108"/>
      <c r="AW712" s="108"/>
      <c r="AX712" s="108"/>
      <c r="AY712" s="108"/>
      <c r="AZ712" s="108"/>
    </row>
    <row r="713" spans="1:52" ht="14.2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  <c r="AF713" s="108"/>
      <c r="AG713" s="108"/>
      <c r="AH713" s="108"/>
      <c r="AI713" s="108"/>
      <c r="AJ713" s="108"/>
      <c r="AK713" s="108"/>
      <c r="AL713" s="108"/>
      <c r="AM713" s="108"/>
      <c r="AN713" s="108"/>
      <c r="AO713" s="108"/>
      <c r="AP713" s="108"/>
      <c r="AQ713" s="108"/>
      <c r="AR713" s="108"/>
      <c r="AS713" s="108"/>
      <c r="AT713" s="108"/>
      <c r="AU713" s="108"/>
      <c r="AV713" s="108"/>
      <c r="AW713" s="108"/>
      <c r="AX713" s="108"/>
      <c r="AY713" s="108"/>
      <c r="AZ713" s="108"/>
    </row>
    <row r="714" spans="1:52" ht="14.2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  <c r="AI714" s="108"/>
      <c r="AJ714" s="108"/>
      <c r="AK714" s="108"/>
      <c r="AL714" s="108"/>
      <c r="AM714" s="108"/>
      <c r="AN714" s="108"/>
      <c r="AO714" s="108"/>
      <c r="AP714" s="108"/>
      <c r="AQ714" s="108"/>
      <c r="AR714" s="108"/>
      <c r="AS714" s="108"/>
      <c r="AT714" s="108"/>
      <c r="AU714" s="108"/>
      <c r="AV714" s="108"/>
      <c r="AW714" s="108"/>
      <c r="AX714" s="108"/>
      <c r="AY714" s="108"/>
      <c r="AZ714" s="108"/>
    </row>
    <row r="715" spans="1:52" ht="14.2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  <c r="AE715" s="108"/>
      <c r="AF715" s="108"/>
      <c r="AG715" s="108"/>
      <c r="AH715" s="108"/>
      <c r="AI715" s="108"/>
      <c r="AJ715" s="108"/>
      <c r="AK715" s="108"/>
      <c r="AL715" s="108"/>
      <c r="AM715" s="108"/>
      <c r="AN715" s="108"/>
      <c r="AO715" s="108"/>
      <c r="AP715" s="108"/>
      <c r="AQ715" s="108"/>
      <c r="AR715" s="108"/>
      <c r="AS715" s="108"/>
      <c r="AT715" s="108"/>
      <c r="AU715" s="108"/>
      <c r="AV715" s="108"/>
      <c r="AW715" s="108"/>
      <c r="AX715" s="108"/>
      <c r="AY715" s="108"/>
      <c r="AZ715" s="108"/>
    </row>
    <row r="716" spans="1:52" ht="14.2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  <c r="AE716" s="108"/>
      <c r="AF716" s="108"/>
      <c r="AG716" s="108"/>
      <c r="AH716" s="108"/>
      <c r="AI716" s="108"/>
      <c r="AJ716" s="108"/>
      <c r="AK716" s="108"/>
      <c r="AL716" s="108"/>
      <c r="AM716" s="108"/>
      <c r="AN716" s="108"/>
      <c r="AO716" s="108"/>
      <c r="AP716" s="108"/>
      <c r="AQ716" s="108"/>
      <c r="AR716" s="108"/>
      <c r="AS716" s="108"/>
      <c r="AT716" s="108"/>
      <c r="AU716" s="108"/>
      <c r="AV716" s="108"/>
      <c r="AW716" s="108"/>
      <c r="AX716" s="108"/>
      <c r="AY716" s="108"/>
      <c r="AZ716" s="108"/>
    </row>
    <row r="717" spans="1:52" ht="14.2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  <c r="AF717" s="108"/>
      <c r="AG717" s="108"/>
      <c r="AH717" s="108"/>
      <c r="AI717" s="108"/>
      <c r="AJ717" s="108"/>
      <c r="AK717" s="108"/>
      <c r="AL717" s="108"/>
      <c r="AM717" s="108"/>
      <c r="AN717" s="108"/>
      <c r="AO717" s="108"/>
      <c r="AP717" s="108"/>
      <c r="AQ717" s="108"/>
      <c r="AR717" s="108"/>
      <c r="AS717" s="108"/>
      <c r="AT717" s="108"/>
      <c r="AU717" s="108"/>
      <c r="AV717" s="108"/>
      <c r="AW717" s="108"/>
      <c r="AX717" s="108"/>
      <c r="AY717" s="108"/>
      <c r="AZ717" s="108"/>
    </row>
    <row r="718" spans="1:52" ht="14.2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  <c r="AF718" s="108"/>
      <c r="AG718" s="108"/>
      <c r="AH718" s="108"/>
      <c r="AI718" s="108"/>
      <c r="AJ718" s="108"/>
      <c r="AK718" s="108"/>
      <c r="AL718" s="108"/>
      <c r="AM718" s="108"/>
      <c r="AN718" s="108"/>
      <c r="AO718" s="108"/>
      <c r="AP718" s="108"/>
      <c r="AQ718" s="108"/>
      <c r="AR718" s="108"/>
      <c r="AS718" s="108"/>
      <c r="AT718" s="108"/>
      <c r="AU718" s="108"/>
      <c r="AV718" s="108"/>
      <c r="AW718" s="108"/>
      <c r="AX718" s="108"/>
      <c r="AY718" s="108"/>
      <c r="AZ718" s="108"/>
    </row>
    <row r="719" spans="1:52" ht="14.2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  <c r="AE719" s="108"/>
      <c r="AF719" s="108"/>
      <c r="AG719" s="108"/>
      <c r="AH719" s="108"/>
      <c r="AI719" s="108"/>
      <c r="AJ719" s="108"/>
      <c r="AK719" s="108"/>
      <c r="AL719" s="108"/>
      <c r="AM719" s="108"/>
      <c r="AN719" s="108"/>
      <c r="AO719" s="108"/>
      <c r="AP719" s="108"/>
      <c r="AQ719" s="108"/>
      <c r="AR719" s="108"/>
      <c r="AS719" s="108"/>
      <c r="AT719" s="108"/>
      <c r="AU719" s="108"/>
      <c r="AV719" s="108"/>
      <c r="AW719" s="108"/>
      <c r="AX719" s="108"/>
      <c r="AY719" s="108"/>
      <c r="AZ719" s="108"/>
    </row>
    <row r="720" spans="1:52" ht="14.2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  <c r="AE720" s="108"/>
      <c r="AF720" s="108"/>
      <c r="AG720" s="108"/>
      <c r="AH720" s="108"/>
      <c r="AI720" s="108"/>
      <c r="AJ720" s="108"/>
      <c r="AK720" s="108"/>
      <c r="AL720" s="108"/>
      <c r="AM720" s="108"/>
      <c r="AN720" s="108"/>
      <c r="AO720" s="108"/>
      <c r="AP720" s="108"/>
      <c r="AQ720" s="108"/>
      <c r="AR720" s="108"/>
      <c r="AS720" s="108"/>
      <c r="AT720" s="108"/>
      <c r="AU720" s="108"/>
      <c r="AV720" s="108"/>
      <c r="AW720" s="108"/>
      <c r="AX720" s="108"/>
      <c r="AY720" s="108"/>
      <c r="AZ720" s="108"/>
    </row>
    <row r="721" spans="1:52" ht="14.2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  <c r="AF721" s="108"/>
      <c r="AG721" s="108"/>
      <c r="AH721" s="108"/>
      <c r="AI721" s="108"/>
      <c r="AJ721" s="108"/>
      <c r="AK721" s="108"/>
      <c r="AL721" s="108"/>
      <c r="AM721" s="108"/>
      <c r="AN721" s="108"/>
      <c r="AO721" s="108"/>
      <c r="AP721" s="108"/>
      <c r="AQ721" s="108"/>
      <c r="AR721" s="108"/>
      <c r="AS721" s="108"/>
      <c r="AT721" s="108"/>
      <c r="AU721" s="108"/>
      <c r="AV721" s="108"/>
      <c r="AW721" s="108"/>
      <c r="AX721" s="108"/>
      <c r="AY721" s="108"/>
      <c r="AZ721" s="108"/>
    </row>
    <row r="722" spans="1:52" ht="14.2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  <c r="AE722" s="108"/>
      <c r="AF722" s="108"/>
      <c r="AG722" s="108"/>
      <c r="AH722" s="108"/>
      <c r="AI722" s="108"/>
      <c r="AJ722" s="108"/>
      <c r="AK722" s="108"/>
      <c r="AL722" s="108"/>
      <c r="AM722" s="108"/>
      <c r="AN722" s="108"/>
      <c r="AO722" s="108"/>
      <c r="AP722" s="108"/>
      <c r="AQ722" s="108"/>
      <c r="AR722" s="108"/>
      <c r="AS722" s="108"/>
      <c r="AT722" s="108"/>
      <c r="AU722" s="108"/>
      <c r="AV722" s="108"/>
      <c r="AW722" s="108"/>
      <c r="AX722" s="108"/>
      <c r="AY722" s="108"/>
      <c r="AZ722" s="108"/>
    </row>
    <row r="723" spans="1:52" ht="14.2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  <c r="AG723" s="108"/>
      <c r="AH723" s="108"/>
      <c r="AI723" s="108"/>
      <c r="AJ723" s="108"/>
      <c r="AK723" s="108"/>
      <c r="AL723" s="108"/>
      <c r="AM723" s="108"/>
      <c r="AN723" s="108"/>
      <c r="AO723" s="108"/>
      <c r="AP723" s="108"/>
      <c r="AQ723" s="108"/>
      <c r="AR723" s="108"/>
      <c r="AS723" s="108"/>
      <c r="AT723" s="108"/>
      <c r="AU723" s="108"/>
      <c r="AV723" s="108"/>
      <c r="AW723" s="108"/>
      <c r="AX723" s="108"/>
      <c r="AY723" s="108"/>
      <c r="AZ723" s="108"/>
    </row>
    <row r="724" spans="1:52" ht="14.2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  <c r="AE724" s="108"/>
      <c r="AF724" s="108"/>
      <c r="AG724" s="108"/>
      <c r="AH724" s="108"/>
      <c r="AI724" s="108"/>
      <c r="AJ724" s="108"/>
      <c r="AK724" s="108"/>
      <c r="AL724" s="108"/>
      <c r="AM724" s="108"/>
      <c r="AN724" s="108"/>
      <c r="AO724" s="108"/>
      <c r="AP724" s="108"/>
      <c r="AQ724" s="108"/>
      <c r="AR724" s="108"/>
      <c r="AS724" s="108"/>
      <c r="AT724" s="108"/>
      <c r="AU724" s="108"/>
      <c r="AV724" s="108"/>
      <c r="AW724" s="108"/>
      <c r="AX724" s="108"/>
      <c r="AY724" s="108"/>
      <c r="AZ724" s="108"/>
    </row>
    <row r="725" spans="1:52" ht="14.2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  <c r="AG725" s="108"/>
      <c r="AH725" s="108"/>
      <c r="AI725" s="108"/>
      <c r="AJ725" s="108"/>
      <c r="AK725" s="108"/>
      <c r="AL725" s="108"/>
      <c r="AM725" s="108"/>
      <c r="AN725" s="108"/>
      <c r="AO725" s="108"/>
      <c r="AP725" s="108"/>
      <c r="AQ725" s="108"/>
      <c r="AR725" s="108"/>
      <c r="AS725" s="108"/>
      <c r="AT725" s="108"/>
      <c r="AU725" s="108"/>
      <c r="AV725" s="108"/>
      <c r="AW725" s="108"/>
      <c r="AX725" s="108"/>
      <c r="AY725" s="108"/>
      <c r="AZ725" s="108"/>
    </row>
    <row r="726" spans="1:52" ht="14.2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  <c r="AG726" s="108"/>
      <c r="AH726" s="108"/>
      <c r="AI726" s="108"/>
      <c r="AJ726" s="108"/>
      <c r="AK726" s="108"/>
      <c r="AL726" s="108"/>
      <c r="AM726" s="108"/>
      <c r="AN726" s="108"/>
      <c r="AO726" s="108"/>
      <c r="AP726" s="108"/>
      <c r="AQ726" s="108"/>
      <c r="AR726" s="108"/>
      <c r="AS726" s="108"/>
      <c r="AT726" s="108"/>
      <c r="AU726" s="108"/>
      <c r="AV726" s="108"/>
      <c r="AW726" s="108"/>
      <c r="AX726" s="108"/>
      <c r="AY726" s="108"/>
      <c r="AZ726" s="108"/>
    </row>
    <row r="727" spans="1:52" ht="14.2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  <c r="AE727" s="108"/>
      <c r="AF727" s="108"/>
      <c r="AG727" s="108"/>
      <c r="AH727" s="108"/>
      <c r="AI727" s="108"/>
      <c r="AJ727" s="108"/>
      <c r="AK727" s="108"/>
      <c r="AL727" s="108"/>
      <c r="AM727" s="108"/>
      <c r="AN727" s="108"/>
      <c r="AO727" s="108"/>
      <c r="AP727" s="108"/>
      <c r="AQ727" s="108"/>
      <c r="AR727" s="108"/>
      <c r="AS727" s="108"/>
      <c r="AT727" s="108"/>
      <c r="AU727" s="108"/>
      <c r="AV727" s="108"/>
      <c r="AW727" s="108"/>
      <c r="AX727" s="108"/>
      <c r="AY727" s="108"/>
      <c r="AZ727" s="108"/>
    </row>
    <row r="728" spans="1:52" ht="14.2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  <c r="AI728" s="108"/>
      <c r="AJ728" s="108"/>
      <c r="AK728" s="108"/>
      <c r="AL728" s="108"/>
      <c r="AM728" s="108"/>
      <c r="AN728" s="108"/>
      <c r="AO728" s="108"/>
      <c r="AP728" s="108"/>
      <c r="AQ728" s="108"/>
      <c r="AR728" s="108"/>
      <c r="AS728" s="108"/>
      <c r="AT728" s="108"/>
      <c r="AU728" s="108"/>
      <c r="AV728" s="108"/>
      <c r="AW728" s="108"/>
      <c r="AX728" s="108"/>
      <c r="AY728" s="108"/>
      <c r="AZ728" s="108"/>
    </row>
    <row r="729" spans="1:52" ht="14.2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  <c r="AI729" s="108"/>
      <c r="AJ729" s="108"/>
      <c r="AK729" s="108"/>
      <c r="AL729" s="108"/>
      <c r="AM729" s="108"/>
      <c r="AN729" s="108"/>
      <c r="AO729" s="108"/>
      <c r="AP729" s="108"/>
      <c r="AQ729" s="108"/>
      <c r="AR729" s="108"/>
      <c r="AS729" s="108"/>
      <c r="AT729" s="108"/>
      <c r="AU729" s="108"/>
      <c r="AV729" s="108"/>
      <c r="AW729" s="108"/>
      <c r="AX729" s="108"/>
      <c r="AY729" s="108"/>
      <c r="AZ729" s="108"/>
    </row>
    <row r="730" spans="1:52" ht="14.2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  <c r="AF730" s="108"/>
      <c r="AG730" s="108"/>
      <c r="AH730" s="108"/>
      <c r="AI730" s="108"/>
      <c r="AJ730" s="108"/>
      <c r="AK730" s="108"/>
      <c r="AL730" s="108"/>
      <c r="AM730" s="108"/>
      <c r="AN730" s="108"/>
      <c r="AO730" s="108"/>
      <c r="AP730" s="108"/>
      <c r="AQ730" s="108"/>
      <c r="AR730" s="108"/>
      <c r="AS730" s="108"/>
      <c r="AT730" s="108"/>
      <c r="AU730" s="108"/>
      <c r="AV730" s="108"/>
      <c r="AW730" s="108"/>
      <c r="AX730" s="108"/>
      <c r="AY730" s="108"/>
      <c r="AZ730" s="108"/>
    </row>
    <row r="731" spans="1:52" ht="14.2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  <c r="AE731" s="108"/>
      <c r="AF731" s="108"/>
      <c r="AG731" s="108"/>
      <c r="AH731" s="108"/>
      <c r="AI731" s="108"/>
      <c r="AJ731" s="108"/>
      <c r="AK731" s="108"/>
      <c r="AL731" s="108"/>
      <c r="AM731" s="108"/>
      <c r="AN731" s="108"/>
      <c r="AO731" s="108"/>
      <c r="AP731" s="108"/>
      <c r="AQ731" s="108"/>
      <c r="AR731" s="108"/>
      <c r="AS731" s="108"/>
      <c r="AT731" s="108"/>
      <c r="AU731" s="108"/>
      <c r="AV731" s="108"/>
      <c r="AW731" s="108"/>
      <c r="AX731" s="108"/>
      <c r="AY731" s="108"/>
      <c r="AZ731" s="108"/>
    </row>
    <row r="732" spans="1:52" ht="14.2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  <c r="AG732" s="108"/>
      <c r="AH732" s="108"/>
      <c r="AI732" s="108"/>
      <c r="AJ732" s="108"/>
      <c r="AK732" s="108"/>
      <c r="AL732" s="108"/>
      <c r="AM732" s="108"/>
      <c r="AN732" s="108"/>
      <c r="AO732" s="108"/>
      <c r="AP732" s="108"/>
      <c r="AQ732" s="108"/>
      <c r="AR732" s="108"/>
      <c r="AS732" s="108"/>
      <c r="AT732" s="108"/>
      <c r="AU732" s="108"/>
      <c r="AV732" s="108"/>
      <c r="AW732" s="108"/>
      <c r="AX732" s="108"/>
      <c r="AY732" s="108"/>
      <c r="AZ732" s="108"/>
    </row>
    <row r="733" spans="1:52" ht="14.2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  <c r="AF733" s="108"/>
      <c r="AG733" s="108"/>
      <c r="AH733" s="108"/>
      <c r="AI733" s="108"/>
      <c r="AJ733" s="108"/>
      <c r="AK733" s="108"/>
      <c r="AL733" s="108"/>
      <c r="AM733" s="108"/>
      <c r="AN733" s="108"/>
      <c r="AO733" s="108"/>
      <c r="AP733" s="108"/>
      <c r="AQ733" s="108"/>
      <c r="AR733" s="108"/>
      <c r="AS733" s="108"/>
      <c r="AT733" s="108"/>
      <c r="AU733" s="108"/>
      <c r="AV733" s="108"/>
      <c r="AW733" s="108"/>
      <c r="AX733" s="108"/>
      <c r="AY733" s="108"/>
      <c r="AZ733" s="108"/>
    </row>
    <row r="734" spans="1:52" ht="14.2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  <c r="AG734" s="108"/>
      <c r="AH734" s="108"/>
      <c r="AI734" s="108"/>
      <c r="AJ734" s="108"/>
      <c r="AK734" s="108"/>
      <c r="AL734" s="108"/>
      <c r="AM734" s="108"/>
      <c r="AN734" s="108"/>
      <c r="AO734" s="108"/>
      <c r="AP734" s="108"/>
      <c r="AQ734" s="108"/>
      <c r="AR734" s="108"/>
      <c r="AS734" s="108"/>
      <c r="AT734" s="108"/>
      <c r="AU734" s="108"/>
      <c r="AV734" s="108"/>
      <c r="AW734" s="108"/>
      <c r="AX734" s="108"/>
      <c r="AY734" s="108"/>
      <c r="AZ734" s="108"/>
    </row>
    <row r="735" spans="1:52" ht="14.2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  <c r="AF735" s="108"/>
      <c r="AG735" s="108"/>
      <c r="AH735" s="108"/>
      <c r="AI735" s="108"/>
      <c r="AJ735" s="108"/>
      <c r="AK735" s="108"/>
      <c r="AL735" s="108"/>
      <c r="AM735" s="108"/>
      <c r="AN735" s="108"/>
      <c r="AO735" s="108"/>
      <c r="AP735" s="108"/>
      <c r="AQ735" s="108"/>
      <c r="AR735" s="108"/>
      <c r="AS735" s="108"/>
      <c r="AT735" s="108"/>
      <c r="AU735" s="108"/>
      <c r="AV735" s="108"/>
      <c r="AW735" s="108"/>
      <c r="AX735" s="108"/>
      <c r="AY735" s="108"/>
      <c r="AZ735" s="108"/>
    </row>
    <row r="736" spans="1:52" ht="14.2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  <c r="AF736" s="108"/>
      <c r="AG736" s="108"/>
      <c r="AH736" s="108"/>
      <c r="AI736" s="108"/>
      <c r="AJ736" s="108"/>
      <c r="AK736" s="108"/>
      <c r="AL736" s="108"/>
      <c r="AM736" s="108"/>
      <c r="AN736" s="108"/>
      <c r="AO736" s="108"/>
      <c r="AP736" s="108"/>
      <c r="AQ736" s="108"/>
      <c r="AR736" s="108"/>
      <c r="AS736" s="108"/>
      <c r="AT736" s="108"/>
      <c r="AU736" s="108"/>
      <c r="AV736" s="108"/>
      <c r="AW736" s="108"/>
      <c r="AX736" s="108"/>
      <c r="AY736" s="108"/>
      <c r="AZ736" s="108"/>
    </row>
    <row r="737" spans="1:52" ht="14.2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  <c r="AF737" s="108"/>
      <c r="AG737" s="108"/>
      <c r="AH737" s="108"/>
      <c r="AI737" s="108"/>
      <c r="AJ737" s="108"/>
      <c r="AK737" s="108"/>
      <c r="AL737" s="108"/>
      <c r="AM737" s="108"/>
      <c r="AN737" s="108"/>
      <c r="AO737" s="108"/>
      <c r="AP737" s="108"/>
      <c r="AQ737" s="108"/>
      <c r="AR737" s="108"/>
      <c r="AS737" s="108"/>
      <c r="AT737" s="108"/>
      <c r="AU737" s="108"/>
      <c r="AV737" s="108"/>
      <c r="AW737" s="108"/>
      <c r="AX737" s="108"/>
      <c r="AY737" s="108"/>
      <c r="AZ737" s="108"/>
    </row>
    <row r="738" spans="1:52" ht="14.2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  <c r="AG738" s="108"/>
      <c r="AH738" s="108"/>
      <c r="AI738" s="108"/>
      <c r="AJ738" s="108"/>
      <c r="AK738" s="108"/>
      <c r="AL738" s="108"/>
      <c r="AM738" s="108"/>
      <c r="AN738" s="108"/>
      <c r="AO738" s="108"/>
      <c r="AP738" s="108"/>
      <c r="AQ738" s="108"/>
      <c r="AR738" s="108"/>
      <c r="AS738" s="108"/>
      <c r="AT738" s="108"/>
      <c r="AU738" s="108"/>
      <c r="AV738" s="108"/>
      <c r="AW738" s="108"/>
      <c r="AX738" s="108"/>
      <c r="AY738" s="108"/>
      <c r="AZ738" s="108"/>
    </row>
    <row r="739" spans="1:52" ht="14.2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  <c r="AG739" s="108"/>
      <c r="AH739" s="108"/>
      <c r="AI739" s="108"/>
      <c r="AJ739" s="108"/>
      <c r="AK739" s="108"/>
      <c r="AL739" s="108"/>
      <c r="AM739" s="108"/>
      <c r="AN739" s="108"/>
      <c r="AO739" s="108"/>
      <c r="AP739" s="108"/>
      <c r="AQ739" s="108"/>
      <c r="AR739" s="108"/>
      <c r="AS739" s="108"/>
      <c r="AT739" s="108"/>
      <c r="AU739" s="108"/>
      <c r="AV739" s="108"/>
      <c r="AW739" s="108"/>
      <c r="AX739" s="108"/>
      <c r="AY739" s="108"/>
      <c r="AZ739" s="108"/>
    </row>
    <row r="740" spans="1:52" ht="14.2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  <c r="AF740" s="108"/>
      <c r="AG740" s="108"/>
      <c r="AH740" s="108"/>
      <c r="AI740" s="108"/>
      <c r="AJ740" s="108"/>
      <c r="AK740" s="108"/>
      <c r="AL740" s="108"/>
      <c r="AM740" s="108"/>
      <c r="AN740" s="108"/>
      <c r="AO740" s="108"/>
      <c r="AP740" s="108"/>
      <c r="AQ740" s="108"/>
      <c r="AR740" s="108"/>
      <c r="AS740" s="108"/>
      <c r="AT740" s="108"/>
      <c r="AU740" s="108"/>
      <c r="AV740" s="108"/>
      <c r="AW740" s="108"/>
      <c r="AX740" s="108"/>
      <c r="AY740" s="108"/>
      <c r="AZ740" s="108"/>
    </row>
    <row r="741" spans="1:52" ht="14.2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  <c r="AG741" s="108"/>
      <c r="AH741" s="108"/>
      <c r="AI741" s="108"/>
      <c r="AJ741" s="108"/>
      <c r="AK741" s="108"/>
      <c r="AL741" s="108"/>
      <c r="AM741" s="108"/>
      <c r="AN741" s="108"/>
      <c r="AO741" s="108"/>
      <c r="AP741" s="108"/>
      <c r="AQ741" s="108"/>
      <c r="AR741" s="108"/>
      <c r="AS741" s="108"/>
      <c r="AT741" s="108"/>
      <c r="AU741" s="108"/>
      <c r="AV741" s="108"/>
      <c r="AW741" s="108"/>
      <c r="AX741" s="108"/>
      <c r="AY741" s="108"/>
      <c r="AZ741" s="108"/>
    </row>
    <row r="742" spans="1:52" ht="14.2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  <c r="AF742" s="108"/>
      <c r="AG742" s="108"/>
      <c r="AH742" s="108"/>
      <c r="AI742" s="108"/>
      <c r="AJ742" s="108"/>
      <c r="AK742" s="108"/>
      <c r="AL742" s="108"/>
      <c r="AM742" s="108"/>
      <c r="AN742" s="108"/>
      <c r="AO742" s="108"/>
      <c r="AP742" s="108"/>
      <c r="AQ742" s="108"/>
      <c r="AR742" s="108"/>
      <c r="AS742" s="108"/>
      <c r="AT742" s="108"/>
      <c r="AU742" s="108"/>
      <c r="AV742" s="108"/>
      <c r="AW742" s="108"/>
      <c r="AX742" s="108"/>
      <c r="AY742" s="108"/>
      <c r="AZ742" s="108"/>
    </row>
    <row r="743" spans="1:52" ht="14.2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  <c r="AF743" s="108"/>
      <c r="AG743" s="108"/>
      <c r="AH743" s="108"/>
      <c r="AI743" s="108"/>
      <c r="AJ743" s="108"/>
      <c r="AK743" s="108"/>
      <c r="AL743" s="108"/>
      <c r="AM743" s="108"/>
      <c r="AN743" s="108"/>
      <c r="AO743" s="108"/>
      <c r="AP743" s="108"/>
      <c r="AQ743" s="108"/>
      <c r="AR743" s="108"/>
      <c r="AS743" s="108"/>
      <c r="AT743" s="108"/>
      <c r="AU743" s="108"/>
      <c r="AV743" s="108"/>
      <c r="AW743" s="108"/>
      <c r="AX743" s="108"/>
      <c r="AY743" s="108"/>
      <c r="AZ743" s="108"/>
    </row>
    <row r="744" spans="1:52" ht="14.2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  <c r="AI744" s="108"/>
      <c r="AJ744" s="108"/>
      <c r="AK744" s="108"/>
      <c r="AL744" s="108"/>
      <c r="AM744" s="108"/>
      <c r="AN744" s="108"/>
      <c r="AO744" s="108"/>
      <c r="AP744" s="108"/>
      <c r="AQ744" s="108"/>
      <c r="AR744" s="108"/>
      <c r="AS744" s="108"/>
      <c r="AT744" s="108"/>
      <c r="AU744" s="108"/>
      <c r="AV744" s="108"/>
      <c r="AW744" s="108"/>
      <c r="AX744" s="108"/>
      <c r="AY744" s="108"/>
      <c r="AZ744" s="108"/>
    </row>
    <row r="745" spans="1:52" ht="14.2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/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</row>
    <row r="746" spans="1:52" ht="14.2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  <c r="AF746" s="108"/>
      <c r="AG746" s="108"/>
      <c r="AH746" s="108"/>
      <c r="AI746" s="108"/>
      <c r="AJ746" s="108"/>
      <c r="AK746" s="108"/>
      <c r="AL746" s="108"/>
      <c r="AM746" s="108"/>
      <c r="AN746" s="108"/>
      <c r="AO746" s="108"/>
      <c r="AP746" s="108"/>
      <c r="AQ746" s="108"/>
      <c r="AR746" s="108"/>
      <c r="AS746" s="108"/>
      <c r="AT746" s="108"/>
      <c r="AU746" s="108"/>
      <c r="AV746" s="108"/>
      <c r="AW746" s="108"/>
      <c r="AX746" s="108"/>
      <c r="AY746" s="108"/>
      <c r="AZ746" s="108"/>
    </row>
    <row r="747" spans="1:52" ht="14.2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  <c r="AG747" s="108"/>
      <c r="AH747" s="108"/>
      <c r="AI747" s="108"/>
      <c r="AJ747" s="108"/>
      <c r="AK747" s="108"/>
      <c r="AL747" s="108"/>
      <c r="AM747" s="108"/>
      <c r="AN747" s="108"/>
      <c r="AO747" s="108"/>
      <c r="AP747" s="108"/>
      <c r="AQ747" s="108"/>
      <c r="AR747" s="108"/>
      <c r="AS747" s="108"/>
      <c r="AT747" s="108"/>
      <c r="AU747" s="108"/>
      <c r="AV747" s="108"/>
      <c r="AW747" s="108"/>
      <c r="AX747" s="108"/>
      <c r="AY747" s="108"/>
      <c r="AZ747" s="108"/>
    </row>
    <row r="748" spans="1:52" ht="14.2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/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</row>
    <row r="749" spans="1:52" ht="14.2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  <c r="AF749" s="108"/>
      <c r="AG749" s="108"/>
      <c r="AH749" s="108"/>
      <c r="AI749" s="108"/>
      <c r="AJ749" s="108"/>
      <c r="AK749" s="108"/>
      <c r="AL749" s="108"/>
      <c r="AM749" s="108"/>
      <c r="AN749" s="108"/>
      <c r="AO749" s="108"/>
      <c r="AP749" s="108"/>
      <c r="AQ749" s="108"/>
      <c r="AR749" s="108"/>
      <c r="AS749" s="108"/>
      <c r="AT749" s="108"/>
      <c r="AU749" s="108"/>
      <c r="AV749" s="108"/>
      <c r="AW749" s="108"/>
      <c r="AX749" s="108"/>
      <c r="AY749" s="108"/>
      <c r="AZ749" s="108"/>
    </row>
    <row r="750" spans="1:52" ht="14.2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  <c r="AG750" s="108"/>
      <c r="AH750" s="108"/>
      <c r="AI750" s="108"/>
      <c r="AJ750" s="108"/>
      <c r="AK750" s="108"/>
      <c r="AL750" s="108"/>
      <c r="AM750" s="108"/>
      <c r="AN750" s="108"/>
      <c r="AO750" s="108"/>
      <c r="AP750" s="108"/>
      <c r="AQ750" s="108"/>
      <c r="AR750" s="108"/>
      <c r="AS750" s="108"/>
      <c r="AT750" s="108"/>
      <c r="AU750" s="108"/>
      <c r="AV750" s="108"/>
      <c r="AW750" s="108"/>
      <c r="AX750" s="108"/>
      <c r="AY750" s="108"/>
      <c r="AZ750" s="108"/>
    </row>
    <row r="751" spans="1:52" ht="14.2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  <c r="AF751" s="108"/>
      <c r="AG751" s="108"/>
      <c r="AH751" s="108"/>
      <c r="AI751" s="108"/>
      <c r="AJ751" s="108"/>
      <c r="AK751" s="108"/>
      <c r="AL751" s="108"/>
      <c r="AM751" s="108"/>
      <c r="AN751" s="108"/>
      <c r="AO751" s="108"/>
      <c r="AP751" s="108"/>
      <c r="AQ751" s="108"/>
      <c r="AR751" s="108"/>
      <c r="AS751" s="108"/>
      <c r="AT751" s="108"/>
      <c r="AU751" s="108"/>
      <c r="AV751" s="108"/>
      <c r="AW751" s="108"/>
      <c r="AX751" s="108"/>
      <c r="AY751" s="108"/>
      <c r="AZ751" s="108"/>
    </row>
    <row r="752" spans="1:52" ht="14.2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  <c r="AF752" s="108"/>
      <c r="AG752" s="108"/>
      <c r="AH752" s="108"/>
      <c r="AI752" s="108"/>
      <c r="AJ752" s="108"/>
      <c r="AK752" s="108"/>
      <c r="AL752" s="108"/>
      <c r="AM752" s="108"/>
      <c r="AN752" s="108"/>
      <c r="AO752" s="108"/>
      <c r="AP752" s="108"/>
      <c r="AQ752" s="108"/>
      <c r="AR752" s="108"/>
      <c r="AS752" s="108"/>
      <c r="AT752" s="108"/>
      <c r="AU752" s="108"/>
      <c r="AV752" s="108"/>
      <c r="AW752" s="108"/>
      <c r="AX752" s="108"/>
      <c r="AY752" s="108"/>
      <c r="AZ752" s="108"/>
    </row>
    <row r="753" spans="1:52" ht="14.2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  <c r="AG753" s="108"/>
      <c r="AH753" s="108"/>
      <c r="AI753" s="108"/>
      <c r="AJ753" s="108"/>
      <c r="AK753" s="108"/>
      <c r="AL753" s="108"/>
      <c r="AM753" s="108"/>
      <c r="AN753" s="108"/>
      <c r="AO753" s="108"/>
      <c r="AP753" s="108"/>
      <c r="AQ753" s="108"/>
      <c r="AR753" s="108"/>
      <c r="AS753" s="108"/>
      <c r="AT753" s="108"/>
      <c r="AU753" s="108"/>
      <c r="AV753" s="108"/>
      <c r="AW753" s="108"/>
      <c r="AX753" s="108"/>
      <c r="AY753" s="108"/>
      <c r="AZ753" s="108"/>
    </row>
    <row r="754" spans="1:52" ht="14.2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  <c r="AG754" s="108"/>
      <c r="AH754" s="108"/>
      <c r="AI754" s="108"/>
      <c r="AJ754" s="108"/>
      <c r="AK754" s="108"/>
      <c r="AL754" s="108"/>
      <c r="AM754" s="108"/>
      <c r="AN754" s="108"/>
      <c r="AO754" s="108"/>
      <c r="AP754" s="108"/>
      <c r="AQ754" s="108"/>
      <c r="AR754" s="108"/>
      <c r="AS754" s="108"/>
      <c r="AT754" s="108"/>
      <c r="AU754" s="108"/>
      <c r="AV754" s="108"/>
      <c r="AW754" s="108"/>
      <c r="AX754" s="108"/>
      <c r="AY754" s="108"/>
      <c r="AZ754" s="108"/>
    </row>
    <row r="755" spans="1:52" ht="14.2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  <c r="AG755" s="108"/>
      <c r="AH755" s="108"/>
      <c r="AI755" s="108"/>
      <c r="AJ755" s="108"/>
      <c r="AK755" s="108"/>
      <c r="AL755" s="108"/>
      <c r="AM755" s="108"/>
      <c r="AN755" s="108"/>
      <c r="AO755" s="108"/>
      <c r="AP755" s="108"/>
      <c r="AQ755" s="108"/>
      <c r="AR755" s="108"/>
      <c r="AS755" s="108"/>
      <c r="AT755" s="108"/>
      <c r="AU755" s="108"/>
      <c r="AV755" s="108"/>
      <c r="AW755" s="108"/>
      <c r="AX755" s="108"/>
      <c r="AY755" s="108"/>
      <c r="AZ755" s="108"/>
    </row>
    <row r="756" spans="1:52" ht="14.2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  <c r="AG756" s="108"/>
      <c r="AH756" s="108"/>
      <c r="AI756" s="108"/>
      <c r="AJ756" s="108"/>
      <c r="AK756" s="108"/>
      <c r="AL756" s="108"/>
      <c r="AM756" s="108"/>
      <c r="AN756" s="108"/>
      <c r="AO756" s="108"/>
      <c r="AP756" s="108"/>
      <c r="AQ756" s="108"/>
      <c r="AR756" s="108"/>
      <c r="AS756" s="108"/>
      <c r="AT756" s="108"/>
      <c r="AU756" s="108"/>
      <c r="AV756" s="108"/>
      <c r="AW756" s="108"/>
      <c r="AX756" s="108"/>
      <c r="AY756" s="108"/>
      <c r="AZ756" s="108"/>
    </row>
    <row r="757" spans="1:52" ht="14.2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  <c r="AF757" s="108"/>
      <c r="AG757" s="108"/>
      <c r="AH757" s="108"/>
      <c r="AI757" s="108"/>
      <c r="AJ757" s="108"/>
      <c r="AK757" s="108"/>
      <c r="AL757" s="108"/>
      <c r="AM757" s="108"/>
      <c r="AN757" s="108"/>
      <c r="AO757" s="108"/>
      <c r="AP757" s="108"/>
      <c r="AQ757" s="108"/>
      <c r="AR757" s="108"/>
      <c r="AS757" s="108"/>
      <c r="AT757" s="108"/>
      <c r="AU757" s="108"/>
      <c r="AV757" s="108"/>
      <c r="AW757" s="108"/>
      <c r="AX757" s="108"/>
      <c r="AY757" s="108"/>
      <c r="AZ757" s="108"/>
    </row>
    <row r="758" spans="1:52" ht="14.2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s="108"/>
      <c r="AG758" s="108"/>
      <c r="AH758" s="108"/>
      <c r="AI758" s="108"/>
      <c r="AJ758" s="108"/>
      <c r="AK758" s="108"/>
      <c r="AL758" s="108"/>
      <c r="AM758" s="108"/>
      <c r="AN758" s="108"/>
      <c r="AO758" s="108"/>
      <c r="AP758" s="108"/>
      <c r="AQ758" s="108"/>
      <c r="AR758" s="108"/>
      <c r="AS758" s="108"/>
      <c r="AT758" s="108"/>
      <c r="AU758" s="108"/>
      <c r="AV758" s="108"/>
      <c r="AW758" s="108"/>
      <c r="AX758" s="108"/>
      <c r="AY758" s="108"/>
      <c r="AZ758" s="108"/>
    </row>
    <row r="759" spans="1:52" ht="14.2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  <c r="AF759" s="108"/>
      <c r="AG759" s="108"/>
      <c r="AH759" s="108"/>
      <c r="AI759" s="108"/>
      <c r="AJ759" s="108"/>
      <c r="AK759" s="108"/>
      <c r="AL759" s="108"/>
      <c r="AM759" s="108"/>
      <c r="AN759" s="108"/>
      <c r="AO759" s="108"/>
      <c r="AP759" s="108"/>
      <c r="AQ759" s="108"/>
      <c r="AR759" s="108"/>
      <c r="AS759" s="108"/>
      <c r="AT759" s="108"/>
      <c r="AU759" s="108"/>
      <c r="AV759" s="108"/>
      <c r="AW759" s="108"/>
      <c r="AX759" s="108"/>
      <c r="AY759" s="108"/>
      <c r="AZ759" s="108"/>
    </row>
    <row r="760" spans="1:52" ht="14.2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  <c r="AI760" s="108"/>
      <c r="AJ760" s="108"/>
      <c r="AK760" s="108"/>
      <c r="AL760" s="108"/>
      <c r="AM760" s="108"/>
      <c r="AN760" s="108"/>
      <c r="AO760" s="108"/>
      <c r="AP760" s="108"/>
      <c r="AQ760" s="108"/>
      <c r="AR760" s="108"/>
      <c r="AS760" s="108"/>
      <c r="AT760" s="108"/>
      <c r="AU760" s="108"/>
      <c r="AV760" s="108"/>
      <c r="AW760" s="108"/>
      <c r="AX760" s="108"/>
      <c r="AY760" s="108"/>
      <c r="AZ760" s="108"/>
    </row>
    <row r="761" spans="1:52" ht="14.2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  <c r="AF761" s="108"/>
      <c r="AG761" s="108"/>
      <c r="AH761" s="108"/>
      <c r="AI761" s="108"/>
      <c r="AJ761" s="108"/>
      <c r="AK761" s="108"/>
      <c r="AL761" s="108"/>
      <c r="AM761" s="108"/>
      <c r="AN761" s="108"/>
      <c r="AO761" s="108"/>
      <c r="AP761" s="108"/>
      <c r="AQ761" s="108"/>
      <c r="AR761" s="108"/>
      <c r="AS761" s="108"/>
      <c r="AT761" s="108"/>
      <c r="AU761" s="108"/>
      <c r="AV761" s="108"/>
      <c r="AW761" s="108"/>
      <c r="AX761" s="108"/>
      <c r="AY761" s="108"/>
      <c r="AZ761" s="108"/>
    </row>
    <row r="762" spans="1:52" ht="14.2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  <c r="AG762" s="108"/>
      <c r="AH762" s="108"/>
      <c r="AI762" s="108"/>
      <c r="AJ762" s="108"/>
      <c r="AK762" s="108"/>
      <c r="AL762" s="108"/>
      <c r="AM762" s="108"/>
      <c r="AN762" s="108"/>
      <c r="AO762" s="108"/>
      <c r="AP762" s="108"/>
      <c r="AQ762" s="108"/>
      <c r="AR762" s="108"/>
      <c r="AS762" s="108"/>
      <c r="AT762" s="108"/>
      <c r="AU762" s="108"/>
      <c r="AV762" s="108"/>
      <c r="AW762" s="108"/>
      <c r="AX762" s="108"/>
      <c r="AY762" s="108"/>
      <c r="AZ762" s="108"/>
    </row>
    <row r="763" spans="1:52" ht="14.2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  <c r="AI763" s="108"/>
      <c r="AJ763" s="108"/>
      <c r="AK763" s="108"/>
      <c r="AL763" s="108"/>
      <c r="AM763" s="108"/>
      <c r="AN763" s="108"/>
      <c r="AO763" s="108"/>
      <c r="AP763" s="108"/>
      <c r="AQ763" s="108"/>
      <c r="AR763" s="108"/>
      <c r="AS763" s="108"/>
      <c r="AT763" s="108"/>
      <c r="AU763" s="108"/>
      <c r="AV763" s="108"/>
      <c r="AW763" s="108"/>
      <c r="AX763" s="108"/>
      <c r="AY763" s="108"/>
      <c r="AZ763" s="108"/>
    </row>
    <row r="764" spans="1:52" ht="14.2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  <c r="AF764" s="108"/>
      <c r="AG764" s="108"/>
      <c r="AH764" s="108"/>
      <c r="AI764" s="108"/>
      <c r="AJ764" s="108"/>
      <c r="AK764" s="108"/>
      <c r="AL764" s="108"/>
      <c r="AM764" s="108"/>
      <c r="AN764" s="108"/>
      <c r="AO764" s="108"/>
      <c r="AP764" s="108"/>
      <c r="AQ764" s="108"/>
      <c r="AR764" s="108"/>
      <c r="AS764" s="108"/>
      <c r="AT764" s="108"/>
      <c r="AU764" s="108"/>
      <c r="AV764" s="108"/>
      <c r="AW764" s="108"/>
      <c r="AX764" s="108"/>
      <c r="AY764" s="108"/>
      <c r="AZ764" s="108"/>
    </row>
    <row r="765" spans="1:52" ht="14.2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  <c r="AF765" s="108"/>
      <c r="AG765" s="108"/>
      <c r="AH765" s="108"/>
      <c r="AI765" s="108"/>
      <c r="AJ765" s="108"/>
      <c r="AK765" s="108"/>
      <c r="AL765" s="108"/>
      <c r="AM765" s="108"/>
      <c r="AN765" s="108"/>
      <c r="AO765" s="108"/>
      <c r="AP765" s="108"/>
      <c r="AQ765" s="108"/>
      <c r="AR765" s="108"/>
      <c r="AS765" s="108"/>
      <c r="AT765" s="108"/>
      <c r="AU765" s="108"/>
      <c r="AV765" s="108"/>
      <c r="AW765" s="108"/>
      <c r="AX765" s="108"/>
      <c r="AY765" s="108"/>
      <c r="AZ765" s="108"/>
    </row>
    <row r="766" spans="1:52" ht="14.2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  <c r="AG766" s="108"/>
      <c r="AH766" s="108"/>
      <c r="AI766" s="108"/>
      <c r="AJ766" s="108"/>
      <c r="AK766" s="108"/>
      <c r="AL766" s="108"/>
      <c r="AM766" s="108"/>
      <c r="AN766" s="108"/>
      <c r="AO766" s="108"/>
      <c r="AP766" s="108"/>
      <c r="AQ766" s="108"/>
      <c r="AR766" s="108"/>
      <c r="AS766" s="108"/>
      <c r="AT766" s="108"/>
      <c r="AU766" s="108"/>
      <c r="AV766" s="108"/>
      <c r="AW766" s="108"/>
      <c r="AX766" s="108"/>
      <c r="AY766" s="108"/>
      <c r="AZ766" s="108"/>
    </row>
    <row r="767" spans="1:52" ht="14.2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  <c r="AG767" s="108"/>
      <c r="AH767" s="108"/>
      <c r="AI767" s="108"/>
      <c r="AJ767" s="108"/>
      <c r="AK767" s="108"/>
      <c r="AL767" s="108"/>
      <c r="AM767" s="108"/>
      <c r="AN767" s="108"/>
      <c r="AO767" s="108"/>
      <c r="AP767" s="108"/>
      <c r="AQ767" s="108"/>
      <c r="AR767" s="108"/>
      <c r="AS767" s="108"/>
      <c r="AT767" s="108"/>
      <c r="AU767" s="108"/>
      <c r="AV767" s="108"/>
      <c r="AW767" s="108"/>
      <c r="AX767" s="108"/>
      <c r="AY767" s="108"/>
      <c r="AZ767" s="108"/>
    </row>
    <row r="768" spans="1:52" ht="14.2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  <c r="AG768" s="108"/>
      <c r="AH768" s="108"/>
      <c r="AI768" s="108"/>
      <c r="AJ768" s="108"/>
      <c r="AK768" s="108"/>
      <c r="AL768" s="108"/>
      <c r="AM768" s="108"/>
      <c r="AN768" s="108"/>
      <c r="AO768" s="108"/>
      <c r="AP768" s="108"/>
      <c r="AQ768" s="108"/>
      <c r="AR768" s="108"/>
      <c r="AS768" s="108"/>
      <c r="AT768" s="108"/>
      <c r="AU768" s="108"/>
      <c r="AV768" s="108"/>
      <c r="AW768" s="108"/>
      <c r="AX768" s="108"/>
      <c r="AY768" s="108"/>
      <c r="AZ768" s="108"/>
    </row>
    <row r="769" spans="1:52" ht="14.2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  <c r="AF769" s="108"/>
      <c r="AG769" s="108"/>
      <c r="AH769" s="108"/>
      <c r="AI769" s="108"/>
      <c r="AJ769" s="108"/>
      <c r="AK769" s="108"/>
      <c r="AL769" s="108"/>
      <c r="AM769" s="108"/>
      <c r="AN769" s="108"/>
      <c r="AO769" s="108"/>
      <c r="AP769" s="108"/>
      <c r="AQ769" s="108"/>
      <c r="AR769" s="108"/>
      <c r="AS769" s="108"/>
      <c r="AT769" s="108"/>
      <c r="AU769" s="108"/>
      <c r="AV769" s="108"/>
      <c r="AW769" s="108"/>
      <c r="AX769" s="108"/>
      <c r="AY769" s="108"/>
      <c r="AZ769" s="108"/>
    </row>
    <row r="770" spans="1:52" ht="14.2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  <c r="AI770" s="108"/>
      <c r="AJ770" s="108"/>
      <c r="AK770" s="108"/>
      <c r="AL770" s="108"/>
      <c r="AM770" s="108"/>
      <c r="AN770" s="108"/>
      <c r="AO770" s="108"/>
      <c r="AP770" s="108"/>
      <c r="AQ770" s="108"/>
      <c r="AR770" s="108"/>
      <c r="AS770" s="108"/>
      <c r="AT770" s="108"/>
      <c r="AU770" s="108"/>
      <c r="AV770" s="108"/>
      <c r="AW770" s="108"/>
      <c r="AX770" s="108"/>
      <c r="AY770" s="108"/>
      <c r="AZ770" s="108"/>
    </row>
    <row r="771" spans="1:52" ht="14.2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s="108"/>
      <c r="AG771" s="108"/>
      <c r="AH771" s="108"/>
      <c r="AI771" s="108"/>
      <c r="AJ771" s="108"/>
      <c r="AK771" s="108"/>
      <c r="AL771" s="108"/>
      <c r="AM771" s="108"/>
      <c r="AN771" s="108"/>
      <c r="AO771" s="108"/>
      <c r="AP771" s="108"/>
      <c r="AQ771" s="108"/>
      <c r="AR771" s="108"/>
      <c r="AS771" s="108"/>
      <c r="AT771" s="108"/>
      <c r="AU771" s="108"/>
      <c r="AV771" s="108"/>
      <c r="AW771" s="108"/>
      <c r="AX771" s="108"/>
      <c r="AY771" s="108"/>
      <c r="AZ771" s="108"/>
    </row>
    <row r="772" spans="1:52" ht="14.2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  <c r="AI772" s="108"/>
      <c r="AJ772" s="108"/>
      <c r="AK772" s="108"/>
      <c r="AL772" s="108"/>
      <c r="AM772" s="108"/>
      <c r="AN772" s="108"/>
      <c r="AO772" s="108"/>
      <c r="AP772" s="108"/>
      <c r="AQ772" s="108"/>
      <c r="AR772" s="108"/>
      <c r="AS772" s="108"/>
      <c r="AT772" s="108"/>
      <c r="AU772" s="108"/>
      <c r="AV772" s="108"/>
      <c r="AW772" s="108"/>
      <c r="AX772" s="108"/>
      <c r="AY772" s="108"/>
      <c r="AZ772" s="108"/>
    </row>
    <row r="773" spans="1:52" ht="14.2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  <c r="AG773" s="108"/>
      <c r="AH773" s="108"/>
      <c r="AI773" s="108"/>
      <c r="AJ773" s="108"/>
      <c r="AK773" s="108"/>
      <c r="AL773" s="108"/>
      <c r="AM773" s="108"/>
      <c r="AN773" s="108"/>
      <c r="AO773" s="108"/>
      <c r="AP773" s="108"/>
      <c r="AQ773" s="108"/>
      <c r="AR773" s="108"/>
      <c r="AS773" s="108"/>
      <c r="AT773" s="108"/>
      <c r="AU773" s="108"/>
      <c r="AV773" s="108"/>
      <c r="AW773" s="108"/>
      <c r="AX773" s="108"/>
      <c r="AY773" s="108"/>
      <c r="AZ773" s="108"/>
    </row>
    <row r="774" spans="1:52" ht="14.2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  <c r="AF774" s="108"/>
      <c r="AG774" s="108"/>
      <c r="AH774" s="108"/>
      <c r="AI774" s="108"/>
      <c r="AJ774" s="108"/>
      <c r="AK774" s="108"/>
      <c r="AL774" s="108"/>
      <c r="AM774" s="108"/>
      <c r="AN774" s="108"/>
      <c r="AO774" s="108"/>
      <c r="AP774" s="108"/>
      <c r="AQ774" s="108"/>
      <c r="AR774" s="108"/>
      <c r="AS774" s="108"/>
      <c r="AT774" s="108"/>
      <c r="AU774" s="108"/>
      <c r="AV774" s="108"/>
      <c r="AW774" s="108"/>
      <c r="AX774" s="108"/>
      <c r="AY774" s="108"/>
      <c r="AZ774" s="108"/>
    </row>
    <row r="775" spans="1:52" ht="14.2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  <c r="AI775" s="108"/>
      <c r="AJ775" s="108"/>
      <c r="AK775" s="108"/>
      <c r="AL775" s="108"/>
      <c r="AM775" s="108"/>
      <c r="AN775" s="108"/>
      <c r="AO775" s="108"/>
      <c r="AP775" s="108"/>
      <c r="AQ775" s="108"/>
      <c r="AR775" s="108"/>
      <c r="AS775" s="108"/>
      <c r="AT775" s="108"/>
      <c r="AU775" s="108"/>
      <c r="AV775" s="108"/>
      <c r="AW775" s="108"/>
      <c r="AX775" s="108"/>
      <c r="AY775" s="108"/>
      <c r="AZ775" s="108"/>
    </row>
    <row r="776" spans="1:52" ht="14.2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108"/>
      <c r="AG776" s="108"/>
      <c r="AH776" s="108"/>
      <c r="AI776" s="108"/>
      <c r="AJ776" s="108"/>
      <c r="AK776" s="108"/>
      <c r="AL776" s="108"/>
      <c r="AM776" s="108"/>
      <c r="AN776" s="108"/>
      <c r="AO776" s="108"/>
      <c r="AP776" s="108"/>
      <c r="AQ776" s="108"/>
      <c r="AR776" s="108"/>
      <c r="AS776" s="108"/>
      <c r="AT776" s="108"/>
      <c r="AU776" s="108"/>
      <c r="AV776" s="108"/>
      <c r="AW776" s="108"/>
      <c r="AX776" s="108"/>
      <c r="AY776" s="108"/>
      <c r="AZ776" s="108"/>
    </row>
    <row r="777" spans="1:52" ht="14.2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  <c r="AF777" s="108"/>
      <c r="AG777" s="108"/>
      <c r="AH777" s="108"/>
      <c r="AI777" s="108"/>
      <c r="AJ777" s="108"/>
      <c r="AK777" s="108"/>
      <c r="AL777" s="108"/>
      <c r="AM777" s="108"/>
      <c r="AN777" s="108"/>
      <c r="AO777" s="108"/>
      <c r="AP777" s="108"/>
      <c r="AQ777" s="108"/>
      <c r="AR777" s="108"/>
      <c r="AS777" s="108"/>
      <c r="AT777" s="108"/>
      <c r="AU777" s="108"/>
      <c r="AV777" s="108"/>
      <c r="AW777" s="108"/>
      <c r="AX777" s="108"/>
      <c r="AY777" s="108"/>
      <c r="AZ777" s="108"/>
    </row>
    <row r="778" spans="1:52" ht="14.2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  <c r="AF778" s="108"/>
      <c r="AG778" s="108"/>
      <c r="AH778" s="108"/>
      <c r="AI778" s="108"/>
      <c r="AJ778" s="108"/>
      <c r="AK778" s="108"/>
      <c r="AL778" s="108"/>
      <c r="AM778" s="108"/>
      <c r="AN778" s="108"/>
      <c r="AO778" s="108"/>
      <c r="AP778" s="108"/>
      <c r="AQ778" s="108"/>
      <c r="AR778" s="108"/>
      <c r="AS778" s="108"/>
      <c r="AT778" s="108"/>
      <c r="AU778" s="108"/>
      <c r="AV778" s="108"/>
      <c r="AW778" s="108"/>
      <c r="AX778" s="108"/>
      <c r="AY778" s="108"/>
      <c r="AZ778" s="108"/>
    </row>
    <row r="779" spans="1:52" ht="14.2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  <c r="AG779" s="108"/>
      <c r="AH779" s="108"/>
      <c r="AI779" s="108"/>
      <c r="AJ779" s="108"/>
      <c r="AK779" s="108"/>
      <c r="AL779" s="108"/>
      <c r="AM779" s="108"/>
      <c r="AN779" s="108"/>
      <c r="AO779" s="108"/>
      <c r="AP779" s="108"/>
      <c r="AQ779" s="108"/>
      <c r="AR779" s="108"/>
      <c r="AS779" s="108"/>
      <c r="AT779" s="108"/>
      <c r="AU779" s="108"/>
      <c r="AV779" s="108"/>
      <c r="AW779" s="108"/>
      <c r="AX779" s="108"/>
      <c r="AY779" s="108"/>
      <c r="AZ779" s="108"/>
    </row>
    <row r="780" spans="1:52" ht="14.2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  <c r="AF780" s="108"/>
      <c r="AG780" s="108"/>
      <c r="AH780" s="108"/>
      <c r="AI780" s="108"/>
      <c r="AJ780" s="108"/>
      <c r="AK780" s="108"/>
      <c r="AL780" s="108"/>
      <c r="AM780" s="108"/>
      <c r="AN780" s="108"/>
      <c r="AO780" s="108"/>
      <c r="AP780" s="108"/>
      <c r="AQ780" s="108"/>
      <c r="AR780" s="108"/>
      <c r="AS780" s="108"/>
      <c r="AT780" s="108"/>
      <c r="AU780" s="108"/>
      <c r="AV780" s="108"/>
      <c r="AW780" s="108"/>
      <c r="AX780" s="108"/>
      <c r="AY780" s="108"/>
      <c r="AZ780" s="108"/>
    </row>
    <row r="781" spans="1:52" ht="14.2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  <c r="AI781" s="108"/>
      <c r="AJ781" s="108"/>
      <c r="AK781" s="108"/>
      <c r="AL781" s="108"/>
      <c r="AM781" s="108"/>
      <c r="AN781" s="108"/>
      <c r="AO781" s="108"/>
      <c r="AP781" s="108"/>
      <c r="AQ781" s="108"/>
      <c r="AR781" s="108"/>
      <c r="AS781" s="108"/>
      <c r="AT781" s="108"/>
      <c r="AU781" s="108"/>
      <c r="AV781" s="108"/>
      <c r="AW781" s="108"/>
      <c r="AX781" s="108"/>
      <c r="AY781" s="108"/>
      <c r="AZ781" s="108"/>
    </row>
    <row r="782" spans="1:52" ht="14.2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  <c r="AG782" s="108"/>
      <c r="AH782" s="108"/>
      <c r="AI782" s="108"/>
      <c r="AJ782" s="108"/>
      <c r="AK782" s="108"/>
      <c r="AL782" s="108"/>
      <c r="AM782" s="108"/>
      <c r="AN782" s="108"/>
      <c r="AO782" s="108"/>
      <c r="AP782" s="108"/>
      <c r="AQ782" s="108"/>
      <c r="AR782" s="108"/>
      <c r="AS782" s="108"/>
      <c r="AT782" s="108"/>
      <c r="AU782" s="108"/>
      <c r="AV782" s="108"/>
      <c r="AW782" s="108"/>
      <c r="AX782" s="108"/>
      <c r="AY782" s="108"/>
      <c r="AZ782" s="108"/>
    </row>
    <row r="783" spans="1:52" ht="14.2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/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</row>
    <row r="784" spans="1:52" ht="14.2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  <c r="AF784" s="108"/>
      <c r="AG784" s="108"/>
      <c r="AH784" s="108"/>
      <c r="AI784" s="108"/>
      <c r="AJ784" s="108"/>
      <c r="AK784" s="108"/>
      <c r="AL784" s="108"/>
      <c r="AM784" s="108"/>
      <c r="AN784" s="108"/>
      <c r="AO784" s="108"/>
      <c r="AP784" s="108"/>
      <c r="AQ784" s="108"/>
      <c r="AR784" s="108"/>
      <c r="AS784" s="108"/>
      <c r="AT784" s="108"/>
      <c r="AU784" s="108"/>
      <c r="AV784" s="108"/>
      <c r="AW784" s="108"/>
      <c r="AX784" s="108"/>
      <c r="AY784" s="108"/>
      <c r="AZ784" s="108"/>
    </row>
    <row r="785" spans="1:52" ht="14.2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  <c r="AG785" s="108"/>
      <c r="AH785" s="108"/>
      <c r="AI785" s="108"/>
      <c r="AJ785" s="108"/>
      <c r="AK785" s="108"/>
      <c r="AL785" s="108"/>
      <c r="AM785" s="108"/>
      <c r="AN785" s="108"/>
      <c r="AO785" s="108"/>
      <c r="AP785" s="108"/>
      <c r="AQ785" s="108"/>
      <c r="AR785" s="108"/>
      <c r="AS785" s="108"/>
      <c r="AT785" s="108"/>
      <c r="AU785" s="108"/>
      <c r="AV785" s="108"/>
      <c r="AW785" s="108"/>
      <c r="AX785" s="108"/>
      <c r="AY785" s="108"/>
      <c r="AZ785" s="108"/>
    </row>
    <row r="786" spans="1:52" ht="14.2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/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</row>
    <row r="787" spans="1:52" ht="14.2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  <c r="AG787" s="108"/>
      <c r="AH787" s="108"/>
      <c r="AI787" s="108"/>
      <c r="AJ787" s="108"/>
      <c r="AK787" s="108"/>
      <c r="AL787" s="108"/>
      <c r="AM787" s="108"/>
      <c r="AN787" s="108"/>
      <c r="AO787" s="108"/>
      <c r="AP787" s="108"/>
      <c r="AQ787" s="108"/>
      <c r="AR787" s="108"/>
      <c r="AS787" s="108"/>
      <c r="AT787" s="108"/>
      <c r="AU787" s="108"/>
      <c r="AV787" s="108"/>
      <c r="AW787" s="108"/>
      <c r="AX787" s="108"/>
      <c r="AY787" s="108"/>
      <c r="AZ787" s="108"/>
    </row>
    <row r="788" spans="1:52" ht="14.2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  <c r="AF788" s="108"/>
      <c r="AG788" s="108"/>
      <c r="AH788" s="108"/>
      <c r="AI788" s="108"/>
      <c r="AJ788" s="108"/>
      <c r="AK788" s="108"/>
      <c r="AL788" s="108"/>
      <c r="AM788" s="108"/>
      <c r="AN788" s="108"/>
      <c r="AO788" s="108"/>
      <c r="AP788" s="108"/>
      <c r="AQ788" s="108"/>
      <c r="AR788" s="108"/>
      <c r="AS788" s="108"/>
      <c r="AT788" s="108"/>
      <c r="AU788" s="108"/>
      <c r="AV788" s="108"/>
      <c r="AW788" s="108"/>
      <c r="AX788" s="108"/>
      <c r="AY788" s="108"/>
      <c r="AZ788" s="108"/>
    </row>
    <row r="789" spans="1:52" ht="14.2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  <c r="AG789" s="108"/>
      <c r="AH789" s="108"/>
      <c r="AI789" s="108"/>
      <c r="AJ789" s="108"/>
      <c r="AK789" s="108"/>
      <c r="AL789" s="108"/>
      <c r="AM789" s="108"/>
      <c r="AN789" s="108"/>
      <c r="AO789" s="108"/>
      <c r="AP789" s="108"/>
      <c r="AQ789" s="108"/>
      <c r="AR789" s="108"/>
      <c r="AS789" s="108"/>
      <c r="AT789" s="108"/>
      <c r="AU789" s="108"/>
      <c r="AV789" s="108"/>
      <c r="AW789" s="108"/>
      <c r="AX789" s="108"/>
      <c r="AY789" s="108"/>
      <c r="AZ789" s="108"/>
    </row>
    <row r="790" spans="1:52" ht="14.2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  <c r="AG790" s="108"/>
      <c r="AH790" s="108"/>
      <c r="AI790" s="108"/>
      <c r="AJ790" s="108"/>
      <c r="AK790" s="108"/>
      <c r="AL790" s="108"/>
      <c r="AM790" s="108"/>
      <c r="AN790" s="108"/>
      <c r="AO790" s="108"/>
      <c r="AP790" s="108"/>
      <c r="AQ790" s="108"/>
      <c r="AR790" s="108"/>
      <c r="AS790" s="108"/>
      <c r="AT790" s="108"/>
      <c r="AU790" s="108"/>
      <c r="AV790" s="108"/>
      <c r="AW790" s="108"/>
      <c r="AX790" s="108"/>
      <c r="AY790" s="108"/>
      <c r="AZ790" s="108"/>
    </row>
    <row r="791" spans="1:52" ht="14.2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  <c r="AG791" s="108"/>
      <c r="AH791" s="108"/>
      <c r="AI791" s="108"/>
      <c r="AJ791" s="108"/>
      <c r="AK791" s="108"/>
      <c r="AL791" s="108"/>
      <c r="AM791" s="108"/>
      <c r="AN791" s="108"/>
      <c r="AO791" s="108"/>
      <c r="AP791" s="108"/>
      <c r="AQ791" s="108"/>
      <c r="AR791" s="108"/>
      <c r="AS791" s="108"/>
      <c r="AT791" s="108"/>
      <c r="AU791" s="108"/>
      <c r="AV791" s="108"/>
      <c r="AW791" s="108"/>
      <c r="AX791" s="108"/>
      <c r="AY791" s="108"/>
      <c r="AZ791" s="108"/>
    </row>
    <row r="792" spans="1:52" ht="14.2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  <c r="AG792" s="108"/>
      <c r="AH792" s="108"/>
      <c r="AI792" s="108"/>
      <c r="AJ792" s="108"/>
      <c r="AK792" s="108"/>
      <c r="AL792" s="108"/>
      <c r="AM792" s="108"/>
      <c r="AN792" s="108"/>
      <c r="AO792" s="108"/>
      <c r="AP792" s="108"/>
      <c r="AQ792" s="108"/>
      <c r="AR792" s="108"/>
      <c r="AS792" s="108"/>
      <c r="AT792" s="108"/>
      <c r="AU792" s="108"/>
      <c r="AV792" s="108"/>
      <c r="AW792" s="108"/>
      <c r="AX792" s="108"/>
      <c r="AY792" s="108"/>
      <c r="AZ792" s="108"/>
    </row>
    <row r="793" spans="1:52" ht="14.2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  <c r="AG793" s="108"/>
      <c r="AH793" s="108"/>
      <c r="AI793" s="108"/>
      <c r="AJ793" s="108"/>
      <c r="AK793" s="108"/>
      <c r="AL793" s="108"/>
      <c r="AM793" s="108"/>
      <c r="AN793" s="108"/>
      <c r="AO793" s="108"/>
      <c r="AP793" s="108"/>
      <c r="AQ793" s="108"/>
      <c r="AR793" s="108"/>
      <c r="AS793" s="108"/>
      <c r="AT793" s="108"/>
      <c r="AU793" s="108"/>
      <c r="AV793" s="108"/>
      <c r="AW793" s="108"/>
      <c r="AX793" s="108"/>
      <c r="AY793" s="108"/>
      <c r="AZ793" s="108"/>
    </row>
    <row r="794" spans="1:52" ht="14.2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  <c r="AG794" s="108"/>
      <c r="AH794" s="108"/>
      <c r="AI794" s="108"/>
      <c r="AJ794" s="108"/>
      <c r="AK794" s="108"/>
      <c r="AL794" s="108"/>
      <c r="AM794" s="108"/>
      <c r="AN794" s="108"/>
      <c r="AO794" s="108"/>
      <c r="AP794" s="108"/>
      <c r="AQ794" s="108"/>
      <c r="AR794" s="108"/>
      <c r="AS794" s="108"/>
      <c r="AT794" s="108"/>
      <c r="AU794" s="108"/>
      <c r="AV794" s="108"/>
      <c r="AW794" s="108"/>
      <c r="AX794" s="108"/>
      <c r="AY794" s="108"/>
      <c r="AZ794" s="108"/>
    </row>
    <row r="795" spans="1:52" ht="14.2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  <c r="AG795" s="108"/>
      <c r="AH795" s="108"/>
      <c r="AI795" s="108"/>
      <c r="AJ795" s="108"/>
      <c r="AK795" s="108"/>
      <c r="AL795" s="108"/>
      <c r="AM795" s="108"/>
      <c r="AN795" s="108"/>
      <c r="AO795" s="108"/>
      <c r="AP795" s="108"/>
      <c r="AQ795" s="108"/>
      <c r="AR795" s="108"/>
      <c r="AS795" s="108"/>
      <c r="AT795" s="108"/>
      <c r="AU795" s="108"/>
      <c r="AV795" s="108"/>
      <c r="AW795" s="108"/>
      <c r="AX795" s="108"/>
      <c r="AY795" s="108"/>
      <c r="AZ795" s="108"/>
    </row>
    <row r="796" spans="1:52" ht="14.2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  <c r="AG796" s="108"/>
      <c r="AH796" s="108"/>
      <c r="AI796" s="108"/>
      <c r="AJ796" s="108"/>
      <c r="AK796" s="108"/>
      <c r="AL796" s="108"/>
      <c r="AM796" s="108"/>
      <c r="AN796" s="108"/>
      <c r="AO796" s="108"/>
      <c r="AP796" s="108"/>
      <c r="AQ796" s="108"/>
      <c r="AR796" s="108"/>
      <c r="AS796" s="108"/>
      <c r="AT796" s="108"/>
      <c r="AU796" s="108"/>
      <c r="AV796" s="108"/>
      <c r="AW796" s="108"/>
      <c r="AX796" s="108"/>
      <c r="AY796" s="108"/>
      <c r="AZ796" s="108"/>
    </row>
    <row r="797" spans="1:52" ht="14.2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8"/>
      <c r="AI797" s="108"/>
      <c r="AJ797" s="108"/>
      <c r="AK797" s="108"/>
      <c r="AL797" s="108"/>
      <c r="AM797" s="108"/>
      <c r="AN797" s="108"/>
      <c r="AO797" s="108"/>
      <c r="AP797" s="108"/>
      <c r="AQ797" s="108"/>
      <c r="AR797" s="108"/>
      <c r="AS797" s="108"/>
      <c r="AT797" s="108"/>
      <c r="AU797" s="108"/>
      <c r="AV797" s="108"/>
      <c r="AW797" s="108"/>
      <c r="AX797" s="108"/>
      <c r="AY797" s="108"/>
      <c r="AZ797" s="108"/>
    </row>
    <row r="798" spans="1:52" ht="14.2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  <c r="AG798" s="108"/>
      <c r="AH798" s="108"/>
      <c r="AI798" s="108"/>
      <c r="AJ798" s="108"/>
      <c r="AK798" s="108"/>
      <c r="AL798" s="108"/>
      <c r="AM798" s="108"/>
      <c r="AN798" s="108"/>
      <c r="AO798" s="108"/>
      <c r="AP798" s="108"/>
      <c r="AQ798" s="108"/>
      <c r="AR798" s="108"/>
      <c r="AS798" s="108"/>
      <c r="AT798" s="108"/>
      <c r="AU798" s="108"/>
      <c r="AV798" s="108"/>
      <c r="AW798" s="108"/>
      <c r="AX798" s="108"/>
      <c r="AY798" s="108"/>
      <c r="AZ798" s="108"/>
    </row>
    <row r="799" spans="1:52" ht="14.2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  <c r="AI799" s="108"/>
      <c r="AJ799" s="108"/>
      <c r="AK799" s="108"/>
      <c r="AL799" s="108"/>
      <c r="AM799" s="108"/>
      <c r="AN799" s="108"/>
      <c r="AO799" s="108"/>
      <c r="AP799" s="108"/>
      <c r="AQ799" s="108"/>
      <c r="AR799" s="108"/>
      <c r="AS799" s="108"/>
      <c r="AT799" s="108"/>
      <c r="AU799" s="108"/>
      <c r="AV799" s="108"/>
      <c r="AW799" s="108"/>
      <c r="AX799" s="108"/>
      <c r="AY799" s="108"/>
      <c r="AZ799" s="108"/>
    </row>
    <row r="800" spans="1:52" ht="14.2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  <c r="AI800" s="108"/>
      <c r="AJ800" s="108"/>
      <c r="AK800" s="108"/>
      <c r="AL800" s="108"/>
      <c r="AM800" s="108"/>
      <c r="AN800" s="108"/>
      <c r="AO800" s="108"/>
      <c r="AP800" s="108"/>
      <c r="AQ800" s="108"/>
      <c r="AR800" s="108"/>
      <c r="AS800" s="108"/>
      <c r="AT800" s="108"/>
      <c r="AU800" s="108"/>
      <c r="AV800" s="108"/>
      <c r="AW800" s="108"/>
      <c r="AX800" s="108"/>
      <c r="AY800" s="108"/>
      <c r="AZ800" s="108"/>
    </row>
    <row r="801" spans="1:52" ht="14.2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  <c r="AF801" s="108"/>
      <c r="AG801" s="108"/>
      <c r="AH801" s="108"/>
      <c r="AI801" s="108"/>
      <c r="AJ801" s="108"/>
      <c r="AK801" s="108"/>
      <c r="AL801" s="108"/>
      <c r="AM801" s="108"/>
      <c r="AN801" s="108"/>
      <c r="AO801" s="108"/>
      <c r="AP801" s="108"/>
      <c r="AQ801" s="108"/>
      <c r="AR801" s="108"/>
      <c r="AS801" s="108"/>
      <c r="AT801" s="108"/>
      <c r="AU801" s="108"/>
      <c r="AV801" s="108"/>
      <c r="AW801" s="108"/>
      <c r="AX801" s="108"/>
      <c r="AY801" s="108"/>
      <c r="AZ801" s="108"/>
    </row>
    <row r="802" spans="1:52" ht="14.2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  <c r="AG802" s="108"/>
      <c r="AH802" s="108"/>
      <c r="AI802" s="108"/>
      <c r="AJ802" s="108"/>
      <c r="AK802" s="108"/>
      <c r="AL802" s="108"/>
      <c r="AM802" s="108"/>
      <c r="AN802" s="108"/>
      <c r="AO802" s="108"/>
      <c r="AP802" s="108"/>
      <c r="AQ802" s="108"/>
      <c r="AR802" s="108"/>
      <c r="AS802" s="108"/>
      <c r="AT802" s="108"/>
      <c r="AU802" s="108"/>
      <c r="AV802" s="108"/>
      <c r="AW802" s="108"/>
      <c r="AX802" s="108"/>
      <c r="AY802" s="108"/>
      <c r="AZ802" s="108"/>
    </row>
    <row r="803" spans="1:52" ht="14.2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  <c r="AF803" s="108"/>
      <c r="AG803" s="108"/>
      <c r="AH803" s="108"/>
      <c r="AI803" s="108"/>
      <c r="AJ803" s="108"/>
      <c r="AK803" s="108"/>
      <c r="AL803" s="108"/>
      <c r="AM803" s="108"/>
      <c r="AN803" s="108"/>
      <c r="AO803" s="108"/>
      <c r="AP803" s="108"/>
      <c r="AQ803" s="108"/>
      <c r="AR803" s="108"/>
      <c r="AS803" s="108"/>
      <c r="AT803" s="108"/>
      <c r="AU803" s="108"/>
      <c r="AV803" s="108"/>
      <c r="AW803" s="108"/>
      <c r="AX803" s="108"/>
      <c r="AY803" s="108"/>
      <c r="AZ803" s="108"/>
    </row>
    <row r="804" spans="1:52" ht="14.2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  <c r="AF804" s="108"/>
      <c r="AG804" s="108"/>
      <c r="AH804" s="108"/>
      <c r="AI804" s="108"/>
      <c r="AJ804" s="108"/>
      <c r="AK804" s="108"/>
      <c r="AL804" s="108"/>
      <c r="AM804" s="108"/>
      <c r="AN804" s="108"/>
      <c r="AO804" s="108"/>
      <c r="AP804" s="108"/>
      <c r="AQ804" s="108"/>
      <c r="AR804" s="108"/>
      <c r="AS804" s="108"/>
      <c r="AT804" s="108"/>
      <c r="AU804" s="108"/>
      <c r="AV804" s="108"/>
      <c r="AW804" s="108"/>
      <c r="AX804" s="108"/>
      <c r="AY804" s="108"/>
      <c r="AZ804" s="108"/>
    </row>
    <row r="805" spans="1:52" ht="14.2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  <c r="AF805" s="108"/>
      <c r="AG805" s="108"/>
      <c r="AH805" s="108"/>
      <c r="AI805" s="108"/>
      <c r="AJ805" s="108"/>
      <c r="AK805" s="108"/>
      <c r="AL805" s="108"/>
      <c r="AM805" s="108"/>
      <c r="AN805" s="108"/>
      <c r="AO805" s="108"/>
      <c r="AP805" s="108"/>
      <c r="AQ805" s="108"/>
      <c r="AR805" s="108"/>
      <c r="AS805" s="108"/>
      <c r="AT805" s="108"/>
      <c r="AU805" s="108"/>
      <c r="AV805" s="108"/>
      <c r="AW805" s="108"/>
      <c r="AX805" s="108"/>
      <c r="AY805" s="108"/>
      <c r="AZ805" s="108"/>
    </row>
    <row r="806" spans="1:52" ht="14.2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  <c r="AF806" s="108"/>
      <c r="AG806" s="108"/>
      <c r="AH806" s="108"/>
      <c r="AI806" s="108"/>
      <c r="AJ806" s="108"/>
      <c r="AK806" s="108"/>
      <c r="AL806" s="108"/>
      <c r="AM806" s="108"/>
      <c r="AN806" s="108"/>
      <c r="AO806" s="108"/>
      <c r="AP806" s="108"/>
      <c r="AQ806" s="108"/>
      <c r="AR806" s="108"/>
      <c r="AS806" s="108"/>
      <c r="AT806" s="108"/>
      <c r="AU806" s="108"/>
      <c r="AV806" s="108"/>
      <c r="AW806" s="108"/>
      <c r="AX806" s="108"/>
      <c r="AY806" s="108"/>
      <c r="AZ806" s="108"/>
    </row>
    <row r="807" spans="1:52" ht="14.2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  <c r="AF807" s="108"/>
      <c r="AG807" s="108"/>
      <c r="AH807" s="108"/>
      <c r="AI807" s="108"/>
      <c r="AJ807" s="108"/>
      <c r="AK807" s="108"/>
      <c r="AL807" s="108"/>
      <c r="AM807" s="108"/>
      <c r="AN807" s="108"/>
      <c r="AO807" s="108"/>
      <c r="AP807" s="108"/>
      <c r="AQ807" s="108"/>
      <c r="AR807" s="108"/>
      <c r="AS807" s="108"/>
      <c r="AT807" s="108"/>
      <c r="AU807" s="108"/>
      <c r="AV807" s="108"/>
      <c r="AW807" s="108"/>
      <c r="AX807" s="108"/>
      <c r="AY807" s="108"/>
      <c r="AZ807" s="108"/>
    </row>
    <row r="808" spans="1:52" ht="14.2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  <c r="AF808" s="108"/>
      <c r="AG808" s="108"/>
      <c r="AH808" s="108"/>
      <c r="AI808" s="108"/>
      <c r="AJ808" s="108"/>
      <c r="AK808" s="108"/>
      <c r="AL808" s="108"/>
      <c r="AM808" s="108"/>
      <c r="AN808" s="108"/>
      <c r="AO808" s="108"/>
      <c r="AP808" s="108"/>
      <c r="AQ808" s="108"/>
      <c r="AR808" s="108"/>
      <c r="AS808" s="108"/>
      <c r="AT808" s="108"/>
      <c r="AU808" s="108"/>
      <c r="AV808" s="108"/>
      <c r="AW808" s="108"/>
      <c r="AX808" s="108"/>
      <c r="AY808" s="108"/>
      <c r="AZ808" s="108"/>
    </row>
    <row r="809" spans="1:52" ht="14.2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  <c r="AF809" s="108"/>
      <c r="AG809" s="108"/>
      <c r="AH809" s="108"/>
      <c r="AI809" s="108"/>
      <c r="AJ809" s="108"/>
      <c r="AK809" s="108"/>
      <c r="AL809" s="108"/>
      <c r="AM809" s="108"/>
      <c r="AN809" s="108"/>
      <c r="AO809" s="108"/>
      <c r="AP809" s="108"/>
      <c r="AQ809" s="108"/>
      <c r="AR809" s="108"/>
      <c r="AS809" s="108"/>
      <c r="AT809" s="108"/>
      <c r="AU809" s="108"/>
      <c r="AV809" s="108"/>
      <c r="AW809" s="108"/>
      <c r="AX809" s="108"/>
      <c r="AY809" s="108"/>
      <c r="AZ809" s="108"/>
    </row>
    <row r="810" spans="1:52" ht="14.2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  <c r="AF810" s="108"/>
      <c r="AG810" s="108"/>
      <c r="AH810" s="108"/>
      <c r="AI810" s="108"/>
      <c r="AJ810" s="108"/>
      <c r="AK810" s="108"/>
      <c r="AL810" s="108"/>
      <c r="AM810" s="108"/>
      <c r="AN810" s="108"/>
      <c r="AO810" s="108"/>
      <c r="AP810" s="108"/>
      <c r="AQ810" s="108"/>
      <c r="AR810" s="108"/>
      <c r="AS810" s="108"/>
      <c r="AT810" s="108"/>
      <c r="AU810" s="108"/>
      <c r="AV810" s="108"/>
      <c r="AW810" s="108"/>
      <c r="AX810" s="108"/>
      <c r="AY810" s="108"/>
      <c r="AZ810" s="108"/>
    </row>
    <row r="811" spans="1:52" ht="14.2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  <c r="AF811" s="108"/>
      <c r="AG811" s="108"/>
      <c r="AH811" s="108"/>
      <c r="AI811" s="108"/>
      <c r="AJ811" s="108"/>
      <c r="AK811" s="108"/>
      <c r="AL811" s="108"/>
      <c r="AM811" s="108"/>
      <c r="AN811" s="108"/>
      <c r="AO811" s="108"/>
      <c r="AP811" s="108"/>
      <c r="AQ811" s="108"/>
      <c r="AR811" s="108"/>
      <c r="AS811" s="108"/>
      <c r="AT811" s="108"/>
      <c r="AU811" s="108"/>
      <c r="AV811" s="108"/>
      <c r="AW811" s="108"/>
      <c r="AX811" s="108"/>
      <c r="AY811" s="108"/>
      <c r="AZ811" s="108"/>
    </row>
    <row r="812" spans="1:52" ht="14.2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  <c r="AF812" s="108"/>
      <c r="AG812" s="108"/>
      <c r="AH812" s="108"/>
      <c r="AI812" s="108"/>
      <c r="AJ812" s="108"/>
      <c r="AK812" s="108"/>
      <c r="AL812" s="108"/>
      <c r="AM812" s="108"/>
      <c r="AN812" s="108"/>
      <c r="AO812" s="108"/>
      <c r="AP812" s="108"/>
      <c r="AQ812" s="108"/>
      <c r="AR812" s="108"/>
      <c r="AS812" s="108"/>
      <c r="AT812" s="108"/>
      <c r="AU812" s="108"/>
      <c r="AV812" s="108"/>
      <c r="AW812" s="108"/>
      <c r="AX812" s="108"/>
      <c r="AY812" s="108"/>
      <c r="AZ812" s="108"/>
    </row>
    <row r="813" spans="1:52" ht="14.2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  <c r="AF813" s="108"/>
      <c r="AG813" s="108"/>
      <c r="AH813" s="108"/>
      <c r="AI813" s="108"/>
      <c r="AJ813" s="108"/>
      <c r="AK813" s="108"/>
      <c r="AL813" s="108"/>
      <c r="AM813" s="108"/>
      <c r="AN813" s="108"/>
      <c r="AO813" s="108"/>
      <c r="AP813" s="108"/>
      <c r="AQ813" s="108"/>
      <c r="AR813" s="108"/>
      <c r="AS813" s="108"/>
      <c r="AT813" s="108"/>
      <c r="AU813" s="108"/>
      <c r="AV813" s="108"/>
      <c r="AW813" s="108"/>
      <c r="AX813" s="108"/>
      <c r="AY813" s="108"/>
      <c r="AZ813" s="108"/>
    </row>
    <row r="814" spans="1:52" ht="14.2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  <c r="AF814" s="108"/>
      <c r="AG814" s="108"/>
      <c r="AH814" s="108"/>
      <c r="AI814" s="108"/>
      <c r="AJ814" s="108"/>
      <c r="AK814" s="108"/>
      <c r="AL814" s="108"/>
      <c r="AM814" s="108"/>
      <c r="AN814" s="108"/>
      <c r="AO814" s="108"/>
      <c r="AP814" s="108"/>
      <c r="AQ814" s="108"/>
      <c r="AR814" s="108"/>
      <c r="AS814" s="108"/>
      <c r="AT814" s="108"/>
      <c r="AU814" s="108"/>
      <c r="AV814" s="108"/>
      <c r="AW814" s="108"/>
      <c r="AX814" s="108"/>
      <c r="AY814" s="108"/>
      <c r="AZ814" s="108"/>
    </row>
    <row r="815" spans="1:52" ht="14.2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  <c r="AF815" s="108"/>
      <c r="AG815" s="108"/>
      <c r="AH815" s="108"/>
      <c r="AI815" s="108"/>
      <c r="AJ815" s="108"/>
      <c r="AK815" s="108"/>
      <c r="AL815" s="108"/>
      <c r="AM815" s="108"/>
      <c r="AN815" s="108"/>
      <c r="AO815" s="108"/>
      <c r="AP815" s="108"/>
      <c r="AQ815" s="108"/>
      <c r="AR815" s="108"/>
      <c r="AS815" s="108"/>
      <c r="AT815" s="108"/>
      <c r="AU815" s="108"/>
      <c r="AV815" s="108"/>
      <c r="AW815" s="108"/>
      <c r="AX815" s="108"/>
      <c r="AY815" s="108"/>
      <c r="AZ815" s="108"/>
    </row>
    <row r="816" spans="1:52" ht="14.2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  <c r="AF816" s="108"/>
      <c r="AG816" s="108"/>
      <c r="AH816" s="108"/>
      <c r="AI816" s="108"/>
      <c r="AJ816" s="108"/>
      <c r="AK816" s="108"/>
      <c r="AL816" s="108"/>
      <c r="AM816" s="108"/>
      <c r="AN816" s="108"/>
      <c r="AO816" s="108"/>
      <c r="AP816" s="108"/>
      <c r="AQ816" s="108"/>
      <c r="AR816" s="108"/>
      <c r="AS816" s="108"/>
      <c r="AT816" s="108"/>
      <c r="AU816" s="108"/>
      <c r="AV816" s="108"/>
      <c r="AW816" s="108"/>
      <c r="AX816" s="108"/>
      <c r="AY816" s="108"/>
      <c r="AZ816" s="108"/>
    </row>
    <row r="817" spans="1:52" ht="14.2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  <c r="AF817" s="108"/>
      <c r="AG817" s="108"/>
      <c r="AH817" s="108"/>
      <c r="AI817" s="108"/>
      <c r="AJ817" s="108"/>
      <c r="AK817" s="108"/>
      <c r="AL817" s="108"/>
      <c r="AM817" s="108"/>
      <c r="AN817" s="108"/>
      <c r="AO817" s="108"/>
      <c r="AP817" s="108"/>
      <c r="AQ817" s="108"/>
      <c r="AR817" s="108"/>
      <c r="AS817" s="108"/>
      <c r="AT817" s="108"/>
      <c r="AU817" s="108"/>
      <c r="AV817" s="108"/>
      <c r="AW817" s="108"/>
      <c r="AX817" s="108"/>
      <c r="AY817" s="108"/>
      <c r="AZ817" s="108"/>
    </row>
    <row r="818" spans="1:52" ht="14.2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  <c r="AF818" s="108"/>
      <c r="AG818" s="108"/>
      <c r="AH818" s="108"/>
      <c r="AI818" s="108"/>
      <c r="AJ818" s="108"/>
      <c r="AK818" s="108"/>
      <c r="AL818" s="108"/>
      <c r="AM818" s="108"/>
      <c r="AN818" s="108"/>
      <c r="AO818" s="108"/>
      <c r="AP818" s="108"/>
      <c r="AQ818" s="108"/>
      <c r="AR818" s="108"/>
      <c r="AS818" s="108"/>
      <c r="AT818" s="108"/>
      <c r="AU818" s="108"/>
      <c r="AV818" s="108"/>
      <c r="AW818" s="108"/>
      <c r="AX818" s="108"/>
      <c r="AY818" s="108"/>
      <c r="AZ818" s="108"/>
    </row>
    <row r="819" spans="1:52" ht="14.2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  <c r="AF819" s="108"/>
      <c r="AG819" s="108"/>
      <c r="AH819" s="108"/>
      <c r="AI819" s="108"/>
      <c r="AJ819" s="108"/>
      <c r="AK819" s="108"/>
      <c r="AL819" s="108"/>
      <c r="AM819" s="108"/>
      <c r="AN819" s="108"/>
      <c r="AO819" s="108"/>
      <c r="AP819" s="108"/>
      <c r="AQ819" s="108"/>
      <c r="AR819" s="108"/>
      <c r="AS819" s="108"/>
      <c r="AT819" s="108"/>
      <c r="AU819" s="108"/>
      <c r="AV819" s="108"/>
      <c r="AW819" s="108"/>
      <c r="AX819" s="108"/>
      <c r="AY819" s="108"/>
      <c r="AZ819" s="108"/>
    </row>
    <row r="820" spans="1:52" ht="14.2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  <c r="AF820" s="108"/>
      <c r="AG820" s="108"/>
      <c r="AH820" s="108"/>
      <c r="AI820" s="108"/>
      <c r="AJ820" s="108"/>
      <c r="AK820" s="108"/>
      <c r="AL820" s="108"/>
      <c r="AM820" s="108"/>
      <c r="AN820" s="108"/>
      <c r="AO820" s="108"/>
      <c r="AP820" s="108"/>
      <c r="AQ820" s="108"/>
      <c r="AR820" s="108"/>
      <c r="AS820" s="108"/>
      <c r="AT820" s="108"/>
      <c r="AU820" s="108"/>
      <c r="AV820" s="108"/>
      <c r="AW820" s="108"/>
      <c r="AX820" s="108"/>
      <c r="AY820" s="108"/>
      <c r="AZ820" s="108"/>
    </row>
    <row r="821" spans="1:52" ht="14.2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/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</row>
    <row r="822" spans="1:52" ht="14.2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  <c r="AF822" s="108"/>
      <c r="AG822" s="108"/>
      <c r="AH822" s="108"/>
      <c r="AI822" s="108"/>
      <c r="AJ822" s="108"/>
      <c r="AK822" s="108"/>
      <c r="AL822" s="108"/>
      <c r="AM822" s="108"/>
      <c r="AN822" s="108"/>
      <c r="AO822" s="108"/>
      <c r="AP822" s="108"/>
      <c r="AQ822" s="108"/>
      <c r="AR822" s="108"/>
      <c r="AS822" s="108"/>
      <c r="AT822" s="108"/>
      <c r="AU822" s="108"/>
      <c r="AV822" s="108"/>
      <c r="AW822" s="108"/>
      <c r="AX822" s="108"/>
      <c r="AY822" s="108"/>
      <c r="AZ822" s="108"/>
    </row>
    <row r="823" spans="1:52" ht="14.2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  <c r="AF823" s="108"/>
      <c r="AG823" s="108"/>
      <c r="AH823" s="108"/>
      <c r="AI823" s="108"/>
      <c r="AJ823" s="108"/>
      <c r="AK823" s="108"/>
      <c r="AL823" s="108"/>
      <c r="AM823" s="108"/>
      <c r="AN823" s="108"/>
      <c r="AO823" s="108"/>
      <c r="AP823" s="108"/>
      <c r="AQ823" s="108"/>
      <c r="AR823" s="108"/>
      <c r="AS823" s="108"/>
      <c r="AT823" s="108"/>
      <c r="AU823" s="108"/>
      <c r="AV823" s="108"/>
      <c r="AW823" s="108"/>
      <c r="AX823" s="108"/>
      <c r="AY823" s="108"/>
      <c r="AZ823" s="108"/>
    </row>
    <row r="824" spans="1:52" ht="14.2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/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</row>
    <row r="825" spans="1:52" ht="14.2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  <c r="AF825" s="108"/>
      <c r="AG825" s="108"/>
      <c r="AH825" s="108"/>
      <c r="AI825" s="108"/>
      <c r="AJ825" s="108"/>
      <c r="AK825" s="108"/>
      <c r="AL825" s="108"/>
      <c r="AM825" s="108"/>
      <c r="AN825" s="108"/>
      <c r="AO825" s="108"/>
      <c r="AP825" s="108"/>
      <c r="AQ825" s="108"/>
      <c r="AR825" s="108"/>
      <c r="AS825" s="108"/>
      <c r="AT825" s="108"/>
      <c r="AU825" s="108"/>
      <c r="AV825" s="108"/>
      <c r="AW825" s="108"/>
      <c r="AX825" s="108"/>
      <c r="AY825" s="108"/>
      <c r="AZ825" s="108"/>
    </row>
    <row r="826" spans="1:52" ht="14.2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  <c r="AF826" s="108"/>
      <c r="AG826" s="108"/>
      <c r="AH826" s="108"/>
      <c r="AI826" s="108"/>
      <c r="AJ826" s="108"/>
      <c r="AK826" s="108"/>
      <c r="AL826" s="108"/>
      <c r="AM826" s="108"/>
      <c r="AN826" s="108"/>
      <c r="AO826" s="108"/>
      <c r="AP826" s="108"/>
      <c r="AQ826" s="108"/>
      <c r="AR826" s="108"/>
      <c r="AS826" s="108"/>
      <c r="AT826" s="108"/>
      <c r="AU826" s="108"/>
      <c r="AV826" s="108"/>
      <c r="AW826" s="108"/>
      <c r="AX826" s="108"/>
      <c r="AY826" s="108"/>
      <c r="AZ826" s="108"/>
    </row>
    <row r="827" spans="1:52" ht="14.2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  <c r="AF827" s="108"/>
      <c r="AG827" s="108"/>
      <c r="AH827" s="108"/>
      <c r="AI827" s="108"/>
      <c r="AJ827" s="108"/>
      <c r="AK827" s="108"/>
      <c r="AL827" s="108"/>
      <c r="AM827" s="108"/>
      <c r="AN827" s="108"/>
      <c r="AO827" s="108"/>
      <c r="AP827" s="108"/>
      <c r="AQ827" s="108"/>
      <c r="AR827" s="108"/>
      <c r="AS827" s="108"/>
      <c r="AT827" s="108"/>
      <c r="AU827" s="108"/>
      <c r="AV827" s="108"/>
      <c r="AW827" s="108"/>
      <c r="AX827" s="108"/>
      <c r="AY827" s="108"/>
      <c r="AZ827" s="108"/>
    </row>
    <row r="828" spans="1:52" ht="14.2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  <c r="AF828" s="108"/>
      <c r="AG828" s="108"/>
      <c r="AH828" s="108"/>
      <c r="AI828" s="108"/>
      <c r="AJ828" s="108"/>
      <c r="AK828" s="108"/>
      <c r="AL828" s="108"/>
      <c r="AM828" s="108"/>
      <c r="AN828" s="108"/>
      <c r="AO828" s="108"/>
      <c r="AP828" s="108"/>
      <c r="AQ828" s="108"/>
      <c r="AR828" s="108"/>
      <c r="AS828" s="108"/>
      <c r="AT828" s="108"/>
      <c r="AU828" s="108"/>
      <c r="AV828" s="108"/>
      <c r="AW828" s="108"/>
      <c r="AX828" s="108"/>
      <c r="AY828" s="108"/>
      <c r="AZ828" s="108"/>
    </row>
    <row r="829" spans="1:52" ht="14.2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  <c r="AF829" s="108"/>
      <c r="AG829" s="108"/>
      <c r="AH829" s="108"/>
      <c r="AI829" s="108"/>
      <c r="AJ829" s="108"/>
      <c r="AK829" s="108"/>
      <c r="AL829" s="108"/>
      <c r="AM829" s="108"/>
      <c r="AN829" s="108"/>
      <c r="AO829" s="108"/>
      <c r="AP829" s="108"/>
      <c r="AQ829" s="108"/>
      <c r="AR829" s="108"/>
      <c r="AS829" s="108"/>
      <c r="AT829" s="108"/>
      <c r="AU829" s="108"/>
      <c r="AV829" s="108"/>
      <c r="AW829" s="108"/>
      <c r="AX829" s="108"/>
      <c r="AY829" s="108"/>
      <c r="AZ829" s="108"/>
    </row>
    <row r="830" spans="1:52" ht="14.2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  <c r="AF830" s="108"/>
      <c r="AG830" s="108"/>
      <c r="AH830" s="108"/>
      <c r="AI830" s="108"/>
      <c r="AJ830" s="108"/>
      <c r="AK830" s="108"/>
      <c r="AL830" s="108"/>
      <c r="AM830" s="108"/>
      <c r="AN830" s="108"/>
      <c r="AO830" s="108"/>
      <c r="AP830" s="108"/>
      <c r="AQ830" s="108"/>
      <c r="AR830" s="108"/>
      <c r="AS830" s="108"/>
      <c r="AT830" s="108"/>
      <c r="AU830" s="108"/>
      <c r="AV830" s="108"/>
      <c r="AW830" s="108"/>
      <c r="AX830" s="108"/>
      <c r="AY830" s="108"/>
      <c r="AZ830" s="108"/>
    </row>
    <row r="831" spans="1:52" ht="14.2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  <c r="AF831" s="108"/>
      <c r="AG831" s="108"/>
      <c r="AH831" s="108"/>
      <c r="AI831" s="108"/>
      <c r="AJ831" s="108"/>
      <c r="AK831" s="108"/>
      <c r="AL831" s="108"/>
      <c r="AM831" s="108"/>
      <c r="AN831" s="108"/>
      <c r="AO831" s="108"/>
      <c r="AP831" s="108"/>
      <c r="AQ831" s="108"/>
      <c r="AR831" s="108"/>
      <c r="AS831" s="108"/>
      <c r="AT831" s="108"/>
      <c r="AU831" s="108"/>
      <c r="AV831" s="108"/>
      <c r="AW831" s="108"/>
      <c r="AX831" s="108"/>
      <c r="AY831" s="108"/>
      <c r="AZ831" s="108"/>
    </row>
    <row r="832" spans="1:52" ht="14.2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  <c r="AF832" s="108"/>
      <c r="AG832" s="108"/>
      <c r="AH832" s="108"/>
      <c r="AI832" s="108"/>
      <c r="AJ832" s="108"/>
      <c r="AK832" s="108"/>
      <c r="AL832" s="108"/>
      <c r="AM832" s="108"/>
      <c r="AN832" s="108"/>
      <c r="AO832" s="108"/>
      <c r="AP832" s="108"/>
      <c r="AQ832" s="108"/>
      <c r="AR832" s="108"/>
      <c r="AS832" s="108"/>
      <c r="AT832" s="108"/>
      <c r="AU832" s="108"/>
      <c r="AV832" s="108"/>
      <c r="AW832" s="108"/>
      <c r="AX832" s="108"/>
      <c r="AY832" s="108"/>
      <c r="AZ832" s="108"/>
    </row>
    <row r="833" spans="1:52" ht="14.2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  <c r="AF833" s="108"/>
      <c r="AG833" s="108"/>
      <c r="AH833" s="108"/>
      <c r="AI833" s="108"/>
      <c r="AJ833" s="108"/>
      <c r="AK833" s="108"/>
      <c r="AL833" s="108"/>
      <c r="AM833" s="108"/>
      <c r="AN833" s="108"/>
      <c r="AO833" s="108"/>
      <c r="AP833" s="108"/>
      <c r="AQ833" s="108"/>
      <c r="AR833" s="108"/>
      <c r="AS833" s="108"/>
      <c r="AT833" s="108"/>
      <c r="AU833" s="108"/>
      <c r="AV833" s="108"/>
      <c r="AW833" s="108"/>
      <c r="AX833" s="108"/>
      <c r="AY833" s="108"/>
      <c r="AZ833" s="108"/>
    </row>
    <row r="834" spans="1:52" ht="14.2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  <c r="AF834" s="108"/>
      <c r="AG834" s="108"/>
      <c r="AH834" s="108"/>
      <c r="AI834" s="108"/>
      <c r="AJ834" s="108"/>
      <c r="AK834" s="108"/>
      <c r="AL834" s="108"/>
      <c r="AM834" s="108"/>
      <c r="AN834" s="108"/>
      <c r="AO834" s="108"/>
      <c r="AP834" s="108"/>
      <c r="AQ834" s="108"/>
      <c r="AR834" s="108"/>
      <c r="AS834" s="108"/>
      <c r="AT834" s="108"/>
      <c r="AU834" s="108"/>
      <c r="AV834" s="108"/>
      <c r="AW834" s="108"/>
      <c r="AX834" s="108"/>
      <c r="AY834" s="108"/>
      <c r="AZ834" s="108"/>
    </row>
    <row r="835" spans="1:52" ht="14.2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  <c r="AF835" s="108"/>
      <c r="AG835" s="108"/>
      <c r="AH835" s="108"/>
      <c r="AI835" s="108"/>
      <c r="AJ835" s="108"/>
      <c r="AK835" s="108"/>
      <c r="AL835" s="108"/>
      <c r="AM835" s="108"/>
      <c r="AN835" s="108"/>
      <c r="AO835" s="108"/>
      <c r="AP835" s="108"/>
      <c r="AQ835" s="108"/>
      <c r="AR835" s="108"/>
      <c r="AS835" s="108"/>
      <c r="AT835" s="108"/>
      <c r="AU835" s="108"/>
      <c r="AV835" s="108"/>
      <c r="AW835" s="108"/>
      <c r="AX835" s="108"/>
      <c r="AY835" s="108"/>
      <c r="AZ835" s="108"/>
    </row>
    <row r="836" spans="1:52" ht="14.2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  <c r="AF836" s="108"/>
      <c r="AG836" s="108"/>
      <c r="AH836" s="108"/>
      <c r="AI836" s="108"/>
      <c r="AJ836" s="108"/>
      <c r="AK836" s="108"/>
      <c r="AL836" s="108"/>
      <c r="AM836" s="108"/>
      <c r="AN836" s="108"/>
      <c r="AO836" s="108"/>
      <c r="AP836" s="108"/>
      <c r="AQ836" s="108"/>
      <c r="AR836" s="108"/>
      <c r="AS836" s="108"/>
      <c r="AT836" s="108"/>
      <c r="AU836" s="108"/>
      <c r="AV836" s="108"/>
      <c r="AW836" s="108"/>
      <c r="AX836" s="108"/>
      <c r="AY836" s="108"/>
      <c r="AZ836" s="108"/>
    </row>
    <row r="837" spans="1:52" ht="14.2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  <c r="AF837" s="108"/>
      <c r="AG837" s="108"/>
      <c r="AH837" s="108"/>
      <c r="AI837" s="108"/>
      <c r="AJ837" s="108"/>
      <c r="AK837" s="108"/>
      <c r="AL837" s="108"/>
      <c r="AM837" s="108"/>
      <c r="AN837" s="108"/>
      <c r="AO837" s="108"/>
      <c r="AP837" s="108"/>
      <c r="AQ837" s="108"/>
      <c r="AR837" s="108"/>
      <c r="AS837" s="108"/>
      <c r="AT837" s="108"/>
      <c r="AU837" s="108"/>
      <c r="AV837" s="108"/>
      <c r="AW837" s="108"/>
      <c r="AX837" s="108"/>
      <c r="AY837" s="108"/>
      <c r="AZ837" s="108"/>
    </row>
    <row r="838" spans="1:52" ht="14.2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  <c r="AF838" s="108"/>
      <c r="AG838" s="108"/>
      <c r="AH838" s="108"/>
      <c r="AI838" s="108"/>
      <c r="AJ838" s="108"/>
      <c r="AK838" s="108"/>
      <c r="AL838" s="108"/>
      <c r="AM838" s="108"/>
      <c r="AN838" s="108"/>
      <c r="AO838" s="108"/>
      <c r="AP838" s="108"/>
      <c r="AQ838" s="108"/>
      <c r="AR838" s="108"/>
      <c r="AS838" s="108"/>
      <c r="AT838" s="108"/>
      <c r="AU838" s="108"/>
      <c r="AV838" s="108"/>
      <c r="AW838" s="108"/>
      <c r="AX838" s="108"/>
      <c r="AY838" s="108"/>
      <c r="AZ838" s="108"/>
    </row>
    <row r="839" spans="1:52" ht="14.2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  <c r="AF839" s="108"/>
      <c r="AG839" s="108"/>
      <c r="AH839" s="108"/>
      <c r="AI839" s="108"/>
      <c r="AJ839" s="108"/>
      <c r="AK839" s="108"/>
      <c r="AL839" s="108"/>
      <c r="AM839" s="108"/>
      <c r="AN839" s="108"/>
      <c r="AO839" s="108"/>
      <c r="AP839" s="108"/>
      <c r="AQ839" s="108"/>
      <c r="AR839" s="108"/>
      <c r="AS839" s="108"/>
      <c r="AT839" s="108"/>
      <c r="AU839" s="108"/>
      <c r="AV839" s="108"/>
      <c r="AW839" s="108"/>
      <c r="AX839" s="108"/>
      <c r="AY839" s="108"/>
      <c r="AZ839" s="108"/>
    </row>
    <row r="840" spans="1:52" ht="14.2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  <c r="AF840" s="108"/>
      <c r="AG840" s="108"/>
      <c r="AH840" s="108"/>
      <c r="AI840" s="108"/>
      <c r="AJ840" s="108"/>
      <c r="AK840" s="108"/>
      <c r="AL840" s="108"/>
      <c r="AM840" s="108"/>
      <c r="AN840" s="108"/>
      <c r="AO840" s="108"/>
      <c r="AP840" s="108"/>
      <c r="AQ840" s="108"/>
      <c r="AR840" s="108"/>
      <c r="AS840" s="108"/>
      <c r="AT840" s="108"/>
      <c r="AU840" s="108"/>
      <c r="AV840" s="108"/>
      <c r="AW840" s="108"/>
      <c r="AX840" s="108"/>
      <c r="AY840" s="108"/>
      <c r="AZ840" s="108"/>
    </row>
    <row r="841" spans="1:52" ht="14.2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  <c r="AF841" s="108"/>
      <c r="AG841" s="108"/>
      <c r="AH841" s="108"/>
      <c r="AI841" s="108"/>
      <c r="AJ841" s="108"/>
      <c r="AK841" s="108"/>
      <c r="AL841" s="108"/>
      <c r="AM841" s="108"/>
      <c r="AN841" s="108"/>
      <c r="AO841" s="108"/>
      <c r="AP841" s="108"/>
      <c r="AQ841" s="108"/>
      <c r="AR841" s="108"/>
      <c r="AS841" s="108"/>
      <c r="AT841" s="108"/>
      <c r="AU841" s="108"/>
      <c r="AV841" s="108"/>
      <c r="AW841" s="108"/>
      <c r="AX841" s="108"/>
      <c r="AY841" s="108"/>
      <c r="AZ841" s="108"/>
    </row>
    <row r="842" spans="1:52" ht="14.2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  <c r="AF842" s="108"/>
      <c r="AG842" s="108"/>
      <c r="AH842" s="108"/>
      <c r="AI842" s="108"/>
      <c r="AJ842" s="108"/>
      <c r="AK842" s="108"/>
      <c r="AL842" s="108"/>
      <c r="AM842" s="108"/>
      <c r="AN842" s="108"/>
      <c r="AO842" s="108"/>
      <c r="AP842" s="108"/>
      <c r="AQ842" s="108"/>
      <c r="AR842" s="108"/>
      <c r="AS842" s="108"/>
      <c r="AT842" s="108"/>
      <c r="AU842" s="108"/>
      <c r="AV842" s="108"/>
      <c r="AW842" s="108"/>
      <c r="AX842" s="108"/>
      <c r="AY842" s="108"/>
      <c r="AZ842" s="108"/>
    </row>
    <row r="843" spans="1:52" ht="14.2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  <c r="AF843" s="108"/>
      <c r="AG843" s="108"/>
      <c r="AH843" s="108"/>
      <c r="AI843" s="108"/>
      <c r="AJ843" s="108"/>
      <c r="AK843" s="108"/>
      <c r="AL843" s="108"/>
      <c r="AM843" s="108"/>
      <c r="AN843" s="108"/>
      <c r="AO843" s="108"/>
      <c r="AP843" s="108"/>
      <c r="AQ843" s="108"/>
      <c r="AR843" s="108"/>
      <c r="AS843" s="108"/>
      <c r="AT843" s="108"/>
      <c r="AU843" s="108"/>
      <c r="AV843" s="108"/>
      <c r="AW843" s="108"/>
      <c r="AX843" s="108"/>
      <c r="AY843" s="108"/>
      <c r="AZ843" s="108"/>
    </row>
    <row r="844" spans="1:52" ht="14.2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  <c r="AF844" s="108"/>
      <c r="AG844" s="108"/>
      <c r="AH844" s="108"/>
      <c r="AI844" s="108"/>
      <c r="AJ844" s="108"/>
      <c r="AK844" s="108"/>
      <c r="AL844" s="108"/>
      <c r="AM844" s="108"/>
      <c r="AN844" s="108"/>
      <c r="AO844" s="108"/>
      <c r="AP844" s="108"/>
      <c r="AQ844" s="108"/>
      <c r="AR844" s="108"/>
      <c r="AS844" s="108"/>
      <c r="AT844" s="108"/>
      <c r="AU844" s="108"/>
      <c r="AV844" s="108"/>
      <c r="AW844" s="108"/>
      <c r="AX844" s="108"/>
      <c r="AY844" s="108"/>
      <c r="AZ844" s="108"/>
    </row>
    <row r="845" spans="1:52" ht="14.2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  <c r="AF845" s="108"/>
      <c r="AG845" s="108"/>
      <c r="AH845" s="108"/>
      <c r="AI845" s="108"/>
      <c r="AJ845" s="108"/>
      <c r="AK845" s="108"/>
      <c r="AL845" s="108"/>
      <c r="AM845" s="108"/>
      <c r="AN845" s="108"/>
      <c r="AO845" s="108"/>
      <c r="AP845" s="108"/>
      <c r="AQ845" s="108"/>
      <c r="AR845" s="108"/>
      <c r="AS845" s="108"/>
      <c r="AT845" s="108"/>
      <c r="AU845" s="108"/>
      <c r="AV845" s="108"/>
      <c r="AW845" s="108"/>
      <c r="AX845" s="108"/>
      <c r="AY845" s="108"/>
      <c r="AZ845" s="108"/>
    </row>
    <row r="846" spans="1:52" ht="14.2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  <c r="AF846" s="108"/>
      <c r="AG846" s="108"/>
      <c r="AH846" s="108"/>
      <c r="AI846" s="108"/>
      <c r="AJ846" s="108"/>
      <c r="AK846" s="108"/>
      <c r="AL846" s="108"/>
      <c r="AM846" s="108"/>
      <c r="AN846" s="108"/>
      <c r="AO846" s="108"/>
      <c r="AP846" s="108"/>
      <c r="AQ846" s="108"/>
      <c r="AR846" s="108"/>
      <c r="AS846" s="108"/>
      <c r="AT846" s="108"/>
      <c r="AU846" s="108"/>
      <c r="AV846" s="108"/>
      <c r="AW846" s="108"/>
      <c r="AX846" s="108"/>
      <c r="AY846" s="108"/>
      <c r="AZ846" s="108"/>
    </row>
    <row r="847" spans="1:52" ht="14.2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  <c r="AF847" s="108"/>
      <c r="AG847" s="108"/>
      <c r="AH847" s="108"/>
      <c r="AI847" s="108"/>
      <c r="AJ847" s="108"/>
      <c r="AK847" s="108"/>
      <c r="AL847" s="108"/>
      <c r="AM847" s="108"/>
      <c r="AN847" s="108"/>
      <c r="AO847" s="108"/>
      <c r="AP847" s="108"/>
      <c r="AQ847" s="108"/>
      <c r="AR847" s="108"/>
      <c r="AS847" s="108"/>
      <c r="AT847" s="108"/>
      <c r="AU847" s="108"/>
      <c r="AV847" s="108"/>
      <c r="AW847" s="108"/>
      <c r="AX847" s="108"/>
      <c r="AY847" s="108"/>
      <c r="AZ847" s="108"/>
    </row>
    <row r="848" spans="1:52" ht="14.2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  <c r="AF848" s="108"/>
      <c r="AG848" s="108"/>
      <c r="AH848" s="108"/>
      <c r="AI848" s="108"/>
      <c r="AJ848" s="108"/>
      <c r="AK848" s="108"/>
      <c r="AL848" s="108"/>
      <c r="AM848" s="108"/>
      <c r="AN848" s="108"/>
      <c r="AO848" s="108"/>
      <c r="AP848" s="108"/>
      <c r="AQ848" s="108"/>
      <c r="AR848" s="108"/>
      <c r="AS848" s="108"/>
      <c r="AT848" s="108"/>
      <c r="AU848" s="108"/>
      <c r="AV848" s="108"/>
      <c r="AW848" s="108"/>
      <c r="AX848" s="108"/>
      <c r="AY848" s="108"/>
      <c r="AZ848" s="108"/>
    </row>
    <row r="849" spans="1:52" ht="14.2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  <c r="AF849" s="108"/>
      <c r="AG849" s="108"/>
      <c r="AH849" s="108"/>
      <c r="AI849" s="108"/>
      <c r="AJ849" s="108"/>
      <c r="AK849" s="108"/>
      <c r="AL849" s="108"/>
      <c r="AM849" s="108"/>
      <c r="AN849" s="108"/>
      <c r="AO849" s="108"/>
      <c r="AP849" s="108"/>
      <c r="AQ849" s="108"/>
      <c r="AR849" s="108"/>
      <c r="AS849" s="108"/>
      <c r="AT849" s="108"/>
      <c r="AU849" s="108"/>
      <c r="AV849" s="108"/>
      <c r="AW849" s="108"/>
      <c r="AX849" s="108"/>
      <c r="AY849" s="108"/>
      <c r="AZ849" s="108"/>
    </row>
    <row r="850" spans="1:52" ht="14.2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  <c r="AF850" s="108"/>
      <c r="AG850" s="108"/>
      <c r="AH850" s="108"/>
      <c r="AI850" s="108"/>
      <c r="AJ850" s="108"/>
      <c r="AK850" s="108"/>
      <c r="AL850" s="108"/>
      <c r="AM850" s="108"/>
      <c r="AN850" s="108"/>
      <c r="AO850" s="108"/>
      <c r="AP850" s="108"/>
      <c r="AQ850" s="108"/>
      <c r="AR850" s="108"/>
      <c r="AS850" s="108"/>
      <c r="AT850" s="108"/>
      <c r="AU850" s="108"/>
      <c r="AV850" s="108"/>
      <c r="AW850" s="108"/>
      <c r="AX850" s="108"/>
      <c r="AY850" s="108"/>
      <c r="AZ850" s="108"/>
    </row>
    <row r="851" spans="1:52" ht="14.2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  <c r="AF851" s="108"/>
      <c r="AG851" s="108"/>
      <c r="AH851" s="108"/>
      <c r="AI851" s="108"/>
      <c r="AJ851" s="108"/>
      <c r="AK851" s="108"/>
      <c r="AL851" s="108"/>
      <c r="AM851" s="108"/>
      <c r="AN851" s="108"/>
      <c r="AO851" s="108"/>
      <c r="AP851" s="108"/>
      <c r="AQ851" s="108"/>
      <c r="AR851" s="108"/>
      <c r="AS851" s="108"/>
      <c r="AT851" s="108"/>
      <c r="AU851" s="108"/>
      <c r="AV851" s="108"/>
      <c r="AW851" s="108"/>
      <c r="AX851" s="108"/>
      <c r="AY851" s="108"/>
      <c r="AZ851" s="108"/>
    </row>
    <row r="852" spans="1:52" ht="14.2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  <c r="AF852" s="108"/>
      <c r="AG852" s="108"/>
      <c r="AH852" s="108"/>
      <c r="AI852" s="108"/>
      <c r="AJ852" s="108"/>
      <c r="AK852" s="108"/>
      <c r="AL852" s="108"/>
      <c r="AM852" s="108"/>
      <c r="AN852" s="108"/>
      <c r="AO852" s="108"/>
      <c r="AP852" s="108"/>
      <c r="AQ852" s="108"/>
      <c r="AR852" s="108"/>
      <c r="AS852" s="108"/>
      <c r="AT852" s="108"/>
      <c r="AU852" s="108"/>
      <c r="AV852" s="108"/>
      <c r="AW852" s="108"/>
      <c r="AX852" s="108"/>
      <c r="AY852" s="108"/>
      <c r="AZ852" s="108"/>
    </row>
    <row r="853" spans="1:52" ht="14.2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  <c r="AF853" s="108"/>
      <c r="AG853" s="108"/>
      <c r="AH853" s="108"/>
      <c r="AI853" s="108"/>
      <c r="AJ853" s="108"/>
      <c r="AK853" s="108"/>
      <c r="AL853" s="108"/>
      <c r="AM853" s="108"/>
      <c r="AN853" s="108"/>
      <c r="AO853" s="108"/>
      <c r="AP853" s="108"/>
      <c r="AQ853" s="108"/>
      <c r="AR853" s="108"/>
      <c r="AS853" s="108"/>
      <c r="AT853" s="108"/>
      <c r="AU853" s="108"/>
      <c r="AV853" s="108"/>
      <c r="AW853" s="108"/>
      <c r="AX853" s="108"/>
      <c r="AY853" s="108"/>
      <c r="AZ853" s="108"/>
    </row>
    <row r="854" spans="1:52" ht="14.2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  <c r="AF854" s="108"/>
      <c r="AG854" s="108"/>
      <c r="AH854" s="108"/>
      <c r="AI854" s="108"/>
      <c r="AJ854" s="108"/>
      <c r="AK854" s="108"/>
      <c r="AL854" s="108"/>
      <c r="AM854" s="108"/>
      <c r="AN854" s="108"/>
      <c r="AO854" s="108"/>
      <c r="AP854" s="108"/>
      <c r="AQ854" s="108"/>
      <c r="AR854" s="108"/>
      <c r="AS854" s="108"/>
      <c r="AT854" s="108"/>
      <c r="AU854" s="108"/>
      <c r="AV854" s="108"/>
      <c r="AW854" s="108"/>
      <c r="AX854" s="108"/>
      <c r="AY854" s="108"/>
      <c r="AZ854" s="108"/>
    </row>
    <row r="855" spans="1:52" ht="14.2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  <c r="AF855" s="108"/>
      <c r="AG855" s="108"/>
      <c r="AH855" s="108"/>
      <c r="AI855" s="108"/>
      <c r="AJ855" s="108"/>
      <c r="AK855" s="108"/>
      <c r="AL855" s="108"/>
      <c r="AM855" s="108"/>
      <c r="AN855" s="108"/>
      <c r="AO855" s="108"/>
      <c r="AP855" s="108"/>
      <c r="AQ855" s="108"/>
      <c r="AR855" s="108"/>
      <c r="AS855" s="108"/>
      <c r="AT855" s="108"/>
      <c r="AU855" s="108"/>
      <c r="AV855" s="108"/>
      <c r="AW855" s="108"/>
      <c r="AX855" s="108"/>
      <c r="AY855" s="108"/>
      <c r="AZ855" s="108"/>
    </row>
    <row r="856" spans="1:52" ht="14.2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  <c r="AF856" s="108"/>
      <c r="AG856" s="108"/>
      <c r="AH856" s="108"/>
      <c r="AI856" s="108"/>
      <c r="AJ856" s="108"/>
      <c r="AK856" s="108"/>
      <c r="AL856" s="108"/>
      <c r="AM856" s="108"/>
      <c r="AN856" s="108"/>
      <c r="AO856" s="108"/>
      <c r="AP856" s="108"/>
      <c r="AQ856" s="108"/>
      <c r="AR856" s="108"/>
      <c r="AS856" s="108"/>
      <c r="AT856" s="108"/>
      <c r="AU856" s="108"/>
      <c r="AV856" s="108"/>
      <c r="AW856" s="108"/>
      <c r="AX856" s="108"/>
      <c r="AY856" s="108"/>
      <c r="AZ856" s="108"/>
    </row>
    <row r="857" spans="1:52" ht="14.2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  <c r="AF857" s="108"/>
      <c r="AG857" s="108"/>
      <c r="AH857" s="108"/>
      <c r="AI857" s="108"/>
      <c r="AJ857" s="108"/>
      <c r="AK857" s="108"/>
      <c r="AL857" s="108"/>
      <c r="AM857" s="108"/>
      <c r="AN857" s="108"/>
      <c r="AO857" s="108"/>
      <c r="AP857" s="108"/>
      <c r="AQ857" s="108"/>
      <c r="AR857" s="108"/>
      <c r="AS857" s="108"/>
      <c r="AT857" s="108"/>
      <c r="AU857" s="108"/>
      <c r="AV857" s="108"/>
      <c r="AW857" s="108"/>
      <c r="AX857" s="108"/>
      <c r="AY857" s="108"/>
      <c r="AZ857" s="108"/>
    </row>
    <row r="858" spans="1:52" ht="14.2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  <c r="AF858" s="108"/>
      <c r="AG858" s="108"/>
      <c r="AH858" s="108"/>
      <c r="AI858" s="108"/>
      <c r="AJ858" s="108"/>
      <c r="AK858" s="108"/>
      <c r="AL858" s="108"/>
      <c r="AM858" s="108"/>
      <c r="AN858" s="108"/>
      <c r="AO858" s="108"/>
      <c r="AP858" s="108"/>
      <c r="AQ858" s="108"/>
      <c r="AR858" s="108"/>
      <c r="AS858" s="108"/>
      <c r="AT858" s="108"/>
      <c r="AU858" s="108"/>
      <c r="AV858" s="108"/>
      <c r="AW858" s="108"/>
      <c r="AX858" s="108"/>
      <c r="AY858" s="108"/>
      <c r="AZ858" s="108"/>
    </row>
    <row r="859" spans="1:52" ht="14.2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/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</row>
    <row r="860" spans="1:52" ht="14.2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  <c r="AF860" s="108"/>
      <c r="AG860" s="108"/>
      <c r="AH860" s="108"/>
      <c r="AI860" s="108"/>
      <c r="AJ860" s="108"/>
      <c r="AK860" s="108"/>
      <c r="AL860" s="108"/>
      <c r="AM860" s="108"/>
      <c r="AN860" s="108"/>
      <c r="AO860" s="108"/>
      <c r="AP860" s="108"/>
      <c r="AQ860" s="108"/>
      <c r="AR860" s="108"/>
      <c r="AS860" s="108"/>
      <c r="AT860" s="108"/>
      <c r="AU860" s="108"/>
      <c r="AV860" s="108"/>
      <c r="AW860" s="108"/>
      <c r="AX860" s="108"/>
      <c r="AY860" s="108"/>
      <c r="AZ860" s="108"/>
    </row>
    <row r="861" spans="1:52" ht="14.2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  <c r="AF861" s="108"/>
      <c r="AG861" s="108"/>
      <c r="AH861" s="108"/>
      <c r="AI861" s="108"/>
      <c r="AJ861" s="108"/>
      <c r="AK861" s="108"/>
      <c r="AL861" s="108"/>
      <c r="AM861" s="108"/>
      <c r="AN861" s="108"/>
      <c r="AO861" s="108"/>
      <c r="AP861" s="108"/>
      <c r="AQ861" s="108"/>
      <c r="AR861" s="108"/>
      <c r="AS861" s="108"/>
      <c r="AT861" s="108"/>
      <c r="AU861" s="108"/>
      <c r="AV861" s="108"/>
      <c r="AW861" s="108"/>
      <c r="AX861" s="108"/>
      <c r="AY861" s="108"/>
      <c r="AZ861" s="108"/>
    </row>
    <row r="862" spans="1:52" ht="14.2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/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</row>
    <row r="863" spans="1:52" ht="14.2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  <c r="AF863" s="108"/>
      <c r="AG863" s="108"/>
      <c r="AH863" s="108"/>
      <c r="AI863" s="108"/>
      <c r="AJ863" s="108"/>
      <c r="AK863" s="108"/>
      <c r="AL863" s="108"/>
      <c r="AM863" s="108"/>
      <c r="AN863" s="108"/>
      <c r="AO863" s="108"/>
      <c r="AP863" s="108"/>
      <c r="AQ863" s="108"/>
      <c r="AR863" s="108"/>
      <c r="AS863" s="108"/>
      <c r="AT863" s="108"/>
      <c r="AU863" s="108"/>
      <c r="AV863" s="108"/>
      <c r="AW863" s="108"/>
      <c r="AX863" s="108"/>
      <c r="AY863" s="108"/>
      <c r="AZ863" s="108"/>
    </row>
    <row r="864" spans="1:52" ht="14.2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  <c r="AF864" s="108"/>
      <c r="AG864" s="108"/>
      <c r="AH864" s="108"/>
      <c r="AI864" s="108"/>
      <c r="AJ864" s="108"/>
      <c r="AK864" s="108"/>
      <c r="AL864" s="108"/>
      <c r="AM864" s="108"/>
      <c r="AN864" s="108"/>
      <c r="AO864" s="108"/>
      <c r="AP864" s="108"/>
      <c r="AQ864" s="108"/>
      <c r="AR864" s="108"/>
      <c r="AS864" s="108"/>
      <c r="AT864" s="108"/>
      <c r="AU864" s="108"/>
      <c r="AV864" s="108"/>
      <c r="AW864" s="108"/>
      <c r="AX864" s="108"/>
      <c r="AY864" s="108"/>
      <c r="AZ864" s="108"/>
    </row>
    <row r="865" spans="1:52" ht="14.2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  <c r="AF865" s="108"/>
      <c r="AG865" s="108"/>
      <c r="AH865" s="108"/>
      <c r="AI865" s="108"/>
      <c r="AJ865" s="108"/>
      <c r="AK865" s="108"/>
      <c r="AL865" s="108"/>
      <c r="AM865" s="108"/>
      <c r="AN865" s="108"/>
      <c r="AO865" s="108"/>
      <c r="AP865" s="108"/>
      <c r="AQ865" s="108"/>
      <c r="AR865" s="108"/>
      <c r="AS865" s="108"/>
      <c r="AT865" s="108"/>
      <c r="AU865" s="108"/>
      <c r="AV865" s="108"/>
      <c r="AW865" s="108"/>
      <c r="AX865" s="108"/>
      <c r="AY865" s="108"/>
      <c r="AZ865" s="108"/>
    </row>
    <row r="866" spans="1:52" ht="14.2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  <c r="AF866" s="108"/>
      <c r="AG866" s="108"/>
      <c r="AH866" s="108"/>
      <c r="AI866" s="108"/>
      <c r="AJ866" s="108"/>
      <c r="AK866" s="108"/>
      <c r="AL866" s="108"/>
      <c r="AM866" s="108"/>
      <c r="AN866" s="108"/>
      <c r="AO866" s="108"/>
      <c r="AP866" s="108"/>
      <c r="AQ866" s="108"/>
      <c r="AR866" s="108"/>
      <c r="AS866" s="108"/>
      <c r="AT866" s="108"/>
      <c r="AU866" s="108"/>
      <c r="AV866" s="108"/>
      <c r="AW866" s="108"/>
      <c r="AX866" s="108"/>
      <c r="AY866" s="108"/>
      <c r="AZ866" s="108"/>
    </row>
    <row r="867" spans="1:52" ht="14.2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  <c r="AF867" s="108"/>
      <c r="AG867" s="108"/>
      <c r="AH867" s="108"/>
      <c r="AI867" s="108"/>
      <c r="AJ867" s="108"/>
      <c r="AK867" s="108"/>
      <c r="AL867" s="108"/>
      <c r="AM867" s="108"/>
      <c r="AN867" s="108"/>
      <c r="AO867" s="108"/>
      <c r="AP867" s="108"/>
      <c r="AQ867" s="108"/>
      <c r="AR867" s="108"/>
      <c r="AS867" s="108"/>
      <c r="AT867" s="108"/>
      <c r="AU867" s="108"/>
      <c r="AV867" s="108"/>
      <c r="AW867" s="108"/>
      <c r="AX867" s="108"/>
      <c r="AY867" s="108"/>
      <c r="AZ867" s="108"/>
    </row>
    <row r="868" spans="1:52" ht="14.2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  <c r="AF868" s="108"/>
      <c r="AG868" s="108"/>
      <c r="AH868" s="108"/>
      <c r="AI868" s="108"/>
      <c r="AJ868" s="108"/>
      <c r="AK868" s="108"/>
      <c r="AL868" s="108"/>
      <c r="AM868" s="108"/>
      <c r="AN868" s="108"/>
      <c r="AO868" s="108"/>
      <c r="AP868" s="108"/>
      <c r="AQ868" s="108"/>
      <c r="AR868" s="108"/>
      <c r="AS868" s="108"/>
      <c r="AT868" s="108"/>
      <c r="AU868" s="108"/>
      <c r="AV868" s="108"/>
      <c r="AW868" s="108"/>
      <c r="AX868" s="108"/>
      <c r="AY868" s="108"/>
      <c r="AZ868" s="108"/>
    </row>
    <row r="869" spans="1:52" ht="14.2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  <c r="AF869" s="108"/>
      <c r="AG869" s="108"/>
      <c r="AH869" s="108"/>
      <c r="AI869" s="108"/>
      <c r="AJ869" s="108"/>
      <c r="AK869" s="108"/>
      <c r="AL869" s="108"/>
      <c r="AM869" s="108"/>
      <c r="AN869" s="108"/>
      <c r="AO869" s="108"/>
      <c r="AP869" s="108"/>
      <c r="AQ869" s="108"/>
      <c r="AR869" s="108"/>
      <c r="AS869" s="108"/>
      <c r="AT869" s="108"/>
      <c r="AU869" s="108"/>
      <c r="AV869" s="108"/>
      <c r="AW869" s="108"/>
      <c r="AX869" s="108"/>
      <c r="AY869" s="108"/>
      <c r="AZ869" s="108"/>
    </row>
    <row r="870" spans="1:52" ht="14.2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  <c r="AF870" s="108"/>
      <c r="AG870" s="108"/>
      <c r="AH870" s="108"/>
      <c r="AI870" s="108"/>
      <c r="AJ870" s="108"/>
      <c r="AK870" s="108"/>
      <c r="AL870" s="108"/>
      <c r="AM870" s="108"/>
      <c r="AN870" s="108"/>
      <c r="AO870" s="108"/>
      <c r="AP870" s="108"/>
      <c r="AQ870" s="108"/>
      <c r="AR870" s="108"/>
      <c r="AS870" s="108"/>
      <c r="AT870" s="108"/>
      <c r="AU870" s="108"/>
      <c r="AV870" s="108"/>
      <c r="AW870" s="108"/>
      <c r="AX870" s="108"/>
      <c r="AY870" s="108"/>
      <c r="AZ870" s="108"/>
    </row>
    <row r="871" spans="1:52" ht="14.2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  <c r="AF871" s="108"/>
      <c r="AG871" s="108"/>
      <c r="AH871" s="108"/>
      <c r="AI871" s="108"/>
      <c r="AJ871" s="108"/>
      <c r="AK871" s="108"/>
      <c r="AL871" s="108"/>
      <c r="AM871" s="108"/>
      <c r="AN871" s="108"/>
      <c r="AO871" s="108"/>
      <c r="AP871" s="108"/>
      <c r="AQ871" s="108"/>
      <c r="AR871" s="108"/>
      <c r="AS871" s="108"/>
      <c r="AT871" s="108"/>
      <c r="AU871" s="108"/>
      <c r="AV871" s="108"/>
      <c r="AW871" s="108"/>
      <c r="AX871" s="108"/>
      <c r="AY871" s="108"/>
      <c r="AZ871" s="108"/>
    </row>
    <row r="872" spans="1:52" ht="14.2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  <c r="AF872" s="108"/>
      <c r="AG872" s="108"/>
      <c r="AH872" s="108"/>
      <c r="AI872" s="108"/>
      <c r="AJ872" s="108"/>
      <c r="AK872" s="108"/>
      <c r="AL872" s="108"/>
      <c r="AM872" s="108"/>
      <c r="AN872" s="108"/>
      <c r="AO872" s="108"/>
      <c r="AP872" s="108"/>
      <c r="AQ872" s="108"/>
      <c r="AR872" s="108"/>
      <c r="AS872" s="108"/>
      <c r="AT872" s="108"/>
      <c r="AU872" s="108"/>
      <c r="AV872" s="108"/>
      <c r="AW872" s="108"/>
      <c r="AX872" s="108"/>
      <c r="AY872" s="108"/>
      <c r="AZ872" s="108"/>
    </row>
    <row r="873" spans="1:52" ht="14.2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  <c r="AF873" s="108"/>
      <c r="AG873" s="108"/>
      <c r="AH873" s="108"/>
      <c r="AI873" s="108"/>
      <c r="AJ873" s="108"/>
      <c r="AK873" s="108"/>
      <c r="AL873" s="108"/>
      <c r="AM873" s="108"/>
      <c r="AN873" s="108"/>
      <c r="AO873" s="108"/>
      <c r="AP873" s="108"/>
      <c r="AQ873" s="108"/>
      <c r="AR873" s="108"/>
      <c r="AS873" s="108"/>
      <c r="AT873" s="108"/>
      <c r="AU873" s="108"/>
      <c r="AV873" s="108"/>
      <c r="AW873" s="108"/>
      <c r="AX873" s="108"/>
      <c r="AY873" s="108"/>
      <c r="AZ873" s="108"/>
    </row>
    <row r="874" spans="1:52" ht="14.2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  <c r="AF874" s="108"/>
      <c r="AG874" s="108"/>
      <c r="AH874" s="108"/>
      <c r="AI874" s="108"/>
      <c r="AJ874" s="108"/>
      <c r="AK874" s="108"/>
      <c r="AL874" s="108"/>
      <c r="AM874" s="108"/>
      <c r="AN874" s="108"/>
      <c r="AO874" s="108"/>
      <c r="AP874" s="108"/>
      <c r="AQ874" s="108"/>
      <c r="AR874" s="108"/>
      <c r="AS874" s="108"/>
      <c r="AT874" s="108"/>
      <c r="AU874" s="108"/>
      <c r="AV874" s="108"/>
      <c r="AW874" s="108"/>
      <c r="AX874" s="108"/>
      <c r="AY874" s="108"/>
      <c r="AZ874" s="108"/>
    </row>
    <row r="875" spans="1:52" ht="14.2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  <c r="AF875" s="108"/>
      <c r="AG875" s="108"/>
      <c r="AH875" s="108"/>
      <c r="AI875" s="108"/>
      <c r="AJ875" s="108"/>
      <c r="AK875" s="108"/>
      <c r="AL875" s="108"/>
      <c r="AM875" s="108"/>
      <c r="AN875" s="108"/>
      <c r="AO875" s="108"/>
      <c r="AP875" s="108"/>
      <c r="AQ875" s="108"/>
      <c r="AR875" s="108"/>
      <c r="AS875" s="108"/>
      <c r="AT875" s="108"/>
      <c r="AU875" s="108"/>
      <c r="AV875" s="108"/>
      <c r="AW875" s="108"/>
      <c r="AX875" s="108"/>
      <c r="AY875" s="108"/>
      <c r="AZ875" s="108"/>
    </row>
    <row r="876" spans="1:52" ht="14.2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  <c r="AF876" s="108"/>
      <c r="AG876" s="108"/>
      <c r="AH876" s="108"/>
      <c r="AI876" s="108"/>
      <c r="AJ876" s="108"/>
      <c r="AK876" s="108"/>
      <c r="AL876" s="108"/>
      <c r="AM876" s="108"/>
      <c r="AN876" s="108"/>
      <c r="AO876" s="108"/>
      <c r="AP876" s="108"/>
      <c r="AQ876" s="108"/>
      <c r="AR876" s="108"/>
      <c r="AS876" s="108"/>
      <c r="AT876" s="108"/>
      <c r="AU876" s="108"/>
      <c r="AV876" s="108"/>
      <c r="AW876" s="108"/>
      <c r="AX876" s="108"/>
      <c r="AY876" s="108"/>
      <c r="AZ876" s="108"/>
    </row>
    <row r="877" spans="1:52" ht="14.2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  <c r="AF877" s="108"/>
      <c r="AG877" s="108"/>
      <c r="AH877" s="108"/>
      <c r="AI877" s="108"/>
      <c r="AJ877" s="108"/>
      <c r="AK877" s="108"/>
      <c r="AL877" s="108"/>
      <c r="AM877" s="108"/>
      <c r="AN877" s="108"/>
      <c r="AO877" s="108"/>
      <c r="AP877" s="108"/>
      <c r="AQ877" s="108"/>
      <c r="AR877" s="108"/>
      <c r="AS877" s="108"/>
      <c r="AT877" s="108"/>
      <c r="AU877" s="108"/>
      <c r="AV877" s="108"/>
      <c r="AW877" s="108"/>
      <c r="AX877" s="108"/>
      <c r="AY877" s="108"/>
      <c r="AZ877" s="108"/>
    </row>
    <row r="878" spans="1:52" ht="14.2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  <c r="AF878" s="108"/>
      <c r="AG878" s="108"/>
      <c r="AH878" s="108"/>
      <c r="AI878" s="108"/>
      <c r="AJ878" s="108"/>
      <c r="AK878" s="108"/>
      <c r="AL878" s="108"/>
      <c r="AM878" s="108"/>
      <c r="AN878" s="108"/>
      <c r="AO878" s="108"/>
      <c r="AP878" s="108"/>
      <c r="AQ878" s="108"/>
      <c r="AR878" s="108"/>
      <c r="AS878" s="108"/>
      <c r="AT878" s="108"/>
      <c r="AU878" s="108"/>
      <c r="AV878" s="108"/>
      <c r="AW878" s="108"/>
      <c r="AX878" s="108"/>
      <c r="AY878" s="108"/>
      <c r="AZ878" s="108"/>
    </row>
    <row r="879" spans="1:52" ht="14.2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  <c r="AF879" s="108"/>
      <c r="AG879" s="108"/>
      <c r="AH879" s="108"/>
      <c r="AI879" s="108"/>
      <c r="AJ879" s="108"/>
      <c r="AK879" s="108"/>
      <c r="AL879" s="108"/>
      <c r="AM879" s="108"/>
      <c r="AN879" s="108"/>
      <c r="AO879" s="108"/>
      <c r="AP879" s="108"/>
      <c r="AQ879" s="108"/>
      <c r="AR879" s="108"/>
      <c r="AS879" s="108"/>
      <c r="AT879" s="108"/>
      <c r="AU879" s="108"/>
      <c r="AV879" s="108"/>
      <c r="AW879" s="108"/>
      <c r="AX879" s="108"/>
      <c r="AY879" s="108"/>
      <c r="AZ879" s="108"/>
    </row>
    <row r="880" spans="1:52" ht="14.2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  <c r="AF880" s="108"/>
      <c r="AG880" s="108"/>
      <c r="AH880" s="108"/>
      <c r="AI880" s="108"/>
      <c r="AJ880" s="108"/>
      <c r="AK880" s="108"/>
      <c r="AL880" s="108"/>
      <c r="AM880" s="108"/>
      <c r="AN880" s="108"/>
      <c r="AO880" s="108"/>
      <c r="AP880" s="108"/>
      <c r="AQ880" s="108"/>
      <c r="AR880" s="108"/>
      <c r="AS880" s="108"/>
      <c r="AT880" s="108"/>
      <c r="AU880" s="108"/>
      <c r="AV880" s="108"/>
      <c r="AW880" s="108"/>
      <c r="AX880" s="108"/>
      <c r="AY880" s="108"/>
      <c r="AZ880" s="108"/>
    </row>
    <row r="881" spans="1:52" ht="14.2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  <c r="AF881" s="108"/>
      <c r="AG881" s="108"/>
      <c r="AH881" s="108"/>
      <c r="AI881" s="108"/>
      <c r="AJ881" s="108"/>
      <c r="AK881" s="108"/>
      <c r="AL881" s="108"/>
      <c r="AM881" s="108"/>
      <c r="AN881" s="108"/>
      <c r="AO881" s="108"/>
      <c r="AP881" s="108"/>
      <c r="AQ881" s="108"/>
      <c r="AR881" s="108"/>
      <c r="AS881" s="108"/>
      <c r="AT881" s="108"/>
      <c r="AU881" s="108"/>
      <c r="AV881" s="108"/>
      <c r="AW881" s="108"/>
      <c r="AX881" s="108"/>
      <c r="AY881" s="108"/>
      <c r="AZ881" s="108"/>
    </row>
    <row r="882" spans="1:52" ht="14.2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  <c r="AF882" s="108"/>
      <c r="AG882" s="108"/>
      <c r="AH882" s="108"/>
      <c r="AI882" s="108"/>
      <c r="AJ882" s="108"/>
      <c r="AK882" s="108"/>
      <c r="AL882" s="108"/>
      <c r="AM882" s="108"/>
      <c r="AN882" s="108"/>
      <c r="AO882" s="108"/>
      <c r="AP882" s="108"/>
      <c r="AQ882" s="108"/>
      <c r="AR882" s="108"/>
      <c r="AS882" s="108"/>
      <c r="AT882" s="108"/>
      <c r="AU882" s="108"/>
      <c r="AV882" s="108"/>
      <c r="AW882" s="108"/>
      <c r="AX882" s="108"/>
      <c r="AY882" s="108"/>
      <c r="AZ882" s="108"/>
    </row>
    <row r="883" spans="1:52" ht="14.2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  <c r="AF883" s="108"/>
      <c r="AG883" s="108"/>
      <c r="AH883" s="108"/>
      <c r="AI883" s="108"/>
      <c r="AJ883" s="108"/>
      <c r="AK883" s="108"/>
      <c r="AL883" s="108"/>
      <c r="AM883" s="108"/>
      <c r="AN883" s="108"/>
      <c r="AO883" s="108"/>
      <c r="AP883" s="108"/>
      <c r="AQ883" s="108"/>
      <c r="AR883" s="108"/>
      <c r="AS883" s="108"/>
      <c r="AT883" s="108"/>
      <c r="AU883" s="108"/>
      <c r="AV883" s="108"/>
      <c r="AW883" s="108"/>
      <c r="AX883" s="108"/>
      <c r="AY883" s="108"/>
      <c r="AZ883" s="108"/>
    </row>
    <row r="884" spans="1:52" ht="14.2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  <c r="AF884" s="108"/>
      <c r="AG884" s="108"/>
      <c r="AH884" s="108"/>
      <c r="AI884" s="108"/>
      <c r="AJ884" s="108"/>
      <c r="AK884" s="108"/>
      <c r="AL884" s="108"/>
      <c r="AM884" s="108"/>
      <c r="AN884" s="108"/>
      <c r="AO884" s="108"/>
      <c r="AP884" s="108"/>
      <c r="AQ884" s="108"/>
      <c r="AR884" s="108"/>
      <c r="AS884" s="108"/>
      <c r="AT884" s="108"/>
      <c r="AU884" s="108"/>
      <c r="AV884" s="108"/>
      <c r="AW884" s="108"/>
      <c r="AX884" s="108"/>
      <c r="AY884" s="108"/>
      <c r="AZ884" s="108"/>
    </row>
    <row r="885" spans="1:52" ht="14.2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  <c r="AF885" s="108"/>
      <c r="AG885" s="108"/>
      <c r="AH885" s="108"/>
      <c r="AI885" s="108"/>
      <c r="AJ885" s="108"/>
      <c r="AK885" s="108"/>
      <c r="AL885" s="108"/>
      <c r="AM885" s="108"/>
      <c r="AN885" s="108"/>
      <c r="AO885" s="108"/>
      <c r="AP885" s="108"/>
      <c r="AQ885" s="108"/>
      <c r="AR885" s="108"/>
      <c r="AS885" s="108"/>
      <c r="AT885" s="108"/>
      <c r="AU885" s="108"/>
      <c r="AV885" s="108"/>
      <c r="AW885" s="108"/>
      <c r="AX885" s="108"/>
      <c r="AY885" s="108"/>
      <c r="AZ885" s="108"/>
    </row>
    <row r="886" spans="1:52" ht="14.2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  <c r="AF886" s="108"/>
      <c r="AG886" s="108"/>
      <c r="AH886" s="108"/>
      <c r="AI886" s="108"/>
      <c r="AJ886" s="108"/>
      <c r="AK886" s="108"/>
      <c r="AL886" s="108"/>
      <c r="AM886" s="108"/>
      <c r="AN886" s="108"/>
      <c r="AO886" s="108"/>
      <c r="AP886" s="108"/>
      <c r="AQ886" s="108"/>
      <c r="AR886" s="108"/>
      <c r="AS886" s="108"/>
      <c r="AT886" s="108"/>
      <c r="AU886" s="108"/>
      <c r="AV886" s="108"/>
      <c r="AW886" s="108"/>
      <c r="AX886" s="108"/>
      <c r="AY886" s="108"/>
      <c r="AZ886" s="108"/>
    </row>
    <row r="887" spans="1:52" ht="14.2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  <c r="AF887" s="108"/>
      <c r="AG887" s="108"/>
      <c r="AH887" s="108"/>
      <c r="AI887" s="108"/>
      <c r="AJ887" s="108"/>
      <c r="AK887" s="108"/>
      <c r="AL887" s="108"/>
      <c r="AM887" s="108"/>
      <c r="AN887" s="108"/>
      <c r="AO887" s="108"/>
      <c r="AP887" s="108"/>
      <c r="AQ887" s="108"/>
      <c r="AR887" s="108"/>
      <c r="AS887" s="108"/>
      <c r="AT887" s="108"/>
      <c r="AU887" s="108"/>
      <c r="AV887" s="108"/>
      <c r="AW887" s="108"/>
      <c r="AX887" s="108"/>
      <c r="AY887" s="108"/>
      <c r="AZ887" s="108"/>
    </row>
    <row r="888" spans="1:52" ht="14.2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  <c r="AF888" s="108"/>
      <c r="AG888" s="108"/>
      <c r="AH888" s="108"/>
      <c r="AI888" s="108"/>
      <c r="AJ888" s="108"/>
      <c r="AK888" s="108"/>
      <c r="AL888" s="108"/>
      <c r="AM888" s="108"/>
      <c r="AN888" s="108"/>
      <c r="AO888" s="108"/>
      <c r="AP888" s="108"/>
      <c r="AQ888" s="108"/>
      <c r="AR888" s="108"/>
      <c r="AS888" s="108"/>
      <c r="AT888" s="108"/>
      <c r="AU888" s="108"/>
      <c r="AV888" s="108"/>
      <c r="AW888" s="108"/>
      <c r="AX888" s="108"/>
      <c r="AY888" s="108"/>
      <c r="AZ888" s="108"/>
    </row>
    <row r="889" spans="1:52" ht="14.2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  <c r="AF889" s="108"/>
      <c r="AG889" s="108"/>
      <c r="AH889" s="108"/>
      <c r="AI889" s="108"/>
      <c r="AJ889" s="108"/>
      <c r="AK889" s="108"/>
      <c r="AL889" s="108"/>
      <c r="AM889" s="108"/>
      <c r="AN889" s="108"/>
      <c r="AO889" s="108"/>
      <c r="AP889" s="108"/>
      <c r="AQ889" s="108"/>
      <c r="AR889" s="108"/>
      <c r="AS889" s="108"/>
      <c r="AT889" s="108"/>
      <c r="AU889" s="108"/>
      <c r="AV889" s="108"/>
      <c r="AW889" s="108"/>
      <c r="AX889" s="108"/>
      <c r="AY889" s="108"/>
      <c r="AZ889" s="108"/>
    </row>
    <row r="890" spans="1:52" ht="14.2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  <c r="AF890" s="108"/>
      <c r="AG890" s="108"/>
      <c r="AH890" s="108"/>
      <c r="AI890" s="108"/>
      <c r="AJ890" s="108"/>
      <c r="AK890" s="108"/>
      <c r="AL890" s="108"/>
      <c r="AM890" s="108"/>
      <c r="AN890" s="108"/>
      <c r="AO890" s="108"/>
      <c r="AP890" s="108"/>
      <c r="AQ890" s="108"/>
      <c r="AR890" s="108"/>
      <c r="AS890" s="108"/>
      <c r="AT890" s="108"/>
      <c r="AU890" s="108"/>
      <c r="AV890" s="108"/>
      <c r="AW890" s="108"/>
      <c r="AX890" s="108"/>
      <c r="AY890" s="108"/>
      <c r="AZ890" s="108"/>
    </row>
    <row r="891" spans="1:52" ht="14.2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  <c r="AF891" s="108"/>
      <c r="AG891" s="108"/>
      <c r="AH891" s="108"/>
      <c r="AI891" s="108"/>
      <c r="AJ891" s="108"/>
      <c r="AK891" s="108"/>
      <c r="AL891" s="108"/>
      <c r="AM891" s="108"/>
      <c r="AN891" s="108"/>
      <c r="AO891" s="108"/>
      <c r="AP891" s="108"/>
      <c r="AQ891" s="108"/>
      <c r="AR891" s="108"/>
      <c r="AS891" s="108"/>
      <c r="AT891" s="108"/>
      <c r="AU891" s="108"/>
      <c r="AV891" s="108"/>
      <c r="AW891" s="108"/>
      <c r="AX891" s="108"/>
      <c r="AY891" s="108"/>
      <c r="AZ891" s="108"/>
    </row>
    <row r="892" spans="1:52" ht="14.2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  <c r="AF892" s="108"/>
      <c r="AG892" s="108"/>
      <c r="AH892" s="108"/>
      <c r="AI892" s="108"/>
      <c r="AJ892" s="108"/>
      <c r="AK892" s="108"/>
      <c r="AL892" s="108"/>
      <c r="AM892" s="108"/>
      <c r="AN892" s="108"/>
      <c r="AO892" s="108"/>
      <c r="AP892" s="108"/>
      <c r="AQ892" s="108"/>
      <c r="AR892" s="108"/>
      <c r="AS892" s="108"/>
      <c r="AT892" s="108"/>
      <c r="AU892" s="108"/>
      <c r="AV892" s="108"/>
      <c r="AW892" s="108"/>
      <c r="AX892" s="108"/>
      <c r="AY892" s="108"/>
      <c r="AZ892" s="108"/>
    </row>
    <row r="893" spans="1:52" ht="14.2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  <c r="AF893" s="108"/>
      <c r="AG893" s="108"/>
      <c r="AH893" s="108"/>
      <c r="AI893" s="108"/>
      <c r="AJ893" s="108"/>
      <c r="AK893" s="108"/>
      <c r="AL893" s="108"/>
      <c r="AM893" s="108"/>
      <c r="AN893" s="108"/>
      <c r="AO893" s="108"/>
      <c r="AP893" s="108"/>
      <c r="AQ893" s="108"/>
      <c r="AR893" s="108"/>
      <c r="AS893" s="108"/>
      <c r="AT893" s="108"/>
      <c r="AU893" s="108"/>
      <c r="AV893" s="108"/>
      <c r="AW893" s="108"/>
      <c r="AX893" s="108"/>
      <c r="AY893" s="108"/>
      <c r="AZ893" s="108"/>
    </row>
    <row r="894" spans="1:52" ht="14.2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  <c r="AF894" s="108"/>
      <c r="AG894" s="108"/>
      <c r="AH894" s="108"/>
      <c r="AI894" s="108"/>
      <c r="AJ894" s="108"/>
      <c r="AK894" s="108"/>
      <c r="AL894" s="108"/>
      <c r="AM894" s="108"/>
      <c r="AN894" s="108"/>
      <c r="AO894" s="108"/>
      <c r="AP894" s="108"/>
      <c r="AQ894" s="108"/>
      <c r="AR894" s="108"/>
      <c r="AS894" s="108"/>
      <c r="AT894" s="108"/>
      <c r="AU894" s="108"/>
      <c r="AV894" s="108"/>
      <c r="AW894" s="108"/>
      <c r="AX894" s="108"/>
      <c r="AY894" s="108"/>
      <c r="AZ894" s="108"/>
    </row>
    <row r="895" spans="1:52" ht="14.2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  <c r="AF895" s="108"/>
      <c r="AG895" s="108"/>
      <c r="AH895" s="108"/>
      <c r="AI895" s="108"/>
      <c r="AJ895" s="108"/>
      <c r="AK895" s="108"/>
      <c r="AL895" s="108"/>
      <c r="AM895" s="108"/>
      <c r="AN895" s="108"/>
      <c r="AO895" s="108"/>
      <c r="AP895" s="108"/>
      <c r="AQ895" s="108"/>
      <c r="AR895" s="108"/>
      <c r="AS895" s="108"/>
      <c r="AT895" s="108"/>
      <c r="AU895" s="108"/>
      <c r="AV895" s="108"/>
      <c r="AW895" s="108"/>
      <c r="AX895" s="108"/>
      <c r="AY895" s="108"/>
      <c r="AZ895" s="108"/>
    </row>
    <row r="896" spans="1:52" ht="14.2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  <c r="AF896" s="108"/>
      <c r="AG896" s="108"/>
      <c r="AH896" s="108"/>
      <c r="AI896" s="108"/>
      <c r="AJ896" s="108"/>
      <c r="AK896" s="108"/>
      <c r="AL896" s="108"/>
      <c r="AM896" s="108"/>
      <c r="AN896" s="108"/>
      <c r="AO896" s="108"/>
      <c r="AP896" s="108"/>
      <c r="AQ896" s="108"/>
      <c r="AR896" s="108"/>
      <c r="AS896" s="108"/>
      <c r="AT896" s="108"/>
      <c r="AU896" s="108"/>
      <c r="AV896" s="108"/>
      <c r="AW896" s="108"/>
      <c r="AX896" s="108"/>
      <c r="AY896" s="108"/>
      <c r="AZ896" s="108"/>
    </row>
    <row r="897" spans="1:52" ht="14.2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/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</row>
    <row r="898" spans="1:52" ht="14.2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  <c r="AF898" s="108"/>
      <c r="AG898" s="108"/>
      <c r="AH898" s="108"/>
      <c r="AI898" s="108"/>
      <c r="AJ898" s="108"/>
      <c r="AK898" s="108"/>
      <c r="AL898" s="108"/>
      <c r="AM898" s="108"/>
      <c r="AN898" s="108"/>
      <c r="AO898" s="108"/>
      <c r="AP898" s="108"/>
      <c r="AQ898" s="108"/>
      <c r="AR898" s="108"/>
      <c r="AS898" s="108"/>
      <c r="AT898" s="108"/>
      <c r="AU898" s="108"/>
      <c r="AV898" s="108"/>
      <c r="AW898" s="108"/>
      <c r="AX898" s="108"/>
      <c r="AY898" s="108"/>
      <c r="AZ898" s="108"/>
    </row>
    <row r="899" spans="1:52" ht="14.2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  <c r="AF899" s="108"/>
      <c r="AG899" s="108"/>
      <c r="AH899" s="108"/>
      <c r="AI899" s="108"/>
      <c r="AJ899" s="108"/>
      <c r="AK899" s="108"/>
      <c r="AL899" s="108"/>
      <c r="AM899" s="108"/>
      <c r="AN899" s="108"/>
      <c r="AO899" s="108"/>
      <c r="AP899" s="108"/>
      <c r="AQ899" s="108"/>
      <c r="AR899" s="108"/>
      <c r="AS899" s="108"/>
      <c r="AT899" s="108"/>
      <c r="AU899" s="108"/>
      <c r="AV899" s="108"/>
      <c r="AW899" s="108"/>
      <c r="AX899" s="108"/>
      <c r="AY899" s="108"/>
      <c r="AZ899" s="108"/>
    </row>
    <row r="900" spans="1:52" ht="14.2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/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</row>
    <row r="901" spans="1:52" ht="14.2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  <c r="AF901" s="108"/>
      <c r="AG901" s="108"/>
      <c r="AH901" s="108"/>
      <c r="AI901" s="108"/>
      <c r="AJ901" s="108"/>
      <c r="AK901" s="108"/>
      <c r="AL901" s="108"/>
      <c r="AM901" s="108"/>
      <c r="AN901" s="108"/>
      <c r="AO901" s="108"/>
      <c r="AP901" s="108"/>
      <c r="AQ901" s="108"/>
      <c r="AR901" s="108"/>
      <c r="AS901" s="108"/>
      <c r="AT901" s="108"/>
      <c r="AU901" s="108"/>
      <c r="AV901" s="108"/>
      <c r="AW901" s="108"/>
      <c r="AX901" s="108"/>
      <c r="AY901" s="108"/>
      <c r="AZ901" s="108"/>
    </row>
    <row r="902" spans="1:52" ht="14.2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  <c r="AF902" s="108"/>
      <c r="AG902" s="108"/>
      <c r="AH902" s="108"/>
      <c r="AI902" s="108"/>
      <c r="AJ902" s="108"/>
      <c r="AK902" s="108"/>
      <c r="AL902" s="108"/>
      <c r="AM902" s="108"/>
      <c r="AN902" s="108"/>
      <c r="AO902" s="108"/>
      <c r="AP902" s="108"/>
      <c r="AQ902" s="108"/>
      <c r="AR902" s="108"/>
      <c r="AS902" s="108"/>
      <c r="AT902" s="108"/>
      <c r="AU902" s="108"/>
      <c r="AV902" s="108"/>
      <c r="AW902" s="108"/>
      <c r="AX902" s="108"/>
      <c r="AY902" s="108"/>
      <c r="AZ902" s="108"/>
    </row>
    <row r="903" spans="1:52" ht="14.2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  <c r="AF903" s="108"/>
      <c r="AG903" s="108"/>
      <c r="AH903" s="108"/>
      <c r="AI903" s="108"/>
      <c r="AJ903" s="108"/>
      <c r="AK903" s="108"/>
      <c r="AL903" s="108"/>
      <c r="AM903" s="108"/>
      <c r="AN903" s="108"/>
      <c r="AO903" s="108"/>
      <c r="AP903" s="108"/>
      <c r="AQ903" s="108"/>
      <c r="AR903" s="108"/>
      <c r="AS903" s="108"/>
      <c r="AT903" s="108"/>
      <c r="AU903" s="108"/>
      <c r="AV903" s="108"/>
      <c r="AW903" s="108"/>
      <c r="AX903" s="108"/>
      <c r="AY903" s="108"/>
      <c r="AZ903" s="108"/>
    </row>
    <row r="904" spans="1:52" ht="14.2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  <c r="AF904" s="108"/>
      <c r="AG904" s="108"/>
      <c r="AH904" s="108"/>
      <c r="AI904" s="108"/>
      <c r="AJ904" s="108"/>
      <c r="AK904" s="108"/>
      <c r="AL904" s="108"/>
      <c r="AM904" s="108"/>
      <c r="AN904" s="108"/>
      <c r="AO904" s="108"/>
      <c r="AP904" s="108"/>
      <c r="AQ904" s="108"/>
      <c r="AR904" s="108"/>
      <c r="AS904" s="108"/>
      <c r="AT904" s="108"/>
      <c r="AU904" s="108"/>
      <c r="AV904" s="108"/>
      <c r="AW904" s="108"/>
      <c r="AX904" s="108"/>
      <c r="AY904" s="108"/>
      <c r="AZ904" s="108"/>
    </row>
    <row r="905" spans="1:52" ht="14.2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  <c r="AF905" s="108"/>
      <c r="AG905" s="108"/>
      <c r="AH905" s="108"/>
      <c r="AI905" s="108"/>
      <c r="AJ905" s="108"/>
      <c r="AK905" s="108"/>
      <c r="AL905" s="108"/>
      <c r="AM905" s="108"/>
      <c r="AN905" s="108"/>
      <c r="AO905" s="108"/>
      <c r="AP905" s="108"/>
      <c r="AQ905" s="108"/>
      <c r="AR905" s="108"/>
      <c r="AS905" s="108"/>
      <c r="AT905" s="108"/>
      <c r="AU905" s="108"/>
      <c r="AV905" s="108"/>
      <c r="AW905" s="108"/>
      <c r="AX905" s="108"/>
      <c r="AY905" s="108"/>
      <c r="AZ905" s="108"/>
    </row>
    <row r="906" spans="1:52" ht="14.2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  <c r="AG906" s="108"/>
      <c r="AH906" s="108"/>
      <c r="AI906" s="108"/>
      <c r="AJ906" s="108"/>
      <c r="AK906" s="108"/>
      <c r="AL906" s="108"/>
      <c r="AM906" s="108"/>
      <c r="AN906" s="108"/>
      <c r="AO906" s="108"/>
      <c r="AP906" s="108"/>
      <c r="AQ906" s="108"/>
      <c r="AR906" s="108"/>
      <c r="AS906" s="108"/>
      <c r="AT906" s="108"/>
      <c r="AU906" s="108"/>
      <c r="AV906" s="108"/>
      <c r="AW906" s="108"/>
      <c r="AX906" s="108"/>
      <c r="AY906" s="108"/>
      <c r="AZ906" s="108"/>
    </row>
    <row r="907" spans="1:52" ht="14.2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  <c r="AF907" s="108"/>
      <c r="AG907" s="108"/>
      <c r="AH907" s="108"/>
      <c r="AI907" s="108"/>
      <c r="AJ907" s="108"/>
      <c r="AK907" s="108"/>
      <c r="AL907" s="108"/>
      <c r="AM907" s="108"/>
      <c r="AN907" s="108"/>
      <c r="AO907" s="108"/>
      <c r="AP907" s="108"/>
      <c r="AQ907" s="108"/>
      <c r="AR907" s="108"/>
      <c r="AS907" s="108"/>
      <c r="AT907" s="108"/>
      <c r="AU907" s="108"/>
      <c r="AV907" s="108"/>
      <c r="AW907" s="108"/>
      <c r="AX907" s="108"/>
      <c r="AY907" s="108"/>
      <c r="AZ907" s="108"/>
    </row>
    <row r="908" spans="1:52" ht="14.2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  <c r="AF908" s="108"/>
      <c r="AG908" s="108"/>
      <c r="AH908" s="108"/>
      <c r="AI908" s="108"/>
      <c r="AJ908" s="108"/>
      <c r="AK908" s="108"/>
      <c r="AL908" s="108"/>
      <c r="AM908" s="108"/>
      <c r="AN908" s="108"/>
      <c r="AO908" s="108"/>
      <c r="AP908" s="108"/>
      <c r="AQ908" s="108"/>
      <c r="AR908" s="108"/>
      <c r="AS908" s="108"/>
      <c r="AT908" s="108"/>
      <c r="AU908" s="108"/>
      <c r="AV908" s="108"/>
      <c r="AW908" s="108"/>
      <c r="AX908" s="108"/>
      <c r="AY908" s="108"/>
      <c r="AZ908" s="108"/>
    </row>
    <row r="909" spans="1:52" ht="14.2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  <c r="AF909" s="108"/>
      <c r="AG909" s="108"/>
      <c r="AH909" s="108"/>
      <c r="AI909" s="108"/>
      <c r="AJ909" s="108"/>
      <c r="AK909" s="108"/>
      <c r="AL909" s="108"/>
      <c r="AM909" s="108"/>
      <c r="AN909" s="108"/>
      <c r="AO909" s="108"/>
      <c r="AP909" s="108"/>
      <c r="AQ909" s="108"/>
      <c r="AR909" s="108"/>
      <c r="AS909" s="108"/>
      <c r="AT909" s="108"/>
      <c r="AU909" s="108"/>
      <c r="AV909" s="108"/>
      <c r="AW909" s="108"/>
      <c r="AX909" s="108"/>
      <c r="AY909" s="108"/>
      <c r="AZ909" s="108"/>
    </row>
    <row r="910" spans="1:52" ht="14.2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  <c r="AG910" s="108"/>
      <c r="AH910" s="108"/>
      <c r="AI910" s="108"/>
      <c r="AJ910" s="108"/>
      <c r="AK910" s="108"/>
      <c r="AL910" s="108"/>
      <c r="AM910" s="108"/>
      <c r="AN910" s="108"/>
      <c r="AO910" s="108"/>
      <c r="AP910" s="108"/>
      <c r="AQ910" s="108"/>
      <c r="AR910" s="108"/>
      <c r="AS910" s="108"/>
      <c r="AT910" s="108"/>
      <c r="AU910" s="108"/>
      <c r="AV910" s="108"/>
      <c r="AW910" s="108"/>
      <c r="AX910" s="108"/>
      <c r="AY910" s="108"/>
      <c r="AZ910" s="108"/>
    </row>
    <row r="911" spans="1:52" ht="14.2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  <c r="AF911" s="108"/>
      <c r="AG911" s="108"/>
      <c r="AH911" s="108"/>
      <c r="AI911" s="108"/>
      <c r="AJ911" s="108"/>
      <c r="AK911" s="108"/>
      <c r="AL911" s="108"/>
      <c r="AM911" s="108"/>
      <c r="AN911" s="108"/>
      <c r="AO911" s="108"/>
      <c r="AP911" s="108"/>
      <c r="AQ911" s="108"/>
      <c r="AR911" s="108"/>
      <c r="AS911" s="108"/>
      <c r="AT911" s="108"/>
      <c r="AU911" s="108"/>
      <c r="AV911" s="108"/>
      <c r="AW911" s="108"/>
      <c r="AX911" s="108"/>
      <c r="AY911" s="108"/>
      <c r="AZ911" s="108"/>
    </row>
    <row r="912" spans="1:52" ht="14.2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  <c r="AF912" s="108"/>
      <c r="AG912" s="108"/>
      <c r="AH912" s="108"/>
      <c r="AI912" s="108"/>
      <c r="AJ912" s="108"/>
      <c r="AK912" s="108"/>
      <c r="AL912" s="108"/>
      <c r="AM912" s="108"/>
      <c r="AN912" s="108"/>
      <c r="AO912" s="108"/>
      <c r="AP912" s="108"/>
      <c r="AQ912" s="108"/>
      <c r="AR912" s="108"/>
      <c r="AS912" s="108"/>
      <c r="AT912" s="108"/>
      <c r="AU912" s="108"/>
      <c r="AV912" s="108"/>
      <c r="AW912" s="108"/>
      <c r="AX912" s="108"/>
      <c r="AY912" s="108"/>
      <c r="AZ912" s="108"/>
    </row>
    <row r="913" spans="1:52" ht="14.2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  <c r="AF913" s="108"/>
      <c r="AG913" s="108"/>
      <c r="AH913" s="108"/>
      <c r="AI913" s="108"/>
      <c r="AJ913" s="108"/>
      <c r="AK913" s="108"/>
      <c r="AL913" s="108"/>
      <c r="AM913" s="108"/>
      <c r="AN913" s="108"/>
      <c r="AO913" s="108"/>
      <c r="AP913" s="108"/>
      <c r="AQ913" s="108"/>
      <c r="AR913" s="108"/>
      <c r="AS913" s="108"/>
      <c r="AT913" s="108"/>
      <c r="AU913" s="108"/>
      <c r="AV913" s="108"/>
      <c r="AW913" s="108"/>
      <c r="AX913" s="108"/>
      <c r="AY913" s="108"/>
      <c r="AZ913" s="108"/>
    </row>
    <row r="914" spans="1:52" ht="14.2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  <c r="AF914" s="108"/>
      <c r="AG914" s="108"/>
      <c r="AH914" s="108"/>
      <c r="AI914" s="108"/>
      <c r="AJ914" s="108"/>
      <c r="AK914" s="108"/>
      <c r="AL914" s="108"/>
      <c r="AM914" s="108"/>
      <c r="AN914" s="108"/>
      <c r="AO914" s="108"/>
      <c r="AP914" s="108"/>
      <c r="AQ914" s="108"/>
      <c r="AR914" s="108"/>
      <c r="AS914" s="108"/>
      <c r="AT914" s="108"/>
      <c r="AU914" s="108"/>
      <c r="AV914" s="108"/>
      <c r="AW914" s="108"/>
      <c r="AX914" s="108"/>
      <c r="AY914" s="108"/>
      <c r="AZ914" s="108"/>
    </row>
    <row r="915" spans="1:52" ht="14.2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  <c r="AF915" s="108"/>
      <c r="AG915" s="108"/>
      <c r="AH915" s="108"/>
      <c r="AI915" s="108"/>
      <c r="AJ915" s="108"/>
      <c r="AK915" s="108"/>
      <c r="AL915" s="108"/>
      <c r="AM915" s="108"/>
      <c r="AN915" s="108"/>
      <c r="AO915" s="108"/>
      <c r="AP915" s="108"/>
      <c r="AQ915" s="108"/>
      <c r="AR915" s="108"/>
      <c r="AS915" s="108"/>
      <c r="AT915" s="108"/>
      <c r="AU915" s="108"/>
      <c r="AV915" s="108"/>
      <c r="AW915" s="108"/>
      <c r="AX915" s="108"/>
      <c r="AY915" s="108"/>
      <c r="AZ915" s="108"/>
    </row>
    <row r="916" spans="1:52" ht="14.2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  <c r="AF916" s="108"/>
      <c r="AG916" s="108"/>
      <c r="AH916" s="108"/>
      <c r="AI916" s="108"/>
      <c r="AJ916" s="108"/>
      <c r="AK916" s="108"/>
      <c r="AL916" s="108"/>
      <c r="AM916" s="108"/>
      <c r="AN916" s="108"/>
      <c r="AO916" s="108"/>
      <c r="AP916" s="108"/>
      <c r="AQ916" s="108"/>
      <c r="AR916" s="108"/>
      <c r="AS916" s="108"/>
      <c r="AT916" s="108"/>
      <c r="AU916" s="108"/>
      <c r="AV916" s="108"/>
      <c r="AW916" s="108"/>
      <c r="AX916" s="108"/>
      <c r="AY916" s="108"/>
      <c r="AZ916" s="108"/>
    </row>
    <row r="917" spans="1:52" ht="14.2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  <c r="AF917" s="108"/>
      <c r="AG917" s="108"/>
      <c r="AH917" s="108"/>
      <c r="AI917" s="108"/>
      <c r="AJ917" s="108"/>
      <c r="AK917" s="108"/>
      <c r="AL917" s="108"/>
      <c r="AM917" s="108"/>
      <c r="AN917" s="108"/>
      <c r="AO917" s="108"/>
      <c r="AP917" s="108"/>
      <c r="AQ917" s="108"/>
      <c r="AR917" s="108"/>
      <c r="AS917" s="108"/>
      <c r="AT917" s="108"/>
      <c r="AU917" s="108"/>
      <c r="AV917" s="108"/>
      <c r="AW917" s="108"/>
      <c r="AX917" s="108"/>
      <c r="AY917" s="108"/>
      <c r="AZ917" s="108"/>
    </row>
    <row r="918" spans="1:52" ht="14.2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  <c r="AF918" s="108"/>
      <c r="AG918" s="108"/>
      <c r="AH918" s="108"/>
      <c r="AI918" s="108"/>
      <c r="AJ918" s="108"/>
      <c r="AK918" s="108"/>
      <c r="AL918" s="108"/>
      <c r="AM918" s="108"/>
      <c r="AN918" s="108"/>
      <c r="AO918" s="108"/>
      <c r="AP918" s="108"/>
      <c r="AQ918" s="108"/>
      <c r="AR918" s="108"/>
      <c r="AS918" s="108"/>
      <c r="AT918" s="108"/>
      <c r="AU918" s="108"/>
      <c r="AV918" s="108"/>
      <c r="AW918" s="108"/>
      <c r="AX918" s="108"/>
      <c r="AY918" s="108"/>
      <c r="AZ918" s="108"/>
    </row>
    <row r="919" spans="1:52" ht="14.2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  <c r="AF919" s="108"/>
      <c r="AG919" s="108"/>
      <c r="AH919" s="108"/>
      <c r="AI919" s="108"/>
      <c r="AJ919" s="108"/>
      <c r="AK919" s="108"/>
      <c r="AL919" s="108"/>
      <c r="AM919" s="108"/>
      <c r="AN919" s="108"/>
      <c r="AO919" s="108"/>
      <c r="AP919" s="108"/>
      <c r="AQ919" s="108"/>
      <c r="AR919" s="108"/>
      <c r="AS919" s="108"/>
      <c r="AT919" s="108"/>
      <c r="AU919" s="108"/>
      <c r="AV919" s="108"/>
      <c r="AW919" s="108"/>
      <c r="AX919" s="108"/>
      <c r="AY919" s="108"/>
      <c r="AZ919" s="108"/>
    </row>
    <row r="920" spans="1:52" ht="14.2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  <c r="AF920" s="108"/>
      <c r="AG920" s="108"/>
      <c r="AH920" s="108"/>
      <c r="AI920" s="108"/>
      <c r="AJ920" s="108"/>
      <c r="AK920" s="108"/>
      <c r="AL920" s="108"/>
      <c r="AM920" s="108"/>
      <c r="AN920" s="108"/>
      <c r="AO920" s="108"/>
      <c r="AP920" s="108"/>
      <c r="AQ920" s="108"/>
      <c r="AR920" s="108"/>
      <c r="AS920" s="108"/>
      <c r="AT920" s="108"/>
      <c r="AU920" s="108"/>
      <c r="AV920" s="108"/>
      <c r="AW920" s="108"/>
      <c r="AX920" s="108"/>
      <c r="AY920" s="108"/>
      <c r="AZ920" s="108"/>
    </row>
    <row r="921" spans="1:52" ht="14.2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  <c r="AF921" s="108"/>
      <c r="AG921" s="108"/>
      <c r="AH921" s="108"/>
      <c r="AI921" s="108"/>
      <c r="AJ921" s="108"/>
      <c r="AK921" s="108"/>
      <c r="AL921" s="108"/>
      <c r="AM921" s="108"/>
      <c r="AN921" s="108"/>
      <c r="AO921" s="108"/>
      <c r="AP921" s="108"/>
      <c r="AQ921" s="108"/>
      <c r="AR921" s="108"/>
      <c r="AS921" s="108"/>
      <c r="AT921" s="108"/>
      <c r="AU921" s="108"/>
      <c r="AV921" s="108"/>
      <c r="AW921" s="108"/>
      <c r="AX921" s="108"/>
      <c r="AY921" s="108"/>
      <c r="AZ921" s="108"/>
    </row>
    <row r="922" spans="1:52" ht="14.2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  <c r="AF922" s="108"/>
      <c r="AG922" s="108"/>
      <c r="AH922" s="108"/>
      <c r="AI922" s="108"/>
      <c r="AJ922" s="108"/>
      <c r="AK922" s="108"/>
      <c r="AL922" s="108"/>
      <c r="AM922" s="108"/>
      <c r="AN922" s="108"/>
      <c r="AO922" s="108"/>
      <c r="AP922" s="108"/>
      <c r="AQ922" s="108"/>
      <c r="AR922" s="108"/>
      <c r="AS922" s="108"/>
      <c r="AT922" s="108"/>
      <c r="AU922" s="108"/>
      <c r="AV922" s="108"/>
      <c r="AW922" s="108"/>
      <c r="AX922" s="108"/>
      <c r="AY922" s="108"/>
      <c r="AZ922" s="108"/>
    </row>
    <row r="923" spans="1:52" ht="14.2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  <c r="AF923" s="108"/>
      <c r="AG923" s="108"/>
      <c r="AH923" s="108"/>
      <c r="AI923" s="108"/>
      <c r="AJ923" s="108"/>
      <c r="AK923" s="108"/>
      <c r="AL923" s="108"/>
      <c r="AM923" s="108"/>
      <c r="AN923" s="108"/>
      <c r="AO923" s="108"/>
      <c r="AP923" s="108"/>
      <c r="AQ923" s="108"/>
      <c r="AR923" s="108"/>
      <c r="AS923" s="108"/>
      <c r="AT923" s="108"/>
      <c r="AU923" s="108"/>
      <c r="AV923" s="108"/>
      <c r="AW923" s="108"/>
      <c r="AX923" s="108"/>
      <c r="AY923" s="108"/>
      <c r="AZ923" s="108"/>
    </row>
    <row r="924" spans="1:52" ht="14.2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  <c r="AF924" s="108"/>
      <c r="AG924" s="108"/>
      <c r="AH924" s="108"/>
      <c r="AI924" s="108"/>
      <c r="AJ924" s="108"/>
      <c r="AK924" s="108"/>
      <c r="AL924" s="108"/>
      <c r="AM924" s="108"/>
      <c r="AN924" s="108"/>
      <c r="AO924" s="108"/>
      <c r="AP924" s="108"/>
      <c r="AQ924" s="108"/>
      <c r="AR924" s="108"/>
      <c r="AS924" s="108"/>
      <c r="AT924" s="108"/>
      <c r="AU924" s="108"/>
      <c r="AV924" s="108"/>
      <c r="AW924" s="108"/>
      <c r="AX924" s="108"/>
      <c r="AY924" s="108"/>
      <c r="AZ924" s="108"/>
    </row>
    <row r="925" spans="1:52" ht="14.2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  <c r="AG925" s="108"/>
      <c r="AH925" s="108"/>
      <c r="AI925" s="108"/>
      <c r="AJ925" s="108"/>
      <c r="AK925" s="108"/>
      <c r="AL925" s="108"/>
      <c r="AM925" s="108"/>
      <c r="AN925" s="108"/>
      <c r="AO925" s="108"/>
      <c r="AP925" s="108"/>
      <c r="AQ925" s="108"/>
      <c r="AR925" s="108"/>
      <c r="AS925" s="108"/>
      <c r="AT925" s="108"/>
      <c r="AU925" s="108"/>
      <c r="AV925" s="108"/>
      <c r="AW925" s="108"/>
      <c r="AX925" s="108"/>
      <c r="AY925" s="108"/>
      <c r="AZ925" s="108"/>
    </row>
    <row r="926" spans="1:52" ht="14.2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  <c r="AF926" s="108"/>
      <c r="AG926" s="108"/>
      <c r="AH926" s="108"/>
      <c r="AI926" s="108"/>
      <c r="AJ926" s="108"/>
      <c r="AK926" s="108"/>
      <c r="AL926" s="108"/>
      <c r="AM926" s="108"/>
      <c r="AN926" s="108"/>
      <c r="AO926" s="108"/>
      <c r="AP926" s="108"/>
      <c r="AQ926" s="108"/>
      <c r="AR926" s="108"/>
      <c r="AS926" s="108"/>
      <c r="AT926" s="108"/>
      <c r="AU926" s="108"/>
      <c r="AV926" s="108"/>
      <c r="AW926" s="108"/>
      <c r="AX926" s="108"/>
      <c r="AY926" s="108"/>
      <c r="AZ926" s="108"/>
    </row>
    <row r="927" spans="1:52" ht="14.2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  <c r="AF927" s="108"/>
      <c r="AG927" s="108"/>
      <c r="AH927" s="108"/>
      <c r="AI927" s="108"/>
      <c r="AJ927" s="108"/>
      <c r="AK927" s="108"/>
      <c r="AL927" s="108"/>
      <c r="AM927" s="108"/>
      <c r="AN927" s="108"/>
      <c r="AO927" s="108"/>
      <c r="AP927" s="108"/>
      <c r="AQ927" s="108"/>
      <c r="AR927" s="108"/>
      <c r="AS927" s="108"/>
      <c r="AT927" s="108"/>
      <c r="AU927" s="108"/>
      <c r="AV927" s="108"/>
      <c r="AW927" s="108"/>
      <c r="AX927" s="108"/>
      <c r="AY927" s="108"/>
      <c r="AZ927" s="108"/>
    </row>
    <row r="928" spans="1:52" ht="14.2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  <c r="AG928" s="108"/>
      <c r="AH928" s="108"/>
      <c r="AI928" s="108"/>
      <c r="AJ928" s="108"/>
      <c r="AK928" s="108"/>
      <c r="AL928" s="108"/>
      <c r="AM928" s="108"/>
      <c r="AN928" s="108"/>
      <c r="AO928" s="108"/>
      <c r="AP928" s="108"/>
      <c r="AQ928" s="108"/>
      <c r="AR928" s="108"/>
      <c r="AS928" s="108"/>
      <c r="AT928" s="108"/>
      <c r="AU928" s="108"/>
      <c r="AV928" s="108"/>
      <c r="AW928" s="108"/>
      <c r="AX928" s="108"/>
      <c r="AY928" s="108"/>
      <c r="AZ928" s="108"/>
    </row>
    <row r="929" spans="1:52" ht="14.2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  <c r="AF929" s="108"/>
      <c r="AG929" s="108"/>
      <c r="AH929" s="108"/>
      <c r="AI929" s="108"/>
      <c r="AJ929" s="108"/>
      <c r="AK929" s="108"/>
      <c r="AL929" s="108"/>
      <c r="AM929" s="108"/>
      <c r="AN929" s="108"/>
      <c r="AO929" s="108"/>
      <c r="AP929" s="108"/>
      <c r="AQ929" s="108"/>
      <c r="AR929" s="108"/>
      <c r="AS929" s="108"/>
      <c r="AT929" s="108"/>
      <c r="AU929" s="108"/>
      <c r="AV929" s="108"/>
      <c r="AW929" s="108"/>
      <c r="AX929" s="108"/>
      <c r="AY929" s="108"/>
      <c r="AZ929" s="108"/>
    </row>
    <row r="930" spans="1:52" ht="14.2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  <c r="AF930" s="108"/>
      <c r="AG930" s="108"/>
      <c r="AH930" s="108"/>
      <c r="AI930" s="108"/>
      <c r="AJ930" s="108"/>
      <c r="AK930" s="108"/>
      <c r="AL930" s="108"/>
      <c r="AM930" s="108"/>
      <c r="AN930" s="108"/>
      <c r="AO930" s="108"/>
      <c r="AP930" s="108"/>
      <c r="AQ930" s="108"/>
      <c r="AR930" s="108"/>
      <c r="AS930" s="108"/>
      <c r="AT930" s="108"/>
      <c r="AU930" s="108"/>
      <c r="AV930" s="108"/>
      <c r="AW930" s="108"/>
      <c r="AX930" s="108"/>
      <c r="AY930" s="108"/>
      <c r="AZ930" s="108"/>
    </row>
    <row r="931" spans="1:52" ht="14.2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  <c r="AF931" s="108"/>
      <c r="AG931" s="108"/>
      <c r="AH931" s="108"/>
      <c r="AI931" s="108"/>
      <c r="AJ931" s="108"/>
      <c r="AK931" s="108"/>
      <c r="AL931" s="108"/>
      <c r="AM931" s="108"/>
      <c r="AN931" s="108"/>
      <c r="AO931" s="108"/>
      <c r="AP931" s="108"/>
      <c r="AQ931" s="108"/>
      <c r="AR931" s="108"/>
      <c r="AS931" s="108"/>
      <c r="AT931" s="108"/>
      <c r="AU931" s="108"/>
      <c r="AV931" s="108"/>
      <c r="AW931" s="108"/>
      <c r="AX931" s="108"/>
      <c r="AY931" s="108"/>
      <c r="AZ931" s="108"/>
    </row>
    <row r="932" spans="1:52" ht="14.2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  <c r="AG932" s="108"/>
      <c r="AH932" s="108"/>
      <c r="AI932" s="108"/>
      <c r="AJ932" s="108"/>
      <c r="AK932" s="108"/>
      <c r="AL932" s="108"/>
      <c r="AM932" s="108"/>
      <c r="AN932" s="108"/>
      <c r="AO932" s="108"/>
      <c r="AP932" s="108"/>
      <c r="AQ932" s="108"/>
      <c r="AR932" s="108"/>
      <c r="AS932" s="108"/>
      <c r="AT932" s="108"/>
      <c r="AU932" s="108"/>
      <c r="AV932" s="108"/>
      <c r="AW932" s="108"/>
      <c r="AX932" s="108"/>
      <c r="AY932" s="108"/>
      <c r="AZ932" s="108"/>
    </row>
    <row r="933" spans="1:52" ht="14.2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  <c r="AG933" s="108"/>
      <c r="AH933" s="108"/>
      <c r="AI933" s="108"/>
      <c r="AJ933" s="108"/>
      <c r="AK933" s="108"/>
      <c r="AL933" s="108"/>
      <c r="AM933" s="108"/>
      <c r="AN933" s="108"/>
      <c r="AO933" s="108"/>
      <c r="AP933" s="108"/>
      <c r="AQ933" s="108"/>
      <c r="AR933" s="108"/>
      <c r="AS933" s="108"/>
      <c r="AT933" s="108"/>
      <c r="AU933" s="108"/>
      <c r="AV933" s="108"/>
      <c r="AW933" s="108"/>
      <c r="AX933" s="108"/>
      <c r="AY933" s="108"/>
      <c r="AZ933" s="108"/>
    </row>
    <row r="934" spans="1:52" ht="14.2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  <c r="AG934" s="108"/>
      <c r="AH934" s="108"/>
      <c r="AI934" s="108"/>
      <c r="AJ934" s="108"/>
      <c r="AK934" s="108"/>
      <c r="AL934" s="108"/>
      <c r="AM934" s="108"/>
      <c r="AN934" s="108"/>
      <c r="AO934" s="108"/>
      <c r="AP934" s="108"/>
      <c r="AQ934" s="108"/>
      <c r="AR934" s="108"/>
      <c r="AS934" s="108"/>
      <c r="AT934" s="108"/>
      <c r="AU934" s="108"/>
      <c r="AV934" s="108"/>
      <c r="AW934" s="108"/>
      <c r="AX934" s="108"/>
      <c r="AY934" s="108"/>
      <c r="AZ934" s="108"/>
    </row>
    <row r="935" spans="1:52" ht="14.2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/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</row>
    <row r="936" spans="1:52" ht="14.2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  <c r="AF936" s="108"/>
      <c r="AG936" s="108"/>
      <c r="AH936" s="108"/>
      <c r="AI936" s="108"/>
      <c r="AJ936" s="108"/>
      <c r="AK936" s="108"/>
      <c r="AL936" s="108"/>
      <c r="AM936" s="108"/>
      <c r="AN936" s="108"/>
      <c r="AO936" s="108"/>
      <c r="AP936" s="108"/>
      <c r="AQ936" s="108"/>
      <c r="AR936" s="108"/>
      <c r="AS936" s="108"/>
      <c r="AT936" s="108"/>
      <c r="AU936" s="108"/>
      <c r="AV936" s="108"/>
      <c r="AW936" s="108"/>
      <c r="AX936" s="108"/>
      <c r="AY936" s="108"/>
      <c r="AZ936" s="108"/>
    </row>
    <row r="937" spans="1:52" ht="14.2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  <c r="AG937" s="108"/>
      <c r="AH937" s="108"/>
      <c r="AI937" s="108"/>
      <c r="AJ937" s="108"/>
      <c r="AK937" s="108"/>
      <c r="AL937" s="108"/>
      <c r="AM937" s="108"/>
      <c r="AN937" s="108"/>
      <c r="AO937" s="108"/>
      <c r="AP937" s="108"/>
      <c r="AQ937" s="108"/>
      <c r="AR937" s="108"/>
      <c r="AS937" s="108"/>
      <c r="AT937" s="108"/>
      <c r="AU937" s="108"/>
      <c r="AV937" s="108"/>
      <c r="AW937" s="108"/>
      <c r="AX937" s="108"/>
      <c r="AY937" s="108"/>
      <c r="AZ937" s="108"/>
    </row>
    <row r="938" spans="1:52" ht="14.2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/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</row>
    <row r="939" spans="1:52" ht="14.2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  <c r="AF939" s="108"/>
      <c r="AG939" s="108"/>
      <c r="AH939" s="108"/>
      <c r="AI939" s="108"/>
      <c r="AJ939" s="108"/>
      <c r="AK939" s="108"/>
      <c r="AL939" s="108"/>
      <c r="AM939" s="108"/>
      <c r="AN939" s="108"/>
      <c r="AO939" s="108"/>
      <c r="AP939" s="108"/>
      <c r="AQ939" s="108"/>
      <c r="AR939" s="108"/>
      <c r="AS939" s="108"/>
      <c r="AT939" s="108"/>
      <c r="AU939" s="108"/>
      <c r="AV939" s="108"/>
      <c r="AW939" s="108"/>
      <c r="AX939" s="108"/>
      <c r="AY939" s="108"/>
      <c r="AZ939" s="108"/>
    </row>
    <row r="940" spans="1:52" ht="14.2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  <c r="AG940" s="108"/>
      <c r="AH940" s="108"/>
      <c r="AI940" s="108"/>
      <c r="AJ940" s="108"/>
      <c r="AK940" s="108"/>
      <c r="AL940" s="108"/>
      <c r="AM940" s="108"/>
      <c r="AN940" s="108"/>
      <c r="AO940" s="108"/>
      <c r="AP940" s="108"/>
      <c r="AQ940" s="108"/>
      <c r="AR940" s="108"/>
      <c r="AS940" s="108"/>
      <c r="AT940" s="108"/>
      <c r="AU940" s="108"/>
      <c r="AV940" s="108"/>
      <c r="AW940" s="108"/>
      <c r="AX940" s="108"/>
      <c r="AY940" s="108"/>
      <c r="AZ940" s="108"/>
    </row>
    <row r="941" spans="1:52" ht="14.2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  <c r="AG941" s="108"/>
      <c r="AH941" s="108"/>
      <c r="AI941" s="108"/>
      <c r="AJ941" s="108"/>
      <c r="AK941" s="108"/>
      <c r="AL941" s="108"/>
      <c r="AM941" s="108"/>
      <c r="AN941" s="108"/>
      <c r="AO941" s="108"/>
      <c r="AP941" s="108"/>
      <c r="AQ941" s="108"/>
      <c r="AR941" s="108"/>
      <c r="AS941" s="108"/>
      <c r="AT941" s="108"/>
      <c r="AU941" s="108"/>
      <c r="AV941" s="108"/>
      <c r="AW941" s="108"/>
      <c r="AX941" s="108"/>
      <c r="AY941" s="108"/>
      <c r="AZ941" s="108"/>
    </row>
    <row r="942" spans="1:52" ht="14.2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  <c r="AG942" s="108"/>
      <c r="AH942" s="108"/>
      <c r="AI942" s="108"/>
      <c r="AJ942" s="108"/>
      <c r="AK942" s="108"/>
      <c r="AL942" s="108"/>
      <c r="AM942" s="108"/>
      <c r="AN942" s="108"/>
      <c r="AO942" s="108"/>
      <c r="AP942" s="108"/>
      <c r="AQ942" s="108"/>
      <c r="AR942" s="108"/>
      <c r="AS942" s="108"/>
      <c r="AT942" s="108"/>
      <c r="AU942" s="108"/>
      <c r="AV942" s="108"/>
      <c r="AW942" s="108"/>
      <c r="AX942" s="108"/>
      <c r="AY942" s="108"/>
      <c r="AZ942" s="108"/>
    </row>
    <row r="943" spans="1:52" ht="14.2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  <c r="AF943" s="108"/>
      <c r="AG943" s="108"/>
      <c r="AH943" s="108"/>
      <c r="AI943" s="108"/>
      <c r="AJ943" s="108"/>
      <c r="AK943" s="108"/>
      <c r="AL943" s="108"/>
      <c r="AM943" s="108"/>
      <c r="AN943" s="108"/>
      <c r="AO943" s="108"/>
      <c r="AP943" s="108"/>
      <c r="AQ943" s="108"/>
      <c r="AR943" s="108"/>
      <c r="AS943" s="108"/>
      <c r="AT943" s="108"/>
      <c r="AU943" s="108"/>
      <c r="AV943" s="108"/>
      <c r="AW943" s="108"/>
      <c r="AX943" s="108"/>
      <c r="AY943" s="108"/>
      <c r="AZ943" s="108"/>
    </row>
    <row r="944" spans="1:52" ht="14.2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  <c r="AF944" s="108"/>
      <c r="AG944" s="108"/>
      <c r="AH944" s="108"/>
      <c r="AI944" s="108"/>
      <c r="AJ944" s="108"/>
      <c r="AK944" s="108"/>
      <c r="AL944" s="108"/>
      <c r="AM944" s="108"/>
      <c r="AN944" s="108"/>
      <c r="AO944" s="108"/>
      <c r="AP944" s="108"/>
      <c r="AQ944" s="108"/>
      <c r="AR944" s="108"/>
      <c r="AS944" s="108"/>
      <c r="AT944" s="108"/>
      <c r="AU944" s="108"/>
      <c r="AV944" s="108"/>
      <c r="AW944" s="108"/>
      <c r="AX944" s="108"/>
      <c r="AY944" s="108"/>
      <c r="AZ944" s="108"/>
    </row>
    <row r="945" spans="1:52" ht="14.2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  <c r="AF945" s="108"/>
      <c r="AG945" s="108"/>
      <c r="AH945" s="108"/>
      <c r="AI945" s="108"/>
      <c r="AJ945" s="108"/>
      <c r="AK945" s="108"/>
      <c r="AL945" s="108"/>
      <c r="AM945" s="108"/>
      <c r="AN945" s="108"/>
      <c r="AO945" s="108"/>
      <c r="AP945" s="108"/>
      <c r="AQ945" s="108"/>
      <c r="AR945" s="108"/>
      <c r="AS945" s="108"/>
      <c r="AT945" s="108"/>
      <c r="AU945" s="108"/>
      <c r="AV945" s="108"/>
      <c r="AW945" s="108"/>
      <c r="AX945" s="108"/>
      <c r="AY945" s="108"/>
      <c r="AZ945" s="108"/>
    </row>
    <row r="946" spans="1:52" ht="14.2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  <c r="AF946" s="108"/>
      <c r="AG946" s="108"/>
      <c r="AH946" s="108"/>
      <c r="AI946" s="108"/>
      <c r="AJ946" s="108"/>
      <c r="AK946" s="108"/>
      <c r="AL946" s="108"/>
      <c r="AM946" s="108"/>
      <c r="AN946" s="108"/>
      <c r="AO946" s="108"/>
      <c r="AP946" s="108"/>
      <c r="AQ946" s="108"/>
      <c r="AR946" s="108"/>
      <c r="AS946" s="108"/>
      <c r="AT946" s="108"/>
      <c r="AU946" s="108"/>
      <c r="AV946" s="108"/>
      <c r="AW946" s="108"/>
      <c r="AX946" s="108"/>
      <c r="AY946" s="108"/>
      <c r="AZ946" s="108"/>
    </row>
    <row r="947" spans="1:52" ht="14.2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  <c r="AF947" s="108"/>
      <c r="AG947" s="108"/>
      <c r="AH947" s="108"/>
      <c r="AI947" s="108"/>
      <c r="AJ947" s="108"/>
      <c r="AK947" s="108"/>
      <c r="AL947" s="108"/>
      <c r="AM947" s="108"/>
      <c r="AN947" s="108"/>
      <c r="AO947" s="108"/>
      <c r="AP947" s="108"/>
      <c r="AQ947" s="108"/>
      <c r="AR947" s="108"/>
      <c r="AS947" s="108"/>
      <c r="AT947" s="108"/>
      <c r="AU947" s="108"/>
      <c r="AV947" s="108"/>
      <c r="AW947" s="108"/>
      <c r="AX947" s="108"/>
      <c r="AY947" s="108"/>
      <c r="AZ947" s="108"/>
    </row>
    <row r="948" spans="1:52" ht="14.2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  <c r="AE948" s="108"/>
      <c r="AF948" s="108"/>
      <c r="AG948" s="108"/>
      <c r="AH948" s="108"/>
      <c r="AI948" s="108"/>
      <c r="AJ948" s="108"/>
      <c r="AK948" s="108"/>
      <c r="AL948" s="108"/>
      <c r="AM948" s="108"/>
      <c r="AN948" s="108"/>
      <c r="AO948" s="108"/>
      <c r="AP948" s="108"/>
      <c r="AQ948" s="108"/>
      <c r="AR948" s="108"/>
      <c r="AS948" s="108"/>
      <c r="AT948" s="108"/>
      <c r="AU948" s="108"/>
      <c r="AV948" s="108"/>
      <c r="AW948" s="108"/>
      <c r="AX948" s="108"/>
      <c r="AY948" s="108"/>
      <c r="AZ948" s="108"/>
    </row>
    <row r="949" spans="1:52" ht="14.2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  <c r="AE949" s="108"/>
      <c r="AF949" s="108"/>
      <c r="AG949" s="108"/>
      <c r="AH949" s="108"/>
      <c r="AI949" s="108"/>
      <c r="AJ949" s="108"/>
      <c r="AK949" s="108"/>
      <c r="AL949" s="108"/>
      <c r="AM949" s="108"/>
      <c r="AN949" s="108"/>
      <c r="AO949" s="108"/>
      <c r="AP949" s="108"/>
      <c r="AQ949" s="108"/>
      <c r="AR949" s="108"/>
      <c r="AS949" s="108"/>
      <c r="AT949" s="108"/>
      <c r="AU949" s="108"/>
      <c r="AV949" s="108"/>
      <c r="AW949" s="108"/>
      <c r="AX949" s="108"/>
      <c r="AY949" s="108"/>
      <c r="AZ949" s="108"/>
    </row>
    <row r="950" spans="1:52" ht="14.2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  <c r="AE950" s="108"/>
      <c r="AF950" s="108"/>
      <c r="AG950" s="108"/>
      <c r="AH950" s="108"/>
      <c r="AI950" s="108"/>
      <c r="AJ950" s="108"/>
      <c r="AK950" s="108"/>
      <c r="AL950" s="108"/>
      <c r="AM950" s="108"/>
      <c r="AN950" s="108"/>
      <c r="AO950" s="108"/>
      <c r="AP950" s="108"/>
      <c r="AQ950" s="108"/>
      <c r="AR950" s="108"/>
      <c r="AS950" s="108"/>
      <c r="AT950" s="108"/>
      <c r="AU950" s="108"/>
      <c r="AV950" s="108"/>
      <c r="AW950" s="108"/>
      <c r="AX950" s="108"/>
      <c r="AY950" s="108"/>
      <c r="AZ950" s="108"/>
    </row>
    <row r="951" spans="1:52" ht="14.2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  <c r="AE951" s="108"/>
      <c r="AF951" s="108"/>
      <c r="AG951" s="108"/>
      <c r="AH951" s="108"/>
      <c r="AI951" s="108"/>
      <c r="AJ951" s="108"/>
      <c r="AK951" s="108"/>
      <c r="AL951" s="108"/>
      <c r="AM951" s="108"/>
      <c r="AN951" s="108"/>
      <c r="AO951" s="108"/>
      <c r="AP951" s="108"/>
      <c r="AQ951" s="108"/>
      <c r="AR951" s="108"/>
      <c r="AS951" s="108"/>
      <c r="AT951" s="108"/>
      <c r="AU951" s="108"/>
      <c r="AV951" s="108"/>
      <c r="AW951" s="108"/>
      <c r="AX951" s="108"/>
      <c r="AY951" s="108"/>
      <c r="AZ951" s="108"/>
    </row>
    <row r="952" spans="1:52" ht="14.2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  <c r="AE952" s="108"/>
      <c r="AF952" s="108"/>
      <c r="AG952" s="108"/>
      <c r="AH952" s="108"/>
      <c r="AI952" s="108"/>
      <c r="AJ952" s="108"/>
      <c r="AK952" s="108"/>
      <c r="AL952" s="108"/>
      <c r="AM952" s="108"/>
      <c r="AN952" s="108"/>
      <c r="AO952" s="108"/>
      <c r="AP952" s="108"/>
      <c r="AQ952" s="108"/>
      <c r="AR952" s="108"/>
      <c r="AS952" s="108"/>
      <c r="AT952" s="108"/>
      <c r="AU952" s="108"/>
      <c r="AV952" s="108"/>
      <c r="AW952" s="108"/>
      <c r="AX952" s="108"/>
      <c r="AY952" s="108"/>
      <c r="AZ952" s="108"/>
    </row>
    <row r="953" spans="1:52" ht="14.2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  <c r="AE953" s="108"/>
      <c r="AF953" s="108"/>
      <c r="AG953" s="108"/>
      <c r="AH953" s="108"/>
      <c r="AI953" s="108"/>
      <c r="AJ953" s="108"/>
      <c r="AK953" s="108"/>
      <c r="AL953" s="108"/>
      <c r="AM953" s="108"/>
      <c r="AN953" s="108"/>
      <c r="AO953" s="108"/>
      <c r="AP953" s="108"/>
      <c r="AQ953" s="108"/>
      <c r="AR953" s="108"/>
      <c r="AS953" s="108"/>
      <c r="AT953" s="108"/>
      <c r="AU953" s="108"/>
      <c r="AV953" s="108"/>
      <c r="AW953" s="108"/>
      <c r="AX953" s="108"/>
      <c r="AY953" s="108"/>
      <c r="AZ953" s="108"/>
    </row>
    <row r="954" spans="1:52" ht="14.2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  <c r="AE954" s="108"/>
      <c r="AF954" s="108"/>
      <c r="AG954" s="108"/>
      <c r="AH954" s="108"/>
      <c r="AI954" s="108"/>
      <c r="AJ954" s="108"/>
      <c r="AK954" s="108"/>
      <c r="AL954" s="108"/>
      <c r="AM954" s="108"/>
      <c r="AN954" s="108"/>
      <c r="AO954" s="108"/>
      <c r="AP954" s="108"/>
      <c r="AQ954" s="108"/>
      <c r="AR954" s="108"/>
      <c r="AS954" s="108"/>
      <c r="AT954" s="108"/>
      <c r="AU954" s="108"/>
      <c r="AV954" s="108"/>
      <c r="AW954" s="108"/>
      <c r="AX954" s="108"/>
      <c r="AY954" s="108"/>
      <c r="AZ954" s="108"/>
    </row>
    <row r="955" spans="1:52" ht="14.2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  <c r="AE955" s="108"/>
      <c r="AF955" s="108"/>
      <c r="AG955" s="108"/>
      <c r="AH955" s="108"/>
      <c r="AI955" s="108"/>
      <c r="AJ955" s="108"/>
      <c r="AK955" s="108"/>
      <c r="AL955" s="108"/>
      <c r="AM955" s="108"/>
      <c r="AN955" s="108"/>
      <c r="AO955" s="108"/>
      <c r="AP955" s="108"/>
      <c r="AQ955" s="108"/>
      <c r="AR955" s="108"/>
      <c r="AS955" s="108"/>
      <c r="AT955" s="108"/>
      <c r="AU955" s="108"/>
      <c r="AV955" s="108"/>
      <c r="AW955" s="108"/>
      <c r="AX955" s="108"/>
      <c r="AY955" s="108"/>
      <c r="AZ955" s="108"/>
    </row>
    <row r="956" spans="1:52" ht="14.2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  <c r="AE956" s="108"/>
      <c r="AF956" s="108"/>
      <c r="AG956" s="108"/>
      <c r="AH956" s="108"/>
      <c r="AI956" s="108"/>
      <c r="AJ956" s="108"/>
      <c r="AK956" s="108"/>
      <c r="AL956" s="108"/>
      <c r="AM956" s="108"/>
      <c r="AN956" s="108"/>
      <c r="AO956" s="108"/>
      <c r="AP956" s="108"/>
      <c r="AQ956" s="108"/>
      <c r="AR956" s="108"/>
      <c r="AS956" s="108"/>
      <c r="AT956" s="108"/>
      <c r="AU956" s="108"/>
      <c r="AV956" s="108"/>
      <c r="AW956" s="108"/>
      <c r="AX956" s="108"/>
      <c r="AY956" s="108"/>
      <c r="AZ956" s="108"/>
    </row>
    <row r="957" spans="1:52" ht="14.2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  <c r="AE957" s="108"/>
      <c r="AF957" s="108"/>
      <c r="AG957" s="108"/>
      <c r="AH957" s="108"/>
      <c r="AI957" s="108"/>
      <c r="AJ957" s="108"/>
      <c r="AK957" s="108"/>
      <c r="AL957" s="108"/>
      <c r="AM957" s="108"/>
      <c r="AN957" s="108"/>
      <c r="AO957" s="108"/>
      <c r="AP957" s="108"/>
      <c r="AQ957" s="108"/>
      <c r="AR957" s="108"/>
      <c r="AS957" s="108"/>
      <c r="AT957" s="108"/>
      <c r="AU957" s="108"/>
      <c r="AV957" s="108"/>
      <c r="AW957" s="108"/>
      <c r="AX957" s="108"/>
      <c r="AY957" s="108"/>
      <c r="AZ957" s="108"/>
    </row>
    <row r="958" spans="1:52" ht="14.2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  <c r="AF958" s="108"/>
      <c r="AG958" s="108"/>
      <c r="AH958" s="108"/>
      <c r="AI958" s="108"/>
      <c r="AJ958" s="108"/>
      <c r="AK958" s="108"/>
      <c r="AL958" s="108"/>
      <c r="AM958" s="108"/>
      <c r="AN958" s="108"/>
      <c r="AO958" s="108"/>
      <c r="AP958" s="108"/>
      <c r="AQ958" s="108"/>
      <c r="AR958" s="108"/>
      <c r="AS958" s="108"/>
      <c r="AT958" s="108"/>
      <c r="AU958" s="108"/>
      <c r="AV958" s="108"/>
      <c r="AW958" s="108"/>
      <c r="AX958" s="108"/>
      <c r="AY958" s="108"/>
      <c r="AZ958" s="108"/>
    </row>
    <row r="959" spans="1:52" ht="14.2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  <c r="AF959" s="108"/>
      <c r="AG959" s="108"/>
      <c r="AH959" s="108"/>
      <c r="AI959" s="108"/>
      <c r="AJ959" s="108"/>
      <c r="AK959" s="108"/>
      <c r="AL959" s="108"/>
      <c r="AM959" s="108"/>
      <c r="AN959" s="108"/>
      <c r="AO959" s="108"/>
      <c r="AP959" s="108"/>
      <c r="AQ959" s="108"/>
      <c r="AR959" s="108"/>
      <c r="AS959" s="108"/>
      <c r="AT959" s="108"/>
      <c r="AU959" s="108"/>
      <c r="AV959" s="108"/>
      <c r="AW959" s="108"/>
      <c r="AX959" s="108"/>
      <c r="AY959" s="108"/>
      <c r="AZ959" s="108"/>
    </row>
    <row r="960" spans="1:52" ht="14.2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  <c r="AE960" s="108"/>
      <c r="AF960" s="108"/>
      <c r="AG960" s="108"/>
      <c r="AH960" s="108"/>
      <c r="AI960" s="108"/>
      <c r="AJ960" s="108"/>
      <c r="AK960" s="108"/>
      <c r="AL960" s="108"/>
      <c r="AM960" s="108"/>
      <c r="AN960" s="108"/>
      <c r="AO960" s="108"/>
      <c r="AP960" s="108"/>
      <c r="AQ960" s="108"/>
      <c r="AR960" s="108"/>
      <c r="AS960" s="108"/>
      <c r="AT960" s="108"/>
      <c r="AU960" s="108"/>
      <c r="AV960" s="108"/>
      <c r="AW960" s="108"/>
      <c r="AX960" s="108"/>
      <c r="AY960" s="108"/>
      <c r="AZ960" s="108"/>
    </row>
    <row r="961" spans="1:52" ht="14.2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  <c r="AE961" s="108"/>
      <c r="AF961" s="108"/>
      <c r="AG961" s="108"/>
      <c r="AH961" s="108"/>
      <c r="AI961" s="108"/>
      <c r="AJ961" s="108"/>
      <c r="AK961" s="108"/>
      <c r="AL961" s="108"/>
      <c r="AM961" s="108"/>
      <c r="AN961" s="108"/>
      <c r="AO961" s="108"/>
      <c r="AP961" s="108"/>
      <c r="AQ961" s="108"/>
      <c r="AR961" s="108"/>
      <c r="AS961" s="108"/>
      <c r="AT961" s="108"/>
      <c r="AU961" s="108"/>
      <c r="AV961" s="108"/>
      <c r="AW961" s="108"/>
      <c r="AX961" s="108"/>
      <c r="AY961" s="108"/>
      <c r="AZ961" s="108"/>
    </row>
    <row r="962" spans="1:52" ht="14.2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  <c r="AE962" s="108"/>
      <c r="AF962" s="108"/>
      <c r="AG962" s="108"/>
      <c r="AH962" s="108"/>
      <c r="AI962" s="108"/>
      <c r="AJ962" s="108"/>
      <c r="AK962" s="108"/>
      <c r="AL962" s="108"/>
      <c r="AM962" s="108"/>
      <c r="AN962" s="108"/>
      <c r="AO962" s="108"/>
      <c r="AP962" s="108"/>
      <c r="AQ962" s="108"/>
      <c r="AR962" s="108"/>
      <c r="AS962" s="108"/>
      <c r="AT962" s="108"/>
      <c r="AU962" s="108"/>
      <c r="AV962" s="108"/>
      <c r="AW962" s="108"/>
      <c r="AX962" s="108"/>
      <c r="AY962" s="108"/>
      <c r="AZ962" s="108"/>
    </row>
    <row r="963" spans="1:52" ht="14.2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  <c r="AE963" s="108"/>
      <c r="AF963" s="108"/>
      <c r="AG963" s="108"/>
      <c r="AH963" s="108"/>
      <c r="AI963" s="108"/>
      <c r="AJ963" s="108"/>
      <c r="AK963" s="108"/>
      <c r="AL963" s="108"/>
      <c r="AM963" s="108"/>
      <c r="AN963" s="108"/>
      <c r="AO963" s="108"/>
      <c r="AP963" s="108"/>
      <c r="AQ963" s="108"/>
      <c r="AR963" s="108"/>
      <c r="AS963" s="108"/>
      <c r="AT963" s="108"/>
      <c r="AU963" s="108"/>
      <c r="AV963" s="108"/>
      <c r="AW963" s="108"/>
      <c r="AX963" s="108"/>
      <c r="AY963" s="108"/>
      <c r="AZ963" s="108"/>
    </row>
    <row r="964" spans="1:52" ht="14.2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  <c r="AE964" s="108"/>
      <c r="AF964" s="108"/>
      <c r="AG964" s="108"/>
      <c r="AH964" s="108"/>
      <c r="AI964" s="108"/>
      <c r="AJ964" s="108"/>
      <c r="AK964" s="108"/>
      <c r="AL964" s="108"/>
      <c r="AM964" s="108"/>
      <c r="AN964" s="108"/>
      <c r="AO964" s="108"/>
      <c r="AP964" s="108"/>
      <c r="AQ964" s="108"/>
      <c r="AR964" s="108"/>
      <c r="AS964" s="108"/>
      <c r="AT964" s="108"/>
      <c r="AU964" s="108"/>
      <c r="AV964" s="108"/>
      <c r="AW964" s="108"/>
      <c r="AX964" s="108"/>
      <c r="AY964" s="108"/>
      <c r="AZ964" s="108"/>
    </row>
    <row r="965" spans="1:52" ht="14.2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  <c r="AE965" s="108"/>
      <c r="AF965" s="108"/>
      <c r="AG965" s="108"/>
      <c r="AH965" s="108"/>
      <c r="AI965" s="108"/>
      <c r="AJ965" s="108"/>
      <c r="AK965" s="108"/>
      <c r="AL965" s="108"/>
      <c r="AM965" s="108"/>
      <c r="AN965" s="108"/>
      <c r="AO965" s="108"/>
      <c r="AP965" s="108"/>
      <c r="AQ965" s="108"/>
      <c r="AR965" s="108"/>
      <c r="AS965" s="108"/>
      <c r="AT965" s="108"/>
      <c r="AU965" s="108"/>
      <c r="AV965" s="108"/>
      <c r="AW965" s="108"/>
      <c r="AX965" s="108"/>
      <c r="AY965" s="108"/>
      <c r="AZ965" s="108"/>
    </row>
    <row r="966" spans="1:52" ht="14.2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  <c r="AE966" s="108"/>
      <c r="AF966" s="108"/>
      <c r="AG966" s="108"/>
      <c r="AH966" s="108"/>
      <c r="AI966" s="108"/>
      <c r="AJ966" s="108"/>
      <c r="AK966" s="108"/>
      <c r="AL966" s="108"/>
      <c r="AM966" s="108"/>
      <c r="AN966" s="108"/>
      <c r="AO966" s="108"/>
      <c r="AP966" s="108"/>
      <c r="AQ966" s="108"/>
      <c r="AR966" s="108"/>
      <c r="AS966" s="108"/>
      <c r="AT966" s="108"/>
      <c r="AU966" s="108"/>
      <c r="AV966" s="108"/>
      <c r="AW966" s="108"/>
      <c r="AX966" s="108"/>
      <c r="AY966" s="108"/>
      <c r="AZ966" s="108"/>
    </row>
    <row r="967" spans="1:52" ht="14.2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  <c r="AE967" s="108"/>
      <c r="AF967" s="108"/>
      <c r="AG967" s="108"/>
      <c r="AH967" s="108"/>
      <c r="AI967" s="108"/>
      <c r="AJ967" s="108"/>
      <c r="AK967" s="108"/>
      <c r="AL967" s="108"/>
      <c r="AM967" s="108"/>
      <c r="AN967" s="108"/>
      <c r="AO967" s="108"/>
      <c r="AP967" s="108"/>
      <c r="AQ967" s="108"/>
      <c r="AR967" s="108"/>
      <c r="AS967" s="108"/>
      <c r="AT967" s="108"/>
      <c r="AU967" s="108"/>
      <c r="AV967" s="108"/>
      <c r="AW967" s="108"/>
      <c r="AX967" s="108"/>
      <c r="AY967" s="108"/>
      <c r="AZ967" s="108"/>
    </row>
    <row r="968" spans="1:52" ht="14.2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  <c r="AE968" s="108"/>
      <c r="AF968" s="108"/>
      <c r="AG968" s="108"/>
      <c r="AH968" s="108"/>
      <c r="AI968" s="108"/>
      <c r="AJ968" s="108"/>
      <c r="AK968" s="108"/>
      <c r="AL968" s="108"/>
      <c r="AM968" s="108"/>
      <c r="AN968" s="108"/>
      <c r="AO968" s="108"/>
      <c r="AP968" s="108"/>
      <c r="AQ968" s="108"/>
      <c r="AR968" s="108"/>
      <c r="AS968" s="108"/>
      <c r="AT968" s="108"/>
      <c r="AU968" s="108"/>
      <c r="AV968" s="108"/>
      <c r="AW968" s="108"/>
      <c r="AX968" s="108"/>
      <c r="AY968" s="108"/>
      <c r="AZ968" s="108"/>
    </row>
    <row r="969" spans="1:52" ht="14.2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  <c r="AE969" s="108"/>
      <c r="AF969" s="108"/>
      <c r="AG969" s="108"/>
      <c r="AH969" s="108"/>
      <c r="AI969" s="108"/>
      <c r="AJ969" s="108"/>
      <c r="AK969" s="108"/>
      <c r="AL969" s="108"/>
      <c r="AM969" s="108"/>
      <c r="AN969" s="108"/>
      <c r="AO969" s="108"/>
      <c r="AP969" s="108"/>
      <c r="AQ969" s="108"/>
      <c r="AR969" s="108"/>
      <c r="AS969" s="108"/>
      <c r="AT969" s="108"/>
      <c r="AU969" s="108"/>
      <c r="AV969" s="108"/>
      <c r="AW969" s="108"/>
      <c r="AX969" s="108"/>
      <c r="AY969" s="108"/>
      <c r="AZ969" s="108"/>
    </row>
    <row r="970" spans="1:52" ht="14.2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  <c r="AE970" s="108"/>
      <c r="AF970" s="108"/>
      <c r="AG970" s="108"/>
      <c r="AH970" s="108"/>
      <c r="AI970" s="108"/>
      <c r="AJ970" s="108"/>
      <c r="AK970" s="108"/>
      <c r="AL970" s="108"/>
      <c r="AM970" s="108"/>
      <c r="AN970" s="108"/>
      <c r="AO970" s="108"/>
      <c r="AP970" s="108"/>
      <c r="AQ970" s="108"/>
      <c r="AR970" s="108"/>
      <c r="AS970" s="108"/>
      <c r="AT970" s="108"/>
      <c r="AU970" s="108"/>
      <c r="AV970" s="108"/>
      <c r="AW970" s="108"/>
      <c r="AX970" s="108"/>
      <c r="AY970" s="108"/>
      <c r="AZ970" s="108"/>
    </row>
    <row r="971" spans="1:52" ht="14.2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  <c r="AE971" s="108"/>
      <c r="AF971" s="108"/>
      <c r="AG971" s="108"/>
      <c r="AH971" s="108"/>
      <c r="AI971" s="108"/>
      <c r="AJ971" s="108"/>
      <c r="AK971" s="108"/>
      <c r="AL971" s="108"/>
      <c r="AM971" s="108"/>
      <c r="AN971" s="108"/>
      <c r="AO971" s="108"/>
      <c r="AP971" s="108"/>
      <c r="AQ971" s="108"/>
      <c r="AR971" s="108"/>
      <c r="AS971" s="108"/>
      <c r="AT971" s="108"/>
      <c r="AU971" s="108"/>
      <c r="AV971" s="108"/>
      <c r="AW971" s="108"/>
      <c r="AX971" s="108"/>
      <c r="AY971" s="108"/>
      <c r="AZ971" s="108"/>
    </row>
    <row r="972" spans="1:52" ht="14.2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  <c r="AE972" s="108"/>
      <c r="AF972" s="108"/>
      <c r="AG972" s="108"/>
      <c r="AH972" s="108"/>
      <c r="AI972" s="108"/>
      <c r="AJ972" s="108"/>
      <c r="AK972" s="108"/>
      <c r="AL972" s="108"/>
      <c r="AM972" s="108"/>
      <c r="AN972" s="108"/>
      <c r="AO972" s="108"/>
      <c r="AP972" s="108"/>
      <c r="AQ972" s="108"/>
      <c r="AR972" s="108"/>
      <c r="AS972" s="108"/>
      <c r="AT972" s="108"/>
      <c r="AU972" s="108"/>
      <c r="AV972" s="108"/>
      <c r="AW972" s="108"/>
      <c r="AX972" s="108"/>
      <c r="AY972" s="108"/>
      <c r="AZ972" s="108"/>
    </row>
    <row r="973" spans="1:52" ht="14.2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/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</row>
    <row r="974" spans="1:52" ht="14.2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  <c r="AE974" s="108"/>
      <c r="AF974" s="108"/>
      <c r="AG974" s="108"/>
      <c r="AH974" s="108"/>
      <c r="AI974" s="108"/>
      <c r="AJ974" s="108"/>
      <c r="AK974" s="108"/>
      <c r="AL974" s="108"/>
      <c r="AM974" s="108"/>
      <c r="AN974" s="108"/>
      <c r="AO974" s="108"/>
      <c r="AP974" s="108"/>
      <c r="AQ974" s="108"/>
      <c r="AR974" s="108"/>
      <c r="AS974" s="108"/>
      <c r="AT974" s="108"/>
      <c r="AU974" s="108"/>
      <c r="AV974" s="108"/>
      <c r="AW974" s="108"/>
      <c r="AX974" s="108"/>
      <c r="AY974" s="108"/>
      <c r="AZ974" s="108"/>
    </row>
    <row r="975" spans="1:52" ht="14.2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  <c r="AE975" s="108"/>
      <c r="AF975" s="108"/>
      <c r="AG975" s="108"/>
      <c r="AH975" s="108"/>
      <c r="AI975" s="108"/>
      <c r="AJ975" s="108"/>
      <c r="AK975" s="108"/>
      <c r="AL975" s="108"/>
      <c r="AM975" s="108"/>
      <c r="AN975" s="108"/>
      <c r="AO975" s="108"/>
      <c r="AP975" s="108"/>
      <c r="AQ975" s="108"/>
      <c r="AR975" s="108"/>
      <c r="AS975" s="108"/>
      <c r="AT975" s="108"/>
      <c r="AU975" s="108"/>
      <c r="AV975" s="108"/>
      <c r="AW975" s="108"/>
      <c r="AX975" s="108"/>
      <c r="AY975" s="108"/>
      <c r="AZ975" s="108"/>
    </row>
    <row r="976" spans="1:52" ht="14.2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/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</row>
    <row r="977" spans="1:52" ht="14.2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  <c r="AE977" s="108"/>
      <c r="AF977" s="108"/>
      <c r="AG977" s="108"/>
      <c r="AH977" s="108"/>
      <c r="AI977" s="108"/>
      <c r="AJ977" s="108"/>
      <c r="AK977" s="108"/>
      <c r="AL977" s="108"/>
      <c r="AM977" s="108"/>
      <c r="AN977" s="108"/>
      <c r="AO977" s="108"/>
      <c r="AP977" s="108"/>
      <c r="AQ977" s="108"/>
      <c r="AR977" s="108"/>
      <c r="AS977" s="108"/>
      <c r="AT977" s="108"/>
      <c r="AU977" s="108"/>
      <c r="AV977" s="108"/>
      <c r="AW977" s="108"/>
      <c r="AX977" s="108"/>
      <c r="AY977" s="108"/>
      <c r="AZ977" s="108"/>
    </row>
    <row r="978" spans="1:52" ht="14.2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  <c r="AE978" s="108"/>
      <c r="AF978" s="108"/>
      <c r="AG978" s="108"/>
      <c r="AH978" s="108"/>
      <c r="AI978" s="108"/>
      <c r="AJ978" s="108"/>
      <c r="AK978" s="108"/>
      <c r="AL978" s="108"/>
      <c r="AM978" s="108"/>
      <c r="AN978" s="108"/>
      <c r="AO978" s="108"/>
      <c r="AP978" s="108"/>
      <c r="AQ978" s="108"/>
      <c r="AR978" s="108"/>
      <c r="AS978" s="108"/>
      <c r="AT978" s="108"/>
      <c r="AU978" s="108"/>
      <c r="AV978" s="108"/>
      <c r="AW978" s="108"/>
      <c r="AX978" s="108"/>
      <c r="AY978" s="108"/>
      <c r="AZ978" s="108"/>
    </row>
    <row r="979" spans="1:52" ht="14.2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  <c r="AE979" s="108"/>
      <c r="AF979" s="108"/>
      <c r="AG979" s="108"/>
      <c r="AH979" s="108"/>
      <c r="AI979" s="108"/>
      <c r="AJ979" s="108"/>
      <c r="AK979" s="108"/>
      <c r="AL979" s="108"/>
      <c r="AM979" s="108"/>
      <c r="AN979" s="108"/>
      <c r="AO979" s="108"/>
      <c r="AP979" s="108"/>
      <c r="AQ979" s="108"/>
      <c r="AR979" s="108"/>
      <c r="AS979" s="108"/>
      <c r="AT979" s="108"/>
      <c r="AU979" s="108"/>
      <c r="AV979" s="108"/>
      <c r="AW979" s="108"/>
      <c r="AX979" s="108"/>
      <c r="AY979" s="108"/>
      <c r="AZ979" s="108"/>
    </row>
    <row r="980" spans="1:52" ht="14.2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  <c r="AE980" s="108"/>
      <c r="AF980" s="108"/>
      <c r="AG980" s="108"/>
      <c r="AH980" s="108"/>
      <c r="AI980" s="108"/>
      <c r="AJ980" s="108"/>
      <c r="AK980" s="108"/>
      <c r="AL980" s="108"/>
      <c r="AM980" s="108"/>
      <c r="AN980" s="108"/>
      <c r="AO980" s="108"/>
      <c r="AP980" s="108"/>
      <c r="AQ980" s="108"/>
      <c r="AR980" s="108"/>
      <c r="AS980" s="108"/>
      <c r="AT980" s="108"/>
      <c r="AU980" s="108"/>
      <c r="AV980" s="108"/>
      <c r="AW980" s="108"/>
      <c r="AX980" s="108"/>
      <c r="AY980" s="108"/>
      <c r="AZ980" s="108"/>
    </row>
    <row r="981" spans="1:52" ht="14.2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  <c r="AF981" s="108"/>
      <c r="AG981" s="108"/>
      <c r="AH981" s="108"/>
      <c r="AI981" s="108"/>
      <c r="AJ981" s="108"/>
      <c r="AK981" s="108"/>
      <c r="AL981" s="108"/>
      <c r="AM981" s="108"/>
      <c r="AN981" s="108"/>
      <c r="AO981" s="108"/>
      <c r="AP981" s="108"/>
      <c r="AQ981" s="108"/>
      <c r="AR981" s="108"/>
      <c r="AS981" s="108"/>
      <c r="AT981" s="108"/>
      <c r="AU981" s="108"/>
      <c r="AV981" s="108"/>
      <c r="AW981" s="108"/>
      <c r="AX981" s="108"/>
      <c r="AY981" s="108"/>
      <c r="AZ981" s="108"/>
    </row>
    <row r="982" spans="1:52" ht="14.2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  <c r="AE982" s="108"/>
      <c r="AF982" s="108"/>
      <c r="AG982" s="108"/>
      <c r="AH982" s="108"/>
      <c r="AI982" s="108"/>
      <c r="AJ982" s="108"/>
      <c r="AK982" s="108"/>
      <c r="AL982" s="108"/>
      <c r="AM982" s="108"/>
      <c r="AN982" s="108"/>
      <c r="AO982" s="108"/>
      <c r="AP982" s="108"/>
      <c r="AQ982" s="108"/>
      <c r="AR982" s="108"/>
      <c r="AS982" s="108"/>
      <c r="AT982" s="108"/>
      <c r="AU982" s="108"/>
      <c r="AV982" s="108"/>
      <c r="AW982" s="108"/>
      <c r="AX982" s="108"/>
      <c r="AY982" s="108"/>
      <c r="AZ982" s="108"/>
    </row>
    <row r="983" spans="1:52" ht="14.2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  <c r="AE983" s="108"/>
      <c r="AF983" s="108"/>
      <c r="AG983" s="108"/>
      <c r="AH983" s="108"/>
      <c r="AI983" s="108"/>
      <c r="AJ983" s="108"/>
      <c r="AK983" s="108"/>
      <c r="AL983" s="108"/>
      <c r="AM983" s="108"/>
      <c r="AN983" s="108"/>
      <c r="AO983" s="108"/>
      <c r="AP983" s="108"/>
      <c r="AQ983" s="108"/>
      <c r="AR983" s="108"/>
      <c r="AS983" s="108"/>
      <c r="AT983" s="108"/>
      <c r="AU983" s="108"/>
      <c r="AV983" s="108"/>
      <c r="AW983" s="108"/>
      <c r="AX983" s="108"/>
      <c r="AY983" s="108"/>
      <c r="AZ983" s="108"/>
    </row>
    <row r="984" spans="1:52" ht="14.2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  <c r="AE984" s="108"/>
      <c r="AF984" s="108"/>
      <c r="AG984" s="108"/>
      <c r="AH984" s="108"/>
      <c r="AI984" s="108"/>
      <c r="AJ984" s="108"/>
      <c r="AK984" s="108"/>
      <c r="AL984" s="108"/>
      <c r="AM984" s="108"/>
      <c r="AN984" s="108"/>
      <c r="AO984" s="108"/>
      <c r="AP984" s="108"/>
      <c r="AQ984" s="108"/>
      <c r="AR984" s="108"/>
      <c r="AS984" s="108"/>
      <c r="AT984" s="108"/>
      <c r="AU984" s="108"/>
      <c r="AV984" s="108"/>
      <c r="AW984" s="108"/>
      <c r="AX984" s="108"/>
      <c r="AY984" s="108"/>
      <c r="AZ984" s="108"/>
    </row>
    <row r="985" spans="1:52" ht="14.2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  <c r="AF985" s="108"/>
      <c r="AG985" s="108"/>
      <c r="AH985" s="108"/>
      <c r="AI985" s="108"/>
      <c r="AJ985" s="108"/>
      <c r="AK985" s="108"/>
      <c r="AL985" s="108"/>
      <c r="AM985" s="108"/>
      <c r="AN985" s="108"/>
      <c r="AO985" s="108"/>
      <c r="AP985" s="108"/>
      <c r="AQ985" s="108"/>
      <c r="AR985" s="108"/>
      <c r="AS985" s="108"/>
      <c r="AT985" s="108"/>
      <c r="AU985" s="108"/>
      <c r="AV985" s="108"/>
      <c r="AW985" s="108"/>
      <c r="AX985" s="108"/>
      <c r="AY985" s="108"/>
      <c r="AZ985" s="108"/>
    </row>
    <row r="986" spans="1:52" ht="14.2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  <c r="AF986" s="108"/>
      <c r="AG986" s="108"/>
      <c r="AH986" s="108"/>
      <c r="AI986" s="108"/>
      <c r="AJ986" s="108"/>
      <c r="AK986" s="108"/>
      <c r="AL986" s="108"/>
      <c r="AM986" s="108"/>
      <c r="AN986" s="108"/>
      <c r="AO986" s="108"/>
      <c r="AP986" s="108"/>
      <c r="AQ986" s="108"/>
      <c r="AR986" s="108"/>
      <c r="AS986" s="108"/>
      <c r="AT986" s="108"/>
      <c r="AU986" s="108"/>
      <c r="AV986" s="108"/>
      <c r="AW986" s="108"/>
      <c r="AX986" s="108"/>
      <c r="AY986" s="108"/>
      <c r="AZ986" s="108"/>
    </row>
    <row r="987" spans="1:52" ht="14.2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  <c r="AF987" s="108"/>
      <c r="AG987" s="108"/>
      <c r="AH987" s="108"/>
      <c r="AI987" s="108"/>
      <c r="AJ987" s="108"/>
      <c r="AK987" s="108"/>
      <c r="AL987" s="108"/>
      <c r="AM987" s="108"/>
      <c r="AN987" s="108"/>
      <c r="AO987" s="108"/>
      <c r="AP987" s="108"/>
      <c r="AQ987" s="108"/>
      <c r="AR987" s="108"/>
      <c r="AS987" s="108"/>
      <c r="AT987" s="108"/>
      <c r="AU987" s="108"/>
      <c r="AV987" s="108"/>
      <c r="AW987" s="108"/>
      <c r="AX987" s="108"/>
      <c r="AY987" s="108"/>
      <c r="AZ987" s="108"/>
    </row>
    <row r="988" spans="1:52" ht="14.2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  <c r="AF988" s="108"/>
      <c r="AG988" s="108"/>
      <c r="AH988" s="108"/>
      <c r="AI988" s="108"/>
      <c r="AJ988" s="108"/>
      <c r="AK988" s="108"/>
      <c r="AL988" s="108"/>
      <c r="AM988" s="108"/>
      <c r="AN988" s="108"/>
      <c r="AO988" s="108"/>
      <c r="AP988" s="108"/>
      <c r="AQ988" s="108"/>
      <c r="AR988" s="108"/>
      <c r="AS988" s="108"/>
      <c r="AT988" s="108"/>
      <c r="AU988" s="108"/>
      <c r="AV988" s="108"/>
      <c r="AW988" s="108"/>
      <c r="AX988" s="108"/>
      <c r="AY988" s="108"/>
      <c r="AZ988" s="108"/>
    </row>
    <row r="989" spans="1:52" ht="14.2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  <c r="AF989" s="108"/>
      <c r="AG989" s="108"/>
      <c r="AH989" s="108"/>
      <c r="AI989" s="108"/>
      <c r="AJ989" s="108"/>
      <c r="AK989" s="108"/>
      <c r="AL989" s="108"/>
      <c r="AM989" s="108"/>
      <c r="AN989" s="108"/>
      <c r="AO989" s="108"/>
      <c r="AP989" s="108"/>
      <c r="AQ989" s="108"/>
      <c r="AR989" s="108"/>
      <c r="AS989" s="108"/>
      <c r="AT989" s="108"/>
      <c r="AU989" s="108"/>
      <c r="AV989" s="108"/>
      <c r="AW989" s="108"/>
      <c r="AX989" s="108"/>
      <c r="AY989" s="108"/>
      <c r="AZ989" s="108"/>
    </row>
    <row r="990" spans="1:52" ht="14.2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  <c r="AF990" s="108"/>
      <c r="AG990" s="108"/>
      <c r="AH990" s="108"/>
      <c r="AI990" s="108"/>
      <c r="AJ990" s="108"/>
      <c r="AK990" s="108"/>
      <c r="AL990" s="108"/>
      <c r="AM990" s="108"/>
      <c r="AN990" s="108"/>
      <c r="AO990" s="108"/>
      <c r="AP990" s="108"/>
      <c r="AQ990" s="108"/>
      <c r="AR990" s="108"/>
      <c r="AS990" s="108"/>
      <c r="AT990" s="108"/>
      <c r="AU990" s="108"/>
      <c r="AV990" s="108"/>
      <c r="AW990" s="108"/>
      <c r="AX990" s="108"/>
      <c r="AY990" s="108"/>
      <c r="AZ990" s="108"/>
    </row>
    <row r="991" spans="1:52" ht="14.2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  <c r="AF991" s="108"/>
      <c r="AG991" s="108"/>
      <c r="AH991" s="108"/>
      <c r="AI991" s="108"/>
      <c r="AJ991" s="108"/>
      <c r="AK991" s="108"/>
      <c r="AL991" s="108"/>
      <c r="AM991" s="108"/>
      <c r="AN991" s="108"/>
      <c r="AO991" s="108"/>
      <c r="AP991" s="108"/>
      <c r="AQ991" s="108"/>
      <c r="AR991" s="108"/>
      <c r="AS991" s="108"/>
      <c r="AT991" s="108"/>
      <c r="AU991" s="108"/>
      <c r="AV991" s="108"/>
      <c r="AW991" s="108"/>
      <c r="AX991" s="108"/>
      <c r="AY991" s="108"/>
      <c r="AZ991" s="108"/>
    </row>
    <row r="992" spans="1:52" ht="14.2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  <c r="AE992" s="108"/>
      <c r="AF992" s="108"/>
      <c r="AG992" s="108"/>
      <c r="AH992" s="108"/>
      <c r="AI992" s="108"/>
      <c r="AJ992" s="108"/>
      <c r="AK992" s="108"/>
      <c r="AL992" s="108"/>
      <c r="AM992" s="108"/>
      <c r="AN992" s="108"/>
      <c r="AO992" s="108"/>
      <c r="AP992" s="108"/>
      <c r="AQ992" s="108"/>
      <c r="AR992" s="108"/>
      <c r="AS992" s="108"/>
      <c r="AT992" s="108"/>
      <c r="AU992" s="108"/>
      <c r="AV992" s="108"/>
      <c r="AW992" s="108"/>
      <c r="AX992" s="108"/>
      <c r="AY992" s="108"/>
      <c r="AZ992" s="108"/>
    </row>
    <row r="993" spans="1:52" ht="14.2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  <c r="AG993" s="108"/>
      <c r="AH993" s="108"/>
      <c r="AI993" s="108"/>
      <c r="AJ993" s="108"/>
      <c r="AK993" s="108"/>
      <c r="AL993" s="108"/>
      <c r="AM993" s="108"/>
      <c r="AN993" s="108"/>
      <c r="AO993" s="108"/>
      <c r="AP993" s="108"/>
      <c r="AQ993" s="108"/>
      <c r="AR993" s="108"/>
      <c r="AS993" s="108"/>
      <c r="AT993" s="108"/>
      <c r="AU993" s="108"/>
      <c r="AV993" s="108"/>
      <c r="AW993" s="108"/>
      <c r="AX993" s="108"/>
      <c r="AY993" s="108"/>
      <c r="AZ993" s="108"/>
    </row>
    <row r="994" spans="1:52" ht="14.2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  <c r="AE994" s="108"/>
      <c r="AF994" s="108"/>
      <c r="AG994" s="108"/>
      <c r="AH994" s="108"/>
      <c r="AI994" s="108"/>
      <c r="AJ994" s="108"/>
      <c r="AK994" s="108"/>
      <c r="AL994" s="108"/>
      <c r="AM994" s="108"/>
      <c r="AN994" s="108"/>
      <c r="AO994" s="108"/>
      <c r="AP994" s="108"/>
      <c r="AQ994" s="108"/>
      <c r="AR994" s="108"/>
      <c r="AS994" s="108"/>
      <c r="AT994" s="108"/>
      <c r="AU994" s="108"/>
      <c r="AV994" s="108"/>
      <c r="AW994" s="108"/>
      <c r="AX994" s="108"/>
      <c r="AY994" s="108"/>
      <c r="AZ994" s="108"/>
    </row>
    <row r="995" spans="1:52" ht="14.2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  <c r="AE995" s="108"/>
      <c r="AF995" s="108"/>
      <c r="AG995" s="108"/>
      <c r="AH995" s="108"/>
      <c r="AI995" s="108"/>
      <c r="AJ995" s="108"/>
      <c r="AK995" s="108"/>
      <c r="AL995" s="108"/>
      <c r="AM995" s="108"/>
      <c r="AN995" s="108"/>
      <c r="AO995" s="108"/>
      <c r="AP995" s="108"/>
      <c r="AQ995" s="108"/>
      <c r="AR995" s="108"/>
      <c r="AS995" s="108"/>
      <c r="AT995" s="108"/>
      <c r="AU995" s="108"/>
      <c r="AV995" s="108"/>
      <c r="AW995" s="108"/>
      <c r="AX995" s="108"/>
      <c r="AY995" s="108"/>
      <c r="AZ995" s="108"/>
    </row>
    <row r="996" spans="1:52" ht="14.2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  <c r="AE996" s="108"/>
      <c r="AF996" s="108"/>
      <c r="AG996" s="108"/>
      <c r="AH996" s="108"/>
      <c r="AI996" s="108"/>
      <c r="AJ996" s="108"/>
      <c r="AK996" s="108"/>
      <c r="AL996" s="108"/>
      <c r="AM996" s="108"/>
      <c r="AN996" s="108"/>
      <c r="AO996" s="108"/>
      <c r="AP996" s="108"/>
      <c r="AQ996" s="108"/>
      <c r="AR996" s="108"/>
      <c r="AS996" s="108"/>
      <c r="AT996" s="108"/>
      <c r="AU996" s="108"/>
      <c r="AV996" s="108"/>
      <c r="AW996" s="108"/>
      <c r="AX996" s="108"/>
      <c r="AY996" s="108"/>
      <c r="AZ996" s="108"/>
    </row>
    <row r="997" spans="1:52" ht="14.2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  <c r="AE997" s="108"/>
      <c r="AF997" s="108"/>
      <c r="AG997" s="108"/>
      <c r="AH997" s="108"/>
      <c r="AI997" s="108"/>
      <c r="AJ997" s="108"/>
      <c r="AK997" s="108"/>
      <c r="AL997" s="108"/>
      <c r="AM997" s="108"/>
      <c r="AN997" s="108"/>
      <c r="AO997" s="108"/>
      <c r="AP997" s="108"/>
      <c r="AQ997" s="108"/>
      <c r="AR997" s="108"/>
      <c r="AS997" s="108"/>
      <c r="AT997" s="108"/>
      <c r="AU997" s="108"/>
      <c r="AV997" s="108"/>
      <c r="AW997" s="108"/>
      <c r="AX997" s="108"/>
      <c r="AY997" s="108"/>
      <c r="AZ997" s="108"/>
    </row>
    <row r="998" spans="1:52" ht="14.2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  <c r="AE998" s="108"/>
      <c r="AF998" s="108"/>
      <c r="AG998" s="108"/>
      <c r="AH998" s="108"/>
      <c r="AI998" s="108"/>
      <c r="AJ998" s="108"/>
      <c r="AK998" s="108"/>
      <c r="AL998" s="108"/>
      <c r="AM998" s="108"/>
      <c r="AN998" s="108"/>
      <c r="AO998" s="108"/>
      <c r="AP998" s="108"/>
      <c r="AQ998" s="108"/>
      <c r="AR998" s="108"/>
      <c r="AS998" s="108"/>
      <c r="AT998" s="108"/>
      <c r="AU998" s="108"/>
      <c r="AV998" s="108"/>
      <c r="AW998" s="108"/>
      <c r="AX998" s="108"/>
      <c r="AY998" s="108"/>
      <c r="AZ998" s="108"/>
    </row>
    <row r="999" spans="1:52" ht="14.2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  <c r="AE999" s="108"/>
      <c r="AF999" s="108"/>
      <c r="AG999" s="108"/>
      <c r="AH999" s="108"/>
      <c r="AI999" s="108"/>
      <c r="AJ999" s="108"/>
      <c r="AK999" s="108"/>
      <c r="AL999" s="108"/>
      <c r="AM999" s="108"/>
      <c r="AN999" s="108"/>
      <c r="AO999" s="108"/>
      <c r="AP999" s="108"/>
      <c r="AQ999" s="108"/>
      <c r="AR999" s="108"/>
      <c r="AS999" s="108"/>
      <c r="AT999" s="108"/>
      <c r="AU999" s="108"/>
      <c r="AV999" s="108"/>
      <c r="AW999" s="108"/>
      <c r="AX999" s="108"/>
      <c r="AY999" s="108"/>
      <c r="AZ999" s="108"/>
    </row>
    <row r="1000" spans="1:52" ht="14.2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  <c r="AE1000" s="108"/>
      <c r="AF1000" s="108"/>
      <c r="AG1000" s="108"/>
      <c r="AH1000" s="108"/>
      <c r="AI1000" s="108"/>
      <c r="AJ1000" s="108"/>
      <c r="AK1000" s="108"/>
      <c r="AL1000" s="108"/>
      <c r="AM1000" s="108"/>
      <c r="AN1000" s="108"/>
      <c r="AO1000" s="108"/>
      <c r="AP1000" s="108"/>
      <c r="AQ1000" s="108"/>
      <c r="AR1000" s="108"/>
      <c r="AS1000" s="108"/>
      <c r="AT1000" s="108"/>
      <c r="AU1000" s="108"/>
      <c r="AV1000" s="108"/>
      <c r="AW1000" s="108"/>
      <c r="AX1000" s="108"/>
      <c r="AY1000" s="108"/>
      <c r="AZ1000" s="108"/>
    </row>
  </sheetData>
  <autoFilter ref="A2:AY21" xr:uid="{00000000-0009-0000-0000-000001000000}"/>
  <mergeCells count="15">
    <mergeCell ref="AM1:AO1"/>
    <mergeCell ref="AP1:AR1"/>
    <mergeCell ref="AS1:AU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</mergeCells>
  <conditionalFormatting sqref="B3:AZ23">
    <cfRule type="cellIs" dxfId="0" priority="1" operator="greaterThan">
      <formula>0</formula>
    </cfRule>
  </conditionalFormatting>
  <dataValidations count="1">
    <dataValidation type="list" allowBlank="1" sqref="A3:A21" xr:uid="{00000000-0002-0000-0100-000000000000}">
      <formula1>"Адмиралтейский,Василеостровский,Выборгский,Калининский,Кировский,Колпинский,Красногвардейский,Красносельский,Кронштадский,Курортный,Московский,Невский,Петроградский,Петродворцовый,Приморский,Пушкинский,Фрунзенский,Центральный,Комитет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workbookViewId="0">
      <selection sqref="A1:H1"/>
    </sheetView>
  </sheetViews>
  <sheetFormatPr defaultColWidth="12.5703125" defaultRowHeight="15" customHeight="1"/>
  <cols>
    <col min="1" max="1" width="5" customWidth="1"/>
    <col min="2" max="2" width="7.42578125" customWidth="1"/>
    <col min="3" max="3" width="11.5703125" customWidth="1"/>
    <col min="4" max="4" width="12.5703125" customWidth="1"/>
    <col min="5" max="5" width="11.28515625" customWidth="1"/>
    <col min="6" max="6" width="16.7109375" customWidth="1"/>
    <col min="7" max="7" width="11.140625" customWidth="1"/>
    <col min="8" max="8" width="13.42578125" customWidth="1"/>
    <col min="9" max="9" width="18.7109375" customWidth="1"/>
    <col min="11" max="14" width="11.5703125" customWidth="1"/>
    <col min="15" max="25" width="11.7109375" customWidth="1"/>
  </cols>
  <sheetData>
    <row r="1" spans="1:25" ht="14.25" customHeight="1">
      <c r="A1" s="179" t="s">
        <v>2</v>
      </c>
      <c r="B1" s="180"/>
      <c r="C1" s="180"/>
      <c r="D1" s="180"/>
      <c r="E1" s="180"/>
      <c r="F1" s="180"/>
      <c r="G1" s="180"/>
      <c r="H1" s="181"/>
      <c r="I1" s="11"/>
      <c r="K1" s="12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14.25" customHeight="1">
      <c r="A2" s="16" t="s">
        <v>11</v>
      </c>
      <c r="B2" s="16" t="s">
        <v>13</v>
      </c>
      <c r="C2" s="16" t="s">
        <v>14</v>
      </c>
      <c r="D2" s="16" t="s">
        <v>15</v>
      </c>
      <c r="E2" s="16" t="s">
        <v>16</v>
      </c>
      <c r="F2" s="16" t="s">
        <v>17</v>
      </c>
      <c r="G2" s="16" t="s">
        <v>18</v>
      </c>
      <c r="H2" s="16" t="s">
        <v>9</v>
      </c>
      <c r="I2" s="19" t="s">
        <v>24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14.25" customHeight="1">
      <c r="A3" s="23">
        <v>1</v>
      </c>
      <c r="B3" s="23" t="s">
        <v>37</v>
      </c>
      <c r="C3" s="23">
        <v>1</v>
      </c>
      <c r="D3" s="25">
        <v>9.6</v>
      </c>
      <c r="E3" s="25">
        <v>8.3000000000000007</v>
      </c>
      <c r="F3" s="25" t="s">
        <v>55</v>
      </c>
      <c r="G3" s="29" t="s">
        <v>54</v>
      </c>
      <c r="H3" s="25" t="s">
        <v>61</v>
      </c>
      <c r="I3" s="25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ht="14.25" customHeight="1">
      <c r="A4" s="23">
        <v>2</v>
      </c>
      <c r="B4" s="23" t="s">
        <v>37</v>
      </c>
      <c r="C4" s="23">
        <v>2</v>
      </c>
      <c r="D4" s="25">
        <v>16.3</v>
      </c>
      <c r="E4" s="25">
        <v>8.1999999999999993</v>
      </c>
      <c r="F4" s="25" t="s">
        <v>55</v>
      </c>
      <c r="G4" s="29" t="s">
        <v>54</v>
      </c>
      <c r="H4" s="25" t="s">
        <v>61</v>
      </c>
      <c r="I4" s="25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ht="14.25" customHeight="1">
      <c r="A5" s="23">
        <v>3</v>
      </c>
      <c r="B5" s="23" t="s">
        <v>37</v>
      </c>
      <c r="C5" s="23">
        <v>3</v>
      </c>
      <c r="D5" s="25">
        <v>12.2</v>
      </c>
      <c r="E5" s="25" t="s">
        <v>61</v>
      </c>
      <c r="F5" s="25" t="s">
        <v>55</v>
      </c>
      <c r="G5" s="29" t="s">
        <v>54</v>
      </c>
      <c r="H5" s="25" t="s">
        <v>61</v>
      </c>
      <c r="I5" s="2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14.25" customHeight="1">
      <c r="A6" s="23">
        <v>4</v>
      </c>
      <c r="B6" s="23" t="s">
        <v>76</v>
      </c>
      <c r="C6" s="23">
        <v>1</v>
      </c>
      <c r="D6" s="25">
        <v>12.2</v>
      </c>
      <c r="E6" s="25">
        <v>9.8000000000000007</v>
      </c>
      <c r="F6" s="25" t="s">
        <v>77</v>
      </c>
      <c r="G6" s="29" t="s">
        <v>54</v>
      </c>
      <c r="H6" s="25" t="s">
        <v>61</v>
      </c>
      <c r="I6" s="25"/>
      <c r="K6" s="13" t="s">
        <v>78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ht="14.25" customHeight="1">
      <c r="A7" s="23">
        <v>5</v>
      </c>
      <c r="B7" s="23" t="s">
        <v>76</v>
      </c>
      <c r="C7" s="23">
        <v>2</v>
      </c>
      <c r="D7" s="25">
        <v>11.8</v>
      </c>
      <c r="E7" s="25">
        <v>9.3000000000000007</v>
      </c>
      <c r="F7" s="25" t="s">
        <v>77</v>
      </c>
      <c r="G7" s="29" t="s">
        <v>54</v>
      </c>
      <c r="H7" s="25" t="s">
        <v>61</v>
      </c>
      <c r="I7" s="25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14.25" customHeight="1">
      <c r="A8" s="23">
        <v>6</v>
      </c>
      <c r="B8" s="23" t="s">
        <v>76</v>
      </c>
      <c r="C8" s="23">
        <v>3</v>
      </c>
      <c r="D8" s="25">
        <v>19.2</v>
      </c>
      <c r="E8" s="25">
        <v>12.6</v>
      </c>
      <c r="F8" s="25" t="s">
        <v>77</v>
      </c>
      <c r="G8" s="29" t="s">
        <v>54</v>
      </c>
      <c r="H8" s="25" t="s">
        <v>61</v>
      </c>
      <c r="I8" s="25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4.25" customHeight="1">
      <c r="A9" s="23">
        <v>7</v>
      </c>
      <c r="B9" s="23" t="s">
        <v>83</v>
      </c>
      <c r="C9" s="23">
        <v>1</v>
      </c>
      <c r="D9" s="25">
        <v>11</v>
      </c>
      <c r="E9" s="25" t="s">
        <v>61</v>
      </c>
      <c r="F9" s="25" t="s">
        <v>77</v>
      </c>
      <c r="G9" s="29" t="s">
        <v>54</v>
      </c>
      <c r="H9" s="25" t="s">
        <v>61</v>
      </c>
      <c r="I9" s="25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4.25" customHeight="1">
      <c r="A10" s="23">
        <v>8</v>
      </c>
      <c r="B10" s="23" t="s">
        <v>83</v>
      </c>
      <c r="C10" s="23">
        <v>2</v>
      </c>
      <c r="D10" s="25">
        <v>14.8</v>
      </c>
      <c r="E10" s="25" t="s">
        <v>61</v>
      </c>
      <c r="F10" s="25" t="s">
        <v>77</v>
      </c>
      <c r="G10" s="29" t="s">
        <v>54</v>
      </c>
      <c r="H10" s="25" t="s">
        <v>61</v>
      </c>
      <c r="I10" s="25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4.25" customHeight="1">
      <c r="A11" s="23">
        <v>9</v>
      </c>
      <c r="B11" s="23" t="s">
        <v>83</v>
      </c>
      <c r="C11" s="23">
        <v>3</v>
      </c>
      <c r="D11" s="25">
        <v>11.1</v>
      </c>
      <c r="E11" s="25">
        <v>8.5</v>
      </c>
      <c r="F11" s="25" t="s">
        <v>88</v>
      </c>
      <c r="G11" s="29" t="s">
        <v>54</v>
      </c>
      <c r="H11" s="25" t="s">
        <v>61</v>
      </c>
      <c r="I11" s="25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4.25" customHeight="1">
      <c r="A12" s="23">
        <v>10</v>
      </c>
      <c r="B12" s="23" t="s">
        <v>93</v>
      </c>
      <c r="C12" s="23">
        <v>1</v>
      </c>
      <c r="D12" s="25">
        <v>15.5</v>
      </c>
      <c r="E12" s="25">
        <v>10.3</v>
      </c>
      <c r="F12" s="25" t="s">
        <v>51</v>
      </c>
      <c r="G12" s="25"/>
      <c r="H12" s="25" t="s">
        <v>61</v>
      </c>
      <c r="I12" s="25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4.25" customHeight="1">
      <c r="A13" s="23">
        <v>11</v>
      </c>
      <c r="B13" s="23" t="s">
        <v>93</v>
      </c>
      <c r="C13" s="23">
        <v>2</v>
      </c>
      <c r="D13" s="25">
        <v>16</v>
      </c>
      <c r="E13" s="25" t="s">
        <v>61</v>
      </c>
      <c r="F13" s="25" t="s">
        <v>51</v>
      </c>
      <c r="G13" s="25"/>
      <c r="H13" s="25" t="s">
        <v>61</v>
      </c>
      <c r="I13" s="25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4.25" customHeight="1">
      <c r="A14" s="23">
        <v>12</v>
      </c>
      <c r="B14" s="23" t="s">
        <v>93</v>
      </c>
      <c r="C14" s="23">
        <v>3</v>
      </c>
      <c r="D14" s="25">
        <v>13.7</v>
      </c>
      <c r="E14" s="25">
        <v>10.3</v>
      </c>
      <c r="F14" s="25" t="s">
        <v>51</v>
      </c>
      <c r="G14" s="25"/>
      <c r="H14" s="25" t="s">
        <v>61</v>
      </c>
      <c r="I14" s="25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4.25" customHeight="1">
      <c r="A15" s="23">
        <v>13</v>
      </c>
      <c r="B15" s="23" t="s">
        <v>103</v>
      </c>
      <c r="C15" s="23">
        <v>1</v>
      </c>
      <c r="D15" s="25">
        <v>10.6</v>
      </c>
      <c r="E15" s="25" t="s">
        <v>61</v>
      </c>
      <c r="F15" s="25" t="s">
        <v>89</v>
      </c>
      <c r="G15" s="41" t="s">
        <v>104</v>
      </c>
      <c r="H15" s="25" t="s">
        <v>61</v>
      </c>
      <c r="I15" s="25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4.25" customHeight="1">
      <c r="A16" s="23">
        <v>14</v>
      </c>
      <c r="B16" s="23" t="s">
        <v>103</v>
      </c>
      <c r="C16" s="23">
        <v>2</v>
      </c>
      <c r="D16" s="25">
        <v>16.7</v>
      </c>
      <c r="E16" s="25">
        <v>14.5</v>
      </c>
      <c r="F16" s="25" t="s">
        <v>88</v>
      </c>
      <c r="G16" s="29" t="s">
        <v>54</v>
      </c>
      <c r="H16" s="25" t="s">
        <v>61</v>
      </c>
      <c r="I16" s="25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4.25" customHeight="1">
      <c r="A17" s="23">
        <v>15</v>
      </c>
      <c r="B17" s="23" t="s">
        <v>103</v>
      </c>
      <c r="C17" s="23">
        <v>3</v>
      </c>
      <c r="D17" s="25">
        <v>10.7</v>
      </c>
      <c r="E17" s="25">
        <v>12.3</v>
      </c>
      <c r="F17" s="25" t="s">
        <v>89</v>
      </c>
      <c r="G17" s="41" t="s">
        <v>104</v>
      </c>
      <c r="H17" s="25" t="s">
        <v>61</v>
      </c>
      <c r="I17" s="25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4.25" customHeight="1">
      <c r="A18" s="23">
        <v>16</v>
      </c>
      <c r="B18" s="23" t="s">
        <v>121</v>
      </c>
      <c r="C18" s="23">
        <v>1</v>
      </c>
      <c r="D18" s="25">
        <v>9.6</v>
      </c>
      <c r="E18" s="25">
        <v>6.7</v>
      </c>
      <c r="F18" s="25" t="s">
        <v>55</v>
      </c>
      <c r="G18" s="29" t="s">
        <v>54</v>
      </c>
      <c r="H18" s="25" t="s">
        <v>61</v>
      </c>
      <c r="I18" s="25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4.25" customHeight="1">
      <c r="A19" s="23">
        <v>17</v>
      </c>
      <c r="B19" s="23" t="s">
        <v>121</v>
      </c>
      <c r="C19" s="23">
        <v>2</v>
      </c>
      <c r="D19" s="25">
        <v>14.9</v>
      </c>
      <c r="E19" s="25">
        <v>6.7</v>
      </c>
      <c r="F19" s="25" t="s">
        <v>69</v>
      </c>
      <c r="G19" s="41" t="s">
        <v>104</v>
      </c>
      <c r="H19" s="25" t="s">
        <v>61</v>
      </c>
      <c r="I19" s="25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4.25" customHeight="1">
      <c r="A20" s="23">
        <v>18</v>
      </c>
      <c r="B20" s="23" t="s">
        <v>121</v>
      </c>
      <c r="C20" s="23">
        <v>3</v>
      </c>
      <c r="D20" s="25">
        <v>11.6</v>
      </c>
      <c r="E20" s="25" t="s">
        <v>61</v>
      </c>
      <c r="F20" s="25" t="s">
        <v>55</v>
      </c>
      <c r="G20" s="29" t="s">
        <v>54</v>
      </c>
      <c r="H20" s="25" t="s">
        <v>61</v>
      </c>
      <c r="I20" s="25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4.25" customHeight="1">
      <c r="A21" s="23">
        <v>19</v>
      </c>
      <c r="B21" s="23" t="s">
        <v>130</v>
      </c>
      <c r="C21" s="23">
        <v>1</v>
      </c>
      <c r="D21" s="25">
        <v>11</v>
      </c>
      <c r="E21" s="25">
        <v>9.1</v>
      </c>
      <c r="F21" s="25" t="s">
        <v>77</v>
      </c>
      <c r="G21" s="29" t="s">
        <v>54</v>
      </c>
      <c r="H21" s="25" t="s">
        <v>61</v>
      </c>
      <c r="I21" s="25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4.25" customHeight="1">
      <c r="A22" s="23">
        <v>20</v>
      </c>
      <c r="B22" s="23" t="s">
        <v>130</v>
      </c>
      <c r="C22" s="23">
        <v>2</v>
      </c>
      <c r="D22" s="25">
        <v>15</v>
      </c>
      <c r="E22" s="25" t="s">
        <v>61</v>
      </c>
      <c r="F22" s="25" t="s">
        <v>77</v>
      </c>
      <c r="G22" s="29" t="s">
        <v>54</v>
      </c>
      <c r="H22" s="25" t="s">
        <v>61</v>
      </c>
      <c r="I22" s="25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4.25" customHeight="1">
      <c r="A23" s="23">
        <v>21</v>
      </c>
      <c r="B23" s="23" t="s">
        <v>130</v>
      </c>
      <c r="C23" s="23">
        <v>3</v>
      </c>
      <c r="D23" s="25">
        <v>10.6</v>
      </c>
      <c r="E23" s="25">
        <v>8.6</v>
      </c>
      <c r="F23" s="25" t="s">
        <v>124</v>
      </c>
      <c r="G23" s="50" t="s">
        <v>104</v>
      </c>
      <c r="H23" s="25" t="s">
        <v>61</v>
      </c>
      <c r="I23" s="25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4.25" customHeight="1">
      <c r="A24" s="23">
        <v>22</v>
      </c>
      <c r="B24" s="23" t="s">
        <v>143</v>
      </c>
      <c r="C24" s="23">
        <v>3</v>
      </c>
      <c r="D24" s="25">
        <v>10.6</v>
      </c>
      <c r="E24" s="25">
        <v>8.6999999999999993</v>
      </c>
      <c r="F24" s="25" t="s">
        <v>55</v>
      </c>
      <c r="G24" s="29" t="s">
        <v>54</v>
      </c>
      <c r="H24" s="25" t="s">
        <v>61</v>
      </c>
      <c r="I24" s="25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4.25" customHeight="1">
      <c r="A25" s="23">
        <v>23</v>
      </c>
      <c r="B25" s="23" t="s">
        <v>149</v>
      </c>
      <c r="C25" s="23">
        <v>1</v>
      </c>
      <c r="D25" s="25">
        <v>10.4</v>
      </c>
      <c r="E25" s="25">
        <v>8.8000000000000007</v>
      </c>
      <c r="F25" s="25" t="s">
        <v>88</v>
      </c>
      <c r="G25" s="29" t="s">
        <v>54</v>
      </c>
      <c r="H25" s="25" t="s">
        <v>61</v>
      </c>
      <c r="I25" s="25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4.25" customHeight="1">
      <c r="A26" s="23">
        <v>24</v>
      </c>
      <c r="B26" s="23" t="s">
        <v>149</v>
      </c>
      <c r="C26" s="23">
        <v>2</v>
      </c>
      <c r="D26" s="25">
        <v>14.1</v>
      </c>
      <c r="E26" s="25" t="s">
        <v>61</v>
      </c>
      <c r="F26" s="25" t="s">
        <v>88</v>
      </c>
      <c r="G26" s="29" t="s">
        <v>54</v>
      </c>
      <c r="H26" s="25" t="s">
        <v>61</v>
      </c>
      <c r="I26" s="25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4.25" customHeight="1">
      <c r="A27" s="23">
        <v>25</v>
      </c>
      <c r="B27" s="23" t="s">
        <v>149</v>
      </c>
      <c r="C27" s="23">
        <v>3</v>
      </c>
      <c r="D27" s="25">
        <v>10.9</v>
      </c>
      <c r="E27" s="25">
        <v>9.5</v>
      </c>
      <c r="F27" s="25" t="s">
        <v>36</v>
      </c>
      <c r="G27" s="25" t="str">
        <f>G28</f>
        <v xml:space="preserve"> +</v>
      </c>
      <c r="H27" s="25" t="s">
        <v>61</v>
      </c>
      <c r="I27" s="25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4.25" customHeight="1">
      <c r="A28" s="23">
        <v>26</v>
      </c>
      <c r="B28" s="23" t="s">
        <v>170</v>
      </c>
      <c r="C28" s="23">
        <v>1</v>
      </c>
      <c r="D28" s="25">
        <v>11.2</v>
      </c>
      <c r="E28" s="25">
        <v>9.6999999999999993</v>
      </c>
      <c r="F28" s="25" t="s">
        <v>112</v>
      </c>
      <c r="G28" s="41" t="s">
        <v>104</v>
      </c>
      <c r="H28" s="25" t="s">
        <v>61</v>
      </c>
      <c r="I28" s="25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4.25" customHeight="1">
      <c r="A29" s="23">
        <v>27</v>
      </c>
      <c r="B29" s="23" t="s">
        <v>170</v>
      </c>
      <c r="C29" s="23">
        <v>2</v>
      </c>
      <c r="D29" s="25">
        <v>13.9</v>
      </c>
      <c r="E29" s="25" t="s">
        <v>61</v>
      </c>
      <c r="F29" s="25" t="s">
        <v>77</v>
      </c>
      <c r="G29" s="29" t="s">
        <v>54</v>
      </c>
      <c r="H29" s="25" t="s">
        <v>61</v>
      </c>
      <c r="I29" s="25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4.25" customHeight="1">
      <c r="A30" s="23">
        <v>28</v>
      </c>
      <c r="B30" s="23" t="s">
        <v>170</v>
      </c>
      <c r="C30" s="23">
        <v>3</v>
      </c>
      <c r="D30" s="25">
        <v>10.199999999999999</v>
      </c>
      <c r="E30" s="25">
        <v>8.6999999999999993</v>
      </c>
      <c r="F30" s="25" t="s">
        <v>77</v>
      </c>
      <c r="G30" s="29" t="s">
        <v>54</v>
      </c>
      <c r="H30" s="25" t="s">
        <v>61</v>
      </c>
      <c r="I30" s="25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4.25" customHeight="1">
      <c r="A31" s="23">
        <v>29</v>
      </c>
      <c r="B31" s="23" t="s">
        <v>171</v>
      </c>
      <c r="C31" s="23">
        <v>1</v>
      </c>
      <c r="D31" s="25">
        <v>11.2</v>
      </c>
      <c r="E31" s="25">
        <v>9</v>
      </c>
      <c r="F31" s="25" t="s">
        <v>89</v>
      </c>
      <c r="G31" s="41" t="s">
        <v>104</v>
      </c>
      <c r="H31" s="25" t="s">
        <v>61</v>
      </c>
      <c r="I31" s="25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4.25" customHeight="1">
      <c r="A32" s="23">
        <v>30</v>
      </c>
      <c r="B32" s="23" t="s">
        <v>171</v>
      </c>
      <c r="C32" s="23">
        <v>2</v>
      </c>
      <c r="D32" s="25">
        <v>13.9</v>
      </c>
      <c r="E32" s="25" t="s">
        <v>61</v>
      </c>
      <c r="F32" s="25" t="s">
        <v>89</v>
      </c>
      <c r="G32" s="41" t="s">
        <v>104</v>
      </c>
      <c r="H32" s="25" t="s">
        <v>61</v>
      </c>
      <c r="I32" s="25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4.25" customHeight="1">
      <c r="A33" s="23">
        <v>31</v>
      </c>
      <c r="B33" s="23" t="s">
        <v>171</v>
      </c>
      <c r="C33" s="23">
        <v>3</v>
      </c>
      <c r="D33" s="25">
        <v>10.8</v>
      </c>
      <c r="E33" s="25">
        <v>9.1999999999999993</v>
      </c>
      <c r="F33" s="25" t="s">
        <v>118</v>
      </c>
      <c r="G33" s="41" t="s">
        <v>104</v>
      </c>
      <c r="H33" s="25" t="s">
        <v>61</v>
      </c>
      <c r="I33" s="25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4.25" customHeight="1">
      <c r="A34" s="23">
        <v>32</v>
      </c>
      <c r="B34" s="23" t="s">
        <v>172</v>
      </c>
      <c r="C34" s="23">
        <v>1</v>
      </c>
      <c r="D34" s="25">
        <v>10.6</v>
      </c>
      <c r="E34" s="25" t="s">
        <v>61</v>
      </c>
      <c r="F34" s="25" t="s">
        <v>47</v>
      </c>
      <c r="G34" s="41" t="s">
        <v>104</v>
      </c>
      <c r="H34" s="25" t="s">
        <v>61</v>
      </c>
      <c r="I34" s="25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4.25" customHeight="1">
      <c r="A35" s="23">
        <v>33</v>
      </c>
      <c r="B35" s="23" t="s">
        <v>172</v>
      </c>
      <c r="C35" s="23">
        <v>2</v>
      </c>
      <c r="D35" s="23">
        <v>15.3</v>
      </c>
      <c r="E35" s="23" t="s">
        <v>61</v>
      </c>
      <c r="F35" s="23" t="s">
        <v>69</v>
      </c>
      <c r="G35" s="41" t="s">
        <v>104</v>
      </c>
      <c r="H35" s="23"/>
      <c r="I35" s="2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4.25" customHeight="1">
      <c r="A36" s="23">
        <v>34</v>
      </c>
      <c r="B36" s="23" t="s">
        <v>172</v>
      </c>
      <c r="C36" s="23">
        <v>3</v>
      </c>
      <c r="D36" s="25">
        <v>12</v>
      </c>
      <c r="E36" s="25">
        <v>8.5</v>
      </c>
      <c r="F36" s="25" t="s">
        <v>47</v>
      </c>
      <c r="G36" s="41" t="s">
        <v>104</v>
      </c>
      <c r="H36" s="25" t="s">
        <v>61</v>
      </c>
      <c r="I36" s="25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4.25" customHeight="1">
      <c r="A37" s="23">
        <v>35</v>
      </c>
      <c r="B37" s="23" t="s">
        <v>174</v>
      </c>
      <c r="C37" s="23">
        <v>1</v>
      </c>
      <c r="D37" s="25">
        <v>10.6</v>
      </c>
      <c r="E37" s="25" t="s">
        <v>61</v>
      </c>
      <c r="F37" s="25" t="s">
        <v>55</v>
      </c>
      <c r="G37" s="29" t="s">
        <v>54</v>
      </c>
      <c r="H37" s="25" t="s">
        <v>61</v>
      </c>
      <c r="I37" s="25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4.25" customHeight="1">
      <c r="A38" s="23">
        <v>36</v>
      </c>
      <c r="B38" s="23" t="s">
        <v>174</v>
      </c>
      <c r="C38" s="23">
        <v>2</v>
      </c>
      <c r="D38" s="25">
        <v>15</v>
      </c>
      <c r="E38" s="25" t="s">
        <v>61</v>
      </c>
      <c r="F38" s="25" t="s">
        <v>55</v>
      </c>
      <c r="G38" s="29" t="s">
        <v>54</v>
      </c>
      <c r="H38" s="25" t="s">
        <v>61</v>
      </c>
      <c r="I38" s="25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4.25" customHeight="1">
      <c r="A39" s="23">
        <v>37</v>
      </c>
      <c r="B39" s="23" t="s">
        <v>174</v>
      </c>
      <c r="C39" s="23">
        <v>3</v>
      </c>
      <c r="D39" s="25">
        <v>11.2</v>
      </c>
      <c r="E39" s="25">
        <v>8.4</v>
      </c>
      <c r="F39" s="25" t="s">
        <v>77</v>
      </c>
      <c r="G39" s="29" t="s">
        <v>54</v>
      </c>
      <c r="H39" s="25" t="s">
        <v>61</v>
      </c>
      <c r="I39" s="25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4.25" customHeight="1">
      <c r="A40" s="23">
        <v>38</v>
      </c>
      <c r="B40" s="23" t="s">
        <v>176</v>
      </c>
      <c r="C40" s="23">
        <v>1</v>
      </c>
      <c r="D40" s="25">
        <v>10.7</v>
      </c>
      <c r="E40" s="25">
        <v>8.6999999999999993</v>
      </c>
      <c r="F40" s="25" t="s">
        <v>47</v>
      </c>
      <c r="G40" s="41" t="s">
        <v>104</v>
      </c>
      <c r="H40" s="25" t="s">
        <v>61</v>
      </c>
      <c r="I40" s="25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4.25" customHeight="1">
      <c r="A41" s="23">
        <v>39</v>
      </c>
      <c r="B41" s="23" t="s">
        <v>176</v>
      </c>
      <c r="C41" s="23">
        <v>2</v>
      </c>
      <c r="D41" s="25">
        <v>15.6</v>
      </c>
      <c r="E41" s="25">
        <v>9.1999999999999993</v>
      </c>
      <c r="F41" s="25" t="s">
        <v>47</v>
      </c>
      <c r="G41" s="41" t="s">
        <v>104</v>
      </c>
      <c r="H41" s="25" t="s">
        <v>61</v>
      </c>
      <c r="I41" s="25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4.25" customHeight="1">
      <c r="A42" s="23">
        <v>40</v>
      </c>
      <c r="B42" s="23" t="s">
        <v>176</v>
      </c>
      <c r="C42" s="23">
        <v>3</v>
      </c>
      <c r="D42" s="25">
        <v>11.6</v>
      </c>
      <c r="E42" s="25" t="s">
        <v>61</v>
      </c>
      <c r="F42" s="25" t="s">
        <v>47</v>
      </c>
      <c r="G42" s="41" t="s">
        <v>104</v>
      </c>
      <c r="H42" s="25" t="s">
        <v>61</v>
      </c>
      <c r="I42" s="25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4.25" customHeight="1">
      <c r="A43" s="23">
        <v>41</v>
      </c>
      <c r="B43" s="23" t="s">
        <v>179</v>
      </c>
      <c r="C43" s="23">
        <v>1</v>
      </c>
      <c r="D43" s="25">
        <v>10.8</v>
      </c>
      <c r="E43" s="25">
        <v>8.1999999999999993</v>
      </c>
      <c r="F43" s="25" t="s">
        <v>36</v>
      </c>
      <c r="G43" s="25" t="str">
        <f t="shared" ref="G43:G44" si="0">G44</f>
        <v>+</v>
      </c>
      <c r="H43" s="25" t="s">
        <v>61</v>
      </c>
      <c r="I43" s="25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4.25" customHeight="1">
      <c r="A44" s="23">
        <v>42</v>
      </c>
      <c r="B44" s="23" t="s">
        <v>179</v>
      </c>
      <c r="C44" s="23">
        <v>2</v>
      </c>
      <c r="D44" s="25">
        <v>14.7</v>
      </c>
      <c r="E44" s="25" t="s">
        <v>61</v>
      </c>
      <c r="F44" s="25" t="s">
        <v>36</v>
      </c>
      <c r="G44" s="25" t="str">
        <f t="shared" si="0"/>
        <v>+</v>
      </c>
      <c r="H44" s="25" t="s">
        <v>61</v>
      </c>
      <c r="I44" s="25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4.25" customHeight="1">
      <c r="A45" s="23">
        <v>43</v>
      </c>
      <c r="B45" s="23" t="s">
        <v>179</v>
      </c>
      <c r="C45" s="23">
        <v>3</v>
      </c>
      <c r="D45" s="25">
        <v>11.1</v>
      </c>
      <c r="E45" s="25">
        <v>8.6999999999999993</v>
      </c>
      <c r="F45" s="25" t="s">
        <v>55</v>
      </c>
      <c r="G45" s="29" t="s">
        <v>54</v>
      </c>
      <c r="H45" s="25" t="s">
        <v>61</v>
      </c>
      <c r="I45" s="25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4.25" customHeight="1">
      <c r="A46" s="23">
        <v>44</v>
      </c>
      <c r="B46" s="23" t="s">
        <v>181</v>
      </c>
      <c r="C46" s="23">
        <v>1</v>
      </c>
      <c r="D46" s="25">
        <v>10</v>
      </c>
      <c r="E46" s="25">
        <v>8.3000000000000007</v>
      </c>
      <c r="F46" s="25" t="s">
        <v>150</v>
      </c>
      <c r="G46" s="41" t="s">
        <v>104</v>
      </c>
      <c r="H46" s="25" t="s">
        <v>61</v>
      </c>
      <c r="I46" s="25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4.25" customHeight="1">
      <c r="A47" s="23">
        <v>45</v>
      </c>
      <c r="B47" s="23" t="s">
        <v>181</v>
      </c>
      <c r="C47" s="23">
        <v>2</v>
      </c>
      <c r="D47" s="25">
        <v>15.3</v>
      </c>
      <c r="E47" s="25" t="s">
        <v>61</v>
      </c>
      <c r="F47" s="25" t="s">
        <v>150</v>
      </c>
      <c r="G47" s="41" t="s">
        <v>104</v>
      </c>
      <c r="H47" s="25" t="s">
        <v>61</v>
      </c>
      <c r="I47" s="25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4.25" customHeight="1">
      <c r="A48" s="23">
        <v>46</v>
      </c>
      <c r="B48" s="23" t="s">
        <v>181</v>
      </c>
      <c r="C48" s="23">
        <v>3</v>
      </c>
      <c r="D48" s="25">
        <v>12.2</v>
      </c>
      <c r="E48" s="25">
        <v>8.3000000000000007</v>
      </c>
      <c r="F48" s="25" t="s">
        <v>150</v>
      </c>
      <c r="G48" s="41" t="s">
        <v>104</v>
      </c>
      <c r="H48" s="25" t="s">
        <v>61</v>
      </c>
      <c r="I48" s="25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4.25" customHeight="1">
      <c r="A49" s="23">
        <v>47</v>
      </c>
      <c r="B49" s="23" t="s">
        <v>183</v>
      </c>
      <c r="C49" s="23">
        <v>1</v>
      </c>
      <c r="D49" s="25">
        <v>11</v>
      </c>
      <c r="E49" s="25">
        <v>8.5</v>
      </c>
      <c r="F49" s="25" t="s">
        <v>79</v>
      </c>
      <c r="G49" s="41" t="s">
        <v>104</v>
      </c>
      <c r="H49" s="25" t="s">
        <v>61</v>
      </c>
      <c r="I49" s="25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4.25" customHeight="1">
      <c r="A50" s="23">
        <v>48</v>
      </c>
      <c r="B50" s="23" t="s">
        <v>183</v>
      </c>
      <c r="C50" s="23">
        <v>3</v>
      </c>
      <c r="D50" s="25">
        <v>11.6</v>
      </c>
      <c r="E50" s="25">
        <v>8.6</v>
      </c>
      <c r="F50" s="25" t="s">
        <v>79</v>
      </c>
      <c r="G50" s="41" t="s">
        <v>104</v>
      </c>
      <c r="H50" s="25" t="s">
        <v>61</v>
      </c>
      <c r="I50" s="25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4.25" customHeight="1">
      <c r="A51" s="69"/>
      <c r="B51" s="69"/>
      <c r="C51" s="69"/>
      <c r="D51" s="72">
        <f t="shared" ref="D51:E51" si="1">SUM(D3:D50)</f>
        <v>600.6</v>
      </c>
      <c r="E51" s="72">
        <f t="shared" si="1"/>
        <v>284.19999999999993</v>
      </c>
      <c r="F51" s="74"/>
      <c r="G51" s="69"/>
      <c r="H51" s="69"/>
      <c r="I51" s="69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4.25" customHeight="1">
      <c r="A52" s="13"/>
      <c r="B52" s="13"/>
      <c r="C52" s="13"/>
      <c r="D52" s="13"/>
      <c r="E52" s="13"/>
      <c r="F52" s="75"/>
      <c r="G52" s="13"/>
      <c r="H52" s="13"/>
      <c r="I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4.25" customHeight="1">
      <c r="A53" s="13"/>
      <c r="B53" s="13"/>
      <c r="C53" s="13"/>
      <c r="D53" s="13"/>
      <c r="E53" s="13"/>
      <c r="F53" s="75"/>
      <c r="G53" s="13"/>
      <c r="H53" s="13"/>
      <c r="I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4.25" customHeight="1">
      <c r="A54" s="13"/>
      <c r="B54" s="13"/>
      <c r="C54" s="13"/>
      <c r="D54" s="13"/>
      <c r="E54" s="13"/>
      <c r="F54" s="75"/>
      <c r="G54" s="13"/>
      <c r="H54" s="13"/>
      <c r="I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4.25" customHeight="1">
      <c r="A55" s="13"/>
      <c r="B55" s="13"/>
      <c r="C55" s="13"/>
      <c r="D55" s="13"/>
      <c r="E55" s="13"/>
      <c r="F55" s="75"/>
      <c r="G55" s="13"/>
      <c r="H55" s="13"/>
      <c r="I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4.25" customHeight="1">
      <c r="A56" s="13"/>
      <c r="B56" s="13"/>
      <c r="C56" s="13"/>
      <c r="D56" s="13"/>
      <c r="E56" s="13"/>
      <c r="F56" s="75"/>
      <c r="G56" s="13"/>
      <c r="H56" s="13"/>
      <c r="I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4.25" customHeight="1">
      <c r="A57" s="13"/>
      <c r="B57" s="13"/>
      <c r="C57" s="13"/>
      <c r="D57" s="13"/>
      <c r="E57" s="13"/>
      <c r="F57" s="75"/>
      <c r="G57" s="13"/>
      <c r="H57" s="13"/>
      <c r="I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4.25" customHeight="1">
      <c r="A58" s="13"/>
      <c r="B58" s="13"/>
      <c r="C58" s="13"/>
      <c r="D58" s="13"/>
      <c r="E58" s="13"/>
      <c r="F58" s="75"/>
      <c r="G58" s="13"/>
      <c r="H58" s="13"/>
      <c r="I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4.25" customHeight="1">
      <c r="A59" s="13"/>
      <c r="B59" s="13"/>
      <c r="C59" s="13"/>
      <c r="D59" s="13"/>
      <c r="E59" s="13"/>
      <c r="F59" s="75"/>
      <c r="G59" s="13"/>
      <c r="H59" s="13"/>
      <c r="I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4.25" customHeight="1">
      <c r="A60" s="13"/>
      <c r="B60" s="13"/>
      <c r="C60" s="13"/>
      <c r="D60" s="13"/>
      <c r="E60" s="13" t="s">
        <v>78</v>
      </c>
      <c r="F60" s="75"/>
      <c r="G60" s="13"/>
      <c r="H60" s="13"/>
      <c r="I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4.25" customHeight="1">
      <c r="A61" s="13"/>
      <c r="B61" s="13"/>
      <c r="C61" s="13"/>
      <c r="D61" s="13"/>
      <c r="E61" s="13"/>
      <c r="F61" s="75"/>
      <c r="G61" s="13"/>
      <c r="H61" s="13"/>
      <c r="I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4.25" customHeight="1">
      <c r="A62" s="13"/>
      <c r="B62" s="13"/>
      <c r="C62" s="13"/>
      <c r="D62" s="13"/>
      <c r="E62" s="13"/>
      <c r="F62" s="75"/>
      <c r="G62" s="13"/>
      <c r="H62" s="13"/>
      <c r="I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4.25" customHeight="1">
      <c r="A63" s="13"/>
      <c r="B63" s="13"/>
      <c r="C63" s="13"/>
      <c r="D63" s="13"/>
      <c r="E63" s="13"/>
      <c r="F63" s="75"/>
      <c r="G63" s="13"/>
      <c r="H63" s="13"/>
      <c r="I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4.25" customHeight="1">
      <c r="A64" s="13"/>
      <c r="B64" s="13"/>
      <c r="C64" s="13"/>
      <c r="D64" s="13"/>
      <c r="E64" s="13"/>
      <c r="F64" s="75"/>
      <c r="G64" s="13"/>
      <c r="H64" s="13"/>
      <c r="I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4.25" customHeight="1">
      <c r="A65" s="13"/>
      <c r="B65" s="13"/>
      <c r="C65" s="13"/>
      <c r="D65" s="13"/>
      <c r="E65" s="13"/>
      <c r="F65" s="75"/>
      <c r="G65" s="13"/>
      <c r="H65" s="13"/>
      <c r="I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4.25" customHeight="1">
      <c r="A66" s="13"/>
      <c r="B66" s="13"/>
      <c r="C66" s="13"/>
      <c r="D66" s="13"/>
      <c r="E66" s="13"/>
      <c r="F66" s="75"/>
      <c r="G66" s="13"/>
      <c r="H66" s="13"/>
      <c r="I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4.25" customHeight="1">
      <c r="A67" s="13"/>
      <c r="B67" s="13"/>
      <c r="C67" s="13"/>
      <c r="D67" s="13"/>
      <c r="E67" s="13"/>
      <c r="F67" s="75"/>
      <c r="G67" s="13"/>
      <c r="H67" s="13"/>
      <c r="I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4.25" customHeight="1">
      <c r="A68" s="13"/>
      <c r="B68" s="13"/>
      <c r="C68" s="13"/>
      <c r="D68" s="13"/>
      <c r="E68" s="13"/>
      <c r="F68" s="75"/>
      <c r="G68" s="13"/>
      <c r="H68" s="13"/>
      <c r="I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14.25" customHeight="1">
      <c r="A69" s="13"/>
      <c r="B69" s="13"/>
      <c r="C69" s="13"/>
      <c r="D69" s="13"/>
      <c r="E69" s="13"/>
      <c r="F69" s="75"/>
      <c r="G69" s="13"/>
      <c r="H69" s="13"/>
      <c r="I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14.25" customHeight="1">
      <c r="A70" s="13"/>
      <c r="B70" s="13"/>
      <c r="C70" s="13"/>
      <c r="D70" s="13"/>
      <c r="E70" s="13"/>
      <c r="F70" s="75"/>
      <c r="G70" s="13"/>
      <c r="H70" s="13"/>
      <c r="I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14.25" customHeight="1">
      <c r="A71" s="13"/>
      <c r="B71" s="13"/>
      <c r="C71" s="13"/>
      <c r="D71" s="13"/>
      <c r="E71" s="13"/>
      <c r="F71" s="75"/>
      <c r="G71" s="13"/>
      <c r="H71" s="13"/>
      <c r="I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14.25" customHeight="1">
      <c r="A72" s="13"/>
      <c r="B72" s="13"/>
      <c r="C72" s="13"/>
      <c r="D72" s="13"/>
      <c r="E72" s="13"/>
      <c r="F72" s="75"/>
      <c r="G72" s="13"/>
      <c r="H72" s="13"/>
      <c r="I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4.25" customHeight="1">
      <c r="A73" s="13"/>
      <c r="B73" s="13"/>
      <c r="C73" s="13"/>
      <c r="D73" s="13"/>
      <c r="E73" s="13"/>
      <c r="F73" s="75"/>
      <c r="G73" s="13"/>
      <c r="H73" s="13"/>
      <c r="I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4.25" customHeight="1">
      <c r="A74" s="13"/>
      <c r="B74" s="13"/>
      <c r="C74" s="13"/>
      <c r="D74" s="13"/>
      <c r="E74" s="13"/>
      <c r="F74" s="75"/>
      <c r="G74" s="13"/>
      <c r="H74" s="13"/>
      <c r="I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4.25" customHeight="1">
      <c r="A75" s="13"/>
      <c r="B75" s="13"/>
      <c r="C75" s="13"/>
      <c r="D75" s="13"/>
      <c r="E75" s="13"/>
      <c r="F75" s="75"/>
      <c r="G75" s="13"/>
      <c r="H75" s="13"/>
      <c r="I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4.25" customHeight="1">
      <c r="A76" s="13"/>
      <c r="B76" s="13"/>
      <c r="C76" s="13"/>
      <c r="D76" s="13"/>
      <c r="E76" s="13"/>
      <c r="F76" s="75"/>
      <c r="G76" s="13"/>
      <c r="H76" s="13"/>
      <c r="I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4.25" customHeight="1">
      <c r="A77" s="13"/>
      <c r="B77" s="13"/>
      <c r="C77" s="13"/>
      <c r="D77" s="13"/>
      <c r="E77" s="13"/>
      <c r="F77" s="75"/>
      <c r="G77" s="13"/>
      <c r="H77" s="13"/>
      <c r="I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4.25" customHeight="1">
      <c r="A78" s="13"/>
      <c r="B78" s="13"/>
      <c r="C78" s="13"/>
      <c r="D78" s="13"/>
      <c r="E78" s="13"/>
      <c r="F78" s="75"/>
      <c r="G78" s="13"/>
      <c r="H78" s="13"/>
      <c r="I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4.25" customHeight="1">
      <c r="A79" s="13"/>
      <c r="B79" s="13"/>
      <c r="C79" s="13"/>
      <c r="D79" s="13"/>
      <c r="E79" s="13"/>
      <c r="F79" s="75"/>
      <c r="G79" s="13"/>
      <c r="H79" s="13"/>
      <c r="I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4.25" customHeight="1">
      <c r="A80" s="13"/>
      <c r="B80" s="13"/>
      <c r="C80" s="13"/>
      <c r="D80" s="13"/>
      <c r="E80" s="13"/>
      <c r="F80" s="75"/>
      <c r="G80" s="13"/>
      <c r="H80" s="13"/>
      <c r="I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14.25" customHeight="1">
      <c r="A81" s="13"/>
      <c r="B81" s="13"/>
      <c r="C81" s="13"/>
      <c r="D81" s="13"/>
      <c r="E81" s="13"/>
      <c r="F81" s="75"/>
      <c r="G81" s="13"/>
      <c r="H81" s="13"/>
      <c r="I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14.25" customHeight="1">
      <c r="A82" s="13"/>
      <c r="B82" s="13"/>
      <c r="C82" s="13"/>
      <c r="D82" s="13"/>
      <c r="E82" s="13"/>
      <c r="F82" s="75"/>
      <c r="G82" s="13"/>
      <c r="H82" s="13"/>
      <c r="I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14.25" customHeight="1">
      <c r="A83" s="13"/>
      <c r="B83" s="13"/>
      <c r="C83" s="13"/>
      <c r="D83" s="13"/>
      <c r="E83" s="13"/>
      <c r="F83" s="75"/>
      <c r="G83" s="13"/>
      <c r="H83" s="13"/>
      <c r="I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14.25" customHeight="1">
      <c r="A84" s="13"/>
      <c r="B84" s="13"/>
      <c r="C84" s="13"/>
      <c r="D84" s="13"/>
      <c r="E84" s="13"/>
      <c r="F84" s="75"/>
      <c r="G84" s="13"/>
      <c r="H84" s="13"/>
      <c r="I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14.25" customHeight="1">
      <c r="A85" s="13"/>
      <c r="B85" s="13"/>
      <c r="C85" s="13"/>
      <c r="D85" s="13"/>
      <c r="E85" s="13"/>
      <c r="F85" s="75"/>
      <c r="G85" s="13"/>
      <c r="H85" s="13"/>
      <c r="I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4.25" customHeight="1">
      <c r="A86" s="13"/>
      <c r="B86" s="13"/>
      <c r="C86" s="13"/>
      <c r="D86" s="13"/>
      <c r="E86" s="13"/>
      <c r="F86" s="75"/>
      <c r="G86" s="13"/>
      <c r="H86" s="13"/>
      <c r="I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14.25" customHeight="1">
      <c r="A87" s="13"/>
      <c r="B87" s="13"/>
      <c r="C87" s="13"/>
      <c r="D87" s="13"/>
      <c r="E87" s="13"/>
      <c r="F87" s="75"/>
      <c r="G87" s="13"/>
      <c r="H87" s="13"/>
      <c r="I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14.25" customHeight="1">
      <c r="A88" s="13"/>
      <c r="B88" s="13"/>
      <c r="C88" s="13"/>
      <c r="D88" s="13"/>
      <c r="E88" s="13"/>
      <c r="F88" s="75"/>
      <c r="G88" s="13"/>
      <c r="H88" s="13"/>
      <c r="I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14.25" customHeight="1">
      <c r="A89" s="13"/>
      <c r="B89" s="13"/>
      <c r="C89" s="13"/>
      <c r="D89" s="13"/>
      <c r="E89" s="13"/>
      <c r="F89" s="75"/>
      <c r="G89" s="13"/>
      <c r="H89" s="13"/>
      <c r="I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14.25" customHeight="1">
      <c r="A90" s="13"/>
      <c r="B90" s="13"/>
      <c r="C90" s="13"/>
      <c r="D90" s="13"/>
      <c r="E90" s="13"/>
      <c r="F90" s="75"/>
      <c r="G90" s="13"/>
      <c r="H90" s="13"/>
      <c r="I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14.25" customHeight="1">
      <c r="A91" s="13"/>
      <c r="B91" s="13"/>
      <c r="C91" s="13"/>
      <c r="D91" s="13"/>
      <c r="E91" s="13"/>
      <c r="F91" s="75"/>
      <c r="G91" s="13"/>
      <c r="H91" s="13"/>
      <c r="I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14.25" customHeight="1">
      <c r="A92" s="13"/>
      <c r="B92" s="13"/>
      <c r="C92" s="13"/>
      <c r="D92" s="13"/>
      <c r="E92" s="13"/>
      <c r="F92" s="75"/>
      <c r="G92" s="13"/>
      <c r="H92" s="13"/>
      <c r="I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14.25" customHeight="1">
      <c r="A93" s="13"/>
      <c r="B93" s="13"/>
      <c r="C93" s="13"/>
      <c r="D93" s="13"/>
      <c r="E93" s="13"/>
      <c r="F93" s="75"/>
      <c r="G93" s="13"/>
      <c r="H93" s="13"/>
      <c r="I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14.25" customHeight="1">
      <c r="A94" s="13"/>
      <c r="B94" s="13"/>
      <c r="C94" s="13"/>
      <c r="D94" s="13"/>
      <c r="E94" s="13"/>
      <c r="F94" s="75"/>
      <c r="G94" s="13"/>
      <c r="H94" s="13"/>
      <c r="I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14.25" customHeight="1">
      <c r="A95" s="13"/>
      <c r="B95" s="13"/>
      <c r="C95" s="13"/>
      <c r="D95" s="13"/>
      <c r="E95" s="13"/>
      <c r="F95" s="75"/>
      <c r="G95" s="13"/>
      <c r="H95" s="13"/>
      <c r="I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14.25" customHeight="1">
      <c r="A96" s="13"/>
      <c r="B96" s="13"/>
      <c r="C96" s="13"/>
      <c r="D96" s="13"/>
      <c r="E96" s="13"/>
      <c r="F96" s="75"/>
      <c r="G96" s="13"/>
      <c r="H96" s="13"/>
      <c r="I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14.25" customHeight="1">
      <c r="A97" s="13"/>
      <c r="B97" s="13"/>
      <c r="C97" s="13"/>
      <c r="D97" s="13"/>
      <c r="E97" s="13"/>
      <c r="F97" s="75"/>
      <c r="G97" s="13"/>
      <c r="H97" s="13"/>
      <c r="I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14.25" customHeight="1">
      <c r="A98" s="13"/>
      <c r="B98" s="13"/>
      <c r="C98" s="13"/>
      <c r="D98" s="13"/>
      <c r="E98" s="13"/>
      <c r="F98" s="75"/>
      <c r="G98" s="13"/>
      <c r="H98" s="13"/>
      <c r="I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14.25" customHeight="1">
      <c r="A99" s="13"/>
      <c r="B99" s="13"/>
      <c r="C99" s="13"/>
      <c r="D99" s="13"/>
      <c r="E99" s="13"/>
      <c r="F99" s="75"/>
      <c r="G99" s="13"/>
      <c r="H99" s="13"/>
      <c r="I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14.25" customHeight="1">
      <c r="A100" s="13"/>
      <c r="B100" s="13"/>
      <c r="C100" s="13"/>
      <c r="D100" s="13"/>
      <c r="E100" s="13"/>
      <c r="F100" s="75"/>
      <c r="G100" s="13"/>
      <c r="H100" s="13"/>
      <c r="I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14.25" customHeight="1">
      <c r="A101" s="13"/>
      <c r="B101" s="13"/>
      <c r="C101" s="13"/>
      <c r="D101" s="13"/>
      <c r="E101" s="13"/>
      <c r="F101" s="75"/>
      <c r="G101" s="13"/>
      <c r="H101" s="13"/>
      <c r="I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14.25" customHeight="1">
      <c r="A102" s="13"/>
      <c r="B102" s="13"/>
      <c r="C102" s="13"/>
      <c r="D102" s="13"/>
      <c r="E102" s="13"/>
      <c r="F102" s="75"/>
      <c r="G102" s="13"/>
      <c r="H102" s="13"/>
      <c r="I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14.25" customHeight="1">
      <c r="A103" s="13"/>
      <c r="B103" s="13"/>
      <c r="C103" s="13"/>
      <c r="D103" s="13"/>
      <c r="E103" s="13"/>
      <c r="F103" s="75"/>
      <c r="G103" s="13"/>
      <c r="H103" s="13"/>
      <c r="I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14.25" customHeight="1">
      <c r="A104" s="13"/>
      <c r="B104" s="13"/>
      <c r="C104" s="13"/>
      <c r="D104" s="13"/>
      <c r="E104" s="13"/>
      <c r="F104" s="75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14.25" customHeight="1">
      <c r="A105" s="13"/>
      <c r="B105" s="13"/>
      <c r="C105" s="13"/>
      <c r="D105" s="13"/>
      <c r="E105" s="13"/>
      <c r="F105" s="75"/>
      <c r="G105" s="13"/>
      <c r="H105" s="13"/>
      <c r="I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14.25" customHeight="1">
      <c r="A106" s="13"/>
      <c r="B106" s="13"/>
      <c r="C106" s="13"/>
      <c r="D106" s="13"/>
      <c r="E106" s="13"/>
      <c r="F106" s="75"/>
      <c r="G106" s="13"/>
      <c r="H106" s="13"/>
      <c r="I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14.25" customHeight="1">
      <c r="A107" s="13"/>
      <c r="B107" s="13"/>
      <c r="C107" s="13"/>
      <c r="D107" s="13"/>
      <c r="E107" s="13"/>
      <c r="F107" s="75"/>
      <c r="G107" s="13"/>
      <c r="H107" s="13"/>
      <c r="I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14.25" customHeight="1">
      <c r="A108" s="13"/>
      <c r="B108" s="13"/>
      <c r="C108" s="13"/>
      <c r="D108" s="13"/>
      <c r="E108" s="13"/>
      <c r="F108" s="75"/>
      <c r="G108" s="13"/>
      <c r="H108" s="13"/>
      <c r="I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14.25" customHeight="1">
      <c r="A109" s="13"/>
      <c r="B109" s="13"/>
      <c r="C109" s="13"/>
      <c r="D109" s="13"/>
      <c r="E109" s="13"/>
      <c r="F109" s="75"/>
      <c r="G109" s="13"/>
      <c r="H109" s="13"/>
      <c r="I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ht="14.25" customHeight="1">
      <c r="A110" s="13"/>
      <c r="B110" s="13"/>
      <c r="C110" s="13"/>
      <c r="D110" s="13"/>
      <c r="E110" s="13"/>
      <c r="F110" s="75"/>
      <c r="G110" s="13"/>
      <c r="H110" s="13"/>
      <c r="I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14.25" customHeight="1">
      <c r="A111" s="13"/>
      <c r="B111" s="13"/>
      <c r="C111" s="13"/>
      <c r="D111" s="13"/>
      <c r="E111" s="13"/>
      <c r="F111" s="75"/>
      <c r="G111" s="13"/>
      <c r="H111" s="13"/>
      <c r="I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14.25" customHeight="1">
      <c r="A112" s="13"/>
      <c r="B112" s="13"/>
      <c r="C112" s="13"/>
      <c r="D112" s="13"/>
      <c r="E112" s="13"/>
      <c r="F112" s="75"/>
      <c r="G112" s="13"/>
      <c r="H112" s="13"/>
      <c r="I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4.25" customHeight="1">
      <c r="A113" s="13"/>
      <c r="B113" s="13"/>
      <c r="C113" s="13"/>
      <c r="D113" s="13"/>
      <c r="E113" s="13"/>
      <c r="F113" s="75"/>
      <c r="G113" s="13"/>
      <c r="H113" s="13"/>
      <c r="I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4.25" customHeight="1">
      <c r="A114" s="13"/>
      <c r="B114" s="13"/>
      <c r="C114" s="13"/>
      <c r="D114" s="13"/>
      <c r="E114" s="13"/>
      <c r="F114" s="75"/>
      <c r="G114" s="13"/>
      <c r="H114" s="13"/>
      <c r="I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4.25" customHeight="1">
      <c r="A115" s="13"/>
      <c r="B115" s="13"/>
      <c r="C115" s="13"/>
      <c r="D115" s="13"/>
      <c r="E115" s="13"/>
      <c r="F115" s="75"/>
      <c r="G115" s="13"/>
      <c r="H115" s="13"/>
      <c r="I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4.25" customHeight="1">
      <c r="A116" s="13"/>
      <c r="B116" s="13"/>
      <c r="C116" s="13"/>
      <c r="D116" s="13"/>
      <c r="E116" s="13"/>
      <c r="F116" s="75"/>
      <c r="G116" s="13"/>
      <c r="H116" s="13"/>
      <c r="I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4.25" customHeight="1">
      <c r="A117" s="13"/>
      <c r="B117" s="13"/>
      <c r="C117" s="13"/>
      <c r="D117" s="13"/>
      <c r="E117" s="13"/>
      <c r="F117" s="75"/>
      <c r="G117" s="13"/>
      <c r="H117" s="13"/>
      <c r="I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4.25" customHeight="1">
      <c r="A118" s="13"/>
      <c r="B118" s="13"/>
      <c r="C118" s="13"/>
      <c r="D118" s="13"/>
      <c r="E118" s="13"/>
      <c r="F118" s="75"/>
      <c r="G118" s="13"/>
      <c r="H118" s="13"/>
      <c r="I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4.25" customHeight="1">
      <c r="A119" s="13"/>
      <c r="B119" s="13"/>
      <c r="C119" s="13"/>
      <c r="D119" s="13"/>
      <c r="E119" s="13"/>
      <c r="F119" s="75"/>
      <c r="G119" s="13"/>
      <c r="H119" s="13"/>
      <c r="I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14.25" customHeight="1">
      <c r="A120" s="13"/>
      <c r="B120" s="13"/>
      <c r="C120" s="13"/>
      <c r="D120" s="13"/>
      <c r="E120" s="13"/>
      <c r="F120" s="75"/>
      <c r="G120" s="13"/>
      <c r="H120" s="13"/>
      <c r="I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14.25" customHeight="1">
      <c r="A121" s="13"/>
      <c r="B121" s="13"/>
      <c r="C121" s="13"/>
      <c r="D121" s="13"/>
      <c r="E121" s="13"/>
      <c r="F121" s="75"/>
      <c r="G121" s="13"/>
      <c r="H121" s="13"/>
      <c r="I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14.25" customHeight="1">
      <c r="A122" s="13"/>
      <c r="B122" s="13"/>
      <c r="C122" s="13"/>
      <c r="D122" s="13"/>
      <c r="E122" s="13"/>
      <c r="F122" s="75"/>
      <c r="G122" s="13"/>
      <c r="H122" s="13"/>
      <c r="I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14.25" customHeight="1">
      <c r="A123" s="13"/>
      <c r="B123" s="13"/>
      <c r="C123" s="13"/>
      <c r="D123" s="13"/>
      <c r="E123" s="13"/>
      <c r="F123" s="75"/>
      <c r="G123" s="13"/>
      <c r="H123" s="13"/>
      <c r="I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14.25" customHeight="1">
      <c r="A124" s="13"/>
      <c r="B124" s="13"/>
      <c r="C124" s="13"/>
      <c r="D124" s="13"/>
      <c r="E124" s="13"/>
      <c r="F124" s="75"/>
      <c r="G124" s="13"/>
      <c r="H124" s="13"/>
      <c r="I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4.25" customHeight="1">
      <c r="A125" s="13"/>
      <c r="B125" s="13"/>
      <c r="C125" s="13"/>
      <c r="D125" s="13"/>
      <c r="E125" s="13"/>
      <c r="F125" s="75"/>
      <c r="G125" s="13"/>
      <c r="H125" s="13"/>
      <c r="I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4.25" customHeight="1">
      <c r="A126" s="13"/>
      <c r="B126" s="13"/>
      <c r="C126" s="13"/>
      <c r="D126" s="13"/>
      <c r="E126" s="13"/>
      <c r="F126" s="75"/>
      <c r="G126" s="13"/>
      <c r="H126" s="13"/>
      <c r="I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14.25" customHeight="1">
      <c r="A127" s="13"/>
      <c r="B127" s="13"/>
      <c r="C127" s="13"/>
      <c r="D127" s="13"/>
      <c r="E127" s="13"/>
      <c r="F127" s="75"/>
      <c r="G127" s="13"/>
      <c r="H127" s="13"/>
      <c r="I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ht="14.25" customHeight="1">
      <c r="A128" s="13"/>
      <c r="B128" s="13"/>
      <c r="C128" s="13"/>
      <c r="D128" s="13"/>
      <c r="E128" s="13"/>
      <c r="F128" s="75"/>
      <c r="G128" s="13"/>
      <c r="H128" s="13"/>
      <c r="I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14.25" customHeight="1">
      <c r="A129" s="13"/>
      <c r="B129" s="13"/>
      <c r="C129" s="13"/>
      <c r="D129" s="13"/>
      <c r="E129" s="13"/>
      <c r="F129" s="75"/>
      <c r="G129" s="13"/>
      <c r="H129" s="13"/>
      <c r="I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ht="14.25" customHeight="1">
      <c r="A130" s="13"/>
      <c r="B130" s="13"/>
      <c r="C130" s="13"/>
      <c r="D130" s="13"/>
      <c r="E130" s="13"/>
      <c r="F130" s="75"/>
      <c r="G130" s="13"/>
      <c r="H130" s="13"/>
      <c r="I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ht="14.25" customHeight="1">
      <c r="A131" s="13"/>
      <c r="B131" s="13"/>
      <c r="C131" s="13"/>
      <c r="D131" s="13"/>
      <c r="E131" s="13"/>
      <c r="F131" s="75"/>
      <c r="G131" s="13"/>
      <c r="H131" s="13"/>
      <c r="I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ht="14.25" customHeight="1">
      <c r="A132" s="13"/>
      <c r="B132" s="13"/>
      <c r="C132" s="13"/>
      <c r="D132" s="13"/>
      <c r="E132" s="13"/>
      <c r="F132" s="75"/>
      <c r="G132" s="13"/>
      <c r="H132" s="13"/>
      <c r="I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ht="14.25" customHeight="1">
      <c r="A133" s="13"/>
      <c r="B133" s="13"/>
      <c r="C133" s="13"/>
      <c r="D133" s="13"/>
      <c r="E133" s="13"/>
      <c r="F133" s="75"/>
      <c r="G133" s="13"/>
      <c r="H133" s="13"/>
      <c r="I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ht="14.25" customHeight="1">
      <c r="A134" s="13"/>
      <c r="B134" s="13"/>
      <c r="C134" s="13"/>
      <c r="D134" s="13"/>
      <c r="E134" s="13"/>
      <c r="F134" s="75"/>
      <c r="G134" s="13"/>
      <c r="H134" s="13"/>
      <c r="I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ht="14.25" customHeight="1">
      <c r="A135" s="13"/>
      <c r="B135" s="13"/>
      <c r="C135" s="13"/>
      <c r="D135" s="13"/>
      <c r="E135" s="13"/>
      <c r="F135" s="75"/>
      <c r="G135" s="13"/>
      <c r="H135" s="13"/>
      <c r="I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ht="14.25" customHeight="1">
      <c r="A136" s="13"/>
      <c r="B136" s="13"/>
      <c r="C136" s="13"/>
      <c r="D136" s="13"/>
      <c r="E136" s="13"/>
      <c r="F136" s="75"/>
      <c r="G136" s="13"/>
      <c r="H136" s="13"/>
      <c r="I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ht="14.25" customHeight="1">
      <c r="A137" s="13"/>
      <c r="B137" s="13"/>
      <c r="C137" s="13"/>
      <c r="D137" s="13"/>
      <c r="E137" s="13"/>
      <c r="F137" s="75"/>
      <c r="G137" s="13"/>
      <c r="H137" s="13"/>
      <c r="I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ht="14.25" customHeight="1">
      <c r="A138" s="13"/>
      <c r="B138" s="13"/>
      <c r="C138" s="13"/>
      <c r="D138" s="13"/>
      <c r="E138" s="13"/>
      <c r="F138" s="75"/>
      <c r="G138" s="13"/>
      <c r="H138" s="13"/>
      <c r="I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ht="14.25" customHeight="1">
      <c r="A139" s="13"/>
      <c r="B139" s="13"/>
      <c r="C139" s="13"/>
      <c r="D139" s="13"/>
      <c r="E139" s="13"/>
      <c r="F139" s="75"/>
      <c r="G139" s="13"/>
      <c r="H139" s="13"/>
      <c r="I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ht="14.25" customHeight="1">
      <c r="A140" s="13"/>
      <c r="B140" s="13"/>
      <c r="C140" s="13"/>
      <c r="D140" s="13"/>
      <c r="E140" s="13"/>
      <c r="F140" s="75"/>
      <c r="G140" s="13"/>
      <c r="H140" s="13"/>
      <c r="I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ht="14.25" customHeight="1">
      <c r="A141" s="13"/>
      <c r="B141" s="13"/>
      <c r="C141" s="13"/>
      <c r="D141" s="13"/>
      <c r="E141" s="13"/>
      <c r="F141" s="75"/>
      <c r="G141" s="13"/>
      <c r="H141" s="13"/>
      <c r="I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ht="14.25" customHeight="1">
      <c r="A142" s="13"/>
      <c r="B142" s="13"/>
      <c r="C142" s="13"/>
      <c r="D142" s="13"/>
      <c r="E142" s="13"/>
      <c r="F142" s="75"/>
      <c r="G142" s="13"/>
      <c r="H142" s="13"/>
      <c r="I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ht="14.25" customHeight="1">
      <c r="A143" s="13"/>
      <c r="B143" s="13"/>
      <c r="C143" s="13"/>
      <c r="D143" s="13"/>
      <c r="E143" s="13"/>
      <c r="F143" s="75"/>
      <c r="G143" s="13"/>
      <c r="H143" s="13"/>
      <c r="I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ht="14.25" customHeight="1">
      <c r="A144" s="13"/>
      <c r="B144" s="13"/>
      <c r="C144" s="13"/>
      <c r="D144" s="13"/>
      <c r="E144" s="13"/>
      <c r="F144" s="75"/>
      <c r="G144" s="13"/>
      <c r="H144" s="13"/>
      <c r="I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ht="14.25" customHeight="1">
      <c r="A145" s="13"/>
      <c r="B145" s="13"/>
      <c r="C145" s="13"/>
      <c r="D145" s="13"/>
      <c r="E145" s="13"/>
      <c r="F145" s="75"/>
      <c r="G145" s="13"/>
      <c r="H145" s="13"/>
      <c r="I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ht="14.25" customHeight="1">
      <c r="A146" s="13"/>
      <c r="B146" s="13"/>
      <c r="C146" s="13"/>
      <c r="D146" s="13"/>
      <c r="E146" s="13"/>
      <c r="F146" s="75"/>
      <c r="G146" s="13"/>
      <c r="H146" s="13"/>
      <c r="I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ht="14.25" customHeight="1">
      <c r="A147" s="13"/>
      <c r="B147" s="13"/>
      <c r="C147" s="13"/>
      <c r="D147" s="13"/>
      <c r="E147" s="13"/>
      <c r="F147" s="75"/>
      <c r="G147" s="13"/>
      <c r="H147" s="13"/>
      <c r="I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ht="14.25" customHeight="1">
      <c r="A148" s="13"/>
      <c r="B148" s="13"/>
      <c r="C148" s="13"/>
      <c r="D148" s="13"/>
      <c r="E148" s="13"/>
      <c r="F148" s="75"/>
      <c r="G148" s="13"/>
      <c r="H148" s="13"/>
      <c r="I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ht="14.25" customHeight="1">
      <c r="A149" s="13"/>
      <c r="B149" s="13"/>
      <c r="C149" s="13"/>
      <c r="D149" s="13"/>
      <c r="E149" s="13"/>
      <c r="F149" s="75"/>
      <c r="G149" s="13"/>
      <c r="H149" s="13"/>
      <c r="I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ht="14.25" customHeight="1">
      <c r="A150" s="13"/>
      <c r="B150" s="13"/>
      <c r="C150" s="13"/>
      <c r="D150" s="13"/>
      <c r="E150" s="13"/>
      <c r="F150" s="75"/>
      <c r="G150" s="13"/>
      <c r="H150" s="13"/>
      <c r="I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ht="14.25" customHeight="1">
      <c r="A151" s="13"/>
      <c r="B151" s="13"/>
      <c r="C151" s="13"/>
      <c r="D151" s="13"/>
      <c r="E151" s="13"/>
      <c r="F151" s="75"/>
      <c r="G151" s="13"/>
      <c r="H151" s="13"/>
      <c r="I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ht="14.25" customHeight="1">
      <c r="A152" s="13"/>
      <c r="B152" s="13"/>
      <c r="C152" s="13"/>
      <c r="D152" s="13"/>
      <c r="E152" s="13"/>
      <c r="F152" s="75"/>
      <c r="G152" s="13"/>
      <c r="H152" s="13"/>
      <c r="I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ht="14.25" customHeight="1">
      <c r="A153" s="13"/>
      <c r="B153" s="13"/>
      <c r="C153" s="13"/>
      <c r="D153" s="13"/>
      <c r="E153" s="13"/>
      <c r="F153" s="75"/>
      <c r="G153" s="13"/>
      <c r="H153" s="13"/>
      <c r="I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ht="14.25" customHeight="1">
      <c r="A154" s="13"/>
      <c r="B154" s="13"/>
      <c r="C154" s="13"/>
      <c r="D154" s="13"/>
      <c r="E154" s="13"/>
      <c r="F154" s="75"/>
      <c r="G154" s="13"/>
      <c r="H154" s="13"/>
      <c r="I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ht="14.25" customHeight="1">
      <c r="A155" s="13"/>
      <c r="B155" s="13"/>
      <c r="C155" s="13"/>
      <c r="D155" s="13"/>
      <c r="E155" s="13"/>
      <c r="F155" s="75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ht="14.25" customHeight="1">
      <c r="A156" s="13"/>
      <c r="B156" s="13"/>
      <c r="C156" s="13"/>
      <c r="D156" s="13"/>
      <c r="E156" s="13"/>
      <c r="F156" s="75"/>
      <c r="G156" s="13"/>
      <c r="H156" s="13"/>
      <c r="I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ht="14.25" customHeight="1">
      <c r="A157" s="13"/>
      <c r="B157" s="13"/>
      <c r="C157" s="13"/>
      <c r="D157" s="13"/>
      <c r="E157" s="13"/>
      <c r="F157" s="75"/>
      <c r="G157" s="13"/>
      <c r="H157" s="13"/>
      <c r="I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ht="14.25" customHeight="1">
      <c r="A158" s="13"/>
      <c r="B158" s="13"/>
      <c r="C158" s="13"/>
      <c r="D158" s="13"/>
      <c r="E158" s="13"/>
      <c r="F158" s="75"/>
      <c r="G158" s="13"/>
      <c r="H158" s="13"/>
      <c r="I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ht="14.25" customHeight="1">
      <c r="A159" s="13"/>
      <c r="B159" s="13"/>
      <c r="C159" s="13"/>
      <c r="D159" s="13"/>
      <c r="E159" s="13"/>
      <c r="F159" s="75"/>
      <c r="G159" s="13"/>
      <c r="H159" s="13"/>
      <c r="I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ht="14.25" customHeight="1">
      <c r="A160" s="13"/>
      <c r="B160" s="13"/>
      <c r="C160" s="13"/>
      <c r="D160" s="13"/>
      <c r="E160" s="13"/>
      <c r="F160" s="75"/>
      <c r="G160" s="13"/>
      <c r="H160" s="13"/>
      <c r="I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ht="14.25" customHeight="1">
      <c r="A161" s="13"/>
      <c r="B161" s="13"/>
      <c r="C161" s="13"/>
      <c r="D161" s="13"/>
      <c r="E161" s="13"/>
      <c r="F161" s="75"/>
      <c r="G161" s="13"/>
      <c r="H161" s="13"/>
      <c r="I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ht="14.25" customHeight="1">
      <c r="A162" s="13"/>
      <c r="B162" s="13"/>
      <c r="C162" s="13"/>
      <c r="D162" s="13"/>
      <c r="E162" s="13"/>
      <c r="F162" s="75"/>
      <c r="G162" s="13"/>
      <c r="H162" s="13"/>
      <c r="I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ht="14.25" customHeight="1">
      <c r="A163" s="13"/>
      <c r="B163" s="13"/>
      <c r="C163" s="13"/>
      <c r="D163" s="13"/>
      <c r="E163" s="13"/>
      <c r="F163" s="75"/>
      <c r="G163" s="13"/>
      <c r="H163" s="13"/>
      <c r="I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ht="14.25" customHeight="1">
      <c r="A164" s="13"/>
      <c r="B164" s="13"/>
      <c r="C164" s="13"/>
      <c r="D164" s="13"/>
      <c r="E164" s="13"/>
      <c r="F164" s="75"/>
      <c r="G164" s="13"/>
      <c r="H164" s="13"/>
      <c r="I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ht="14.25" customHeight="1">
      <c r="A165" s="13"/>
      <c r="B165" s="13"/>
      <c r="C165" s="13"/>
      <c r="D165" s="13"/>
      <c r="E165" s="13"/>
      <c r="F165" s="75"/>
      <c r="G165" s="13"/>
      <c r="H165" s="13"/>
      <c r="I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ht="14.25" customHeight="1">
      <c r="A166" s="13"/>
      <c r="B166" s="13"/>
      <c r="C166" s="13"/>
      <c r="D166" s="13"/>
      <c r="E166" s="13"/>
      <c r="F166" s="75"/>
      <c r="G166" s="13"/>
      <c r="H166" s="13"/>
      <c r="I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ht="14.25" customHeight="1">
      <c r="A167" s="13"/>
      <c r="B167" s="13"/>
      <c r="C167" s="13"/>
      <c r="D167" s="13"/>
      <c r="E167" s="13"/>
      <c r="F167" s="75"/>
      <c r="G167" s="13"/>
      <c r="H167" s="13"/>
      <c r="I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ht="14.25" customHeight="1">
      <c r="A168" s="13"/>
      <c r="B168" s="13"/>
      <c r="C168" s="13"/>
      <c r="D168" s="13"/>
      <c r="E168" s="13"/>
      <c r="F168" s="75"/>
      <c r="G168" s="13"/>
      <c r="H168" s="13"/>
      <c r="I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ht="14.25" customHeight="1">
      <c r="A169" s="13"/>
      <c r="B169" s="13"/>
      <c r="C169" s="13"/>
      <c r="D169" s="13"/>
      <c r="E169" s="13"/>
      <c r="F169" s="75"/>
      <c r="G169" s="13"/>
      <c r="H169" s="13"/>
      <c r="I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ht="14.25" customHeight="1">
      <c r="A170" s="13"/>
      <c r="B170" s="13"/>
      <c r="C170" s="13"/>
      <c r="D170" s="13"/>
      <c r="E170" s="13"/>
      <c r="F170" s="75"/>
      <c r="G170" s="13"/>
      <c r="H170" s="13"/>
      <c r="I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ht="14.25" customHeight="1">
      <c r="A171" s="13"/>
      <c r="B171" s="13"/>
      <c r="C171" s="13"/>
      <c r="D171" s="13"/>
      <c r="E171" s="13"/>
      <c r="F171" s="75"/>
      <c r="G171" s="13"/>
      <c r="H171" s="13"/>
      <c r="I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ht="14.25" customHeight="1">
      <c r="A172" s="13"/>
      <c r="B172" s="13"/>
      <c r="C172" s="13"/>
      <c r="D172" s="13"/>
      <c r="E172" s="13"/>
      <c r="F172" s="75"/>
      <c r="G172" s="13"/>
      <c r="H172" s="13"/>
      <c r="I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ht="14.25" customHeight="1">
      <c r="A173" s="13"/>
      <c r="B173" s="13"/>
      <c r="C173" s="13"/>
      <c r="D173" s="13"/>
      <c r="E173" s="13"/>
      <c r="F173" s="75"/>
      <c r="G173" s="13"/>
      <c r="H173" s="13"/>
      <c r="I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ht="14.25" customHeight="1">
      <c r="A174" s="13"/>
      <c r="B174" s="13"/>
      <c r="C174" s="13"/>
      <c r="D174" s="13"/>
      <c r="E174" s="13"/>
      <c r="F174" s="75"/>
      <c r="G174" s="13"/>
      <c r="H174" s="13"/>
      <c r="I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ht="14.25" customHeight="1">
      <c r="A175" s="13"/>
      <c r="B175" s="13"/>
      <c r="C175" s="13"/>
      <c r="D175" s="13"/>
      <c r="E175" s="13"/>
      <c r="F175" s="75"/>
      <c r="G175" s="13"/>
      <c r="H175" s="13"/>
      <c r="I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ht="14.25" customHeight="1">
      <c r="A176" s="13"/>
      <c r="B176" s="13"/>
      <c r="C176" s="13"/>
      <c r="D176" s="13"/>
      <c r="E176" s="13"/>
      <c r="F176" s="75"/>
      <c r="G176" s="13"/>
      <c r="H176" s="13"/>
      <c r="I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ht="14.25" customHeight="1">
      <c r="A177" s="13"/>
      <c r="B177" s="13"/>
      <c r="C177" s="13"/>
      <c r="D177" s="13"/>
      <c r="E177" s="13"/>
      <c r="F177" s="75"/>
      <c r="G177" s="13"/>
      <c r="H177" s="13"/>
      <c r="I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ht="14.25" customHeight="1">
      <c r="A178" s="13"/>
      <c r="B178" s="13"/>
      <c r="C178" s="13"/>
      <c r="D178" s="13"/>
      <c r="E178" s="13"/>
      <c r="F178" s="75"/>
      <c r="G178" s="13"/>
      <c r="H178" s="13"/>
      <c r="I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ht="14.25" customHeight="1">
      <c r="A179" s="13"/>
      <c r="B179" s="13"/>
      <c r="C179" s="13"/>
      <c r="D179" s="13"/>
      <c r="E179" s="13"/>
      <c r="F179" s="75"/>
      <c r="G179" s="13"/>
      <c r="H179" s="13"/>
      <c r="I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ht="14.25" customHeight="1">
      <c r="A180" s="13"/>
      <c r="B180" s="13"/>
      <c r="C180" s="13"/>
      <c r="D180" s="13"/>
      <c r="E180" s="13"/>
      <c r="F180" s="75"/>
      <c r="G180" s="13"/>
      <c r="H180" s="13"/>
      <c r="I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ht="14.25" customHeight="1">
      <c r="A181" s="13"/>
      <c r="B181" s="13"/>
      <c r="C181" s="13"/>
      <c r="D181" s="13"/>
      <c r="E181" s="13"/>
      <c r="F181" s="75"/>
      <c r="G181" s="13"/>
      <c r="H181" s="13"/>
      <c r="I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ht="14.25" customHeight="1">
      <c r="A182" s="13"/>
      <c r="B182" s="13"/>
      <c r="C182" s="13"/>
      <c r="D182" s="13"/>
      <c r="E182" s="13"/>
      <c r="F182" s="75"/>
      <c r="G182" s="13"/>
      <c r="H182" s="13"/>
      <c r="I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ht="14.25" customHeight="1">
      <c r="A183" s="13"/>
      <c r="B183" s="13"/>
      <c r="C183" s="13"/>
      <c r="D183" s="13"/>
      <c r="E183" s="13"/>
      <c r="F183" s="75"/>
      <c r="G183" s="13"/>
      <c r="H183" s="13"/>
      <c r="I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ht="14.25" customHeight="1">
      <c r="A184" s="13"/>
      <c r="B184" s="13"/>
      <c r="C184" s="13"/>
      <c r="D184" s="13"/>
      <c r="E184" s="13"/>
      <c r="F184" s="75"/>
      <c r="G184" s="13"/>
      <c r="H184" s="13"/>
      <c r="I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ht="14.25" customHeight="1">
      <c r="A185" s="13"/>
      <c r="B185" s="13"/>
      <c r="C185" s="13"/>
      <c r="D185" s="13"/>
      <c r="E185" s="13"/>
      <c r="F185" s="75"/>
      <c r="G185" s="13"/>
      <c r="H185" s="13"/>
      <c r="I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ht="14.25" customHeight="1">
      <c r="A186" s="13"/>
      <c r="B186" s="13"/>
      <c r="C186" s="13"/>
      <c r="D186" s="13"/>
      <c r="E186" s="13"/>
      <c r="F186" s="75"/>
      <c r="G186" s="13"/>
      <c r="H186" s="13"/>
      <c r="I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ht="14.25" customHeight="1">
      <c r="A187" s="13"/>
      <c r="B187" s="13"/>
      <c r="C187" s="13"/>
      <c r="D187" s="13"/>
      <c r="E187" s="13"/>
      <c r="F187" s="75"/>
      <c r="G187" s="13"/>
      <c r="H187" s="13"/>
      <c r="I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ht="14.25" customHeight="1">
      <c r="A188" s="13"/>
      <c r="B188" s="13"/>
      <c r="C188" s="13"/>
      <c r="D188" s="13"/>
      <c r="E188" s="13"/>
      <c r="F188" s="75"/>
      <c r="G188" s="13"/>
      <c r="H188" s="13"/>
      <c r="I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ht="14.25" customHeight="1">
      <c r="A189" s="13"/>
      <c r="B189" s="13"/>
      <c r="C189" s="13"/>
      <c r="D189" s="13"/>
      <c r="E189" s="13"/>
      <c r="F189" s="75"/>
      <c r="G189" s="13"/>
      <c r="H189" s="13"/>
      <c r="I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ht="14.25" customHeight="1">
      <c r="A190" s="13"/>
      <c r="B190" s="13"/>
      <c r="C190" s="13"/>
      <c r="D190" s="13"/>
      <c r="E190" s="13"/>
      <c r="F190" s="75"/>
      <c r="G190" s="13"/>
      <c r="H190" s="13"/>
      <c r="I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ht="14.25" customHeight="1">
      <c r="A191" s="13"/>
      <c r="B191" s="13"/>
      <c r="C191" s="13"/>
      <c r="D191" s="13"/>
      <c r="E191" s="13"/>
      <c r="F191" s="75"/>
      <c r="G191" s="13"/>
      <c r="H191" s="13"/>
      <c r="I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ht="14.25" customHeight="1">
      <c r="A192" s="13"/>
      <c r="B192" s="13"/>
      <c r="C192" s="13"/>
      <c r="D192" s="13"/>
      <c r="E192" s="13"/>
      <c r="F192" s="75"/>
      <c r="G192" s="13"/>
      <c r="H192" s="13"/>
      <c r="I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ht="14.25" customHeight="1">
      <c r="A193" s="13"/>
      <c r="B193" s="13"/>
      <c r="C193" s="13"/>
      <c r="D193" s="13"/>
      <c r="E193" s="13"/>
      <c r="F193" s="75"/>
      <c r="G193" s="13"/>
      <c r="H193" s="13"/>
      <c r="I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ht="14.25" customHeight="1">
      <c r="A194" s="13"/>
      <c r="B194" s="13"/>
      <c r="C194" s="13"/>
      <c r="D194" s="13"/>
      <c r="E194" s="13"/>
      <c r="F194" s="75"/>
      <c r="G194" s="13"/>
      <c r="H194" s="13"/>
      <c r="I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ht="14.25" customHeight="1">
      <c r="A195" s="13"/>
      <c r="B195" s="13"/>
      <c r="C195" s="13"/>
      <c r="D195" s="13"/>
      <c r="E195" s="13"/>
      <c r="F195" s="75"/>
      <c r="G195" s="13"/>
      <c r="H195" s="13"/>
      <c r="I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ht="14.25" customHeight="1">
      <c r="A196" s="13"/>
      <c r="B196" s="13"/>
      <c r="C196" s="13"/>
      <c r="D196" s="13"/>
      <c r="E196" s="13"/>
      <c r="F196" s="75"/>
      <c r="G196" s="13"/>
      <c r="H196" s="13"/>
      <c r="I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ht="14.25" customHeight="1">
      <c r="A197" s="13"/>
      <c r="B197" s="13"/>
      <c r="C197" s="13"/>
      <c r="D197" s="13"/>
      <c r="E197" s="13"/>
      <c r="F197" s="75"/>
      <c r="G197" s="13"/>
      <c r="H197" s="13"/>
      <c r="I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ht="14.25" customHeight="1">
      <c r="A198" s="13"/>
      <c r="B198" s="13"/>
      <c r="C198" s="13"/>
      <c r="D198" s="13"/>
      <c r="E198" s="13"/>
      <c r="F198" s="75"/>
      <c r="G198" s="13"/>
      <c r="H198" s="13"/>
      <c r="I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ht="14.25" customHeight="1">
      <c r="A199" s="13"/>
      <c r="B199" s="13"/>
      <c r="C199" s="13"/>
      <c r="D199" s="13"/>
      <c r="E199" s="13"/>
      <c r="F199" s="75"/>
      <c r="G199" s="13"/>
      <c r="H199" s="13"/>
      <c r="I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ht="14.25" customHeight="1">
      <c r="A200" s="13"/>
      <c r="B200" s="13"/>
      <c r="C200" s="13"/>
      <c r="D200" s="13"/>
      <c r="E200" s="13"/>
      <c r="F200" s="75"/>
      <c r="G200" s="13"/>
      <c r="H200" s="13"/>
      <c r="I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ht="14.25" customHeight="1">
      <c r="A201" s="13"/>
      <c r="B201" s="13"/>
      <c r="C201" s="13"/>
      <c r="D201" s="13"/>
      <c r="E201" s="13"/>
      <c r="F201" s="75"/>
      <c r="G201" s="13"/>
      <c r="H201" s="13"/>
      <c r="I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ht="14.25" customHeight="1">
      <c r="A202" s="13"/>
      <c r="B202" s="13"/>
      <c r="C202" s="13"/>
      <c r="D202" s="13"/>
      <c r="E202" s="13"/>
      <c r="F202" s="75"/>
      <c r="G202" s="13"/>
      <c r="H202" s="13"/>
      <c r="I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ht="14.25" customHeight="1">
      <c r="A203" s="13"/>
      <c r="B203" s="13"/>
      <c r="C203" s="13"/>
      <c r="D203" s="13"/>
      <c r="E203" s="13"/>
      <c r="F203" s="75"/>
      <c r="G203" s="13"/>
      <c r="H203" s="13"/>
      <c r="I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ht="14.25" customHeight="1">
      <c r="A204" s="13"/>
      <c r="B204" s="13"/>
      <c r="C204" s="13"/>
      <c r="D204" s="13"/>
      <c r="E204" s="13"/>
      <c r="F204" s="75"/>
      <c r="G204" s="13"/>
      <c r="H204" s="13"/>
      <c r="I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ht="14.25" customHeight="1">
      <c r="A205" s="13"/>
      <c r="B205" s="13"/>
      <c r="C205" s="13"/>
      <c r="D205" s="13"/>
      <c r="E205" s="13"/>
      <c r="F205" s="75"/>
      <c r="G205" s="13"/>
      <c r="H205" s="13"/>
      <c r="I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ht="14.25" customHeight="1">
      <c r="A206" s="13"/>
      <c r="B206" s="13"/>
      <c r="C206" s="13"/>
      <c r="D206" s="13"/>
      <c r="E206" s="13"/>
      <c r="F206" s="75"/>
      <c r="G206" s="13"/>
      <c r="H206" s="13"/>
      <c r="I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ht="14.25" customHeight="1">
      <c r="A207" s="13"/>
      <c r="B207" s="13"/>
      <c r="C207" s="13"/>
      <c r="D207" s="13"/>
      <c r="E207" s="13"/>
      <c r="F207" s="75"/>
      <c r="G207" s="13"/>
      <c r="H207" s="13"/>
      <c r="I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ht="14.25" customHeight="1">
      <c r="A208" s="13"/>
      <c r="B208" s="13"/>
      <c r="C208" s="13"/>
      <c r="D208" s="13"/>
      <c r="E208" s="13"/>
      <c r="F208" s="75"/>
      <c r="G208" s="13"/>
      <c r="H208" s="13"/>
      <c r="I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ht="14.25" customHeight="1">
      <c r="A209" s="13"/>
      <c r="B209" s="13"/>
      <c r="C209" s="13"/>
      <c r="D209" s="13"/>
      <c r="E209" s="13"/>
      <c r="F209" s="75"/>
      <c r="G209" s="13"/>
      <c r="H209" s="13"/>
      <c r="I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ht="14.25" customHeight="1">
      <c r="A210" s="13"/>
      <c r="B210" s="13"/>
      <c r="C210" s="13"/>
      <c r="D210" s="13"/>
      <c r="E210" s="13"/>
      <c r="F210" s="75"/>
      <c r="G210" s="13"/>
      <c r="H210" s="13"/>
      <c r="I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14.25" customHeight="1">
      <c r="A211" s="13"/>
      <c r="B211" s="13"/>
      <c r="C211" s="13"/>
      <c r="D211" s="13"/>
      <c r="E211" s="13"/>
      <c r="F211" s="75"/>
      <c r="G211" s="13"/>
      <c r="H211" s="13"/>
      <c r="I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14.25" customHeight="1">
      <c r="A212" s="13"/>
      <c r="B212" s="13"/>
      <c r="C212" s="13"/>
      <c r="D212" s="13"/>
      <c r="E212" s="13"/>
      <c r="F212" s="75"/>
      <c r="G212" s="13"/>
      <c r="H212" s="13"/>
      <c r="I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14.25" customHeight="1">
      <c r="A213" s="13"/>
      <c r="B213" s="13"/>
      <c r="C213" s="13"/>
      <c r="D213" s="13"/>
      <c r="E213" s="13"/>
      <c r="F213" s="75"/>
      <c r="G213" s="13"/>
      <c r="H213" s="13"/>
      <c r="I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14.25" customHeight="1">
      <c r="A214" s="13"/>
      <c r="B214" s="13"/>
      <c r="C214" s="13"/>
      <c r="D214" s="13"/>
      <c r="E214" s="13"/>
      <c r="F214" s="75"/>
      <c r="G214" s="13"/>
      <c r="H214" s="13"/>
      <c r="I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14.25" customHeight="1">
      <c r="A215" s="13"/>
      <c r="B215" s="13"/>
      <c r="C215" s="13"/>
      <c r="D215" s="13"/>
      <c r="E215" s="13"/>
      <c r="F215" s="75"/>
      <c r="G215" s="13"/>
      <c r="H215" s="13"/>
      <c r="I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14.25" customHeight="1">
      <c r="A216" s="13"/>
      <c r="B216" s="13"/>
      <c r="C216" s="13"/>
      <c r="D216" s="13"/>
      <c r="E216" s="13"/>
      <c r="F216" s="75"/>
      <c r="G216" s="13"/>
      <c r="H216" s="13"/>
      <c r="I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14.25" customHeight="1">
      <c r="A217" s="13"/>
      <c r="B217" s="13"/>
      <c r="C217" s="13"/>
      <c r="D217" s="13"/>
      <c r="E217" s="13"/>
      <c r="F217" s="75"/>
      <c r="G217" s="13"/>
      <c r="H217" s="13"/>
      <c r="I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14.25" customHeight="1">
      <c r="A218" s="13"/>
      <c r="B218" s="13"/>
      <c r="C218" s="13"/>
      <c r="D218" s="13"/>
      <c r="E218" s="13"/>
      <c r="F218" s="75"/>
      <c r="G218" s="13"/>
      <c r="H218" s="13"/>
      <c r="I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14.25" customHeight="1">
      <c r="A219" s="13"/>
      <c r="B219" s="13"/>
      <c r="C219" s="13"/>
      <c r="D219" s="13"/>
      <c r="E219" s="13"/>
      <c r="F219" s="75"/>
      <c r="G219" s="13"/>
      <c r="H219" s="13"/>
      <c r="I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14.25" customHeight="1">
      <c r="A220" s="13"/>
      <c r="B220" s="13"/>
      <c r="C220" s="13"/>
      <c r="D220" s="13"/>
      <c r="E220" s="13"/>
      <c r="F220" s="75"/>
      <c r="G220" s="13"/>
      <c r="H220" s="13"/>
      <c r="I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14.25" customHeight="1">
      <c r="A221" s="13"/>
      <c r="B221" s="13"/>
      <c r="C221" s="13"/>
      <c r="D221" s="13"/>
      <c r="E221" s="13"/>
      <c r="F221" s="75"/>
      <c r="G221" s="13"/>
      <c r="H221" s="13"/>
      <c r="I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14.25" customHeight="1">
      <c r="A222" s="13"/>
      <c r="B222" s="13"/>
      <c r="C222" s="13"/>
      <c r="D222" s="13"/>
      <c r="E222" s="13"/>
      <c r="F222" s="75"/>
      <c r="G222" s="13"/>
      <c r="H222" s="13"/>
      <c r="I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14.25" customHeight="1">
      <c r="A223" s="13"/>
      <c r="B223" s="13"/>
      <c r="C223" s="13"/>
      <c r="D223" s="13"/>
      <c r="E223" s="13"/>
      <c r="F223" s="75"/>
      <c r="G223" s="13"/>
      <c r="H223" s="13"/>
      <c r="I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14.25" customHeight="1">
      <c r="A224" s="13"/>
      <c r="B224" s="13"/>
      <c r="C224" s="13"/>
      <c r="D224" s="13"/>
      <c r="E224" s="13"/>
      <c r="F224" s="75"/>
      <c r="G224" s="13"/>
      <c r="H224" s="13"/>
      <c r="I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14.25" customHeight="1">
      <c r="A225" s="13"/>
      <c r="B225" s="13"/>
      <c r="C225" s="13"/>
      <c r="D225" s="13"/>
      <c r="E225" s="13"/>
      <c r="F225" s="75"/>
      <c r="G225" s="13"/>
      <c r="H225" s="13"/>
      <c r="I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14.25" customHeight="1">
      <c r="A226" s="13"/>
      <c r="B226" s="13"/>
      <c r="C226" s="13"/>
      <c r="D226" s="13"/>
      <c r="E226" s="13"/>
      <c r="F226" s="75"/>
      <c r="G226" s="13"/>
      <c r="H226" s="13"/>
      <c r="I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14.25" customHeight="1">
      <c r="A227" s="13"/>
      <c r="B227" s="13"/>
      <c r="C227" s="13"/>
      <c r="D227" s="13"/>
      <c r="E227" s="13"/>
      <c r="F227" s="75"/>
      <c r="G227" s="13"/>
      <c r="H227" s="13"/>
      <c r="I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ht="14.25" customHeight="1">
      <c r="A228" s="13"/>
      <c r="B228" s="13"/>
      <c r="C228" s="13"/>
      <c r="D228" s="13"/>
      <c r="E228" s="13"/>
      <c r="F228" s="75"/>
      <c r="G228" s="13"/>
      <c r="H228" s="13"/>
      <c r="I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ht="14.25" customHeight="1">
      <c r="A229" s="13"/>
      <c r="B229" s="13"/>
      <c r="C229" s="13"/>
      <c r="D229" s="13"/>
      <c r="E229" s="13"/>
      <c r="F229" s="75"/>
      <c r="G229" s="13"/>
      <c r="H229" s="13"/>
      <c r="I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14.25" customHeight="1">
      <c r="A230" s="13"/>
      <c r="B230" s="13"/>
      <c r="C230" s="13"/>
      <c r="D230" s="13"/>
      <c r="E230" s="13"/>
      <c r="F230" s="75"/>
      <c r="G230" s="13"/>
      <c r="H230" s="13"/>
      <c r="I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ht="14.25" customHeight="1">
      <c r="A231" s="13"/>
      <c r="B231" s="13"/>
      <c r="C231" s="13"/>
      <c r="D231" s="13"/>
      <c r="E231" s="13"/>
      <c r="F231" s="75"/>
      <c r="G231" s="13"/>
      <c r="H231" s="13"/>
      <c r="I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ht="14.25" customHeight="1">
      <c r="A232" s="13"/>
      <c r="B232" s="13"/>
      <c r="C232" s="13"/>
      <c r="D232" s="13"/>
      <c r="E232" s="13"/>
      <c r="F232" s="75"/>
      <c r="G232" s="13"/>
      <c r="H232" s="13"/>
      <c r="I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ht="14.25" customHeight="1">
      <c r="A233" s="13"/>
      <c r="B233" s="13"/>
      <c r="C233" s="13"/>
      <c r="D233" s="13"/>
      <c r="E233" s="13"/>
      <c r="F233" s="75"/>
      <c r="G233" s="13"/>
      <c r="H233" s="13"/>
      <c r="I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ht="14.25" customHeight="1">
      <c r="A234" s="13"/>
      <c r="B234" s="13"/>
      <c r="C234" s="13"/>
      <c r="D234" s="13"/>
      <c r="E234" s="13"/>
      <c r="F234" s="75"/>
      <c r="G234" s="13"/>
      <c r="H234" s="13"/>
      <c r="I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ht="14.25" customHeight="1">
      <c r="A235" s="13"/>
      <c r="B235" s="13"/>
      <c r="C235" s="13"/>
      <c r="D235" s="13"/>
      <c r="E235" s="13"/>
      <c r="F235" s="75"/>
      <c r="G235" s="13"/>
      <c r="H235" s="13"/>
      <c r="I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ht="14.25" customHeight="1">
      <c r="A236" s="13"/>
      <c r="B236" s="13"/>
      <c r="C236" s="13"/>
      <c r="D236" s="13"/>
      <c r="E236" s="13"/>
      <c r="F236" s="75"/>
      <c r="G236" s="13"/>
      <c r="H236" s="13"/>
      <c r="I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ht="14.25" customHeight="1">
      <c r="A237" s="13"/>
      <c r="B237" s="13"/>
      <c r="C237" s="13"/>
      <c r="D237" s="13"/>
      <c r="E237" s="13"/>
      <c r="F237" s="75"/>
      <c r="G237" s="13"/>
      <c r="H237" s="13"/>
      <c r="I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ht="14.25" customHeight="1">
      <c r="A238" s="13"/>
      <c r="B238" s="13"/>
      <c r="C238" s="13"/>
      <c r="D238" s="13"/>
      <c r="E238" s="13"/>
      <c r="F238" s="75"/>
      <c r="G238" s="13"/>
      <c r="H238" s="13"/>
      <c r="I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ht="14.25" customHeight="1">
      <c r="A239" s="13"/>
      <c r="B239" s="13"/>
      <c r="C239" s="13"/>
      <c r="D239" s="13"/>
      <c r="E239" s="13"/>
      <c r="F239" s="75"/>
      <c r="G239" s="13"/>
      <c r="H239" s="13"/>
      <c r="I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ht="14.25" customHeight="1">
      <c r="A240" s="13"/>
      <c r="B240" s="13"/>
      <c r="C240" s="13"/>
      <c r="D240" s="13"/>
      <c r="E240" s="13"/>
      <c r="F240" s="75"/>
      <c r="G240" s="13"/>
      <c r="H240" s="13"/>
      <c r="I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14.25" customHeight="1">
      <c r="A241" s="13"/>
      <c r="B241" s="13"/>
      <c r="C241" s="13"/>
      <c r="D241" s="13"/>
      <c r="E241" s="13"/>
      <c r="F241" s="75"/>
      <c r="G241" s="13"/>
      <c r="H241" s="13"/>
      <c r="I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ht="14.25" customHeight="1">
      <c r="A242" s="13"/>
      <c r="B242" s="13"/>
      <c r="C242" s="13"/>
      <c r="D242" s="13"/>
      <c r="E242" s="13"/>
      <c r="F242" s="75"/>
      <c r="G242" s="13"/>
      <c r="H242" s="13"/>
      <c r="I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ht="14.25" customHeight="1">
      <c r="A243" s="13"/>
      <c r="B243" s="13"/>
      <c r="C243" s="13"/>
      <c r="D243" s="13"/>
      <c r="E243" s="13"/>
      <c r="F243" s="75"/>
      <c r="G243" s="13"/>
      <c r="H243" s="13"/>
      <c r="I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ht="14.25" customHeight="1">
      <c r="A244" s="13"/>
      <c r="B244" s="13"/>
      <c r="C244" s="13"/>
      <c r="D244" s="13"/>
      <c r="E244" s="13"/>
      <c r="F244" s="75"/>
      <c r="G244" s="13"/>
      <c r="H244" s="13"/>
      <c r="I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ht="14.25" customHeight="1">
      <c r="A245" s="13"/>
      <c r="B245" s="13"/>
      <c r="C245" s="13"/>
      <c r="D245" s="13"/>
      <c r="E245" s="13"/>
      <c r="F245" s="75"/>
      <c r="G245" s="13"/>
      <c r="H245" s="13"/>
      <c r="I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ht="14.25" customHeight="1">
      <c r="A246" s="13"/>
      <c r="B246" s="13"/>
      <c r="C246" s="13"/>
      <c r="D246" s="13"/>
      <c r="E246" s="13"/>
      <c r="F246" s="75"/>
      <c r="G246" s="13"/>
      <c r="H246" s="13"/>
      <c r="I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ht="14.25" customHeight="1">
      <c r="A247" s="13"/>
      <c r="B247" s="13"/>
      <c r="C247" s="13"/>
      <c r="D247" s="13"/>
      <c r="E247" s="13"/>
      <c r="F247" s="75"/>
      <c r="G247" s="13"/>
      <c r="H247" s="13"/>
      <c r="I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ht="14.25" customHeight="1">
      <c r="A248" s="13"/>
      <c r="B248" s="13"/>
      <c r="C248" s="13"/>
      <c r="D248" s="13"/>
      <c r="E248" s="13"/>
      <c r="F248" s="75"/>
      <c r="G248" s="13"/>
      <c r="H248" s="13"/>
      <c r="I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ht="14.25" customHeight="1">
      <c r="A249" s="13"/>
      <c r="B249" s="13"/>
      <c r="C249" s="13"/>
      <c r="D249" s="13"/>
      <c r="E249" s="13"/>
      <c r="F249" s="75"/>
      <c r="G249" s="13"/>
      <c r="H249" s="13"/>
      <c r="I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ht="14.25" customHeight="1">
      <c r="A250" s="13"/>
      <c r="B250" s="13"/>
      <c r="C250" s="13"/>
      <c r="D250" s="13"/>
      <c r="E250" s="13"/>
      <c r="F250" s="75"/>
      <c r="G250" s="13"/>
      <c r="H250" s="13"/>
      <c r="I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ht="14.25" customHeight="1">
      <c r="A251" s="13"/>
      <c r="B251" s="13"/>
      <c r="C251" s="13"/>
      <c r="D251" s="13"/>
      <c r="E251" s="13"/>
      <c r="F251" s="75"/>
      <c r="G251" s="13"/>
      <c r="H251" s="13"/>
      <c r="I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ht="14.25" customHeight="1">
      <c r="A252" s="13"/>
      <c r="B252" s="13"/>
      <c r="C252" s="13"/>
      <c r="D252" s="13"/>
      <c r="E252" s="13"/>
      <c r="F252" s="75"/>
      <c r="G252" s="13"/>
      <c r="H252" s="13"/>
      <c r="I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ht="14.25" customHeight="1">
      <c r="A253" s="13"/>
      <c r="B253" s="13"/>
      <c r="C253" s="13"/>
      <c r="D253" s="13"/>
      <c r="E253" s="13"/>
      <c r="F253" s="75"/>
      <c r="G253" s="13"/>
      <c r="H253" s="13"/>
      <c r="I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ht="14.25" customHeight="1">
      <c r="A254" s="13"/>
      <c r="B254" s="13"/>
      <c r="C254" s="13"/>
      <c r="D254" s="13"/>
      <c r="E254" s="13"/>
      <c r="F254" s="75"/>
      <c r="G254" s="13"/>
      <c r="H254" s="13"/>
      <c r="I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ht="14.25" customHeight="1">
      <c r="A255" s="13"/>
      <c r="B255" s="13"/>
      <c r="C255" s="13"/>
      <c r="D255" s="13"/>
      <c r="E255" s="13"/>
      <c r="F255" s="75"/>
      <c r="G255" s="13"/>
      <c r="H255" s="13"/>
      <c r="I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ht="14.25" customHeight="1">
      <c r="A256" s="13"/>
      <c r="B256" s="13"/>
      <c r="C256" s="13"/>
      <c r="D256" s="13"/>
      <c r="E256" s="13"/>
      <c r="F256" s="75"/>
      <c r="G256" s="13"/>
      <c r="H256" s="13"/>
      <c r="I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ht="14.25" customHeight="1">
      <c r="A257" s="13"/>
      <c r="B257" s="13"/>
      <c r="C257" s="13"/>
      <c r="D257" s="13"/>
      <c r="E257" s="13"/>
      <c r="F257" s="75"/>
      <c r="G257" s="13"/>
      <c r="H257" s="13"/>
      <c r="I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14.25" customHeight="1">
      <c r="A258" s="13"/>
      <c r="B258" s="13"/>
      <c r="C258" s="13"/>
      <c r="D258" s="13"/>
      <c r="E258" s="13"/>
      <c r="F258" s="75"/>
      <c r="G258" s="13"/>
      <c r="H258" s="13"/>
      <c r="I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ht="14.25" customHeight="1">
      <c r="A259" s="13"/>
      <c r="B259" s="13"/>
      <c r="C259" s="13"/>
      <c r="D259" s="13"/>
      <c r="E259" s="13"/>
      <c r="F259" s="75"/>
      <c r="G259" s="13"/>
      <c r="H259" s="13"/>
      <c r="I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ht="14.25" customHeight="1">
      <c r="A260" s="13"/>
      <c r="B260" s="13"/>
      <c r="C260" s="13"/>
      <c r="D260" s="13"/>
      <c r="E260" s="13"/>
      <c r="F260" s="75"/>
      <c r="G260" s="13"/>
      <c r="H260" s="13"/>
      <c r="I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ht="14.25" customHeight="1">
      <c r="A261" s="13"/>
      <c r="B261" s="13"/>
      <c r="C261" s="13"/>
      <c r="D261" s="13"/>
      <c r="E261" s="13"/>
      <c r="F261" s="75"/>
      <c r="G261" s="13"/>
      <c r="H261" s="13"/>
      <c r="I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14.25" customHeight="1">
      <c r="A262" s="13"/>
      <c r="B262" s="13"/>
      <c r="C262" s="13"/>
      <c r="D262" s="13"/>
      <c r="E262" s="13"/>
      <c r="F262" s="75"/>
      <c r="G262" s="13"/>
      <c r="H262" s="13"/>
      <c r="I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ht="14.25" customHeight="1">
      <c r="A263" s="13"/>
      <c r="B263" s="13"/>
      <c r="C263" s="13"/>
      <c r="D263" s="13"/>
      <c r="E263" s="13"/>
      <c r="F263" s="75"/>
      <c r="G263" s="13"/>
      <c r="H263" s="13"/>
      <c r="I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ht="14.25" customHeight="1">
      <c r="A264" s="13"/>
      <c r="B264" s="13"/>
      <c r="C264" s="13"/>
      <c r="D264" s="13"/>
      <c r="E264" s="13"/>
      <c r="F264" s="75"/>
      <c r="G264" s="13"/>
      <c r="H264" s="13"/>
      <c r="I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ht="14.25" customHeight="1">
      <c r="A265" s="13"/>
      <c r="B265" s="13"/>
      <c r="C265" s="13"/>
      <c r="D265" s="13"/>
      <c r="E265" s="13"/>
      <c r="F265" s="75"/>
      <c r="G265" s="13"/>
      <c r="H265" s="13"/>
      <c r="I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ht="14.25" customHeight="1">
      <c r="A266" s="13"/>
      <c r="B266" s="13"/>
      <c r="C266" s="13"/>
      <c r="D266" s="13"/>
      <c r="E266" s="13"/>
      <c r="F266" s="75"/>
      <c r="G266" s="13"/>
      <c r="H266" s="13"/>
      <c r="I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ht="14.25" customHeight="1">
      <c r="A267" s="13"/>
      <c r="B267" s="13"/>
      <c r="C267" s="13"/>
      <c r="D267" s="13"/>
      <c r="E267" s="13"/>
      <c r="F267" s="75"/>
      <c r="G267" s="13"/>
      <c r="H267" s="13"/>
      <c r="I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ht="14.25" customHeight="1">
      <c r="A268" s="13"/>
      <c r="B268" s="13"/>
      <c r="C268" s="13"/>
      <c r="D268" s="13"/>
      <c r="E268" s="13"/>
      <c r="F268" s="75"/>
      <c r="G268" s="13"/>
      <c r="H268" s="13"/>
      <c r="I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ht="14.25" customHeight="1">
      <c r="A269" s="13"/>
      <c r="B269" s="13"/>
      <c r="C269" s="13"/>
      <c r="D269" s="13"/>
      <c r="E269" s="13"/>
      <c r="F269" s="75"/>
      <c r="G269" s="13"/>
      <c r="H269" s="13"/>
      <c r="I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ht="14.25" customHeight="1">
      <c r="A270" s="13"/>
      <c r="B270" s="13"/>
      <c r="C270" s="13"/>
      <c r="D270" s="13"/>
      <c r="E270" s="13"/>
      <c r="F270" s="75"/>
      <c r="G270" s="13"/>
      <c r="H270" s="13"/>
      <c r="I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ht="14.25" customHeight="1">
      <c r="A271" s="13"/>
      <c r="B271" s="13"/>
      <c r="C271" s="13"/>
      <c r="D271" s="13"/>
      <c r="E271" s="13"/>
      <c r="F271" s="75"/>
      <c r="G271" s="13"/>
      <c r="H271" s="13"/>
      <c r="I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ht="14.25" customHeight="1">
      <c r="A272" s="13"/>
      <c r="B272" s="13"/>
      <c r="C272" s="13"/>
      <c r="D272" s="13"/>
      <c r="E272" s="13"/>
      <c r="F272" s="75"/>
      <c r="G272" s="13"/>
      <c r="H272" s="13"/>
      <c r="I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ht="14.25" customHeight="1">
      <c r="A273" s="13"/>
      <c r="B273" s="13"/>
      <c r="C273" s="13"/>
      <c r="D273" s="13"/>
      <c r="E273" s="13"/>
      <c r="F273" s="75"/>
      <c r="G273" s="13"/>
      <c r="H273" s="13"/>
      <c r="I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ht="14.25" customHeight="1">
      <c r="A274" s="13"/>
      <c r="B274" s="13"/>
      <c r="C274" s="13"/>
      <c r="D274" s="13"/>
      <c r="E274" s="13"/>
      <c r="F274" s="75"/>
      <c r="G274" s="13"/>
      <c r="H274" s="13"/>
      <c r="I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ht="14.25" customHeight="1">
      <c r="A275" s="13"/>
      <c r="B275" s="13"/>
      <c r="C275" s="13"/>
      <c r="D275" s="13"/>
      <c r="E275" s="13"/>
      <c r="F275" s="75"/>
      <c r="G275" s="13"/>
      <c r="H275" s="13"/>
      <c r="I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ht="14.25" customHeight="1">
      <c r="A276" s="13"/>
      <c r="B276" s="13"/>
      <c r="C276" s="13"/>
      <c r="D276" s="13"/>
      <c r="E276" s="13"/>
      <c r="F276" s="75"/>
      <c r="G276" s="13"/>
      <c r="H276" s="13"/>
      <c r="I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ht="14.25" customHeight="1">
      <c r="A277" s="13"/>
      <c r="B277" s="13"/>
      <c r="C277" s="13"/>
      <c r="D277" s="13"/>
      <c r="E277" s="13"/>
      <c r="F277" s="75"/>
      <c r="G277" s="13"/>
      <c r="H277" s="13"/>
      <c r="I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ht="14.25" customHeight="1">
      <c r="A278" s="13"/>
      <c r="B278" s="13"/>
      <c r="C278" s="13"/>
      <c r="D278" s="13"/>
      <c r="E278" s="13"/>
      <c r="F278" s="75"/>
      <c r="G278" s="13"/>
      <c r="H278" s="13"/>
      <c r="I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ht="14.25" customHeight="1">
      <c r="A279" s="13"/>
      <c r="B279" s="13"/>
      <c r="C279" s="13"/>
      <c r="D279" s="13"/>
      <c r="E279" s="13"/>
      <c r="F279" s="75"/>
      <c r="G279" s="13"/>
      <c r="H279" s="13"/>
      <c r="I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ht="14.25" customHeight="1">
      <c r="A280" s="13"/>
      <c r="B280" s="13"/>
      <c r="C280" s="13"/>
      <c r="D280" s="13"/>
      <c r="E280" s="13"/>
      <c r="F280" s="75"/>
      <c r="G280" s="13"/>
      <c r="H280" s="13"/>
      <c r="I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ht="14.25" customHeight="1">
      <c r="A281" s="13"/>
      <c r="B281" s="13"/>
      <c r="C281" s="13"/>
      <c r="D281" s="13"/>
      <c r="E281" s="13"/>
      <c r="F281" s="75"/>
      <c r="G281" s="13"/>
      <c r="H281" s="13"/>
      <c r="I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ht="14.25" customHeight="1">
      <c r="A282" s="13"/>
      <c r="B282" s="13"/>
      <c r="C282" s="13"/>
      <c r="D282" s="13"/>
      <c r="E282" s="13"/>
      <c r="F282" s="75"/>
      <c r="G282" s="13"/>
      <c r="H282" s="13"/>
      <c r="I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ht="14.25" customHeight="1">
      <c r="A283" s="13"/>
      <c r="B283" s="13"/>
      <c r="C283" s="13"/>
      <c r="D283" s="13"/>
      <c r="E283" s="13"/>
      <c r="F283" s="75"/>
      <c r="G283" s="13"/>
      <c r="H283" s="13"/>
      <c r="I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ht="14.25" customHeight="1">
      <c r="A284" s="13"/>
      <c r="B284" s="13"/>
      <c r="C284" s="13"/>
      <c r="D284" s="13"/>
      <c r="E284" s="13"/>
      <c r="F284" s="75"/>
      <c r="G284" s="13"/>
      <c r="H284" s="13"/>
      <c r="I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ht="14.25" customHeight="1">
      <c r="A285" s="13"/>
      <c r="B285" s="13"/>
      <c r="C285" s="13"/>
      <c r="D285" s="13"/>
      <c r="E285" s="13"/>
      <c r="F285" s="75"/>
      <c r="G285" s="13"/>
      <c r="H285" s="13"/>
      <c r="I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ht="14.25" customHeight="1">
      <c r="A286" s="13"/>
      <c r="B286" s="13"/>
      <c r="C286" s="13"/>
      <c r="D286" s="13"/>
      <c r="E286" s="13"/>
      <c r="F286" s="75"/>
      <c r="G286" s="13"/>
      <c r="H286" s="13"/>
      <c r="I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ht="14.25" customHeight="1">
      <c r="A287" s="13"/>
      <c r="B287" s="13"/>
      <c r="C287" s="13"/>
      <c r="D287" s="13"/>
      <c r="E287" s="13"/>
      <c r="F287" s="75"/>
      <c r="G287" s="13"/>
      <c r="H287" s="13"/>
      <c r="I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ht="14.25" customHeight="1">
      <c r="A288" s="13"/>
      <c r="B288" s="13"/>
      <c r="C288" s="13"/>
      <c r="D288" s="13"/>
      <c r="E288" s="13"/>
      <c r="F288" s="75"/>
      <c r="G288" s="13"/>
      <c r="H288" s="13"/>
      <c r="I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14.25" customHeight="1">
      <c r="A289" s="13"/>
      <c r="B289" s="13"/>
      <c r="C289" s="13"/>
      <c r="D289" s="13"/>
      <c r="E289" s="13"/>
      <c r="F289" s="75"/>
      <c r="G289" s="13"/>
      <c r="H289" s="13"/>
      <c r="I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ht="14.25" customHeight="1">
      <c r="A290" s="13"/>
      <c r="B290" s="13"/>
      <c r="C290" s="13"/>
      <c r="D290" s="13"/>
      <c r="E290" s="13"/>
      <c r="F290" s="75"/>
      <c r="G290" s="13"/>
      <c r="H290" s="13"/>
      <c r="I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ht="14.25" customHeight="1">
      <c r="A291" s="13"/>
      <c r="B291" s="13"/>
      <c r="C291" s="13"/>
      <c r="D291" s="13"/>
      <c r="E291" s="13"/>
      <c r="F291" s="75"/>
      <c r="G291" s="13"/>
      <c r="H291" s="13"/>
      <c r="I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ht="14.25" customHeight="1">
      <c r="A292" s="13"/>
      <c r="B292" s="13"/>
      <c r="C292" s="13"/>
      <c r="D292" s="13"/>
      <c r="E292" s="13"/>
      <c r="F292" s="75"/>
      <c r="G292" s="13"/>
      <c r="H292" s="13"/>
      <c r="I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ht="14.25" customHeight="1">
      <c r="A293" s="13"/>
      <c r="B293" s="13"/>
      <c r="C293" s="13"/>
      <c r="D293" s="13"/>
      <c r="E293" s="13"/>
      <c r="F293" s="75"/>
      <c r="G293" s="13"/>
      <c r="H293" s="13"/>
      <c r="I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ht="14.25" customHeight="1">
      <c r="A294" s="13"/>
      <c r="B294" s="13"/>
      <c r="C294" s="13"/>
      <c r="D294" s="13"/>
      <c r="E294" s="13"/>
      <c r="F294" s="75"/>
      <c r="G294" s="13"/>
      <c r="H294" s="13"/>
      <c r="I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ht="14.25" customHeight="1">
      <c r="A295" s="13"/>
      <c r="B295" s="13"/>
      <c r="C295" s="13"/>
      <c r="D295" s="13"/>
      <c r="E295" s="13"/>
      <c r="F295" s="75"/>
      <c r="G295" s="13"/>
      <c r="H295" s="13"/>
      <c r="I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ht="14.25" customHeight="1">
      <c r="A296" s="13"/>
      <c r="B296" s="13"/>
      <c r="C296" s="13"/>
      <c r="D296" s="13"/>
      <c r="E296" s="13"/>
      <c r="F296" s="75"/>
      <c r="G296" s="13"/>
      <c r="H296" s="13"/>
      <c r="I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ht="14.25" customHeight="1">
      <c r="A297" s="13"/>
      <c r="B297" s="13"/>
      <c r="C297" s="13"/>
      <c r="D297" s="13"/>
      <c r="E297" s="13"/>
      <c r="F297" s="75"/>
      <c r="G297" s="13"/>
      <c r="H297" s="13"/>
      <c r="I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ht="14.25" customHeight="1">
      <c r="A298" s="13"/>
      <c r="B298" s="13"/>
      <c r="C298" s="13"/>
      <c r="D298" s="13"/>
      <c r="E298" s="13"/>
      <c r="F298" s="75"/>
      <c r="G298" s="13"/>
      <c r="H298" s="13"/>
      <c r="I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ht="14.25" customHeight="1">
      <c r="A299" s="13"/>
      <c r="B299" s="13"/>
      <c r="C299" s="13"/>
      <c r="D299" s="13"/>
      <c r="E299" s="13"/>
      <c r="F299" s="75"/>
      <c r="G299" s="13"/>
      <c r="H299" s="13"/>
      <c r="I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ht="14.25" customHeight="1">
      <c r="A300" s="13"/>
      <c r="B300" s="13"/>
      <c r="C300" s="13"/>
      <c r="D300" s="13"/>
      <c r="E300" s="13"/>
      <c r="F300" s="75"/>
      <c r="G300" s="13"/>
      <c r="H300" s="13"/>
      <c r="I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ht="14.25" customHeight="1">
      <c r="A301" s="13"/>
      <c r="B301" s="13"/>
      <c r="C301" s="13"/>
      <c r="D301" s="13"/>
      <c r="E301" s="13"/>
      <c r="F301" s="75"/>
      <c r="G301" s="13"/>
      <c r="H301" s="13"/>
      <c r="I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ht="14.25" customHeight="1">
      <c r="A302" s="13"/>
      <c r="B302" s="13"/>
      <c r="C302" s="13"/>
      <c r="D302" s="13"/>
      <c r="E302" s="13"/>
      <c r="F302" s="75"/>
      <c r="G302" s="13"/>
      <c r="H302" s="13"/>
      <c r="I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ht="14.25" customHeight="1">
      <c r="A303" s="13"/>
      <c r="B303" s="13"/>
      <c r="C303" s="13"/>
      <c r="D303" s="13"/>
      <c r="E303" s="13"/>
      <c r="F303" s="75"/>
      <c r="G303" s="13"/>
      <c r="H303" s="13"/>
      <c r="I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ht="14.25" customHeight="1">
      <c r="A304" s="13"/>
      <c r="B304" s="13"/>
      <c r="C304" s="13"/>
      <c r="D304" s="13"/>
      <c r="E304" s="13"/>
      <c r="F304" s="75"/>
      <c r="G304" s="13"/>
      <c r="H304" s="13"/>
      <c r="I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ht="14.25" customHeight="1">
      <c r="A305" s="13"/>
      <c r="B305" s="13"/>
      <c r="C305" s="13"/>
      <c r="D305" s="13"/>
      <c r="E305" s="13"/>
      <c r="F305" s="75"/>
      <c r="G305" s="13"/>
      <c r="H305" s="13"/>
      <c r="I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ht="14.25" customHeight="1">
      <c r="A306" s="13"/>
      <c r="B306" s="13"/>
      <c r="C306" s="13"/>
      <c r="D306" s="13"/>
      <c r="E306" s="13"/>
      <c r="F306" s="75"/>
      <c r="G306" s="13"/>
      <c r="H306" s="13"/>
      <c r="I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ht="14.25" customHeight="1">
      <c r="A307" s="13"/>
      <c r="B307" s="13"/>
      <c r="C307" s="13"/>
      <c r="D307" s="13"/>
      <c r="E307" s="13"/>
      <c r="F307" s="75"/>
      <c r="G307" s="13"/>
      <c r="H307" s="13"/>
      <c r="I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ht="14.25" customHeight="1">
      <c r="A308" s="13"/>
      <c r="B308" s="13"/>
      <c r="C308" s="13"/>
      <c r="D308" s="13"/>
      <c r="E308" s="13"/>
      <c r="F308" s="75"/>
      <c r="G308" s="13"/>
      <c r="H308" s="13"/>
      <c r="I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ht="14.25" customHeight="1">
      <c r="A309" s="13"/>
      <c r="B309" s="13"/>
      <c r="C309" s="13"/>
      <c r="D309" s="13"/>
      <c r="E309" s="13"/>
      <c r="F309" s="75"/>
      <c r="G309" s="13"/>
      <c r="H309" s="13"/>
      <c r="I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ht="14.25" customHeight="1">
      <c r="A310" s="13"/>
      <c r="B310" s="13"/>
      <c r="C310" s="13"/>
      <c r="D310" s="13"/>
      <c r="E310" s="13"/>
      <c r="F310" s="75"/>
      <c r="G310" s="13"/>
      <c r="H310" s="13"/>
      <c r="I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ht="14.25" customHeight="1">
      <c r="A311" s="13"/>
      <c r="B311" s="13"/>
      <c r="C311" s="13"/>
      <c r="D311" s="13"/>
      <c r="E311" s="13"/>
      <c r="F311" s="75"/>
      <c r="G311" s="13"/>
      <c r="H311" s="13"/>
      <c r="I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ht="14.25" customHeight="1">
      <c r="A312" s="13"/>
      <c r="B312" s="13"/>
      <c r="C312" s="13"/>
      <c r="D312" s="13"/>
      <c r="E312" s="13"/>
      <c r="F312" s="75"/>
      <c r="G312" s="13"/>
      <c r="H312" s="13"/>
      <c r="I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ht="14.25" customHeight="1">
      <c r="A313" s="13"/>
      <c r="B313" s="13"/>
      <c r="C313" s="13"/>
      <c r="D313" s="13"/>
      <c r="E313" s="13"/>
      <c r="F313" s="75"/>
      <c r="G313" s="13"/>
      <c r="H313" s="13"/>
      <c r="I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ht="14.25" customHeight="1">
      <c r="A314" s="13"/>
      <c r="B314" s="13"/>
      <c r="C314" s="13"/>
      <c r="D314" s="13"/>
      <c r="E314" s="13"/>
      <c r="F314" s="75"/>
      <c r="G314" s="13"/>
      <c r="H314" s="13"/>
      <c r="I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ht="14.25" customHeight="1">
      <c r="A315" s="13"/>
      <c r="B315" s="13"/>
      <c r="C315" s="13"/>
      <c r="D315" s="13"/>
      <c r="E315" s="13"/>
      <c r="F315" s="75"/>
      <c r="G315" s="13"/>
      <c r="H315" s="13"/>
      <c r="I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ht="14.25" customHeight="1">
      <c r="A316" s="13"/>
      <c r="B316" s="13"/>
      <c r="C316" s="13"/>
      <c r="D316" s="13"/>
      <c r="E316" s="13"/>
      <c r="F316" s="75"/>
      <c r="G316" s="13"/>
      <c r="H316" s="13"/>
      <c r="I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ht="14.25" customHeight="1">
      <c r="A317" s="13"/>
      <c r="B317" s="13"/>
      <c r="C317" s="13"/>
      <c r="D317" s="13"/>
      <c r="E317" s="13"/>
      <c r="F317" s="75"/>
      <c r="G317" s="13"/>
      <c r="H317" s="13"/>
      <c r="I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ht="14.25" customHeight="1">
      <c r="A318" s="13"/>
      <c r="B318" s="13"/>
      <c r="C318" s="13"/>
      <c r="D318" s="13"/>
      <c r="E318" s="13"/>
      <c r="F318" s="75"/>
      <c r="G318" s="13"/>
      <c r="H318" s="13"/>
      <c r="I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ht="14.25" customHeight="1">
      <c r="A319" s="13"/>
      <c r="B319" s="13"/>
      <c r="C319" s="13"/>
      <c r="D319" s="13"/>
      <c r="E319" s="13"/>
      <c r="F319" s="75"/>
      <c r="G319" s="13"/>
      <c r="H319" s="13"/>
      <c r="I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ht="14.25" customHeight="1">
      <c r="A320" s="13"/>
      <c r="B320" s="13"/>
      <c r="C320" s="13"/>
      <c r="D320" s="13"/>
      <c r="E320" s="13"/>
      <c r="F320" s="75"/>
      <c r="G320" s="13"/>
      <c r="H320" s="13"/>
      <c r="I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ht="14.25" customHeight="1">
      <c r="A321" s="13"/>
      <c r="B321" s="13"/>
      <c r="C321" s="13"/>
      <c r="D321" s="13"/>
      <c r="E321" s="13"/>
      <c r="F321" s="75"/>
      <c r="G321" s="13"/>
      <c r="H321" s="13"/>
      <c r="I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ht="14.25" customHeight="1">
      <c r="A322" s="13"/>
      <c r="B322" s="13"/>
      <c r="C322" s="13"/>
      <c r="D322" s="13"/>
      <c r="E322" s="13"/>
      <c r="F322" s="75"/>
      <c r="G322" s="13"/>
      <c r="H322" s="13"/>
      <c r="I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ht="14.25" customHeight="1">
      <c r="A323" s="13"/>
      <c r="B323" s="13"/>
      <c r="C323" s="13"/>
      <c r="D323" s="13"/>
      <c r="E323" s="13"/>
      <c r="F323" s="75"/>
      <c r="G323" s="13"/>
      <c r="H323" s="13"/>
      <c r="I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ht="14.25" customHeight="1">
      <c r="A324" s="13"/>
      <c r="B324" s="13"/>
      <c r="C324" s="13"/>
      <c r="D324" s="13"/>
      <c r="E324" s="13"/>
      <c r="F324" s="75"/>
      <c r="G324" s="13"/>
      <c r="H324" s="13"/>
      <c r="I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ht="14.25" customHeight="1">
      <c r="A325" s="13"/>
      <c r="B325" s="13"/>
      <c r="C325" s="13"/>
      <c r="D325" s="13"/>
      <c r="E325" s="13"/>
      <c r="F325" s="75"/>
      <c r="G325" s="13"/>
      <c r="H325" s="13"/>
      <c r="I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ht="14.25" customHeight="1">
      <c r="A326" s="13"/>
      <c r="B326" s="13"/>
      <c r="C326" s="13"/>
      <c r="D326" s="13"/>
      <c r="E326" s="13"/>
      <c r="F326" s="75"/>
      <c r="G326" s="13"/>
      <c r="H326" s="13"/>
      <c r="I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ht="14.25" customHeight="1">
      <c r="A327" s="13"/>
      <c r="B327" s="13"/>
      <c r="C327" s="13"/>
      <c r="D327" s="13"/>
      <c r="E327" s="13"/>
      <c r="F327" s="75"/>
      <c r="G327" s="13"/>
      <c r="H327" s="13"/>
      <c r="I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ht="14.25" customHeight="1">
      <c r="A328" s="13"/>
      <c r="B328" s="13"/>
      <c r="C328" s="13"/>
      <c r="D328" s="13"/>
      <c r="E328" s="13"/>
      <c r="F328" s="75"/>
      <c r="G328" s="13"/>
      <c r="H328" s="13"/>
      <c r="I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ht="14.25" customHeight="1">
      <c r="A329" s="13"/>
      <c r="B329" s="13"/>
      <c r="C329" s="13"/>
      <c r="D329" s="13"/>
      <c r="E329" s="13"/>
      <c r="F329" s="75"/>
      <c r="G329" s="13"/>
      <c r="H329" s="13"/>
      <c r="I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14.25" customHeight="1">
      <c r="A330" s="13"/>
      <c r="B330" s="13"/>
      <c r="C330" s="13"/>
      <c r="D330" s="13"/>
      <c r="E330" s="13"/>
      <c r="F330" s="75"/>
      <c r="G330" s="13"/>
      <c r="H330" s="13"/>
      <c r="I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ht="14.25" customHeight="1">
      <c r="A331" s="13"/>
      <c r="B331" s="13"/>
      <c r="C331" s="13"/>
      <c r="D331" s="13"/>
      <c r="E331" s="13"/>
      <c r="F331" s="75"/>
      <c r="G331" s="13"/>
      <c r="H331" s="13"/>
      <c r="I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ht="14.25" customHeight="1">
      <c r="A332" s="13"/>
      <c r="B332" s="13"/>
      <c r="C332" s="13"/>
      <c r="D332" s="13"/>
      <c r="E332" s="13"/>
      <c r="F332" s="75"/>
      <c r="G332" s="13"/>
      <c r="H332" s="13"/>
      <c r="I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ht="14.25" customHeight="1">
      <c r="A333" s="13"/>
      <c r="B333" s="13"/>
      <c r="C333" s="13"/>
      <c r="D333" s="13"/>
      <c r="E333" s="13"/>
      <c r="F333" s="75"/>
      <c r="G333" s="13"/>
      <c r="H333" s="13"/>
      <c r="I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ht="14.25" customHeight="1">
      <c r="A334" s="13"/>
      <c r="B334" s="13"/>
      <c r="C334" s="13"/>
      <c r="D334" s="13"/>
      <c r="E334" s="13"/>
      <c r="F334" s="75"/>
      <c r="G334" s="13"/>
      <c r="H334" s="13"/>
      <c r="I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ht="14.25" customHeight="1">
      <c r="A335" s="13"/>
      <c r="B335" s="13"/>
      <c r="C335" s="13"/>
      <c r="D335" s="13"/>
      <c r="E335" s="13"/>
      <c r="F335" s="75"/>
      <c r="G335" s="13"/>
      <c r="H335" s="13"/>
      <c r="I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ht="14.25" customHeight="1">
      <c r="A336" s="13"/>
      <c r="B336" s="13"/>
      <c r="C336" s="13"/>
      <c r="D336" s="13"/>
      <c r="E336" s="13"/>
      <c r="F336" s="75"/>
      <c r="G336" s="13"/>
      <c r="H336" s="13"/>
      <c r="I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ht="14.25" customHeight="1">
      <c r="A337" s="13"/>
      <c r="B337" s="13"/>
      <c r="C337" s="13"/>
      <c r="D337" s="13"/>
      <c r="E337" s="13"/>
      <c r="F337" s="75"/>
      <c r="G337" s="13"/>
      <c r="H337" s="13"/>
      <c r="I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ht="14.25" customHeight="1">
      <c r="A338" s="13"/>
      <c r="B338" s="13"/>
      <c r="C338" s="13"/>
      <c r="D338" s="13"/>
      <c r="E338" s="13"/>
      <c r="F338" s="75"/>
      <c r="G338" s="13"/>
      <c r="H338" s="13"/>
      <c r="I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ht="14.25" customHeight="1">
      <c r="A339" s="13"/>
      <c r="B339" s="13"/>
      <c r="C339" s="13"/>
      <c r="D339" s="13"/>
      <c r="E339" s="13"/>
      <c r="F339" s="75"/>
      <c r="G339" s="13"/>
      <c r="H339" s="13"/>
      <c r="I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ht="14.25" customHeight="1">
      <c r="A340" s="13"/>
      <c r="B340" s="13"/>
      <c r="C340" s="13"/>
      <c r="D340" s="13"/>
      <c r="E340" s="13"/>
      <c r="F340" s="75"/>
      <c r="G340" s="13"/>
      <c r="H340" s="13"/>
      <c r="I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ht="14.25" customHeight="1">
      <c r="A341" s="13"/>
      <c r="B341" s="13"/>
      <c r="C341" s="13"/>
      <c r="D341" s="13"/>
      <c r="E341" s="13"/>
      <c r="F341" s="75"/>
      <c r="G341" s="13"/>
      <c r="H341" s="13"/>
      <c r="I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ht="14.25" customHeight="1">
      <c r="A342" s="13"/>
      <c r="B342" s="13"/>
      <c r="C342" s="13"/>
      <c r="D342" s="13"/>
      <c r="E342" s="13"/>
      <c r="F342" s="75"/>
      <c r="G342" s="13"/>
      <c r="H342" s="13"/>
      <c r="I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ht="14.25" customHeight="1">
      <c r="A343" s="13"/>
      <c r="B343" s="13"/>
      <c r="C343" s="13"/>
      <c r="D343" s="13"/>
      <c r="E343" s="13"/>
      <c r="F343" s="75"/>
      <c r="G343" s="13"/>
      <c r="H343" s="13"/>
      <c r="I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ht="14.25" customHeight="1">
      <c r="A344" s="13"/>
      <c r="B344" s="13"/>
      <c r="C344" s="13"/>
      <c r="D344" s="13"/>
      <c r="E344" s="13"/>
      <c r="F344" s="75"/>
      <c r="G344" s="13"/>
      <c r="H344" s="13"/>
      <c r="I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ht="14.25" customHeight="1">
      <c r="A345" s="13"/>
      <c r="B345" s="13"/>
      <c r="C345" s="13"/>
      <c r="D345" s="13"/>
      <c r="E345" s="13"/>
      <c r="F345" s="75"/>
      <c r="G345" s="13"/>
      <c r="H345" s="13"/>
      <c r="I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ht="14.25" customHeight="1">
      <c r="A346" s="13"/>
      <c r="B346" s="13"/>
      <c r="C346" s="13"/>
      <c r="D346" s="13"/>
      <c r="E346" s="13"/>
      <c r="F346" s="75"/>
      <c r="G346" s="13"/>
      <c r="H346" s="13"/>
      <c r="I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ht="14.25" customHeight="1">
      <c r="A347" s="13"/>
      <c r="B347" s="13"/>
      <c r="C347" s="13"/>
      <c r="D347" s="13"/>
      <c r="E347" s="13"/>
      <c r="F347" s="75"/>
      <c r="G347" s="13"/>
      <c r="H347" s="13"/>
      <c r="I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ht="14.25" customHeight="1">
      <c r="A348" s="13"/>
      <c r="B348" s="13"/>
      <c r="C348" s="13"/>
      <c r="D348" s="13"/>
      <c r="E348" s="13"/>
      <c r="F348" s="75"/>
      <c r="G348" s="13"/>
      <c r="H348" s="13"/>
      <c r="I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ht="14.25" customHeight="1">
      <c r="A349" s="13"/>
      <c r="B349" s="13"/>
      <c r="C349" s="13"/>
      <c r="D349" s="13"/>
      <c r="E349" s="13"/>
      <c r="F349" s="75"/>
      <c r="G349" s="13"/>
      <c r="H349" s="13"/>
      <c r="I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ht="14.25" customHeight="1">
      <c r="A350" s="13"/>
      <c r="B350" s="13"/>
      <c r="C350" s="13"/>
      <c r="D350" s="13"/>
      <c r="E350" s="13"/>
      <c r="F350" s="75"/>
      <c r="G350" s="13"/>
      <c r="H350" s="13"/>
      <c r="I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ht="14.25" customHeight="1">
      <c r="A351" s="13"/>
      <c r="B351" s="13"/>
      <c r="C351" s="13"/>
      <c r="D351" s="13"/>
      <c r="E351" s="13"/>
      <c r="F351" s="75"/>
      <c r="G351" s="13"/>
      <c r="H351" s="13"/>
      <c r="I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ht="14.25" customHeight="1">
      <c r="A352" s="13"/>
      <c r="B352" s="13"/>
      <c r="C352" s="13"/>
      <c r="D352" s="13"/>
      <c r="E352" s="13"/>
      <c r="F352" s="75"/>
      <c r="G352" s="13"/>
      <c r="H352" s="13"/>
      <c r="I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ht="14.25" customHeight="1">
      <c r="A353" s="13"/>
      <c r="B353" s="13"/>
      <c r="C353" s="13"/>
      <c r="D353" s="13"/>
      <c r="E353" s="13"/>
      <c r="F353" s="75"/>
      <c r="G353" s="13"/>
      <c r="H353" s="13"/>
      <c r="I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ht="14.25" customHeight="1">
      <c r="A354" s="13"/>
      <c r="B354" s="13"/>
      <c r="C354" s="13"/>
      <c r="D354" s="13"/>
      <c r="E354" s="13"/>
      <c r="F354" s="75"/>
      <c r="G354" s="13"/>
      <c r="H354" s="13"/>
      <c r="I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ht="14.25" customHeight="1">
      <c r="A355" s="13"/>
      <c r="B355" s="13"/>
      <c r="C355" s="13"/>
      <c r="D355" s="13"/>
      <c r="E355" s="13"/>
      <c r="F355" s="75"/>
      <c r="G355" s="13"/>
      <c r="H355" s="13"/>
      <c r="I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ht="14.25" customHeight="1">
      <c r="A356" s="13"/>
      <c r="B356" s="13"/>
      <c r="C356" s="13"/>
      <c r="D356" s="13"/>
      <c r="E356" s="13"/>
      <c r="F356" s="75"/>
      <c r="G356" s="13"/>
      <c r="H356" s="13"/>
      <c r="I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ht="14.25" customHeight="1">
      <c r="A357" s="13"/>
      <c r="B357" s="13"/>
      <c r="C357" s="13"/>
      <c r="D357" s="13"/>
      <c r="E357" s="13"/>
      <c r="F357" s="75"/>
      <c r="G357" s="13"/>
      <c r="H357" s="13"/>
      <c r="I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ht="14.25" customHeight="1">
      <c r="A358" s="13"/>
      <c r="B358" s="13"/>
      <c r="C358" s="13"/>
      <c r="D358" s="13"/>
      <c r="E358" s="13"/>
      <c r="F358" s="75"/>
      <c r="G358" s="13"/>
      <c r="H358" s="13"/>
      <c r="I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ht="14.25" customHeight="1">
      <c r="A359" s="13"/>
      <c r="B359" s="13"/>
      <c r="C359" s="13"/>
      <c r="D359" s="13"/>
      <c r="E359" s="13"/>
      <c r="F359" s="75"/>
      <c r="G359" s="13"/>
      <c r="H359" s="13"/>
      <c r="I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ht="14.25" customHeight="1">
      <c r="A360" s="13"/>
      <c r="B360" s="13"/>
      <c r="C360" s="13"/>
      <c r="D360" s="13"/>
      <c r="E360" s="13"/>
      <c r="F360" s="75"/>
      <c r="G360" s="13"/>
      <c r="H360" s="13"/>
      <c r="I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ht="14.25" customHeight="1">
      <c r="A361" s="13"/>
      <c r="B361" s="13"/>
      <c r="C361" s="13"/>
      <c r="D361" s="13"/>
      <c r="E361" s="13"/>
      <c r="F361" s="75"/>
      <c r="G361" s="13"/>
      <c r="H361" s="13"/>
      <c r="I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ht="14.25" customHeight="1">
      <c r="A362" s="13"/>
      <c r="B362" s="13"/>
      <c r="C362" s="13"/>
      <c r="D362" s="13"/>
      <c r="E362" s="13"/>
      <c r="F362" s="75"/>
      <c r="G362" s="13"/>
      <c r="H362" s="13"/>
      <c r="I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ht="14.25" customHeight="1">
      <c r="A363" s="13"/>
      <c r="B363" s="13"/>
      <c r="C363" s="13"/>
      <c r="D363" s="13"/>
      <c r="E363" s="13"/>
      <c r="F363" s="75"/>
      <c r="G363" s="13"/>
      <c r="H363" s="13"/>
      <c r="I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ht="14.25" customHeight="1">
      <c r="A364" s="13"/>
      <c r="B364" s="13"/>
      <c r="C364" s="13"/>
      <c r="D364" s="13"/>
      <c r="E364" s="13"/>
      <c r="F364" s="75"/>
      <c r="G364" s="13"/>
      <c r="H364" s="13"/>
      <c r="I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ht="14.25" customHeight="1">
      <c r="A365" s="13"/>
      <c r="B365" s="13"/>
      <c r="C365" s="13"/>
      <c r="D365" s="13"/>
      <c r="E365" s="13"/>
      <c r="F365" s="75"/>
      <c r="G365" s="13"/>
      <c r="H365" s="13"/>
      <c r="I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ht="14.25" customHeight="1">
      <c r="A366" s="13"/>
      <c r="B366" s="13"/>
      <c r="C366" s="13"/>
      <c r="D366" s="13"/>
      <c r="E366" s="13"/>
      <c r="F366" s="75"/>
      <c r="G366" s="13"/>
      <c r="H366" s="13"/>
      <c r="I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ht="14.25" customHeight="1">
      <c r="A367" s="13"/>
      <c r="B367" s="13"/>
      <c r="C367" s="13"/>
      <c r="D367" s="13"/>
      <c r="E367" s="13"/>
      <c r="F367" s="75"/>
      <c r="G367" s="13"/>
      <c r="H367" s="13"/>
      <c r="I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ht="14.25" customHeight="1">
      <c r="A368" s="13"/>
      <c r="B368" s="13"/>
      <c r="C368" s="13"/>
      <c r="D368" s="13"/>
      <c r="E368" s="13"/>
      <c r="F368" s="75"/>
      <c r="G368" s="13"/>
      <c r="H368" s="13"/>
      <c r="I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ht="14.25" customHeight="1">
      <c r="A369" s="13"/>
      <c r="B369" s="13"/>
      <c r="C369" s="13"/>
      <c r="D369" s="13"/>
      <c r="E369" s="13"/>
      <c r="F369" s="75"/>
      <c r="G369" s="13"/>
      <c r="H369" s="13"/>
      <c r="I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ht="14.25" customHeight="1">
      <c r="A370" s="13"/>
      <c r="B370" s="13"/>
      <c r="C370" s="13"/>
      <c r="D370" s="13"/>
      <c r="E370" s="13"/>
      <c r="F370" s="75"/>
      <c r="G370" s="13"/>
      <c r="H370" s="13"/>
      <c r="I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ht="14.25" customHeight="1">
      <c r="A371" s="13"/>
      <c r="B371" s="13"/>
      <c r="C371" s="13"/>
      <c r="D371" s="13"/>
      <c r="E371" s="13"/>
      <c r="F371" s="75"/>
      <c r="G371" s="13"/>
      <c r="H371" s="13"/>
      <c r="I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ht="14.25" customHeight="1">
      <c r="A372" s="13"/>
      <c r="B372" s="13"/>
      <c r="C372" s="13"/>
      <c r="D372" s="13"/>
      <c r="E372" s="13"/>
      <c r="F372" s="75"/>
      <c r="G372" s="13"/>
      <c r="H372" s="13"/>
      <c r="I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ht="14.25" customHeight="1">
      <c r="A373" s="13"/>
      <c r="B373" s="13"/>
      <c r="C373" s="13"/>
      <c r="D373" s="13"/>
      <c r="E373" s="13"/>
      <c r="F373" s="75"/>
      <c r="G373" s="13"/>
      <c r="H373" s="13"/>
      <c r="I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ht="14.25" customHeight="1">
      <c r="A374" s="13"/>
      <c r="B374" s="13"/>
      <c r="C374" s="13"/>
      <c r="D374" s="13"/>
      <c r="E374" s="13"/>
      <c r="F374" s="75"/>
      <c r="G374" s="13"/>
      <c r="H374" s="13"/>
      <c r="I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ht="14.25" customHeight="1">
      <c r="A375" s="13"/>
      <c r="B375" s="13"/>
      <c r="C375" s="13"/>
      <c r="D375" s="13"/>
      <c r="E375" s="13"/>
      <c r="F375" s="75"/>
      <c r="G375" s="13"/>
      <c r="H375" s="13"/>
      <c r="I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ht="14.25" customHeight="1">
      <c r="A376" s="13"/>
      <c r="B376" s="13"/>
      <c r="C376" s="13"/>
      <c r="D376" s="13"/>
      <c r="E376" s="13"/>
      <c r="F376" s="75"/>
      <c r="G376" s="13"/>
      <c r="H376" s="13"/>
      <c r="I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ht="14.25" customHeight="1">
      <c r="A377" s="13"/>
      <c r="B377" s="13"/>
      <c r="C377" s="13"/>
      <c r="D377" s="13"/>
      <c r="E377" s="13"/>
      <c r="F377" s="75"/>
      <c r="G377" s="13"/>
      <c r="H377" s="13"/>
      <c r="I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ht="14.25" customHeight="1">
      <c r="A378" s="13"/>
      <c r="B378" s="13"/>
      <c r="C378" s="13"/>
      <c r="D378" s="13"/>
      <c r="E378" s="13"/>
      <c r="F378" s="75"/>
      <c r="G378" s="13"/>
      <c r="H378" s="13"/>
      <c r="I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ht="14.25" customHeight="1">
      <c r="A379" s="13"/>
      <c r="B379" s="13"/>
      <c r="C379" s="13"/>
      <c r="D379" s="13"/>
      <c r="E379" s="13"/>
      <c r="F379" s="75"/>
      <c r="G379" s="13"/>
      <c r="H379" s="13"/>
      <c r="I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ht="14.25" customHeight="1">
      <c r="A380" s="13"/>
      <c r="B380" s="13"/>
      <c r="C380" s="13"/>
      <c r="D380" s="13"/>
      <c r="E380" s="13"/>
      <c r="F380" s="75"/>
      <c r="G380" s="13"/>
      <c r="H380" s="13"/>
      <c r="I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ht="14.25" customHeight="1">
      <c r="A381" s="13"/>
      <c r="B381" s="13"/>
      <c r="C381" s="13"/>
      <c r="D381" s="13"/>
      <c r="E381" s="13"/>
      <c r="F381" s="75"/>
      <c r="G381" s="13"/>
      <c r="H381" s="13"/>
      <c r="I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ht="14.25" customHeight="1">
      <c r="A382" s="13"/>
      <c r="B382" s="13"/>
      <c r="C382" s="13"/>
      <c r="D382" s="13"/>
      <c r="E382" s="13"/>
      <c r="F382" s="75"/>
      <c r="G382" s="13"/>
      <c r="H382" s="13"/>
      <c r="I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ht="14.25" customHeight="1">
      <c r="A383" s="13"/>
      <c r="B383" s="13"/>
      <c r="C383" s="13"/>
      <c r="D383" s="13"/>
      <c r="E383" s="13"/>
      <c r="F383" s="75"/>
      <c r="G383" s="13"/>
      <c r="H383" s="13"/>
      <c r="I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ht="14.25" customHeight="1">
      <c r="A384" s="13"/>
      <c r="B384" s="13"/>
      <c r="C384" s="13"/>
      <c r="D384" s="13"/>
      <c r="E384" s="13"/>
      <c r="F384" s="75"/>
      <c r="G384" s="13"/>
      <c r="H384" s="13"/>
      <c r="I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ht="14.25" customHeight="1">
      <c r="A385" s="13"/>
      <c r="B385" s="13"/>
      <c r="C385" s="13"/>
      <c r="D385" s="13"/>
      <c r="E385" s="13"/>
      <c r="F385" s="75"/>
      <c r="G385" s="13"/>
      <c r="H385" s="13"/>
      <c r="I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ht="14.25" customHeight="1">
      <c r="A386" s="13"/>
      <c r="B386" s="13"/>
      <c r="C386" s="13"/>
      <c r="D386" s="13"/>
      <c r="E386" s="13"/>
      <c r="F386" s="75"/>
      <c r="G386" s="13"/>
      <c r="H386" s="13"/>
      <c r="I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ht="14.25" customHeight="1">
      <c r="A387" s="13"/>
      <c r="B387" s="13"/>
      <c r="C387" s="13"/>
      <c r="D387" s="13"/>
      <c r="E387" s="13"/>
      <c r="F387" s="75"/>
      <c r="G387" s="13"/>
      <c r="H387" s="13"/>
      <c r="I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ht="14.25" customHeight="1">
      <c r="A388" s="13"/>
      <c r="B388" s="13"/>
      <c r="C388" s="13"/>
      <c r="D388" s="13"/>
      <c r="E388" s="13"/>
      <c r="F388" s="75"/>
      <c r="G388" s="13"/>
      <c r="H388" s="13"/>
      <c r="I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ht="14.25" customHeight="1">
      <c r="A389" s="13"/>
      <c r="B389" s="13"/>
      <c r="C389" s="13"/>
      <c r="D389" s="13"/>
      <c r="E389" s="13"/>
      <c r="F389" s="75"/>
      <c r="G389" s="13"/>
      <c r="H389" s="13"/>
      <c r="I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ht="14.25" customHeight="1">
      <c r="A390" s="13"/>
      <c r="B390" s="13"/>
      <c r="C390" s="13"/>
      <c r="D390" s="13"/>
      <c r="E390" s="13"/>
      <c r="F390" s="75"/>
      <c r="G390" s="13"/>
      <c r="H390" s="13"/>
      <c r="I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ht="14.25" customHeight="1">
      <c r="A391" s="13"/>
      <c r="B391" s="13"/>
      <c r="C391" s="13"/>
      <c r="D391" s="13"/>
      <c r="E391" s="13"/>
      <c r="F391" s="75"/>
      <c r="G391" s="13"/>
      <c r="H391" s="13"/>
      <c r="I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ht="14.25" customHeight="1">
      <c r="A392" s="13"/>
      <c r="B392" s="13"/>
      <c r="C392" s="13"/>
      <c r="D392" s="13"/>
      <c r="E392" s="13"/>
      <c r="F392" s="75"/>
      <c r="G392" s="13"/>
      <c r="H392" s="13"/>
      <c r="I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ht="14.25" customHeight="1">
      <c r="A393" s="13"/>
      <c r="B393" s="13"/>
      <c r="C393" s="13"/>
      <c r="D393" s="13"/>
      <c r="E393" s="13"/>
      <c r="F393" s="75"/>
      <c r="G393" s="13"/>
      <c r="H393" s="13"/>
      <c r="I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ht="14.25" customHeight="1">
      <c r="A394" s="13"/>
      <c r="B394" s="13"/>
      <c r="C394" s="13"/>
      <c r="D394" s="13"/>
      <c r="E394" s="13"/>
      <c r="F394" s="75"/>
      <c r="G394" s="13"/>
      <c r="H394" s="13"/>
      <c r="I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ht="14.25" customHeight="1">
      <c r="A395" s="13"/>
      <c r="B395" s="13"/>
      <c r="C395" s="13"/>
      <c r="D395" s="13"/>
      <c r="E395" s="13"/>
      <c r="F395" s="75"/>
      <c r="G395" s="13"/>
      <c r="H395" s="13"/>
      <c r="I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ht="14.25" customHeight="1">
      <c r="A396" s="13"/>
      <c r="B396" s="13"/>
      <c r="C396" s="13"/>
      <c r="D396" s="13"/>
      <c r="E396" s="13"/>
      <c r="F396" s="75"/>
      <c r="G396" s="13"/>
      <c r="H396" s="13"/>
      <c r="I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ht="14.25" customHeight="1">
      <c r="A397" s="13"/>
      <c r="B397" s="13"/>
      <c r="C397" s="13"/>
      <c r="D397" s="13"/>
      <c r="E397" s="13"/>
      <c r="F397" s="75"/>
      <c r="G397" s="13"/>
      <c r="H397" s="13"/>
      <c r="I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ht="14.25" customHeight="1">
      <c r="A398" s="13"/>
      <c r="B398" s="13"/>
      <c r="C398" s="13"/>
      <c r="D398" s="13"/>
      <c r="E398" s="13"/>
      <c r="F398" s="75"/>
      <c r="G398" s="13"/>
      <c r="H398" s="13"/>
      <c r="I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ht="14.25" customHeight="1">
      <c r="A399" s="13"/>
      <c r="B399" s="13"/>
      <c r="C399" s="13"/>
      <c r="D399" s="13"/>
      <c r="E399" s="13"/>
      <c r="F399" s="75"/>
      <c r="G399" s="13"/>
      <c r="H399" s="13"/>
      <c r="I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ht="14.25" customHeight="1">
      <c r="A400" s="13"/>
      <c r="B400" s="13"/>
      <c r="C400" s="13"/>
      <c r="D400" s="13"/>
      <c r="E400" s="13"/>
      <c r="F400" s="75"/>
      <c r="G400" s="13"/>
      <c r="H400" s="13"/>
      <c r="I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ht="14.25" customHeight="1">
      <c r="A401" s="13"/>
      <c r="B401" s="13"/>
      <c r="C401" s="13"/>
      <c r="D401" s="13"/>
      <c r="E401" s="13"/>
      <c r="F401" s="75"/>
      <c r="G401" s="13"/>
      <c r="H401" s="13"/>
      <c r="I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ht="14.25" customHeight="1">
      <c r="A402" s="13"/>
      <c r="B402" s="13"/>
      <c r="C402" s="13"/>
      <c r="D402" s="13"/>
      <c r="E402" s="13"/>
      <c r="F402" s="75"/>
      <c r="G402" s="13"/>
      <c r="H402" s="13"/>
      <c r="I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ht="14.25" customHeight="1">
      <c r="A403" s="13"/>
      <c r="B403" s="13"/>
      <c r="C403" s="13"/>
      <c r="D403" s="13"/>
      <c r="E403" s="13"/>
      <c r="F403" s="75"/>
      <c r="G403" s="13"/>
      <c r="H403" s="13"/>
      <c r="I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ht="14.25" customHeight="1">
      <c r="A404" s="13"/>
      <c r="B404" s="13"/>
      <c r="C404" s="13"/>
      <c r="D404" s="13"/>
      <c r="E404" s="13"/>
      <c r="F404" s="75"/>
      <c r="G404" s="13"/>
      <c r="H404" s="13"/>
      <c r="I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ht="14.25" customHeight="1">
      <c r="A405" s="13"/>
      <c r="B405" s="13"/>
      <c r="C405" s="13"/>
      <c r="D405" s="13"/>
      <c r="E405" s="13"/>
      <c r="F405" s="75"/>
      <c r="G405" s="13"/>
      <c r="H405" s="13"/>
      <c r="I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ht="14.25" customHeight="1">
      <c r="A406" s="13"/>
      <c r="B406" s="13"/>
      <c r="C406" s="13"/>
      <c r="D406" s="13"/>
      <c r="E406" s="13"/>
      <c r="F406" s="75"/>
      <c r="G406" s="13"/>
      <c r="H406" s="13"/>
      <c r="I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ht="14.25" customHeight="1">
      <c r="A407" s="13"/>
      <c r="B407" s="13"/>
      <c r="C407" s="13"/>
      <c r="D407" s="13"/>
      <c r="E407" s="13"/>
      <c r="F407" s="75"/>
      <c r="G407" s="13"/>
      <c r="H407" s="13"/>
      <c r="I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ht="14.25" customHeight="1">
      <c r="A408" s="13"/>
      <c r="B408" s="13"/>
      <c r="C408" s="13"/>
      <c r="D408" s="13"/>
      <c r="E408" s="13"/>
      <c r="F408" s="75"/>
      <c r="G408" s="13"/>
      <c r="H408" s="13"/>
      <c r="I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ht="14.25" customHeight="1">
      <c r="A409" s="13"/>
      <c r="B409" s="13"/>
      <c r="C409" s="13"/>
      <c r="D409" s="13"/>
      <c r="E409" s="13"/>
      <c r="F409" s="75"/>
      <c r="G409" s="13"/>
      <c r="H409" s="13"/>
      <c r="I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ht="14.25" customHeight="1">
      <c r="A410" s="13"/>
      <c r="B410" s="13"/>
      <c r="C410" s="13"/>
      <c r="D410" s="13"/>
      <c r="E410" s="13"/>
      <c r="F410" s="75"/>
      <c r="G410" s="13"/>
      <c r="H410" s="13"/>
      <c r="I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ht="14.25" customHeight="1">
      <c r="A411" s="13"/>
      <c r="B411" s="13"/>
      <c r="C411" s="13"/>
      <c r="D411" s="13"/>
      <c r="E411" s="13"/>
      <c r="F411" s="75"/>
      <c r="G411" s="13"/>
      <c r="H411" s="13"/>
      <c r="I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ht="14.25" customHeight="1">
      <c r="A412" s="13"/>
      <c r="B412" s="13"/>
      <c r="C412" s="13"/>
      <c r="D412" s="13"/>
      <c r="E412" s="13"/>
      <c r="F412" s="75"/>
      <c r="G412" s="13"/>
      <c r="H412" s="13"/>
      <c r="I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ht="14.25" customHeight="1">
      <c r="A413" s="13"/>
      <c r="B413" s="13"/>
      <c r="C413" s="13"/>
      <c r="D413" s="13"/>
      <c r="E413" s="13"/>
      <c r="F413" s="75"/>
      <c r="G413" s="13"/>
      <c r="H413" s="13"/>
      <c r="I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ht="14.25" customHeight="1">
      <c r="A414" s="13"/>
      <c r="B414" s="13"/>
      <c r="C414" s="13"/>
      <c r="D414" s="13"/>
      <c r="E414" s="13"/>
      <c r="F414" s="75"/>
      <c r="G414" s="13"/>
      <c r="H414" s="13"/>
      <c r="I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ht="14.25" customHeight="1">
      <c r="A415" s="13"/>
      <c r="B415" s="13"/>
      <c r="C415" s="13"/>
      <c r="D415" s="13"/>
      <c r="E415" s="13"/>
      <c r="F415" s="75"/>
      <c r="G415" s="13"/>
      <c r="H415" s="13"/>
      <c r="I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ht="14.25" customHeight="1">
      <c r="A416" s="13"/>
      <c r="B416" s="13"/>
      <c r="C416" s="13"/>
      <c r="D416" s="13"/>
      <c r="E416" s="13"/>
      <c r="F416" s="75"/>
      <c r="G416" s="13"/>
      <c r="H416" s="13"/>
      <c r="I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ht="14.25" customHeight="1">
      <c r="A417" s="13"/>
      <c r="B417" s="13"/>
      <c r="C417" s="13"/>
      <c r="D417" s="13"/>
      <c r="E417" s="13"/>
      <c r="F417" s="75"/>
      <c r="G417" s="13"/>
      <c r="H417" s="13"/>
      <c r="I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ht="14.25" customHeight="1">
      <c r="A418" s="13"/>
      <c r="B418" s="13"/>
      <c r="C418" s="13"/>
      <c r="D418" s="13"/>
      <c r="E418" s="13"/>
      <c r="F418" s="75"/>
      <c r="G418" s="13"/>
      <c r="H418" s="13"/>
      <c r="I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ht="14.25" customHeight="1">
      <c r="A419" s="13"/>
      <c r="B419" s="13"/>
      <c r="C419" s="13"/>
      <c r="D419" s="13"/>
      <c r="E419" s="13"/>
      <c r="F419" s="75"/>
      <c r="G419" s="13"/>
      <c r="H419" s="13"/>
      <c r="I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ht="14.25" customHeight="1">
      <c r="A420" s="13"/>
      <c r="B420" s="13"/>
      <c r="C420" s="13"/>
      <c r="D420" s="13"/>
      <c r="E420" s="13"/>
      <c r="F420" s="75"/>
      <c r="G420" s="13"/>
      <c r="H420" s="13"/>
      <c r="I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ht="14.25" customHeight="1">
      <c r="A421" s="13"/>
      <c r="B421" s="13"/>
      <c r="C421" s="13"/>
      <c r="D421" s="13"/>
      <c r="E421" s="13"/>
      <c r="F421" s="75"/>
      <c r="G421" s="13"/>
      <c r="H421" s="13"/>
      <c r="I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ht="14.25" customHeight="1">
      <c r="A422" s="13"/>
      <c r="B422" s="13"/>
      <c r="C422" s="13"/>
      <c r="D422" s="13"/>
      <c r="E422" s="13"/>
      <c r="F422" s="75"/>
      <c r="G422" s="13"/>
      <c r="H422" s="13"/>
      <c r="I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ht="14.25" customHeight="1">
      <c r="A423" s="13"/>
      <c r="B423" s="13"/>
      <c r="C423" s="13"/>
      <c r="D423" s="13"/>
      <c r="E423" s="13"/>
      <c r="F423" s="75"/>
      <c r="G423" s="13"/>
      <c r="H423" s="13"/>
      <c r="I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ht="14.25" customHeight="1">
      <c r="A424" s="13"/>
      <c r="B424" s="13"/>
      <c r="C424" s="13"/>
      <c r="D424" s="13"/>
      <c r="E424" s="13"/>
      <c r="F424" s="75"/>
      <c r="G424" s="13"/>
      <c r="H424" s="13"/>
      <c r="I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ht="14.25" customHeight="1">
      <c r="A425" s="13"/>
      <c r="B425" s="13"/>
      <c r="C425" s="13"/>
      <c r="D425" s="13"/>
      <c r="E425" s="13"/>
      <c r="F425" s="75"/>
      <c r="G425" s="13"/>
      <c r="H425" s="13"/>
      <c r="I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ht="14.25" customHeight="1">
      <c r="A426" s="13"/>
      <c r="B426" s="13"/>
      <c r="C426" s="13"/>
      <c r="D426" s="13"/>
      <c r="E426" s="13"/>
      <c r="F426" s="75"/>
      <c r="G426" s="13"/>
      <c r="H426" s="13"/>
      <c r="I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ht="14.25" customHeight="1">
      <c r="A427" s="13"/>
      <c r="B427" s="13"/>
      <c r="C427" s="13"/>
      <c r="D427" s="13"/>
      <c r="E427" s="13"/>
      <c r="F427" s="75"/>
      <c r="G427" s="13"/>
      <c r="H427" s="13"/>
      <c r="I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ht="14.25" customHeight="1">
      <c r="A428" s="13"/>
      <c r="B428" s="13"/>
      <c r="C428" s="13"/>
      <c r="D428" s="13"/>
      <c r="E428" s="13"/>
      <c r="F428" s="75"/>
      <c r="G428" s="13"/>
      <c r="H428" s="13"/>
      <c r="I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ht="14.25" customHeight="1">
      <c r="A429" s="13"/>
      <c r="B429" s="13"/>
      <c r="C429" s="13"/>
      <c r="D429" s="13"/>
      <c r="E429" s="13"/>
      <c r="F429" s="75"/>
      <c r="G429" s="13"/>
      <c r="H429" s="13"/>
      <c r="I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ht="14.25" customHeight="1">
      <c r="A430" s="13"/>
      <c r="B430" s="13"/>
      <c r="C430" s="13"/>
      <c r="D430" s="13"/>
      <c r="E430" s="13"/>
      <c r="F430" s="75"/>
      <c r="G430" s="13"/>
      <c r="H430" s="13"/>
      <c r="I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ht="14.25" customHeight="1">
      <c r="A431" s="13"/>
      <c r="B431" s="13"/>
      <c r="C431" s="13"/>
      <c r="D431" s="13"/>
      <c r="E431" s="13"/>
      <c r="F431" s="75"/>
      <c r="G431" s="13"/>
      <c r="H431" s="13"/>
      <c r="I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ht="14.25" customHeight="1">
      <c r="A432" s="13"/>
      <c r="B432" s="13"/>
      <c r="C432" s="13"/>
      <c r="D432" s="13"/>
      <c r="E432" s="13"/>
      <c r="F432" s="75"/>
      <c r="G432" s="13"/>
      <c r="H432" s="13"/>
      <c r="I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ht="14.25" customHeight="1">
      <c r="A433" s="13"/>
      <c r="B433" s="13"/>
      <c r="C433" s="13"/>
      <c r="D433" s="13"/>
      <c r="E433" s="13"/>
      <c r="F433" s="75"/>
      <c r="G433" s="13"/>
      <c r="H433" s="13"/>
      <c r="I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ht="14.25" customHeight="1">
      <c r="A434" s="13"/>
      <c r="B434" s="13"/>
      <c r="C434" s="13"/>
      <c r="D434" s="13"/>
      <c r="E434" s="13"/>
      <c r="F434" s="75"/>
      <c r="G434" s="13"/>
      <c r="H434" s="13"/>
      <c r="I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ht="14.25" customHeight="1">
      <c r="A435" s="13"/>
      <c r="B435" s="13"/>
      <c r="C435" s="13"/>
      <c r="D435" s="13"/>
      <c r="E435" s="13"/>
      <c r="F435" s="75"/>
      <c r="G435" s="13"/>
      <c r="H435" s="13"/>
      <c r="I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ht="14.25" customHeight="1">
      <c r="A436" s="13"/>
      <c r="B436" s="13"/>
      <c r="C436" s="13"/>
      <c r="D436" s="13"/>
      <c r="E436" s="13"/>
      <c r="F436" s="75"/>
      <c r="G436" s="13"/>
      <c r="H436" s="13"/>
      <c r="I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ht="14.25" customHeight="1">
      <c r="A437" s="13"/>
      <c r="B437" s="13"/>
      <c r="C437" s="13"/>
      <c r="D437" s="13"/>
      <c r="E437" s="13"/>
      <c r="F437" s="75"/>
      <c r="G437" s="13"/>
      <c r="H437" s="13"/>
      <c r="I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ht="14.25" customHeight="1">
      <c r="A438" s="13"/>
      <c r="B438" s="13"/>
      <c r="C438" s="13"/>
      <c r="D438" s="13"/>
      <c r="E438" s="13"/>
      <c r="F438" s="75"/>
      <c r="G438" s="13"/>
      <c r="H438" s="13"/>
      <c r="I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ht="14.25" customHeight="1">
      <c r="A439" s="13"/>
      <c r="B439" s="13"/>
      <c r="C439" s="13"/>
      <c r="D439" s="13"/>
      <c r="E439" s="13"/>
      <c r="F439" s="75"/>
      <c r="G439" s="13"/>
      <c r="H439" s="13"/>
      <c r="I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ht="14.25" customHeight="1">
      <c r="A440" s="13"/>
      <c r="B440" s="13"/>
      <c r="C440" s="13"/>
      <c r="D440" s="13"/>
      <c r="E440" s="13"/>
      <c r="F440" s="75"/>
      <c r="G440" s="13"/>
      <c r="H440" s="13"/>
      <c r="I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ht="14.25" customHeight="1">
      <c r="A441" s="13"/>
      <c r="B441" s="13"/>
      <c r="C441" s="13"/>
      <c r="D441" s="13"/>
      <c r="E441" s="13"/>
      <c r="F441" s="75"/>
      <c r="G441" s="13"/>
      <c r="H441" s="13"/>
      <c r="I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ht="14.25" customHeight="1">
      <c r="A442" s="13"/>
      <c r="B442" s="13"/>
      <c r="C442" s="13"/>
      <c r="D442" s="13"/>
      <c r="E442" s="13"/>
      <c r="F442" s="75"/>
      <c r="G442" s="13"/>
      <c r="H442" s="13"/>
      <c r="I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ht="14.25" customHeight="1">
      <c r="A443" s="13"/>
      <c r="B443" s="13"/>
      <c r="C443" s="13"/>
      <c r="D443" s="13"/>
      <c r="E443" s="13"/>
      <c r="F443" s="75"/>
      <c r="G443" s="13"/>
      <c r="H443" s="13"/>
      <c r="I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ht="14.25" customHeight="1">
      <c r="A444" s="13"/>
      <c r="B444" s="13"/>
      <c r="C444" s="13"/>
      <c r="D444" s="13"/>
      <c r="E444" s="13"/>
      <c r="F444" s="75"/>
      <c r="G444" s="13"/>
      <c r="H444" s="13"/>
      <c r="I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ht="14.25" customHeight="1">
      <c r="A445" s="13"/>
      <c r="B445" s="13"/>
      <c r="C445" s="13"/>
      <c r="D445" s="13"/>
      <c r="E445" s="13"/>
      <c r="F445" s="75"/>
      <c r="G445" s="13"/>
      <c r="H445" s="13"/>
      <c r="I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ht="14.25" customHeight="1">
      <c r="A446" s="13"/>
      <c r="B446" s="13"/>
      <c r="C446" s="13"/>
      <c r="D446" s="13"/>
      <c r="E446" s="13"/>
      <c r="F446" s="75"/>
      <c r="G446" s="13"/>
      <c r="H446" s="13"/>
      <c r="I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ht="14.25" customHeight="1">
      <c r="A447" s="13"/>
      <c r="B447" s="13"/>
      <c r="C447" s="13"/>
      <c r="D447" s="13"/>
      <c r="E447" s="13"/>
      <c r="F447" s="75"/>
      <c r="G447" s="13"/>
      <c r="H447" s="13"/>
      <c r="I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ht="14.25" customHeight="1">
      <c r="A448" s="13"/>
      <c r="B448" s="13"/>
      <c r="C448" s="13"/>
      <c r="D448" s="13"/>
      <c r="E448" s="13"/>
      <c r="F448" s="75"/>
      <c r="G448" s="13"/>
      <c r="H448" s="13"/>
      <c r="I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ht="14.25" customHeight="1">
      <c r="A449" s="13"/>
      <c r="B449" s="13"/>
      <c r="C449" s="13"/>
      <c r="D449" s="13"/>
      <c r="E449" s="13"/>
      <c r="F449" s="75"/>
      <c r="G449" s="13"/>
      <c r="H449" s="13"/>
      <c r="I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ht="14.25" customHeight="1">
      <c r="A450" s="13"/>
      <c r="B450" s="13"/>
      <c r="C450" s="13"/>
      <c r="D450" s="13"/>
      <c r="E450" s="13"/>
      <c r="F450" s="75"/>
      <c r="G450" s="13"/>
      <c r="H450" s="13"/>
      <c r="I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ht="14.25" customHeight="1">
      <c r="A451" s="13"/>
      <c r="B451" s="13"/>
      <c r="C451" s="13"/>
      <c r="D451" s="13"/>
      <c r="E451" s="13"/>
      <c r="F451" s="75"/>
      <c r="G451" s="13"/>
      <c r="H451" s="13"/>
      <c r="I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ht="14.25" customHeight="1">
      <c r="A452" s="13"/>
      <c r="B452" s="13"/>
      <c r="C452" s="13"/>
      <c r="D452" s="13"/>
      <c r="E452" s="13"/>
      <c r="F452" s="75"/>
      <c r="G452" s="13"/>
      <c r="H452" s="13"/>
      <c r="I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ht="14.25" customHeight="1">
      <c r="A453" s="13"/>
      <c r="B453" s="13"/>
      <c r="C453" s="13"/>
      <c r="D453" s="13"/>
      <c r="E453" s="13"/>
      <c r="F453" s="75"/>
      <c r="G453" s="13"/>
      <c r="H453" s="13"/>
      <c r="I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ht="14.25" customHeight="1">
      <c r="A454" s="13"/>
      <c r="B454" s="13"/>
      <c r="C454" s="13"/>
      <c r="D454" s="13"/>
      <c r="E454" s="13"/>
      <c r="F454" s="75"/>
      <c r="G454" s="13"/>
      <c r="H454" s="13"/>
      <c r="I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ht="14.25" customHeight="1">
      <c r="A455" s="13"/>
      <c r="B455" s="13"/>
      <c r="C455" s="13"/>
      <c r="D455" s="13"/>
      <c r="E455" s="13"/>
      <c r="F455" s="75"/>
      <c r="G455" s="13"/>
      <c r="H455" s="13"/>
      <c r="I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ht="14.25" customHeight="1">
      <c r="A456" s="13"/>
      <c r="B456" s="13"/>
      <c r="C456" s="13"/>
      <c r="D456" s="13"/>
      <c r="E456" s="13"/>
      <c r="F456" s="75"/>
      <c r="G456" s="13"/>
      <c r="H456" s="13"/>
      <c r="I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ht="14.25" customHeight="1">
      <c r="A457" s="13"/>
      <c r="B457" s="13"/>
      <c r="C457" s="13"/>
      <c r="D457" s="13"/>
      <c r="E457" s="13"/>
      <c r="F457" s="75"/>
      <c r="G457" s="13"/>
      <c r="H457" s="13"/>
      <c r="I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ht="14.25" customHeight="1">
      <c r="A458" s="13"/>
      <c r="B458" s="13"/>
      <c r="C458" s="13"/>
      <c r="D458" s="13"/>
      <c r="E458" s="13"/>
      <c r="F458" s="75"/>
      <c r="G458" s="13"/>
      <c r="H458" s="13"/>
      <c r="I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ht="14.25" customHeight="1">
      <c r="A459" s="13"/>
      <c r="B459" s="13"/>
      <c r="C459" s="13"/>
      <c r="D459" s="13"/>
      <c r="E459" s="13"/>
      <c r="F459" s="75"/>
      <c r="G459" s="13"/>
      <c r="H459" s="13"/>
      <c r="I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ht="14.25" customHeight="1">
      <c r="A460" s="13"/>
      <c r="B460" s="13"/>
      <c r="C460" s="13"/>
      <c r="D460" s="13"/>
      <c r="E460" s="13"/>
      <c r="F460" s="75"/>
      <c r="G460" s="13"/>
      <c r="H460" s="13"/>
      <c r="I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ht="14.25" customHeight="1">
      <c r="A461" s="13"/>
      <c r="B461" s="13"/>
      <c r="C461" s="13"/>
      <c r="D461" s="13"/>
      <c r="E461" s="13"/>
      <c r="F461" s="75"/>
      <c r="G461" s="13"/>
      <c r="H461" s="13"/>
      <c r="I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ht="14.25" customHeight="1">
      <c r="A462" s="13"/>
      <c r="B462" s="13"/>
      <c r="C462" s="13"/>
      <c r="D462" s="13"/>
      <c r="E462" s="13"/>
      <c r="F462" s="75"/>
      <c r="G462" s="13"/>
      <c r="H462" s="13"/>
      <c r="I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ht="14.25" customHeight="1">
      <c r="A463" s="13"/>
      <c r="B463" s="13"/>
      <c r="C463" s="13"/>
      <c r="D463" s="13"/>
      <c r="E463" s="13"/>
      <c r="F463" s="75"/>
      <c r="G463" s="13"/>
      <c r="H463" s="13"/>
      <c r="I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ht="14.25" customHeight="1">
      <c r="A464" s="13"/>
      <c r="B464" s="13"/>
      <c r="C464" s="13"/>
      <c r="D464" s="13"/>
      <c r="E464" s="13"/>
      <c r="F464" s="75"/>
      <c r="G464" s="13"/>
      <c r="H464" s="13"/>
      <c r="I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ht="14.25" customHeight="1">
      <c r="A465" s="13"/>
      <c r="B465" s="13"/>
      <c r="C465" s="13"/>
      <c r="D465" s="13"/>
      <c r="E465" s="13"/>
      <c r="F465" s="75"/>
      <c r="G465" s="13"/>
      <c r="H465" s="13"/>
      <c r="I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ht="14.25" customHeight="1">
      <c r="A466" s="13"/>
      <c r="B466" s="13"/>
      <c r="C466" s="13"/>
      <c r="D466" s="13"/>
      <c r="E466" s="13"/>
      <c r="F466" s="75"/>
      <c r="G466" s="13"/>
      <c r="H466" s="13"/>
      <c r="I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ht="14.25" customHeight="1">
      <c r="A467" s="13"/>
      <c r="B467" s="13"/>
      <c r="C467" s="13"/>
      <c r="D467" s="13"/>
      <c r="E467" s="13"/>
      <c r="F467" s="75"/>
      <c r="G467" s="13"/>
      <c r="H467" s="13"/>
      <c r="I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14.25" customHeight="1">
      <c r="A468" s="13"/>
      <c r="B468" s="13"/>
      <c r="C468" s="13"/>
      <c r="D468" s="13"/>
      <c r="E468" s="13"/>
      <c r="F468" s="75"/>
      <c r="G468" s="13"/>
      <c r="H468" s="13"/>
      <c r="I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ht="14.25" customHeight="1">
      <c r="A469" s="13"/>
      <c r="B469" s="13"/>
      <c r="C469" s="13"/>
      <c r="D469" s="13"/>
      <c r="E469" s="13"/>
      <c r="F469" s="75"/>
      <c r="G469" s="13"/>
      <c r="H469" s="13"/>
      <c r="I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ht="14.25" customHeight="1">
      <c r="A470" s="13"/>
      <c r="B470" s="13"/>
      <c r="C470" s="13"/>
      <c r="D470" s="13"/>
      <c r="E470" s="13"/>
      <c r="F470" s="75"/>
      <c r="G470" s="13"/>
      <c r="H470" s="13"/>
      <c r="I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ht="14.25" customHeight="1">
      <c r="A471" s="13"/>
      <c r="B471" s="13"/>
      <c r="C471" s="13"/>
      <c r="D471" s="13"/>
      <c r="E471" s="13"/>
      <c r="F471" s="75"/>
      <c r="G471" s="13"/>
      <c r="H471" s="13"/>
      <c r="I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ht="14.25" customHeight="1">
      <c r="A472" s="13"/>
      <c r="B472" s="13"/>
      <c r="C472" s="13"/>
      <c r="D472" s="13"/>
      <c r="E472" s="13"/>
      <c r="F472" s="75"/>
      <c r="G472" s="13"/>
      <c r="H472" s="13"/>
      <c r="I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ht="14.25" customHeight="1">
      <c r="A473" s="13"/>
      <c r="B473" s="13"/>
      <c r="C473" s="13"/>
      <c r="D473" s="13"/>
      <c r="E473" s="13"/>
      <c r="F473" s="75"/>
      <c r="G473" s="13"/>
      <c r="H473" s="13"/>
      <c r="I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ht="14.25" customHeight="1">
      <c r="A474" s="13"/>
      <c r="B474" s="13"/>
      <c r="C474" s="13"/>
      <c r="D474" s="13"/>
      <c r="E474" s="13"/>
      <c r="F474" s="75"/>
      <c r="G474" s="13"/>
      <c r="H474" s="13"/>
      <c r="I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ht="14.25" customHeight="1">
      <c r="A475" s="13"/>
      <c r="B475" s="13"/>
      <c r="C475" s="13"/>
      <c r="D475" s="13"/>
      <c r="E475" s="13"/>
      <c r="F475" s="75"/>
      <c r="G475" s="13"/>
      <c r="H475" s="13"/>
      <c r="I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ht="14.25" customHeight="1">
      <c r="A476" s="13"/>
      <c r="B476" s="13"/>
      <c r="C476" s="13"/>
      <c r="D476" s="13"/>
      <c r="E476" s="13"/>
      <c r="F476" s="75"/>
      <c r="G476" s="13"/>
      <c r="H476" s="13"/>
      <c r="I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ht="14.25" customHeight="1">
      <c r="A477" s="13"/>
      <c r="B477" s="13"/>
      <c r="C477" s="13"/>
      <c r="D477" s="13"/>
      <c r="E477" s="13"/>
      <c r="F477" s="75"/>
      <c r="G477" s="13"/>
      <c r="H477" s="13"/>
      <c r="I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ht="14.25" customHeight="1">
      <c r="A478" s="13"/>
      <c r="B478" s="13"/>
      <c r="C478" s="13"/>
      <c r="D478" s="13"/>
      <c r="E478" s="13"/>
      <c r="F478" s="75"/>
      <c r="G478" s="13"/>
      <c r="H478" s="13"/>
      <c r="I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ht="14.25" customHeight="1">
      <c r="A479" s="13"/>
      <c r="B479" s="13"/>
      <c r="C479" s="13"/>
      <c r="D479" s="13"/>
      <c r="E479" s="13"/>
      <c r="F479" s="75"/>
      <c r="G479" s="13"/>
      <c r="H479" s="13"/>
      <c r="I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ht="14.25" customHeight="1">
      <c r="A480" s="13"/>
      <c r="B480" s="13"/>
      <c r="C480" s="13"/>
      <c r="D480" s="13"/>
      <c r="E480" s="13"/>
      <c r="F480" s="75"/>
      <c r="G480" s="13"/>
      <c r="H480" s="13"/>
      <c r="I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ht="14.25" customHeight="1">
      <c r="A481" s="13"/>
      <c r="B481" s="13"/>
      <c r="C481" s="13"/>
      <c r="D481" s="13"/>
      <c r="E481" s="13"/>
      <c r="F481" s="75"/>
      <c r="G481" s="13"/>
      <c r="H481" s="13"/>
      <c r="I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ht="14.25" customHeight="1">
      <c r="A482" s="13"/>
      <c r="B482" s="13"/>
      <c r="C482" s="13"/>
      <c r="D482" s="13"/>
      <c r="E482" s="13"/>
      <c r="F482" s="75"/>
      <c r="G482" s="13"/>
      <c r="H482" s="13"/>
      <c r="I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ht="14.25" customHeight="1">
      <c r="A483" s="13"/>
      <c r="B483" s="13"/>
      <c r="C483" s="13"/>
      <c r="D483" s="13"/>
      <c r="E483" s="13"/>
      <c r="F483" s="75"/>
      <c r="G483" s="13"/>
      <c r="H483" s="13"/>
      <c r="I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ht="14.25" customHeight="1">
      <c r="A484" s="13"/>
      <c r="B484" s="13"/>
      <c r="C484" s="13"/>
      <c r="D484" s="13"/>
      <c r="E484" s="13"/>
      <c r="F484" s="75"/>
      <c r="G484" s="13"/>
      <c r="H484" s="13"/>
      <c r="I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ht="14.25" customHeight="1">
      <c r="A485" s="13"/>
      <c r="B485" s="13"/>
      <c r="C485" s="13"/>
      <c r="D485" s="13"/>
      <c r="E485" s="13"/>
      <c r="F485" s="75"/>
      <c r="G485" s="13"/>
      <c r="H485" s="13"/>
      <c r="I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ht="14.25" customHeight="1">
      <c r="A486" s="13"/>
      <c r="B486" s="13"/>
      <c r="C486" s="13"/>
      <c r="D486" s="13"/>
      <c r="E486" s="13"/>
      <c r="F486" s="75"/>
      <c r="G486" s="13"/>
      <c r="H486" s="13"/>
      <c r="I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ht="14.25" customHeight="1">
      <c r="A487" s="13"/>
      <c r="B487" s="13"/>
      <c r="C487" s="13"/>
      <c r="D487" s="13"/>
      <c r="E487" s="13"/>
      <c r="F487" s="75"/>
      <c r="G487" s="13"/>
      <c r="H487" s="13"/>
      <c r="I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ht="14.25" customHeight="1">
      <c r="A488" s="13"/>
      <c r="B488" s="13"/>
      <c r="C488" s="13"/>
      <c r="D488" s="13"/>
      <c r="E488" s="13"/>
      <c r="F488" s="75"/>
      <c r="G488" s="13"/>
      <c r="H488" s="13"/>
      <c r="I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ht="14.25" customHeight="1">
      <c r="A489" s="13"/>
      <c r="B489" s="13"/>
      <c r="C489" s="13"/>
      <c r="D489" s="13"/>
      <c r="E489" s="13"/>
      <c r="F489" s="75"/>
      <c r="G489" s="13"/>
      <c r="H489" s="13"/>
      <c r="I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ht="14.25" customHeight="1">
      <c r="A490" s="13"/>
      <c r="B490" s="13"/>
      <c r="C490" s="13"/>
      <c r="D490" s="13"/>
      <c r="E490" s="13"/>
      <c r="F490" s="75"/>
      <c r="G490" s="13"/>
      <c r="H490" s="13"/>
      <c r="I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ht="14.25" customHeight="1">
      <c r="A491" s="13"/>
      <c r="B491" s="13"/>
      <c r="C491" s="13"/>
      <c r="D491" s="13"/>
      <c r="E491" s="13"/>
      <c r="F491" s="75"/>
      <c r="G491" s="13"/>
      <c r="H491" s="13"/>
      <c r="I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ht="14.25" customHeight="1">
      <c r="A492" s="13"/>
      <c r="B492" s="13"/>
      <c r="C492" s="13"/>
      <c r="D492" s="13"/>
      <c r="E492" s="13"/>
      <c r="F492" s="75"/>
      <c r="G492" s="13"/>
      <c r="H492" s="13"/>
      <c r="I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ht="14.25" customHeight="1">
      <c r="A493" s="13"/>
      <c r="B493" s="13"/>
      <c r="C493" s="13"/>
      <c r="D493" s="13"/>
      <c r="E493" s="13"/>
      <c r="F493" s="75"/>
      <c r="G493" s="13"/>
      <c r="H493" s="13"/>
      <c r="I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ht="14.25" customHeight="1">
      <c r="A494" s="13"/>
      <c r="B494" s="13"/>
      <c r="C494" s="13"/>
      <c r="D494" s="13"/>
      <c r="E494" s="13"/>
      <c r="F494" s="75"/>
      <c r="G494" s="13"/>
      <c r="H494" s="13"/>
      <c r="I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ht="14.25" customHeight="1">
      <c r="A495" s="13"/>
      <c r="B495" s="13"/>
      <c r="C495" s="13"/>
      <c r="D495" s="13"/>
      <c r="E495" s="13"/>
      <c r="F495" s="75"/>
      <c r="G495" s="13"/>
      <c r="H495" s="13"/>
      <c r="I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ht="14.25" customHeight="1">
      <c r="A496" s="13"/>
      <c r="B496" s="13"/>
      <c r="C496" s="13"/>
      <c r="D496" s="13"/>
      <c r="E496" s="13"/>
      <c r="F496" s="75"/>
      <c r="G496" s="13"/>
      <c r="H496" s="13"/>
      <c r="I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ht="14.25" customHeight="1">
      <c r="A497" s="13"/>
      <c r="B497" s="13"/>
      <c r="C497" s="13"/>
      <c r="D497" s="13"/>
      <c r="E497" s="13"/>
      <c r="F497" s="75"/>
      <c r="G497" s="13"/>
      <c r="H497" s="13"/>
      <c r="I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ht="14.25" customHeight="1">
      <c r="A498" s="13"/>
      <c r="B498" s="13"/>
      <c r="C498" s="13"/>
      <c r="D498" s="13"/>
      <c r="E498" s="13"/>
      <c r="F498" s="75"/>
      <c r="G498" s="13"/>
      <c r="H498" s="13"/>
      <c r="I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ht="14.25" customHeight="1">
      <c r="A499" s="13"/>
      <c r="B499" s="13"/>
      <c r="C499" s="13"/>
      <c r="D499" s="13"/>
      <c r="E499" s="13"/>
      <c r="F499" s="75"/>
      <c r="G499" s="13"/>
      <c r="H499" s="13"/>
      <c r="I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ht="14.25" customHeight="1">
      <c r="A500" s="13"/>
      <c r="B500" s="13"/>
      <c r="C500" s="13"/>
      <c r="D500" s="13"/>
      <c r="E500" s="13"/>
      <c r="F500" s="75"/>
      <c r="G500" s="13"/>
      <c r="H500" s="13"/>
      <c r="I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ht="14.25" customHeight="1">
      <c r="A501" s="13"/>
      <c r="B501" s="13"/>
      <c r="C501" s="13"/>
      <c r="D501" s="13"/>
      <c r="E501" s="13"/>
      <c r="F501" s="75"/>
      <c r="G501" s="13"/>
      <c r="H501" s="13"/>
      <c r="I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ht="14.25" customHeight="1">
      <c r="A502" s="13"/>
      <c r="B502" s="13"/>
      <c r="C502" s="13"/>
      <c r="D502" s="13"/>
      <c r="E502" s="13"/>
      <c r="F502" s="75"/>
      <c r="G502" s="13"/>
      <c r="H502" s="13"/>
      <c r="I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ht="14.25" customHeight="1">
      <c r="A503" s="13"/>
      <c r="B503" s="13"/>
      <c r="C503" s="13"/>
      <c r="D503" s="13"/>
      <c r="E503" s="13"/>
      <c r="F503" s="75"/>
      <c r="G503" s="13"/>
      <c r="H503" s="13"/>
      <c r="I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ht="14.25" customHeight="1">
      <c r="A504" s="13"/>
      <c r="B504" s="13"/>
      <c r="C504" s="13"/>
      <c r="D504" s="13"/>
      <c r="E504" s="13"/>
      <c r="F504" s="75"/>
      <c r="G504" s="13"/>
      <c r="H504" s="13"/>
      <c r="I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ht="14.25" customHeight="1">
      <c r="A505" s="13"/>
      <c r="B505" s="13"/>
      <c r="C505" s="13"/>
      <c r="D505" s="13"/>
      <c r="E505" s="13"/>
      <c r="F505" s="75"/>
      <c r="G505" s="13"/>
      <c r="H505" s="13"/>
      <c r="I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ht="14.25" customHeight="1">
      <c r="A506" s="13"/>
      <c r="B506" s="13"/>
      <c r="C506" s="13"/>
      <c r="D506" s="13"/>
      <c r="E506" s="13"/>
      <c r="F506" s="75"/>
      <c r="G506" s="13"/>
      <c r="H506" s="13"/>
      <c r="I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ht="14.25" customHeight="1">
      <c r="A507" s="13"/>
      <c r="B507" s="13"/>
      <c r="C507" s="13"/>
      <c r="D507" s="13"/>
      <c r="E507" s="13"/>
      <c r="F507" s="75"/>
      <c r="G507" s="13"/>
      <c r="H507" s="13"/>
      <c r="I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ht="14.25" customHeight="1">
      <c r="A508" s="13"/>
      <c r="B508" s="13"/>
      <c r="C508" s="13"/>
      <c r="D508" s="13"/>
      <c r="E508" s="13"/>
      <c r="F508" s="75"/>
      <c r="G508" s="13"/>
      <c r="H508" s="13"/>
      <c r="I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ht="14.25" customHeight="1">
      <c r="A509" s="13"/>
      <c r="B509" s="13"/>
      <c r="C509" s="13"/>
      <c r="D509" s="13"/>
      <c r="E509" s="13"/>
      <c r="F509" s="75"/>
      <c r="G509" s="13"/>
      <c r="H509" s="13"/>
      <c r="I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ht="14.25" customHeight="1">
      <c r="A510" s="13"/>
      <c r="B510" s="13"/>
      <c r="C510" s="13"/>
      <c r="D510" s="13"/>
      <c r="E510" s="13"/>
      <c r="F510" s="75"/>
      <c r="G510" s="13"/>
      <c r="H510" s="13"/>
      <c r="I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ht="14.25" customHeight="1">
      <c r="A511" s="13"/>
      <c r="B511" s="13"/>
      <c r="C511" s="13"/>
      <c r="D511" s="13"/>
      <c r="E511" s="13"/>
      <c r="F511" s="75"/>
      <c r="G511" s="13"/>
      <c r="H511" s="13"/>
      <c r="I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ht="14.25" customHeight="1">
      <c r="A512" s="13"/>
      <c r="B512" s="13"/>
      <c r="C512" s="13"/>
      <c r="D512" s="13"/>
      <c r="E512" s="13"/>
      <c r="F512" s="75"/>
      <c r="G512" s="13"/>
      <c r="H512" s="13"/>
      <c r="I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ht="14.25" customHeight="1">
      <c r="A513" s="13"/>
      <c r="B513" s="13"/>
      <c r="C513" s="13"/>
      <c r="D513" s="13"/>
      <c r="E513" s="13"/>
      <c r="F513" s="75"/>
      <c r="G513" s="13"/>
      <c r="H513" s="13"/>
      <c r="I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ht="14.25" customHeight="1">
      <c r="A514" s="13"/>
      <c r="B514" s="13"/>
      <c r="C514" s="13"/>
      <c r="D514" s="13"/>
      <c r="E514" s="13"/>
      <c r="F514" s="75"/>
      <c r="G514" s="13"/>
      <c r="H514" s="13"/>
      <c r="I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ht="14.25" customHeight="1">
      <c r="A515" s="13"/>
      <c r="B515" s="13"/>
      <c r="C515" s="13"/>
      <c r="D515" s="13"/>
      <c r="E515" s="13"/>
      <c r="F515" s="75"/>
      <c r="G515" s="13"/>
      <c r="H515" s="13"/>
      <c r="I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ht="14.25" customHeight="1">
      <c r="A516" s="13"/>
      <c r="B516" s="13"/>
      <c r="C516" s="13"/>
      <c r="D516" s="13"/>
      <c r="E516" s="13"/>
      <c r="F516" s="75"/>
      <c r="G516" s="13"/>
      <c r="H516" s="13"/>
      <c r="I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ht="14.25" customHeight="1">
      <c r="A517" s="13"/>
      <c r="B517" s="13"/>
      <c r="C517" s="13"/>
      <c r="D517" s="13"/>
      <c r="E517" s="13"/>
      <c r="F517" s="75"/>
      <c r="G517" s="13"/>
      <c r="H517" s="13"/>
      <c r="I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ht="14.25" customHeight="1">
      <c r="A518" s="13"/>
      <c r="B518" s="13"/>
      <c r="C518" s="13"/>
      <c r="D518" s="13"/>
      <c r="E518" s="13"/>
      <c r="F518" s="75"/>
      <c r="G518" s="13"/>
      <c r="H518" s="13"/>
      <c r="I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ht="14.25" customHeight="1">
      <c r="A519" s="13"/>
      <c r="B519" s="13"/>
      <c r="C519" s="13"/>
      <c r="D519" s="13"/>
      <c r="E519" s="13"/>
      <c r="F519" s="75"/>
      <c r="G519" s="13"/>
      <c r="H519" s="13"/>
      <c r="I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ht="14.25" customHeight="1">
      <c r="A520" s="13"/>
      <c r="B520" s="13"/>
      <c r="C520" s="13"/>
      <c r="D520" s="13"/>
      <c r="E520" s="13"/>
      <c r="F520" s="75"/>
      <c r="G520" s="13"/>
      <c r="H520" s="13"/>
      <c r="I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ht="14.25" customHeight="1">
      <c r="A521" s="13"/>
      <c r="B521" s="13"/>
      <c r="C521" s="13"/>
      <c r="D521" s="13"/>
      <c r="E521" s="13"/>
      <c r="F521" s="75"/>
      <c r="G521" s="13"/>
      <c r="H521" s="13"/>
      <c r="I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ht="14.25" customHeight="1">
      <c r="A522" s="13"/>
      <c r="B522" s="13"/>
      <c r="C522" s="13"/>
      <c r="D522" s="13"/>
      <c r="E522" s="13"/>
      <c r="F522" s="75"/>
      <c r="G522" s="13"/>
      <c r="H522" s="13"/>
      <c r="I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14.25" customHeight="1">
      <c r="A523" s="13"/>
      <c r="B523" s="13"/>
      <c r="C523" s="13"/>
      <c r="D523" s="13"/>
      <c r="E523" s="13"/>
      <c r="F523" s="75"/>
      <c r="G523" s="13"/>
      <c r="H523" s="13"/>
      <c r="I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ht="14.25" customHeight="1">
      <c r="A524" s="13"/>
      <c r="B524" s="13"/>
      <c r="C524" s="13"/>
      <c r="D524" s="13"/>
      <c r="E524" s="13"/>
      <c r="F524" s="75"/>
      <c r="G524" s="13"/>
      <c r="H524" s="13"/>
      <c r="I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ht="14.25" customHeight="1">
      <c r="A525" s="13"/>
      <c r="B525" s="13"/>
      <c r="C525" s="13"/>
      <c r="D525" s="13"/>
      <c r="E525" s="13"/>
      <c r="F525" s="75"/>
      <c r="G525" s="13"/>
      <c r="H525" s="13"/>
      <c r="I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ht="14.25" customHeight="1">
      <c r="A526" s="13"/>
      <c r="B526" s="13"/>
      <c r="C526" s="13"/>
      <c r="D526" s="13"/>
      <c r="E526" s="13"/>
      <c r="F526" s="75"/>
      <c r="G526" s="13"/>
      <c r="H526" s="13"/>
      <c r="I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ht="14.25" customHeight="1">
      <c r="A527" s="13"/>
      <c r="B527" s="13"/>
      <c r="C527" s="13"/>
      <c r="D527" s="13"/>
      <c r="E527" s="13"/>
      <c r="F527" s="75"/>
      <c r="G527" s="13"/>
      <c r="H527" s="13"/>
      <c r="I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ht="14.25" customHeight="1">
      <c r="A528" s="13"/>
      <c r="B528" s="13"/>
      <c r="C528" s="13"/>
      <c r="D528" s="13"/>
      <c r="E528" s="13"/>
      <c r="F528" s="75"/>
      <c r="G528" s="13"/>
      <c r="H528" s="13"/>
      <c r="I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ht="14.25" customHeight="1">
      <c r="A529" s="13"/>
      <c r="B529" s="13"/>
      <c r="C529" s="13"/>
      <c r="D529" s="13"/>
      <c r="E529" s="13"/>
      <c r="F529" s="75"/>
      <c r="G529" s="13"/>
      <c r="H529" s="13"/>
      <c r="I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ht="14.25" customHeight="1">
      <c r="A530" s="13"/>
      <c r="B530" s="13"/>
      <c r="C530" s="13"/>
      <c r="D530" s="13"/>
      <c r="E530" s="13"/>
      <c r="F530" s="75"/>
      <c r="G530" s="13"/>
      <c r="H530" s="13"/>
      <c r="I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ht="14.25" customHeight="1">
      <c r="A531" s="13"/>
      <c r="B531" s="13"/>
      <c r="C531" s="13"/>
      <c r="D531" s="13"/>
      <c r="E531" s="13"/>
      <c r="F531" s="75"/>
      <c r="G531" s="13"/>
      <c r="H531" s="13"/>
      <c r="I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ht="14.25" customHeight="1">
      <c r="A532" s="13"/>
      <c r="B532" s="13"/>
      <c r="C532" s="13"/>
      <c r="D532" s="13"/>
      <c r="E532" s="13"/>
      <c r="F532" s="75"/>
      <c r="G532" s="13"/>
      <c r="H532" s="13"/>
      <c r="I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ht="14.25" customHeight="1">
      <c r="A533" s="13"/>
      <c r="B533" s="13"/>
      <c r="C533" s="13"/>
      <c r="D533" s="13"/>
      <c r="E533" s="13"/>
      <c r="F533" s="75"/>
      <c r="G533" s="13"/>
      <c r="H533" s="13"/>
      <c r="I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ht="14.25" customHeight="1">
      <c r="A534" s="13"/>
      <c r="B534" s="13"/>
      <c r="C534" s="13"/>
      <c r="D534" s="13"/>
      <c r="E534" s="13"/>
      <c r="F534" s="75"/>
      <c r="G534" s="13"/>
      <c r="H534" s="13"/>
      <c r="I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ht="14.25" customHeight="1">
      <c r="A535" s="13"/>
      <c r="B535" s="13"/>
      <c r="C535" s="13"/>
      <c r="D535" s="13"/>
      <c r="E535" s="13"/>
      <c r="F535" s="75"/>
      <c r="G535" s="13"/>
      <c r="H535" s="13"/>
      <c r="I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ht="14.25" customHeight="1">
      <c r="A536" s="13"/>
      <c r="B536" s="13"/>
      <c r="C536" s="13"/>
      <c r="D536" s="13"/>
      <c r="E536" s="13"/>
      <c r="F536" s="75"/>
      <c r="G536" s="13"/>
      <c r="H536" s="13"/>
      <c r="I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ht="14.25" customHeight="1">
      <c r="A537" s="13"/>
      <c r="B537" s="13"/>
      <c r="C537" s="13"/>
      <c r="D537" s="13"/>
      <c r="E537" s="13"/>
      <c r="F537" s="75"/>
      <c r="G537" s="13"/>
      <c r="H537" s="13"/>
      <c r="I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ht="14.25" customHeight="1">
      <c r="A538" s="13"/>
      <c r="B538" s="13"/>
      <c r="C538" s="13"/>
      <c r="D538" s="13"/>
      <c r="E538" s="13"/>
      <c r="F538" s="75"/>
      <c r="G538" s="13"/>
      <c r="H538" s="13"/>
      <c r="I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ht="14.25" customHeight="1">
      <c r="A539" s="13"/>
      <c r="B539" s="13"/>
      <c r="C539" s="13"/>
      <c r="D539" s="13"/>
      <c r="E539" s="13"/>
      <c r="F539" s="75"/>
      <c r="G539" s="13"/>
      <c r="H539" s="13"/>
      <c r="I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ht="14.25" customHeight="1">
      <c r="A540" s="13"/>
      <c r="B540" s="13"/>
      <c r="C540" s="13"/>
      <c r="D540" s="13"/>
      <c r="E540" s="13"/>
      <c r="F540" s="75"/>
      <c r="G540" s="13"/>
      <c r="H540" s="13"/>
      <c r="I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ht="14.25" customHeight="1">
      <c r="A541" s="13"/>
      <c r="B541" s="13"/>
      <c r="C541" s="13"/>
      <c r="D541" s="13"/>
      <c r="E541" s="13"/>
      <c r="F541" s="75"/>
      <c r="G541" s="13"/>
      <c r="H541" s="13"/>
      <c r="I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ht="14.25" customHeight="1">
      <c r="A542" s="13"/>
      <c r="B542" s="13"/>
      <c r="C542" s="13"/>
      <c r="D542" s="13"/>
      <c r="E542" s="13"/>
      <c r="F542" s="75"/>
      <c r="G542" s="13"/>
      <c r="H542" s="13"/>
      <c r="I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ht="14.25" customHeight="1">
      <c r="A543" s="13"/>
      <c r="B543" s="13"/>
      <c r="C543" s="13"/>
      <c r="D543" s="13"/>
      <c r="E543" s="13"/>
      <c r="F543" s="75"/>
      <c r="G543" s="13"/>
      <c r="H543" s="13"/>
      <c r="I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ht="14.25" customHeight="1">
      <c r="A544" s="13"/>
      <c r="B544" s="13"/>
      <c r="C544" s="13"/>
      <c r="D544" s="13"/>
      <c r="E544" s="13"/>
      <c r="F544" s="75"/>
      <c r="G544" s="13"/>
      <c r="H544" s="13"/>
      <c r="I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ht="14.25" customHeight="1">
      <c r="A545" s="13"/>
      <c r="B545" s="13"/>
      <c r="C545" s="13"/>
      <c r="D545" s="13"/>
      <c r="E545" s="13"/>
      <c r="F545" s="75"/>
      <c r="G545" s="13"/>
      <c r="H545" s="13"/>
      <c r="I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ht="14.25" customHeight="1">
      <c r="A546" s="13"/>
      <c r="B546" s="13"/>
      <c r="C546" s="13"/>
      <c r="D546" s="13"/>
      <c r="E546" s="13"/>
      <c r="F546" s="75"/>
      <c r="G546" s="13"/>
      <c r="H546" s="13"/>
      <c r="I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ht="14.25" customHeight="1">
      <c r="A547" s="13"/>
      <c r="B547" s="13"/>
      <c r="C547" s="13"/>
      <c r="D547" s="13"/>
      <c r="E547" s="13"/>
      <c r="F547" s="75"/>
      <c r="G547" s="13"/>
      <c r="H547" s="13"/>
      <c r="I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ht="14.25" customHeight="1">
      <c r="A548" s="13"/>
      <c r="B548" s="13"/>
      <c r="C548" s="13"/>
      <c r="D548" s="13"/>
      <c r="E548" s="13"/>
      <c r="F548" s="75"/>
      <c r="G548" s="13"/>
      <c r="H548" s="13"/>
      <c r="I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ht="14.25" customHeight="1">
      <c r="A549" s="13"/>
      <c r="B549" s="13"/>
      <c r="C549" s="13"/>
      <c r="D549" s="13"/>
      <c r="E549" s="13"/>
      <c r="F549" s="75"/>
      <c r="G549" s="13"/>
      <c r="H549" s="13"/>
      <c r="I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ht="14.25" customHeight="1">
      <c r="A550" s="13"/>
      <c r="B550" s="13"/>
      <c r="C550" s="13"/>
      <c r="D550" s="13"/>
      <c r="E550" s="13"/>
      <c r="F550" s="75"/>
      <c r="G550" s="13"/>
      <c r="H550" s="13"/>
      <c r="I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ht="14.25" customHeight="1">
      <c r="A551" s="13"/>
      <c r="B551" s="13"/>
      <c r="C551" s="13"/>
      <c r="D551" s="13"/>
      <c r="E551" s="13"/>
      <c r="F551" s="75"/>
      <c r="G551" s="13"/>
      <c r="H551" s="13"/>
      <c r="I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ht="14.25" customHeight="1">
      <c r="A552" s="13"/>
      <c r="B552" s="13"/>
      <c r="C552" s="13"/>
      <c r="D552" s="13"/>
      <c r="E552" s="13"/>
      <c r="F552" s="75"/>
      <c r="G552" s="13"/>
      <c r="H552" s="13"/>
      <c r="I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ht="14.25" customHeight="1">
      <c r="A553" s="13"/>
      <c r="B553" s="13"/>
      <c r="C553" s="13"/>
      <c r="D553" s="13"/>
      <c r="E553" s="13"/>
      <c r="F553" s="75"/>
      <c r="G553" s="13"/>
      <c r="H553" s="13"/>
      <c r="I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ht="14.25" customHeight="1">
      <c r="A554" s="13"/>
      <c r="B554" s="13"/>
      <c r="C554" s="13"/>
      <c r="D554" s="13"/>
      <c r="E554" s="13"/>
      <c r="F554" s="75"/>
      <c r="G554" s="13"/>
      <c r="H554" s="13"/>
      <c r="I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14.25" customHeight="1">
      <c r="A555" s="13"/>
      <c r="B555" s="13"/>
      <c r="C555" s="13"/>
      <c r="D555" s="13"/>
      <c r="E555" s="13"/>
      <c r="F555" s="75"/>
      <c r="G555" s="13"/>
      <c r="H555" s="13"/>
      <c r="I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ht="14.25" customHeight="1">
      <c r="A556" s="13"/>
      <c r="B556" s="13"/>
      <c r="C556" s="13"/>
      <c r="D556" s="13"/>
      <c r="E556" s="13"/>
      <c r="F556" s="75"/>
      <c r="G556" s="13"/>
      <c r="H556" s="13"/>
      <c r="I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14.25" customHeight="1">
      <c r="A557" s="13"/>
      <c r="B557" s="13"/>
      <c r="C557" s="13"/>
      <c r="D557" s="13"/>
      <c r="E557" s="13"/>
      <c r="F557" s="75"/>
      <c r="G557" s="13"/>
      <c r="H557" s="13"/>
      <c r="I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ht="14.25" customHeight="1">
      <c r="A558" s="13"/>
      <c r="B558" s="13"/>
      <c r="C558" s="13"/>
      <c r="D558" s="13"/>
      <c r="E558" s="13"/>
      <c r="F558" s="75"/>
      <c r="G558" s="13"/>
      <c r="H558" s="13"/>
      <c r="I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ht="14.25" customHeight="1">
      <c r="A559" s="13"/>
      <c r="B559" s="13"/>
      <c r="C559" s="13"/>
      <c r="D559" s="13"/>
      <c r="E559" s="13"/>
      <c r="F559" s="75"/>
      <c r="G559" s="13"/>
      <c r="H559" s="13"/>
      <c r="I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ht="14.25" customHeight="1">
      <c r="A560" s="13"/>
      <c r="B560" s="13"/>
      <c r="C560" s="13"/>
      <c r="D560" s="13"/>
      <c r="E560" s="13"/>
      <c r="F560" s="75"/>
      <c r="G560" s="13"/>
      <c r="H560" s="13"/>
      <c r="I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ht="14.25" customHeight="1">
      <c r="A561" s="13"/>
      <c r="B561" s="13"/>
      <c r="C561" s="13"/>
      <c r="D561" s="13"/>
      <c r="E561" s="13"/>
      <c r="F561" s="75"/>
      <c r="G561" s="13"/>
      <c r="H561" s="13"/>
      <c r="I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ht="14.25" customHeight="1">
      <c r="A562" s="13"/>
      <c r="B562" s="13"/>
      <c r="C562" s="13"/>
      <c r="D562" s="13"/>
      <c r="E562" s="13"/>
      <c r="F562" s="75"/>
      <c r="G562" s="13"/>
      <c r="H562" s="13"/>
      <c r="I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ht="14.25" customHeight="1">
      <c r="A563" s="13"/>
      <c r="B563" s="13"/>
      <c r="C563" s="13"/>
      <c r="D563" s="13"/>
      <c r="E563" s="13"/>
      <c r="F563" s="75"/>
      <c r="G563" s="13"/>
      <c r="H563" s="13"/>
      <c r="I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ht="14.25" customHeight="1">
      <c r="A564" s="13"/>
      <c r="B564" s="13"/>
      <c r="C564" s="13"/>
      <c r="D564" s="13"/>
      <c r="E564" s="13"/>
      <c r="F564" s="75"/>
      <c r="G564" s="13"/>
      <c r="H564" s="13"/>
      <c r="I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ht="14.25" customHeight="1">
      <c r="A565" s="13"/>
      <c r="B565" s="13"/>
      <c r="C565" s="13"/>
      <c r="D565" s="13"/>
      <c r="E565" s="13"/>
      <c r="F565" s="75"/>
      <c r="G565" s="13"/>
      <c r="H565" s="13"/>
      <c r="I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ht="14.25" customHeight="1">
      <c r="A566" s="13"/>
      <c r="B566" s="13"/>
      <c r="C566" s="13"/>
      <c r="D566" s="13"/>
      <c r="E566" s="13"/>
      <c r="F566" s="75"/>
      <c r="G566" s="13"/>
      <c r="H566" s="13"/>
      <c r="I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ht="14.25" customHeight="1">
      <c r="A567" s="13"/>
      <c r="B567" s="13"/>
      <c r="C567" s="13"/>
      <c r="D567" s="13"/>
      <c r="E567" s="13"/>
      <c r="F567" s="75"/>
      <c r="G567" s="13"/>
      <c r="H567" s="13"/>
      <c r="I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ht="14.25" customHeight="1">
      <c r="A568" s="13"/>
      <c r="B568" s="13"/>
      <c r="C568" s="13"/>
      <c r="D568" s="13"/>
      <c r="E568" s="13"/>
      <c r="F568" s="75"/>
      <c r="G568" s="13"/>
      <c r="H568" s="13"/>
      <c r="I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ht="14.25" customHeight="1">
      <c r="A569" s="13"/>
      <c r="B569" s="13"/>
      <c r="C569" s="13"/>
      <c r="D569" s="13"/>
      <c r="E569" s="13"/>
      <c r="F569" s="75"/>
      <c r="G569" s="13"/>
      <c r="H569" s="13"/>
      <c r="I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ht="14.25" customHeight="1">
      <c r="A570" s="13"/>
      <c r="B570" s="13"/>
      <c r="C570" s="13"/>
      <c r="D570" s="13"/>
      <c r="E570" s="13"/>
      <c r="F570" s="75"/>
      <c r="G570" s="13"/>
      <c r="H570" s="13"/>
      <c r="I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ht="14.25" customHeight="1">
      <c r="A571" s="13"/>
      <c r="B571" s="13"/>
      <c r="C571" s="13"/>
      <c r="D571" s="13"/>
      <c r="E571" s="13"/>
      <c r="F571" s="75"/>
      <c r="G571" s="13"/>
      <c r="H571" s="13"/>
      <c r="I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ht="14.25" customHeight="1">
      <c r="A572" s="13"/>
      <c r="B572" s="13"/>
      <c r="C572" s="13"/>
      <c r="D572" s="13"/>
      <c r="E572" s="13"/>
      <c r="F572" s="75"/>
      <c r="G572" s="13"/>
      <c r="H572" s="13"/>
      <c r="I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ht="14.25" customHeight="1">
      <c r="A573" s="13"/>
      <c r="B573" s="13"/>
      <c r="C573" s="13"/>
      <c r="D573" s="13"/>
      <c r="E573" s="13"/>
      <c r="F573" s="75"/>
      <c r="G573" s="13"/>
      <c r="H573" s="13"/>
      <c r="I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ht="14.25" customHeight="1">
      <c r="A574" s="13"/>
      <c r="B574" s="13"/>
      <c r="C574" s="13"/>
      <c r="D574" s="13"/>
      <c r="E574" s="13"/>
      <c r="F574" s="75"/>
      <c r="G574" s="13"/>
      <c r="H574" s="13"/>
      <c r="I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ht="14.25" customHeight="1">
      <c r="A575" s="13"/>
      <c r="B575" s="13"/>
      <c r="C575" s="13"/>
      <c r="D575" s="13"/>
      <c r="E575" s="13"/>
      <c r="F575" s="75"/>
      <c r="G575" s="13"/>
      <c r="H575" s="13"/>
      <c r="I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ht="14.25" customHeight="1">
      <c r="A576" s="13"/>
      <c r="B576" s="13"/>
      <c r="C576" s="13"/>
      <c r="D576" s="13"/>
      <c r="E576" s="13"/>
      <c r="F576" s="75"/>
      <c r="G576" s="13"/>
      <c r="H576" s="13"/>
      <c r="I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ht="14.25" customHeight="1">
      <c r="A577" s="13"/>
      <c r="B577" s="13"/>
      <c r="C577" s="13"/>
      <c r="D577" s="13"/>
      <c r="E577" s="13"/>
      <c r="F577" s="75"/>
      <c r="G577" s="13"/>
      <c r="H577" s="13"/>
      <c r="I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ht="14.25" customHeight="1">
      <c r="A578" s="13"/>
      <c r="B578" s="13"/>
      <c r="C578" s="13"/>
      <c r="D578" s="13"/>
      <c r="E578" s="13"/>
      <c r="F578" s="75"/>
      <c r="G578" s="13"/>
      <c r="H578" s="13"/>
      <c r="I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ht="14.25" customHeight="1">
      <c r="A579" s="13"/>
      <c r="B579" s="13"/>
      <c r="C579" s="13"/>
      <c r="D579" s="13"/>
      <c r="E579" s="13"/>
      <c r="F579" s="75"/>
      <c r="G579" s="13"/>
      <c r="H579" s="13"/>
      <c r="I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ht="14.25" customHeight="1">
      <c r="A580" s="13"/>
      <c r="B580" s="13"/>
      <c r="C580" s="13"/>
      <c r="D580" s="13"/>
      <c r="E580" s="13"/>
      <c r="F580" s="75"/>
      <c r="G580" s="13"/>
      <c r="H580" s="13"/>
      <c r="I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ht="14.25" customHeight="1">
      <c r="A581" s="13"/>
      <c r="B581" s="13"/>
      <c r="C581" s="13"/>
      <c r="D581" s="13"/>
      <c r="E581" s="13"/>
      <c r="F581" s="75"/>
      <c r="G581" s="13"/>
      <c r="H581" s="13"/>
      <c r="I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ht="14.25" customHeight="1">
      <c r="A582" s="13"/>
      <c r="B582" s="13"/>
      <c r="C582" s="13"/>
      <c r="D582" s="13"/>
      <c r="E582" s="13"/>
      <c r="F582" s="75"/>
      <c r="G582" s="13"/>
      <c r="H582" s="13"/>
      <c r="I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ht="14.25" customHeight="1">
      <c r="A583" s="13"/>
      <c r="B583" s="13"/>
      <c r="C583" s="13"/>
      <c r="D583" s="13"/>
      <c r="E583" s="13"/>
      <c r="F583" s="75"/>
      <c r="G583" s="13"/>
      <c r="H583" s="13"/>
      <c r="I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ht="14.25" customHeight="1">
      <c r="A584" s="13"/>
      <c r="B584" s="13"/>
      <c r="C584" s="13"/>
      <c r="D584" s="13"/>
      <c r="E584" s="13"/>
      <c r="F584" s="75"/>
      <c r="G584" s="13"/>
      <c r="H584" s="13"/>
      <c r="I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ht="14.25" customHeight="1">
      <c r="A585" s="13"/>
      <c r="B585" s="13"/>
      <c r="C585" s="13"/>
      <c r="D585" s="13"/>
      <c r="E585" s="13"/>
      <c r="F585" s="75"/>
      <c r="G585" s="13"/>
      <c r="H585" s="13"/>
      <c r="I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ht="14.25" customHeight="1">
      <c r="A586" s="13"/>
      <c r="B586" s="13"/>
      <c r="C586" s="13"/>
      <c r="D586" s="13"/>
      <c r="E586" s="13"/>
      <c r="F586" s="75"/>
      <c r="G586" s="13"/>
      <c r="H586" s="13"/>
      <c r="I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ht="14.25" customHeight="1">
      <c r="A587" s="13"/>
      <c r="B587" s="13"/>
      <c r="C587" s="13"/>
      <c r="D587" s="13"/>
      <c r="E587" s="13"/>
      <c r="F587" s="75"/>
      <c r="G587" s="13"/>
      <c r="H587" s="13"/>
      <c r="I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ht="14.25" customHeight="1">
      <c r="A588" s="13"/>
      <c r="B588" s="13"/>
      <c r="C588" s="13"/>
      <c r="D588" s="13"/>
      <c r="E588" s="13"/>
      <c r="F588" s="75"/>
      <c r="G588" s="13"/>
      <c r="H588" s="13"/>
      <c r="I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ht="14.25" customHeight="1">
      <c r="A589" s="13"/>
      <c r="B589" s="13"/>
      <c r="C589" s="13"/>
      <c r="D589" s="13"/>
      <c r="E589" s="13"/>
      <c r="F589" s="75"/>
      <c r="G589" s="13"/>
      <c r="H589" s="13"/>
      <c r="I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ht="14.25" customHeight="1">
      <c r="A590" s="13"/>
      <c r="B590" s="13"/>
      <c r="C590" s="13"/>
      <c r="D590" s="13"/>
      <c r="E590" s="13"/>
      <c r="F590" s="75"/>
      <c r="G590" s="13"/>
      <c r="H590" s="13"/>
      <c r="I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ht="14.25" customHeight="1">
      <c r="A591" s="13"/>
      <c r="B591" s="13"/>
      <c r="C591" s="13"/>
      <c r="D591" s="13"/>
      <c r="E591" s="13"/>
      <c r="F591" s="75"/>
      <c r="G591" s="13"/>
      <c r="H591" s="13"/>
      <c r="I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ht="14.25" customHeight="1">
      <c r="A592" s="13"/>
      <c r="B592" s="13"/>
      <c r="C592" s="13"/>
      <c r="D592" s="13"/>
      <c r="E592" s="13"/>
      <c r="F592" s="75"/>
      <c r="G592" s="13"/>
      <c r="H592" s="13"/>
      <c r="I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ht="14.25" customHeight="1">
      <c r="A593" s="13"/>
      <c r="B593" s="13"/>
      <c r="C593" s="13"/>
      <c r="D593" s="13"/>
      <c r="E593" s="13"/>
      <c r="F593" s="75"/>
      <c r="G593" s="13"/>
      <c r="H593" s="13"/>
      <c r="I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ht="14.25" customHeight="1">
      <c r="A594" s="13"/>
      <c r="B594" s="13"/>
      <c r="C594" s="13"/>
      <c r="D594" s="13"/>
      <c r="E594" s="13"/>
      <c r="F594" s="75"/>
      <c r="G594" s="13"/>
      <c r="H594" s="13"/>
      <c r="I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ht="14.25" customHeight="1">
      <c r="A595" s="13"/>
      <c r="B595" s="13"/>
      <c r="C595" s="13"/>
      <c r="D595" s="13"/>
      <c r="E595" s="13"/>
      <c r="F595" s="75"/>
      <c r="G595" s="13"/>
      <c r="H595" s="13"/>
      <c r="I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ht="14.25" customHeight="1">
      <c r="A596" s="13"/>
      <c r="B596" s="13"/>
      <c r="C596" s="13"/>
      <c r="D596" s="13"/>
      <c r="E596" s="13"/>
      <c r="F596" s="75"/>
      <c r="G596" s="13"/>
      <c r="H596" s="13"/>
      <c r="I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ht="14.25" customHeight="1">
      <c r="A597" s="13"/>
      <c r="B597" s="13"/>
      <c r="C597" s="13"/>
      <c r="D597" s="13"/>
      <c r="E597" s="13"/>
      <c r="F597" s="75"/>
      <c r="G597" s="13"/>
      <c r="H597" s="13"/>
      <c r="I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ht="14.25" customHeight="1">
      <c r="A598" s="13"/>
      <c r="B598" s="13"/>
      <c r="C598" s="13"/>
      <c r="D598" s="13"/>
      <c r="E598" s="13"/>
      <c r="F598" s="75"/>
      <c r="G598" s="13"/>
      <c r="H598" s="13"/>
      <c r="I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ht="14.25" customHeight="1">
      <c r="A599" s="13"/>
      <c r="B599" s="13"/>
      <c r="C599" s="13"/>
      <c r="D599" s="13"/>
      <c r="E599" s="13"/>
      <c r="F599" s="75"/>
      <c r="G599" s="13"/>
      <c r="H599" s="13"/>
      <c r="I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ht="14.25" customHeight="1">
      <c r="A600" s="13"/>
      <c r="B600" s="13"/>
      <c r="C600" s="13"/>
      <c r="D600" s="13"/>
      <c r="E600" s="13"/>
      <c r="F600" s="75"/>
      <c r="G600" s="13"/>
      <c r="H600" s="13"/>
      <c r="I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ht="14.25" customHeight="1">
      <c r="A601" s="13"/>
      <c r="B601" s="13"/>
      <c r="C601" s="13"/>
      <c r="D601" s="13"/>
      <c r="E601" s="13"/>
      <c r="F601" s="75"/>
      <c r="G601" s="13"/>
      <c r="H601" s="13"/>
      <c r="I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ht="14.25" customHeight="1">
      <c r="A602" s="13"/>
      <c r="B602" s="13"/>
      <c r="C602" s="13"/>
      <c r="D602" s="13"/>
      <c r="E602" s="13"/>
      <c r="F602" s="75"/>
      <c r="G602" s="13"/>
      <c r="H602" s="13"/>
      <c r="I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ht="14.25" customHeight="1">
      <c r="A603" s="13"/>
      <c r="B603" s="13"/>
      <c r="C603" s="13"/>
      <c r="D603" s="13"/>
      <c r="E603" s="13"/>
      <c r="F603" s="75"/>
      <c r="G603" s="13"/>
      <c r="H603" s="13"/>
      <c r="I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ht="14.25" customHeight="1">
      <c r="A604" s="13"/>
      <c r="B604" s="13"/>
      <c r="C604" s="13"/>
      <c r="D604" s="13"/>
      <c r="E604" s="13"/>
      <c r="F604" s="75"/>
      <c r="G604" s="13"/>
      <c r="H604" s="13"/>
      <c r="I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ht="14.25" customHeight="1">
      <c r="A605" s="13"/>
      <c r="B605" s="13"/>
      <c r="C605" s="13"/>
      <c r="D605" s="13"/>
      <c r="E605" s="13"/>
      <c r="F605" s="75"/>
      <c r="G605" s="13"/>
      <c r="H605" s="13"/>
      <c r="I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ht="14.25" customHeight="1">
      <c r="A606" s="13"/>
      <c r="B606" s="13"/>
      <c r="C606" s="13"/>
      <c r="D606" s="13"/>
      <c r="E606" s="13"/>
      <c r="F606" s="75"/>
      <c r="G606" s="13"/>
      <c r="H606" s="13"/>
      <c r="I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ht="14.25" customHeight="1">
      <c r="A607" s="13"/>
      <c r="B607" s="13"/>
      <c r="C607" s="13"/>
      <c r="D607" s="13"/>
      <c r="E607" s="13"/>
      <c r="F607" s="75"/>
      <c r="G607" s="13"/>
      <c r="H607" s="13"/>
      <c r="I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ht="14.25" customHeight="1">
      <c r="A608" s="13"/>
      <c r="B608" s="13"/>
      <c r="C608" s="13"/>
      <c r="D608" s="13"/>
      <c r="E608" s="13"/>
      <c r="F608" s="75"/>
      <c r="G608" s="13"/>
      <c r="H608" s="13"/>
      <c r="I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ht="14.25" customHeight="1">
      <c r="A609" s="13"/>
      <c r="B609" s="13"/>
      <c r="C609" s="13"/>
      <c r="D609" s="13"/>
      <c r="E609" s="13"/>
      <c r="F609" s="75"/>
      <c r="G609" s="13"/>
      <c r="H609" s="13"/>
      <c r="I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ht="14.25" customHeight="1">
      <c r="A610" s="13"/>
      <c r="B610" s="13"/>
      <c r="C610" s="13"/>
      <c r="D610" s="13"/>
      <c r="E610" s="13"/>
      <c r="F610" s="75"/>
      <c r="G610" s="13"/>
      <c r="H610" s="13"/>
      <c r="I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ht="14.25" customHeight="1">
      <c r="A611" s="13"/>
      <c r="B611" s="13"/>
      <c r="C611" s="13"/>
      <c r="D611" s="13"/>
      <c r="E611" s="13"/>
      <c r="F611" s="75"/>
      <c r="G611" s="13"/>
      <c r="H611" s="13"/>
      <c r="I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ht="14.25" customHeight="1">
      <c r="A612" s="13"/>
      <c r="B612" s="13"/>
      <c r="C612" s="13"/>
      <c r="D612" s="13"/>
      <c r="E612" s="13"/>
      <c r="F612" s="75"/>
      <c r="G612" s="13"/>
      <c r="H612" s="13"/>
      <c r="I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ht="14.25" customHeight="1">
      <c r="A613" s="13"/>
      <c r="B613" s="13"/>
      <c r="C613" s="13"/>
      <c r="D613" s="13"/>
      <c r="E613" s="13"/>
      <c r="F613" s="75"/>
      <c r="G613" s="13"/>
      <c r="H613" s="13"/>
      <c r="I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ht="14.25" customHeight="1">
      <c r="A614" s="13"/>
      <c r="B614" s="13"/>
      <c r="C614" s="13"/>
      <c r="D614" s="13"/>
      <c r="E614" s="13"/>
      <c r="F614" s="75"/>
      <c r="G614" s="13"/>
      <c r="H614" s="13"/>
      <c r="I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ht="14.25" customHeight="1">
      <c r="A615" s="13"/>
      <c r="B615" s="13"/>
      <c r="C615" s="13"/>
      <c r="D615" s="13"/>
      <c r="E615" s="13"/>
      <c r="F615" s="75"/>
      <c r="G615" s="13"/>
      <c r="H615" s="13"/>
      <c r="I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ht="14.25" customHeight="1">
      <c r="A616" s="13"/>
      <c r="B616" s="13"/>
      <c r="C616" s="13"/>
      <c r="D616" s="13"/>
      <c r="E616" s="13"/>
      <c r="F616" s="75"/>
      <c r="G616" s="13"/>
      <c r="H616" s="13"/>
      <c r="I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ht="14.25" customHeight="1">
      <c r="A617" s="13"/>
      <c r="B617" s="13"/>
      <c r="C617" s="13"/>
      <c r="D617" s="13"/>
      <c r="E617" s="13"/>
      <c r="F617" s="75"/>
      <c r="G617" s="13"/>
      <c r="H617" s="13"/>
      <c r="I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ht="14.25" customHeight="1">
      <c r="A618" s="13"/>
      <c r="B618" s="13"/>
      <c r="C618" s="13"/>
      <c r="D618" s="13"/>
      <c r="E618" s="13"/>
      <c r="F618" s="75"/>
      <c r="G618" s="13"/>
      <c r="H618" s="13"/>
      <c r="I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ht="14.25" customHeight="1">
      <c r="A619" s="13"/>
      <c r="B619" s="13"/>
      <c r="C619" s="13"/>
      <c r="D619" s="13"/>
      <c r="E619" s="13"/>
      <c r="F619" s="75"/>
      <c r="G619" s="13"/>
      <c r="H619" s="13"/>
      <c r="I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ht="14.25" customHeight="1">
      <c r="A620" s="13"/>
      <c r="B620" s="13"/>
      <c r="C620" s="13"/>
      <c r="D620" s="13"/>
      <c r="E620" s="13"/>
      <c r="F620" s="75"/>
      <c r="G620" s="13"/>
      <c r="H620" s="13"/>
      <c r="I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ht="14.25" customHeight="1">
      <c r="A621" s="13"/>
      <c r="B621" s="13"/>
      <c r="C621" s="13"/>
      <c r="D621" s="13"/>
      <c r="E621" s="13"/>
      <c r="F621" s="75"/>
      <c r="G621" s="13"/>
      <c r="H621" s="13"/>
      <c r="I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ht="14.25" customHeight="1">
      <c r="A622" s="13"/>
      <c r="B622" s="13"/>
      <c r="C622" s="13"/>
      <c r="D622" s="13"/>
      <c r="E622" s="13"/>
      <c r="F622" s="75"/>
      <c r="G622" s="13"/>
      <c r="H622" s="13"/>
      <c r="I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ht="14.25" customHeight="1">
      <c r="A623" s="13"/>
      <c r="B623" s="13"/>
      <c r="C623" s="13"/>
      <c r="D623" s="13"/>
      <c r="E623" s="13"/>
      <c r="F623" s="75"/>
      <c r="G623" s="13"/>
      <c r="H623" s="13"/>
      <c r="I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ht="14.25" customHeight="1">
      <c r="A624" s="13"/>
      <c r="B624" s="13"/>
      <c r="C624" s="13"/>
      <c r="D624" s="13"/>
      <c r="E624" s="13"/>
      <c r="F624" s="75"/>
      <c r="G624" s="13"/>
      <c r="H624" s="13"/>
      <c r="I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ht="14.25" customHeight="1">
      <c r="A625" s="13"/>
      <c r="B625" s="13"/>
      <c r="C625" s="13"/>
      <c r="D625" s="13"/>
      <c r="E625" s="13"/>
      <c r="F625" s="75"/>
      <c r="G625" s="13"/>
      <c r="H625" s="13"/>
      <c r="I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ht="14.25" customHeight="1">
      <c r="A626" s="13"/>
      <c r="B626" s="13"/>
      <c r="C626" s="13"/>
      <c r="D626" s="13"/>
      <c r="E626" s="13"/>
      <c r="F626" s="75"/>
      <c r="G626" s="13"/>
      <c r="H626" s="13"/>
      <c r="I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ht="14.25" customHeight="1">
      <c r="A627" s="13"/>
      <c r="B627" s="13"/>
      <c r="C627" s="13"/>
      <c r="D627" s="13"/>
      <c r="E627" s="13"/>
      <c r="F627" s="75"/>
      <c r="G627" s="13"/>
      <c r="H627" s="13"/>
      <c r="I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ht="14.25" customHeight="1">
      <c r="A628" s="13"/>
      <c r="B628" s="13"/>
      <c r="C628" s="13"/>
      <c r="D628" s="13"/>
      <c r="E628" s="13"/>
      <c r="F628" s="75"/>
      <c r="G628" s="13"/>
      <c r="H628" s="13"/>
      <c r="I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ht="14.25" customHeight="1">
      <c r="A629" s="13"/>
      <c r="B629" s="13"/>
      <c r="C629" s="13"/>
      <c r="D629" s="13"/>
      <c r="E629" s="13"/>
      <c r="F629" s="75"/>
      <c r="G629" s="13"/>
      <c r="H629" s="13"/>
      <c r="I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ht="14.25" customHeight="1">
      <c r="A630" s="13"/>
      <c r="B630" s="13"/>
      <c r="C630" s="13"/>
      <c r="D630" s="13"/>
      <c r="E630" s="13"/>
      <c r="F630" s="75"/>
      <c r="G630" s="13"/>
      <c r="H630" s="13"/>
      <c r="I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ht="14.25" customHeight="1">
      <c r="A631" s="13"/>
      <c r="B631" s="13"/>
      <c r="C631" s="13"/>
      <c r="D631" s="13"/>
      <c r="E631" s="13"/>
      <c r="F631" s="75"/>
      <c r="G631" s="13"/>
      <c r="H631" s="13"/>
      <c r="I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ht="14.25" customHeight="1">
      <c r="A632" s="13"/>
      <c r="B632" s="13"/>
      <c r="C632" s="13"/>
      <c r="D632" s="13"/>
      <c r="E632" s="13"/>
      <c r="F632" s="75"/>
      <c r="G632" s="13"/>
      <c r="H632" s="13"/>
      <c r="I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ht="14.25" customHeight="1">
      <c r="A633" s="13"/>
      <c r="B633" s="13"/>
      <c r="C633" s="13"/>
      <c r="D633" s="13"/>
      <c r="E633" s="13"/>
      <c r="F633" s="75"/>
      <c r="G633" s="13"/>
      <c r="H633" s="13"/>
      <c r="I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ht="14.25" customHeight="1">
      <c r="A634" s="13"/>
      <c r="B634" s="13"/>
      <c r="C634" s="13"/>
      <c r="D634" s="13"/>
      <c r="E634" s="13"/>
      <c r="F634" s="75"/>
      <c r="G634" s="13"/>
      <c r="H634" s="13"/>
      <c r="I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ht="14.25" customHeight="1">
      <c r="A635" s="13"/>
      <c r="B635" s="13"/>
      <c r="C635" s="13"/>
      <c r="D635" s="13"/>
      <c r="E635" s="13"/>
      <c r="F635" s="75"/>
      <c r="G635" s="13"/>
      <c r="H635" s="13"/>
      <c r="I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ht="14.25" customHeight="1">
      <c r="A636" s="13"/>
      <c r="B636" s="13"/>
      <c r="C636" s="13"/>
      <c r="D636" s="13"/>
      <c r="E636" s="13"/>
      <c r="F636" s="75"/>
      <c r="G636" s="13"/>
      <c r="H636" s="13"/>
      <c r="I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ht="14.25" customHeight="1">
      <c r="A637" s="13"/>
      <c r="B637" s="13"/>
      <c r="C637" s="13"/>
      <c r="D637" s="13"/>
      <c r="E637" s="13"/>
      <c r="F637" s="75"/>
      <c r="G637" s="13"/>
      <c r="H637" s="13"/>
      <c r="I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ht="14.25" customHeight="1">
      <c r="A638" s="13"/>
      <c r="B638" s="13"/>
      <c r="C638" s="13"/>
      <c r="D638" s="13"/>
      <c r="E638" s="13"/>
      <c r="F638" s="75"/>
      <c r="G638" s="13"/>
      <c r="H638" s="13"/>
      <c r="I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ht="14.25" customHeight="1">
      <c r="A639" s="13"/>
      <c r="B639" s="13"/>
      <c r="C639" s="13"/>
      <c r="D639" s="13"/>
      <c r="E639" s="13"/>
      <c r="F639" s="75"/>
      <c r="G639" s="13"/>
      <c r="H639" s="13"/>
      <c r="I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ht="14.25" customHeight="1">
      <c r="A640" s="13"/>
      <c r="B640" s="13"/>
      <c r="C640" s="13"/>
      <c r="D640" s="13"/>
      <c r="E640" s="13"/>
      <c r="F640" s="75"/>
      <c r="G640" s="13"/>
      <c r="H640" s="13"/>
      <c r="I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ht="14.25" customHeight="1">
      <c r="A641" s="13"/>
      <c r="B641" s="13"/>
      <c r="C641" s="13"/>
      <c r="D641" s="13"/>
      <c r="E641" s="13"/>
      <c r="F641" s="75"/>
      <c r="G641" s="13"/>
      <c r="H641" s="13"/>
      <c r="I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ht="14.25" customHeight="1">
      <c r="A642" s="13"/>
      <c r="B642" s="13"/>
      <c r="C642" s="13"/>
      <c r="D642" s="13"/>
      <c r="E642" s="13"/>
      <c r="F642" s="75"/>
      <c r="G642" s="13"/>
      <c r="H642" s="13"/>
      <c r="I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ht="14.25" customHeight="1">
      <c r="A643" s="13"/>
      <c r="B643" s="13"/>
      <c r="C643" s="13"/>
      <c r="D643" s="13"/>
      <c r="E643" s="13"/>
      <c r="F643" s="75"/>
      <c r="G643" s="13"/>
      <c r="H643" s="13"/>
      <c r="I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ht="14.25" customHeight="1">
      <c r="A644" s="13"/>
      <c r="B644" s="13"/>
      <c r="C644" s="13"/>
      <c r="D644" s="13"/>
      <c r="E644" s="13"/>
      <c r="F644" s="75"/>
      <c r="G644" s="13"/>
      <c r="H644" s="13"/>
      <c r="I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ht="14.25" customHeight="1">
      <c r="A645" s="13"/>
      <c r="B645" s="13"/>
      <c r="C645" s="13"/>
      <c r="D645" s="13"/>
      <c r="E645" s="13"/>
      <c r="F645" s="75"/>
      <c r="G645" s="13"/>
      <c r="H645" s="13"/>
      <c r="I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ht="14.25" customHeight="1">
      <c r="A646" s="13"/>
      <c r="B646" s="13"/>
      <c r="C646" s="13"/>
      <c r="D646" s="13"/>
      <c r="E646" s="13"/>
      <c r="F646" s="75"/>
      <c r="G646" s="13"/>
      <c r="H646" s="13"/>
      <c r="I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ht="14.25" customHeight="1">
      <c r="A647" s="13"/>
      <c r="B647" s="13"/>
      <c r="C647" s="13"/>
      <c r="D647" s="13"/>
      <c r="E647" s="13"/>
      <c r="F647" s="75"/>
      <c r="G647" s="13"/>
      <c r="H647" s="13"/>
      <c r="I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ht="14.25" customHeight="1">
      <c r="A648" s="13"/>
      <c r="B648" s="13"/>
      <c r="C648" s="13"/>
      <c r="D648" s="13"/>
      <c r="E648" s="13"/>
      <c r="F648" s="75"/>
      <c r="G648" s="13"/>
      <c r="H648" s="13"/>
      <c r="I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ht="14.25" customHeight="1">
      <c r="A649" s="13"/>
      <c r="B649" s="13"/>
      <c r="C649" s="13"/>
      <c r="D649" s="13"/>
      <c r="E649" s="13"/>
      <c r="F649" s="75"/>
      <c r="G649" s="13"/>
      <c r="H649" s="13"/>
      <c r="I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ht="14.25" customHeight="1">
      <c r="A650" s="13"/>
      <c r="B650" s="13"/>
      <c r="C650" s="13"/>
      <c r="D650" s="13"/>
      <c r="E650" s="13"/>
      <c r="F650" s="75"/>
      <c r="G650" s="13"/>
      <c r="H650" s="13"/>
      <c r="I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ht="14.25" customHeight="1">
      <c r="A651" s="13"/>
      <c r="B651" s="13"/>
      <c r="C651" s="13"/>
      <c r="D651" s="13"/>
      <c r="E651" s="13"/>
      <c r="F651" s="75"/>
      <c r="G651" s="13"/>
      <c r="H651" s="13"/>
      <c r="I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ht="14.25" customHeight="1">
      <c r="A652" s="13"/>
      <c r="B652" s="13"/>
      <c r="C652" s="13"/>
      <c r="D652" s="13"/>
      <c r="E652" s="13"/>
      <c r="F652" s="75"/>
      <c r="G652" s="13"/>
      <c r="H652" s="13"/>
      <c r="I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ht="14.25" customHeight="1">
      <c r="A653" s="13"/>
      <c r="B653" s="13"/>
      <c r="C653" s="13"/>
      <c r="D653" s="13"/>
      <c r="E653" s="13"/>
      <c r="F653" s="75"/>
      <c r="G653" s="13"/>
      <c r="H653" s="13"/>
      <c r="I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ht="14.25" customHeight="1">
      <c r="A654" s="13"/>
      <c r="B654" s="13"/>
      <c r="C654" s="13"/>
      <c r="D654" s="13"/>
      <c r="E654" s="13"/>
      <c r="F654" s="75"/>
      <c r="G654" s="13"/>
      <c r="H654" s="13"/>
      <c r="I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ht="14.25" customHeight="1">
      <c r="A655" s="13"/>
      <c r="B655" s="13"/>
      <c r="C655" s="13"/>
      <c r="D655" s="13"/>
      <c r="E655" s="13"/>
      <c r="F655" s="75"/>
      <c r="G655" s="13"/>
      <c r="H655" s="13"/>
      <c r="I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ht="14.25" customHeight="1">
      <c r="A656" s="13"/>
      <c r="B656" s="13"/>
      <c r="C656" s="13"/>
      <c r="D656" s="13"/>
      <c r="E656" s="13"/>
      <c r="F656" s="75"/>
      <c r="G656" s="13"/>
      <c r="H656" s="13"/>
      <c r="I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ht="14.25" customHeight="1">
      <c r="A657" s="13"/>
      <c r="B657" s="13"/>
      <c r="C657" s="13"/>
      <c r="D657" s="13"/>
      <c r="E657" s="13"/>
      <c r="F657" s="75"/>
      <c r="G657" s="13"/>
      <c r="H657" s="13"/>
      <c r="I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ht="14.25" customHeight="1">
      <c r="A658" s="13"/>
      <c r="B658" s="13"/>
      <c r="C658" s="13"/>
      <c r="D658" s="13"/>
      <c r="E658" s="13"/>
      <c r="F658" s="75"/>
      <c r="G658" s="13"/>
      <c r="H658" s="13"/>
      <c r="I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ht="14.25" customHeight="1">
      <c r="A659" s="13"/>
      <c r="B659" s="13"/>
      <c r="C659" s="13"/>
      <c r="D659" s="13"/>
      <c r="E659" s="13"/>
      <c r="F659" s="75"/>
      <c r="G659" s="13"/>
      <c r="H659" s="13"/>
      <c r="I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ht="14.25" customHeight="1">
      <c r="A660" s="13"/>
      <c r="B660" s="13"/>
      <c r="C660" s="13"/>
      <c r="D660" s="13"/>
      <c r="E660" s="13"/>
      <c r="F660" s="75"/>
      <c r="G660" s="13"/>
      <c r="H660" s="13"/>
      <c r="I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ht="14.25" customHeight="1">
      <c r="A661" s="13"/>
      <c r="B661" s="13"/>
      <c r="C661" s="13"/>
      <c r="D661" s="13"/>
      <c r="E661" s="13"/>
      <c r="F661" s="75"/>
      <c r="G661" s="13"/>
      <c r="H661" s="13"/>
      <c r="I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ht="14.25" customHeight="1">
      <c r="A662" s="13"/>
      <c r="B662" s="13"/>
      <c r="C662" s="13"/>
      <c r="D662" s="13"/>
      <c r="E662" s="13"/>
      <c r="F662" s="75"/>
      <c r="G662" s="13"/>
      <c r="H662" s="13"/>
      <c r="I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ht="14.25" customHeight="1">
      <c r="A663" s="13"/>
      <c r="B663" s="13"/>
      <c r="C663" s="13"/>
      <c r="D663" s="13"/>
      <c r="E663" s="13"/>
      <c r="F663" s="75"/>
      <c r="G663" s="13"/>
      <c r="H663" s="13"/>
      <c r="I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ht="14.25" customHeight="1">
      <c r="A664" s="13"/>
      <c r="B664" s="13"/>
      <c r="C664" s="13"/>
      <c r="D664" s="13"/>
      <c r="E664" s="13"/>
      <c r="F664" s="75"/>
      <c r="G664" s="13"/>
      <c r="H664" s="13"/>
      <c r="I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ht="14.25" customHeight="1">
      <c r="A665" s="13"/>
      <c r="B665" s="13"/>
      <c r="C665" s="13"/>
      <c r="D665" s="13"/>
      <c r="E665" s="13"/>
      <c r="F665" s="75"/>
      <c r="G665" s="13"/>
      <c r="H665" s="13"/>
      <c r="I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ht="14.25" customHeight="1">
      <c r="A666" s="13"/>
      <c r="B666" s="13"/>
      <c r="C666" s="13"/>
      <c r="D666" s="13"/>
      <c r="E666" s="13"/>
      <c r="F666" s="75"/>
      <c r="G666" s="13"/>
      <c r="H666" s="13"/>
      <c r="I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ht="14.25" customHeight="1">
      <c r="A667" s="13"/>
      <c r="B667" s="13"/>
      <c r="C667" s="13"/>
      <c r="D667" s="13"/>
      <c r="E667" s="13"/>
      <c r="F667" s="75"/>
      <c r="G667" s="13"/>
      <c r="H667" s="13"/>
      <c r="I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ht="14.25" customHeight="1">
      <c r="A668" s="13"/>
      <c r="B668" s="13"/>
      <c r="C668" s="13"/>
      <c r="D668" s="13"/>
      <c r="E668" s="13"/>
      <c r="F668" s="75"/>
      <c r="G668" s="13"/>
      <c r="H668" s="13"/>
      <c r="I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ht="14.25" customHeight="1">
      <c r="A669" s="13"/>
      <c r="B669" s="13"/>
      <c r="C669" s="13"/>
      <c r="D669" s="13"/>
      <c r="E669" s="13"/>
      <c r="F669" s="75"/>
      <c r="G669" s="13"/>
      <c r="H669" s="13"/>
      <c r="I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ht="14.25" customHeight="1">
      <c r="A670" s="13"/>
      <c r="B670" s="13"/>
      <c r="C670" s="13"/>
      <c r="D670" s="13"/>
      <c r="E670" s="13"/>
      <c r="F670" s="75"/>
      <c r="G670" s="13"/>
      <c r="H670" s="13"/>
      <c r="I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ht="14.25" customHeight="1">
      <c r="A671" s="13"/>
      <c r="B671" s="13"/>
      <c r="C671" s="13"/>
      <c r="D671" s="13"/>
      <c r="E671" s="13"/>
      <c r="F671" s="75"/>
      <c r="G671" s="13"/>
      <c r="H671" s="13"/>
      <c r="I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ht="14.25" customHeight="1">
      <c r="A672" s="13"/>
      <c r="B672" s="13"/>
      <c r="C672" s="13"/>
      <c r="D672" s="13"/>
      <c r="E672" s="13"/>
      <c r="F672" s="75"/>
      <c r="G672" s="13"/>
      <c r="H672" s="13"/>
      <c r="I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ht="14.25" customHeight="1">
      <c r="A673" s="13"/>
      <c r="B673" s="13"/>
      <c r="C673" s="13"/>
      <c r="D673" s="13"/>
      <c r="E673" s="13"/>
      <c r="F673" s="75"/>
      <c r="G673" s="13"/>
      <c r="H673" s="13"/>
      <c r="I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ht="14.25" customHeight="1">
      <c r="A674" s="13"/>
      <c r="B674" s="13"/>
      <c r="C674" s="13"/>
      <c r="D674" s="13"/>
      <c r="E674" s="13"/>
      <c r="F674" s="75"/>
      <c r="G674" s="13"/>
      <c r="H674" s="13"/>
      <c r="I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ht="14.25" customHeight="1">
      <c r="A675" s="13"/>
      <c r="B675" s="13"/>
      <c r="C675" s="13"/>
      <c r="D675" s="13"/>
      <c r="E675" s="13"/>
      <c r="F675" s="75"/>
      <c r="G675" s="13"/>
      <c r="H675" s="13"/>
      <c r="I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ht="14.25" customHeight="1">
      <c r="A676" s="13"/>
      <c r="B676" s="13"/>
      <c r="C676" s="13"/>
      <c r="D676" s="13"/>
      <c r="E676" s="13"/>
      <c r="F676" s="75"/>
      <c r="G676" s="13"/>
      <c r="H676" s="13"/>
      <c r="I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ht="14.25" customHeight="1">
      <c r="A677" s="13"/>
      <c r="B677" s="13"/>
      <c r="C677" s="13"/>
      <c r="D677" s="13"/>
      <c r="E677" s="13"/>
      <c r="F677" s="75"/>
      <c r="G677" s="13"/>
      <c r="H677" s="13"/>
      <c r="I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ht="14.25" customHeight="1">
      <c r="A678" s="13"/>
      <c r="B678" s="13"/>
      <c r="C678" s="13"/>
      <c r="D678" s="13"/>
      <c r="E678" s="13"/>
      <c r="F678" s="75"/>
      <c r="G678" s="13"/>
      <c r="H678" s="13"/>
      <c r="I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ht="14.25" customHeight="1">
      <c r="A679" s="13"/>
      <c r="B679" s="13"/>
      <c r="C679" s="13"/>
      <c r="D679" s="13"/>
      <c r="E679" s="13"/>
      <c r="F679" s="75"/>
      <c r="G679" s="13"/>
      <c r="H679" s="13"/>
      <c r="I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ht="14.25" customHeight="1">
      <c r="A680" s="13"/>
      <c r="B680" s="13"/>
      <c r="C680" s="13"/>
      <c r="D680" s="13"/>
      <c r="E680" s="13"/>
      <c r="F680" s="75"/>
      <c r="G680" s="13"/>
      <c r="H680" s="13"/>
      <c r="I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ht="14.25" customHeight="1">
      <c r="A681" s="13"/>
      <c r="B681" s="13"/>
      <c r="C681" s="13"/>
      <c r="D681" s="13"/>
      <c r="E681" s="13"/>
      <c r="F681" s="75"/>
      <c r="G681" s="13"/>
      <c r="H681" s="13"/>
      <c r="I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ht="14.25" customHeight="1">
      <c r="A682" s="13"/>
      <c r="B682" s="13"/>
      <c r="C682" s="13"/>
      <c r="D682" s="13"/>
      <c r="E682" s="13"/>
      <c r="F682" s="75"/>
      <c r="G682" s="13"/>
      <c r="H682" s="13"/>
      <c r="I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ht="14.25" customHeight="1">
      <c r="A683" s="13"/>
      <c r="B683" s="13"/>
      <c r="C683" s="13"/>
      <c r="D683" s="13"/>
      <c r="E683" s="13"/>
      <c r="F683" s="75"/>
      <c r="G683" s="13"/>
      <c r="H683" s="13"/>
      <c r="I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ht="14.25" customHeight="1">
      <c r="A684" s="13"/>
      <c r="B684" s="13"/>
      <c r="C684" s="13"/>
      <c r="D684" s="13"/>
      <c r="E684" s="13"/>
      <c r="F684" s="75"/>
      <c r="G684" s="13"/>
      <c r="H684" s="13"/>
      <c r="I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ht="14.25" customHeight="1">
      <c r="A685" s="13"/>
      <c r="B685" s="13"/>
      <c r="C685" s="13"/>
      <c r="D685" s="13"/>
      <c r="E685" s="13"/>
      <c r="F685" s="75"/>
      <c r="G685" s="13"/>
      <c r="H685" s="13"/>
      <c r="I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ht="14.25" customHeight="1">
      <c r="A686" s="13"/>
      <c r="B686" s="13"/>
      <c r="C686" s="13"/>
      <c r="D686" s="13"/>
      <c r="E686" s="13"/>
      <c r="F686" s="75"/>
      <c r="G686" s="13"/>
      <c r="H686" s="13"/>
      <c r="I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ht="14.25" customHeight="1">
      <c r="A687" s="13"/>
      <c r="B687" s="13"/>
      <c r="C687" s="13"/>
      <c r="D687" s="13"/>
      <c r="E687" s="13"/>
      <c r="F687" s="75"/>
      <c r="G687" s="13"/>
      <c r="H687" s="13"/>
      <c r="I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ht="14.25" customHeight="1">
      <c r="A688" s="13"/>
      <c r="B688" s="13"/>
      <c r="C688" s="13"/>
      <c r="D688" s="13"/>
      <c r="E688" s="13"/>
      <c r="F688" s="75"/>
      <c r="G688" s="13"/>
      <c r="H688" s="13"/>
      <c r="I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ht="14.25" customHeight="1">
      <c r="A689" s="13"/>
      <c r="B689" s="13"/>
      <c r="C689" s="13"/>
      <c r="D689" s="13"/>
      <c r="E689" s="13"/>
      <c r="F689" s="75"/>
      <c r="G689" s="13"/>
      <c r="H689" s="13"/>
      <c r="I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ht="14.25" customHeight="1">
      <c r="A690" s="13"/>
      <c r="B690" s="13"/>
      <c r="C690" s="13"/>
      <c r="D690" s="13"/>
      <c r="E690" s="13"/>
      <c r="F690" s="75"/>
      <c r="G690" s="13"/>
      <c r="H690" s="13"/>
      <c r="I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ht="14.25" customHeight="1">
      <c r="A691" s="13"/>
      <c r="B691" s="13"/>
      <c r="C691" s="13"/>
      <c r="D691" s="13"/>
      <c r="E691" s="13"/>
      <c r="F691" s="75"/>
      <c r="G691" s="13"/>
      <c r="H691" s="13"/>
      <c r="I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ht="14.25" customHeight="1">
      <c r="A692" s="13"/>
      <c r="B692" s="13"/>
      <c r="C692" s="13"/>
      <c r="D692" s="13"/>
      <c r="E692" s="13"/>
      <c r="F692" s="75"/>
      <c r="G692" s="13"/>
      <c r="H692" s="13"/>
      <c r="I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ht="14.25" customHeight="1">
      <c r="A693" s="13"/>
      <c r="B693" s="13"/>
      <c r="C693" s="13"/>
      <c r="D693" s="13"/>
      <c r="E693" s="13"/>
      <c r="F693" s="75"/>
      <c r="G693" s="13"/>
      <c r="H693" s="13"/>
      <c r="I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ht="14.25" customHeight="1">
      <c r="A694" s="13"/>
      <c r="B694" s="13"/>
      <c r="C694" s="13"/>
      <c r="D694" s="13"/>
      <c r="E694" s="13"/>
      <c r="F694" s="75"/>
      <c r="G694" s="13"/>
      <c r="H694" s="13"/>
      <c r="I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ht="14.25" customHeight="1">
      <c r="A695" s="13"/>
      <c r="B695" s="13"/>
      <c r="C695" s="13"/>
      <c r="D695" s="13"/>
      <c r="E695" s="13"/>
      <c r="F695" s="75"/>
      <c r="G695" s="13"/>
      <c r="H695" s="13"/>
      <c r="I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ht="14.25" customHeight="1">
      <c r="A696" s="13"/>
      <c r="B696" s="13"/>
      <c r="C696" s="13"/>
      <c r="D696" s="13"/>
      <c r="E696" s="13"/>
      <c r="F696" s="75"/>
      <c r="G696" s="13"/>
      <c r="H696" s="13"/>
      <c r="I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ht="14.25" customHeight="1">
      <c r="A697" s="13"/>
      <c r="B697" s="13"/>
      <c r="C697" s="13"/>
      <c r="D697" s="13"/>
      <c r="E697" s="13"/>
      <c r="F697" s="75"/>
      <c r="G697" s="13"/>
      <c r="H697" s="13"/>
      <c r="I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ht="14.25" customHeight="1">
      <c r="A698" s="13"/>
      <c r="B698" s="13"/>
      <c r="C698" s="13"/>
      <c r="D698" s="13"/>
      <c r="E698" s="13"/>
      <c r="F698" s="75"/>
      <c r="G698" s="13"/>
      <c r="H698" s="13"/>
      <c r="I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ht="14.25" customHeight="1">
      <c r="A699" s="13"/>
      <c r="B699" s="13"/>
      <c r="C699" s="13"/>
      <c r="D699" s="13"/>
      <c r="E699" s="13"/>
      <c r="F699" s="75"/>
      <c r="G699" s="13"/>
      <c r="H699" s="13"/>
      <c r="I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ht="14.25" customHeight="1">
      <c r="A700" s="13"/>
      <c r="B700" s="13"/>
      <c r="C700" s="13"/>
      <c r="D700" s="13"/>
      <c r="E700" s="13"/>
      <c r="F700" s="75"/>
      <c r="G700" s="13"/>
      <c r="H700" s="13"/>
      <c r="I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ht="14.25" customHeight="1">
      <c r="A701" s="13"/>
      <c r="B701" s="13"/>
      <c r="C701" s="13"/>
      <c r="D701" s="13"/>
      <c r="E701" s="13"/>
      <c r="F701" s="75"/>
      <c r="G701" s="13"/>
      <c r="H701" s="13"/>
      <c r="I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ht="14.25" customHeight="1">
      <c r="A702" s="13"/>
      <c r="B702" s="13"/>
      <c r="C702" s="13"/>
      <c r="D702" s="13"/>
      <c r="E702" s="13"/>
      <c r="F702" s="75"/>
      <c r="G702" s="13"/>
      <c r="H702" s="13"/>
      <c r="I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ht="14.25" customHeight="1">
      <c r="A703" s="13"/>
      <c r="B703" s="13"/>
      <c r="C703" s="13"/>
      <c r="D703" s="13"/>
      <c r="E703" s="13"/>
      <c r="F703" s="75"/>
      <c r="G703" s="13"/>
      <c r="H703" s="13"/>
      <c r="I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ht="14.25" customHeight="1">
      <c r="A704" s="13"/>
      <c r="B704" s="13"/>
      <c r="C704" s="13"/>
      <c r="D704" s="13"/>
      <c r="E704" s="13"/>
      <c r="F704" s="75"/>
      <c r="G704" s="13"/>
      <c r="H704" s="13"/>
      <c r="I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ht="14.25" customHeight="1">
      <c r="A705" s="13"/>
      <c r="B705" s="13"/>
      <c r="C705" s="13"/>
      <c r="D705" s="13"/>
      <c r="E705" s="13"/>
      <c r="F705" s="75"/>
      <c r="G705" s="13"/>
      <c r="H705" s="13"/>
      <c r="I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ht="14.25" customHeight="1">
      <c r="A706" s="13"/>
      <c r="B706" s="13"/>
      <c r="C706" s="13"/>
      <c r="D706" s="13"/>
      <c r="E706" s="13"/>
      <c r="F706" s="75"/>
      <c r="G706" s="13"/>
      <c r="H706" s="13"/>
      <c r="I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ht="14.25" customHeight="1">
      <c r="A707" s="13"/>
      <c r="B707" s="13"/>
      <c r="C707" s="13"/>
      <c r="D707" s="13"/>
      <c r="E707" s="13"/>
      <c r="F707" s="75"/>
      <c r="G707" s="13"/>
      <c r="H707" s="13"/>
      <c r="I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ht="14.25" customHeight="1">
      <c r="A708" s="13"/>
      <c r="B708" s="13"/>
      <c r="C708" s="13"/>
      <c r="D708" s="13"/>
      <c r="E708" s="13"/>
      <c r="F708" s="75"/>
      <c r="G708" s="13"/>
      <c r="H708" s="13"/>
      <c r="I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ht="14.25" customHeight="1">
      <c r="A709" s="13"/>
      <c r="B709" s="13"/>
      <c r="C709" s="13"/>
      <c r="D709" s="13"/>
      <c r="E709" s="13"/>
      <c r="F709" s="75"/>
      <c r="G709" s="13"/>
      <c r="H709" s="13"/>
      <c r="I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ht="14.25" customHeight="1">
      <c r="A710" s="13"/>
      <c r="B710" s="13"/>
      <c r="C710" s="13"/>
      <c r="D710" s="13"/>
      <c r="E710" s="13"/>
      <c r="F710" s="75"/>
      <c r="G710" s="13"/>
      <c r="H710" s="13"/>
      <c r="I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ht="14.25" customHeight="1">
      <c r="A711" s="13"/>
      <c r="B711" s="13"/>
      <c r="C711" s="13"/>
      <c r="D711" s="13"/>
      <c r="E711" s="13"/>
      <c r="F711" s="75"/>
      <c r="G711" s="13"/>
      <c r="H711" s="13"/>
      <c r="I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ht="14.25" customHeight="1">
      <c r="A712" s="13"/>
      <c r="B712" s="13"/>
      <c r="C712" s="13"/>
      <c r="D712" s="13"/>
      <c r="E712" s="13"/>
      <c r="F712" s="75"/>
      <c r="G712" s="13"/>
      <c r="H712" s="13"/>
      <c r="I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ht="14.25" customHeight="1">
      <c r="A713" s="13"/>
      <c r="B713" s="13"/>
      <c r="C713" s="13"/>
      <c r="D713" s="13"/>
      <c r="E713" s="13"/>
      <c r="F713" s="75"/>
      <c r="G713" s="13"/>
      <c r="H713" s="13"/>
      <c r="I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ht="14.25" customHeight="1">
      <c r="A714" s="13"/>
      <c r="B714" s="13"/>
      <c r="C714" s="13"/>
      <c r="D714" s="13"/>
      <c r="E714" s="13"/>
      <c r="F714" s="75"/>
      <c r="G714" s="13"/>
      <c r="H714" s="13"/>
      <c r="I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ht="14.25" customHeight="1">
      <c r="A715" s="13"/>
      <c r="B715" s="13"/>
      <c r="C715" s="13"/>
      <c r="D715" s="13"/>
      <c r="E715" s="13"/>
      <c r="F715" s="75"/>
      <c r="G715" s="13"/>
      <c r="H715" s="13"/>
      <c r="I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ht="14.25" customHeight="1">
      <c r="A716" s="13"/>
      <c r="B716" s="13"/>
      <c r="C716" s="13"/>
      <c r="D716" s="13"/>
      <c r="E716" s="13"/>
      <c r="F716" s="75"/>
      <c r="G716" s="13"/>
      <c r="H716" s="13"/>
      <c r="I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ht="14.25" customHeight="1">
      <c r="A717" s="13"/>
      <c r="B717" s="13"/>
      <c r="C717" s="13"/>
      <c r="D717" s="13"/>
      <c r="E717" s="13"/>
      <c r="F717" s="75"/>
      <c r="G717" s="13"/>
      <c r="H717" s="13"/>
      <c r="I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ht="14.25" customHeight="1">
      <c r="A718" s="13"/>
      <c r="B718" s="13"/>
      <c r="C718" s="13"/>
      <c r="D718" s="13"/>
      <c r="E718" s="13"/>
      <c r="F718" s="75"/>
      <c r="G718" s="13"/>
      <c r="H718" s="13"/>
      <c r="I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ht="14.25" customHeight="1">
      <c r="A719" s="13"/>
      <c r="B719" s="13"/>
      <c r="C719" s="13"/>
      <c r="D719" s="13"/>
      <c r="E719" s="13"/>
      <c r="F719" s="75"/>
      <c r="G719" s="13"/>
      <c r="H719" s="13"/>
      <c r="I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ht="14.25" customHeight="1">
      <c r="A720" s="13"/>
      <c r="B720" s="13"/>
      <c r="C720" s="13"/>
      <c r="D720" s="13"/>
      <c r="E720" s="13"/>
      <c r="F720" s="75"/>
      <c r="G720" s="13"/>
      <c r="H720" s="13"/>
      <c r="I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ht="14.25" customHeight="1">
      <c r="A721" s="13"/>
      <c r="B721" s="13"/>
      <c r="C721" s="13"/>
      <c r="D721" s="13"/>
      <c r="E721" s="13"/>
      <c r="F721" s="75"/>
      <c r="G721" s="13"/>
      <c r="H721" s="13"/>
      <c r="I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ht="14.25" customHeight="1">
      <c r="A722" s="13"/>
      <c r="B722" s="13"/>
      <c r="C722" s="13"/>
      <c r="D722" s="13"/>
      <c r="E722" s="13"/>
      <c r="F722" s="75"/>
      <c r="G722" s="13"/>
      <c r="H722" s="13"/>
      <c r="I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ht="14.25" customHeight="1">
      <c r="A723" s="13"/>
      <c r="B723" s="13"/>
      <c r="C723" s="13"/>
      <c r="D723" s="13"/>
      <c r="E723" s="13"/>
      <c r="F723" s="75"/>
      <c r="G723" s="13"/>
      <c r="H723" s="13"/>
      <c r="I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ht="14.25" customHeight="1">
      <c r="A724" s="13"/>
      <c r="B724" s="13"/>
      <c r="C724" s="13"/>
      <c r="D724" s="13"/>
      <c r="E724" s="13"/>
      <c r="F724" s="75"/>
      <c r="G724" s="13"/>
      <c r="H724" s="13"/>
      <c r="I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ht="14.25" customHeight="1">
      <c r="A725" s="13"/>
      <c r="B725" s="13"/>
      <c r="C725" s="13"/>
      <c r="D725" s="13"/>
      <c r="E725" s="13"/>
      <c r="F725" s="75"/>
      <c r="G725" s="13"/>
      <c r="H725" s="13"/>
      <c r="I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ht="14.25" customHeight="1">
      <c r="A726" s="13"/>
      <c r="B726" s="13"/>
      <c r="C726" s="13"/>
      <c r="D726" s="13"/>
      <c r="E726" s="13"/>
      <c r="F726" s="75"/>
      <c r="G726" s="13"/>
      <c r="H726" s="13"/>
      <c r="I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ht="14.25" customHeight="1">
      <c r="A727" s="13"/>
      <c r="B727" s="13"/>
      <c r="C727" s="13"/>
      <c r="D727" s="13"/>
      <c r="E727" s="13"/>
      <c r="F727" s="75"/>
      <c r="G727" s="13"/>
      <c r="H727" s="13"/>
      <c r="I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ht="14.25" customHeight="1">
      <c r="A728" s="13"/>
      <c r="B728" s="13"/>
      <c r="C728" s="13"/>
      <c r="D728" s="13"/>
      <c r="E728" s="13"/>
      <c r="F728" s="75"/>
      <c r="G728" s="13"/>
      <c r="H728" s="13"/>
      <c r="I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ht="14.25" customHeight="1">
      <c r="A729" s="13"/>
      <c r="B729" s="13"/>
      <c r="C729" s="13"/>
      <c r="D729" s="13"/>
      <c r="E729" s="13"/>
      <c r="F729" s="75"/>
      <c r="G729" s="13"/>
      <c r="H729" s="13"/>
      <c r="I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ht="14.25" customHeight="1">
      <c r="A730" s="13"/>
      <c r="B730" s="13"/>
      <c r="C730" s="13"/>
      <c r="D730" s="13"/>
      <c r="E730" s="13"/>
      <c r="F730" s="75"/>
      <c r="G730" s="13"/>
      <c r="H730" s="13"/>
      <c r="I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ht="14.25" customHeight="1">
      <c r="A731" s="13"/>
      <c r="B731" s="13"/>
      <c r="C731" s="13"/>
      <c r="D731" s="13"/>
      <c r="E731" s="13"/>
      <c r="F731" s="75"/>
      <c r="G731" s="13"/>
      <c r="H731" s="13"/>
      <c r="I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ht="14.25" customHeight="1">
      <c r="A732" s="13"/>
      <c r="B732" s="13"/>
      <c r="C732" s="13"/>
      <c r="D732" s="13"/>
      <c r="E732" s="13"/>
      <c r="F732" s="75"/>
      <c r="G732" s="13"/>
      <c r="H732" s="13"/>
      <c r="I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ht="14.25" customHeight="1">
      <c r="A733" s="13"/>
      <c r="B733" s="13"/>
      <c r="C733" s="13"/>
      <c r="D733" s="13"/>
      <c r="E733" s="13"/>
      <c r="F733" s="75"/>
      <c r="G733" s="13"/>
      <c r="H733" s="13"/>
      <c r="I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ht="14.25" customHeight="1">
      <c r="A734" s="13"/>
      <c r="B734" s="13"/>
      <c r="C734" s="13"/>
      <c r="D734" s="13"/>
      <c r="E734" s="13"/>
      <c r="F734" s="75"/>
      <c r="G734" s="13"/>
      <c r="H734" s="13"/>
      <c r="I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ht="14.25" customHeight="1">
      <c r="A735" s="13"/>
      <c r="B735" s="13"/>
      <c r="C735" s="13"/>
      <c r="D735" s="13"/>
      <c r="E735" s="13"/>
      <c r="F735" s="75"/>
      <c r="G735" s="13"/>
      <c r="H735" s="13"/>
      <c r="I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ht="14.25" customHeight="1">
      <c r="A736" s="13"/>
      <c r="B736" s="13"/>
      <c r="C736" s="13"/>
      <c r="D736" s="13"/>
      <c r="E736" s="13"/>
      <c r="F736" s="75"/>
      <c r="G736" s="13"/>
      <c r="H736" s="13"/>
      <c r="I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ht="14.25" customHeight="1">
      <c r="A737" s="13"/>
      <c r="B737" s="13"/>
      <c r="C737" s="13"/>
      <c r="D737" s="13"/>
      <c r="E737" s="13"/>
      <c r="F737" s="75"/>
      <c r="G737" s="13"/>
      <c r="H737" s="13"/>
      <c r="I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ht="14.25" customHeight="1">
      <c r="A738" s="13"/>
      <c r="B738" s="13"/>
      <c r="C738" s="13"/>
      <c r="D738" s="13"/>
      <c r="E738" s="13"/>
      <c r="F738" s="75"/>
      <c r="G738" s="13"/>
      <c r="H738" s="13"/>
      <c r="I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ht="14.25" customHeight="1">
      <c r="A739" s="13"/>
      <c r="B739" s="13"/>
      <c r="C739" s="13"/>
      <c r="D739" s="13"/>
      <c r="E739" s="13"/>
      <c r="F739" s="75"/>
      <c r="G739" s="13"/>
      <c r="H739" s="13"/>
      <c r="I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ht="14.25" customHeight="1">
      <c r="A740" s="13"/>
      <c r="B740" s="13"/>
      <c r="C740" s="13"/>
      <c r="D740" s="13"/>
      <c r="E740" s="13"/>
      <c r="F740" s="75"/>
      <c r="G740" s="13"/>
      <c r="H740" s="13"/>
      <c r="I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ht="14.25" customHeight="1">
      <c r="A741" s="13"/>
      <c r="B741" s="13"/>
      <c r="C741" s="13"/>
      <c r="D741" s="13"/>
      <c r="E741" s="13"/>
      <c r="F741" s="75"/>
      <c r="G741" s="13"/>
      <c r="H741" s="13"/>
      <c r="I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ht="14.25" customHeight="1">
      <c r="A742" s="13"/>
      <c r="B742" s="13"/>
      <c r="C742" s="13"/>
      <c r="D742" s="13"/>
      <c r="E742" s="13"/>
      <c r="F742" s="75"/>
      <c r="G742" s="13"/>
      <c r="H742" s="13"/>
      <c r="I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14.25" customHeight="1">
      <c r="A743" s="13"/>
      <c r="B743" s="13"/>
      <c r="C743" s="13"/>
      <c r="D743" s="13"/>
      <c r="E743" s="13"/>
      <c r="F743" s="75"/>
      <c r="G743" s="13"/>
      <c r="H743" s="13"/>
      <c r="I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ht="14.25" customHeight="1">
      <c r="A744" s="13"/>
      <c r="B744" s="13"/>
      <c r="C744" s="13"/>
      <c r="D744" s="13"/>
      <c r="E744" s="13"/>
      <c r="F744" s="75"/>
      <c r="G744" s="13"/>
      <c r="H744" s="13"/>
      <c r="I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ht="14.25" customHeight="1">
      <c r="A745" s="13"/>
      <c r="B745" s="13"/>
      <c r="C745" s="13"/>
      <c r="D745" s="13"/>
      <c r="E745" s="13"/>
      <c r="F745" s="75"/>
      <c r="G745" s="13"/>
      <c r="H745" s="13"/>
      <c r="I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ht="14.25" customHeight="1">
      <c r="A746" s="13"/>
      <c r="B746" s="13"/>
      <c r="C746" s="13"/>
      <c r="D746" s="13"/>
      <c r="E746" s="13"/>
      <c r="F746" s="75"/>
      <c r="G746" s="13"/>
      <c r="H746" s="13"/>
      <c r="I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ht="14.25" customHeight="1">
      <c r="A747" s="13"/>
      <c r="B747" s="13"/>
      <c r="C747" s="13"/>
      <c r="D747" s="13"/>
      <c r="E747" s="13"/>
      <c r="F747" s="75"/>
      <c r="G747" s="13"/>
      <c r="H747" s="13"/>
      <c r="I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ht="14.25" customHeight="1">
      <c r="A748" s="13"/>
      <c r="B748" s="13"/>
      <c r="C748" s="13"/>
      <c r="D748" s="13"/>
      <c r="E748" s="13"/>
      <c r="F748" s="75"/>
      <c r="G748" s="13"/>
      <c r="H748" s="13"/>
      <c r="I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ht="14.25" customHeight="1">
      <c r="A749" s="13"/>
      <c r="B749" s="13"/>
      <c r="C749" s="13"/>
      <c r="D749" s="13"/>
      <c r="E749" s="13"/>
      <c r="F749" s="75"/>
      <c r="G749" s="13"/>
      <c r="H749" s="13"/>
      <c r="I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ht="14.25" customHeight="1">
      <c r="A750" s="13"/>
      <c r="B750" s="13"/>
      <c r="C750" s="13"/>
      <c r="D750" s="13"/>
      <c r="E750" s="13"/>
      <c r="F750" s="75"/>
      <c r="G750" s="13"/>
      <c r="H750" s="13"/>
      <c r="I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ht="14.25" customHeight="1">
      <c r="A751" s="13"/>
      <c r="B751" s="13"/>
      <c r="C751" s="13"/>
      <c r="D751" s="13"/>
      <c r="E751" s="13"/>
      <c r="F751" s="75"/>
      <c r="G751" s="13"/>
      <c r="H751" s="13"/>
      <c r="I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ht="14.25" customHeight="1">
      <c r="A752" s="13"/>
      <c r="B752" s="13"/>
      <c r="C752" s="13"/>
      <c r="D752" s="13"/>
      <c r="E752" s="13"/>
      <c r="F752" s="75"/>
      <c r="G752" s="13"/>
      <c r="H752" s="13"/>
      <c r="I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ht="14.25" customHeight="1">
      <c r="A753" s="13"/>
      <c r="B753" s="13"/>
      <c r="C753" s="13"/>
      <c r="D753" s="13"/>
      <c r="E753" s="13"/>
      <c r="F753" s="75"/>
      <c r="G753" s="13"/>
      <c r="H753" s="13"/>
      <c r="I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ht="14.25" customHeight="1">
      <c r="A754" s="13"/>
      <c r="B754" s="13"/>
      <c r="C754" s="13"/>
      <c r="D754" s="13"/>
      <c r="E754" s="13"/>
      <c r="F754" s="75"/>
      <c r="G754" s="13"/>
      <c r="H754" s="13"/>
      <c r="I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ht="14.25" customHeight="1">
      <c r="A755" s="13"/>
      <c r="B755" s="13"/>
      <c r="C755" s="13"/>
      <c r="D755" s="13"/>
      <c r="E755" s="13"/>
      <c r="F755" s="75"/>
      <c r="G755" s="13"/>
      <c r="H755" s="13"/>
      <c r="I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ht="14.25" customHeight="1">
      <c r="A756" s="13"/>
      <c r="B756" s="13"/>
      <c r="C756" s="13"/>
      <c r="D756" s="13"/>
      <c r="E756" s="13"/>
      <c r="F756" s="75"/>
      <c r="G756" s="13"/>
      <c r="H756" s="13"/>
      <c r="I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ht="14.25" customHeight="1">
      <c r="A757" s="13"/>
      <c r="B757" s="13"/>
      <c r="C757" s="13"/>
      <c r="D757" s="13"/>
      <c r="E757" s="13"/>
      <c r="F757" s="75"/>
      <c r="G757" s="13"/>
      <c r="H757" s="13"/>
      <c r="I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ht="14.25" customHeight="1">
      <c r="A758" s="13"/>
      <c r="B758" s="13"/>
      <c r="C758" s="13"/>
      <c r="D758" s="13"/>
      <c r="E758" s="13"/>
      <c r="F758" s="75"/>
      <c r="G758" s="13"/>
      <c r="H758" s="13"/>
      <c r="I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ht="14.25" customHeight="1">
      <c r="A759" s="13"/>
      <c r="B759" s="13"/>
      <c r="C759" s="13"/>
      <c r="D759" s="13"/>
      <c r="E759" s="13"/>
      <c r="F759" s="75"/>
      <c r="G759" s="13"/>
      <c r="H759" s="13"/>
      <c r="I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ht="14.25" customHeight="1">
      <c r="A760" s="13"/>
      <c r="B760" s="13"/>
      <c r="C760" s="13"/>
      <c r="D760" s="13"/>
      <c r="E760" s="13"/>
      <c r="F760" s="75"/>
      <c r="G760" s="13"/>
      <c r="H760" s="13"/>
      <c r="I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ht="14.25" customHeight="1">
      <c r="A761" s="13"/>
      <c r="B761" s="13"/>
      <c r="C761" s="13"/>
      <c r="D761" s="13"/>
      <c r="E761" s="13"/>
      <c r="F761" s="75"/>
      <c r="G761" s="13"/>
      <c r="H761" s="13"/>
      <c r="I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ht="14.25" customHeight="1">
      <c r="A762" s="13"/>
      <c r="B762" s="13"/>
      <c r="C762" s="13"/>
      <c r="D762" s="13"/>
      <c r="E762" s="13"/>
      <c r="F762" s="75"/>
      <c r="G762" s="13"/>
      <c r="H762" s="13"/>
      <c r="I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ht="14.25" customHeight="1">
      <c r="A763" s="13"/>
      <c r="B763" s="13"/>
      <c r="C763" s="13"/>
      <c r="D763" s="13"/>
      <c r="E763" s="13"/>
      <c r="F763" s="75"/>
      <c r="G763" s="13"/>
      <c r="H763" s="13"/>
      <c r="I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ht="14.25" customHeight="1">
      <c r="A764" s="13"/>
      <c r="B764" s="13"/>
      <c r="C764" s="13"/>
      <c r="D764" s="13"/>
      <c r="E764" s="13"/>
      <c r="F764" s="75"/>
      <c r="G764" s="13"/>
      <c r="H764" s="13"/>
      <c r="I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ht="14.25" customHeight="1">
      <c r="A765" s="13"/>
      <c r="B765" s="13"/>
      <c r="C765" s="13"/>
      <c r="D765" s="13"/>
      <c r="E765" s="13"/>
      <c r="F765" s="75"/>
      <c r="G765" s="13"/>
      <c r="H765" s="13"/>
      <c r="I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ht="14.25" customHeight="1">
      <c r="A766" s="13"/>
      <c r="B766" s="13"/>
      <c r="C766" s="13"/>
      <c r="D766" s="13"/>
      <c r="E766" s="13"/>
      <c r="F766" s="75"/>
      <c r="G766" s="13"/>
      <c r="H766" s="13"/>
      <c r="I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ht="14.25" customHeight="1">
      <c r="A767" s="13"/>
      <c r="B767" s="13"/>
      <c r="C767" s="13"/>
      <c r="D767" s="13"/>
      <c r="E767" s="13"/>
      <c r="F767" s="75"/>
      <c r="G767" s="13"/>
      <c r="H767" s="13"/>
      <c r="I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ht="14.25" customHeight="1">
      <c r="A768" s="13"/>
      <c r="B768" s="13"/>
      <c r="C768" s="13"/>
      <c r="D768" s="13"/>
      <c r="E768" s="13"/>
      <c r="F768" s="75"/>
      <c r="G768" s="13"/>
      <c r="H768" s="13"/>
      <c r="I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ht="14.25" customHeight="1">
      <c r="A769" s="13"/>
      <c r="B769" s="13"/>
      <c r="C769" s="13"/>
      <c r="D769" s="13"/>
      <c r="E769" s="13"/>
      <c r="F769" s="75"/>
      <c r="G769" s="13"/>
      <c r="H769" s="13"/>
      <c r="I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ht="14.25" customHeight="1">
      <c r="A770" s="13"/>
      <c r="B770" s="13"/>
      <c r="C770" s="13"/>
      <c r="D770" s="13"/>
      <c r="E770" s="13"/>
      <c r="F770" s="75"/>
      <c r="G770" s="13"/>
      <c r="H770" s="13"/>
      <c r="I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ht="14.25" customHeight="1">
      <c r="A771" s="13"/>
      <c r="B771" s="13"/>
      <c r="C771" s="13"/>
      <c r="D771" s="13"/>
      <c r="E771" s="13"/>
      <c r="F771" s="75"/>
      <c r="G771" s="13"/>
      <c r="H771" s="13"/>
      <c r="I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ht="14.25" customHeight="1">
      <c r="A772" s="13"/>
      <c r="B772" s="13"/>
      <c r="C772" s="13"/>
      <c r="D772" s="13"/>
      <c r="E772" s="13"/>
      <c r="F772" s="75"/>
      <c r="G772" s="13"/>
      <c r="H772" s="13"/>
      <c r="I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ht="14.25" customHeight="1">
      <c r="A773" s="13"/>
      <c r="B773" s="13"/>
      <c r="C773" s="13"/>
      <c r="D773" s="13"/>
      <c r="E773" s="13"/>
      <c r="F773" s="75"/>
      <c r="G773" s="13"/>
      <c r="H773" s="13"/>
      <c r="I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14.25" customHeight="1">
      <c r="A774" s="13"/>
      <c r="B774" s="13"/>
      <c r="C774" s="13"/>
      <c r="D774" s="13"/>
      <c r="E774" s="13"/>
      <c r="F774" s="75"/>
      <c r="G774" s="13"/>
      <c r="H774" s="13"/>
      <c r="I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ht="14.25" customHeight="1">
      <c r="A775" s="13"/>
      <c r="B775" s="13"/>
      <c r="C775" s="13"/>
      <c r="D775" s="13"/>
      <c r="E775" s="13"/>
      <c r="F775" s="75"/>
      <c r="G775" s="13"/>
      <c r="H775" s="13"/>
      <c r="I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ht="14.25" customHeight="1">
      <c r="A776" s="13"/>
      <c r="B776" s="13"/>
      <c r="C776" s="13"/>
      <c r="D776" s="13"/>
      <c r="E776" s="13"/>
      <c r="F776" s="75"/>
      <c r="G776" s="13"/>
      <c r="H776" s="13"/>
      <c r="I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ht="14.25" customHeight="1">
      <c r="A777" s="13"/>
      <c r="B777" s="13"/>
      <c r="C777" s="13"/>
      <c r="D777" s="13"/>
      <c r="E777" s="13"/>
      <c r="F777" s="75"/>
      <c r="G777" s="13"/>
      <c r="H777" s="13"/>
      <c r="I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ht="14.25" customHeight="1">
      <c r="A778" s="13"/>
      <c r="B778" s="13"/>
      <c r="C778" s="13"/>
      <c r="D778" s="13"/>
      <c r="E778" s="13"/>
      <c r="F778" s="75"/>
      <c r="G778" s="13"/>
      <c r="H778" s="13"/>
      <c r="I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ht="14.25" customHeight="1">
      <c r="A779" s="13"/>
      <c r="B779" s="13"/>
      <c r="C779" s="13"/>
      <c r="D779" s="13"/>
      <c r="E779" s="13"/>
      <c r="F779" s="75"/>
      <c r="G779" s="13"/>
      <c r="H779" s="13"/>
      <c r="I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ht="14.25" customHeight="1">
      <c r="A780" s="13"/>
      <c r="B780" s="13"/>
      <c r="C780" s="13"/>
      <c r="D780" s="13"/>
      <c r="E780" s="13"/>
      <c r="F780" s="75"/>
      <c r="G780" s="13"/>
      <c r="H780" s="13"/>
      <c r="I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ht="14.25" customHeight="1">
      <c r="A781" s="13"/>
      <c r="B781" s="13"/>
      <c r="C781" s="13"/>
      <c r="D781" s="13"/>
      <c r="E781" s="13"/>
      <c r="F781" s="75"/>
      <c r="G781" s="13"/>
      <c r="H781" s="13"/>
      <c r="I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ht="14.25" customHeight="1">
      <c r="A782" s="13"/>
      <c r="B782" s="13"/>
      <c r="C782" s="13"/>
      <c r="D782" s="13"/>
      <c r="E782" s="13"/>
      <c r="F782" s="75"/>
      <c r="G782" s="13"/>
      <c r="H782" s="13"/>
      <c r="I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ht="14.25" customHeight="1">
      <c r="A783" s="13"/>
      <c r="B783" s="13"/>
      <c r="C783" s="13"/>
      <c r="D783" s="13"/>
      <c r="E783" s="13"/>
      <c r="F783" s="75"/>
      <c r="G783" s="13"/>
      <c r="H783" s="13"/>
      <c r="I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ht="14.25" customHeight="1">
      <c r="A784" s="13"/>
      <c r="B784" s="13"/>
      <c r="C784" s="13"/>
      <c r="D784" s="13"/>
      <c r="E784" s="13"/>
      <c r="F784" s="75"/>
      <c r="G784" s="13"/>
      <c r="H784" s="13"/>
      <c r="I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ht="14.25" customHeight="1">
      <c r="A785" s="13"/>
      <c r="B785" s="13"/>
      <c r="C785" s="13"/>
      <c r="D785" s="13"/>
      <c r="E785" s="13"/>
      <c r="F785" s="75"/>
      <c r="G785" s="13"/>
      <c r="H785" s="13"/>
      <c r="I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ht="14.25" customHeight="1">
      <c r="A786" s="13"/>
      <c r="B786" s="13"/>
      <c r="C786" s="13"/>
      <c r="D786" s="13"/>
      <c r="E786" s="13"/>
      <c r="F786" s="75"/>
      <c r="G786" s="13"/>
      <c r="H786" s="13"/>
      <c r="I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ht="14.25" customHeight="1">
      <c r="A787" s="13"/>
      <c r="B787" s="13"/>
      <c r="C787" s="13"/>
      <c r="D787" s="13"/>
      <c r="E787" s="13"/>
      <c r="F787" s="75"/>
      <c r="G787" s="13"/>
      <c r="H787" s="13"/>
      <c r="I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ht="14.25" customHeight="1">
      <c r="A788" s="13"/>
      <c r="B788" s="13"/>
      <c r="C788" s="13"/>
      <c r="D788" s="13"/>
      <c r="E788" s="13"/>
      <c r="F788" s="75"/>
      <c r="G788" s="13"/>
      <c r="H788" s="13"/>
      <c r="I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ht="14.25" customHeight="1">
      <c r="A789" s="13"/>
      <c r="B789" s="13"/>
      <c r="C789" s="13"/>
      <c r="D789" s="13"/>
      <c r="E789" s="13"/>
      <c r="F789" s="75"/>
      <c r="G789" s="13"/>
      <c r="H789" s="13"/>
      <c r="I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ht="14.25" customHeight="1">
      <c r="A790" s="13"/>
      <c r="B790" s="13"/>
      <c r="C790" s="13"/>
      <c r="D790" s="13"/>
      <c r="E790" s="13"/>
      <c r="F790" s="75"/>
      <c r="G790" s="13"/>
      <c r="H790" s="13"/>
      <c r="I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ht="14.25" customHeight="1">
      <c r="A791" s="13"/>
      <c r="B791" s="13"/>
      <c r="C791" s="13"/>
      <c r="D791" s="13"/>
      <c r="E791" s="13"/>
      <c r="F791" s="75"/>
      <c r="G791" s="13"/>
      <c r="H791" s="13"/>
      <c r="I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ht="14.25" customHeight="1">
      <c r="A792" s="13"/>
      <c r="B792" s="13"/>
      <c r="C792" s="13"/>
      <c r="D792" s="13"/>
      <c r="E792" s="13"/>
      <c r="F792" s="75"/>
      <c r="G792" s="13"/>
      <c r="H792" s="13"/>
      <c r="I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ht="14.25" customHeight="1">
      <c r="A793" s="13"/>
      <c r="B793" s="13"/>
      <c r="C793" s="13"/>
      <c r="D793" s="13"/>
      <c r="E793" s="13"/>
      <c r="F793" s="75"/>
      <c r="G793" s="13"/>
      <c r="H793" s="13"/>
      <c r="I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ht="14.25" customHeight="1">
      <c r="A794" s="13"/>
      <c r="B794" s="13"/>
      <c r="C794" s="13"/>
      <c r="D794" s="13"/>
      <c r="E794" s="13"/>
      <c r="F794" s="75"/>
      <c r="G794" s="13"/>
      <c r="H794" s="13"/>
      <c r="I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ht="14.25" customHeight="1">
      <c r="A795" s="13"/>
      <c r="B795" s="13"/>
      <c r="C795" s="13"/>
      <c r="D795" s="13"/>
      <c r="E795" s="13"/>
      <c r="F795" s="75"/>
      <c r="G795" s="13"/>
      <c r="H795" s="13"/>
      <c r="I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ht="14.25" customHeight="1">
      <c r="A796" s="13"/>
      <c r="B796" s="13"/>
      <c r="C796" s="13"/>
      <c r="D796" s="13"/>
      <c r="E796" s="13"/>
      <c r="F796" s="75"/>
      <c r="G796" s="13"/>
      <c r="H796" s="13"/>
      <c r="I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ht="14.25" customHeight="1">
      <c r="A797" s="13"/>
      <c r="B797" s="13"/>
      <c r="C797" s="13"/>
      <c r="D797" s="13"/>
      <c r="E797" s="13"/>
      <c r="F797" s="75"/>
      <c r="G797" s="13"/>
      <c r="H797" s="13"/>
      <c r="I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ht="14.25" customHeight="1">
      <c r="A798" s="13"/>
      <c r="B798" s="13"/>
      <c r="C798" s="13"/>
      <c r="D798" s="13"/>
      <c r="E798" s="13"/>
      <c r="F798" s="75"/>
      <c r="G798" s="13"/>
      <c r="H798" s="13"/>
      <c r="I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ht="14.25" customHeight="1">
      <c r="A799" s="13"/>
      <c r="B799" s="13"/>
      <c r="C799" s="13"/>
      <c r="D799" s="13"/>
      <c r="E799" s="13"/>
      <c r="F799" s="75"/>
      <c r="G799" s="13"/>
      <c r="H799" s="13"/>
      <c r="I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ht="14.25" customHeight="1">
      <c r="A800" s="13"/>
      <c r="B800" s="13"/>
      <c r="C800" s="13"/>
      <c r="D800" s="13"/>
      <c r="E800" s="13"/>
      <c r="F800" s="75"/>
      <c r="G800" s="13"/>
      <c r="H800" s="13"/>
      <c r="I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ht="14.25" customHeight="1">
      <c r="A801" s="13"/>
      <c r="B801" s="13"/>
      <c r="C801" s="13"/>
      <c r="D801" s="13"/>
      <c r="E801" s="13"/>
      <c r="F801" s="75"/>
      <c r="G801" s="13"/>
      <c r="H801" s="13"/>
      <c r="I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ht="14.25" customHeight="1">
      <c r="A802" s="13"/>
      <c r="B802" s="13"/>
      <c r="C802" s="13"/>
      <c r="D802" s="13"/>
      <c r="E802" s="13"/>
      <c r="F802" s="75"/>
      <c r="G802" s="13"/>
      <c r="H802" s="13"/>
      <c r="I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ht="14.25" customHeight="1">
      <c r="A803" s="13"/>
      <c r="B803" s="13"/>
      <c r="C803" s="13"/>
      <c r="D803" s="13"/>
      <c r="E803" s="13"/>
      <c r="F803" s="75"/>
      <c r="G803" s="13"/>
      <c r="H803" s="13"/>
      <c r="I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ht="14.25" customHeight="1">
      <c r="A804" s="13"/>
      <c r="B804" s="13"/>
      <c r="C804" s="13"/>
      <c r="D804" s="13"/>
      <c r="E804" s="13"/>
      <c r="F804" s="75"/>
      <c r="G804" s="13"/>
      <c r="H804" s="13"/>
      <c r="I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ht="14.25" customHeight="1">
      <c r="A805" s="13"/>
      <c r="B805" s="13"/>
      <c r="C805" s="13"/>
      <c r="D805" s="13"/>
      <c r="E805" s="13"/>
      <c r="F805" s="75"/>
      <c r="G805" s="13"/>
      <c r="H805" s="13"/>
      <c r="I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ht="14.25" customHeight="1">
      <c r="A806" s="13"/>
      <c r="B806" s="13"/>
      <c r="C806" s="13"/>
      <c r="D806" s="13"/>
      <c r="E806" s="13"/>
      <c r="F806" s="75"/>
      <c r="G806" s="13"/>
      <c r="H806" s="13"/>
      <c r="I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ht="14.25" customHeight="1">
      <c r="A807" s="13"/>
      <c r="B807" s="13"/>
      <c r="C807" s="13"/>
      <c r="D807" s="13"/>
      <c r="E807" s="13"/>
      <c r="F807" s="75"/>
      <c r="G807" s="13"/>
      <c r="H807" s="13"/>
      <c r="I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ht="14.25" customHeight="1">
      <c r="A808" s="13"/>
      <c r="B808" s="13"/>
      <c r="C808" s="13"/>
      <c r="D808" s="13"/>
      <c r="E808" s="13"/>
      <c r="F808" s="75"/>
      <c r="G808" s="13"/>
      <c r="H808" s="13"/>
      <c r="I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ht="14.25" customHeight="1">
      <c r="A809" s="13"/>
      <c r="B809" s="13"/>
      <c r="C809" s="13"/>
      <c r="D809" s="13"/>
      <c r="E809" s="13"/>
      <c r="F809" s="75"/>
      <c r="G809" s="13"/>
      <c r="H809" s="13"/>
      <c r="I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ht="14.25" customHeight="1">
      <c r="A810" s="13"/>
      <c r="B810" s="13"/>
      <c r="C810" s="13"/>
      <c r="D810" s="13"/>
      <c r="E810" s="13"/>
      <c r="F810" s="75"/>
      <c r="G810" s="13"/>
      <c r="H810" s="13"/>
      <c r="I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ht="14.25" customHeight="1">
      <c r="A811" s="13"/>
      <c r="B811" s="13"/>
      <c r="C811" s="13"/>
      <c r="D811" s="13"/>
      <c r="E811" s="13"/>
      <c r="F811" s="75"/>
      <c r="G811" s="13"/>
      <c r="H811" s="13"/>
      <c r="I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ht="14.25" customHeight="1">
      <c r="A812" s="13"/>
      <c r="B812" s="13"/>
      <c r="C812" s="13"/>
      <c r="D812" s="13"/>
      <c r="E812" s="13"/>
      <c r="F812" s="75"/>
      <c r="G812" s="13"/>
      <c r="H812" s="13"/>
      <c r="I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ht="14.25" customHeight="1">
      <c r="A813" s="13"/>
      <c r="B813" s="13"/>
      <c r="C813" s="13"/>
      <c r="D813" s="13"/>
      <c r="E813" s="13"/>
      <c r="F813" s="75"/>
      <c r="G813" s="13"/>
      <c r="H813" s="13"/>
      <c r="I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ht="14.25" customHeight="1">
      <c r="A814" s="13"/>
      <c r="B814" s="13"/>
      <c r="C814" s="13"/>
      <c r="D814" s="13"/>
      <c r="E814" s="13"/>
      <c r="F814" s="75"/>
      <c r="G814" s="13"/>
      <c r="H814" s="13"/>
      <c r="I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ht="14.25" customHeight="1">
      <c r="A815" s="13"/>
      <c r="B815" s="13"/>
      <c r="C815" s="13"/>
      <c r="D815" s="13"/>
      <c r="E815" s="13"/>
      <c r="F815" s="75"/>
      <c r="G815" s="13"/>
      <c r="H815" s="13"/>
      <c r="I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ht="14.25" customHeight="1">
      <c r="A816" s="13"/>
      <c r="B816" s="13"/>
      <c r="C816" s="13"/>
      <c r="D816" s="13"/>
      <c r="E816" s="13"/>
      <c r="F816" s="75"/>
      <c r="G816" s="13"/>
      <c r="H816" s="13"/>
      <c r="I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ht="14.25" customHeight="1">
      <c r="A817" s="13"/>
      <c r="B817" s="13"/>
      <c r="C817" s="13"/>
      <c r="D817" s="13"/>
      <c r="E817" s="13"/>
      <c r="F817" s="75"/>
      <c r="G817" s="13"/>
      <c r="H817" s="13"/>
      <c r="I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ht="14.25" customHeight="1">
      <c r="A818" s="13"/>
      <c r="B818" s="13"/>
      <c r="C818" s="13"/>
      <c r="D818" s="13"/>
      <c r="E818" s="13"/>
      <c r="F818" s="75"/>
      <c r="G818" s="13"/>
      <c r="H818" s="13"/>
      <c r="I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ht="14.25" customHeight="1">
      <c r="A819" s="13"/>
      <c r="B819" s="13"/>
      <c r="C819" s="13"/>
      <c r="D819" s="13"/>
      <c r="E819" s="13"/>
      <c r="F819" s="75"/>
      <c r="G819" s="13"/>
      <c r="H819" s="13"/>
      <c r="I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ht="14.25" customHeight="1">
      <c r="A820" s="13"/>
      <c r="B820" s="13"/>
      <c r="C820" s="13"/>
      <c r="D820" s="13"/>
      <c r="E820" s="13"/>
      <c r="F820" s="75"/>
      <c r="G820" s="13"/>
      <c r="H820" s="13"/>
      <c r="I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ht="14.25" customHeight="1">
      <c r="A821" s="13"/>
      <c r="B821" s="13"/>
      <c r="C821" s="13"/>
      <c r="D821" s="13"/>
      <c r="E821" s="13"/>
      <c r="F821" s="75"/>
      <c r="G821" s="13"/>
      <c r="H821" s="13"/>
      <c r="I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ht="14.25" customHeight="1">
      <c r="A822" s="13"/>
      <c r="B822" s="13"/>
      <c r="C822" s="13"/>
      <c r="D822" s="13"/>
      <c r="E822" s="13"/>
      <c r="F822" s="75"/>
      <c r="G822" s="13"/>
      <c r="H822" s="13"/>
      <c r="I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ht="14.25" customHeight="1">
      <c r="A823" s="13"/>
      <c r="B823" s="13"/>
      <c r="C823" s="13"/>
      <c r="D823" s="13"/>
      <c r="E823" s="13"/>
      <c r="F823" s="75"/>
      <c r="G823" s="13"/>
      <c r="H823" s="13"/>
      <c r="I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ht="14.25" customHeight="1">
      <c r="A824" s="13"/>
      <c r="B824" s="13"/>
      <c r="C824" s="13"/>
      <c r="D824" s="13"/>
      <c r="E824" s="13"/>
      <c r="F824" s="75"/>
      <c r="G824" s="13"/>
      <c r="H824" s="13"/>
      <c r="I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ht="14.25" customHeight="1">
      <c r="A825" s="13"/>
      <c r="B825" s="13"/>
      <c r="C825" s="13"/>
      <c r="D825" s="13"/>
      <c r="E825" s="13"/>
      <c r="F825" s="75"/>
      <c r="G825" s="13"/>
      <c r="H825" s="13"/>
      <c r="I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ht="14.25" customHeight="1">
      <c r="A826" s="13"/>
      <c r="B826" s="13"/>
      <c r="C826" s="13"/>
      <c r="D826" s="13"/>
      <c r="E826" s="13"/>
      <c r="F826" s="75"/>
      <c r="G826" s="13"/>
      <c r="H826" s="13"/>
      <c r="I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ht="14.25" customHeight="1">
      <c r="A827" s="13"/>
      <c r="B827" s="13"/>
      <c r="C827" s="13"/>
      <c r="D827" s="13"/>
      <c r="E827" s="13"/>
      <c r="F827" s="75"/>
      <c r="G827" s="13"/>
      <c r="H827" s="13"/>
      <c r="I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ht="14.25" customHeight="1">
      <c r="A828" s="13"/>
      <c r="B828" s="13"/>
      <c r="C828" s="13"/>
      <c r="D828" s="13"/>
      <c r="E828" s="13"/>
      <c r="F828" s="75"/>
      <c r="G828" s="13"/>
      <c r="H828" s="13"/>
      <c r="I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ht="14.25" customHeight="1">
      <c r="A829" s="13"/>
      <c r="B829" s="13"/>
      <c r="C829" s="13"/>
      <c r="D829" s="13"/>
      <c r="E829" s="13"/>
      <c r="F829" s="75"/>
      <c r="G829" s="13"/>
      <c r="H829" s="13"/>
      <c r="I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ht="14.25" customHeight="1">
      <c r="A830" s="13"/>
      <c r="B830" s="13"/>
      <c r="C830" s="13"/>
      <c r="D830" s="13"/>
      <c r="E830" s="13"/>
      <c r="F830" s="75"/>
      <c r="G830" s="13"/>
      <c r="H830" s="13"/>
      <c r="I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ht="14.25" customHeight="1">
      <c r="A831" s="13"/>
      <c r="B831" s="13"/>
      <c r="C831" s="13"/>
      <c r="D831" s="13"/>
      <c r="E831" s="13"/>
      <c r="F831" s="75"/>
      <c r="G831" s="13"/>
      <c r="H831" s="13"/>
      <c r="I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ht="14.25" customHeight="1">
      <c r="A832" s="13"/>
      <c r="B832" s="13"/>
      <c r="C832" s="13"/>
      <c r="D832" s="13"/>
      <c r="E832" s="13"/>
      <c r="F832" s="75"/>
      <c r="G832" s="13"/>
      <c r="H832" s="13"/>
      <c r="I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ht="14.25" customHeight="1">
      <c r="A833" s="13"/>
      <c r="B833" s="13"/>
      <c r="C833" s="13"/>
      <c r="D833" s="13"/>
      <c r="E833" s="13"/>
      <c r="F833" s="75"/>
      <c r="G833" s="13"/>
      <c r="H833" s="13"/>
      <c r="I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ht="14.25" customHeight="1">
      <c r="A834" s="13"/>
      <c r="B834" s="13"/>
      <c r="C834" s="13"/>
      <c r="D834" s="13"/>
      <c r="E834" s="13"/>
      <c r="F834" s="75"/>
      <c r="G834" s="13"/>
      <c r="H834" s="13"/>
      <c r="I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14.25" customHeight="1">
      <c r="A835" s="13"/>
      <c r="B835" s="13"/>
      <c r="C835" s="13"/>
      <c r="D835" s="13"/>
      <c r="E835" s="13"/>
      <c r="F835" s="75"/>
      <c r="G835" s="13"/>
      <c r="H835" s="13"/>
      <c r="I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ht="14.25" customHeight="1">
      <c r="A836" s="13"/>
      <c r="B836" s="13"/>
      <c r="C836" s="13"/>
      <c r="D836" s="13"/>
      <c r="E836" s="13"/>
      <c r="F836" s="75"/>
      <c r="G836" s="13"/>
      <c r="H836" s="13"/>
      <c r="I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ht="14.25" customHeight="1">
      <c r="A837" s="13"/>
      <c r="B837" s="13"/>
      <c r="C837" s="13"/>
      <c r="D837" s="13"/>
      <c r="E837" s="13"/>
      <c r="F837" s="75"/>
      <c r="G837" s="13"/>
      <c r="H837" s="13"/>
      <c r="I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ht="14.25" customHeight="1">
      <c r="A838" s="13"/>
      <c r="B838" s="13"/>
      <c r="C838" s="13"/>
      <c r="D838" s="13"/>
      <c r="E838" s="13"/>
      <c r="F838" s="75"/>
      <c r="G838" s="13"/>
      <c r="H838" s="13"/>
      <c r="I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ht="14.25" customHeight="1">
      <c r="A839" s="13"/>
      <c r="B839" s="13"/>
      <c r="C839" s="13"/>
      <c r="D839" s="13"/>
      <c r="E839" s="13"/>
      <c r="F839" s="75"/>
      <c r="G839" s="13"/>
      <c r="H839" s="13"/>
      <c r="I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ht="14.25" customHeight="1">
      <c r="A840" s="13"/>
      <c r="B840" s="13"/>
      <c r="C840" s="13"/>
      <c r="D840" s="13"/>
      <c r="E840" s="13"/>
      <c r="F840" s="75"/>
      <c r="G840" s="13"/>
      <c r="H840" s="13"/>
      <c r="I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ht="14.25" customHeight="1">
      <c r="A841" s="13"/>
      <c r="B841" s="13"/>
      <c r="C841" s="13"/>
      <c r="D841" s="13"/>
      <c r="E841" s="13"/>
      <c r="F841" s="75"/>
      <c r="G841" s="13"/>
      <c r="H841" s="13"/>
      <c r="I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ht="14.25" customHeight="1">
      <c r="A842" s="13"/>
      <c r="B842" s="13"/>
      <c r="C842" s="13"/>
      <c r="D842" s="13"/>
      <c r="E842" s="13"/>
      <c r="F842" s="75"/>
      <c r="G842" s="13"/>
      <c r="H842" s="13"/>
      <c r="I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ht="14.25" customHeight="1">
      <c r="A843" s="13"/>
      <c r="B843" s="13"/>
      <c r="C843" s="13"/>
      <c r="D843" s="13"/>
      <c r="E843" s="13"/>
      <c r="F843" s="75"/>
      <c r="G843" s="13"/>
      <c r="H843" s="13"/>
      <c r="I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ht="14.25" customHeight="1">
      <c r="A844" s="13"/>
      <c r="B844" s="13"/>
      <c r="C844" s="13"/>
      <c r="D844" s="13"/>
      <c r="E844" s="13"/>
      <c r="F844" s="75"/>
      <c r="G844" s="13"/>
      <c r="H844" s="13"/>
      <c r="I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ht="14.25" customHeight="1">
      <c r="A845" s="13"/>
      <c r="B845" s="13"/>
      <c r="C845" s="13"/>
      <c r="D845" s="13"/>
      <c r="E845" s="13"/>
      <c r="F845" s="75"/>
      <c r="G845" s="13"/>
      <c r="H845" s="13"/>
      <c r="I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ht="14.25" customHeight="1">
      <c r="A846" s="13"/>
      <c r="B846" s="13"/>
      <c r="C846" s="13"/>
      <c r="D846" s="13"/>
      <c r="E846" s="13"/>
      <c r="F846" s="75"/>
      <c r="G846" s="13"/>
      <c r="H846" s="13"/>
      <c r="I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ht="14.25" customHeight="1">
      <c r="A847" s="13"/>
      <c r="B847" s="13"/>
      <c r="C847" s="13"/>
      <c r="D847" s="13"/>
      <c r="E847" s="13"/>
      <c r="F847" s="75"/>
      <c r="G847" s="13"/>
      <c r="H847" s="13"/>
      <c r="I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ht="14.25" customHeight="1">
      <c r="A848" s="13"/>
      <c r="B848" s="13"/>
      <c r="C848" s="13"/>
      <c r="D848" s="13"/>
      <c r="E848" s="13"/>
      <c r="F848" s="75"/>
      <c r="G848" s="13"/>
      <c r="H848" s="13"/>
      <c r="I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ht="14.25" customHeight="1">
      <c r="A849" s="13"/>
      <c r="B849" s="13"/>
      <c r="C849" s="13"/>
      <c r="D849" s="13"/>
      <c r="E849" s="13"/>
      <c r="F849" s="75"/>
      <c r="G849" s="13"/>
      <c r="H849" s="13"/>
      <c r="I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ht="14.25" customHeight="1">
      <c r="A850" s="13"/>
      <c r="B850" s="13"/>
      <c r="C850" s="13"/>
      <c r="D850" s="13"/>
      <c r="E850" s="13"/>
      <c r="F850" s="75"/>
      <c r="G850" s="13"/>
      <c r="H850" s="13"/>
      <c r="I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ht="14.25" customHeight="1">
      <c r="A851" s="13"/>
      <c r="B851" s="13"/>
      <c r="C851" s="13"/>
      <c r="D851" s="13"/>
      <c r="E851" s="13"/>
      <c r="F851" s="75"/>
      <c r="G851" s="13"/>
      <c r="H851" s="13"/>
      <c r="I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ht="14.25" customHeight="1">
      <c r="A852" s="13"/>
      <c r="B852" s="13"/>
      <c r="C852" s="13"/>
      <c r="D852" s="13"/>
      <c r="E852" s="13"/>
      <c r="F852" s="75"/>
      <c r="G852" s="13"/>
      <c r="H852" s="13"/>
      <c r="I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ht="14.25" customHeight="1">
      <c r="A853" s="13"/>
      <c r="B853" s="13"/>
      <c r="C853" s="13"/>
      <c r="D853" s="13"/>
      <c r="E853" s="13"/>
      <c r="F853" s="75"/>
      <c r="G853" s="13"/>
      <c r="H853" s="13"/>
      <c r="I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ht="14.25" customHeight="1">
      <c r="A854" s="13"/>
      <c r="B854" s="13"/>
      <c r="C854" s="13"/>
      <c r="D854" s="13"/>
      <c r="E854" s="13"/>
      <c r="F854" s="75"/>
      <c r="G854" s="13"/>
      <c r="H854" s="13"/>
      <c r="I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ht="14.25" customHeight="1">
      <c r="A855" s="13"/>
      <c r="B855" s="13"/>
      <c r="C855" s="13"/>
      <c r="D855" s="13"/>
      <c r="E855" s="13"/>
      <c r="F855" s="75"/>
      <c r="G855" s="13"/>
      <c r="H855" s="13"/>
      <c r="I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ht="14.25" customHeight="1">
      <c r="A856" s="13"/>
      <c r="B856" s="13"/>
      <c r="C856" s="13"/>
      <c r="D856" s="13"/>
      <c r="E856" s="13"/>
      <c r="F856" s="75"/>
      <c r="G856" s="13"/>
      <c r="H856" s="13"/>
      <c r="I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ht="14.25" customHeight="1">
      <c r="A857" s="13"/>
      <c r="B857" s="13"/>
      <c r="C857" s="13"/>
      <c r="D857" s="13"/>
      <c r="E857" s="13"/>
      <c r="F857" s="75"/>
      <c r="G857" s="13"/>
      <c r="H857" s="13"/>
      <c r="I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ht="14.25" customHeight="1">
      <c r="A858" s="13"/>
      <c r="B858" s="13"/>
      <c r="C858" s="13"/>
      <c r="D858" s="13"/>
      <c r="E858" s="13"/>
      <c r="F858" s="75"/>
      <c r="G858" s="13"/>
      <c r="H858" s="13"/>
      <c r="I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ht="14.25" customHeight="1">
      <c r="A859" s="13"/>
      <c r="B859" s="13"/>
      <c r="C859" s="13"/>
      <c r="D859" s="13"/>
      <c r="E859" s="13"/>
      <c r="F859" s="75"/>
      <c r="G859" s="13"/>
      <c r="H859" s="13"/>
      <c r="I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ht="14.25" customHeight="1">
      <c r="A860" s="13"/>
      <c r="B860" s="13"/>
      <c r="C860" s="13"/>
      <c r="D860" s="13"/>
      <c r="E860" s="13"/>
      <c r="F860" s="75"/>
      <c r="G860" s="13"/>
      <c r="H860" s="13"/>
      <c r="I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ht="14.25" customHeight="1">
      <c r="A861" s="13"/>
      <c r="B861" s="13"/>
      <c r="C861" s="13"/>
      <c r="D861" s="13"/>
      <c r="E861" s="13"/>
      <c r="F861" s="75"/>
      <c r="G861" s="13"/>
      <c r="H861" s="13"/>
      <c r="I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ht="14.25" customHeight="1">
      <c r="A862" s="13"/>
      <c r="B862" s="13"/>
      <c r="C862" s="13"/>
      <c r="D862" s="13"/>
      <c r="E862" s="13"/>
      <c r="F862" s="75"/>
      <c r="G862" s="13"/>
      <c r="H862" s="13"/>
      <c r="I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ht="14.25" customHeight="1">
      <c r="A863" s="13"/>
      <c r="B863" s="13"/>
      <c r="C863" s="13"/>
      <c r="D863" s="13"/>
      <c r="E863" s="13"/>
      <c r="F863" s="75"/>
      <c r="G863" s="13"/>
      <c r="H863" s="13"/>
      <c r="I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ht="14.25" customHeight="1">
      <c r="A864" s="13"/>
      <c r="B864" s="13"/>
      <c r="C864" s="13"/>
      <c r="D864" s="13"/>
      <c r="E864" s="13"/>
      <c r="F864" s="75"/>
      <c r="G864" s="13"/>
      <c r="H864" s="13"/>
      <c r="I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ht="14.25" customHeight="1">
      <c r="A865" s="13"/>
      <c r="B865" s="13"/>
      <c r="C865" s="13"/>
      <c r="D865" s="13"/>
      <c r="E865" s="13"/>
      <c r="F865" s="75"/>
      <c r="G865" s="13"/>
      <c r="H865" s="13"/>
      <c r="I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ht="14.25" customHeight="1">
      <c r="A866" s="13"/>
      <c r="B866" s="13"/>
      <c r="C866" s="13"/>
      <c r="D866" s="13"/>
      <c r="E866" s="13"/>
      <c r="F866" s="75"/>
      <c r="G866" s="13"/>
      <c r="H866" s="13"/>
      <c r="I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ht="14.25" customHeight="1">
      <c r="A867" s="13"/>
      <c r="B867" s="13"/>
      <c r="C867" s="13"/>
      <c r="D867" s="13"/>
      <c r="E867" s="13"/>
      <c r="F867" s="75"/>
      <c r="G867" s="13"/>
      <c r="H867" s="13"/>
      <c r="I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ht="14.25" customHeight="1">
      <c r="A868" s="13"/>
      <c r="B868" s="13"/>
      <c r="C868" s="13"/>
      <c r="D868" s="13"/>
      <c r="E868" s="13"/>
      <c r="F868" s="75"/>
      <c r="G868" s="13"/>
      <c r="H868" s="13"/>
      <c r="I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ht="14.25" customHeight="1">
      <c r="A869" s="13"/>
      <c r="B869" s="13"/>
      <c r="C869" s="13"/>
      <c r="D869" s="13"/>
      <c r="E869" s="13"/>
      <c r="F869" s="75"/>
      <c r="G869" s="13"/>
      <c r="H869" s="13"/>
      <c r="I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ht="14.25" customHeight="1">
      <c r="A870" s="13"/>
      <c r="B870" s="13"/>
      <c r="C870" s="13"/>
      <c r="D870" s="13"/>
      <c r="E870" s="13"/>
      <c r="F870" s="75"/>
      <c r="G870" s="13"/>
      <c r="H870" s="13"/>
      <c r="I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ht="14.25" customHeight="1">
      <c r="A871" s="13"/>
      <c r="B871" s="13"/>
      <c r="C871" s="13"/>
      <c r="D871" s="13"/>
      <c r="E871" s="13"/>
      <c r="F871" s="75"/>
      <c r="G871" s="13"/>
      <c r="H871" s="13"/>
      <c r="I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ht="14.25" customHeight="1">
      <c r="A872" s="13"/>
      <c r="B872" s="13"/>
      <c r="C872" s="13"/>
      <c r="D872" s="13"/>
      <c r="E872" s="13"/>
      <c r="F872" s="75"/>
      <c r="G872" s="13"/>
      <c r="H872" s="13"/>
      <c r="I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ht="14.25" customHeight="1">
      <c r="A873" s="13"/>
      <c r="B873" s="13"/>
      <c r="C873" s="13"/>
      <c r="D873" s="13"/>
      <c r="E873" s="13"/>
      <c r="F873" s="75"/>
      <c r="G873" s="13"/>
      <c r="H873" s="13"/>
      <c r="I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ht="14.25" customHeight="1">
      <c r="A874" s="13"/>
      <c r="B874" s="13"/>
      <c r="C874" s="13"/>
      <c r="D874" s="13"/>
      <c r="E874" s="13"/>
      <c r="F874" s="75"/>
      <c r="G874" s="13"/>
      <c r="H874" s="13"/>
      <c r="I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ht="14.25" customHeight="1">
      <c r="A875" s="13"/>
      <c r="B875" s="13"/>
      <c r="C875" s="13"/>
      <c r="D875" s="13"/>
      <c r="E875" s="13"/>
      <c r="F875" s="75"/>
      <c r="G875" s="13"/>
      <c r="H875" s="13"/>
      <c r="I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ht="14.25" customHeight="1">
      <c r="A876" s="13"/>
      <c r="B876" s="13"/>
      <c r="C876" s="13"/>
      <c r="D876" s="13"/>
      <c r="E876" s="13"/>
      <c r="F876" s="75"/>
      <c r="G876" s="13"/>
      <c r="H876" s="13"/>
      <c r="I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ht="14.25" customHeight="1">
      <c r="A877" s="13"/>
      <c r="B877" s="13"/>
      <c r="C877" s="13"/>
      <c r="D877" s="13"/>
      <c r="E877" s="13"/>
      <c r="F877" s="75"/>
      <c r="G877" s="13"/>
      <c r="H877" s="13"/>
      <c r="I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ht="14.25" customHeight="1">
      <c r="A878" s="13"/>
      <c r="B878" s="13"/>
      <c r="C878" s="13"/>
      <c r="D878" s="13"/>
      <c r="E878" s="13"/>
      <c r="F878" s="75"/>
      <c r="G878" s="13"/>
      <c r="H878" s="13"/>
      <c r="I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ht="14.25" customHeight="1">
      <c r="A879" s="13"/>
      <c r="B879" s="13"/>
      <c r="C879" s="13"/>
      <c r="D879" s="13"/>
      <c r="E879" s="13"/>
      <c r="F879" s="75"/>
      <c r="G879" s="13"/>
      <c r="H879" s="13"/>
      <c r="I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ht="14.25" customHeight="1">
      <c r="A880" s="13"/>
      <c r="B880" s="13"/>
      <c r="C880" s="13"/>
      <c r="D880" s="13"/>
      <c r="E880" s="13"/>
      <c r="F880" s="75"/>
      <c r="G880" s="13"/>
      <c r="H880" s="13"/>
      <c r="I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ht="14.25" customHeight="1">
      <c r="A881" s="13"/>
      <c r="B881" s="13"/>
      <c r="C881" s="13"/>
      <c r="D881" s="13"/>
      <c r="E881" s="13"/>
      <c r="F881" s="75"/>
      <c r="G881" s="13"/>
      <c r="H881" s="13"/>
      <c r="I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ht="14.25" customHeight="1">
      <c r="A882" s="13"/>
      <c r="B882" s="13"/>
      <c r="C882" s="13"/>
      <c r="D882" s="13"/>
      <c r="E882" s="13"/>
      <c r="F882" s="75"/>
      <c r="G882" s="13"/>
      <c r="H882" s="13"/>
      <c r="I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ht="14.25" customHeight="1">
      <c r="A883" s="13"/>
      <c r="B883" s="13"/>
      <c r="C883" s="13"/>
      <c r="D883" s="13"/>
      <c r="E883" s="13"/>
      <c r="F883" s="75"/>
      <c r="G883" s="13"/>
      <c r="H883" s="13"/>
      <c r="I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ht="14.25" customHeight="1">
      <c r="A884" s="13"/>
      <c r="B884" s="13"/>
      <c r="C884" s="13"/>
      <c r="D884" s="13"/>
      <c r="E884" s="13"/>
      <c r="F884" s="75"/>
      <c r="G884" s="13"/>
      <c r="H884" s="13"/>
      <c r="I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ht="14.25" customHeight="1">
      <c r="A885" s="13"/>
      <c r="B885" s="13"/>
      <c r="C885" s="13"/>
      <c r="D885" s="13"/>
      <c r="E885" s="13"/>
      <c r="F885" s="75"/>
      <c r="G885" s="13"/>
      <c r="H885" s="13"/>
      <c r="I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ht="14.25" customHeight="1">
      <c r="A886" s="13"/>
      <c r="B886" s="13"/>
      <c r="C886" s="13"/>
      <c r="D886" s="13"/>
      <c r="E886" s="13"/>
      <c r="F886" s="75"/>
      <c r="G886" s="13"/>
      <c r="H886" s="13"/>
      <c r="I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ht="14.25" customHeight="1">
      <c r="A887" s="13"/>
      <c r="B887" s="13"/>
      <c r="C887" s="13"/>
      <c r="D887" s="13"/>
      <c r="E887" s="13"/>
      <c r="F887" s="75"/>
      <c r="G887" s="13"/>
      <c r="H887" s="13"/>
      <c r="I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ht="14.25" customHeight="1">
      <c r="A888" s="13"/>
      <c r="B888" s="13"/>
      <c r="C888" s="13"/>
      <c r="D888" s="13"/>
      <c r="E888" s="13"/>
      <c r="F888" s="75"/>
      <c r="G888" s="13"/>
      <c r="H888" s="13"/>
      <c r="I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ht="14.25" customHeight="1">
      <c r="A889" s="13"/>
      <c r="B889" s="13"/>
      <c r="C889" s="13"/>
      <c r="D889" s="13"/>
      <c r="E889" s="13"/>
      <c r="F889" s="75"/>
      <c r="G889" s="13"/>
      <c r="H889" s="13"/>
      <c r="I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ht="14.25" customHeight="1">
      <c r="A890" s="13"/>
      <c r="B890" s="13"/>
      <c r="C890" s="13"/>
      <c r="D890" s="13"/>
      <c r="E890" s="13"/>
      <c r="F890" s="75"/>
      <c r="G890" s="13"/>
      <c r="H890" s="13"/>
      <c r="I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ht="14.25" customHeight="1">
      <c r="A891" s="13"/>
      <c r="B891" s="13"/>
      <c r="C891" s="13"/>
      <c r="D891" s="13"/>
      <c r="E891" s="13"/>
      <c r="F891" s="75"/>
      <c r="G891" s="13"/>
      <c r="H891" s="13"/>
      <c r="I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ht="14.25" customHeight="1">
      <c r="A892" s="13"/>
      <c r="B892" s="13"/>
      <c r="C892" s="13"/>
      <c r="D892" s="13"/>
      <c r="E892" s="13"/>
      <c r="F892" s="75"/>
      <c r="G892" s="13"/>
      <c r="H892" s="13"/>
      <c r="I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ht="14.25" customHeight="1">
      <c r="A893" s="13"/>
      <c r="B893" s="13"/>
      <c r="C893" s="13"/>
      <c r="D893" s="13"/>
      <c r="E893" s="13"/>
      <c r="F893" s="75"/>
      <c r="G893" s="13"/>
      <c r="H893" s="13"/>
      <c r="I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ht="14.25" customHeight="1">
      <c r="A894" s="13"/>
      <c r="B894" s="13"/>
      <c r="C894" s="13"/>
      <c r="D894" s="13"/>
      <c r="E894" s="13"/>
      <c r="F894" s="75"/>
      <c r="G894" s="13"/>
      <c r="H894" s="13"/>
      <c r="I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ht="14.25" customHeight="1">
      <c r="A895" s="13"/>
      <c r="B895" s="13"/>
      <c r="C895" s="13"/>
      <c r="D895" s="13"/>
      <c r="E895" s="13"/>
      <c r="F895" s="75"/>
      <c r="G895" s="13"/>
      <c r="H895" s="13"/>
      <c r="I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ht="14.25" customHeight="1">
      <c r="A896" s="13"/>
      <c r="B896" s="13"/>
      <c r="C896" s="13"/>
      <c r="D896" s="13"/>
      <c r="E896" s="13"/>
      <c r="F896" s="75"/>
      <c r="G896" s="13"/>
      <c r="H896" s="13"/>
      <c r="I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ht="14.25" customHeight="1">
      <c r="A897" s="13"/>
      <c r="B897" s="13"/>
      <c r="C897" s="13"/>
      <c r="D897" s="13"/>
      <c r="E897" s="13"/>
      <c r="F897" s="75"/>
      <c r="G897" s="13"/>
      <c r="H897" s="13"/>
      <c r="I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ht="14.25" customHeight="1">
      <c r="A898" s="13"/>
      <c r="B898" s="13"/>
      <c r="C898" s="13"/>
      <c r="D898" s="13"/>
      <c r="E898" s="13"/>
      <c r="F898" s="75"/>
      <c r="G898" s="13"/>
      <c r="H898" s="13"/>
      <c r="I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ht="14.25" customHeight="1">
      <c r="A899" s="13"/>
      <c r="B899" s="13"/>
      <c r="C899" s="13"/>
      <c r="D899" s="13"/>
      <c r="E899" s="13"/>
      <c r="F899" s="75"/>
      <c r="G899" s="13"/>
      <c r="H899" s="13"/>
      <c r="I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ht="14.25" customHeight="1">
      <c r="A900" s="13"/>
      <c r="B900" s="13"/>
      <c r="C900" s="13"/>
      <c r="D900" s="13"/>
      <c r="E900" s="13"/>
      <c r="F900" s="75"/>
      <c r="G900" s="13"/>
      <c r="H900" s="13"/>
      <c r="I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ht="14.25" customHeight="1">
      <c r="A901" s="13"/>
      <c r="B901" s="13"/>
      <c r="C901" s="13"/>
      <c r="D901" s="13"/>
      <c r="E901" s="13"/>
      <c r="F901" s="75"/>
      <c r="G901" s="13"/>
      <c r="H901" s="13"/>
      <c r="I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ht="14.25" customHeight="1">
      <c r="A902" s="13"/>
      <c r="B902" s="13"/>
      <c r="C902" s="13"/>
      <c r="D902" s="13"/>
      <c r="E902" s="13"/>
      <c r="F902" s="75"/>
      <c r="G902" s="13"/>
      <c r="H902" s="13"/>
      <c r="I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ht="14.25" customHeight="1">
      <c r="A903" s="13"/>
      <c r="B903" s="13"/>
      <c r="C903" s="13"/>
      <c r="D903" s="13"/>
      <c r="E903" s="13"/>
      <c r="F903" s="75"/>
      <c r="G903" s="13"/>
      <c r="H903" s="13"/>
      <c r="I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ht="14.25" customHeight="1">
      <c r="A904" s="13"/>
      <c r="B904" s="13"/>
      <c r="C904" s="13"/>
      <c r="D904" s="13"/>
      <c r="E904" s="13"/>
      <c r="F904" s="75"/>
      <c r="G904" s="13"/>
      <c r="H904" s="13"/>
      <c r="I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ht="14.25" customHeight="1">
      <c r="A905" s="13"/>
      <c r="B905" s="13"/>
      <c r="C905" s="13"/>
      <c r="D905" s="13"/>
      <c r="E905" s="13"/>
      <c r="F905" s="75"/>
      <c r="G905" s="13"/>
      <c r="H905" s="13"/>
      <c r="I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ht="14.25" customHeight="1">
      <c r="A906" s="13"/>
      <c r="B906" s="13"/>
      <c r="C906" s="13"/>
      <c r="D906" s="13"/>
      <c r="E906" s="13"/>
      <c r="F906" s="75"/>
      <c r="G906" s="13"/>
      <c r="H906" s="13"/>
      <c r="I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ht="14.25" customHeight="1">
      <c r="A907" s="13"/>
      <c r="B907" s="13"/>
      <c r="C907" s="13"/>
      <c r="D907" s="13"/>
      <c r="E907" s="13"/>
      <c r="F907" s="75"/>
      <c r="G907" s="13"/>
      <c r="H907" s="13"/>
      <c r="I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ht="14.25" customHeight="1">
      <c r="A908" s="13"/>
      <c r="B908" s="13"/>
      <c r="C908" s="13"/>
      <c r="D908" s="13"/>
      <c r="E908" s="13"/>
      <c r="F908" s="75"/>
      <c r="G908" s="13"/>
      <c r="H908" s="13"/>
      <c r="I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ht="14.25" customHeight="1">
      <c r="A909" s="13"/>
      <c r="B909" s="13"/>
      <c r="C909" s="13"/>
      <c r="D909" s="13"/>
      <c r="E909" s="13"/>
      <c r="F909" s="75"/>
      <c r="G909" s="13"/>
      <c r="H909" s="13"/>
      <c r="I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ht="14.25" customHeight="1">
      <c r="A910" s="13"/>
      <c r="B910" s="13"/>
      <c r="C910" s="13"/>
      <c r="D910" s="13"/>
      <c r="E910" s="13"/>
      <c r="F910" s="75"/>
      <c r="G910" s="13"/>
      <c r="H910" s="13"/>
      <c r="I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ht="14.25" customHeight="1">
      <c r="A911" s="13"/>
      <c r="B911" s="13"/>
      <c r="C911" s="13"/>
      <c r="D911" s="13"/>
      <c r="E911" s="13"/>
      <c r="F911" s="75"/>
      <c r="G911" s="13"/>
      <c r="H911" s="13"/>
      <c r="I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ht="14.25" customHeight="1">
      <c r="A912" s="13"/>
      <c r="B912" s="13"/>
      <c r="C912" s="13"/>
      <c r="D912" s="13"/>
      <c r="E912" s="13"/>
      <c r="F912" s="75"/>
      <c r="G912" s="13"/>
      <c r="H912" s="13"/>
      <c r="I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ht="14.25" customHeight="1">
      <c r="A913" s="13"/>
      <c r="B913" s="13"/>
      <c r="C913" s="13"/>
      <c r="D913" s="13"/>
      <c r="E913" s="13"/>
      <c r="F913" s="75"/>
      <c r="G913" s="13"/>
      <c r="H913" s="13"/>
      <c r="I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ht="14.25" customHeight="1">
      <c r="A914" s="13"/>
      <c r="B914" s="13"/>
      <c r="C914" s="13"/>
      <c r="D914" s="13"/>
      <c r="E914" s="13"/>
      <c r="F914" s="75"/>
      <c r="G914" s="13"/>
      <c r="H914" s="13"/>
      <c r="I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ht="14.25" customHeight="1">
      <c r="A915" s="13"/>
      <c r="B915" s="13"/>
      <c r="C915" s="13"/>
      <c r="D915" s="13"/>
      <c r="E915" s="13"/>
      <c r="F915" s="75"/>
      <c r="G915" s="13"/>
      <c r="H915" s="13"/>
      <c r="I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ht="14.25" customHeight="1">
      <c r="A916" s="13"/>
      <c r="B916" s="13"/>
      <c r="C916" s="13"/>
      <c r="D916" s="13"/>
      <c r="E916" s="13"/>
      <c r="F916" s="75"/>
      <c r="G916" s="13"/>
      <c r="H916" s="13"/>
      <c r="I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ht="14.25" customHeight="1">
      <c r="A917" s="13"/>
      <c r="B917" s="13"/>
      <c r="C917" s="13"/>
      <c r="D917" s="13"/>
      <c r="E917" s="13"/>
      <c r="F917" s="75"/>
      <c r="G917" s="13"/>
      <c r="H917" s="13"/>
      <c r="I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ht="14.25" customHeight="1">
      <c r="A918" s="13"/>
      <c r="B918" s="13"/>
      <c r="C918" s="13"/>
      <c r="D918" s="13"/>
      <c r="E918" s="13"/>
      <c r="F918" s="75"/>
      <c r="G918" s="13"/>
      <c r="H918" s="13"/>
      <c r="I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ht="14.25" customHeight="1">
      <c r="A919" s="13"/>
      <c r="B919" s="13"/>
      <c r="C919" s="13"/>
      <c r="D919" s="13"/>
      <c r="E919" s="13"/>
      <c r="F919" s="75"/>
      <c r="G919" s="13"/>
      <c r="H919" s="13"/>
      <c r="I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ht="14.25" customHeight="1">
      <c r="A920" s="13"/>
      <c r="B920" s="13"/>
      <c r="C920" s="13"/>
      <c r="D920" s="13"/>
      <c r="E920" s="13"/>
      <c r="F920" s="75"/>
      <c r="G920" s="13"/>
      <c r="H920" s="13"/>
      <c r="I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ht="14.25" customHeight="1">
      <c r="A921" s="13"/>
      <c r="B921" s="13"/>
      <c r="C921" s="13"/>
      <c r="D921" s="13"/>
      <c r="E921" s="13"/>
      <c r="F921" s="75"/>
      <c r="G921" s="13"/>
      <c r="H921" s="13"/>
      <c r="I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ht="14.25" customHeight="1">
      <c r="A922" s="13"/>
      <c r="B922" s="13"/>
      <c r="C922" s="13"/>
      <c r="D922" s="13"/>
      <c r="E922" s="13"/>
      <c r="F922" s="75"/>
      <c r="G922" s="13"/>
      <c r="H922" s="13"/>
      <c r="I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ht="14.25" customHeight="1">
      <c r="A923" s="13"/>
      <c r="B923" s="13"/>
      <c r="C923" s="13"/>
      <c r="D923" s="13"/>
      <c r="E923" s="13"/>
      <c r="F923" s="75"/>
      <c r="G923" s="13"/>
      <c r="H923" s="13"/>
      <c r="I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ht="14.25" customHeight="1">
      <c r="A924" s="13"/>
      <c r="B924" s="13"/>
      <c r="C924" s="13"/>
      <c r="D924" s="13"/>
      <c r="E924" s="13"/>
      <c r="F924" s="75"/>
      <c r="G924" s="13"/>
      <c r="H924" s="13"/>
      <c r="I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ht="14.25" customHeight="1">
      <c r="A925" s="13"/>
      <c r="B925" s="13"/>
      <c r="C925" s="13"/>
      <c r="D925" s="13"/>
      <c r="E925" s="13"/>
      <c r="F925" s="75"/>
      <c r="G925" s="13"/>
      <c r="H925" s="13"/>
      <c r="I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ht="14.25" customHeight="1">
      <c r="A926" s="13"/>
      <c r="B926" s="13"/>
      <c r="C926" s="13"/>
      <c r="D926" s="13"/>
      <c r="E926" s="13"/>
      <c r="F926" s="75"/>
      <c r="G926" s="13"/>
      <c r="H926" s="13"/>
      <c r="I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ht="14.25" customHeight="1">
      <c r="A927" s="13"/>
      <c r="B927" s="13"/>
      <c r="C927" s="13"/>
      <c r="D927" s="13"/>
      <c r="E927" s="13"/>
      <c r="F927" s="75"/>
      <c r="G927" s="13"/>
      <c r="H927" s="13"/>
      <c r="I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ht="14.25" customHeight="1">
      <c r="A928" s="13"/>
      <c r="B928" s="13"/>
      <c r="C928" s="13"/>
      <c r="D928" s="13"/>
      <c r="E928" s="13"/>
      <c r="F928" s="75"/>
      <c r="G928" s="13"/>
      <c r="H928" s="13"/>
      <c r="I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ht="14.25" customHeight="1">
      <c r="A929" s="13"/>
      <c r="B929" s="13"/>
      <c r="C929" s="13"/>
      <c r="D929" s="13"/>
      <c r="E929" s="13"/>
      <c r="F929" s="75"/>
      <c r="G929" s="13"/>
      <c r="H929" s="13"/>
      <c r="I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ht="14.25" customHeight="1">
      <c r="A930" s="13"/>
      <c r="B930" s="13"/>
      <c r="C930" s="13"/>
      <c r="D930" s="13"/>
      <c r="E930" s="13"/>
      <c r="F930" s="75"/>
      <c r="G930" s="13"/>
      <c r="H930" s="13"/>
      <c r="I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ht="14.25" customHeight="1">
      <c r="A931" s="13"/>
      <c r="B931" s="13"/>
      <c r="C931" s="13"/>
      <c r="D931" s="13"/>
      <c r="E931" s="13"/>
      <c r="F931" s="75"/>
      <c r="G931" s="13"/>
      <c r="H931" s="13"/>
      <c r="I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ht="14.25" customHeight="1">
      <c r="A932" s="13"/>
      <c r="B932" s="13"/>
      <c r="C932" s="13"/>
      <c r="D932" s="13"/>
      <c r="E932" s="13"/>
      <c r="F932" s="75"/>
      <c r="G932" s="13"/>
      <c r="H932" s="13"/>
      <c r="I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ht="14.25" customHeight="1">
      <c r="A933" s="13"/>
      <c r="B933" s="13"/>
      <c r="C933" s="13"/>
      <c r="D933" s="13"/>
      <c r="E933" s="13"/>
      <c r="F933" s="75"/>
      <c r="G933" s="13"/>
      <c r="H933" s="13"/>
      <c r="I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ht="14.25" customHeight="1">
      <c r="A934" s="13"/>
      <c r="B934" s="13"/>
      <c r="C934" s="13"/>
      <c r="D934" s="13"/>
      <c r="E934" s="13"/>
      <c r="F934" s="75"/>
      <c r="G934" s="13"/>
      <c r="H934" s="13"/>
      <c r="I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ht="14.25" customHeight="1">
      <c r="A935" s="13"/>
      <c r="B935" s="13"/>
      <c r="C935" s="13"/>
      <c r="D935" s="13"/>
      <c r="E935" s="13"/>
      <c r="F935" s="75"/>
      <c r="G935" s="13"/>
      <c r="H935" s="13"/>
      <c r="I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ht="14.25" customHeight="1">
      <c r="A936" s="13"/>
      <c r="B936" s="13"/>
      <c r="C936" s="13"/>
      <c r="D936" s="13"/>
      <c r="E936" s="13"/>
      <c r="F936" s="75"/>
      <c r="G936" s="13"/>
      <c r="H936" s="13"/>
      <c r="I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ht="14.25" customHeight="1">
      <c r="A937" s="13"/>
      <c r="B937" s="13"/>
      <c r="C937" s="13"/>
      <c r="D937" s="13"/>
      <c r="E937" s="13"/>
      <c r="F937" s="75"/>
      <c r="G937" s="13"/>
      <c r="H937" s="13"/>
      <c r="I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ht="14.25" customHeight="1">
      <c r="A938" s="13"/>
      <c r="B938" s="13"/>
      <c r="C938" s="13"/>
      <c r="D938" s="13"/>
      <c r="E938" s="13"/>
      <c r="F938" s="75"/>
      <c r="G938" s="13"/>
      <c r="H938" s="13"/>
      <c r="I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ht="14.25" customHeight="1">
      <c r="A939" s="13"/>
      <c r="B939" s="13"/>
      <c r="C939" s="13"/>
      <c r="D939" s="13"/>
      <c r="E939" s="13"/>
      <c r="F939" s="75"/>
      <c r="G939" s="13"/>
      <c r="H939" s="13"/>
      <c r="I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ht="14.25" customHeight="1">
      <c r="A940" s="13"/>
      <c r="B940" s="13"/>
      <c r="C940" s="13"/>
      <c r="D940" s="13"/>
      <c r="E940" s="13"/>
      <c r="F940" s="75"/>
      <c r="G940" s="13"/>
      <c r="H940" s="13"/>
      <c r="I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ht="14.25" customHeight="1">
      <c r="A941" s="13"/>
      <c r="B941" s="13"/>
      <c r="C941" s="13"/>
      <c r="D941" s="13"/>
      <c r="E941" s="13"/>
      <c r="F941" s="75"/>
      <c r="G941" s="13"/>
      <c r="H941" s="13"/>
      <c r="I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ht="14.25" customHeight="1">
      <c r="A942" s="13"/>
      <c r="B942" s="13"/>
      <c r="C942" s="13"/>
      <c r="D942" s="13"/>
      <c r="E942" s="13"/>
      <c r="F942" s="75"/>
      <c r="G942" s="13"/>
      <c r="H942" s="13"/>
      <c r="I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ht="14.25" customHeight="1">
      <c r="A943" s="13"/>
      <c r="B943" s="13"/>
      <c r="C943" s="13"/>
      <c r="D943" s="13"/>
      <c r="E943" s="13"/>
      <c r="F943" s="75"/>
      <c r="G943" s="13"/>
      <c r="H943" s="13"/>
      <c r="I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ht="14.25" customHeight="1">
      <c r="A944" s="13"/>
      <c r="B944" s="13"/>
      <c r="C944" s="13"/>
      <c r="D944" s="13"/>
      <c r="E944" s="13"/>
      <c r="F944" s="75"/>
      <c r="G944" s="13"/>
      <c r="H944" s="13"/>
      <c r="I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ht="14.25" customHeight="1">
      <c r="A945" s="13"/>
      <c r="B945" s="13"/>
      <c r="C945" s="13"/>
      <c r="D945" s="13"/>
      <c r="E945" s="13"/>
      <c r="F945" s="75"/>
      <c r="G945" s="13"/>
      <c r="H945" s="13"/>
      <c r="I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ht="14.25" customHeight="1">
      <c r="A946" s="13"/>
      <c r="B946" s="13"/>
      <c r="C946" s="13"/>
      <c r="D946" s="13"/>
      <c r="E946" s="13"/>
      <c r="F946" s="75"/>
      <c r="G946" s="13"/>
      <c r="H946" s="13"/>
      <c r="I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ht="14.25" customHeight="1">
      <c r="A947" s="13"/>
      <c r="B947" s="13"/>
      <c r="C947" s="13"/>
      <c r="D947" s="13"/>
      <c r="E947" s="13"/>
      <c r="F947" s="75"/>
      <c r="G947" s="13"/>
      <c r="H947" s="13"/>
      <c r="I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ht="14.25" customHeight="1">
      <c r="A948" s="13"/>
      <c r="B948" s="13"/>
      <c r="C948" s="13"/>
      <c r="D948" s="13"/>
      <c r="E948" s="13"/>
      <c r="F948" s="75"/>
      <c r="G948" s="13"/>
      <c r="H948" s="13"/>
      <c r="I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ht="14.25" customHeight="1">
      <c r="A949" s="13"/>
      <c r="B949" s="13"/>
      <c r="C949" s="13"/>
      <c r="D949" s="13"/>
      <c r="E949" s="13"/>
      <c r="F949" s="75"/>
      <c r="G949" s="13"/>
      <c r="H949" s="13"/>
      <c r="I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ht="14.25" customHeight="1">
      <c r="A950" s="13"/>
      <c r="B950" s="13"/>
      <c r="C950" s="13"/>
      <c r="D950" s="13"/>
      <c r="E950" s="13"/>
      <c r="F950" s="75"/>
      <c r="G950" s="13"/>
      <c r="H950" s="13"/>
      <c r="I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ht="14.25" customHeight="1">
      <c r="A951" s="13"/>
      <c r="B951" s="13"/>
      <c r="C951" s="13"/>
      <c r="D951" s="13"/>
      <c r="E951" s="13"/>
      <c r="F951" s="75"/>
      <c r="G951" s="13"/>
      <c r="H951" s="13"/>
      <c r="I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ht="14.25" customHeight="1">
      <c r="A952" s="13"/>
      <c r="B952" s="13"/>
      <c r="C952" s="13"/>
      <c r="D952" s="13"/>
      <c r="E952" s="13"/>
      <c r="F952" s="75"/>
      <c r="G952" s="13"/>
      <c r="H952" s="13"/>
      <c r="I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ht="14.25" customHeight="1">
      <c r="A953" s="13"/>
      <c r="B953" s="13"/>
      <c r="C953" s="13"/>
      <c r="D953" s="13"/>
      <c r="E953" s="13"/>
      <c r="F953" s="75"/>
      <c r="G953" s="13"/>
      <c r="H953" s="13"/>
      <c r="I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ht="14.25" customHeight="1">
      <c r="A954" s="13"/>
      <c r="B954" s="13"/>
      <c r="C954" s="13"/>
      <c r="D954" s="13"/>
      <c r="E954" s="13"/>
      <c r="F954" s="75"/>
      <c r="G954" s="13"/>
      <c r="H954" s="13"/>
      <c r="I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ht="14.25" customHeight="1">
      <c r="A955" s="13"/>
      <c r="B955" s="13"/>
      <c r="C955" s="13"/>
      <c r="D955" s="13"/>
      <c r="E955" s="13"/>
      <c r="F955" s="75"/>
      <c r="G955" s="13"/>
      <c r="H955" s="13"/>
      <c r="I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ht="14.25" customHeight="1">
      <c r="A956" s="13"/>
      <c r="B956" s="13"/>
      <c r="C956" s="13"/>
      <c r="D956" s="13"/>
      <c r="E956" s="13"/>
      <c r="F956" s="75"/>
      <c r="G956" s="13"/>
      <c r="H956" s="13"/>
      <c r="I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ht="14.25" customHeight="1">
      <c r="A957" s="13"/>
      <c r="B957" s="13"/>
      <c r="C957" s="13"/>
      <c r="D957" s="13"/>
      <c r="E957" s="13"/>
      <c r="F957" s="75"/>
      <c r="G957" s="13"/>
      <c r="H957" s="13"/>
      <c r="I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ht="14.25" customHeight="1">
      <c r="A958" s="13"/>
      <c r="B958" s="13"/>
      <c r="C958" s="13"/>
      <c r="D958" s="13"/>
      <c r="E958" s="13"/>
      <c r="F958" s="75"/>
      <c r="G958" s="13"/>
      <c r="H958" s="13"/>
      <c r="I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ht="14.25" customHeight="1">
      <c r="A959" s="13"/>
      <c r="B959" s="13"/>
      <c r="C959" s="13"/>
      <c r="D959" s="13"/>
      <c r="E959" s="13"/>
      <c r="F959" s="75"/>
      <c r="G959" s="13"/>
      <c r="H959" s="13"/>
      <c r="I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ht="14.25" customHeight="1">
      <c r="A960" s="13"/>
      <c r="B960" s="13"/>
      <c r="C960" s="13"/>
      <c r="D960" s="13"/>
      <c r="E960" s="13"/>
      <c r="F960" s="75"/>
      <c r="G960" s="13"/>
      <c r="H960" s="13"/>
      <c r="I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ht="14.25" customHeight="1">
      <c r="A961" s="13"/>
      <c r="B961" s="13"/>
      <c r="C961" s="13"/>
      <c r="D961" s="13"/>
      <c r="E961" s="13"/>
      <c r="F961" s="75"/>
      <c r="G961" s="13"/>
      <c r="H961" s="13"/>
      <c r="I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ht="14.25" customHeight="1">
      <c r="A962" s="13"/>
      <c r="B962" s="13"/>
      <c r="C962" s="13"/>
      <c r="D962" s="13"/>
      <c r="E962" s="13"/>
      <c r="F962" s="75"/>
      <c r="G962" s="13"/>
      <c r="H962" s="13"/>
      <c r="I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ht="14.25" customHeight="1">
      <c r="A963" s="13"/>
      <c r="B963" s="13"/>
      <c r="C963" s="13"/>
      <c r="D963" s="13"/>
      <c r="E963" s="13"/>
      <c r="F963" s="75"/>
      <c r="G963" s="13"/>
      <c r="H963" s="13"/>
      <c r="I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ht="14.25" customHeight="1">
      <c r="A964" s="13"/>
      <c r="B964" s="13"/>
      <c r="C964" s="13"/>
      <c r="D964" s="13"/>
      <c r="E964" s="13"/>
      <c r="F964" s="75"/>
      <c r="G964" s="13"/>
      <c r="H964" s="13"/>
      <c r="I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ht="14.25" customHeight="1">
      <c r="A965" s="13"/>
      <c r="B965" s="13"/>
      <c r="C965" s="13"/>
      <c r="D965" s="13"/>
      <c r="E965" s="13"/>
      <c r="F965" s="75"/>
      <c r="G965" s="13"/>
      <c r="H965" s="13"/>
      <c r="I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ht="14.25" customHeight="1">
      <c r="A966" s="13"/>
      <c r="B966" s="13"/>
      <c r="C966" s="13"/>
      <c r="D966" s="13"/>
      <c r="E966" s="13"/>
      <c r="F966" s="75"/>
      <c r="G966" s="13"/>
      <c r="H966" s="13"/>
      <c r="I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ht="14.25" customHeight="1">
      <c r="A967" s="13"/>
      <c r="B967" s="13"/>
      <c r="C967" s="13"/>
      <c r="D967" s="13"/>
      <c r="E967" s="13"/>
      <c r="F967" s="75"/>
      <c r="G967" s="13"/>
      <c r="H967" s="13"/>
      <c r="I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ht="14.25" customHeight="1">
      <c r="A968" s="13"/>
      <c r="B968" s="13"/>
      <c r="C968" s="13"/>
      <c r="D968" s="13"/>
      <c r="E968" s="13"/>
      <c r="F968" s="75"/>
      <c r="G968" s="13"/>
      <c r="H968" s="13"/>
      <c r="I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ht="14.25" customHeight="1">
      <c r="A969" s="13"/>
      <c r="B969" s="13"/>
      <c r="C969" s="13"/>
      <c r="D969" s="13"/>
      <c r="E969" s="13"/>
      <c r="F969" s="75"/>
      <c r="G969" s="13"/>
      <c r="H969" s="13"/>
      <c r="I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ht="14.25" customHeight="1">
      <c r="A970" s="13"/>
      <c r="B970" s="13"/>
      <c r="C970" s="13"/>
      <c r="D970" s="13"/>
      <c r="E970" s="13"/>
      <c r="F970" s="75"/>
      <c r="G970" s="13"/>
      <c r="H970" s="13"/>
      <c r="I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ht="14.25" customHeight="1">
      <c r="A971" s="13"/>
      <c r="B971" s="13"/>
      <c r="C971" s="13"/>
      <c r="D971" s="13"/>
      <c r="E971" s="13"/>
      <c r="F971" s="75"/>
      <c r="G971" s="13"/>
      <c r="H971" s="13"/>
      <c r="I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ht="14.25" customHeight="1">
      <c r="A972" s="13"/>
      <c r="B972" s="13"/>
      <c r="C972" s="13"/>
      <c r="D972" s="13"/>
      <c r="E972" s="13"/>
      <c r="F972" s="75"/>
      <c r="G972" s="13"/>
      <c r="H972" s="13"/>
      <c r="I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ht="14.25" customHeight="1">
      <c r="A973" s="13"/>
      <c r="B973" s="13"/>
      <c r="C973" s="13"/>
      <c r="D973" s="13"/>
      <c r="E973" s="13"/>
      <c r="F973" s="75"/>
      <c r="G973" s="13"/>
      <c r="H973" s="13"/>
      <c r="I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ht="14.25" customHeight="1">
      <c r="A974" s="13"/>
      <c r="B974" s="13"/>
      <c r="C974" s="13"/>
      <c r="D974" s="13"/>
      <c r="E974" s="13"/>
      <c r="F974" s="75"/>
      <c r="G974" s="13"/>
      <c r="H974" s="13"/>
      <c r="I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ht="14.25" customHeight="1">
      <c r="A975" s="13"/>
      <c r="B975" s="13"/>
      <c r="C975" s="13"/>
      <c r="D975" s="13"/>
      <c r="E975" s="13"/>
      <c r="F975" s="75"/>
      <c r="G975" s="13"/>
      <c r="H975" s="13"/>
      <c r="I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ht="14.25" customHeight="1">
      <c r="A976" s="13"/>
      <c r="B976" s="13"/>
      <c r="C976" s="13"/>
      <c r="D976" s="13"/>
      <c r="E976" s="13"/>
      <c r="F976" s="75"/>
      <c r="G976" s="13"/>
      <c r="H976" s="13"/>
      <c r="I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ht="14.25" customHeight="1">
      <c r="A977" s="13"/>
      <c r="B977" s="13"/>
      <c r="C977" s="13"/>
      <c r="D977" s="13"/>
      <c r="E977" s="13"/>
      <c r="F977" s="75"/>
      <c r="G977" s="13"/>
      <c r="H977" s="13"/>
      <c r="I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ht="14.25" customHeight="1">
      <c r="A978" s="13"/>
      <c r="B978" s="13"/>
      <c r="C978" s="13"/>
      <c r="D978" s="13"/>
      <c r="E978" s="13"/>
      <c r="F978" s="75"/>
      <c r="G978" s="13"/>
      <c r="H978" s="13"/>
      <c r="I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ht="14.25" customHeight="1">
      <c r="A979" s="13"/>
      <c r="B979" s="13"/>
      <c r="C979" s="13"/>
      <c r="D979" s="13"/>
      <c r="E979" s="13"/>
      <c r="F979" s="75"/>
      <c r="G979" s="13"/>
      <c r="H979" s="13"/>
      <c r="I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ht="14.25" customHeight="1">
      <c r="A980" s="13"/>
      <c r="B980" s="13"/>
      <c r="C980" s="13"/>
      <c r="D980" s="13"/>
      <c r="E980" s="13"/>
      <c r="F980" s="75"/>
      <c r="G980" s="13"/>
      <c r="H980" s="13"/>
      <c r="I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ht="14.25" customHeight="1">
      <c r="A981" s="13"/>
      <c r="B981" s="13"/>
      <c r="C981" s="13"/>
      <c r="D981" s="13"/>
      <c r="E981" s="13"/>
      <c r="F981" s="75"/>
      <c r="G981" s="13"/>
      <c r="H981" s="13"/>
      <c r="I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ht="14.25" customHeight="1">
      <c r="A982" s="13"/>
      <c r="B982" s="13"/>
      <c r="C982" s="13"/>
      <c r="D982" s="13"/>
      <c r="E982" s="13"/>
      <c r="F982" s="75"/>
      <c r="G982" s="13"/>
      <c r="H982" s="13"/>
      <c r="I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ht="14.25" customHeight="1">
      <c r="A983" s="13"/>
      <c r="B983" s="13"/>
      <c r="C983" s="13"/>
      <c r="D983" s="13"/>
      <c r="E983" s="13"/>
      <c r="F983" s="75"/>
      <c r="G983" s="13"/>
      <c r="H983" s="13"/>
      <c r="I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ht="14.25" customHeight="1">
      <c r="A984" s="13"/>
      <c r="B984" s="13"/>
      <c r="C984" s="13"/>
      <c r="D984" s="13"/>
      <c r="E984" s="13"/>
      <c r="F984" s="75"/>
      <c r="G984" s="13"/>
      <c r="H984" s="13"/>
      <c r="I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ht="14.25" customHeight="1">
      <c r="A985" s="13"/>
      <c r="B985" s="13"/>
      <c r="C985" s="13"/>
      <c r="D985" s="13"/>
      <c r="E985" s="13"/>
      <c r="F985" s="75"/>
      <c r="G985" s="13"/>
      <c r="H985" s="13"/>
      <c r="I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spans="1:25" ht="14.25" customHeight="1">
      <c r="A986" s="13"/>
      <c r="B986" s="13"/>
      <c r="C986" s="13"/>
      <c r="D986" s="13"/>
      <c r="E986" s="13"/>
      <c r="F986" s="75"/>
      <c r="G986" s="13"/>
      <c r="H986" s="13"/>
      <c r="I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spans="1:25" ht="14.25" customHeight="1">
      <c r="A987" s="13"/>
      <c r="B987" s="13"/>
      <c r="C987" s="13"/>
      <c r="D987" s="13"/>
      <c r="E987" s="13"/>
      <c r="F987" s="75"/>
      <c r="G987" s="13"/>
      <c r="H987" s="13"/>
      <c r="I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spans="1:25" ht="14.25" customHeight="1">
      <c r="A988" s="13"/>
      <c r="B988" s="13"/>
      <c r="C988" s="13"/>
      <c r="D988" s="13"/>
      <c r="E988" s="13"/>
      <c r="F988" s="75"/>
      <c r="G988" s="13"/>
      <c r="H988" s="13"/>
      <c r="I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spans="1:25" ht="14.25" customHeight="1">
      <c r="A989" s="13"/>
      <c r="B989" s="13"/>
      <c r="C989" s="13"/>
      <c r="D989" s="13"/>
      <c r="E989" s="13"/>
      <c r="F989" s="75"/>
      <c r="G989" s="13"/>
      <c r="H989" s="13"/>
      <c r="I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spans="1:25" ht="14.25" customHeight="1">
      <c r="A990" s="13"/>
      <c r="B990" s="13"/>
      <c r="C990" s="13"/>
      <c r="D990" s="13"/>
      <c r="E990" s="13"/>
      <c r="F990" s="75"/>
      <c r="G990" s="13"/>
      <c r="H990" s="13"/>
      <c r="I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spans="1:25" ht="14.25" customHeight="1">
      <c r="A991" s="13"/>
      <c r="B991" s="13"/>
      <c r="C991" s="13"/>
      <c r="D991" s="13"/>
      <c r="E991" s="13"/>
      <c r="F991" s="75"/>
      <c r="G991" s="13"/>
      <c r="H991" s="13"/>
      <c r="I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spans="1:25" ht="14.25" customHeight="1">
      <c r="A992" s="13"/>
      <c r="B992" s="13"/>
      <c r="C992" s="13"/>
      <c r="D992" s="13"/>
      <c r="E992" s="13"/>
      <c r="F992" s="75"/>
      <c r="G992" s="13"/>
      <c r="H992" s="13"/>
      <c r="I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spans="1:25" ht="14.25" customHeight="1">
      <c r="A993" s="13"/>
      <c r="B993" s="13"/>
      <c r="C993" s="13"/>
      <c r="D993" s="13"/>
      <c r="E993" s="13"/>
      <c r="F993" s="75"/>
      <c r="G993" s="13"/>
      <c r="H993" s="13"/>
      <c r="I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spans="1:25" ht="14.25" customHeight="1">
      <c r="A994" s="13"/>
      <c r="B994" s="13"/>
      <c r="C994" s="13"/>
      <c r="D994" s="13"/>
      <c r="E994" s="13"/>
      <c r="F994" s="75"/>
      <c r="G994" s="13"/>
      <c r="H994" s="13"/>
      <c r="I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spans="1:25" ht="14.25" customHeight="1">
      <c r="A995" s="13"/>
      <c r="B995" s="13"/>
      <c r="C995" s="13"/>
      <c r="D995" s="13"/>
      <c r="E995" s="13"/>
      <c r="F995" s="75"/>
      <c r="G995" s="13"/>
      <c r="H995" s="13"/>
      <c r="I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spans="1:25" ht="14.25" customHeight="1">
      <c r="A996" s="13"/>
      <c r="B996" s="13"/>
      <c r="C996" s="13"/>
      <c r="D996" s="13"/>
      <c r="E996" s="13"/>
      <c r="F996" s="75"/>
      <c r="G996" s="13"/>
      <c r="H996" s="13"/>
      <c r="I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spans="1:25" ht="14.25" customHeight="1">
      <c r="A997" s="13"/>
      <c r="B997" s="13"/>
      <c r="C997" s="13"/>
      <c r="D997" s="13"/>
      <c r="E997" s="13"/>
      <c r="F997" s="75"/>
      <c r="G997" s="13"/>
      <c r="H997" s="13"/>
      <c r="I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spans="1:25" ht="14.25" customHeight="1">
      <c r="A998" s="13"/>
      <c r="B998" s="13"/>
      <c r="C998" s="13"/>
      <c r="D998" s="13"/>
      <c r="E998" s="13"/>
      <c r="F998" s="75"/>
      <c r="G998" s="13"/>
      <c r="H998" s="13"/>
      <c r="I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spans="1:25" ht="14.25" customHeight="1">
      <c r="A999" s="13"/>
      <c r="B999" s="13"/>
      <c r="C999" s="13"/>
      <c r="D999" s="13"/>
      <c r="E999" s="13"/>
      <c r="F999" s="75"/>
      <c r="G999" s="13"/>
      <c r="H999" s="13"/>
      <c r="I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spans="1:25" ht="14.25" customHeight="1">
      <c r="A1000" s="13"/>
      <c r="B1000" s="13"/>
      <c r="C1000" s="13"/>
      <c r="D1000" s="13"/>
      <c r="E1000" s="13"/>
      <c r="F1000" s="75"/>
      <c r="G1000" s="13"/>
      <c r="H1000" s="13"/>
      <c r="I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</sheetData>
  <autoFilter ref="A2:Y51" xr:uid="{00000000-0009-0000-0000-000002000000}"/>
  <mergeCells count="1">
    <mergeCell ref="A1:H1"/>
  </mergeCells>
  <dataValidations count="1">
    <dataValidation type="list" allowBlank="1" showErrorMessage="1" sqref="F3:F50" xr:uid="{00000000-0002-0000-0200-000000000000}">
      <formula1>"Василеостровский,Выборгский,Калининский,Колпинский,Красногвардейский,Красносельский,Московский,Невский,Петроградский,Приморский,Пушкинский,Фрунзенский,Центральный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C1000"/>
  <sheetViews>
    <sheetView workbookViewId="0">
      <selection sqref="A1:I1"/>
    </sheetView>
  </sheetViews>
  <sheetFormatPr defaultColWidth="12.5703125" defaultRowHeight="15" customHeight="1"/>
  <cols>
    <col min="1" max="1" width="5.42578125" customWidth="1"/>
    <col min="2" max="2" width="11.85546875" customWidth="1"/>
    <col min="3" max="3" width="11.5703125" customWidth="1"/>
    <col min="4" max="4" width="12.42578125" customWidth="1"/>
    <col min="5" max="5" width="10.140625" customWidth="1"/>
    <col min="6" max="6" width="17.28515625" customWidth="1"/>
    <col min="7" max="8" width="13.7109375" customWidth="1"/>
    <col min="9" max="9" width="19.7109375" customWidth="1"/>
    <col min="10" max="10" width="24.7109375" customWidth="1"/>
    <col min="11" max="11" width="15.85546875" customWidth="1"/>
    <col min="12" max="29" width="11.5703125" customWidth="1"/>
  </cols>
  <sheetData>
    <row r="1" spans="1:29" ht="14.25" customHeight="1">
      <c r="A1" s="182" t="s">
        <v>5</v>
      </c>
      <c r="B1" s="180"/>
      <c r="C1" s="180"/>
      <c r="D1" s="180"/>
      <c r="E1" s="180"/>
      <c r="F1" s="180"/>
      <c r="G1" s="180"/>
      <c r="H1" s="180"/>
      <c r="I1" s="181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14.25" customHeight="1">
      <c r="A2" s="10" t="s">
        <v>11</v>
      </c>
      <c r="B2" s="10" t="s">
        <v>13</v>
      </c>
      <c r="C2" s="10" t="s">
        <v>14</v>
      </c>
      <c r="D2" s="10" t="s">
        <v>15</v>
      </c>
      <c r="E2" s="10" t="s">
        <v>16</v>
      </c>
      <c r="F2" s="10" t="s">
        <v>17</v>
      </c>
      <c r="G2" s="10" t="s">
        <v>18</v>
      </c>
      <c r="H2" s="10"/>
      <c r="I2" s="10" t="s">
        <v>9</v>
      </c>
      <c r="J2" s="15" t="s">
        <v>19</v>
      </c>
      <c r="K2" s="18" t="s">
        <v>24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14.25" hidden="1" customHeight="1">
      <c r="A3" s="21">
        <v>1</v>
      </c>
      <c r="B3" s="21" t="s">
        <v>32</v>
      </c>
      <c r="C3" s="21" t="s">
        <v>33</v>
      </c>
      <c r="D3" s="21">
        <v>15.3</v>
      </c>
      <c r="E3" s="21">
        <v>8.5</v>
      </c>
      <c r="F3" s="26" t="s">
        <v>51</v>
      </c>
      <c r="G3" s="27" t="s">
        <v>54</v>
      </c>
      <c r="H3" s="26"/>
      <c r="I3" s="183" t="s">
        <v>59</v>
      </c>
      <c r="J3" s="32" t="s">
        <v>68</v>
      </c>
      <c r="K3" s="28" t="s">
        <v>24</v>
      </c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</row>
    <row r="4" spans="1:29" ht="14.25" hidden="1" customHeight="1">
      <c r="A4" s="21">
        <v>2</v>
      </c>
      <c r="B4" s="21" t="s">
        <v>32</v>
      </c>
      <c r="C4" s="21" t="s">
        <v>84</v>
      </c>
      <c r="D4" s="21">
        <v>8</v>
      </c>
      <c r="E4" s="21" t="s">
        <v>61</v>
      </c>
      <c r="F4" s="37" t="s">
        <v>51</v>
      </c>
      <c r="G4" s="27" t="s">
        <v>54</v>
      </c>
      <c r="H4" s="26"/>
      <c r="I4" s="184"/>
      <c r="J4" s="40"/>
      <c r="K4" s="4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</row>
    <row r="5" spans="1:29" ht="14.25" hidden="1" customHeight="1">
      <c r="A5" s="47">
        <v>3</v>
      </c>
      <c r="B5" s="47" t="s">
        <v>128</v>
      </c>
      <c r="C5" s="47" t="s">
        <v>129</v>
      </c>
      <c r="D5" s="47">
        <v>15.3</v>
      </c>
      <c r="E5" s="47">
        <v>8.5</v>
      </c>
      <c r="F5" s="47" t="s">
        <v>118</v>
      </c>
      <c r="G5" s="48" t="s">
        <v>54</v>
      </c>
      <c r="H5" s="47"/>
      <c r="I5" s="185" t="s">
        <v>59</v>
      </c>
      <c r="J5" s="40"/>
      <c r="K5" s="4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</row>
    <row r="6" spans="1:29" ht="14.25" hidden="1" customHeight="1">
      <c r="A6" s="47">
        <v>4</v>
      </c>
      <c r="B6" s="47" t="s">
        <v>128</v>
      </c>
      <c r="C6" s="47" t="s">
        <v>163</v>
      </c>
      <c r="D6" s="47">
        <v>7.5</v>
      </c>
      <c r="E6" s="47" t="s">
        <v>61</v>
      </c>
      <c r="F6" s="21" t="s">
        <v>118</v>
      </c>
      <c r="G6" s="54" t="s">
        <v>54</v>
      </c>
      <c r="H6" s="56"/>
      <c r="I6" s="184"/>
      <c r="J6" s="40"/>
      <c r="K6" s="4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</row>
    <row r="7" spans="1:29" ht="14.25" hidden="1" customHeight="1">
      <c r="A7" s="21">
        <v>5</v>
      </c>
      <c r="B7" s="21" t="s">
        <v>128</v>
      </c>
      <c r="C7" s="21" t="s">
        <v>33</v>
      </c>
      <c r="D7" s="21">
        <v>15.4</v>
      </c>
      <c r="E7" s="21">
        <v>8.3000000000000007</v>
      </c>
      <c r="F7" s="21" t="s">
        <v>77</v>
      </c>
      <c r="G7" s="27" t="s">
        <v>54</v>
      </c>
      <c r="H7" s="26"/>
      <c r="I7" s="183" t="s">
        <v>59</v>
      </c>
      <c r="J7" s="40"/>
      <c r="K7" s="4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spans="1:29" ht="14.25" hidden="1" customHeight="1">
      <c r="A8" s="21">
        <v>6</v>
      </c>
      <c r="B8" s="21" t="s">
        <v>128</v>
      </c>
      <c r="C8" s="21" t="s">
        <v>84</v>
      </c>
      <c r="D8" s="21">
        <v>7.7</v>
      </c>
      <c r="E8" s="21" t="s">
        <v>61</v>
      </c>
      <c r="F8" s="21" t="s">
        <v>77</v>
      </c>
      <c r="G8" s="27" t="s">
        <v>54</v>
      </c>
      <c r="H8" s="26"/>
      <c r="I8" s="184"/>
      <c r="J8" s="40"/>
      <c r="K8" s="4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</row>
    <row r="9" spans="1:29" ht="14.25" hidden="1" customHeight="1">
      <c r="A9" s="21">
        <v>7</v>
      </c>
      <c r="B9" s="21" t="s">
        <v>173</v>
      </c>
      <c r="C9" s="21" t="s">
        <v>129</v>
      </c>
      <c r="D9" s="21">
        <v>15.5</v>
      </c>
      <c r="E9" s="21">
        <v>8.3000000000000007</v>
      </c>
      <c r="F9" s="21" t="s">
        <v>55</v>
      </c>
      <c r="G9" s="26" t="s">
        <v>104</v>
      </c>
      <c r="H9" s="26"/>
      <c r="I9" s="183" t="s">
        <v>59</v>
      </c>
      <c r="J9" s="40"/>
      <c r="K9" s="4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</row>
    <row r="10" spans="1:29" ht="14.25" hidden="1" customHeight="1">
      <c r="A10" s="21">
        <v>8</v>
      </c>
      <c r="B10" s="21" t="s">
        <v>173</v>
      </c>
      <c r="C10" s="21" t="s">
        <v>163</v>
      </c>
      <c r="D10" s="21">
        <v>7.9</v>
      </c>
      <c r="E10" s="21" t="s">
        <v>61</v>
      </c>
      <c r="F10" s="21" t="s">
        <v>55</v>
      </c>
      <c r="G10" s="62" t="s">
        <v>104</v>
      </c>
      <c r="H10" s="62"/>
      <c r="I10" s="184"/>
      <c r="J10" s="40"/>
      <c r="K10" s="4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</row>
    <row r="11" spans="1:29" ht="14.25" hidden="1" customHeight="1">
      <c r="A11" s="21">
        <v>9</v>
      </c>
      <c r="B11" s="21" t="s">
        <v>173</v>
      </c>
      <c r="C11" s="21" t="s">
        <v>33</v>
      </c>
      <c r="D11" s="21">
        <v>15.3</v>
      </c>
      <c r="E11" s="21">
        <v>8.6</v>
      </c>
      <c r="F11" s="21" t="s">
        <v>77</v>
      </c>
      <c r="G11" s="27" t="s">
        <v>54</v>
      </c>
      <c r="H11" s="26"/>
      <c r="I11" s="183" t="s">
        <v>59</v>
      </c>
      <c r="J11" s="40"/>
      <c r="K11" s="4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</row>
    <row r="12" spans="1:29" ht="14.25" hidden="1" customHeight="1">
      <c r="A12" s="21">
        <v>10</v>
      </c>
      <c r="B12" s="21" t="s">
        <v>173</v>
      </c>
      <c r="C12" s="21" t="s">
        <v>84</v>
      </c>
      <c r="D12" s="21">
        <v>7.9</v>
      </c>
      <c r="E12" s="21" t="s">
        <v>61</v>
      </c>
      <c r="F12" s="21" t="s">
        <v>77</v>
      </c>
      <c r="G12" s="27" t="s">
        <v>54</v>
      </c>
      <c r="H12" s="26"/>
      <c r="I12" s="184"/>
      <c r="J12" s="40"/>
      <c r="K12" s="4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 spans="1:29" ht="14.25" hidden="1" customHeight="1">
      <c r="A13" s="21">
        <v>11</v>
      </c>
      <c r="B13" s="21" t="s">
        <v>175</v>
      </c>
      <c r="C13" s="21" t="s">
        <v>129</v>
      </c>
      <c r="D13" s="21">
        <v>15.3</v>
      </c>
      <c r="E13" s="21">
        <v>8.6</v>
      </c>
      <c r="F13" s="21" t="s">
        <v>89</v>
      </c>
      <c r="G13" s="26" t="s">
        <v>104</v>
      </c>
      <c r="H13" s="26"/>
      <c r="I13" s="183" t="s">
        <v>59</v>
      </c>
      <c r="J13" s="40"/>
      <c r="K13" s="4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 spans="1:29" ht="14.25" hidden="1" customHeight="1">
      <c r="A14" s="21">
        <v>12</v>
      </c>
      <c r="B14" s="21" t="s">
        <v>175</v>
      </c>
      <c r="C14" s="21" t="s">
        <v>163</v>
      </c>
      <c r="D14" s="21">
        <v>8.4</v>
      </c>
      <c r="E14" s="21" t="s">
        <v>61</v>
      </c>
      <c r="F14" s="21" t="s">
        <v>89</v>
      </c>
      <c r="G14" s="26" t="s">
        <v>104</v>
      </c>
      <c r="H14" s="26"/>
      <c r="I14" s="184"/>
      <c r="J14" s="40"/>
      <c r="K14" s="4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 spans="1:29" ht="14.25" hidden="1" customHeight="1">
      <c r="A15" s="21">
        <v>13</v>
      </c>
      <c r="B15" s="21" t="s">
        <v>177</v>
      </c>
      <c r="C15" s="21" t="s">
        <v>129</v>
      </c>
      <c r="D15" s="21">
        <v>15.5</v>
      </c>
      <c r="E15" s="21">
        <v>8.6999999999999993</v>
      </c>
      <c r="F15" s="21" t="s">
        <v>47</v>
      </c>
      <c r="G15" s="26" t="s">
        <v>178</v>
      </c>
      <c r="H15" s="26"/>
      <c r="I15" s="183" t="s">
        <v>59</v>
      </c>
      <c r="J15" s="40"/>
      <c r="K15" s="4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</row>
    <row r="16" spans="1:29" ht="14.25" hidden="1" customHeight="1">
      <c r="A16" s="21">
        <v>14</v>
      </c>
      <c r="B16" s="21" t="s">
        <v>177</v>
      </c>
      <c r="C16" s="21" t="s">
        <v>163</v>
      </c>
      <c r="D16" s="21">
        <v>8.3000000000000007</v>
      </c>
      <c r="E16" s="21" t="s">
        <v>61</v>
      </c>
      <c r="F16" s="21" t="s">
        <v>47</v>
      </c>
      <c r="G16" s="62" t="s">
        <v>178</v>
      </c>
      <c r="H16" s="62"/>
      <c r="I16" s="184"/>
      <c r="J16" s="40"/>
      <c r="K16" s="4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</row>
    <row r="17" spans="1:29" ht="14.25" hidden="1" customHeight="1">
      <c r="A17" s="21">
        <v>15</v>
      </c>
      <c r="B17" s="21" t="s">
        <v>177</v>
      </c>
      <c r="C17" s="21" t="s">
        <v>33</v>
      </c>
      <c r="D17" s="21">
        <v>15.6</v>
      </c>
      <c r="E17" s="21">
        <v>8.3000000000000007</v>
      </c>
      <c r="F17" s="26" t="s">
        <v>112</v>
      </c>
      <c r="G17" s="26" t="s">
        <v>104</v>
      </c>
      <c r="H17" s="26"/>
      <c r="I17" s="183" t="s">
        <v>59</v>
      </c>
      <c r="J17" s="32" t="s">
        <v>180</v>
      </c>
      <c r="K17" s="4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</row>
    <row r="18" spans="1:29" ht="14.25" hidden="1" customHeight="1">
      <c r="A18" s="21">
        <v>16</v>
      </c>
      <c r="B18" s="21" t="s">
        <v>177</v>
      </c>
      <c r="C18" s="21" t="s">
        <v>84</v>
      </c>
      <c r="D18" s="21">
        <v>8.1999999999999993</v>
      </c>
      <c r="E18" s="21" t="s">
        <v>61</v>
      </c>
      <c r="F18" s="26" t="s">
        <v>112</v>
      </c>
      <c r="G18" s="62" t="s">
        <v>104</v>
      </c>
      <c r="H18" s="62"/>
      <c r="I18" s="184"/>
      <c r="J18" s="32" t="s">
        <v>180</v>
      </c>
      <c r="K18" s="4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</row>
    <row r="19" spans="1:29" ht="14.25" hidden="1" customHeight="1">
      <c r="A19" s="21">
        <v>17</v>
      </c>
      <c r="B19" s="21" t="s">
        <v>182</v>
      </c>
      <c r="C19" s="21" t="s">
        <v>129</v>
      </c>
      <c r="D19" s="21">
        <v>16.7</v>
      </c>
      <c r="E19" s="21">
        <v>12</v>
      </c>
      <c r="F19" s="21" t="s">
        <v>89</v>
      </c>
      <c r="G19" s="26" t="s">
        <v>104</v>
      </c>
      <c r="H19" s="26"/>
      <c r="I19" s="183" t="s">
        <v>59</v>
      </c>
      <c r="J19" s="40"/>
      <c r="K19" s="4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</row>
    <row r="20" spans="1:29" ht="14.25" hidden="1" customHeight="1">
      <c r="A20" s="21">
        <v>18</v>
      </c>
      <c r="B20" s="21" t="s">
        <v>182</v>
      </c>
      <c r="C20" s="21" t="s">
        <v>163</v>
      </c>
      <c r="D20" s="21">
        <v>24.1</v>
      </c>
      <c r="E20" s="21" t="s">
        <v>61</v>
      </c>
      <c r="F20" s="21" t="s">
        <v>89</v>
      </c>
      <c r="G20" s="26" t="s">
        <v>104</v>
      </c>
      <c r="H20" s="26"/>
      <c r="I20" s="184"/>
      <c r="J20" s="40"/>
      <c r="K20" s="4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</row>
    <row r="21" spans="1:29" ht="14.25" hidden="1" customHeight="1">
      <c r="A21" s="21">
        <v>19</v>
      </c>
      <c r="B21" s="21" t="s">
        <v>184</v>
      </c>
      <c r="C21" s="21" t="s">
        <v>129</v>
      </c>
      <c r="D21" s="21">
        <v>17.3</v>
      </c>
      <c r="E21" s="21">
        <v>12.5</v>
      </c>
      <c r="F21" s="21" t="s">
        <v>77</v>
      </c>
      <c r="G21" s="54" t="s">
        <v>54</v>
      </c>
      <c r="H21" s="62"/>
      <c r="I21" s="183" t="s">
        <v>59</v>
      </c>
      <c r="J21" s="40"/>
      <c r="K21" s="4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</row>
    <row r="22" spans="1:29" ht="14.25" hidden="1" customHeight="1">
      <c r="A22" s="21">
        <v>20</v>
      </c>
      <c r="B22" s="21" t="s">
        <v>184</v>
      </c>
      <c r="C22" s="21" t="s">
        <v>163</v>
      </c>
      <c r="D22" s="21">
        <v>23.3</v>
      </c>
      <c r="E22" s="21" t="s">
        <v>61</v>
      </c>
      <c r="F22" s="21" t="s">
        <v>77</v>
      </c>
      <c r="G22" s="54" t="s">
        <v>54</v>
      </c>
      <c r="H22" s="62"/>
      <c r="I22" s="184"/>
      <c r="J22" s="40"/>
      <c r="K22" s="4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</row>
    <row r="23" spans="1:29" ht="14.25" hidden="1" customHeight="1">
      <c r="A23" s="21">
        <v>21</v>
      </c>
      <c r="B23" s="21" t="s">
        <v>185</v>
      </c>
      <c r="C23" s="21" t="s">
        <v>129</v>
      </c>
      <c r="D23" s="21">
        <v>16.8</v>
      </c>
      <c r="E23" s="21">
        <v>12.4</v>
      </c>
      <c r="F23" s="21" t="s">
        <v>47</v>
      </c>
      <c r="G23" s="26" t="s">
        <v>178</v>
      </c>
      <c r="H23" s="26"/>
      <c r="I23" s="183" t="s">
        <v>59</v>
      </c>
      <c r="J23" s="40"/>
      <c r="K23" s="4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</row>
    <row r="24" spans="1:29" ht="14.25" hidden="1" customHeight="1">
      <c r="A24" s="21">
        <v>22</v>
      </c>
      <c r="B24" s="21" t="s">
        <v>185</v>
      </c>
      <c r="C24" s="21" t="s">
        <v>163</v>
      </c>
      <c r="D24" s="21">
        <v>23.8</v>
      </c>
      <c r="E24" s="21" t="s">
        <v>61</v>
      </c>
      <c r="F24" s="21" t="s">
        <v>47</v>
      </c>
      <c r="G24" s="62" t="s">
        <v>178</v>
      </c>
      <c r="H24" s="62"/>
      <c r="I24" s="184"/>
      <c r="J24" s="40"/>
      <c r="K24" s="4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</row>
    <row r="25" spans="1:29" ht="14.25" hidden="1" customHeight="1">
      <c r="A25" s="21">
        <v>23</v>
      </c>
      <c r="B25" s="21" t="s">
        <v>186</v>
      </c>
      <c r="C25" s="21" t="s">
        <v>129</v>
      </c>
      <c r="D25" s="21">
        <v>18.3</v>
      </c>
      <c r="E25" s="21">
        <v>13</v>
      </c>
      <c r="F25" s="21" t="s">
        <v>89</v>
      </c>
      <c r="G25" s="26" t="s">
        <v>104</v>
      </c>
      <c r="H25" s="26"/>
      <c r="I25" s="21" t="s">
        <v>59</v>
      </c>
      <c r="J25" s="40"/>
      <c r="K25" s="4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</row>
    <row r="26" spans="1:29" ht="14.25" hidden="1" customHeight="1">
      <c r="A26" s="21">
        <v>24</v>
      </c>
      <c r="B26" s="21" t="s">
        <v>186</v>
      </c>
      <c r="C26" s="21" t="s">
        <v>33</v>
      </c>
      <c r="D26" s="21">
        <v>17</v>
      </c>
      <c r="E26" s="21">
        <v>13.4</v>
      </c>
      <c r="F26" s="21" t="s">
        <v>47</v>
      </c>
      <c r="G26" s="26" t="s">
        <v>178</v>
      </c>
      <c r="H26" s="26"/>
      <c r="I26" s="21" t="s">
        <v>59</v>
      </c>
      <c r="J26" s="40"/>
      <c r="K26" s="4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</row>
    <row r="27" spans="1:29" ht="14.25" hidden="1" customHeight="1">
      <c r="A27" s="21">
        <v>25</v>
      </c>
      <c r="B27" s="21" t="s">
        <v>187</v>
      </c>
      <c r="C27" s="21" t="s">
        <v>129</v>
      </c>
      <c r="D27" s="21">
        <v>16.899999999999999</v>
      </c>
      <c r="E27" s="21">
        <v>12.8</v>
      </c>
      <c r="F27" s="21" t="s">
        <v>118</v>
      </c>
      <c r="G27" s="27" t="s">
        <v>54</v>
      </c>
      <c r="H27" s="21"/>
      <c r="I27" s="183" t="s">
        <v>59</v>
      </c>
      <c r="J27" s="40"/>
      <c r="K27" s="4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</row>
    <row r="28" spans="1:29" ht="14.25" hidden="1" customHeight="1">
      <c r="A28" s="21">
        <v>26</v>
      </c>
      <c r="B28" s="21" t="s">
        <v>187</v>
      </c>
      <c r="C28" s="21" t="s">
        <v>163</v>
      </c>
      <c r="D28" s="21">
        <v>8</v>
      </c>
      <c r="E28" s="21" t="s">
        <v>61</v>
      </c>
      <c r="F28" s="21" t="s">
        <v>118</v>
      </c>
      <c r="G28" s="54" t="s">
        <v>54</v>
      </c>
      <c r="H28" s="56"/>
      <c r="I28" s="184"/>
      <c r="J28" s="40"/>
      <c r="K28" s="4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</row>
    <row r="29" spans="1:29" ht="14.25" hidden="1" customHeight="1">
      <c r="A29" s="21">
        <v>27</v>
      </c>
      <c r="B29" s="21" t="s">
        <v>187</v>
      </c>
      <c r="C29" s="21" t="s">
        <v>33</v>
      </c>
      <c r="D29" s="21">
        <v>16.899999999999999</v>
      </c>
      <c r="E29" s="21">
        <v>12.7</v>
      </c>
      <c r="F29" s="21" t="s">
        <v>118</v>
      </c>
      <c r="G29" s="27" t="s">
        <v>54</v>
      </c>
      <c r="H29" s="21"/>
      <c r="I29" s="183" t="s">
        <v>59</v>
      </c>
      <c r="J29" s="40"/>
      <c r="K29" s="4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</row>
    <row r="30" spans="1:29" ht="14.25" hidden="1" customHeight="1">
      <c r="A30" s="21">
        <v>28</v>
      </c>
      <c r="B30" s="21" t="s">
        <v>187</v>
      </c>
      <c r="C30" s="21" t="s">
        <v>84</v>
      </c>
      <c r="D30" s="21">
        <v>7.9</v>
      </c>
      <c r="E30" s="21" t="s">
        <v>61</v>
      </c>
      <c r="F30" s="21" t="s">
        <v>118</v>
      </c>
      <c r="G30" s="54" t="s">
        <v>54</v>
      </c>
      <c r="H30" s="56"/>
      <c r="I30" s="184"/>
      <c r="J30" s="40"/>
      <c r="K30" s="4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</row>
    <row r="31" spans="1:29" ht="14.25" hidden="1" customHeight="1">
      <c r="A31" s="21">
        <v>29</v>
      </c>
      <c r="B31" s="21" t="s">
        <v>188</v>
      </c>
      <c r="C31" s="21" t="s">
        <v>33</v>
      </c>
      <c r="D31" s="21">
        <v>16.2</v>
      </c>
      <c r="E31" s="21">
        <v>12.8</v>
      </c>
      <c r="F31" s="21" t="s">
        <v>89</v>
      </c>
      <c r="G31" s="26" t="s">
        <v>104</v>
      </c>
      <c r="H31" s="26"/>
      <c r="I31" s="21" t="s">
        <v>59</v>
      </c>
      <c r="J31" s="40"/>
      <c r="K31" s="4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</row>
    <row r="32" spans="1:29" ht="14.25" hidden="1" customHeight="1">
      <c r="A32" s="21">
        <v>30</v>
      </c>
      <c r="B32" s="21" t="s">
        <v>189</v>
      </c>
      <c r="C32" s="21" t="s">
        <v>129</v>
      </c>
      <c r="D32" s="21">
        <v>18.100000000000001</v>
      </c>
      <c r="E32" s="21">
        <v>12.8</v>
      </c>
      <c r="F32" s="21" t="s">
        <v>112</v>
      </c>
      <c r="G32" s="26" t="s">
        <v>178</v>
      </c>
      <c r="H32" s="26"/>
      <c r="I32" s="183" t="s">
        <v>59</v>
      </c>
      <c r="J32" s="40"/>
      <c r="K32" s="4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</row>
    <row r="33" spans="1:29" ht="14.25" hidden="1" customHeight="1">
      <c r="A33" s="21">
        <v>31</v>
      </c>
      <c r="B33" s="21" t="s">
        <v>189</v>
      </c>
      <c r="C33" s="21" t="s">
        <v>163</v>
      </c>
      <c r="D33" s="21">
        <v>8</v>
      </c>
      <c r="E33" s="21" t="s">
        <v>61</v>
      </c>
      <c r="F33" s="21" t="s">
        <v>112</v>
      </c>
      <c r="G33" s="62" t="s">
        <v>178</v>
      </c>
      <c r="H33" s="62"/>
      <c r="I33" s="184"/>
      <c r="J33" s="40"/>
      <c r="K33" s="4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</row>
    <row r="34" spans="1:29" ht="14.25" hidden="1" customHeight="1">
      <c r="A34" s="21">
        <v>32</v>
      </c>
      <c r="B34" s="21" t="s">
        <v>189</v>
      </c>
      <c r="C34" s="21" t="s">
        <v>33</v>
      </c>
      <c r="D34" s="21">
        <v>17.7</v>
      </c>
      <c r="E34" s="21">
        <v>12.7</v>
      </c>
      <c r="F34" s="21" t="s">
        <v>112</v>
      </c>
      <c r="G34" s="26" t="s">
        <v>178</v>
      </c>
      <c r="H34" s="26"/>
      <c r="I34" s="21" t="s">
        <v>59</v>
      </c>
      <c r="J34" s="40"/>
      <c r="K34" s="44" t="s">
        <v>190</v>
      </c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</row>
    <row r="35" spans="1:29" ht="14.25" hidden="1" customHeight="1">
      <c r="A35" s="21">
        <v>33</v>
      </c>
      <c r="B35" s="21" t="s">
        <v>191</v>
      </c>
      <c r="C35" s="21" t="s">
        <v>129</v>
      </c>
      <c r="D35" s="21">
        <v>16.8</v>
      </c>
      <c r="E35" s="21">
        <v>13.1</v>
      </c>
      <c r="F35" s="21" t="s">
        <v>55</v>
      </c>
      <c r="G35" s="29" t="s">
        <v>54</v>
      </c>
      <c r="H35" s="41"/>
      <c r="I35" s="183" t="s">
        <v>59</v>
      </c>
      <c r="J35" s="186" t="s">
        <v>192</v>
      </c>
      <c r="K35" s="77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</row>
    <row r="36" spans="1:29" ht="21" hidden="1" customHeight="1">
      <c r="A36" s="21">
        <v>34</v>
      </c>
      <c r="B36" s="21" t="s">
        <v>191</v>
      </c>
      <c r="C36" s="21" t="s">
        <v>163</v>
      </c>
      <c r="D36" s="21">
        <v>7.8</v>
      </c>
      <c r="E36" s="21" t="s">
        <v>61</v>
      </c>
      <c r="F36" s="21" t="s">
        <v>55</v>
      </c>
      <c r="G36" s="29" t="s">
        <v>54</v>
      </c>
      <c r="H36" s="41"/>
      <c r="I36" s="184"/>
      <c r="J36" s="184"/>
      <c r="K36" s="77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</row>
    <row r="37" spans="1:29" ht="14.25" hidden="1" customHeight="1">
      <c r="A37" s="21">
        <v>35</v>
      </c>
      <c r="B37" s="21" t="s">
        <v>191</v>
      </c>
      <c r="C37" s="21" t="s">
        <v>33</v>
      </c>
      <c r="D37" s="21">
        <v>16.5</v>
      </c>
      <c r="E37" s="21">
        <v>13.1</v>
      </c>
      <c r="F37" s="21" t="s">
        <v>47</v>
      </c>
      <c r="G37" s="26" t="s">
        <v>178</v>
      </c>
      <c r="H37" s="26"/>
      <c r="I37" s="183" t="s">
        <v>59</v>
      </c>
      <c r="J37" s="40"/>
      <c r="K37" s="4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</row>
    <row r="38" spans="1:29" ht="14.25" hidden="1" customHeight="1">
      <c r="A38" s="21">
        <v>36</v>
      </c>
      <c r="B38" s="21" t="s">
        <v>191</v>
      </c>
      <c r="C38" s="21" t="s">
        <v>84</v>
      </c>
      <c r="D38" s="21">
        <v>7.8</v>
      </c>
      <c r="E38" s="21" t="s">
        <v>61</v>
      </c>
      <c r="F38" s="21" t="s">
        <v>47</v>
      </c>
      <c r="G38" s="62" t="s">
        <v>178</v>
      </c>
      <c r="H38" s="62"/>
      <c r="I38" s="184"/>
      <c r="J38" s="40"/>
      <c r="K38" s="4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</row>
    <row r="39" spans="1:29" ht="14.25" hidden="1" customHeight="1">
      <c r="A39" s="21">
        <v>37</v>
      </c>
      <c r="B39" s="21" t="s">
        <v>193</v>
      </c>
      <c r="C39" s="21" t="s">
        <v>129</v>
      </c>
      <c r="D39" s="21">
        <v>17.8</v>
      </c>
      <c r="E39" s="21">
        <v>13.3</v>
      </c>
      <c r="F39" s="21" t="s">
        <v>77</v>
      </c>
      <c r="G39" s="54" t="s">
        <v>54</v>
      </c>
      <c r="H39" s="62"/>
      <c r="I39" s="183" t="s">
        <v>59</v>
      </c>
      <c r="J39" s="40"/>
      <c r="K39" s="4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</row>
    <row r="40" spans="1:29" ht="14.25" hidden="1" customHeight="1">
      <c r="A40" s="21">
        <v>38</v>
      </c>
      <c r="B40" s="21" t="s">
        <v>193</v>
      </c>
      <c r="C40" s="21" t="s">
        <v>163</v>
      </c>
      <c r="D40" s="21">
        <v>22.1</v>
      </c>
      <c r="E40" s="21" t="s">
        <v>61</v>
      </c>
      <c r="F40" s="21" t="s">
        <v>77</v>
      </c>
      <c r="G40" s="54" t="s">
        <v>54</v>
      </c>
      <c r="H40" s="62"/>
      <c r="I40" s="184"/>
      <c r="J40" s="40"/>
      <c r="K40" s="4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</row>
    <row r="41" spans="1:29" ht="14.25" hidden="1" customHeight="1">
      <c r="A41" s="21">
        <v>39</v>
      </c>
      <c r="B41" s="21" t="s">
        <v>194</v>
      </c>
      <c r="C41" s="21" t="s">
        <v>129</v>
      </c>
      <c r="D41" s="21">
        <v>17.600000000000001</v>
      </c>
      <c r="E41" s="21">
        <v>13.1</v>
      </c>
      <c r="F41" s="21" t="s">
        <v>77</v>
      </c>
      <c r="G41" s="54" t="s">
        <v>54</v>
      </c>
      <c r="H41" s="62"/>
      <c r="I41" s="183" t="s">
        <v>59</v>
      </c>
      <c r="J41" s="40"/>
      <c r="K41" s="4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</row>
    <row r="42" spans="1:29" ht="14.25" hidden="1" customHeight="1">
      <c r="A42" s="21">
        <v>40</v>
      </c>
      <c r="B42" s="21" t="s">
        <v>194</v>
      </c>
      <c r="C42" s="21" t="s">
        <v>163</v>
      </c>
      <c r="D42" s="21">
        <v>7.4</v>
      </c>
      <c r="E42" s="21" t="s">
        <v>61</v>
      </c>
      <c r="F42" s="21" t="s">
        <v>77</v>
      </c>
      <c r="G42" s="54" t="s">
        <v>54</v>
      </c>
      <c r="H42" s="62"/>
      <c r="I42" s="184"/>
      <c r="J42" s="40"/>
      <c r="K42" s="4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</row>
    <row r="43" spans="1:29" ht="14.25" hidden="1" customHeight="1">
      <c r="A43" s="21">
        <v>41</v>
      </c>
      <c r="B43" s="21" t="s">
        <v>194</v>
      </c>
      <c r="C43" s="21" t="s">
        <v>33</v>
      </c>
      <c r="D43" s="21">
        <v>17.5</v>
      </c>
      <c r="E43" s="21">
        <v>13.1</v>
      </c>
      <c r="F43" s="21" t="s">
        <v>150</v>
      </c>
      <c r="G43" s="26" t="s">
        <v>178</v>
      </c>
      <c r="H43" s="26"/>
      <c r="I43" s="183" t="s">
        <v>59</v>
      </c>
      <c r="J43" s="40"/>
      <c r="K43" s="4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</row>
    <row r="44" spans="1:29" ht="14.25" hidden="1" customHeight="1">
      <c r="A44" s="21">
        <v>42</v>
      </c>
      <c r="B44" s="21" t="s">
        <v>194</v>
      </c>
      <c r="C44" s="21" t="s">
        <v>84</v>
      </c>
      <c r="D44" s="21">
        <v>7.4</v>
      </c>
      <c r="E44" s="21" t="s">
        <v>61</v>
      </c>
      <c r="F44" s="21" t="s">
        <v>150</v>
      </c>
      <c r="G44" s="62" t="s">
        <v>178</v>
      </c>
      <c r="H44" s="62"/>
      <c r="I44" s="184"/>
      <c r="J44" s="40"/>
      <c r="K44" s="4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</row>
    <row r="45" spans="1:29" ht="14.25" hidden="1" customHeight="1">
      <c r="A45" s="21">
        <v>43</v>
      </c>
      <c r="B45" s="21" t="s">
        <v>195</v>
      </c>
      <c r="C45" s="21" t="s">
        <v>129</v>
      </c>
      <c r="D45" s="21">
        <v>17.2</v>
      </c>
      <c r="E45" s="21">
        <v>13.5</v>
      </c>
      <c r="F45" s="21" t="s">
        <v>77</v>
      </c>
      <c r="G45" s="54" t="s">
        <v>54</v>
      </c>
      <c r="H45" s="62"/>
      <c r="I45" s="183" t="s">
        <v>59</v>
      </c>
      <c r="J45" s="40"/>
      <c r="K45" s="4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</row>
    <row r="46" spans="1:29" ht="14.25" hidden="1" customHeight="1">
      <c r="A46" s="21">
        <v>44</v>
      </c>
      <c r="B46" s="21" t="s">
        <v>195</v>
      </c>
      <c r="C46" s="21" t="s">
        <v>163</v>
      </c>
      <c r="D46" s="21">
        <v>20.8</v>
      </c>
      <c r="E46" s="21" t="s">
        <v>61</v>
      </c>
      <c r="F46" s="21" t="s">
        <v>77</v>
      </c>
      <c r="G46" s="54" t="s">
        <v>54</v>
      </c>
      <c r="H46" s="62"/>
      <c r="I46" s="184"/>
      <c r="J46" s="40"/>
      <c r="K46" s="4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</row>
    <row r="47" spans="1:29" ht="14.25" hidden="1" customHeight="1">
      <c r="A47" s="21">
        <v>45</v>
      </c>
      <c r="B47" s="21" t="s">
        <v>196</v>
      </c>
      <c r="C47" s="21" t="s">
        <v>129</v>
      </c>
      <c r="D47" s="21">
        <v>16.5</v>
      </c>
      <c r="E47" s="21">
        <v>12.8</v>
      </c>
      <c r="F47" s="21" t="s">
        <v>77</v>
      </c>
      <c r="G47" s="54" t="s">
        <v>54</v>
      </c>
      <c r="H47" s="62"/>
      <c r="I47" s="183" t="s">
        <v>59</v>
      </c>
      <c r="J47" s="40"/>
      <c r="K47" s="4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</row>
    <row r="48" spans="1:29" ht="14.25" hidden="1" customHeight="1">
      <c r="A48" s="21">
        <v>46</v>
      </c>
      <c r="B48" s="21" t="s">
        <v>196</v>
      </c>
      <c r="C48" s="21" t="s">
        <v>163</v>
      </c>
      <c r="D48" s="21">
        <v>7.8</v>
      </c>
      <c r="E48" s="21" t="s">
        <v>61</v>
      </c>
      <c r="F48" s="21" t="s">
        <v>77</v>
      </c>
      <c r="G48" s="54" t="s">
        <v>54</v>
      </c>
      <c r="H48" s="62"/>
      <c r="I48" s="184"/>
      <c r="J48" s="40"/>
      <c r="K48" s="4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</row>
    <row r="49" spans="1:29" ht="14.25" hidden="1" customHeight="1">
      <c r="A49" s="21">
        <v>47</v>
      </c>
      <c r="B49" s="21" t="s">
        <v>196</v>
      </c>
      <c r="C49" s="21" t="s">
        <v>33</v>
      </c>
      <c r="D49" s="21">
        <v>16.3</v>
      </c>
      <c r="E49" s="21">
        <v>12.8</v>
      </c>
      <c r="F49" s="21" t="s">
        <v>77</v>
      </c>
      <c r="G49" s="54" t="s">
        <v>54</v>
      </c>
      <c r="H49" s="62"/>
      <c r="I49" s="183" t="s">
        <v>59</v>
      </c>
      <c r="J49" s="40"/>
      <c r="K49" s="4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</row>
    <row r="50" spans="1:29" ht="14.25" hidden="1" customHeight="1">
      <c r="A50" s="21">
        <v>48</v>
      </c>
      <c r="B50" s="21" t="s">
        <v>196</v>
      </c>
      <c r="C50" s="21" t="s">
        <v>84</v>
      </c>
      <c r="D50" s="21">
        <v>7.7</v>
      </c>
      <c r="E50" s="21" t="s">
        <v>61</v>
      </c>
      <c r="F50" s="21" t="s">
        <v>77</v>
      </c>
      <c r="G50" s="54" t="s">
        <v>54</v>
      </c>
      <c r="H50" s="62"/>
      <c r="I50" s="184"/>
      <c r="J50" s="40"/>
      <c r="K50" s="4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</row>
    <row r="51" spans="1:29" ht="14.25" hidden="1" customHeight="1">
      <c r="A51" s="21">
        <v>49</v>
      </c>
      <c r="B51" s="21" t="s">
        <v>197</v>
      </c>
      <c r="C51" s="21" t="s">
        <v>129</v>
      </c>
      <c r="D51" s="21">
        <v>16.600000000000001</v>
      </c>
      <c r="E51" s="21">
        <v>13.4</v>
      </c>
      <c r="F51" s="21" t="s">
        <v>118</v>
      </c>
      <c r="G51" s="27" t="s">
        <v>54</v>
      </c>
      <c r="H51" s="21"/>
      <c r="I51" s="183" t="s">
        <v>59</v>
      </c>
      <c r="J51" s="40"/>
      <c r="K51" s="4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</row>
    <row r="52" spans="1:29" ht="14.25" hidden="1" customHeight="1">
      <c r="A52" s="21">
        <v>50</v>
      </c>
      <c r="B52" s="21" t="s">
        <v>197</v>
      </c>
      <c r="C52" s="21" t="s">
        <v>163</v>
      </c>
      <c r="D52" s="21">
        <v>8.1</v>
      </c>
      <c r="E52" s="21" t="s">
        <v>61</v>
      </c>
      <c r="F52" s="21" t="s">
        <v>118</v>
      </c>
      <c r="G52" s="54" t="s">
        <v>54</v>
      </c>
      <c r="H52" s="56"/>
      <c r="I52" s="184"/>
      <c r="J52" s="40"/>
      <c r="K52" s="4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</row>
    <row r="53" spans="1:29" ht="14.25" hidden="1" customHeight="1">
      <c r="A53" s="21">
        <v>51</v>
      </c>
      <c r="B53" s="21" t="s">
        <v>197</v>
      </c>
      <c r="C53" s="21" t="s">
        <v>33</v>
      </c>
      <c r="D53" s="21">
        <v>17.3</v>
      </c>
      <c r="E53" s="21">
        <v>13.2</v>
      </c>
      <c r="F53" s="21" t="s">
        <v>89</v>
      </c>
      <c r="G53" s="26" t="s">
        <v>104</v>
      </c>
      <c r="H53" s="26"/>
      <c r="I53" s="183" t="s">
        <v>59</v>
      </c>
      <c r="J53" s="40"/>
      <c r="K53" s="4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</row>
    <row r="54" spans="1:29" ht="14.25" hidden="1" customHeight="1">
      <c r="A54" s="21">
        <v>52</v>
      </c>
      <c r="B54" s="21" t="s">
        <v>197</v>
      </c>
      <c r="C54" s="21" t="s">
        <v>84</v>
      </c>
      <c r="D54" s="21">
        <v>7.3</v>
      </c>
      <c r="E54" s="21" t="s">
        <v>61</v>
      </c>
      <c r="F54" s="21" t="s">
        <v>89</v>
      </c>
      <c r="G54" s="26" t="s">
        <v>104</v>
      </c>
      <c r="H54" s="26"/>
      <c r="I54" s="184"/>
      <c r="J54" s="40"/>
      <c r="K54" s="4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</row>
    <row r="55" spans="1:29" ht="14.25" hidden="1" customHeight="1">
      <c r="A55" s="21">
        <v>53</v>
      </c>
      <c r="B55" s="21" t="s">
        <v>198</v>
      </c>
      <c r="C55" s="21" t="s">
        <v>129</v>
      </c>
      <c r="D55" s="21">
        <v>19.100000000000001</v>
      </c>
      <c r="E55" s="21">
        <v>13.4</v>
      </c>
      <c r="F55" s="21" t="s">
        <v>88</v>
      </c>
      <c r="G55" s="26" t="s">
        <v>104</v>
      </c>
      <c r="H55" s="26"/>
      <c r="I55" s="183" t="s">
        <v>59</v>
      </c>
      <c r="J55" s="40"/>
      <c r="K55" s="4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</row>
    <row r="56" spans="1:29" ht="14.25" hidden="1" customHeight="1">
      <c r="A56" s="21">
        <v>54</v>
      </c>
      <c r="B56" s="21" t="s">
        <v>198</v>
      </c>
      <c r="C56" s="21" t="s">
        <v>163</v>
      </c>
      <c r="D56" s="21">
        <v>23.9</v>
      </c>
      <c r="E56" s="21" t="s">
        <v>61</v>
      </c>
      <c r="F56" s="21" t="s">
        <v>88</v>
      </c>
      <c r="G56" s="62" t="s">
        <v>104</v>
      </c>
      <c r="H56" s="62"/>
      <c r="I56" s="184"/>
      <c r="J56" s="40"/>
      <c r="K56" s="4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</row>
    <row r="57" spans="1:29" ht="14.25" hidden="1" customHeight="1">
      <c r="A57" s="21">
        <v>55</v>
      </c>
      <c r="B57" s="21" t="s">
        <v>200</v>
      </c>
      <c r="C57" s="21" t="s">
        <v>129</v>
      </c>
      <c r="D57" s="21">
        <v>18.5</v>
      </c>
      <c r="E57" s="21">
        <v>13.3</v>
      </c>
      <c r="F57" s="21" t="s">
        <v>55</v>
      </c>
      <c r="G57" s="29" t="s">
        <v>54</v>
      </c>
      <c r="H57" s="41"/>
      <c r="I57" s="183" t="s">
        <v>59</v>
      </c>
      <c r="J57" s="40"/>
      <c r="K57" s="4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</row>
    <row r="58" spans="1:29" ht="14.25" hidden="1" customHeight="1">
      <c r="A58" s="21">
        <v>56</v>
      </c>
      <c r="B58" s="21" t="s">
        <v>200</v>
      </c>
      <c r="C58" s="21" t="s">
        <v>163</v>
      </c>
      <c r="D58" s="21">
        <v>23.2</v>
      </c>
      <c r="E58" s="21" t="s">
        <v>61</v>
      </c>
      <c r="F58" s="21" t="s">
        <v>55</v>
      </c>
      <c r="G58" s="29" t="s">
        <v>54</v>
      </c>
      <c r="H58" s="41"/>
      <c r="I58" s="184"/>
      <c r="J58" s="40"/>
      <c r="K58" s="4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</row>
    <row r="59" spans="1:29" ht="14.25" hidden="1" customHeight="1">
      <c r="A59" s="21">
        <v>57</v>
      </c>
      <c r="B59" s="21" t="s">
        <v>201</v>
      </c>
      <c r="C59" s="21" t="s">
        <v>129</v>
      </c>
      <c r="D59" s="21">
        <v>17</v>
      </c>
      <c r="E59" s="21">
        <v>12.7</v>
      </c>
      <c r="F59" s="21" t="s">
        <v>47</v>
      </c>
      <c r="G59" s="26" t="s">
        <v>178</v>
      </c>
      <c r="H59" s="26"/>
      <c r="I59" s="183" t="s">
        <v>59</v>
      </c>
      <c r="J59" s="40"/>
      <c r="K59" s="4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</row>
    <row r="60" spans="1:29" ht="14.25" hidden="1" customHeight="1">
      <c r="A60" s="21">
        <v>58</v>
      </c>
      <c r="B60" s="21" t="s">
        <v>201</v>
      </c>
      <c r="C60" s="21" t="s">
        <v>163</v>
      </c>
      <c r="D60" s="21">
        <v>24</v>
      </c>
      <c r="E60" s="21" t="s">
        <v>61</v>
      </c>
      <c r="F60" s="21" t="s">
        <v>47</v>
      </c>
      <c r="G60" s="62" t="s">
        <v>178</v>
      </c>
      <c r="H60" s="62"/>
      <c r="I60" s="184"/>
      <c r="J60" s="40"/>
      <c r="K60" s="4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</row>
    <row r="61" spans="1:29" ht="14.25" hidden="1" customHeight="1">
      <c r="A61" s="21">
        <v>59</v>
      </c>
      <c r="B61" s="21" t="s">
        <v>202</v>
      </c>
      <c r="C61" s="21" t="s">
        <v>129</v>
      </c>
      <c r="D61" s="21">
        <v>17</v>
      </c>
      <c r="E61" s="21">
        <v>12.5</v>
      </c>
      <c r="F61" s="21" t="s">
        <v>51</v>
      </c>
      <c r="G61" s="21"/>
      <c r="H61" s="21"/>
      <c r="I61" s="183" t="s">
        <v>59</v>
      </c>
      <c r="J61" s="40"/>
      <c r="K61" s="4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</row>
    <row r="62" spans="1:29" ht="14.25" hidden="1" customHeight="1">
      <c r="A62" s="21">
        <v>60</v>
      </c>
      <c r="B62" s="21" t="s">
        <v>202</v>
      </c>
      <c r="C62" s="21" t="s">
        <v>163</v>
      </c>
      <c r="D62" s="21">
        <v>24.4</v>
      </c>
      <c r="E62" s="21" t="s">
        <v>61</v>
      </c>
      <c r="F62" s="21" t="s">
        <v>51</v>
      </c>
      <c r="G62" s="56"/>
      <c r="H62" s="56"/>
      <c r="I62" s="184"/>
      <c r="J62" s="40"/>
      <c r="K62" s="4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</row>
    <row r="63" spans="1:29" ht="14.25" hidden="1" customHeight="1">
      <c r="A63" s="21">
        <v>61</v>
      </c>
      <c r="B63" s="21" t="s">
        <v>203</v>
      </c>
      <c r="C63" s="21" t="s">
        <v>129</v>
      </c>
      <c r="D63" s="21">
        <v>16.7</v>
      </c>
      <c r="E63" s="21">
        <v>12.6</v>
      </c>
      <c r="F63" s="21" t="s">
        <v>77</v>
      </c>
      <c r="G63" s="54" t="s">
        <v>54</v>
      </c>
      <c r="H63" s="62"/>
      <c r="I63" s="183" t="s">
        <v>59</v>
      </c>
      <c r="J63" s="40"/>
      <c r="K63" s="4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</row>
    <row r="64" spans="1:29" ht="14.25" hidden="1" customHeight="1">
      <c r="A64" s="21">
        <v>62</v>
      </c>
      <c r="B64" s="21" t="s">
        <v>203</v>
      </c>
      <c r="C64" s="21" t="s">
        <v>163</v>
      </c>
      <c r="D64" s="21">
        <v>24.2</v>
      </c>
      <c r="E64" s="21" t="s">
        <v>61</v>
      </c>
      <c r="F64" s="21" t="s">
        <v>77</v>
      </c>
      <c r="G64" s="54" t="s">
        <v>54</v>
      </c>
      <c r="H64" s="62"/>
      <c r="I64" s="184"/>
      <c r="J64" s="40"/>
      <c r="K64" s="4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</row>
    <row r="65" spans="1:29" ht="12.75" hidden="1">
      <c r="A65" s="21">
        <v>63</v>
      </c>
      <c r="B65" s="21" t="s">
        <v>204</v>
      </c>
      <c r="C65" s="21" t="s">
        <v>129</v>
      </c>
      <c r="D65" s="21">
        <v>13.9</v>
      </c>
      <c r="E65" s="21">
        <v>13.2</v>
      </c>
      <c r="F65" s="21" t="s">
        <v>55</v>
      </c>
      <c r="G65" s="41" t="s">
        <v>205</v>
      </c>
      <c r="H65" s="41"/>
      <c r="I65" s="183" t="s">
        <v>59</v>
      </c>
      <c r="J65" s="40"/>
      <c r="K65" s="4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</row>
    <row r="66" spans="1:29" ht="14.25" hidden="1" customHeight="1">
      <c r="A66" s="21">
        <v>64</v>
      </c>
      <c r="B66" s="21" t="s">
        <v>204</v>
      </c>
      <c r="C66" s="21" t="s">
        <v>163</v>
      </c>
      <c r="D66" s="21">
        <v>19.2</v>
      </c>
      <c r="E66" s="21" t="s">
        <v>61</v>
      </c>
      <c r="F66" s="21" t="s">
        <v>55</v>
      </c>
      <c r="G66" s="41" t="s">
        <v>205</v>
      </c>
      <c r="H66" s="41"/>
      <c r="I66" s="184"/>
      <c r="J66" s="40"/>
      <c r="K66" s="4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</row>
    <row r="67" spans="1:29" ht="14.25" hidden="1" customHeight="1">
      <c r="A67" s="21">
        <v>65</v>
      </c>
      <c r="B67" s="21" t="s">
        <v>204</v>
      </c>
      <c r="C67" s="21" t="s">
        <v>33</v>
      </c>
      <c r="D67" s="21">
        <v>14</v>
      </c>
      <c r="E67" s="21">
        <v>13.2</v>
      </c>
      <c r="F67" s="21" t="s">
        <v>47</v>
      </c>
      <c r="G67" s="26" t="s">
        <v>178</v>
      </c>
      <c r="H67" s="26"/>
      <c r="I67" s="183" t="s">
        <v>59</v>
      </c>
      <c r="J67" s="40"/>
      <c r="K67" s="4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</row>
    <row r="68" spans="1:29" ht="14.25" hidden="1" customHeight="1">
      <c r="A68" s="21">
        <v>66</v>
      </c>
      <c r="B68" s="21" t="s">
        <v>204</v>
      </c>
      <c r="C68" s="21" t="s">
        <v>84</v>
      </c>
      <c r="D68" s="21">
        <v>19.2</v>
      </c>
      <c r="E68" s="21" t="s">
        <v>61</v>
      </c>
      <c r="F68" s="21" t="s">
        <v>47</v>
      </c>
      <c r="G68" s="62" t="s">
        <v>178</v>
      </c>
      <c r="H68" s="62"/>
      <c r="I68" s="184"/>
      <c r="J68" s="40"/>
      <c r="K68" s="4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</row>
    <row r="69" spans="1:29" ht="14.25" hidden="1" customHeight="1">
      <c r="A69" s="21">
        <v>67</v>
      </c>
      <c r="B69" s="21" t="s">
        <v>206</v>
      </c>
      <c r="C69" s="21" t="s">
        <v>129</v>
      </c>
      <c r="D69" s="21">
        <v>14.1</v>
      </c>
      <c r="E69" s="21">
        <v>13.3</v>
      </c>
      <c r="F69" s="21" t="s">
        <v>77</v>
      </c>
      <c r="G69" s="54" t="s">
        <v>54</v>
      </c>
      <c r="H69" s="62"/>
      <c r="I69" s="183" t="s">
        <v>59</v>
      </c>
      <c r="J69" s="40"/>
      <c r="K69" s="4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</row>
    <row r="70" spans="1:29" ht="14.25" hidden="1" customHeight="1">
      <c r="A70" s="21">
        <v>68</v>
      </c>
      <c r="B70" s="21" t="s">
        <v>206</v>
      </c>
      <c r="C70" s="21" t="s">
        <v>163</v>
      </c>
      <c r="D70" s="21">
        <v>19.7</v>
      </c>
      <c r="E70" s="21" t="s">
        <v>61</v>
      </c>
      <c r="F70" s="21" t="s">
        <v>77</v>
      </c>
      <c r="G70" s="54" t="s">
        <v>54</v>
      </c>
      <c r="H70" s="62"/>
      <c r="I70" s="184"/>
      <c r="J70" s="40"/>
      <c r="K70" s="4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</row>
    <row r="71" spans="1:29" ht="14.25" hidden="1" customHeight="1">
      <c r="A71" s="21">
        <v>69</v>
      </c>
      <c r="B71" s="21" t="s">
        <v>206</v>
      </c>
      <c r="C71" s="21" t="s">
        <v>33</v>
      </c>
      <c r="D71" s="21">
        <v>14.3</v>
      </c>
      <c r="E71" s="21">
        <v>13.4</v>
      </c>
      <c r="F71" s="21" t="s">
        <v>55</v>
      </c>
      <c r="G71" s="29" t="s">
        <v>54</v>
      </c>
      <c r="H71" s="41"/>
      <c r="I71" s="183" t="s">
        <v>59</v>
      </c>
      <c r="J71" s="40"/>
      <c r="K71" s="4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</row>
    <row r="72" spans="1:29" ht="14.25" hidden="1" customHeight="1">
      <c r="A72" s="21">
        <v>70</v>
      </c>
      <c r="B72" s="21" t="s">
        <v>206</v>
      </c>
      <c r="C72" s="21" t="s">
        <v>84</v>
      </c>
      <c r="D72" s="21">
        <v>19.7</v>
      </c>
      <c r="E72" s="21" t="s">
        <v>61</v>
      </c>
      <c r="F72" s="21" t="s">
        <v>55</v>
      </c>
      <c r="G72" s="29" t="s">
        <v>54</v>
      </c>
      <c r="H72" s="41"/>
      <c r="I72" s="184"/>
      <c r="J72" s="40"/>
      <c r="K72" s="4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</row>
    <row r="73" spans="1:29" ht="14.25" hidden="1" customHeight="1">
      <c r="A73" s="21">
        <v>71</v>
      </c>
      <c r="B73" s="21" t="s">
        <v>207</v>
      </c>
      <c r="C73" s="21" t="s">
        <v>33</v>
      </c>
      <c r="D73" s="21">
        <v>14.6</v>
      </c>
      <c r="E73" s="21">
        <v>13.1</v>
      </c>
      <c r="F73" s="21" t="s">
        <v>124</v>
      </c>
      <c r="G73" s="26" t="s">
        <v>104</v>
      </c>
      <c r="H73" s="26"/>
      <c r="I73" s="183" t="s">
        <v>59</v>
      </c>
      <c r="J73" s="40"/>
      <c r="K73" s="4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</row>
    <row r="74" spans="1:29" ht="14.25" hidden="1" customHeight="1">
      <c r="A74" s="21">
        <v>72</v>
      </c>
      <c r="B74" s="21" t="s">
        <v>207</v>
      </c>
      <c r="C74" s="21" t="s">
        <v>84</v>
      </c>
      <c r="D74" s="21">
        <v>19.399999999999999</v>
      </c>
      <c r="E74" s="21" t="s">
        <v>61</v>
      </c>
      <c r="F74" s="21" t="s">
        <v>124</v>
      </c>
      <c r="G74" s="62" t="s">
        <v>104</v>
      </c>
      <c r="H74" s="62"/>
      <c r="I74" s="184"/>
      <c r="J74" s="40"/>
      <c r="K74" s="4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</row>
    <row r="75" spans="1:29" ht="14.25" hidden="1" customHeight="1">
      <c r="A75" s="21">
        <v>73</v>
      </c>
      <c r="B75" s="21" t="s">
        <v>208</v>
      </c>
      <c r="C75" s="21" t="s">
        <v>129</v>
      </c>
      <c r="D75" s="21">
        <v>13.5</v>
      </c>
      <c r="E75" s="21">
        <v>12.9</v>
      </c>
      <c r="F75" s="21" t="s">
        <v>55</v>
      </c>
      <c r="G75" s="29" t="s">
        <v>54</v>
      </c>
      <c r="H75" s="41"/>
      <c r="I75" s="183" t="s">
        <v>59</v>
      </c>
      <c r="J75" s="40"/>
      <c r="K75" s="4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</row>
    <row r="76" spans="1:29" ht="14.25" hidden="1" customHeight="1">
      <c r="A76" s="21">
        <v>74</v>
      </c>
      <c r="B76" s="21" t="s">
        <v>208</v>
      </c>
      <c r="C76" s="21" t="s">
        <v>163</v>
      </c>
      <c r="D76" s="21">
        <v>17.8</v>
      </c>
      <c r="E76" s="21" t="s">
        <v>61</v>
      </c>
      <c r="F76" s="21" t="s">
        <v>55</v>
      </c>
      <c r="G76" s="29" t="s">
        <v>54</v>
      </c>
      <c r="H76" s="41"/>
      <c r="I76" s="184"/>
      <c r="J76" s="40"/>
      <c r="K76" s="4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</row>
    <row r="77" spans="1:29" ht="14.25" hidden="1" customHeight="1">
      <c r="A77" s="21">
        <v>75</v>
      </c>
      <c r="B77" s="21" t="s">
        <v>209</v>
      </c>
      <c r="C77" s="21" t="s">
        <v>33</v>
      </c>
      <c r="D77" s="21">
        <v>12.9</v>
      </c>
      <c r="E77" s="21">
        <v>12.9</v>
      </c>
      <c r="F77" s="21" t="s">
        <v>124</v>
      </c>
      <c r="G77" s="26" t="s">
        <v>104</v>
      </c>
      <c r="H77" s="26"/>
      <c r="I77" s="183" t="s">
        <v>59</v>
      </c>
      <c r="J77" s="40"/>
      <c r="K77" s="4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</row>
    <row r="78" spans="1:29" ht="14.25" hidden="1" customHeight="1">
      <c r="A78" s="21">
        <v>76</v>
      </c>
      <c r="B78" s="21" t="s">
        <v>209</v>
      </c>
      <c r="C78" s="21" t="s">
        <v>84</v>
      </c>
      <c r="D78" s="21">
        <v>19.3</v>
      </c>
      <c r="E78" s="21" t="s">
        <v>61</v>
      </c>
      <c r="F78" s="21" t="s">
        <v>124</v>
      </c>
      <c r="G78" s="62" t="s">
        <v>104</v>
      </c>
      <c r="H78" s="62"/>
      <c r="I78" s="184"/>
      <c r="J78" s="40"/>
      <c r="K78" s="4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</row>
    <row r="79" spans="1:29" ht="14.25" hidden="1" customHeight="1">
      <c r="A79" s="21">
        <v>77</v>
      </c>
      <c r="B79" s="21" t="s">
        <v>210</v>
      </c>
      <c r="C79" s="21" t="s">
        <v>129</v>
      </c>
      <c r="D79" s="21">
        <v>14.3</v>
      </c>
      <c r="E79" s="21">
        <v>13</v>
      </c>
      <c r="F79" s="21" t="s">
        <v>88</v>
      </c>
      <c r="G79" s="62" t="s">
        <v>104</v>
      </c>
      <c r="H79" s="62"/>
      <c r="I79" s="183" t="s">
        <v>59</v>
      </c>
      <c r="J79" s="40"/>
      <c r="K79" s="4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</row>
    <row r="80" spans="1:29" ht="14.25" hidden="1" customHeight="1">
      <c r="A80" s="21">
        <v>78</v>
      </c>
      <c r="B80" s="21" t="s">
        <v>210</v>
      </c>
      <c r="C80" s="21" t="s">
        <v>163</v>
      </c>
      <c r="D80" s="21">
        <v>23.2</v>
      </c>
      <c r="E80" s="21" t="s">
        <v>61</v>
      </c>
      <c r="F80" s="21" t="s">
        <v>88</v>
      </c>
      <c r="G80" s="62" t="s">
        <v>104</v>
      </c>
      <c r="H80" s="62"/>
      <c r="I80" s="184"/>
      <c r="J80" s="40"/>
      <c r="K80" s="4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</row>
    <row r="81" spans="1:29" ht="14.25" hidden="1" customHeight="1">
      <c r="A81" s="21">
        <v>79</v>
      </c>
      <c r="B81" s="21" t="s">
        <v>211</v>
      </c>
      <c r="C81" s="21" t="s">
        <v>129</v>
      </c>
      <c r="D81" s="21">
        <v>15.1</v>
      </c>
      <c r="E81" s="21">
        <v>13.1</v>
      </c>
      <c r="F81" s="21" t="s">
        <v>79</v>
      </c>
      <c r="G81" s="26" t="s">
        <v>104</v>
      </c>
      <c r="H81" s="26"/>
      <c r="I81" s="183" t="s">
        <v>59</v>
      </c>
      <c r="J81" s="40"/>
      <c r="K81" s="4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</row>
    <row r="82" spans="1:29" ht="14.25" hidden="1" customHeight="1">
      <c r="A82" s="21">
        <v>80</v>
      </c>
      <c r="B82" s="21" t="s">
        <v>211</v>
      </c>
      <c r="C82" s="21" t="s">
        <v>163</v>
      </c>
      <c r="D82" s="21">
        <v>22</v>
      </c>
      <c r="E82" s="21" t="s">
        <v>61</v>
      </c>
      <c r="F82" s="21" t="s">
        <v>79</v>
      </c>
      <c r="G82" s="62" t="s">
        <v>104</v>
      </c>
      <c r="H82" s="62"/>
      <c r="I82" s="184"/>
      <c r="J82" s="40"/>
      <c r="K82" s="4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</row>
    <row r="83" spans="1:29" ht="14.25" hidden="1" customHeight="1">
      <c r="A83" s="21">
        <v>81</v>
      </c>
      <c r="B83" s="21" t="s">
        <v>212</v>
      </c>
      <c r="C83" s="21" t="s">
        <v>129</v>
      </c>
      <c r="D83" s="21">
        <v>15.9</v>
      </c>
      <c r="E83" s="21">
        <v>12.3</v>
      </c>
      <c r="F83" s="21" t="s">
        <v>55</v>
      </c>
      <c r="G83" s="29" t="s">
        <v>54</v>
      </c>
      <c r="H83" s="41"/>
      <c r="I83" s="21" t="s">
        <v>59</v>
      </c>
      <c r="J83" s="40"/>
      <c r="K83" s="4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</row>
    <row r="84" spans="1:29" ht="14.25" hidden="1" customHeight="1">
      <c r="A84" s="21">
        <v>82</v>
      </c>
      <c r="B84" s="21" t="s">
        <v>213</v>
      </c>
      <c r="C84" s="21" t="s">
        <v>129</v>
      </c>
      <c r="D84" s="21">
        <v>17.100000000000001</v>
      </c>
      <c r="E84" s="21">
        <v>10.4</v>
      </c>
      <c r="F84" s="21" t="s">
        <v>77</v>
      </c>
      <c r="G84" s="54" t="s">
        <v>54</v>
      </c>
      <c r="H84" s="62"/>
      <c r="I84" s="183" t="s">
        <v>59</v>
      </c>
      <c r="J84" s="40"/>
      <c r="K84" s="4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</row>
    <row r="85" spans="1:29" ht="14.25" hidden="1" customHeight="1">
      <c r="A85" s="21">
        <v>83</v>
      </c>
      <c r="B85" s="21" t="s">
        <v>213</v>
      </c>
      <c r="C85" s="21" t="s">
        <v>163</v>
      </c>
      <c r="D85" s="21">
        <v>10</v>
      </c>
      <c r="E85" s="21" t="s">
        <v>61</v>
      </c>
      <c r="F85" s="21" t="s">
        <v>77</v>
      </c>
      <c r="G85" s="54" t="s">
        <v>54</v>
      </c>
      <c r="H85" s="62"/>
      <c r="I85" s="184"/>
      <c r="J85" s="40"/>
      <c r="K85" s="4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</row>
    <row r="86" spans="1:29" ht="14.25" hidden="1" customHeight="1">
      <c r="A86" s="21">
        <v>84</v>
      </c>
      <c r="B86" s="21" t="s">
        <v>214</v>
      </c>
      <c r="C86" s="21" t="s">
        <v>129</v>
      </c>
      <c r="D86" s="21">
        <v>17</v>
      </c>
      <c r="E86" s="21">
        <v>11.2</v>
      </c>
      <c r="F86" s="21" t="s">
        <v>89</v>
      </c>
      <c r="G86" s="26" t="s">
        <v>104</v>
      </c>
      <c r="H86" s="26"/>
      <c r="I86" s="183" t="s">
        <v>59</v>
      </c>
      <c r="J86" s="40"/>
      <c r="K86" s="4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</row>
    <row r="87" spans="1:29" ht="14.25" hidden="1" customHeight="1">
      <c r="A87" s="21">
        <v>85</v>
      </c>
      <c r="B87" s="21" t="s">
        <v>214</v>
      </c>
      <c r="C87" s="21" t="s">
        <v>163</v>
      </c>
      <c r="D87" s="21">
        <v>10.7</v>
      </c>
      <c r="E87" s="21" t="s">
        <v>61</v>
      </c>
      <c r="F87" s="21" t="s">
        <v>89</v>
      </c>
      <c r="G87" s="26" t="s">
        <v>104</v>
      </c>
      <c r="H87" s="26"/>
      <c r="I87" s="184"/>
      <c r="J87" s="40"/>
      <c r="K87" s="4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</row>
    <row r="88" spans="1:29" ht="14.25" hidden="1" customHeight="1">
      <c r="A88" s="21">
        <v>86</v>
      </c>
      <c r="B88" s="21" t="s">
        <v>216</v>
      </c>
      <c r="C88" s="21" t="s">
        <v>129</v>
      </c>
      <c r="D88" s="21">
        <v>19.5</v>
      </c>
      <c r="E88" s="21">
        <v>11.3</v>
      </c>
      <c r="F88" s="21" t="s">
        <v>55</v>
      </c>
      <c r="G88" s="29" t="s">
        <v>54</v>
      </c>
      <c r="H88" s="41"/>
      <c r="I88" s="183" t="s">
        <v>59</v>
      </c>
      <c r="J88" s="40"/>
      <c r="K88" s="4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</row>
    <row r="89" spans="1:29" ht="14.25" hidden="1" customHeight="1">
      <c r="A89" s="21">
        <v>87</v>
      </c>
      <c r="B89" s="21" t="s">
        <v>216</v>
      </c>
      <c r="C89" s="21" t="s">
        <v>163</v>
      </c>
      <c r="D89" s="21">
        <v>7.6</v>
      </c>
      <c r="E89" s="21" t="s">
        <v>61</v>
      </c>
      <c r="F89" s="21" t="s">
        <v>55</v>
      </c>
      <c r="G89" s="29" t="s">
        <v>54</v>
      </c>
      <c r="H89" s="41"/>
      <c r="I89" s="184"/>
      <c r="J89" s="40"/>
      <c r="K89" s="4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</row>
    <row r="90" spans="1:29" ht="14.25" hidden="1" customHeight="1">
      <c r="A90" s="21">
        <v>88</v>
      </c>
      <c r="B90" s="21" t="s">
        <v>217</v>
      </c>
      <c r="C90" s="21" t="s">
        <v>129</v>
      </c>
      <c r="D90" s="21">
        <v>18.8</v>
      </c>
      <c r="E90" s="21">
        <v>11.7</v>
      </c>
      <c r="F90" s="21" t="s">
        <v>55</v>
      </c>
      <c r="G90" s="29" t="s">
        <v>54</v>
      </c>
      <c r="H90" s="41"/>
      <c r="I90" s="21" t="s">
        <v>59</v>
      </c>
      <c r="J90" s="40"/>
      <c r="K90" s="4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</row>
    <row r="91" spans="1:29" ht="14.25" hidden="1" customHeight="1">
      <c r="A91" s="21">
        <v>89</v>
      </c>
      <c r="B91" s="21" t="s">
        <v>218</v>
      </c>
      <c r="C91" s="21" t="s">
        <v>129</v>
      </c>
      <c r="D91" s="21">
        <v>16.399999999999999</v>
      </c>
      <c r="E91" s="21">
        <v>12.2</v>
      </c>
      <c r="F91" s="21" t="s">
        <v>118</v>
      </c>
      <c r="G91" s="27" t="s">
        <v>54</v>
      </c>
      <c r="H91" s="21"/>
      <c r="I91" s="21" t="s">
        <v>59</v>
      </c>
      <c r="J91" s="40"/>
      <c r="K91" s="44" t="s">
        <v>219</v>
      </c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</row>
    <row r="92" spans="1:29" ht="14.25" hidden="1" customHeight="1">
      <c r="A92" s="21">
        <v>90</v>
      </c>
      <c r="B92" s="21" t="s">
        <v>220</v>
      </c>
      <c r="C92" s="21" t="s">
        <v>33</v>
      </c>
      <c r="D92" s="21">
        <v>18.399999999999999</v>
      </c>
      <c r="E92" s="21">
        <v>13.1</v>
      </c>
      <c r="F92" s="21" t="s">
        <v>62</v>
      </c>
      <c r="G92" s="26" t="s">
        <v>104</v>
      </c>
      <c r="H92" s="26"/>
      <c r="I92" s="183" t="s">
        <v>59</v>
      </c>
      <c r="J92" s="40"/>
      <c r="K92" s="4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</row>
    <row r="93" spans="1:29" ht="14.25" hidden="1" customHeight="1">
      <c r="A93" s="21">
        <v>91</v>
      </c>
      <c r="B93" s="21" t="s">
        <v>220</v>
      </c>
      <c r="C93" s="21" t="s">
        <v>84</v>
      </c>
      <c r="D93" s="21">
        <v>7.3</v>
      </c>
      <c r="E93" s="21" t="s">
        <v>61</v>
      </c>
      <c r="F93" s="21" t="s">
        <v>62</v>
      </c>
      <c r="G93" s="26" t="s">
        <v>104</v>
      </c>
      <c r="H93" s="26"/>
      <c r="I93" s="184"/>
      <c r="J93" s="40"/>
      <c r="K93" s="4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</row>
    <row r="94" spans="1:29" ht="14.25" customHeight="1">
      <c r="A94" s="90">
        <v>92</v>
      </c>
      <c r="B94" s="90" t="s">
        <v>221</v>
      </c>
      <c r="C94" s="90" t="s">
        <v>129</v>
      </c>
      <c r="D94" s="90">
        <v>19.3</v>
      </c>
      <c r="E94" s="90">
        <v>12.8</v>
      </c>
      <c r="F94" s="90" t="s">
        <v>12</v>
      </c>
      <c r="G94" s="90"/>
      <c r="H94" s="90"/>
      <c r="I94" s="187" t="s">
        <v>59</v>
      </c>
      <c r="J94" s="91"/>
      <c r="K94" s="92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ht="14.25" customHeight="1">
      <c r="A95" s="90">
        <v>93</v>
      </c>
      <c r="B95" s="90" t="s">
        <v>221</v>
      </c>
      <c r="C95" s="90" t="s">
        <v>163</v>
      </c>
      <c r="D95" s="90">
        <v>6.2</v>
      </c>
      <c r="E95" s="90" t="s">
        <v>61</v>
      </c>
      <c r="F95" s="90" t="s">
        <v>12</v>
      </c>
      <c r="G95" s="95"/>
      <c r="H95" s="95"/>
      <c r="I95" s="184"/>
      <c r="J95" s="91"/>
      <c r="K95" s="92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ht="14.25" hidden="1" customHeight="1">
      <c r="A96" s="21">
        <v>94</v>
      </c>
      <c r="B96" s="21" t="s">
        <v>221</v>
      </c>
      <c r="C96" s="21" t="s">
        <v>33</v>
      </c>
      <c r="D96" s="21">
        <v>18.5</v>
      </c>
      <c r="E96" s="21">
        <v>12.9</v>
      </c>
      <c r="F96" s="21" t="s">
        <v>51</v>
      </c>
      <c r="G96" s="21"/>
      <c r="H96" s="21"/>
      <c r="I96" s="183" t="s">
        <v>59</v>
      </c>
      <c r="J96" s="40"/>
      <c r="K96" s="4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</row>
    <row r="97" spans="1:29" ht="14.25" hidden="1" customHeight="1">
      <c r="A97" s="21">
        <v>95</v>
      </c>
      <c r="B97" s="21" t="s">
        <v>221</v>
      </c>
      <c r="C97" s="21" t="s">
        <v>84</v>
      </c>
      <c r="D97" s="21">
        <v>7.3</v>
      </c>
      <c r="E97" s="21" t="s">
        <v>61</v>
      </c>
      <c r="F97" s="21" t="s">
        <v>51</v>
      </c>
      <c r="G97" s="56"/>
      <c r="H97" s="56"/>
      <c r="I97" s="184"/>
      <c r="J97" s="40"/>
      <c r="K97" s="4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</row>
    <row r="98" spans="1:29" ht="14.25" customHeight="1">
      <c r="A98" s="90">
        <v>96</v>
      </c>
      <c r="B98" s="90" t="s">
        <v>222</v>
      </c>
      <c r="C98" s="90" t="s">
        <v>129</v>
      </c>
      <c r="D98" s="90">
        <v>16.5</v>
      </c>
      <c r="E98" s="90">
        <v>9.6999999999999993</v>
      </c>
      <c r="F98" s="90" t="s">
        <v>12</v>
      </c>
      <c r="G98" s="90"/>
      <c r="H98" s="90"/>
      <c r="I98" s="90" t="s">
        <v>59</v>
      </c>
      <c r="J98" s="91"/>
      <c r="K98" s="92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ht="14.25" customHeight="1">
      <c r="A99" s="90">
        <v>97</v>
      </c>
      <c r="B99" s="90" t="s">
        <v>224</v>
      </c>
      <c r="C99" s="90" t="s">
        <v>129</v>
      </c>
      <c r="D99" s="90">
        <v>18.8</v>
      </c>
      <c r="E99" s="90">
        <v>13.1</v>
      </c>
      <c r="F99" s="90" t="s">
        <v>12</v>
      </c>
      <c r="G99" s="90"/>
      <c r="H99" s="90"/>
      <c r="I99" s="187" t="s">
        <v>59</v>
      </c>
      <c r="J99" s="91"/>
      <c r="K99" s="92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ht="14.25" customHeight="1">
      <c r="A100" s="90">
        <v>98</v>
      </c>
      <c r="B100" s="90" t="s">
        <v>224</v>
      </c>
      <c r="C100" s="90" t="s">
        <v>163</v>
      </c>
      <c r="D100" s="90">
        <v>7.3</v>
      </c>
      <c r="E100" s="90" t="s">
        <v>61</v>
      </c>
      <c r="F100" s="90" t="s">
        <v>12</v>
      </c>
      <c r="G100" s="95"/>
      <c r="H100" s="95"/>
      <c r="I100" s="184"/>
      <c r="J100" s="91"/>
      <c r="K100" s="92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ht="14.25" hidden="1" customHeight="1">
      <c r="A101" s="21">
        <v>99</v>
      </c>
      <c r="B101" s="21" t="s">
        <v>224</v>
      </c>
      <c r="C101" s="21" t="s">
        <v>33</v>
      </c>
      <c r="D101" s="21">
        <v>18.100000000000001</v>
      </c>
      <c r="E101" s="21">
        <v>13.3</v>
      </c>
      <c r="F101" s="21" t="s">
        <v>79</v>
      </c>
      <c r="G101" s="26" t="s">
        <v>104</v>
      </c>
      <c r="H101" s="26"/>
      <c r="I101" s="183" t="s">
        <v>59</v>
      </c>
      <c r="J101" s="40"/>
      <c r="K101" s="4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</row>
    <row r="102" spans="1:29" ht="14.25" hidden="1" customHeight="1">
      <c r="A102" s="21">
        <v>100</v>
      </c>
      <c r="B102" s="21" t="s">
        <v>224</v>
      </c>
      <c r="C102" s="21" t="s">
        <v>84</v>
      </c>
      <c r="D102" s="21">
        <v>7.1</v>
      </c>
      <c r="E102" s="21" t="s">
        <v>61</v>
      </c>
      <c r="F102" s="21" t="s">
        <v>79</v>
      </c>
      <c r="G102" s="62" t="s">
        <v>104</v>
      </c>
      <c r="H102" s="62"/>
      <c r="I102" s="184"/>
      <c r="J102" s="40"/>
      <c r="K102" s="4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</row>
    <row r="103" spans="1:29" ht="14.25" hidden="1" customHeight="1">
      <c r="A103" s="21">
        <v>101</v>
      </c>
      <c r="B103" s="21" t="s">
        <v>225</v>
      </c>
      <c r="C103" s="21" t="s">
        <v>129</v>
      </c>
      <c r="D103" s="21">
        <v>19.899999999999999</v>
      </c>
      <c r="E103" s="21">
        <v>12.8</v>
      </c>
      <c r="F103" s="21" t="s">
        <v>62</v>
      </c>
      <c r="G103" s="26" t="s">
        <v>104</v>
      </c>
      <c r="H103" s="26"/>
      <c r="I103" s="183" t="s">
        <v>59</v>
      </c>
      <c r="J103" s="40"/>
      <c r="K103" s="4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</row>
    <row r="104" spans="1:29" ht="14.25" hidden="1" customHeight="1">
      <c r="A104" s="21">
        <v>102</v>
      </c>
      <c r="B104" s="21" t="s">
        <v>225</v>
      </c>
      <c r="C104" s="21" t="s">
        <v>163</v>
      </c>
      <c r="D104" s="21">
        <v>6.5</v>
      </c>
      <c r="E104" s="21" t="s">
        <v>61</v>
      </c>
      <c r="F104" s="21" t="s">
        <v>62</v>
      </c>
      <c r="G104" s="26" t="s">
        <v>104</v>
      </c>
      <c r="H104" s="26"/>
      <c r="I104" s="184"/>
      <c r="J104" s="40"/>
      <c r="K104" s="4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</row>
    <row r="105" spans="1:29" ht="14.25" hidden="1" customHeight="1">
      <c r="A105" s="21">
        <v>103</v>
      </c>
      <c r="B105" s="21" t="s">
        <v>225</v>
      </c>
      <c r="C105" s="21" t="s">
        <v>33</v>
      </c>
      <c r="D105" s="21">
        <v>15.5</v>
      </c>
      <c r="E105" s="21">
        <v>13.2</v>
      </c>
      <c r="F105" s="21" t="s">
        <v>150</v>
      </c>
      <c r="G105" s="26" t="s">
        <v>104</v>
      </c>
      <c r="H105" s="26"/>
      <c r="I105" s="183" t="s">
        <v>59</v>
      </c>
      <c r="J105" s="40"/>
      <c r="K105" s="4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</row>
    <row r="106" spans="1:29" ht="14.25" hidden="1" customHeight="1">
      <c r="A106" s="21">
        <v>104</v>
      </c>
      <c r="B106" s="21" t="s">
        <v>225</v>
      </c>
      <c r="C106" s="21" t="s">
        <v>84</v>
      </c>
      <c r="D106" s="21">
        <v>6.9</v>
      </c>
      <c r="E106" s="21" t="s">
        <v>61</v>
      </c>
      <c r="F106" s="21" t="s">
        <v>150</v>
      </c>
      <c r="G106" s="62" t="s">
        <v>104</v>
      </c>
      <c r="H106" s="62"/>
      <c r="I106" s="184"/>
      <c r="J106" s="40"/>
      <c r="K106" s="4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</row>
    <row r="107" spans="1:29" ht="14.25" hidden="1" customHeight="1">
      <c r="A107" s="21">
        <v>105</v>
      </c>
      <c r="B107" s="21" t="s">
        <v>226</v>
      </c>
      <c r="C107" s="21" t="s">
        <v>129</v>
      </c>
      <c r="D107" s="21">
        <v>19.600000000000001</v>
      </c>
      <c r="E107" s="21">
        <v>11.9</v>
      </c>
      <c r="F107" s="21" t="s">
        <v>36</v>
      </c>
      <c r="G107" s="26" t="s">
        <v>104</v>
      </c>
      <c r="H107" s="26"/>
      <c r="I107" s="183" t="s">
        <v>59</v>
      </c>
      <c r="J107" s="40"/>
      <c r="K107" s="4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</row>
    <row r="108" spans="1:29" ht="14.25" hidden="1" customHeight="1">
      <c r="A108" s="21">
        <v>106</v>
      </c>
      <c r="B108" s="21" t="s">
        <v>226</v>
      </c>
      <c r="C108" s="21" t="s">
        <v>163</v>
      </c>
      <c r="D108" s="21">
        <v>7.3</v>
      </c>
      <c r="E108" s="21" t="s">
        <v>61</v>
      </c>
      <c r="F108" s="21" t="s">
        <v>36</v>
      </c>
      <c r="G108" s="62" t="s">
        <v>104</v>
      </c>
      <c r="H108" s="62"/>
      <c r="I108" s="184"/>
      <c r="J108" s="40"/>
      <c r="K108" s="4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</row>
    <row r="109" spans="1:29" ht="14.25" hidden="1" customHeight="1">
      <c r="A109" s="21">
        <v>107</v>
      </c>
      <c r="B109" s="21" t="s">
        <v>227</v>
      </c>
      <c r="C109" s="21" t="s">
        <v>129</v>
      </c>
      <c r="D109" s="21">
        <v>18.899999999999999</v>
      </c>
      <c r="E109" s="21">
        <v>11.6</v>
      </c>
      <c r="F109" s="21" t="s">
        <v>118</v>
      </c>
      <c r="G109" s="27" t="s">
        <v>54</v>
      </c>
      <c r="H109" s="21"/>
      <c r="I109" s="183" t="s">
        <v>59</v>
      </c>
      <c r="J109" s="40"/>
      <c r="K109" s="4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</row>
    <row r="110" spans="1:29" ht="14.25" hidden="1" customHeight="1">
      <c r="A110" s="21">
        <v>108</v>
      </c>
      <c r="B110" s="21" t="s">
        <v>227</v>
      </c>
      <c r="C110" s="21" t="s">
        <v>163</v>
      </c>
      <c r="D110" s="21">
        <v>7.4</v>
      </c>
      <c r="E110" s="21" t="s">
        <v>61</v>
      </c>
      <c r="F110" s="21" t="s">
        <v>118</v>
      </c>
      <c r="G110" s="54" t="s">
        <v>54</v>
      </c>
      <c r="H110" s="56"/>
      <c r="I110" s="184"/>
      <c r="J110" s="40"/>
      <c r="K110" s="4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</row>
    <row r="111" spans="1:29" ht="14.25" hidden="1" customHeight="1">
      <c r="A111" s="21">
        <v>109</v>
      </c>
      <c r="B111" s="21" t="s">
        <v>228</v>
      </c>
      <c r="C111" s="21" t="s">
        <v>129</v>
      </c>
      <c r="D111" s="21">
        <v>17</v>
      </c>
      <c r="E111" s="21">
        <v>12</v>
      </c>
      <c r="F111" s="21" t="s">
        <v>69</v>
      </c>
      <c r="G111" s="26" t="s">
        <v>104</v>
      </c>
      <c r="H111" s="26"/>
      <c r="I111" s="183" t="s">
        <v>59</v>
      </c>
      <c r="J111" s="40"/>
      <c r="K111" s="4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</row>
    <row r="112" spans="1:29" ht="14.25" hidden="1" customHeight="1">
      <c r="A112" s="21">
        <v>110</v>
      </c>
      <c r="B112" s="21" t="s">
        <v>228</v>
      </c>
      <c r="C112" s="21" t="s">
        <v>163</v>
      </c>
      <c r="D112" s="21">
        <v>7.8</v>
      </c>
      <c r="E112" s="21" t="s">
        <v>61</v>
      </c>
      <c r="F112" s="21" t="s">
        <v>69</v>
      </c>
      <c r="G112" s="62" t="s">
        <v>104</v>
      </c>
      <c r="H112" s="62"/>
      <c r="I112" s="184"/>
      <c r="J112" s="40"/>
      <c r="K112" s="4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</row>
    <row r="113" spans="1:29" ht="14.25" hidden="1" customHeight="1">
      <c r="A113" s="21">
        <v>111</v>
      </c>
      <c r="B113" s="21" t="s">
        <v>229</v>
      </c>
      <c r="C113" s="21" t="s">
        <v>129</v>
      </c>
      <c r="D113" s="21">
        <v>16.100000000000001</v>
      </c>
      <c r="E113" s="21">
        <v>10.3</v>
      </c>
      <c r="F113" s="21" t="s">
        <v>150</v>
      </c>
      <c r="G113" s="26" t="s">
        <v>104</v>
      </c>
      <c r="H113" s="26"/>
      <c r="I113" s="21" t="s">
        <v>59</v>
      </c>
      <c r="J113" s="40"/>
      <c r="K113" s="4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</row>
    <row r="114" spans="1:29" ht="14.25" hidden="1" customHeight="1">
      <c r="A114" s="21">
        <v>112</v>
      </c>
      <c r="B114" s="21" t="s">
        <v>230</v>
      </c>
      <c r="C114" s="21" t="s">
        <v>129</v>
      </c>
      <c r="D114" s="21">
        <v>16.399999999999999</v>
      </c>
      <c r="E114" s="21">
        <v>10.3</v>
      </c>
      <c r="F114" s="21" t="s">
        <v>55</v>
      </c>
      <c r="G114" s="29" t="s">
        <v>54</v>
      </c>
      <c r="H114" s="41"/>
      <c r="I114" s="21" t="s">
        <v>59</v>
      </c>
      <c r="J114" s="40"/>
      <c r="K114" s="4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</row>
    <row r="115" spans="1:29" ht="14.25" hidden="1" customHeight="1">
      <c r="A115" s="21">
        <v>113</v>
      </c>
      <c r="B115" s="21" t="s">
        <v>231</v>
      </c>
      <c r="C115" s="21" t="s">
        <v>129</v>
      </c>
      <c r="D115" s="21">
        <v>12.8</v>
      </c>
      <c r="E115" s="21">
        <v>12.9</v>
      </c>
      <c r="F115" s="21" t="s">
        <v>51</v>
      </c>
      <c r="G115" s="21"/>
      <c r="H115" s="21"/>
      <c r="I115" s="183" t="s">
        <v>59</v>
      </c>
      <c r="J115" s="40"/>
      <c r="K115" s="4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</row>
    <row r="116" spans="1:29" ht="14.25" hidden="1" customHeight="1">
      <c r="A116" s="21">
        <v>114</v>
      </c>
      <c r="B116" s="21" t="s">
        <v>231</v>
      </c>
      <c r="C116" s="21" t="s">
        <v>163</v>
      </c>
      <c r="D116" s="21">
        <v>22.2</v>
      </c>
      <c r="E116" s="21" t="s">
        <v>61</v>
      </c>
      <c r="F116" s="21" t="s">
        <v>51</v>
      </c>
      <c r="G116" s="56"/>
      <c r="H116" s="56"/>
      <c r="I116" s="184"/>
      <c r="J116" s="40"/>
      <c r="K116" s="4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</row>
    <row r="117" spans="1:29" ht="14.25" hidden="1" customHeight="1">
      <c r="A117" s="21">
        <v>115</v>
      </c>
      <c r="B117" s="21" t="s">
        <v>231</v>
      </c>
      <c r="C117" s="21" t="s">
        <v>33</v>
      </c>
      <c r="D117" s="21">
        <v>12.8</v>
      </c>
      <c r="E117" s="21">
        <v>12.8</v>
      </c>
      <c r="F117" s="21" t="s">
        <v>112</v>
      </c>
      <c r="G117" s="26" t="s">
        <v>178</v>
      </c>
      <c r="H117" s="26"/>
      <c r="I117" s="183" t="s">
        <v>59</v>
      </c>
      <c r="J117" s="40"/>
      <c r="K117" s="4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</row>
    <row r="118" spans="1:29" ht="14.25" hidden="1" customHeight="1">
      <c r="A118" s="21">
        <v>116</v>
      </c>
      <c r="B118" s="21" t="s">
        <v>231</v>
      </c>
      <c r="C118" s="21" t="s">
        <v>84</v>
      </c>
      <c r="D118" s="21">
        <v>22</v>
      </c>
      <c r="E118" s="21" t="s">
        <v>61</v>
      </c>
      <c r="F118" s="21" t="s">
        <v>112</v>
      </c>
      <c r="G118" s="62" t="s">
        <v>178</v>
      </c>
      <c r="H118" s="62"/>
      <c r="I118" s="184"/>
      <c r="J118" s="40"/>
      <c r="K118" s="4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</row>
    <row r="119" spans="1:29" ht="14.25" hidden="1" customHeight="1">
      <c r="A119" s="21">
        <v>117</v>
      </c>
      <c r="B119" s="21" t="s">
        <v>232</v>
      </c>
      <c r="C119" s="21" t="s">
        <v>129</v>
      </c>
      <c r="D119" s="21">
        <v>12.6</v>
      </c>
      <c r="E119" s="21">
        <v>12.8</v>
      </c>
      <c r="F119" s="21" t="s">
        <v>89</v>
      </c>
      <c r="G119" s="26" t="s">
        <v>104</v>
      </c>
      <c r="H119" s="26"/>
      <c r="I119" s="183" t="s">
        <v>59</v>
      </c>
      <c r="J119" s="40"/>
      <c r="K119" s="4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</row>
    <row r="120" spans="1:29" ht="14.25" hidden="1" customHeight="1">
      <c r="A120" s="21">
        <v>118</v>
      </c>
      <c r="B120" s="21" t="s">
        <v>232</v>
      </c>
      <c r="C120" s="21" t="s">
        <v>163</v>
      </c>
      <c r="D120" s="21">
        <v>22</v>
      </c>
      <c r="E120" s="21" t="s">
        <v>61</v>
      </c>
      <c r="F120" s="21" t="s">
        <v>89</v>
      </c>
      <c r="G120" s="26" t="s">
        <v>104</v>
      </c>
      <c r="H120" s="26"/>
      <c r="I120" s="184"/>
      <c r="J120" s="40"/>
      <c r="K120" s="4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</row>
    <row r="121" spans="1:29" ht="14.25" hidden="1" customHeight="1">
      <c r="A121" s="21">
        <v>119</v>
      </c>
      <c r="B121" s="21" t="s">
        <v>232</v>
      </c>
      <c r="C121" s="21" t="s">
        <v>33</v>
      </c>
      <c r="D121" s="21">
        <v>12.1</v>
      </c>
      <c r="E121" s="21">
        <v>12.9</v>
      </c>
      <c r="F121" s="21" t="s">
        <v>62</v>
      </c>
      <c r="G121" s="26" t="s">
        <v>104</v>
      </c>
      <c r="H121" s="26"/>
      <c r="I121" s="183" t="s">
        <v>59</v>
      </c>
      <c r="J121" s="40"/>
      <c r="K121" s="4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</row>
    <row r="122" spans="1:29" ht="14.25" hidden="1" customHeight="1">
      <c r="A122" s="21">
        <v>120</v>
      </c>
      <c r="B122" s="21" t="s">
        <v>232</v>
      </c>
      <c r="C122" s="21" t="s">
        <v>84</v>
      </c>
      <c r="D122" s="21">
        <v>21.6</v>
      </c>
      <c r="E122" s="21" t="s">
        <v>61</v>
      </c>
      <c r="F122" s="21" t="s">
        <v>62</v>
      </c>
      <c r="G122" s="26" t="s">
        <v>104</v>
      </c>
      <c r="H122" s="26"/>
      <c r="I122" s="184"/>
      <c r="J122" s="40"/>
      <c r="K122" s="4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</row>
    <row r="123" spans="1:29" ht="14.25" hidden="1" customHeight="1">
      <c r="A123" s="21">
        <v>121</v>
      </c>
      <c r="B123" s="21" t="s">
        <v>233</v>
      </c>
      <c r="C123" s="21" t="s">
        <v>129</v>
      </c>
      <c r="D123" s="21">
        <v>12.8</v>
      </c>
      <c r="E123" s="21">
        <v>12.6</v>
      </c>
      <c r="F123" s="21" t="s">
        <v>88</v>
      </c>
      <c r="G123" s="26" t="s">
        <v>104</v>
      </c>
      <c r="H123" s="26"/>
      <c r="I123" s="183" t="s">
        <v>59</v>
      </c>
      <c r="J123" s="40"/>
      <c r="K123" s="4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</row>
    <row r="124" spans="1:29" ht="14.25" hidden="1" customHeight="1">
      <c r="A124" s="21">
        <v>122</v>
      </c>
      <c r="B124" s="21" t="s">
        <v>233</v>
      </c>
      <c r="C124" s="21" t="s">
        <v>163</v>
      </c>
      <c r="D124" s="21">
        <v>22.2</v>
      </c>
      <c r="E124" s="21" t="s">
        <v>61</v>
      </c>
      <c r="F124" s="21" t="s">
        <v>88</v>
      </c>
      <c r="G124" s="62" t="s">
        <v>104</v>
      </c>
      <c r="H124" s="62"/>
      <c r="I124" s="184"/>
      <c r="J124" s="40"/>
      <c r="K124" s="4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</row>
    <row r="125" spans="1:29" ht="14.25" hidden="1" customHeight="1">
      <c r="A125" s="21">
        <v>123</v>
      </c>
      <c r="B125" s="21" t="s">
        <v>233</v>
      </c>
      <c r="C125" s="21" t="s">
        <v>33</v>
      </c>
      <c r="D125" s="21">
        <v>12.6</v>
      </c>
      <c r="E125" s="21">
        <v>12.6</v>
      </c>
      <c r="F125" s="21" t="s">
        <v>88</v>
      </c>
      <c r="G125" s="26" t="s">
        <v>104</v>
      </c>
      <c r="H125" s="26"/>
      <c r="I125" s="183" t="s">
        <v>59</v>
      </c>
      <c r="J125" s="40"/>
      <c r="K125" s="4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</row>
    <row r="126" spans="1:29" ht="14.25" hidden="1" customHeight="1">
      <c r="A126" s="21">
        <v>124</v>
      </c>
      <c r="B126" s="21" t="s">
        <v>233</v>
      </c>
      <c r="C126" s="21" t="s">
        <v>84</v>
      </c>
      <c r="D126" s="21">
        <v>22.7</v>
      </c>
      <c r="E126" s="21" t="s">
        <v>61</v>
      </c>
      <c r="F126" s="21" t="s">
        <v>88</v>
      </c>
      <c r="G126" s="62" t="s">
        <v>104</v>
      </c>
      <c r="H126" s="62"/>
      <c r="I126" s="184"/>
      <c r="J126" s="40"/>
      <c r="K126" s="4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</row>
    <row r="127" spans="1:29" ht="14.25" hidden="1" customHeight="1">
      <c r="A127" s="21">
        <v>125</v>
      </c>
      <c r="B127" s="21" t="s">
        <v>234</v>
      </c>
      <c r="C127" s="21" t="s">
        <v>129</v>
      </c>
      <c r="D127" s="21">
        <v>15.7</v>
      </c>
      <c r="E127" s="21">
        <v>8.4</v>
      </c>
      <c r="F127" s="21" t="s">
        <v>55</v>
      </c>
      <c r="G127" s="29" t="s">
        <v>54</v>
      </c>
      <c r="H127" s="41"/>
      <c r="I127" s="183" t="s">
        <v>59</v>
      </c>
      <c r="J127" s="40"/>
      <c r="K127" s="4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</row>
    <row r="128" spans="1:29" ht="14.25" hidden="1" customHeight="1">
      <c r="A128" s="21">
        <v>126</v>
      </c>
      <c r="B128" s="21" t="s">
        <v>234</v>
      </c>
      <c r="C128" s="21" t="s">
        <v>163</v>
      </c>
      <c r="D128" s="21">
        <v>8</v>
      </c>
      <c r="E128" s="21" t="s">
        <v>61</v>
      </c>
      <c r="F128" s="21" t="s">
        <v>55</v>
      </c>
      <c r="G128" s="29" t="s">
        <v>54</v>
      </c>
      <c r="H128" s="41"/>
      <c r="I128" s="184"/>
      <c r="J128" s="40"/>
      <c r="K128" s="4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</row>
    <row r="129" spans="1:29" ht="14.25" hidden="1" customHeight="1">
      <c r="A129" s="21">
        <v>127</v>
      </c>
      <c r="B129" s="21" t="s">
        <v>234</v>
      </c>
      <c r="C129" s="21" t="s">
        <v>33</v>
      </c>
      <c r="D129" s="21">
        <v>15.8</v>
      </c>
      <c r="E129" s="21">
        <v>8.5</v>
      </c>
      <c r="F129" s="21" t="s">
        <v>118</v>
      </c>
      <c r="G129" s="27" t="s">
        <v>54</v>
      </c>
      <c r="H129" s="21"/>
      <c r="I129" s="183" t="s">
        <v>59</v>
      </c>
      <c r="J129" s="40"/>
      <c r="K129" s="4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</row>
    <row r="130" spans="1:29" ht="14.25" hidden="1" customHeight="1">
      <c r="A130" s="21">
        <v>128</v>
      </c>
      <c r="B130" s="21" t="s">
        <v>234</v>
      </c>
      <c r="C130" s="21" t="s">
        <v>84</v>
      </c>
      <c r="D130" s="21">
        <v>8.1</v>
      </c>
      <c r="E130" s="21" t="s">
        <v>61</v>
      </c>
      <c r="F130" s="21" t="s">
        <v>118</v>
      </c>
      <c r="G130" s="54" t="s">
        <v>54</v>
      </c>
      <c r="H130" s="56"/>
      <c r="I130" s="184"/>
      <c r="J130" s="40"/>
      <c r="K130" s="4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</row>
    <row r="131" spans="1:29" ht="14.25" hidden="1" customHeight="1">
      <c r="A131" s="21">
        <v>129</v>
      </c>
      <c r="B131" s="21" t="s">
        <v>235</v>
      </c>
      <c r="C131" s="21" t="s">
        <v>129</v>
      </c>
      <c r="D131" s="21">
        <v>15.7</v>
      </c>
      <c r="E131" s="21">
        <v>8.3000000000000007</v>
      </c>
      <c r="F131" s="21" t="s">
        <v>47</v>
      </c>
      <c r="G131" s="26" t="s">
        <v>178</v>
      </c>
      <c r="H131" s="26"/>
      <c r="I131" s="183" t="s">
        <v>59</v>
      </c>
      <c r="J131" s="40"/>
      <c r="K131" s="4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</row>
    <row r="132" spans="1:29" ht="14.25" hidden="1" customHeight="1">
      <c r="A132" s="21">
        <v>130</v>
      </c>
      <c r="B132" s="21" t="s">
        <v>235</v>
      </c>
      <c r="C132" s="21" t="s">
        <v>163</v>
      </c>
      <c r="D132" s="21">
        <v>7.7</v>
      </c>
      <c r="E132" s="21" t="s">
        <v>61</v>
      </c>
      <c r="F132" s="21" t="s">
        <v>47</v>
      </c>
      <c r="G132" s="62" t="s">
        <v>178</v>
      </c>
      <c r="H132" s="62"/>
      <c r="I132" s="184"/>
      <c r="J132" s="40"/>
      <c r="K132" s="4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</row>
    <row r="133" spans="1:29" ht="14.25" hidden="1" customHeight="1">
      <c r="A133" s="21">
        <v>131</v>
      </c>
      <c r="B133" s="21" t="s">
        <v>235</v>
      </c>
      <c r="C133" s="21" t="s">
        <v>33</v>
      </c>
      <c r="D133" s="21">
        <v>16</v>
      </c>
      <c r="E133" s="21">
        <v>8.4</v>
      </c>
      <c r="F133" s="21" t="s">
        <v>36</v>
      </c>
      <c r="G133" s="26" t="s">
        <v>104</v>
      </c>
      <c r="H133" s="26"/>
      <c r="I133" s="183" t="s">
        <v>59</v>
      </c>
      <c r="J133" s="40"/>
      <c r="K133" s="4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</row>
    <row r="134" spans="1:29" ht="14.25" hidden="1" customHeight="1">
      <c r="A134" s="21">
        <v>132</v>
      </c>
      <c r="B134" s="21" t="s">
        <v>235</v>
      </c>
      <c r="C134" s="21" t="s">
        <v>84</v>
      </c>
      <c r="D134" s="21">
        <v>8.1</v>
      </c>
      <c r="E134" s="21" t="s">
        <v>61</v>
      </c>
      <c r="F134" s="21" t="s">
        <v>36</v>
      </c>
      <c r="G134" s="62" t="s">
        <v>104</v>
      </c>
      <c r="H134" s="62"/>
      <c r="I134" s="184"/>
      <c r="J134" s="40"/>
      <c r="K134" s="4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</row>
    <row r="135" spans="1:29" ht="14.25" hidden="1" customHeight="1">
      <c r="A135" s="21">
        <v>133</v>
      </c>
      <c r="B135" s="21" t="s">
        <v>236</v>
      </c>
      <c r="C135" s="21" t="s">
        <v>129</v>
      </c>
      <c r="D135" s="21">
        <v>15.6</v>
      </c>
      <c r="E135" s="21">
        <v>8.4</v>
      </c>
      <c r="F135" s="21" t="s">
        <v>79</v>
      </c>
      <c r="G135" s="26" t="s">
        <v>104</v>
      </c>
      <c r="H135" s="26"/>
      <c r="I135" s="183" t="s">
        <v>59</v>
      </c>
      <c r="J135" s="40"/>
      <c r="K135" s="4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</row>
    <row r="136" spans="1:29" ht="14.25" hidden="1" customHeight="1">
      <c r="A136" s="21">
        <v>134</v>
      </c>
      <c r="B136" s="21" t="s">
        <v>236</v>
      </c>
      <c r="C136" s="21" t="s">
        <v>163</v>
      </c>
      <c r="D136" s="21">
        <v>7.9</v>
      </c>
      <c r="E136" s="21" t="s">
        <v>61</v>
      </c>
      <c r="F136" s="21" t="s">
        <v>79</v>
      </c>
      <c r="G136" s="62" t="s">
        <v>178</v>
      </c>
      <c r="H136" s="62"/>
      <c r="I136" s="184"/>
      <c r="J136" s="40"/>
      <c r="K136" s="4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</row>
    <row r="137" spans="1:29" ht="14.25" hidden="1" customHeight="1">
      <c r="A137" s="21">
        <v>135</v>
      </c>
      <c r="B137" s="21" t="s">
        <v>236</v>
      </c>
      <c r="C137" s="21" t="s">
        <v>33</v>
      </c>
      <c r="D137" s="21">
        <v>15.6</v>
      </c>
      <c r="E137" s="21">
        <v>8.3000000000000007</v>
      </c>
      <c r="F137" s="21" t="s">
        <v>112</v>
      </c>
      <c r="G137" s="26" t="s">
        <v>178</v>
      </c>
      <c r="H137" s="26"/>
      <c r="I137" s="183" t="s">
        <v>59</v>
      </c>
      <c r="J137" s="40"/>
      <c r="K137" s="44" t="s">
        <v>237</v>
      </c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</row>
    <row r="138" spans="1:29" ht="14.25" hidden="1" customHeight="1">
      <c r="A138" s="21">
        <v>136</v>
      </c>
      <c r="B138" s="21" t="s">
        <v>236</v>
      </c>
      <c r="C138" s="21" t="s">
        <v>84</v>
      </c>
      <c r="D138" s="21">
        <v>8.1999999999999993</v>
      </c>
      <c r="E138" s="21" t="s">
        <v>61</v>
      </c>
      <c r="F138" s="21" t="s">
        <v>112</v>
      </c>
      <c r="G138" s="62" t="s">
        <v>178</v>
      </c>
      <c r="H138" s="62"/>
      <c r="I138" s="184"/>
      <c r="J138" s="40"/>
      <c r="K138" s="44" t="s">
        <v>237</v>
      </c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</row>
    <row r="139" spans="1:29" ht="14.25" hidden="1" customHeight="1">
      <c r="A139" s="21">
        <v>137</v>
      </c>
      <c r="B139" s="21" t="s">
        <v>238</v>
      </c>
      <c r="C139" s="21" t="s">
        <v>129</v>
      </c>
      <c r="D139" s="21">
        <v>16.399999999999999</v>
      </c>
      <c r="E139" s="21">
        <v>12.8</v>
      </c>
      <c r="F139" s="21" t="s">
        <v>55</v>
      </c>
      <c r="G139" s="29" t="s">
        <v>54</v>
      </c>
      <c r="H139" s="41"/>
      <c r="I139" s="21" t="s">
        <v>59</v>
      </c>
      <c r="J139" s="40"/>
      <c r="K139" s="4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</row>
    <row r="140" spans="1:29" ht="14.25" hidden="1" customHeight="1">
      <c r="A140" s="21">
        <v>138</v>
      </c>
      <c r="B140" s="21" t="s">
        <v>238</v>
      </c>
      <c r="C140" s="21" t="s">
        <v>33</v>
      </c>
      <c r="D140" s="21">
        <v>16.3</v>
      </c>
      <c r="E140" s="21">
        <v>12.6</v>
      </c>
      <c r="F140" s="21" t="s">
        <v>118</v>
      </c>
      <c r="G140" s="27" t="s">
        <v>54</v>
      </c>
      <c r="H140" s="21"/>
      <c r="I140" s="21" t="s">
        <v>59</v>
      </c>
      <c r="J140" s="40"/>
      <c r="K140" s="4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</row>
    <row r="141" spans="1:29" ht="14.25" hidden="1" customHeight="1">
      <c r="A141" s="21">
        <v>139</v>
      </c>
      <c r="B141" s="21" t="s">
        <v>239</v>
      </c>
      <c r="C141" s="21" t="s">
        <v>129</v>
      </c>
      <c r="D141" s="21">
        <v>17</v>
      </c>
      <c r="E141" s="21">
        <v>13</v>
      </c>
      <c r="F141" s="21" t="s">
        <v>79</v>
      </c>
      <c r="G141" s="26" t="s">
        <v>104</v>
      </c>
      <c r="H141" s="26"/>
      <c r="I141" s="21" t="s">
        <v>59</v>
      </c>
      <c r="J141" s="40"/>
      <c r="K141" s="4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</row>
    <row r="142" spans="1:29" ht="14.25" hidden="1" customHeight="1">
      <c r="A142" s="21">
        <v>140</v>
      </c>
      <c r="B142" s="21" t="s">
        <v>239</v>
      </c>
      <c r="C142" s="21" t="s">
        <v>33</v>
      </c>
      <c r="D142" s="21">
        <v>16.899999999999999</v>
      </c>
      <c r="E142" s="21">
        <v>13</v>
      </c>
      <c r="F142" s="21" t="s">
        <v>79</v>
      </c>
      <c r="G142" s="26" t="s">
        <v>104</v>
      </c>
      <c r="H142" s="26"/>
      <c r="I142" s="21" t="s">
        <v>59</v>
      </c>
      <c r="J142" s="40"/>
      <c r="K142" s="4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</row>
    <row r="143" spans="1:29" ht="14.25" hidden="1" customHeight="1">
      <c r="A143" s="21">
        <v>141</v>
      </c>
      <c r="B143" s="21" t="s">
        <v>240</v>
      </c>
      <c r="C143" s="21" t="s">
        <v>129</v>
      </c>
      <c r="D143" s="21">
        <v>16.8</v>
      </c>
      <c r="E143" s="21">
        <v>13.6</v>
      </c>
      <c r="F143" s="21" t="s">
        <v>47</v>
      </c>
      <c r="G143" s="26" t="s">
        <v>178</v>
      </c>
      <c r="H143" s="26"/>
      <c r="I143" s="21" t="s">
        <v>59</v>
      </c>
      <c r="J143" s="40"/>
      <c r="K143" s="4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</row>
    <row r="144" spans="1:29" ht="14.25" hidden="1" customHeight="1">
      <c r="A144" s="21">
        <v>142</v>
      </c>
      <c r="B144" s="21" t="s">
        <v>240</v>
      </c>
      <c r="C144" s="21" t="s">
        <v>33</v>
      </c>
      <c r="D144" s="21">
        <v>16.8</v>
      </c>
      <c r="E144" s="21">
        <v>13.4</v>
      </c>
      <c r="F144" s="21" t="s">
        <v>79</v>
      </c>
      <c r="G144" s="26" t="s">
        <v>104</v>
      </c>
      <c r="H144" s="26"/>
      <c r="I144" s="21" t="s">
        <v>59</v>
      </c>
      <c r="J144" s="40"/>
      <c r="K144" s="4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</row>
    <row r="145" spans="1:29" ht="14.25" hidden="1" customHeight="1">
      <c r="A145" s="21">
        <v>143</v>
      </c>
      <c r="B145" s="21" t="s">
        <v>241</v>
      </c>
      <c r="C145" s="21" t="s">
        <v>129</v>
      </c>
      <c r="D145" s="21">
        <v>18</v>
      </c>
      <c r="E145" s="21">
        <v>13.2</v>
      </c>
      <c r="F145" s="21" t="s">
        <v>79</v>
      </c>
      <c r="G145" s="26" t="s">
        <v>104</v>
      </c>
      <c r="H145" s="26"/>
      <c r="I145" s="21" t="s">
        <v>59</v>
      </c>
      <c r="J145" s="40"/>
      <c r="K145" s="4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</row>
    <row r="146" spans="1:29" ht="14.25" customHeight="1">
      <c r="A146" s="90">
        <v>144</v>
      </c>
      <c r="B146" s="90" t="s">
        <v>241</v>
      </c>
      <c r="C146" s="90" t="s">
        <v>33</v>
      </c>
      <c r="D146" s="90">
        <v>17.100000000000001</v>
      </c>
      <c r="E146" s="90">
        <v>13.3</v>
      </c>
      <c r="F146" s="90" t="s">
        <v>12</v>
      </c>
      <c r="G146" s="90"/>
      <c r="H146" s="90"/>
      <c r="I146" s="90" t="s">
        <v>59</v>
      </c>
      <c r="J146" s="91"/>
      <c r="K146" s="92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ht="14.25" hidden="1" customHeight="1">
      <c r="A147" s="21">
        <v>145</v>
      </c>
      <c r="B147" s="21" t="s">
        <v>242</v>
      </c>
      <c r="C147" s="21" t="s">
        <v>129</v>
      </c>
      <c r="D147" s="21">
        <v>16.100000000000001</v>
      </c>
      <c r="E147" s="21">
        <v>13.3</v>
      </c>
      <c r="F147" s="21" t="s">
        <v>77</v>
      </c>
      <c r="G147" s="54" t="s">
        <v>54</v>
      </c>
      <c r="H147" s="62"/>
      <c r="I147" s="183" t="s">
        <v>59</v>
      </c>
      <c r="J147" s="40"/>
      <c r="K147" s="4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</row>
    <row r="148" spans="1:29" ht="14.25" hidden="1" customHeight="1">
      <c r="A148" s="21">
        <v>146</v>
      </c>
      <c r="B148" s="21" t="s">
        <v>242</v>
      </c>
      <c r="C148" s="21" t="s">
        <v>163</v>
      </c>
      <c r="D148" s="21">
        <v>7.6</v>
      </c>
      <c r="E148" s="21" t="s">
        <v>61</v>
      </c>
      <c r="F148" s="21" t="s">
        <v>77</v>
      </c>
      <c r="G148" s="54" t="s">
        <v>54</v>
      </c>
      <c r="H148" s="62"/>
      <c r="I148" s="184"/>
      <c r="J148" s="40"/>
      <c r="K148" s="4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</row>
    <row r="149" spans="1:29" ht="14.25" customHeight="1">
      <c r="A149" s="90">
        <v>147</v>
      </c>
      <c r="B149" s="90" t="s">
        <v>242</v>
      </c>
      <c r="C149" s="90" t="s">
        <v>33</v>
      </c>
      <c r="D149" s="90">
        <v>16.399999999999999</v>
      </c>
      <c r="E149" s="90">
        <v>13.5</v>
      </c>
      <c r="F149" s="90" t="s">
        <v>12</v>
      </c>
      <c r="G149" s="90"/>
      <c r="H149" s="90"/>
      <c r="I149" s="187" t="s">
        <v>59</v>
      </c>
      <c r="J149" s="91"/>
      <c r="K149" s="92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ht="14.25" customHeight="1">
      <c r="A150" s="90">
        <v>148</v>
      </c>
      <c r="B150" s="90" t="s">
        <v>242</v>
      </c>
      <c r="C150" s="90" t="s">
        <v>84</v>
      </c>
      <c r="D150" s="90">
        <v>7.8</v>
      </c>
      <c r="E150" s="90" t="s">
        <v>61</v>
      </c>
      <c r="F150" s="90" t="s">
        <v>12</v>
      </c>
      <c r="G150" s="95"/>
      <c r="H150" s="95"/>
      <c r="I150" s="184"/>
      <c r="J150" s="91"/>
      <c r="K150" s="92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ht="14.25" hidden="1" customHeight="1">
      <c r="A151" s="21">
        <v>149</v>
      </c>
      <c r="B151" s="21" t="s">
        <v>243</v>
      </c>
      <c r="C151" s="21" t="s">
        <v>129</v>
      </c>
      <c r="D151" s="21">
        <v>15</v>
      </c>
      <c r="E151" s="21">
        <v>17.399999999999999</v>
      </c>
      <c r="F151" s="21" t="s">
        <v>118</v>
      </c>
      <c r="G151" s="27" t="s">
        <v>54</v>
      </c>
      <c r="H151" s="21"/>
      <c r="I151" s="183" t="s">
        <v>59</v>
      </c>
      <c r="J151" s="40"/>
      <c r="K151" s="4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</row>
    <row r="152" spans="1:29" ht="14.25" hidden="1" customHeight="1">
      <c r="A152" s="21">
        <v>150</v>
      </c>
      <c r="B152" s="21" t="s">
        <v>243</v>
      </c>
      <c r="C152" s="21" t="s">
        <v>163</v>
      </c>
      <c r="D152" s="21">
        <v>6.5</v>
      </c>
      <c r="E152" s="21" t="s">
        <v>61</v>
      </c>
      <c r="F152" s="21" t="s">
        <v>118</v>
      </c>
      <c r="G152" s="54" t="s">
        <v>54</v>
      </c>
      <c r="H152" s="56"/>
      <c r="I152" s="188"/>
      <c r="J152" s="40"/>
      <c r="K152" s="4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</row>
    <row r="153" spans="1:29" ht="14.25" hidden="1" customHeight="1">
      <c r="A153" s="21">
        <v>151</v>
      </c>
      <c r="B153" s="21" t="s">
        <v>243</v>
      </c>
      <c r="C153" s="21" t="s">
        <v>244</v>
      </c>
      <c r="D153" s="21">
        <v>22.9</v>
      </c>
      <c r="E153" s="21" t="s">
        <v>61</v>
      </c>
      <c r="F153" s="21" t="s">
        <v>118</v>
      </c>
      <c r="G153" s="54" t="s">
        <v>54</v>
      </c>
      <c r="H153" s="56"/>
      <c r="I153" s="184"/>
      <c r="J153" s="40"/>
      <c r="K153" s="4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</row>
    <row r="154" spans="1:29" ht="14.25" hidden="1" customHeight="1">
      <c r="A154" s="21">
        <v>152</v>
      </c>
      <c r="B154" s="21" t="s">
        <v>243</v>
      </c>
      <c r="C154" s="21" t="s">
        <v>33</v>
      </c>
      <c r="D154" s="21">
        <v>15.8</v>
      </c>
      <c r="E154" s="21">
        <v>17.2</v>
      </c>
      <c r="F154" s="21" t="s">
        <v>118</v>
      </c>
      <c r="G154" s="27" t="s">
        <v>54</v>
      </c>
      <c r="H154" s="21"/>
      <c r="I154" s="183" t="s">
        <v>59</v>
      </c>
      <c r="J154" s="40"/>
      <c r="K154" s="4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</row>
    <row r="155" spans="1:29" ht="14.25" hidden="1" customHeight="1">
      <c r="A155" s="21">
        <v>153</v>
      </c>
      <c r="B155" s="21" t="s">
        <v>243</v>
      </c>
      <c r="C155" s="21" t="s">
        <v>84</v>
      </c>
      <c r="D155" s="21">
        <v>5.9</v>
      </c>
      <c r="E155" s="21" t="s">
        <v>61</v>
      </c>
      <c r="F155" s="21" t="s">
        <v>118</v>
      </c>
      <c r="G155" s="54" t="s">
        <v>54</v>
      </c>
      <c r="H155" s="56"/>
      <c r="I155" s="188"/>
      <c r="J155" s="40"/>
      <c r="K155" s="4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</row>
    <row r="156" spans="1:29" ht="14.25" hidden="1" customHeight="1">
      <c r="A156" s="21">
        <v>154</v>
      </c>
      <c r="B156" s="21" t="s">
        <v>243</v>
      </c>
      <c r="C156" s="21" t="s">
        <v>245</v>
      </c>
      <c r="D156" s="21">
        <v>22.7</v>
      </c>
      <c r="E156" s="21" t="s">
        <v>61</v>
      </c>
      <c r="F156" s="21" t="s">
        <v>118</v>
      </c>
      <c r="G156" s="54" t="s">
        <v>54</v>
      </c>
      <c r="H156" s="56"/>
      <c r="I156" s="184"/>
      <c r="J156" s="40"/>
      <c r="K156" s="4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</row>
    <row r="157" spans="1:29" ht="14.25" hidden="1" customHeight="1">
      <c r="A157" s="21">
        <v>155</v>
      </c>
      <c r="B157" s="21" t="s">
        <v>246</v>
      </c>
      <c r="C157" s="21" t="s">
        <v>129</v>
      </c>
      <c r="D157" s="21">
        <v>16.100000000000001</v>
      </c>
      <c r="E157" s="21">
        <v>12.8</v>
      </c>
      <c r="F157" s="21" t="s">
        <v>89</v>
      </c>
      <c r="G157" s="26" t="s">
        <v>104</v>
      </c>
      <c r="H157" s="26"/>
      <c r="I157" s="183" t="s">
        <v>59</v>
      </c>
      <c r="J157" s="40"/>
      <c r="K157" s="4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</row>
    <row r="158" spans="1:29" ht="14.25" hidden="1" customHeight="1">
      <c r="A158" s="21">
        <v>156</v>
      </c>
      <c r="B158" s="21" t="s">
        <v>246</v>
      </c>
      <c r="C158" s="21" t="s">
        <v>163</v>
      </c>
      <c r="D158" s="21">
        <v>23.8</v>
      </c>
      <c r="E158" s="21" t="s">
        <v>61</v>
      </c>
      <c r="F158" s="21" t="s">
        <v>89</v>
      </c>
      <c r="G158" s="26" t="s">
        <v>104</v>
      </c>
      <c r="H158" s="26"/>
      <c r="I158" s="184"/>
      <c r="J158" s="40"/>
      <c r="K158" s="4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</row>
    <row r="159" spans="1:29" ht="14.25" hidden="1" customHeight="1">
      <c r="A159" s="21">
        <v>157</v>
      </c>
      <c r="B159" s="21" t="s">
        <v>246</v>
      </c>
      <c r="C159" s="21" t="s">
        <v>33</v>
      </c>
      <c r="D159" s="21">
        <v>11.9</v>
      </c>
      <c r="E159" s="21">
        <v>12.8</v>
      </c>
      <c r="F159" s="21" t="s">
        <v>112</v>
      </c>
      <c r="G159" s="26" t="s">
        <v>178</v>
      </c>
      <c r="H159" s="26"/>
      <c r="I159" s="183" t="s">
        <v>59</v>
      </c>
      <c r="J159" s="40"/>
      <c r="K159" s="4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</row>
    <row r="160" spans="1:29" ht="14.25" hidden="1" customHeight="1">
      <c r="A160" s="21">
        <v>158</v>
      </c>
      <c r="B160" s="21" t="s">
        <v>246</v>
      </c>
      <c r="C160" s="21" t="s">
        <v>84</v>
      </c>
      <c r="D160" s="21">
        <v>23.1</v>
      </c>
      <c r="E160" s="21" t="s">
        <v>61</v>
      </c>
      <c r="F160" s="21" t="s">
        <v>112</v>
      </c>
      <c r="G160" s="62" t="s">
        <v>178</v>
      </c>
      <c r="H160" s="62"/>
      <c r="I160" s="184"/>
      <c r="J160" s="40"/>
      <c r="K160" s="4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</row>
    <row r="161" spans="1:29" ht="14.25" customHeight="1">
      <c r="A161" s="90">
        <v>159</v>
      </c>
      <c r="B161" s="90" t="s">
        <v>247</v>
      </c>
      <c r="C161" s="90" t="s">
        <v>129</v>
      </c>
      <c r="D161" s="90">
        <v>15.5</v>
      </c>
      <c r="E161" s="90">
        <v>12.8</v>
      </c>
      <c r="F161" s="90" t="s">
        <v>12</v>
      </c>
      <c r="G161" s="90"/>
      <c r="H161" s="90"/>
      <c r="I161" s="187" t="s">
        <v>59</v>
      </c>
      <c r="J161" s="91"/>
      <c r="K161" s="92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ht="14.25" customHeight="1">
      <c r="A162" s="90">
        <v>160</v>
      </c>
      <c r="B162" s="90" t="s">
        <v>247</v>
      </c>
      <c r="C162" s="90" t="s">
        <v>163</v>
      </c>
      <c r="D162" s="90">
        <v>23</v>
      </c>
      <c r="E162" s="90" t="s">
        <v>61</v>
      </c>
      <c r="F162" s="90" t="s">
        <v>12</v>
      </c>
      <c r="G162" s="95"/>
      <c r="H162" s="95"/>
      <c r="I162" s="184"/>
      <c r="J162" s="91"/>
      <c r="K162" s="92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ht="14.25" customHeight="1">
      <c r="A163" s="90">
        <v>161</v>
      </c>
      <c r="B163" s="90" t="s">
        <v>247</v>
      </c>
      <c r="C163" s="90" t="s">
        <v>33</v>
      </c>
      <c r="D163" s="90">
        <v>15.6</v>
      </c>
      <c r="E163" s="90">
        <v>12.5</v>
      </c>
      <c r="F163" s="90" t="s">
        <v>12</v>
      </c>
      <c r="G163" s="90"/>
      <c r="H163" s="90"/>
      <c r="I163" s="187" t="s">
        <v>59</v>
      </c>
      <c r="J163" s="91"/>
      <c r="K163" s="110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ht="14.25" customHeight="1">
      <c r="A164" s="90">
        <v>162</v>
      </c>
      <c r="B164" s="90" t="s">
        <v>247</v>
      </c>
      <c r="C164" s="90" t="s">
        <v>84</v>
      </c>
      <c r="D164" s="90">
        <v>23.1</v>
      </c>
      <c r="E164" s="90" t="s">
        <v>61</v>
      </c>
      <c r="F164" s="90" t="s">
        <v>12</v>
      </c>
      <c r="G164" s="95"/>
      <c r="H164" s="95"/>
      <c r="I164" s="184"/>
      <c r="J164" s="91"/>
      <c r="K164" s="110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ht="14.25" hidden="1" customHeight="1">
      <c r="A165" s="21">
        <v>163</v>
      </c>
      <c r="B165" s="21" t="s">
        <v>248</v>
      </c>
      <c r="C165" s="21" t="s">
        <v>129</v>
      </c>
      <c r="D165" s="21">
        <v>17.3</v>
      </c>
      <c r="E165" s="21">
        <v>13.1</v>
      </c>
      <c r="F165" s="21" t="s">
        <v>77</v>
      </c>
      <c r="G165" s="54" t="s">
        <v>54</v>
      </c>
      <c r="H165" s="62"/>
      <c r="I165" s="21" t="s">
        <v>59</v>
      </c>
      <c r="J165" s="40"/>
      <c r="K165" s="4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</row>
    <row r="166" spans="1:29" ht="14.25" hidden="1" customHeight="1">
      <c r="A166" s="21">
        <v>164</v>
      </c>
      <c r="B166" s="21" t="s">
        <v>248</v>
      </c>
      <c r="C166" s="21" t="s">
        <v>33</v>
      </c>
      <c r="D166" s="21">
        <v>17.8</v>
      </c>
      <c r="E166" s="21">
        <v>13.1</v>
      </c>
      <c r="F166" s="21" t="s">
        <v>112</v>
      </c>
      <c r="G166" s="26" t="s">
        <v>178</v>
      </c>
      <c r="H166" s="26"/>
      <c r="I166" s="21" t="s">
        <v>59</v>
      </c>
      <c r="J166" s="40"/>
      <c r="K166" s="4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</row>
    <row r="167" spans="1:29" ht="14.25" hidden="1" customHeight="1">
      <c r="A167" s="21">
        <v>165</v>
      </c>
      <c r="B167" s="21" t="s">
        <v>249</v>
      </c>
      <c r="C167" s="21" t="s">
        <v>129</v>
      </c>
      <c r="D167" s="21">
        <v>16.600000000000001</v>
      </c>
      <c r="E167" s="21">
        <v>12.9</v>
      </c>
      <c r="F167" s="21" t="s">
        <v>55</v>
      </c>
      <c r="G167" s="29" t="s">
        <v>54</v>
      </c>
      <c r="H167" s="41"/>
      <c r="I167" s="21" t="s">
        <v>59</v>
      </c>
      <c r="J167" s="40"/>
      <c r="K167" s="4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</row>
    <row r="168" spans="1:29" ht="14.25" hidden="1" customHeight="1">
      <c r="A168" s="21">
        <v>166</v>
      </c>
      <c r="B168" s="21" t="s">
        <v>249</v>
      </c>
      <c r="C168" s="21" t="s">
        <v>33</v>
      </c>
      <c r="D168" s="21">
        <v>17.100000000000001</v>
      </c>
      <c r="E168" s="21">
        <v>13.1</v>
      </c>
      <c r="F168" s="21" t="s">
        <v>79</v>
      </c>
      <c r="G168" s="26" t="s">
        <v>104</v>
      </c>
      <c r="H168" s="26"/>
      <c r="I168" s="21" t="s">
        <v>59</v>
      </c>
      <c r="J168" s="40"/>
      <c r="K168" s="4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</row>
    <row r="169" spans="1:29" ht="14.25" hidden="1" customHeight="1">
      <c r="A169" s="21">
        <v>167</v>
      </c>
      <c r="B169" s="21" t="s">
        <v>250</v>
      </c>
      <c r="C169" s="21" t="s">
        <v>129</v>
      </c>
      <c r="D169" s="21">
        <v>16.600000000000001</v>
      </c>
      <c r="E169" s="21">
        <v>12.6</v>
      </c>
      <c r="F169" s="21" t="s">
        <v>55</v>
      </c>
      <c r="G169" s="29" t="s">
        <v>54</v>
      </c>
      <c r="H169" s="41"/>
      <c r="I169" s="21" t="s">
        <v>59</v>
      </c>
      <c r="J169" s="40"/>
      <c r="K169" s="4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</row>
    <row r="170" spans="1:29" ht="14.25" hidden="1" customHeight="1">
      <c r="A170" s="21">
        <v>168</v>
      </c>
      <c r="B170" s="21" t="s">
        <v>250</v>
      </c>
      <c r="C170" s="21" t="s">
        <v>33</v>
      </c>
      <c r="D170" s="21">
        <v>16.100000000000001</v>
      </c>
      <c r="E170" s="21">
        <v>12.6</v>
      </c>
      <c r="F170" s="21" t="s">
        <v>88</v>
      </c>
      <c r="G170" s="26" t="s">
        <v>104</v>
      </c>
      <c r="H170" s="26"/>
      <c r="I170" s="21" t="s">
        <v>251</v>
      </c>
      <c r="J170" s="40"/>
      <c r="K170" s="4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</row>
    <row r="171" spans="1:29" ht="14.25" hidden="1" customHeight="1">
      <c r="A171" s="21">
        <v>169</v>
      </c>
      <c r="B171" s="21" t="s">
        <v>252</v>
      </c>
      <c r="C171" s="21" t="s">
        <v>129</v>
      </c>
      <c r="D171" s="21">
        <v>16.399999999999999</v>
      </c>
      <c r="E171" s="21">
        <v>13</v>
      </c>
      <c r="F171" s="21" t="s">
        <v>55</v>
      </c>
      <c r="G171" s="29" t="s">
        <v>54</v>
      </c>
      <c r="H171" s="41"/>
      <c r="I171" s="183" t="s">
        <v>59</v>
      </c>
      <c r="J171" s="40"/>
      <c r="K171" s="4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</row>
    <row r="172" spans="1:29" ht="14.25" hidden="1" customHeight="1">
      <c r="A172" s="21">
        <v>170</v>
      </c>
      <c r="B172" s="21" t="s">
        <v>252</v>
      </c>
      <c r="C172" s="21" t="s">
        <v>163</v>
      </c>
      <c r="D172" s="21">
        <v>8.1999999999999993</v>
      </c>
      <c r="E172" s="21" t="s">
        <v>61</v>
      </c>
      <c r="F172" s="21" t="s">
        <v>55</v>
      </c>
      <c r="G172" s="29" t="s">
        <v>54</v>
      </c>
      <c r="H172" s="41"/>
      <c r="I172" s="184"/>
      <c r="J172" s="40"/>
      <c r="K172" s="4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</row>
    <row r="173" spans="1:29" ht="14.25" hidden="1" customHeight="1">
      <c r="A173" s="21">
        <v>171</v>
      </c>
      <c r="B173" s="21" t="s">
        <v>252</v>
      </c>
      <c r="C173" s="21" t="s">
        <v>33</v>
      </c>
      <c r="D173" s="21">
        <v>17</v>
      </c>
      <c r="E173" s="21">
        <v>13</v>
      </c>
      <c r="F173" s="21" t="s">
        <v>79</v>
      </c>
      <c r="G173" s="26" t="s">
        <v>104</v>
      </c>
      <c r="H173" s="26"/>
      <c r="I173" s="183" t="s">
        <v>59</v>
      </c>
      <c r="J173" s="40"/>
      <c r="K173" s="4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</row>
    <row r="174" spans="1:29" ht="14.25" hidden="1" customHeight="1">
      <c r="A174" s="21">
        <v>172</v>
      </c>
      <c r="B174" s="21" t="s">
        <v>252</v>
      </c>
      <c r="C174" s="21" t="s">
        <v>84</v>
      </c>
      <c r="D174" s="21">
        <v>8</v>
      </c>
      <c r="E174" s="21" t="s">
        <v>61</v>
      </c>
      <c r="F174" s="21" t="s">
        <v>79</v>
      </c>
      <c r="G174" s="62" t="s">
        <v>104</v>
      </c>
      <c r="H174" s="62"/>
      <c r="I174" s="184"/>
      <c r="J174" s="40"/>
      <c r="K174" s="4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</row>
    <row r="175" spans="1:29" ht="14.25" hidden="1" customHeight="1">
      <c r="A175" s="21">
        <v>173</v>
      </c>
      <c r="B175" s="21" t="s">
        <v>253</v>
      </c>
      <c r="C175" s="21" t="s">
        <v>33</v>
      </c>
      <c r="D175" s="21">
        <v>17.100000000000001</v>
      </c>
      <c r="E175" s="21">
        <v>12.7</v>
      </c>
      <c r="F175" s="21" t="s">
        <v>77</v>
      </c>
      <c r="G175" s="54" t="s">
        <v>54</v>
      </c>
      <c r="H175" s="62"/>
      <c r="I175" s="183" t="s">
        <v>59</v>
      </c>
      <c r="J175" s="40"/>
      <c r="K175" s="4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</row>
    <row r="176" spans="1:29" ht="14.25" hidden="1" customHeight="1">
      <c r="A176" s="21">
        <v>174</v>
      </c>
      <c r="B176" s="21" t="s">
        <v>253</v>
      </c>
      <c r="C176" s="21" t="s">
        <v>84</v>
      </c>
      <c r="D176" s="21">
        <v>9</v>
      </c>
      <c r="E176" s="21" t="s">
        <v>61</v>
      </c>
      <c r="F176" s="21" t="s">
        <v>77</v>
      </c>
      <c r="G176" s="54" t="s">
        <v>54</v>
      </c>
      <c r="H176" s="62"/>
      <c r="I176" s="184"/>
      <c r="J176" s="40"/>
      <c r="K176" s="4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</row>
    <row r="177" spans="1:29" ht="14.25" hidden="1" customHeight="1">
      <c r="A177" s="21">
        <v>175</v>
      </c>
      <c r="B177" s="21" t="s">
        <v>254</v>
      </c>
      <c r="C177" s="21" t="s">
        <v>129</v>
      </c>
      <c r="D177" s="21">
        <v>17.100000000000001</v>
      </c>
      <c r="E177" s="21">
        <v>12.9</v>
      </c>
      <c r="F177" s="21" t="s">
        <v>118</v>
      </c>
      <c r="G177" s="27" t="s">
        <v>54</v>
      </c>
      <c r="H177" s="21"/>
      <c r="I177" s="21" t="s">
        <v>59</v>
      </c>
      <c r="J177" s="40"/>
      <c r="K177" s="4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</row>
    <row r="178" spans="1:29" ht="14.25" hidden="1" customHeight="1">
      <c r="A178" s="21">
        <v>176</v>
      </c>
      <c r="B178" s="21" t="s">
        <v>254</v>
      </c>
      <c r="C178" s="21" t="s">
        <v>33</v>
      </c>
      <c r="D178" s="21">
        <v>16.600000000000001</v>
      </c>
      <c r="E178" s="21">
        <v>13.1</v>
      </c>
      <c r="F178" s="21" t="s">
        <v>118</v>
      </c>
      <c r="G178" s="27" t="s">
        <v>54</v>
      </c>
      <c r="H178" s="21"/>
      <c r="I178" s="21" t="s">
        <v>59</v>
      </c>
      <c r="J178" s="40"/>
      <c r="K178" s="4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</row>
    <row r="179" spans="1:29" ht="14.25" hidden="1" customHeight="1">
      <c r="A179" s="21">
        <v>177</v>
      </c>
      <c r="B179" s="21" t="s">
        <v>255</v>
      </c>
      <c r="C179" s="21" t="s">
        <v>129</v>
      </c>
      <c r="D179" s="21">
        <v>17.100000000000001</v>
      </c>
      <c r="E179" s="21">
        <v>12.4</v>
      </c>
      <c r="F179" s="21" t="s">
        <v>36</v>
      </c>
      <c r="G179" s="26" t="s">
        <v>104</v>
      </c>
      <c r="H179" s="26"/>
      <c r="I179" s="183" t="s">
        <v>59</v>
      </c>
      <c r="J179" s="40"/>
      <c r="K179" s="4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</row>
    <row r="180" spans="1:29" ht="14.25" hidden="1" customHeight="1">
      <c r="A180" s="21">
        <v>178</v>
      </c>
      <c r="B180" s="21" t="s">
        <v>255</v>
      </c>
      <c r="C180" s="21" t="s">
        <v>163</v>
      </c>
      <c r="D180" s="21">
        <v>25.4</v>
      </c>
      <c r="E180" s="21" t="s">
        <v>61</v>
      </c>
      <c r="F180" s="21" t="s">
        <v>36</v>
      </c>
      <c r="G180" s="62" t="s">
        <v>104</v>
      </c>
      <c r="H180" s="62"/>
      <c r="I180" s="184"/>
      <c r="J180" s="40"/>
      <c r="K180" s="4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</row>
    <row r="181" spans="1:29" ht="14.25" hidden="1" customHeight="1">
      <c r="A181" s="21">
        <v>179</v>
      </c>
      <c r="B181" s="21" t="s">
        <v>256</v>
      </c>
      <c r="C181" s="21" t="s">
        <v>129</v>
      </c>
      <c r="D181" s="21">
        <v>18.8</v>
      </c>
      <c r="E181" s="21">
        <v>13.2</v>
      </c>
      <c r="F181" s="21" t="s">
        <v>55</v>
      </c>
      <c r="G181" s="29" t="s">
        <v>54</v>
      </c>
      <c r="H181" s="41"/>
      <c r="I181" s="183" t="s">
        <v>59</v>
      </c>
      <c r="J181" s="40"/>
      <c r="K181" s="4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</row>
    <row r="182" spans="1:29" ht="14.25" hidden="1" customHeight="1">
      <c r="A182" s="21">
        <v>180</v>
      </c>
      <c r="B182" s="21" t="s">
        <v>256</v>
      </c>
      <c r="C182" s="21" t="s">
        <v>163</v>
      </c>
      <c r="D182" s="21">
        <v>21.5</v>
      </c>
      <c r="E182" s="21" t="s">
        <v>61</v>
      </c>
      <c r="F182" s="21" t="s">
        <v>55</v>
      </c>
      <c r="G182" s="29" t="s">
        <v>54</v>
      </c>
      <c r="H182" s="41"/>
      <c r="I182" s="184"/>
      <c r="J182" s="40"/>
      <c r="K182" s="4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</row>
    <row r="183" spans="1:29" ht="14.25" hidden="1" customHeight="1">
      <c r="A183" s="21">
        <v>181</v>
      </c>
      <c r="B183" s="21" t="s">
        <v>257</v>
      </c>
      <c r="C183" s="21" t="s">
        <v>129</v>
      </c>
      <c r="D183" s="21">
        <v>16.100000000000001</v>
      </c>
      <c r="E183" s="21">
        <v>14.1</v>
      </c>
      <c r="F183" s="21" t="s">
        <v>89</v>
      </c>
      <c r="G183" s="26" t="s">
        <v>104</v>
      </c>
      <c r="H183" s="26"/>
      <c r="I183" s="183" t="s">
        <v>59</v>
      </c>
      <c r="J183" s="40"/>
      <c r="K183" s="4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</row>
    <row r="184" spans="1:29" ht="14.25" hidden="1" customHeight="1">
      <c r="A184" s="21">
        <v>182</v>
      </c>
      <c r="B184" s="21" t="s">
        <v>257</v>
      </c>
      <c r="C184" s="21" t="s">
        <v>163</v>
      </c>
      <c r="D184" s="21">
        <v>19.7</v>
      </c>
      <c r="E184" s="21" t="s">
        <v>61</v>
      </c>
      <c r="F184" s="21" t="s">
        <v>89</v>
      </c>
      <c r="G184" s="26" t="s">
        <v>104</v>
      </c>
      <c r="H184" s="26"/>
      <c r="I184" s="184"/>
      <c r="J184" s="40"/>
      <c r="K184" s="4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</row>
    <row r="185" spans="1:29" ht="14.25" hidden="1" customHeight="1">
      <c r="A185" s="21">
        <v>183</v>
      </c>
      <c r="B185" s="21" t="s">
        <v>258</v>
      </c>
      <c r="C185" s="21" t="s">
        <v>129</v>
      </c>
      <c r="D185" s="21">
        <v>15.1</v>
      </c>
      <c r="E185" s="21">
        <v>11.7</v>
      </c>
      <c r="F185" s="21" t="s">
        <v>55</v>
      </c>
      <c r="G185" s="29" t="s">
        <v>54</v>
      </c>
      <c r="H185" s="41"/>
      <c r="I185" s="183" t="s">
        <v>59</v>
      </c>
      <c r="J185" s="40"/>
      <c r="K185" s="4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</row>
    <row r="186" spans="1:29" ht="14.25" hidden="1" customHeight="1">
      <c r="A186" s="21">
        <v>184</v>
      </c>
      <c r="B186" s="21" t="s">
        <v>258</v>
      </c>
      <c r="C186" s="21" t="s">
        <v>163</v>
      </c>
      <c r="D186" s="21">
        <v>11.9</v>
      </c>
      <c r="E186" s="21" t="s">
        <v>61</v>
      </c>
      <c r="F186" s="21" t="s">
        <v>55</v>
      </c>
      <c r="G186" s="29" t="s">
        <v>54</v>
      </c>
      <c r="H186" s="41"/>
      <c r="I186" s="184"/>
      <c r="J186" s="40"/>
      <c r="K186" s="4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</row>
    <row r="187" spans="1:29" ht="14.25" hidden="1" customHeight="1">
      <c r="A187" s="21">
        <v>185</v>
      </c>
      <c r="B187" s="21" t="s">
        <v>259</v>
      </c>
      <c r="C187" s="21" t="s">
        <v>129</v>
      </c>
      <c r="D187" s="21">
        <v>15.2</v>
      </c>
      <c r="E187" s="21">
        <v>12.3</v>
      </c>
      <c r="F187" s="21" t="s">
        <v>77</v>
      </c>
      <c r="G187" s="54" t="s">
        <v>54</v>
      </c>
      <c r="H187" s="62"/>
      <c r="I187" s="21" t="s">
        <v>59</v>
      </c>
      <c r="J187" s="40"/>
      <c r="K187" s="4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</row>
    <row r="188" spans="1:29" ht="14.25" hidden="1" customHeight="1">
      <c r="A188" s="21">
        <v>186</v>
      </c>
      <c r="B188" s="21" t="s">
        <v>260</v>
      </c>
      <c r="C188" s="21" t="s">
        <v>129</v>
      </c>
      <c r="D188" s="21">
        <v>15</v>
      </c>
      <c r="E188" s="21">
        <v>12.7</v>
      </c>
      <c r="F188" s="21" t="s">
        <v>89</v>
      </c>
      <c r="G188" s="26"/>
      <c r="H188" s="26"/>
      <c r="I188" s="183" t="s">
        <v>59</v>
      </c>
      <c r="J188" s="40"/>
      <c r="K188" s="4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</row>
    <row r="189" spans="1:29" ht="14.25" hidden="1" customHeight="1">
      <c r="A189" s="21">
        <v>187</v>
      </c>
      <c r="B189" s="21" t="s">
        <v>260</v>
      </c>
      <c r="C189" s="21" t="s">
        <v>163</v>
      </c>
      <c r="D189" s="21">
        <v>12.1</v>
      </c>
      <c r="E189" s="21" t="s">
        <v>61</v>
      </c>
      <c r="F189" s="21" t="s">
        <v>89</v>
      </c>
      <c r="G189" s="26"/>
      <c r="H189" s="26"/>
      <c r="I189" s="184"/>
      <c r="J189" s="40"/>
      <c r="K189" s="4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</row>
    <row r="190" spans="1:29" ht="14.25" hidden="1" customHeight="1">
      <c r="A190" s="21">
        <v>188</v>
      </c>
      <c r="B190" s="21" t="s">
        <v>261</v>
      </c>
      <c r="C190" s="21" t="s">
        <v>129</v>
      </c>
      <c r="D190" s="21">
        <v>15.6</v>
      </c>
      <c r="E190" s="21">
        <v>11.7</v>
      </c>
      <c r="F190" s="21" t="s">
        <v>55</v>
      </c>
      <c r="G190" s="29" t="s">
        <v>54</v>
      </c>
      <c r="H190" s="41"/>
      <c r="I190" s="21" t="s">
        <v>59</v>
      </c>
      <c r="J190" s="40"/>
      <c r="K190" s="4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</row>
    <row r="191" spans="1:29" ht="14.25" hidden="1" customHeight="1">
      <c r="A191" s="21">
        <v>189</v>
      </c>
      <c r="B191" s="21" t="s">
        <v>262</v>
      </c>
      <c r="C191" s="21" t="s">
        <v>129</v>
      </c>
      <c r="D191" s="21">
        <v>20.3</v>
      </c>
      <c r="E191" s="21">
        <v>12.9</v>
      </c>
      <c r="F191" s="21" t="s">
        <v>118</v>
      </c>
      <c r="G191" s="27" t="s">
        <v>54</v>
      </c>
      <c r="H191" s="21"/>
      <c r="I191" s="183" t="s">
        <v>59</v>
      </c>
      <c r="J191" s="40"/>
      <c r="K191" s="4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</row>
    <row r="192" spans="1:29" ht="14.25" hidden="1" customHeight="1">
      <c r="A192" s="21">
        <v>190</v>
      </c>
      <c r="B192" s="21" t="s">
        <v>262</v>
      </c>
      <c r="C192" s="21" t="s">
        <v>163</v>
      </c>
      <c r="D192" s="21">
        <v>8.1</v>
      </c>
      <c r="E192" s="21" t="s">
        <v>61</v>
      </c>
      <c r="F192" s="21" t="s">
        <v>118</v>
      </c>
      <c r="G192" s="54" t="s">
        <v>54</v>
      </c>
      <c r="H192" s="56"/>
      <c r="I192" s="184"/>
      <c r="J192" s="40"/>
      <c r="K192" s="4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</row>
    <row r="193" spans="1:29" ht="14.25" customHeight="1">
      <c r="A193" s="90">
        <v>191</v>
      </c>
      <c r="B193" s="90" t="s">
        <v>263</v>
      </c>
      <c r="C193" s="90" t="s">
        <v>33</v>
      </c>
      <c r="D193" s="90">
        <v>19</v>
      </c>
      <c r="E193" s="90">
        <v>12.8</v>
      </c>
      <c r="F193" s="21" t="s">
        <v>12</v>
      </c>
      <c r="G193" s="90"/>
      <c r="H193" s="90"/>
      <c r="I193" s="187" t="s">
        <v>59</v>
      </c>
      <c r="J193" s="91"/>
      <c r="K193" s="92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ht="14.25" customHeight="1">
      <c r="A194" s="90">
        <v>192</v>
      </c>
      <c r="B194" s="90" t="s">
        <v>263</v>
      </c>
      <c r="C194" s="90" t="s">
        <v>84</v>
      </c>
      <c r="D194" s="90">
        <v>9</v>
      </c>
      <c r="E194" s="90" t="s">
        <v>61</v>
      </c>
      <c r="F194" s="21" t="s">
        <v>12</v>
      </c>
      <c r="G194" s="95"/>
      <c r="H194" s="95"/>
      <c r="I194" s="184"/>
      <c r="J194" s="91"/>
      <c r="K194" s="92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ht="14.25" hidden="1" customHeight="1">
      <c r="A195" s="21">
        <v>193</v>
      </c>
      <c r="B195" s="21" t="s">
        <v>264</v>
      </c>
      <c r="C195" s="21" t="s">
        <v>129</v>
      </c>
      <c r="D195" s="21">
        <v>15.5</v>
      </c>
      <c r="E195" s="21">
        <v>12.8</v>
      </c>
      <c r="F195" s="21" t="s">
        <v>88</v>
      </c>
      <c r="G195" s="26" t="s">
        <v>104</v>
      </c>
      <c r="H195" s="26"/>
      <c r="I195" s="183" t="s">
        <v>59</v>
      </c>
      <c r="J195" s="40"/>
      <c r="K195" s="4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</row>
    <row r="196" spans="1:29" ht="14.25" hidden="1" customHeight="1">
      <c r="A196" s="21">
        <v>194</v>
      </c>
      <c r="B196" s="21" t="s">
        <v>264</v>
      </c>
      <c r="C196" s="21" t="s">
        <v>163</v>
      </c>
      <c r="D196" s="21">
        <v>23</v>
      </c>
      <c r="E196" s="21" t="s">
        <v>61</v>
      </c>
      <c r="F196" s="21" t="s">
        <v>88</v>
      </c>
      <c r="G196" s="62" t="s">
        <v>104</v>
      </c>
      <c r="H196" s="62"/>
      <c r="I196" s="184"/>
      <c r="J196" s="40"/>
      <c r="K196" s="4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</row>
    <row r="197" spans="1:29" ht="14.25" hidden="1" customHeight="1">
      <c r="A197" s="21">
        <v>195</v>
      </c>
      <c r="B197" s="21" t="s">
        <v>265</v>
      </c>
      <c r="C197" s="21" t="s">
        <v>129</v>
      </c>
      <c r="D197" s="21">
        <v>16.899999999999999</v>
      </c>
      <c r="E197" s="21">
        <v>12.5</v>
      </c>
      <c r="F197" s="21" t="s">
        <v>62</v>
      </c>
      <c r="G197" s="26" t="s">
        <v>104</v>
      </c>
      <c r="H197" s="26"/>
      <c r="I197" s="183" t="s">
        <v>59</v>
      </c>
      <c r="J197" s="40"/>
      <c r="K197" s="4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</row>
    <row r="198" spans="1:29" ht="14.25" hidden="1" customHeight="1">
      <c r="A198" s="21">
        <v>196</v>
      </c>
      <c r="B198" s="21" t="s">
        <v>265</v>
      </c>
      <c r="C198" s="21" t="s">
        <v>163</v>
      </c>
      <c r="D198" s="21">
        <v>22.7</v>
      </c>
      <c r="E198" s="21" t="s">
        <v>61</v>
      </c>
      <c r="F198" s="21" t="s">
        <v>62</v>
      </c>
      <c r="G198" s="26" t="s">
        <v>104</v>
      </c>
      <c r="H198" s="26"/>
      <c r="I198" s="184"/>
      <c r="J198" s="40"/>
      <c r="K198" s="4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</row>
    <row r="199" spans="1:29" ht="14.25" hidden="1" customHeight="1">
      <c r="A199" s="21">
        <v>197</v>
      </c>
      <c r="B199" s="21" t="s">
        <v>266</v>
      </c>
      <c r="C199" s="21" t="s">
        <v>129</v>
      </c>
      <c r="D199" s="21">
        <v>21.2</v>
      </c>
      <c r="E199" s="21">
        <v>11.9</v>
      </c>
      <c r="F199" s="21" t="s">
        <v>69</v>
      </c>
      <c r="G199" s="26" t="s">
        <v>104</v>
      </c>
      <c r="H199" s="26"/>
      <c r="I199" s="21" t="s">
        <v>251</v>
      </c>
      <c r="J199" s="40"/>
      <c r="K199" s="4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</row>
    <row r="200" spans="1:29" ht="14.25" hidden="1" customHeight="1">
      <c r="A200" s="21">
        <v>198</v>
      </c>
      <c r="B200" s="21" t="s">
        <v>267</v>
      </c>
      <c r="C200" s="21" t="s">
        <v>129</v>
      </c>
      <c r="D200" s="21">
        <v>17.8</v>
      </c>
      <c r="E200" s="21">
        <v>12.6</v>
      </c>
      <c r="F200" s="21" t="s">
        <v>47</v>
      </c>
      <c r="G200" s="26" t="s">
        <v>104</v>
      </c>
      <c r="H200" s="26"/>
      <c r="I200" s="183" t="s">
        <v>59</v>
      </c>
      <c r="J200" s="40"/>
      <c r="K200" s="4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</row>
    <row r="201" spans="1:29" ht="14.25" hidden="1" customHeight="1">
      <c r="A201" s="21">
        <v>199</v>
      </c>
      <c r="B201" s="21" t="s">
        <v>267</v>
      </c>
      <c r="C201" s="21" t="s">
        <v>163</v>
      </c>
      <c r="D201" s="21">
        <v>10.3</v>
      </c>
      <c r="E201" s="21" t="s">
        <v>61</v>
      </c>
      <c r="F201" s="21" t="s">
        <v>47</v>
      </c>
      <c r="G201" s="62" t="s">
        <v>104</v>
      </c>
      <c r="H201" s="62"/>
      <c r="I201" s="184"/>
      <c r="J201" s="40"/>
      <c r="K201" s="4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</row>
    <row r="202" spans="1:29" ht="14.25" hidden="1" customHeight="1">
      <c r="A202" s="21">
        <v>200</v>
      </c>
      <c r="B202" s="21" t="s">
        <v>267</v>
      </c>
      <c r="C202" s="21" t="s">
        <v>33</v>
      </c>
      <c r="D202" s="21">
        <v>18.100000000000001</v>
      </c>
      <c r="E202" s="21">
        <v>13</v>
      </c>
      <c r="F202" s="21" t="s">
        <v>51</v>
      </c>
      <c r="G202" s="21"/>
      <c r="H202" s="21"/>
      <c r="I202" s="183" t="s">
        <v>59</v>
      </c>
      <c r="J202" s="40"/>
      <c r="K202" s="4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</row>
    <row r="203" spans="1:29" ht="14.25" hidden="1" customHeight="1">
      <c r="A203" s="21">
        <v>201</v>
      </c>
      <c r="B203" s="21" t="s">
        <v>267</v>
      </c>
      <c r="C203" s="21" t="s">
        <v>84</v>
      </c>
      <c r="D203" s="21">
        <v>9.8000000000000007</v>
      </c>
      <c r="E203" s="21" t="s">
        <v>61</v>
      </c>
      <c r="F203" s="21" t="s">
        <v>51</v>
      </c>
      <c r="G203" s="56"/>
      <c r="H203" s="56"/>
      <c r="I203" s="184"/>
      <c r="J203" s="40"/>
      <c r="K203" s="4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</row>
    <row r="204" spans="1:29" ht="14.25" hidden="1" customHeight="1">
      <c r="A204" s="21">
        <v>202</v>
      </c>
      <c r="B204" s="21" t="s">
        <v>268</v>
      </c>
      <c r="C204" s="21" t="s">
        <v>129</v>
      </c>
      <c r="D204" s="21">
        <v>17.399999999999999</v>
      </c>
      <c r="E204" s="21">
        <v>13</v>
      </c>
      <c r="F204" s="21" t="s">
        <v>79</v>
      </c>
      <c r="G204" s="26" t="s">
        <v>104</v>
      </c>
      <c r="H204" s="26"/>
      <c r="I204" s="183" t="s">
        <v>59</v>
      </c>
      <c r="J204" s="40"/>
      <c r="K204" s="4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</row>
    <row r="205" spans="1:29" ht="14.25" hidden="1" customHeight="1">
      <c r="A205" s="21">
        <v>203</v>
      </c>
      <c r="B205" s="21" t="s">
        <v>268</v>
      </c>
      <c r="C205" s="21" t="s">
        <v>163</v>
      </c>
      <c r="D205" s="21">
        <v>9.6999999999999993</v>
      </c>
      <c r="E205" s="21" t="s">
        <v>61</v>
      </c>
      <c r="F205" s="21" t="s">
        <v>79</v>
      </c>
      <c r="G205" s="62" t="s">
        <v>104</v>
      </c>
      <c r="H205" s="62"/>
      <c r="I205" s="184"/>
      <c r="J205" s="40"/>
      <c r="K205" s="4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</row>
    <row r="206" spans="1:29" ht="14.25" hidden="1" customHeight="1">
      <c r="A206" s="21">
        <v>204</v>
      </c>
      <c r="B206" s="21" t="s">
        <v>268</v>
      </c>
      <c r="C206" s="21" t="s">
        <v>33</v>
      </c>
      <c r="D206" s="21">
        <v>19.8</v>
      </c>
      <c r="E206" s="21">
        <v>13</v>
      </c>
      <c r="F206" s="21" t="s">
        <v>89</v>
      </c>
      <c r="G206" s="26"/>
      <c r="H206" s="26"/>
      <c r="I206" s="183" t="s">
        <v>59</v>
      </c>
      <c r="J206" s="40"/>
      <c r="K206" s="4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</row>
    <row r="207" spans="1:29" ht="14.25" hidden="1" customHeight="1">
      <c r="A207" s="21">
        <v>205</v>
      </c>
      <c r="B207" s="21" t="s">
        <v>268</v>
      </c>
      <c r="C207" s="21" t="s">
        <v>84</v>
      </c>
      <c r="D207" s="21">
        <v>8.6</v>
      </c>
      <c r="E207" s="21" t="s">
        <v>61</v>
      </c>
      <c r="F207" s="21" t="s">
        <v>89</v>
      </c>
      <c r="G207" s="26"/>
      <c r="H207" s="26"/>
      <c r="I207" s="184"/>
      <c r="J207" s="40"/>
      <c r="K207" s="4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</row>
    <row r="208" spans="1:29" ht="14.25" hidden="1" customHeight="1">
      <c r="A208" s="21">
        <v>206</v>
      </c>
      <c r="B208" s="21" t="s">
        <v>269</v>
      </c>
      <c r="C208" s="21" t="s">
        <v>129</v>
      </c>
      <c r="D208" s="21">
        <v>18.2</v>
      </c>
      <c r="E208" s="21">
        <v>13</v>
      </c>
      <c r="F208" s="21" t="s">
        <v>55</v>
      </c>
      <c r="G208" s="29" t="s">
        <v>54</v>
      </c>
      <c r="H208" s="41"/>
      <c r="I208" s="183" t="s">
        <v>59</v>
      </c>
      <c r="J208" s="40"/>
      <c r="K208" s="4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</row>
    <row r="209" spans="1:29" ht="14.25" hidden="1" customHeight="1">
      <c r="A209" s="21">
        <v>207</v>
      </c>
      <c r="B209" s="21" t="s">
        <v>269</v>
      </c>
      <c r="C209" s="21" t="s">
        <v>163</v>
      </c>
      <c r="D209" s="21">
        <v>9.3000000000000007</v>
      </c>
      <c r="E209" s="21" t="s">
        <v>61</v>
      </c>
      <c r="F209" s="21" t="s">
        <v>55</v>
      </c>
      <c r="G209" s="29" t="s">
        <v>54</v>
      </c>
      <c r="H209" s="41"/>
      <c r="I209" s="184"/>
      <c r="J209" s="40"/>
      <c r="K209" s="4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</row>
    <row r="210" spans="1:29" ht="14.25" hidden="1" customHeight="1">
      <c r="A210" s="21">
        <v>208</v>
      </c>
      <c r="B210" s="21" t="s">
        <v>269</v>
      </c>
      <c r="C210" s="21" t="s">
        <v>33</v>
      </c>
      <c r="D210" s="21">
        <v>17.5</v>
      </c>
      <c r="E210" s="21">
        <v>12.6</v>
      </c>
      <c r="F210" s="21" t="s">
        <v>47</v>
      </c>
      <c r="G210" s="26" t="s">
        <v>178</v>
      </c>
      <c r="H210" s="26"/>
      <c r="I210" s="183" t="s">
        <v>59</v>
      </c>
      <c r="J210" s="40"/>
      <c r="K210" s="4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</row>
    <row r="211" spans="1:29" ht="14.25" hidden="1" customHeight="1">
      <c r="A211" s="21">
        <v>209</v>
      </c>
      <c r="B211" s="21" t="s">
        <v>269</v>
      </c>
      <c r="C211" s="21" t="s">
        <v>84</v>
      </c>
      <c r="D211" s="21">
        <v>9.5</v>
      </c>
      <c r="E211" s="21" t="s">
        <v>61</v>
      </c>
      <c r="F211" s="21" t="s">
        <v>47</v>
      </c>
      <c r="G211" s="62" t="s">
        <v>178</v>
      </c>
      <c r="H211" s="62"/>
      <c r="I211" s="184"/>
      <c r="J211" s="40"/>
      <c r="K211" s="4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</row>
    <row r="212" spans="1:29" ht="14.25" hidden="1" customHeight="1">
      <c r="A212" s="21">
        <v>210</v>
      </c>
      <c r="B212" s="21" t="s">
        <v>270</v>
      </c>
      <c r="C212" s="21" t="s">
        <v>129</v>
      </c>
      <c r="D212" s="21">
        <v>18.600000000000001</v>
      </c>
      <c r="E212" s="21">
        <v>13</v>
      </c>
      <c r="F212" s="21" t="s">
        <v>88</v>
      </c>
      <c r="G212" s="26" t="s">
        <v>104</v>
      </c>
      <c r="H212" s="26"/>
      <c r="I212" s="183" t="s">
        <v>59</v>
      </c>
      <c r="J212" s="40"/>
      <c r="K212" s="4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</row>
    <row r="213" spans="1:29" ht="14.25" hidden="1" customHeight="1">
      <c r="A213" s="21">
        <v>211</v>
      </c>
      <c r="B213" s="21" t="s">
        <v>270</v>
      </c>
      <c r="C213" s="21" t="s">
        <v>163</v>
      </c>
      <c r="D213" s="21">
        <v>23.6</v>
      </c>
      <c r="E213" s="21" t="s">
        <v>61</v>
      </c>
      <c r="F213" s="21" t="s">
        <v>88</v>
      </c>
      <c r="G213" s="62" t="s">
        <v>104</v>
      </c>
      <c r="H213" s="62"/>
      <c r="I213" s="184"/>
      <c r="J213" s="40"/>
      <c r="K213" s="4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</row>
    <row r="214" spans="1:29" ht="14.25" hidden="1" customHeight="1">
      <c r="A214" s="21">
        <v>212</v>
      </c>
      <c r="B214" s="21" t="s">
        <v>271</v>
      </c>
      <c r="C214" s="21" t="s">
        <v>129</v>
      </c>
      <c r="D214" s="21">
        <v>22.1</v>
      </c>
      <c r="E214" s="21">
        <v>12.4</v>
      </c>
      <c r="F214" s="21" t="s">
        <v>79</v>
      </c>
      <c r="G214" s="26" t="s">
        <v>104</v>
      </c>
      <c r="H214" s="26"/>
      <c r="I214" s="21" t="s">
        <v>59</v>
      </c>
      <c r="J214" s="40"/>
      <c r="K214" s="4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</row>
    <row r="215" spans="1:29" ht="14.25" hidden="1" customHeight="1">
      <c r="A215" s="21">
        <v>213</v>
      </c>
      <c r="B215" s="21" t="s">
        <v>272</v>
      </c>
      <c r="C215" s="21" t="s">
        <v>129</v>
      </c>
      <c r="D215" s="21">
        <v>21.8</v>
      </c>
      <c r="E215" s="21">
        <v>12.3</v>
      </c>
      <c r="F215" s="21" t="s">
        <v>150</v>
      </c>
      <c r="G215" s="26" t="s">
        <v>104</v>
      </c>
      <c r="H215" s="26"/>
      <c r="I215" s="21" t="s">
        <v>59</v>
      </c>
      <c r="J215" s="40"/>
      <c r="K215" s="4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</row>
    <row r="216" spans="1:29" ht="14.25" hidden="1" customHeight="1">
      <c r="A216" s="21">
        <v>214</v>
      </c>
      <c r="B216" s="21" t="s">
        <v>273</v>
      </c>
      <c r="C216" s="21" t="s">
        <v>129</v>
      </c>
      <c r="D216" s="21">
        <v>21.9</v>
      </c>
      <c r="E216" s="21">
        <v>11.9</v>
      </c>
      <c r="F216" s="21" t="s">
        <v>69</v>
      </c>
      <c r="G216" s="26" t="s">
        <v>104</v>
      </c>
      <c r="H216" s="26"/>
      <c r="I216" s="21" t="s">
        <v>59</v>
      </c>
      <c r="J216" s="40"/>
      <c r="K216" s="4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</row>
    <row r="217" spans="1:29" ht="14.25" hidden="1" customHeight="1">
      <c r="A217" s="21">
        <v>215</v>
      </c>
      <c r="B217" s="21" t="s">
        <v>274</v>
      </c>
      <c r="C217" s="21" t="s">
        <v>129</v>
      </c>
      <c r="D217" s="21">
        <v>18.100000000000001</v>
      </c>
      <c r="E217" s="21">
        <v>12.8</v>
      </c>
      <c r="F217" s="21" t="s">
        <v>118</v>
      </c>
      <c r="G217" s="27" t="s">
        <v>54</v>
      </c>
      <c r="H217" s="21"/>
      <c r="I217" s="183" t="s">
        <v>59</v>
      </c>
      <c r="J217" s="40"/>
      <c r="K217" s="4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</row>
    <row r="218" spans="1:29" ht="14.25" hidden="1" customHeight="1">
      <c r="A218" s="21">
        <v>216</v>
      </c>
      <c r="B218" s="21" t="s">
        <v>274</v>
      </c>
      <c r="C218" s="21" t="s">
        <v>163</v>
      </c>
      <c r="D218" s="21">
        <v>9.6</v>
      </c>
      <c r="E218" s="21" t="s">
        <v>61</v>
      </c>
      <c r="F218" s="21" t="s">
        <v>118</v>
      </c>
      <c r="G218" s="54" t="s">
        <v>54</v>
      </c>
      <c r="H218" s="56"/>
      <c r="I218" s="184"/>
      <c r="J218" s="40"/>
      <c r="K218" s="4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</row>
    <row r="219" spans="1:29" ht="14.25" hidden="1" customHeight="1">
      <c r="A219" s="21">
        <v>217</v>
      </c>
      <c r="B219" s="21" t="s">
        <v>274</v>
      </c>
      <c r="C219" s="21" t="s">
        <v>33</v>
      </c>
      <c r="D219" s="21">
        <v>16.7</v>
      </c>
      <c r="E219" s="21">
        <v>12.6</v>
      </c>
      <c r="F219" s="21" t="s">
        <v>77</v>
      </c>
      <c r="G219" s="54" t="s">
        <v>54</v>
      </c>
      <c r="H219" s="62"/>
      <c r="I219" s="183" t="s">
        <v>59</v>
      </c>
      <c r="J219" s="40"/>
      <c r="K219" s="4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</row>
    <row r="220" spans="1:29" ht="14.25" hidden="1" customHeight="1">
      <c r="A220" s="21">
        <v>218</v>
      </c>
      <c r="B220" s="21" t="s">
        <v>274</v>
      </c>
      <c r="C220" s="21" t="s">
        <v>84</v>
      </c>
      <c r="D220" s="21">
        <v>10.3</v>
      </c>
      <c r="E220" s="21" t="s">
        <v>61</v>
      </c>
      <c r="F220" s="21" t="s">
        <v>77</v>
      </c>
      <c r="G220" s="54" t="s">
        <v>54</v>
      </c>
      <c r="H220" s="62"/>
      <c r="I220" s="184"/>
      <c r="J220" s="40"/>
      <c r="K220" s="4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</row>
    <row r="221" spans="1:29" ht="14.25" hidden="1" customHeight="1">
      <c r="A221" s="21">
        <v>219</v>
      </c>
      <c r="B221" s="21" t="s">
        <v>275</v>
      </c>
      <c r="C221" s="21" t="s">
        <v>129</v>
      </c>
      <c r="D221" s="21">
        <v>16.600000000000001</v>
      </c>
      <c r="E221" s="21">
        <v>12.4</v>
      </c>
      <c r="F221" s="21" t="s">
        <v>118</v>
      </c>
      <c r="G221" s="27" t="s">
        <v>54</v>
      </c>
      <c r="H221" s="21"/>
      <c r="I221" s="183" t="s">
        <v>59</v>
      </c>
      <c r="J221" s="40"/>
      <c r="K221" s="4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</row>
    <row r="222" spans="1:29" ht="14.25" hidden="1" customHeight="1">
      <c r="A222" s="21">
        <v>220</v>
      </c>
      <c r="B222" s="21" t="s">
        <v>275</v>
      </c>
      <c r="C222" s="21" t="s">
        <v>163</v>
      </c>
      <c r="D222" s="21">
        <v>8.6999999999999993</v>
      </c>
      <c r="E222" s="21" t="s">
        <v>61</v>
      </c>
      <c r="F222" s="21" t="s">
        <v>118</v>
      </c>
      <c r="G222" s="54" t="s">
        <v>54</v>
      </c>
      <c r="H222" s="56"/>
      <c r="I222" s="184"/>
      <c r="J222" s="40"/>
      <c r="K222" s="4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</row>
    <row r="223" spans="1:29" ht="14.25" hidden="1" customHeight="1">
      <c r="A223" s="21">
        <v>221</v>
      </c>
      <c r="B223" s="21" t="s">
        <v>275</v>
      </c>
      <c r="C223" s="21" t="s">
        <v>33</v>
      </c>
      <c r="D223" s="21">
        <v>18.600000000000001</v>
      </c>
      <c r="E223" s="21">
        <v>12.9</v>
      </c>
      <c r="F223" s="21" t="s">
        <v>89</v>
      </c>
      <c r="G223" s="26" t="s">
        <v>104</v>
      </c>
      <c r="H223" s="26"/>
      <c r="I223" s="183" t="s">
        <v>59</v>
      </c>
      <c r="J223" s="40"/>
      <c r="K223" s="4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</row>
    <row r="224" spans="1:29" ht="14.25" hidden="1" customHeight="1">
      <c r="A224" s="21">
        <v>222</v>
      </c>
      <c r="B224" s="21" t="s">
        <v>275</v>
      </c>
      <c r="C224" s="21" t="s">
        <v>84</v>
      </c>
      <c r="D224" s="21">
        <v>9.1</v>
      </c>
      <c r="E224" s="21" t="s">
        <v>61</v>
      </c>
      <c r="F224" s="21" t="s">
        <v>89</v>
      </c>
      <c r="G224" s="26" t="s">
        <v>104</v>
      </c>
      <c r="H224" s="26"/>
      <c r="I224" s="184"/>
      <c r="J224" s="40"/>
      <c r="K224" s="4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</row>
    <row r="225" spans="1:29" ht="14.25" hidden="1" customHeight="1">
      <c r="A225" s="21">
        <v>223</v>
      </c>
      <c r="B225" s="21" t="s">
        <v>276</v>
      </c>
      <c r="C225" s="21" t="s">
        <v>129</v>
      </c>
      <c r="D225" s="21">
        <v>20.100000000000001</v>
      </c>
      <c r="E225" s="21">
        <v>12.4</v>
      </c>
      <c r="F225" s="21" t="s">
        <v>55</v>
      </c>
      <c r="G225" s="29" t="s">
        <v>54</v>
      </c>
      <c r="H225" s="41"/>
      <c r="I225" s="183" t="s">
        <v>59</v>
      </c>
      <c r="J225" s="40"/>
      <c r="K225" s="4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</row>
    <row r="226" spans="1:29" ht="14.25" hidden="1" customHeight="1">
      <c r="A226" s="21">
        <v>224</v>
      </c>
      <c r="B226" s="21" t="s">
        <v>276</v>
      </c>
      <c r="C226" s="21" t="s">
        <v>163</v>
      </c>
      <c r="D226" s="21">
        <v>8.8000000000000007</v>
      </c>
      <c r="E226" s="21" t="s">
        <v>61</v>
      </c>
      <c r="F226" s="21" t="s">
        <v>55</v>
      </c>
      <c r="G226" s="29" t="s">
        <v>54</v>
      </c>
      <c r="H226" s="41"/>
      <c r="I226" s="184"/>
      <c r="J226" s="40"/>
      <c r="K226" s="4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</row>
    <row r="227" spans="1:29" ht="14.25" hidden="1" customHeight="1">
      <c r="A227" s="21">
        <v>225</v>
      </c>
      <c r="B227" s="21" t="s">
        <v>276</v>
      </c>
      <c r="C227" s="21" t="s">
        <v>33</v>
      </c>
      <c r="D227" s="21">
        <v>17.899999999999999</v>
      </c>
      <c r="E227" s="21">
        <v>12.5</v>
      </c>
      <c r="F227" s="21" t="s">
        <v>36</v>
      </c>
      <c r="G227" s="26" t="s">
        <v>104</v>
      </c>
      <c r="H227" s="26"/>
      <c r="I227" s="183" t="s">
        <v>59</v>
      </c>
      <c r="J227" s="40"/>
      <c r="K227" s="4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</row>
    <row r="228" spans="1:29" ht="14.25" hidden="1" customHeight="1">
      <c r="A228" s="21">
        <v>226</v>
      </c>
      <c r="B228" s="21" t="s">
        <v>276</v>
      </c>
      <c r="C228" s="21" t="s">
        <v>84</v>
      </c>
      <c r="D228" s="21">
        <v>8.8000000000000007</v>
      </c>
      <c r="E228" s="21" t="s">
        <v>61</v>
      </c>
      <c r="F228" s="21" t="s">
        <v>36</v>
      </c>
      <c r="G228" s="62" t="s">
        <v>104</v>
      </c>
      <c r="H228" s="62"/>
      <c r="I228" s="184"/>
      <c r="J228" s="40"/>
      <c r="K228" s="4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</row>
    <row r="229" spans="1:29" ht="14.25" hidden="1" customHeight="1">
      <c r="A229" s="21">
        <v>227</v>
      </c>
      <c r="B229" s="21" t="s">
        <v>277</v>
      </c>
      <c r="C229" s="21" t="s">
        <v>129</v>
      </c>
      <c r="D229" s="21">
        <v>38.6</v>
      </c>
      <c r="E229" s="21">
        <v>10.6</v>
      </c>
      <c r="F229" s="21" t="s">
        <v>47</v>
      </c>
      <c r="G229" s="26" t="s">
        <v>178</v>
      </c>
      <c r="H229" s="26"/>
      <c r="I229" s="183" t="s">
        <v>59</v>
      </c>
      <c r="J229" s="40"/>
      <c r="K229" s="4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</row>
    <row r="230" spans="1:29" ht="14.25" hidden="1" customHeight="1">
      <c r="A230" s="21">
        <v>228</v>
      </c>
      <c r="B230" s="21" t="s">
        <v>277</v>
      </c>
      <c r="C230" s="21" t="s">
        <v>163</v>
      </c>
      <c r="D230" s="21">
        <v>31.3</v>
      </c>
      <c r="E230" s="21" t="s">
        <v>61</v>
      </c>
      <c r="F230" s="21" t="s">
        <v>47</v>
      </c>
      <c r="G230" s="62" t="s">
        <v>178</v>
      </c>
      <c r="H230" s="62"/>
      <c r="I230" s="184"/>
      <c r="J230" s="40"/>
      <c r="K230" s="4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</row>
    <row r="231" spans="1:29" ht="14.25" hidden="1" customHeight="1">
      <c r="A231" s="21">
        <v>229</v>
      </c>
      <c r="B231" s="21" t="s">
        <v>278</v>
      </c>
      <c r="C231" s="21" t="s">
        <v>129</v>
      </c>
      <c r="D231" s="21">
        <v>22</v>
      </c>
      <c r="E231" s="21">
        <v>12.5</v>
      </c>
      <c r="F231" s="21" t="s">
        <v>55</v>
      </c>
      <c r="G231" s="29" t="s">
        <v>54</v>
      </c>
      <c r="H231" s="41"/>
      <c r="I231" s="183" t="s">
        <v>59</v>
      </c>
      <c r="J231" s="40"/>
      <c r="K231" s="4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</row>
    <row r="232" spans="1:29" ht="14.25" hidden="1" customHeight="1">
      <c r="A232" s="21">
        <v>230</v>
      </c>
      <c r="B232" s="21" t="s">
        <v>278</v>
      </c>
      <c r="C232" s="21" t="s">
        <v>163</v>
      </c>
      <c r="D232" s="21">
        <v>8.4</v>
      </c>
      <c r="E232" s="21" t="s">
        <v>61</v>
      </c>
      <c r="F232" s="21" t="s">
        <v>55</v>
      </c>
      <c r="G232" s="29" t="s">
        <v>54</v>
      </c>
      <c r="H232" s="41"/>
      <c r="I232" s="184"/>
      <c r="J232" s="40"/>
      <c r="K232" s="4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</row>
    <row r="233" spans="1:29" ht="14.25" hidden="1" customHeight="1">
      <c r="A233" s="21">
        <v>231</v>
      </c>
      <c r="B233" s="21" t="s">
        <v>279</v>
      </c>
      <c r="C233" s="21" t="s">
        <v>129</v>
      </c>
      <c r="D233" s="21">
        <v>22.1</v>
      </c>
      <c r="E233" s="21">
        <v>10.1</v>
      </c>
      <c r="F233" s="21" t="s">
        <v>55</v>
      </c>
      <c r="G233" s="29" t="s">
        <v>54</v>
      </c>
      <c r="H233" s="41"/>
      <c r="I233" s="183" t="s">
        <v>59</v>
      </c>
      <c r="J233" s="40"/>
      <c r="K233" s="4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</row>
    <row r="234" spans="1:29" ht="14.25" hidden="1" customHeight="1">
      <c r="A234" s="21">
        <v>232</v>
      </c>
      <c r="B234" s="21" t="s">
        <v>279</v>
      </c>
      <c r="C234" s="21" t="s">
        <v>163</v>
      </c>
      <c r="D234" s="21">
        <v>10.3</v>
      </c>
      <c r="E234" s="21" t="s">
        <v>61</v>
      </c>
      <c r="F234" s="21" t="s">
        <v>55</v>
      </c>
      <c r="G234" s="29" t="s">
        <v>54</v>
      </c>
      <c r="H234" s="41"/>
      <c r="I234" s="184"/>
      <c r="J234" s="40"/>
      <c r="K234" s="4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</row>
    <row r="235" spans="1:29" ht="14.25" hidden="1" customHeight="1">
      <c r="A235" s="21">
        <v>233</v>
      </c>
      <c r="B235" s="21" t="s">
        <v>280</v>
      </c>
      <c r="C235" s="21" t="s">
        <v>129</v>
      </c>
      <c r="D235" s="21">
        <v>16.600000000000001</v>
      </c>
      <c r="E235" s="21">
        <v>12.1</v>
      </c>
      <c r="F235" s="21" t="s">
        <v>89</v>
      </c>
      <c r="G235" s="26" t="s">
        <v>104</v>
      </c>
      <c r="H235" s="26"/>
      <c r="I235" s="183" t="s">
        <v>59</v>
      </c>
      <c r="J235" s="40"/>
      <c r="K235" s="4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</row>
    <row r="236" spans="1:29" ht="14.25" hidden="1" customHeight="1">
      <c r="A236" s="21">
        <v>234</v>
      </c>
      <c r="B236" s="21" t="s">
        <v>280</v>
      </c>
      <c r="C236" s="21" t="s">
        <v>163</v>
      </c>
      <c r="D236" s="21">
        <v>9.1999999999999993</v>
      </c>
      <c r="E236" s="21" t="s">
        <v>61</v>
      </c>
      <c r="F236" s="21" t="s">
        <v>89</v>
      </c>
      <c r="G236" s="26" t="s">
        <v>104</v>
      </c>
      <c r="H236" s="26"/>
      <c r="I236" s="184"/>
      <c r="J236" s="40"/>
      <c r="K236" s="4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</row>
    <row r="237" spans="1:29" ht="14.25" hidden="1" customHeight="1">
      <c r="A237" s="21">
        <v>235</v>
      </c>
      <c r="B237" s="21" t="s">
        <v>281</v>
      </c>
      <c r="C237" s="21" t="s">
        <v>129</v>
      </c>
      <c r="D237" s="21">
        <v>19.8</v>
      </c>
      <c r="E237" s="21">
        <v>13</v>
      </c>
      <c r="F237" s="21" t="s">
        <v>77</v>
      </c>
      <c r="G237" s="54" t="s">
        <v>54</v>
      </c>
      <c r="H237" s="62"/>
      <c r="I237" s="183" t="s">
        <v>59</v>
      </c>
      <c r="J237" s="40"/>
      <c r="K237" s="4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</row>
    <row r="238" spans="1:29" ht="14.25" hidden="1" customHeight="1">
      <c r="A238" s="21">
        <v>236</v>
      </c>
      <c r="B238" s="21" t="s">
        <v>281</v>
      </c>
      <c r="C238" s="21" t="s">
        <v>163</v>
      </c>
      <c r="D238" s="21">
        <v>21.6</v>
      </c>
      <c r="E238" s="21" t="s">
        <v>61</v>
      </c>
      <c r="F238" s="21" t="s">
        <v>77</v>
      </c>
      <c r="G238" s="54" t="s">
        <v>54</v>
      </c>
      <c r="H238" s="62"/>
      <c r="I238" s="184"/>
      <c r="J238" s="40"/>
      <c r="K238" s="4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</row>
    <row r="239" spans="1:29" ht="14.25" hidden="1" customHeight="1">
      <c r="A239" s="21">
        <v>237</v>
      </c>
      <c r="B239" s="21" t="s">
        <v>282</v>
      </c>
      <c r="C239" s="21" t="s">
        <v>129</v>
      </c>
      <c r="D239" s="21">
        <v>22.3</v>
      </c>
      <c r="E239" s="21">
        <v>12.4</v>
      </c>
      <c r="F239" s="21" t="s">
        <v>36</v>
      </c>
      <c r="G239" s="26" t="s">
        <v>104</v>
      </c>
      <c r="H239" s="26"/>
      <c r="I239" s="21" t="s">
        <v>59</v>
      </c>
      <c r="J239" s="40"/>
      <c r="K239" s="4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</row>
    <row r="240" spans="1:29" ht="14.25" hidden="1" customHeight="1">
      <c r="A240" s="21">
        <v>238</v>
      </c>
      <c r="B240" s="21" t="s">
        <v>283</v>
      </c>
      <c r="C240" s="21" t="s">
        <v>129</v>
      </c>
      <c r="D240" s="21">
        <v>20.9</v>
      </c>
      <c r="E240" s="21">
        <v>12.6</v>
      </c>
      <c r="F240" s="21" t="s">
        <v>112</v>
      </c>
      <c r="G240" s="26" t="s">
        <v>178</v>
      </c>
      <c r="H240" s="26"/>
      <c r="I240" s="183" t="s">
        <v>59</v>
      </c>
      <c r="J240" s="40"/>
      <c r="K240" s="4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</row>
    <row r="241" spans="1:29" ht="14.25" hidden="1" customHeight="1">
      <c r="A241" s="21">
        <v>239</v>
      </c>
      <c r="B241" s="21" t="s">
        <v>283</v>
      </c>
      <c r="C241" s="21" t="s">
        <v>163</v>
      </c>
      <c r="D241" s="21">
        <v>7.8</v>
      </c>
      <c r="E241" s="21" t="s">
        <v>61</v>
      </c>
      <c r="F241" s="21" t="s">
        <v>112</v>
      </c>
      <c r="G241" s="62" t="s">
        <v>178</v>
      </c>
      <c r="H241" s="62"/>
      <c r="I241" s="184"/>
      <c r="J241" s="40"/>
      <c r="K241" s="4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</row>
    <row r="242" spans="1:29" ht="14.25" hidden="1" customHeight="1">
      <c r="A242" s="21">
        <v>240</v>
      </c>
      <c r="B242" s="21" t="s">
        <v>284</v>
      </c>
      <c r="C242" s="21" t="s">
        <v>129</v>
      </c>
      <c r="D242" s="21">
        <v>13</v>
      </c>
      <c r="E242" s="21">
        <v>13</v>
      </c>
      <c r="F242" s="21" t="s">
        <v>47</v>
      </c>
      <c r="G242" s="26" t="s">
        <v>104</v>
      </c>
      <c r="H242" s="26"/>
      <c r="I242" s="183" t="s">
        <v>59</v>
      </c>
      <c r="J242" s="40"/>
      <c r="K242" s="4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</row>
    <row r="243" spans="1:29" ht="14.25" hidden="1" customHeight="1">
      <c r="A243" s="21">
        <v>241</v>
      </c>
      <c r="B243" s="21" t="s">
        <v>284</v>
      </c>
      <c r="C243" s="21" t="s">
        <v>163</v>
      </c>
      <c r="D243" s="21">
        <v>21.6</v>
      </c>
      <c r="E243" s="21" t="s">
        <v>61</v>
      </c>
      <c r="F243" s="26" t="s">
        <v>47</v>
      </c>
      <c r="G243" s="62" t="s">
        <v>104</v>
      </c>
      <c r="H243" s="62"/>
      <c r="I243" s="184"/>
      <c r="J243" s="40"/>
      <c r="K243" s="4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</row>
    <row r="244" spans="1:29" ht="14.25" hidden="1" customHeight="1">
      <c r="A244" s="21">
        <v>242</v>
      </c>
      <c r="B244" s="21" t="s">
        <v>284</v>
      </c>
      <c r="C244" s="21" t="s">
        <v>33</v>
      </c>
      <c r="D244" s="21">
        <v>14</v>
      </c>
      <c r="E244" s="21">
        <v>13.1</v>
      </c>
      <c r="F244" s="21" t="s">
        <v>77</v>
      </c>
      <c r="G244" s="54" t="s">
        <v>54</v>
      </c>
      <c r="H244" s="62"/>
      <c r="I244" s="183" t="s">
        <v>59</v>
      </c>
      <c r="J244" s="40"/>
      <c r="K244" s="4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</row>
    <row r="245" spans="1:29" ht="14.25" hidden="1" customHeight="1">
      <c r="A245" s="21">
        <v>243</v>
      </c>
      <c r="B245" s="21" t="s">
        <v>284</v>
      </c>
      <c r="C245" s="21" t="s">
        <v>84</v>
      </c>
      <c r="D245" s="21">
        <v>21.4</v>
      </c>
      <c r="E245" s="21" t="s">
        <v>61</v>
      </c>
      <c r="F245" s="21" t="s">
        <v>77</v>
      </c>
      <c r="G245" s="54" t="s">
        <v>54</v>
      </c>
      <c r="H245" s="62"/>
      <c r="I245" s="184"/>
      <c r="J245" s="40"/>
      <c r="K245" s="4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</row>
    <row r="246" spans="1:29" ht="14.25" hidden="1" customHeight="1">
      <c r="A246" s="21">
        <v>244</v>
      </c>
      <c r="B246" s="21" t="s">
        <v>285</v>
      </c>
      <c r="C246" s="21" t="s">
        <v>129</v>
      </c>
      <c r="D246" s="21">
        <v>21.7</v>
      </c>
      <c r="E246" s="21">
        <v>10.6</v>
      </c>
      <c r="F246" s="21" t="s">
        <v>77</v>
      </c>
      <c r="G246" s="54" t="s">
        <v>54</v>
      </c>
      <c r="H246" s="62"/>
      <c r="I246" s="21" t="s">
        <v>59</v>
      </c>
      <c r="J246" s="40"/>
      <c r="K246" s="4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</row>
    <row r="247" spans="1:29" ht="14.25" hidden="1" customHeight="1">
      <c r="A247" s="21">
        <v>245</v>
      </c>
      <c r="B247" s="21" t="s">
        <v>286</v>
      </c>
      <c r="C247" s="21" t="s">
        <v>129</v>
      </c>
      <c r="D247" s="21">
        <v>21.8</v>
      </c>
      <c r="E247" s="21">
        <v>10.8</v>
      </c>
      <c r="F247" s="21" t="s">
        <v>77</v>
      </c>
      <c r="G247" s="54" t="s">
        <v>54</v>
      </c>
      <c r="H247" s="62"/>
      <c r="I247" s="21" t="s">
        <v>59</v>
      </c>
      <c r="J247" s="40"/>
      <c r="K247" s="4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</row>
    <row r="248" spans="1:29" ht="14.25" hidden="1" customHeight="1">
      <c r="A248" s="21">
        <v>246</v>
      </c>
      <c r="B248" s="21" t="s">
        <v>287</v>
      </c>
      <c r="C248" s="21" t="s">
        <v>129</v>
      </c>
      <c r="D248" s="21">
        <v>21.9</v>
      </c>
      <c r="E248" s="21">
        <v>10.5</v>
      </c>
      <c r="F248" s="21" t="s">
        <v>47</v>
      </c>
      <c r="G248" s="26" t="s">
        <v>104</v>
      </c>
      <c r="H248" s="26"/>
      <c r="I248" s="21" t="s">
        <v>59</v>
      </c>
      <c r="J248" s="40"/>
      <c r="K248" s="4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</row>
    <row r="249" spans="1:29" ht="14.25" hidden="1" customHeight="1">
      <c r="A249" s="21">
        <v>247</v>
      </c>
      <c r="B249" s="21" t="s">
        <v>288</v>
      </c>
      <c r="C249" s="21" t="s">
        <v>129</v>
      </c>
      <c r="D249" s="21">
        <v>21.8</v>
      </c>
      <c r="E249" s="21">
        <v>10.6</v>
      </c>
      <c r="F249" s="21" t="s">
        <v>112</v>
      </c>
      <c r="G249" s="26" t="s">
        <v>178</v>
      </c>
      <c r="H249" s="26"/>
      <c r="I249" s="21" t="s">
        <v>59</v>
      </c>
      <c r="J249" s="40"/>
      <c r="K249" s="4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</row>
    <row r="250" spans="1:29" ht="14.25" hidden="1" customHeight="1">
      <c r="A250" s="21">
        <v>248</v>
      </c>
      <c r="B250" s="21" t="s">
        <v>289</v>
      </c>
      <c r="C250" s="21" t="s">
        <v>129</v>
      </c>
      <c r="D250" s="21">
        <v>13.7</v>
      </c>
      <c r="E250" s="21">
        <v>13.3</v>
      </c>
      <c r="F250" s="21" t="s">
        <v>118</v>
      </c>
      <c r="G250" s="27" t="s">
        <v>54</v>
      </c>
      <c r="H250" s="21"/>
      <c r="I250" s="183" t="s">
        <v>59</v>
      </c>
      <c r="J250" s="40"/>
      <c r="K250" s="4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</row>
    <row r="251" spans="1:29" ht="14.25" hidden="1" customHeight="1">
      <c r="A251" s="21">
        <v>249</v>
      </c>
      <c r="B251" s="21" t="s">
        <v>289</v>
      </c>
      <c r="C251" s="21" t="s">
        <v>163</v>
      </c>
      <c r="D251" s="21">
        <v>20.9</v>
      </c>
      <c r="E251" s="21" t="s">
        <v>61</v>
      </c>
      <c r="F251" s="21" t="s">
        <v>118</v>
      </c>
      <c r="G251" s="54" t="s">
        <v>54</v>
      </c>
      <c r="H251" s="56"/>
      <c r="I251" s="184"/>
      <c r="J251" s="40"/>
      <c r="K251" s="4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</row>
    <row r="252" spans="1:29" ht="14.25" hidden="1" customHeight="1">
      <c r="A252" s="21">
        <v>250</v>
      </c>
      <c r="B252" s="21" t="s">
        <v>290</v>
      </c>
      <c r="C252" s="21" t="s">
        <v>129</v>
      </c>
      <c r="D252" s="21">
        <v>21.8</v>
      </c>
      <c r="E252" s="21">
        <v>9.9</v>
      </c>
      <c r="F252" s="21" t="s">
        <v>62</v>
      </c>
      <c r="G252" s="26" t="s">
        <v>104</v>
      </c>
      <c r="H252" s="26"/>
      <c r="I252" s="183" t="s">
        <v>59</v>
      </c>
      <c r="J252" s="40"/>
      <c r="K252" s="4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</row>
    <row r="253" spans="1:29" ht="14.25" hidden="1" customHeight="1">
      <c r="A253" s="21">
        <v>251</v>
      </c>
      <c r="B253" s="21" t="s">
        <v>290</v>
      </c>
      <c r="C253" s="21" t="s">
        <v>163</v>
      </c>
      <c r="D253" s="21">
        <v>7.9</v>
      </c>
      <c r="E253" s="21" t="s">
        <v>61</v>
      </c>
      <c r="F253" s="21" t="s">
        <v>62</v>
      </c>
      <c r="G253" s="26" t="s">
        <v>104</v>
      </c>
      <c r="H253" s="26"/>
      <c r="I253" s="184"/>
      <c r="J253" s="40"/>
      <c r="K253" s="4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</row>
    <row r="254" spans="1:29" ht="14.25" hidden="1" customHeight="1">
      <c r="A254" s="21">
        <v>252</v>
      </c>
      <c r="B254" s="21" t="s">
        <v>291</v>
      </c>
      <c r="C254" s="21" t="s">
        <v>129</v>
      </c>
      <c r="D254" s="21">
        <v>15.9</v>
      </c>
      <c r="E254" s="21">
        <v>10.199999999999999</v>
      </c>
      <c r="F254" s="21" t="s">
        <v>89</v>
      </c>
      <c r="G254" s="26" t="s">
        <v>104</v>
      </c>
      <c r="H254" s="26"/>
      <c r="I254" s="21" t="s">
        <v>251</v>
      </c>
      <c r="J254" s="40"/>
      <c r="K254" s="4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</row>
    <row r="255" spans="1:29" ht="14.25" hidden="1" customHeight="1">
      <c r="A255" s="21">
        <v>253</v>
      </c>
      <c r="B255" s="21" t="s">
        <v>292</v>
      </c>
      <c r="C255" s="21" t="s">
        <v>129</v>
      </c>
      <c r="D255" s="21">
        <v>16.899999999999999</v>
      </c>
      <c r="E255" s="21">
        <v>12.3</v>
      </c>
      <c r="F255" s="21" t="s">
        <v>77</v>
      </c>
      <c r="G255" s="54" t="s">
        <v>54</v>
      </c>
      <c r="H255" s="62"/>
      <c r="I255" s="183" t="s">
        <v>59</v>
      </c>
      <c r="J255" s="40"/>
      <c r="K255" s="4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</row>
    <row r="256" spans="1:29" ht="14.25" hidden="1" customHeight="1">
      <c r="A256" s="21">
        <v>254</v>
      </c>
      <c r="B256" s="21" t="s">
        <v>292</v>
      </c>
      <c r="C256" s="21" t="s">
        <v>163</v>
      </c>
      <c r="D256" s="21">
        <v>20.6</v>
      </c>
      <c r="E256" s="21" t="s">
        <v>61</v>
      </c>
      <c r="F256" s="21" t="s">
        <v>77</v>
      </c>
      <c r="G256" s="54" t="s">
        <v>54</v>
      </c>
      <c r="H256" s="62"/>
      <c r="I256" s="184"/>
      <c r="J256" s="40"/>
      <c r="K256" s="4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</row>
    <row r="257" spans="1:29" ht="14.25" hidden="1" customHeight="1">
      <c r="A257" s="21">
        <v>255</v>
      </c>
      <c r="B257" s="21" t="s">
        <v>293</v>
      </c>
      <c r="C257" s="21" t="s">
        <v>129</v>
      </c>
      <c r="D257" s="21">
        <v>21.8</v>
      </c>
      <c r="E257" s="21">
        <v>9.6999999999999993</v>
      </c>
      <c r="F257" s="21" t="s">
        <v>112</v>
      </c>
      <c r="G257" s="26" t="s">
        <v>178</v>
      </c>
      <c r="H257" s="26"/>
      <c r="I257" s="183" t="s">
        <v>59</v>
      </c>
      <c r="J257" s="40"/>
      <c r="K257" s="4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</row>
    <row r="258" spans="1:29" ht="14.25" hidden="1" customHeight="1">
      <c r="A258" s="21">
        <v>256</v>
      </c>
      <c r="B258" s="21" t="s">
        <v>293</v>
      </c>
      <c r="C258" s="21" t="s">
        <v>163</v>
      </c>
      <c r="D258" s="21">
        <v>8.1</v>
      </c>
      <c r="E258" s="21" t="s">
        <v>61</v>
      </c>
      <c r="F258" s="21" t="s">
        <v>112</v>
      </c>
      <c r="G258" s="62" t="s">
        <v>178</v>
      </c>
      <c r="H258" s="62"/>
      <c r="I258" s="184"/>
      <c r="J258" s="40"/>
      <c r="K258" s="4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</row>
    <row r="259" spans="1:29" ht="14.25" hidden="1" customHeight="1">
      <c r="A259" s="21">
        <v>257</v>
      </c>
      <c r="B259" s="21" t="s">
        <v>294</v>
      </c>
      <c r="C259" s="21" t="s">
        <v>129</v>
      </c>
      <c r="D259" s="21">
        <v>16.100000000000001</v>
      </c>
      <c r="E259" s="21">
        <v>13</v>
      </c>
      <c r="F259" s="21" t="s">
        <v>55</v>
      </c>
      <c r="G259" s="29" t="s">
        <v>54</v>
      </c>
      <c r="H259" s="41"/>
      <c r="I259" s="183" t="s">
        <v>59</v>
      </c>
      <c r="J259" s="40"/>
      <c r="K259" s="4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</row>
    <row r="260" spans="1:29" ht="14.25" hidden="1" customHeight="1">
      <c r="A260" s="21">
        <v>258</v>
      </c>
      <c r="B260" s="21" t="s">
        <v>294</v>
      </c>
      <c r="C260" s="21" t="s">
        <v>163</v>
      </c>
      <c r="D260" s="21">
        <v>31.9</v>
      </c>
      <c r="E260" s="21" t="s">
        <v>61</v>
      </c>
      <c r="F260" s="21" t="s">
        <v>55</v>
      </c>
      <c r="G260" s="29" t="s">
        <v>54</v>
      </c>
      <c r="H260" s="41"/>
      <c r="I260" s="184"/>
      <c r="J260" s="40"/>
      <c r="K260" s="4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</row>
    <row r="261" spans="1:29" ht="14.25" hidden="1" customHeight="1">
      <c r="A261" s="21">
        <v>259</v>
      </c>
      <c r="B261" s="21" t="s">
        <v>295</v>
      </c>
      <c r="C261" s="21" t="s">
        <v>129</v>
      </c>
      <c r="D261" s="21">
        <v>14</v>
      </c>
      <c r="E261" s="21">
        <v>8.8000000000000007</v>
      </c>
      <c r="F261" s="21" t="s">
        <v>89</v>
      </c>
      <c r="G261" s="26" t="s">
        <v>104</v>
      </c>
      <c r="H261" s="26"/>
      <c r="I261" s="21" t="s">
        <v>59</v>
      </c>
      <c r="J261" s="40"/>
      <c r="K261" s="4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</row>
    <row r="262" spans="1:29" ht="14.25" hidden="1" customHeight="1">
      <c r="A262" s="21">
        <v>260</v>
      </c>
      <c r="B262" s="21" t="s">
        <v>296</v>
      </c>
      <c r="C262" s="21" t="s">
        <v>129</v>
      </c>
      <c r="D262" s="21">
        <v>16.3</v>
      </c>
      <c r="E262" s="21">
        <v>8.9</v>
      </c>
      <c r="F262" s="21" t="s">
        <v>77</v>
      </c>
      <c r="G262" s="54" t="s">
        <v>54</v>
      </c>
      <c r="H262" s="62"/>
      <c r="I262" s="21" t="s">
        <v>59</v>
      </c>
      <c r="J262" s="40"/>
      <c r="K262" s="4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</row>
    <row r="263" spans="1:29" ht="14.25" hidden="1" customHeight="1">
      <c r="A263" s="21">
        <v>261</v>
      </c>
      <c r="B263" s="21" t="s">
        <v>297</v>
      </c>
      <c r="C263" s="21" t="s">
        <v>129</v>
      </c>
      <c r="D263" s="21">
        <v>16.2</v>
      </c>
      <c r="E263" s="21">
        <v>12.5</v>
      </c>
      <c r="F263" s="21" t="s">
        <v>150</v>
      </c>
      <c r="G263" s="26" t="s">
        <v>104</v>
      </c>
      <c r="H263" s="26"/>
      <c r="I263" s="183" t="s">
        <v>59</v>
      </c>
      <c r="J263" s="40"/>
      <c r="K263" s="4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</row>
    <row r="264" spans="1:29" ht="14.25" hidden="1" customHeight="1">
      <c r="A264" s="21">
        <v>262</v>
      </c>
      <c r="B264" s="21" t="s">
        <v>297</v>
      </c>
      <c r="C264" s="21" t="s">
        <v>163</v>
      </c>
      <c r="D264" s="21">
        <v>23.7</v>
      </c>
      <c r="E264" s="21" t="s">
        <v>61</v>
      </c>
      <c r="F264" s="21" t="s">
        <v>150</v>
      </c>
      <c r="G264" s="62" t="s">
        <v>104</v>
      </c>
      <c r="H264" s="62"/>
      <c r="I264" s="184"/>
      <c r="J264" s="40"/>
      <c r="K264" s="4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</row>
    <row r="265" spans="1:29" ht="14.25" customHeight="1">
      <c r="A265" s="90">
        <v>263</v>
      </c>
      <c r="B265" s="90" t="s">
        <v>298</v>
      </c>
      <c r="C265" s="90" t="s">
        <v>129</v>
      </c>
      <c r="D265" s="90">
        <v>16.600000000000001</v>
      </c>
      <c r="E265" s="90">
        <v>12.4</v>
      </c>
      <c r="F265" s="21" t="s">
        <v>12</v>
      </c>
      <c r="G265" s="90"/>
      <c r="H265" s="90"/>
      <c r="I265" s="187" t="s">
        <v>59</v>
      </c>
      <c r="J265" s="91"/>
      <c r="K265" s="92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ht="14.25" customHeight="1">
      <c r="A266" s="90">
        <v>264</v>
      </c>
      <c r="B266" s="90" t="s">
        <v>298</v>
      </c>
      <c r="C266" s="90" t="s">
        <v>163</v>
      </c>
      <c r="D266" s="90">
        <v>23.2</v>
      </c>
      <c r="E266" s="90" t="s">
        <v>61</v>
      </c>
      <c r="F266" s="21" t="s">
        <v>12</v>
      </c>
      <c r="G266" s="95"/>
      <c r="H266" s="95"/>
      <c r="I266" s="184"/>
      <c r="J266" s="91"/>
      <c r="K266" s="92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ht="14.25" hidden="1" customHeight="1">
      <c r="A267" s="21">
        <v>265</v>
      </c>
      <c r="B267" s="21" t="s">
        <v>299</v>
      </c>
      <c r="C267" s="21" t="s">
        <v>129</v>
      </c>
      <c r="D267" s="21">
        <v>14.9</v>
      </c>
      <c r="E267" s="21">
        <v>8.1999999999999993</v>
      </c>
      <c r="F267" s="21" t="s">
        <v>77</v>
      </c>
      <c r="G267" s="54" t="s">
        <v>54</v>
      </c>
      <c r="H267" s="62"/>
      <c r="I267" s="183" t="s">
        <v>59</v>
      </c>
      <c r="J267" s="40"/>
      <c r="K267" s="4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</row>
    <row r="268" spans="1:29" ht="14.25" hidden="1" customHeight="1">
      <c r="A268" s="21">
        <v>266</v>
      </c>
      <c r="B268" s="21" t="s">
        <v>299</v>
      </c>
      <c r="C268" s="21" t="s">
        <v>163</v>
      </c>
      <c r="D268" s="21">
        <v>7.1</v>
      </c>
      <c r="E268" s="21" t="s">
        <v>61</v>
      </c>
      <c r="F268" s="21" t="s">
        <v>77</v>
      </c>
      <c r="G268" s="54" t="s">
        <v>54</v>
      </c>
      <c r="H268" s="62"/>
      <c r="I268" s="184"/>
      <c r="J268" s="40"/>
      <c r="K268" s="4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</row>
    <row r="269" spans="1:29" ht="14.25" hidden="1" customHeight="1">
      <c r="A269" s="21">
        <v>267</v>
      </c>
      <c r="B269" s="21" t="s">
        <v>299</v>
      </c>
      <c r="C269" s="21" t="s">
        <v>33</v>
      </c>
      <c r="D269" s="21">
        <v>15</v>
      </c>
      <c r="E269" s="21">
        <v>8.3000000000000007</v>
      </c>
      <c r="F269" s="21" t="s">
        <v>47</v>
      </c>
      <c r="G269" s="26" t="s">
        <v>178</v>
      </c>
      <c r="H269" s="26"/>
      <c r="I269" s="183" t="s">
        <v>59</v>
      </c>
      <c r="J269" s="40"/>
      <c r="K269" s="4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</row>
    <row r="270" spans="1:29" ht="14.25" hidden="1" customHeight="1">
      <c r="A270" s="21">
        <v>268</v>
      </c>
      <c r="B270" s="21" t="s">
        <v>299</v>
      </c>
      <c r="C270" s="21" t="s">
        <v>84</v>
      </c>
      <c r="D270" s="21">
        <v>7.1</v>
      </c>
      <c r="E270" s="21" t="s">
        <v>61</v>
      </c>
      <c r="F270" s="21" t="s">
        <v>47</v>
      </c>
      <c r="G270" s="62" t="s">
        <v>178</v>
      </c>
      <c r="H270" s="62"/>
      <c r="I270" s="184"/>
      <c r="J270" s="40"/>
      <c r="K270" s="4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</row>
    <row r="271" spans="1:29" ht="14.25" hidden="1" customHeight="1">
      <c r="A271" s="21">
        <v>269</v>
      </c>
      <c r="B271" s="21" t="s">
        <v>300</v>
      </c>
      <c r="C271" s="21" t="s">
        <v>129</v>
      </c>
      <c r="D271" s="21">
        <v>14.6</v>
      </c>
      <c r="E271" s="21">
        <v>8.1999999999999993</v>
      </c>
      <c r="F271" s="21" t="s">
        <v>112</v>
      </c>
      <c r="G271" s="26" t="s">
        <v>178</v>
      </c>
      <c r="H271" s="26"/>
      <c r="I271" s="183" t="s">
        <v>59</v>
      </c>
      <c r="J271" s="40"/>
      <c r="K271" s="4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</row>
    <row r="272" spans="1:29" ht="14.25" hidden="1" customHeight="1">
      <c r="A272" s="21">
        <v>270</v>
      </c>
      <c r="B272" s="21" t="s">
        <v>300</v>
      </c>
      <c r="C272" s="21" t="s">
        <v>163</v>
      </c>
      <c r="D272" s="21">
        <v>7.5</v>
      </c>
      <c r="E272" s="21" t="s">
        <v>61</v>
      </c>
      <c r="F272" s="21" t="s">
        <v>112</v>
      </c>
      <c r="G272" s="62" t="s">
        <v>178</v>
      </c>
      <c r="H272" s="62"/>
      <c r="I272" s="184"/>
      <c r="J272" s="40"/>
      <c r="K272" s="4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</row>
    <row r="273" spans="1:29" ht="14.25" hidden="1" customHeight="1">
      <c r="A273" s="21">
        <v>271</v>
      </c>
      <c r="B273" s="21" t="s">
        <v>300</v>
      </c>
      <c r="C273" s="21" t="s">
        <v>33</v>
      </c>
      <c r="D273" s="21">
        <v>14.3</v>
      </c>
      <c r="E273" s="21">
        <v>8.3000000000000007</v>
      </c>
      <c r="F273" s="21" t="s">
        <v>112</v>
      </c>
      <c r="G273" s="26" t="s">
        <v>178</v>
      </c>
      <c r="H273" s="26"/>
      <c r="I273" s="183" t="s">
        <v>59</v>
      </c>
      <c r="J273" s="40"/>
      <c r="K273" s="4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</row>
    <row r="274" spans="1:29" ht="14.25" hidden="1" customHeight="1">
      <c r="A274" s="21">
        <v>272</v>
      </c>
      <c r="B274" s="21" t="s">
        <v>300</v>
      </c>
      <c r="C274" s="21" t="s">
        <v>84</v>
      </c>
      <c r="D274" s="21">
        <v>7.2</v>
      </c>
      <c r="E274" s="21" t="s">
        <v>61</v>
      </c>
      <c r="F274" s="21" t="s">
        <v>112</v>
      </c>
      <c r="G274" s="62" t="s">
        <v>178</v>
      </c>
      <c r="H274" s="62"/>
      <c r="I274" s="184"/>
      <c r="J274" s="40"/>
      <c r="K274" s="4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</row>
    <row r="275" spans="1:29" ht="14.25" hidden="1" customHeight="1">
      <c r="A275" s="21">
        <v>273</v>
      </c>
      <c r="B275" s="21" t="s">
        <v>301</v>
      </c>
      <c r="C275" s="21" t="s">
        <v>129</v>
      </c>
      <c r="D275" s="21">
        <v>13.7</v>
      </c>
      <c r="E275" s="21">
        <v>10.3</v>
      </c>
      <c r="F275" s="21" t="s">
        <v>47</v>
      </c>
      <c r="G275" s="26" t="s">
        <v>178</v>
      </c>
      <c r="H275" s="26"/>
      <c r="I275" s="183" t="s">
        <v>59</v>
      </c>
      <c r="J275" s="40"/>
      <c r="K275" s="4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</row>
    <row r="276" spans="1:29" ht="14.25" hidden="1" customHeight="1">
      <c r="A276" s="21">
        <v>274</v>
      </c>
      <c r="B276" s="21" t="s">
        <v>301</v>
      </c>
      <c r="C276" s="21" t="s">
        <v>163</v>
      </c>
      <c r="D276" s="21">
        <v>11.5</v>
      </c>
      <c r="E276" s="21" t="s">
        <v>61</v>
      </c>
      <c r="F276" s="21" t="s">
        <v>47</v>
      </c>
      <c r="G276" s="62" t="s">
        <v>104</v>
      </c>
      <c r="H276" s="62"/>
      <c r="I276" s="184"/>
      <c r="J276" s="40"/>
      <c r="K276" s="4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</row>
    <row r="277" spans="1:29" ht="14.25" hidden="1" customHeight="1">
      <c r="A277" s="21">
        <v>275</v>
      </c>
      <c r="B277" s="21" t="s">
        <v>301</v>
      </c>
      <c r="C277" s="21" t="s">
        <v>33</v>
      </c>
      <c r="D277" s="21">
        <v>24.2</v>
      </c>
      <c r="E277" s="21" t="s">
        <v>61</v>
      </c>
      <c r="F277" s="21" t="s">
        <v>47</v>
      </c>
      <c r="G277" s="26" t="s">
        <v>104</v>
      </c>
      <c r="H277" s="26"/>
      <c r="I277" s="183" t="s">
        <v>59</v>
      </c>
      <c r="J277" s="40"/>
      <c r="K277" s="4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</row>
    <row r="278" spans="1:29" ht="14.25" hidden="1" customHeight="1">
      <c r="A278" s="21">
        <v>276</v>
      </c>
      <c r="B278" s="21" t="s">
        <v>301</v>
      </c>
      <c r="C278" s="21" t="s">
        <v>84</v>
      </c>
      <c r="D278" s="21">
        <v>11.5</v>
      </c>
      <c r="E278" s="21" t="s">
        <v>61</v>
      </c>
      <c r="F278" s="21" t="s">
        <v>47</v>
      </c>
      <c r="G278" s="62" t="s">
        <v>178</v>
      </c>
      <c r="H278" s="62"/>
      <c r="I278" s="184"/>
      <c r="J278" s="40"/>
      <c r="K278" s="4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</row>
    <row r="279" spans="1:29" ht="14.25" hidden="1" customHeight="1">
      <c r="A279" s="21">
        <v>277</v>
      </c>
      <c r="B279" s="21" t="s">
        <v>302</v>
      </c>
      <c r="C279" s="21" t="s">
        <v>129</v>
      </c>
      <c r="D279" s="21">
        <v>15.3</v>
      </c>
      <c r="E279" s="21">
        <v>13.2</v>
      </c>
      <c r="F279" s="21" t="s">
        <v>118</v>
      </c>
      <c r="G279" s="27" t="s">
        <v>54</v>
      </c>
      <c r="H279" s="21"/>
      <c r="I279" s="183" t="s">
        <v>59</v>
      </c>
      <c r="J279" s="40"/>
      <c r="K279" s="4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</row>
    <row r="280" spans="1:29" ht="14.25" hidden="1" customHeight="1">
      <c r="A280" s="21">
        <v>278</v>
      </c>
      <c r="B280" s="21" t="s">
        <v>302</v>
      </c>
      <c r="C280" s="21" t="s">
        <v>163</v>
      </c>
      <c r="D280" s="21">
        <v>9.3000000000000007</v>
      </c>
      <c r="E280" s="21" t="s">
        <v>61</v>
      </c>
      <c r="F280" s="21" t="s">
        <v>118</v>
      </c>
      <c r="G280" s="54" t="s">
        <v>54</v>
      </c>
      <c r="H280" s="56"/>
      <c r="I280" s="188"/>
      <c r="J280" s="40"/>
      <c r="K280" s="4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</row>
    <row r="281" spans="1:29" ht="14.25" hidden="1" customHeight="1">
      <c r="A281" s="21">
        <v>279</v>
      </c>
      <c r="B281" s="21" t="s">
        <v>302</v>
      </c>
      <c r="C281" s="21" t="s">
        <v>244</v>
      </c>
      <c r="D281" s="21">
        <v>20.8</v>
      </c>
      <c r="E281" s="21" t="s">
        <v>61</v>
      </c>
      <c r="F281" s="21" t="s">
        <v>118</v>
      </c>
      <c r="G281" s="54" t="s">
        <v>54</v>
      </c>
      <c r="H281" s="56"/>
      <c r="I281" s="184"/>
      <c r="J281" s="40"/>
      <c r="K281" s="4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</row>
    <row r="282" spans="1:29" ht="14.25" hidden="1" customHeight="1">
      <c r="A282" s="21">
        <v>280</v>
      </c>
      <c r="B282" s="21" t="s">
        <v>303</v>
      </c>
      <c r="C282" s="21" t="s">
        <v>129</v>
      </c>
      <c r="D282" s="21">
        <v>16.399999999999999</v>
      </c>
      <c r="E282" s="21">
        <v>10.1</v>
      </c>
      <c r="F282" s="26" t="s">
        <v>199</v>
      </c>
      <c r="G282" s="111" t="s">
        <v>104</v>
      </c>
      <c r="H282" s="111"/>
      <c r="I282" s="21" t="s">
        <v>59</v>
      </c>
      <c r="J282" s="32" t="s">
        <v>304</v>
      </c>
      <c r="K282" s="4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</row>
    <row r="283" spans="1:29" ht="14.25" hidden="1" customHeight="1">
      <c r="A283" s="21">
        <v>281</v>
      </c>
      <c r="B283" s="21" t="s">
        <v>305</v>
      </c>
      <c r="C283" s="21" t="s">
        <v>129</v>
      </c>
      <c r="D283" s="21">
        <v>16.7</v>
      </c>
      <c r="E283" s="21">
        <v>8.8000000000000007</v>
      </c>
      <c r="F283" s="21" t="s">
        <v>118</v>
      </c>
      <c r="G283" s="27" t="s">
        <v>54</v>
      </c>
      <c r="H283" s="21"/>
      <c r="I283" s="183" t="s">
        <v>59</v>
      </c>
      <c r="J283" s="40"/>
      <c r="K283" s="4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</row>
    <row r="284" spans="1:29" ht="14.25" hidden="1" customHeight="1">
      <c r="A284" s="21">
        <v>282</v>
      </c>
      <c r="B284" s="21" t="s">
        <v>305</v>
      </c>
      <c r="C284" s="21" t="s">
        <v>163</v>
      </c>
      <c r="D284" s="21">
        <v>7.8</v>
      </c>
      <c r="E284" s="21" t="s">
        <v>61</v>
      </c>
      <c r="F284" s="21" t="s">
        <v>118</v>
      </c>
      <c r="G284" s="54" t="s">
        <v>54</v>
      </c>
      <c r="H284" s="56"/>
      <c r="I284" s="184"/>
      <c r="J284" s="40"/>
      <c r="K284" s="4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</row>
    <row r="285" spans="1:29" ht="14.25" hidden="1" customHeight="1">
      <c r="A285" s="21">
        <v>283</v>
      </c>
      <c r="B285" s="21" t="s">
        <v>306</v>
      </c>
      <c r="C285" s="21" t="s">
        <v>129</v>
      </c>
      <c r="D285" s="21">
        <v>13.9</v>
      </c>
      <c r="E285" s="21">
        <v>8.1</v>
      </c>
      <c r="F285" s="21" t="s">
        <v>77</v>
      </c>
      <c r="G285" s="54" t="s">
        <v>54</v>
      </c>
      <c r="H285" s="62"/>
      <c r="I285" s="183" t="s">
        <v>59</v>
      </c>
      <c r="J285" s="40"/>
      <c r="K285" s="4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</row>
    <row r="286" spans="1:29" ht="14.25" hidden="1" customHeight="1">
      <c r="A286" s="21">
        <v>284</v>
      </c>
      <c r="B286" s="21" t="s">
        <v>306</v>
      </c>
      <c r="C286" s="21" t="s">
        <v>163</v>
      </c>
      <c r="D286" s="21">
        <v>9</v>
      </c>
      <c r="E286" s="21" t="s">
        <v>61</v>
      </c>
      <c r="F286" s="21" t="s">
        <v>77</v>
      </c>
      <c r="G286" s="54" t="s">
        <v>54</v>
      </c>
      <c r="H286" s="62"/>
      <c r="I286" s="184"/>
      <c r="J286" s="40"/>
      <c r="K286" s="4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</row>
    <row r="287" spans="1:29" ht="14.25" hidden="1" customHeight="1">
      <c r="A287" s="21">
        <v>285</v>
      </c>
      <c r="B287" s="21" t="s">
        <v>306</v>
      </c>
      <c r="C287" s="21" t="s">
        <v>33</v>
      </c>
      <c r="D287" s="21">
        <v>14.3</v>
      </c>
      <c r="E287" s="21">
        <v>8.6</v>
      </c>
      <c r="F287" s="21" t="s">
        <v>79</v>
      </c>
      <c r="G287" s="26" t="s">
        <v>104</v>
      </c>
      <c r="H287" s="26"/>
      <c r="I287" s="183" t="s">
        <v>59</v>
      </c>
      <c r="J287" s="40"/>
      <c r="K287" s="4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</row>
    <row r="288" spans="1:29" ht="14.25" hidden="1" customHeight="1">
      <c r="A288" s="21">
        <v>286</v>
      </c>
      <c r="B288" s="21" t="s">
        <v>306</v>
      </c>
      <c r="C288" s="21" t="s">
        <v>84</v>
      </c>
      <c r="D288" s="21">
        <v>9.6999999999999993</v>
      </c>
      <c r="E288" s="21" t="s">
        <v>61</v>
      </c>
      <c r="F288" s="21" t="s">
        <v>79</v>
      </c>
      <c r="G288" s="62" t="s">
        <v>104</v>
      </c>
      <c r="H288" s="62"/>
      <c r="I288" s="184"/>
      <c r="J288" s="40"/>
      <c r="K288" s="4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</row>
    <row r="289" spans="1:29" ht="14.25" hidden="1" customHeight="1">
      <c r="A289" s="21">
        <v>287</v>
      </c>
      <c r="B289" s="21" t="s">
        <v>307</v>
      </c>
      <c r="C289" s="21" t="s">
        <v>129</v>
      </c>
      <c r="D289" s="21">
        <v>21.1</v>
      </c>
      <c r="E289" s="21">
        <v>13.1</v>
      </c>
      <c r="F289" s="21" t="s">
        <v>118</v>
      </c>
      <c r="G289" s="27" t="s">
        <v>54</v>
      </c>
      <c r="H289" s="21"/>
      <c r="I289" s="183" t="s">
        <v>59</v>
      </c>
      <c r="J289" s="40"/>
      <c r="K289" s="44" t="s">
        <v>308</v>
      </c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</row>
    <row r="290" spans="1:29" ht="14.25" hidden="1" customHeight="1">
      <c r="A290" s="21">
        <v>288</v>
      </c>
      <c r="B290" s="21" t="s">
        <v>307</v>
      </c>
      <c r="C290" s="21" t="s">
        <v>163</v>
      </c>
      <c r="D290" s="21">
        <v>26.6</v>
      </c>
      <c r="E290" s="21" t="s">
        <v>61</v>
      </c>
      <c r="F290" s="21" t="s">
        <v>118</v>
      </c>
      <c r="G290" s="54" t="s">
        <v>54</v>
      </c>
      <c r="H290" s="56"/>
      <c r="I290" s="188"/>
      <c r="J290" s="40"/>
      <c r="K290" s="44" t="s">
        <v>308</v>
      </c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</row>
    <row r="291" spans="1:29" ht="14.25" hidden="1" customHeight="1">
      <c r="A291" s="21">
        <v>289</v>
      </c>
      <c r="B291" s="21" t="s">
        <v>307</v>
      </c>
      <c r="C291" s="21" t="s">
        <v>244</v>
      </c>
      <c r="D291" s="21">
        <v>9.6</v>
      </c>
      <c r="E291" s="21" t="s">
        <v>61</v>
      </c>
      <c r="F291" s="21" t="s">
        <v>118</v>
      </c>
      <c r="G291" s="54" t="s">
        <v>54</v>
      </c>
      <c r="H291" s="56"/>
      <c r="I291" s="184"/>
      <c r="J291" s="40"/>
      <c r="K291" s="44" t="s">
        <v>308</v>
      </c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</row>
    <row r="292" spans="1:29" ht="14.25" hidden="1" customHeight="1">
      <c r="A292" s="21">
        <v>290</v>
      </c>
      <c r="B292" s="21" t="s">
        <v>309</v>
      </c>
      <c r="C292" s="21" t="s">
        <v>129</v>
      </c>
      <c r="D292" s="21">
        <v>20.8</v>
      </c>
      <c r="E292" s="21">
        <v>10.199999999999999</v>
      </c>
      <c r="F292" s="21" t="s">
        <v>88</v>
      </c>
      <c r="G292" s="21"/>
      <c r="H292" s="21"/>
      <c r="I292" s="183" t="s">
        <v>59</v>
      </c>
      <c r="J292" s="40"/>
      <c r="K292" s="4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</row>
    <row r="293" spans="1:29" ht="14.25" hidden="1" customHeight="1">
      <c r="A293" s="21">
        <v>291</v>
      </c>
      <c r="B293" s="21" t="s">
        <v>309</v>
      </c>
      <c r="C293" s="21" t="s">
        <v>163</v>
      </c>
      <c r="D293" s="21">
        <v>8.6</v>
      </c>
      <c r="E293" s="21" t="s">
        <v>61</v>
      </c>
      <c r="F293" s="21" t="s">
        <v>88</v>
      </c>
      <c r="G293" s="56"/>
      <c r="H293" s="56"/>
      <c r="I293" s="184"/>
      <c r="J293" s="40"/>
      <c r="K293" s="4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</row>
    <row r="294" spans="1:29" ht="14.25" customHeight="1">
      <c r="A294" s="90">
        <v>292</v>
      </c>
      <c r="B294" s="90" t="s">
        <v>310</v>
      </c>
      <c r="C294" s="90" t="s">
        <v>129</v>
      </c>
      <c r="D294" s="90">
        <v>16.100000000000001</v>
      </c>
      <c r="E294" s="90">
        <v>7.7</v>
      </c>
      <c r="F294" s="21" t="s">
        <v>12</v>
      </c>
      <c r="G294" s="90"/>
      <c r="H294" s="90"/>
      <c r="I294" s="187" t="s">
        <v>59</v>
      </c>
      <c r="J294" s="91"/>
      <c r="K294" s="92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ht="14.25" customHeight="1">
      <c r="A295" s="90">
        <v>293</v>
      </c>
      <c r="B295" s="90" t="s">
        <v>310</v>
      </c>
      <c r="C295" s="90" t="s">
        <v>163</v>
      </c>
      <c r="D295" s="90">
        <v>8.1999999999999993</v>
      </c>
      <c r="E295" s="90" t="s">
        <v>61</v>
      </c>
      <c r="F295" s="21" t="s">
        <v>12</v>
      </c>
      <c r="G295" s="95"/>
      <c r="H295" s="95"/>
      <c r="I295" s="184"/>
      <c r="J295" s="91"/>
      <c r="K295" s="92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ht="14.25" hidden="1" customHeight="1">
      <c r="A296" s="21">
        <v>294</v>
      </c>
      <c r="B296" s="21" t="s">
        <v>310</v>
      </c>
      <c r="C296" s="21" t="s">
        <v>33</v>
      </c>
      <c r="D296" s="21">
        <v>15.6</v>
      </c>
      <c r="E296" s="21">
        <v>8.1</v>
      </c>
      <c r="F296" s="21" t="s">
        <v>77</v>
      </c>
      <c r="G296" s="27" t="s">
        <v>54</v>
      </c>
      <c r="H296" s="26"/>
      <c r="I296" s="183" t="s">
        <v>59</v>
      </c>
      <c r="J296" s="40"/>
      <c r="K296" s="4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</row>
    <row r="297" spans="1:29" ht="14.25" hidden="1" customHeight="1">
      <c r="A297" s="21">
        <v>295</v>
      </c>
      <c r="B297" s="21" t="s">
        <v>310</v>
      </c>
      <c r="C297" s="21" t="s">
        <v>84</v>
      </c>
      <c r="D297" s="21">
        <v>9.1</v>
      </c>
      <c r="E297" s="21" t="s">
        <v>61</v>
      </c>
      <c r="F297" s="21" t="s">
        <v>77</v>
      </c>
      <c r="G297" s="27" t="s">
        <v>54</v>
      </c>
      <c r="H297" s="26"/>
      <c r="I297" s="184"/>
      <c r="J297" s="40"/>
      <c r="K297" s="4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</row>
    <row r="298" spans="1:29" ht="14.25" hidden="1" customHeight="1">
      <c r="A298" s="21">
        <v>296</v>
      </c>
      <c r="B298" s="21" t="s">
        <v>311</v>
      </c>
      <c r="C298" s="21" t="s">
        <v>129</v>
      </c>
      <c r="D298" s="21">
        <v>14.1</v>
      </c>
      <c r="E298" s="21">
        <v>7.8</v>
      </c>
      <c r="F298" s="21" t="s">
        <v>88</v>
      </c>
      <c r="G298" s="26" t="s">
        <v>104</v>
      </c>
      <c r="H298" s="26"/>
      <c r="I298" s="183" t="s">
        <v>59</v>
      </c>
      <c r="J298" s="40"/>
      <c r="K298" s="4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</row>
    <row r="299" spans="1:29" ht="14.25" hidden="1" customHeight="1">
      <c r="A299" s="21">
        <v>297</v>
      </c>
      <c r="B299" s="21" t="s">
        <v>311</v>
      </c>
      <c r="C299" s="21" t="s">
        <v>163</v>
      </c>
      <c r="D299" s="21">
        <v>7.6</v>
      </c>
      <c r="E299" s="21" t="s">
        <v>61</v>
      </c>
      <c r="F299" s="21" t="s">
        <v>88</v>
      </c>
      <c r="G299" s="62" t="s">
        <v>104</v>
      </c>
      <c r="H299" s="62"/>
      <c r="I299" s="184"/>
      <c r="J299" s="40"/>
      <c r="K299" s="4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</row>
    <row r="300" spans="1:29" ht="14.25" hidden="1" customHeight="1">
      <c r="A300" s="21">
        <v>298</v>
      </c>
      <c r="B300" s="21" t="s">
        <v>311</v>
      </c>
      <c r="C300" s="21" t="s">
        <v>33</v>
      </c>
      <c r="D300" s="21">
        <v>14</v>
      </c>
      <c r="E300" s="21">
        <v>7.9</v>
      </c>
      <c r="F300" s="21" t="s">
        <v>89</v>
      </c>
      <c r="G300" s="26" t="s">
        <v>104</v>
      </c>
      <c r="H300" s="26"/>
      <c r="I300" s="183" t="s">
        <v>59</v>
      </c>
      <c r="J300" s="40"/>
      <c r="K300" s="4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</row>
    <row r="301" spans="1:29" ht="14.25" hidden="1" customHeight="1">
      <c r="A301" s="21">
        <v>299</v>
      </c>
      <c r="B301" s="21" t="s">
        <v>311</v>
      </c>
      <c r="C301" s="21" t="s">
        <v>84</v>
      </c>
      <c r="D301" s="21">
        <v>7.5</v>
      </c>
      <c r="E301" s="21" t="s">
        <v>61</v>
      </c>
      <c r="F301" s="21" t="s">
        <v>89</v>
      </c>
      <c r="G301" s="26" t="s">
        <v>104</v>
      </c>
      <c r="H301" s="26"/>
      <c r="I301" s="184"/>
      <c r="J301" s="40"/>
      <c r="K301" s="4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</row>
    <row r="302" spans="1:29" ht="14.25" hidden="1" customHeight="1">
      <c r="A302" s="21">
        <v>300</v>
      </c>
      <c r="B302" s="21" t="s">
        <v>312</v>
      </c>
      <c r="C302" s="21" t="s">
        <v>129</v>
      </c>
      <c r="D302" s="21">
        <v>20.8</v>
      </c>
      <c r="E302" s="21">
        <v>9.5</v>
      </c>
      <c r="F302" s="21" t="s">
        <v>124</v>
      </c>
      <c r="G302" s="26" t="s">
        <v>104</v>
      </c>
      <c r="H302" s="26"/>
      <c r="I302" s="183" t="s">
        <v>59</v>
      </c>
      <c r="J302" s="40"/>
      <c r="K302" s="4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</row>
    <row r="303" spans="1:29" ht="14.25" hidden="1" customHeight="1">
      <c r="A303" s="21">
        <v>301</v>
      </c>
      <c r="B303" s="21" t="s">
        <v>312</v>
      </c>
      <c r="C303" s="21" t="s">
        <v>163</v>
      </c>
      <c r="D303" s="21">
        <v>7.5</v>
      </c>
      <c r="E303" s="21" t="s">
        <v>61</v>
      </c>
      <c r="F303" s="21" t="s">
        <v>124</v>
      </c>
      <c r="G303" s="62" t="s">
        <v>104</v>
      </c>
      <c r="H303" s="62"/>
      <c r="I303" s="184"/>
      <c r="J303" s="40"/>
      <c r="K303" s="4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</row>
    <row r="304" spans="1:29" ht="14.25" hidden="1" customHeight="1">
      <c r="A304" s="21">
        <v>302</v>
      </c>
      <c r="B304" s="21" t="s">
        <v>313</v>
      </c>
      <c r="C304" s="21" t="s">
        <v>129</v>
      </c>
      <c r="D304" s="21">
        <v>21.8</v>
      </c>
      <c r="E304" s="21">
        <v>10.3</v>
      </c>
      <c r="F304" s="26" t="s">
        <v>77</v>
      </c>
      <c r="G304" s="27" t="s">
        <v>54</v>
      </c>
      <c r="H304" s="26"/>
      <c r="I304" s="183" t="s">
        <v>59</v>
      </c>
      <c r="J304" s="32" t="s">
        <v>314</v>
      </c>
      <c r="K304" s="4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</row>
    <row r="305" spans="1:29" ht="14.25" hidden="1" customHeight="1">
      <c r="A305" s="21">
        <v>303</v>
      </c>
      <c r="B305" s="21" t="s">
        <v>313</v>
      </c>
      <c r="C305" s="21" t="s">
        <v>163</v>
      </c>
      <c r="D305" s="21">
        <v>8.1</v>
      </c>
      <c r="E305" s="21" t="s">
        <v>61</v>
      </c>
      <c r="F305" s="26" t="s">
        <v>77</v>
      </c>
      <c r="G305" s="27" t="s">
        <v>54</v>
      </c>
      <c r="H305" s="26"/>
      <c r="I305" s="184"/>
      <c r="J305" s="32" t="s">
        <v>314</v>
      </c>
      <c r="K305" s="4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</row>
    <row r="306" spans="1:29" ht="14.25" hidden="1" customHeight="1">
      <c r="A306" s="21">
        <v>304</v>
      </c>
      <c r="B306" s="21" t="s">
        <v>315</v>
      </c>
      <c r="C306" s="21" t="s">
        <v>129</v>
      </c>
      <c r="D306" s="21">
        <v>17.100000000000001</v>
      </c>
      <c r="E306" s="21">
        <v>14</v>
      </c>
      <c r="F306" s="21" t="s">
        <v>47</v>
      </c>
      <c r="G306" s="26" t="s">
        <v>178</v>
      </c>
      <c r="H306" s="26"/>
      <c r="I306" s="183" t="s">
        <v>59</v>
      </c>
      <c r="J306" s="40"/>
      <c r="K306" s="4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</row>
    <row r="307" spans="1:29" ht="14.25" hidden="1" customHeight="1">
      <c r="A307" s="21">
        <v>305</v>
      </c>
      <c r="B307" s="21" t="s">
        <v>315</v>
      </c>
      <c r="C307" s="21" t="s">
        <v>163</v>
      </c>
      <c r="D307" s="21">
        <v>15.6</v>
      </c>
      <c r="E307" s="21" t="s">
        <v>61</v>
      </c>
      <c r="F307" s="21" t="s">
        <v>47</v>
      </c>
      <c r="G307" s="62" t="s">
        <v>178</v>
      </c>
      <c r="H307" s="62"/>
      <c r="I307" s="184"/>
      <c r="J307" s="40"/>
      <c r="K307" s="4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</row>
    <row r="308" spans="1:29" ht="14.25" hidden="1" customHeight="1">
      <c r="A308" s="21">
        <v>306</v>
      </c>
      <c r="B308" s="21" t="s">
        <v>316</v>
      </c>
      <c r="C308" s="21" t="s">
        <v>129</v>
      </c>
      <c r="D308" s="21">
        <v>14.6</v>
      </c>
      <c r="E308" s="21">
        <v>16.8</v>
      </c>
      <c r="F308" s="21" t="s">
        <v>77</v>
      </c>
      <c r="G308" s="27" t="s">
        <v>54</v>
      </c>
      <c r="H308" s="26"/>
      <c r="I308" s="183" t="s">
        <v>59</v>
      </c>
      <c r="J308" s="40"/>
      <c r="K308" s="4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</row>
    <row r="309" spans="1:29" ht="14.25" hidden="1" customHeight="1">
      <c r="A309" s="21">
        <v>307</v>
      </c>
      <c r="B309" s="21" t="s">
        <v>316</v>
      </c>
      <c r="C309" s="21" t="s">
        <v>163</v>
      </c>
      <c r="D309" s="21">
        <v>7.2</v>
      </c>
      <c r="E309" s="21" t="s">
        <v>61</v>
      </c>
      <c r="F309" s="21" t="s">
        <v>77</v>
      </c>
      <c r="G309" s="27" t="s">
        <v>54</v>
      </c>
      <c r="H309" s="26"/>
      <c r="I309" s="188"/>
      <c r="J309" s="40"/>
      <c r="K309" s="4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</row>
    <row r="310" spans="1:29" ht="14.25" hidden="1" customHeight="1">
      <c r="A310" s="21">
        <v>308</v>
      </c>
      <c r="B310" s="21" t="s">
        <v>316</v>
      </c>
      <c r="C310" s="21" t="s">
        <v>244</v>
      </c>
      <c r="D310" s="21">
        <v>22.5</v>
      </c>
      <c r="E310" s="21" t="s">
        <v>61</v>
      </c>
      <c r="F310" s="21" t="s">
        <v>77</v>
      </c>
      <c r="G310" s="27" t="s">
        <v>54</v>
      </c>
      <c r="H310" s="26"/>
      <c r="I310" s="184"/>
      <c r="J310" s="40"/>
      <c r="K310" s="4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</row>
    <row r="311" spans="1:29" ht="14.25" hidden="1" customHeight="1">
      <c r="A311" s="21">
        <v>309</v>
      </c>
      <c r="B311" s="21" t="s">
        <v>317</v>
      </c>
      <c r="C311" s="21" t="s">
        <v>129</v>
      </c>
      <c r="D311" s="21">
        <v>15.2</v>
      </c>
      <c r="E311" s="21">
        <v>8.5</v>
      </c>
      <c r="F311" s="21" t="s">
        <v>55</v>
      </c>
      <c r="G311" s="29" t="s">
        <v>54</v>
      </c>
      <c r="H311" s="41"/>
      <c r="I311" s="183" t="s">
        <v>59</v>
      </c>
      <c r="J311" s="40"/>
      <c r="K311" s="4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</row>
    <row r="312" spans="1:29" ht="14.25" hidden="1" customHeight="1">
      <c r="A312" s="21">
        <v>310</v>
      </c>
      <c r="B312" s="21" t="s">
        <v>317</v>
      </c>
      <c r="C312" s="21" t="s">
        <v>163</v>
      </c>
      <c r="D312" s="21">
        <v>8.6999999999999993</v>
      </c>
      <c r="E312" s="21" t="s">
        <v>61</v>
      </c>
      <c r="F312" s="21" t="s">
        <v>55</v>
      </c>
      <c r="G312" s="29" t="s">
        <v>54</v>
      </c>
      <c r="H312" s="41"/>
      <c r="I312" s="184"/>
      <c r="J312" s="40"/>
      <c r="K312" s="4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</row>
    <row r="313" spans="1:29" ht="14.25" hidden="1" customHeight="1">
      <c r="A313" s="21">
        <v>311</v>
      </c>
      <c r="B313" s="21" t="s">
        <v>317</v>
      </c>
      <c r="C313" s="21" t="s">
        <v>33</v>
      </c>
      <c r="D313" s="21">
        <v>15</v>
      </c>
      <c r="E313" s="21">
        <v>8.5</v>
      </c>
      <c r="F313" s="21" t="s">
        <v>55</v>
      </c>
      <c r="G313" s="29" t="s">
        <v>54</v>
      </c>
      <c r="H313" s="41"/>
      <c r="I313" s="183" t="s">
        <v>59</v>
      </c>
      <c r="J313" s="40"/>
      <c r="K313" s="4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</row>
    <row r="314" spans="1:29" ht="14.25" hidden="1" customHeight="1">
      <c r="A314" s="21">
        <v>312</v>
      </c>
      <c r="B314" s="21" t="s">
        <v>317</v>
      </c>
      <c r="C314" s="21" t="s">
        <v>84</v>
      </c>
      <c r="D314" s="21">
        <v>7.4</v>
      </c>
      <c r="E314" s="21" t="s">
        <v>61</v>
      </c>
      <c r="F314" s="21" t="s">
        <v>55</v>
      </c>
      <c r="G314" s="29" t="s">
        <v>54</v>
      </c>
      <c r="H314" s="41"/>
      <c r="I314" s="184"/>
      <c r="J314" s="40"/>
      <c r="K314" s="4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</row>
    <row r="315" spans="1:29" ht="14.25" hidden="1" customHeight="1">
      <c r="A315" s="21">
        <v>313</v>
      </c>
      <c r="B315" s="21" t="s">
        <v>318</v>
      </c>
      <c r="C315" s="21" t="s">
        <v>129</v>
      </c>
      <c r="D315" s="21">
        <v>15.7</v>
      </c>
      <c r="E315" s="21">
        <v>8.4</v>
      </c>
      <c r="F315" s="21" t="s">
        <v>150</v>
      </c>
      <c r="G315" s="26" t="s">
        <v>104</v>
      </c>
      <c r="H315" s="26"/>
      <c r="I315" s="183" t="s">
        <v>59</v>
      </c>
      <c r="J315" s="40"/>
      <c r="K315" s="4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</row>
    <row r="316" spans="1:29" ht="14.25" hidden="1" customHeight="1">
      <c r="A316" s="21">
        <v>314</v>
      </c>
      <c r="B316" s="21" t="s">
        <v>318</v>
      </c>
      <c r="C316" s="21" t="s">
        <v>163</v>
      </c>
      <c r="D316" s="21">
        <v>7.6</v>
      </c>
      <c r="E316" s="21" t="s">
        <v>61</v>
      </c>
      <c r="F316" s="21" t="s">
        <v>150</v>
      </c>
      <c r="G316" s="62" t="s">
        <v>104</v>
      </c>
      <c r="H316" s="62"/>
      <c r="I316" s="184"/>
      <c r="J316" s="40"/>
      <c r="K316" s="4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</row>
    <row r="317" spans="1:29" ht="14.25" hidden="1" customHeight="1">
      <c r="A317" s="21">
        <v>315</v>
      </c>
      <c r="B317" s="21" t="s">
        <v>318</v>
      </c>
      <c r="C317" s="21" t="s">
        <v>33</v>
      </c>
      <c r="D317" s="21">
        <v>15.7</v>
      </c>
      <c r="E317" s="21">
        <v>8.4</v>
      </c>
      <c r="F317" s="21" t="s">
        <v>47</v>
      </c>
      <c r="G317" s="26" t="s">
        <v>178</v>
      </c>
      <c r="H317" s="26"/>
      <c r="I317" s="183" t="s">
        <v>59</v>
      </c>
      <c r="J317" s="40"/>
      <c r="K317" s="4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</row>
    <row r="318" spans="1:29" ht="14.25" hidden="1" customHeight="1">
      <c r="A318" s="21">
        <v>316</v>
      </c>
      <c r="B318" s="21" t="s">
        <v>318</v>
      </c>
      <c r="C318" s="21" t="s">
        <v>84</v>
      </c>
      <c r="D318" s="21">
        <v>7.5</v>
      </c>
      <c r="E318" s="21" t="s">
        <v>61</v>
      </c>
      <c r="F318" s="21" t="s">
        <v>47</v>
      </c>
      <c r="G318" s="62" t="s">
        <v>178</v>
      </c>
      <c r="H318" s="62"/>
      <c r="I318" s="184"/>
      <c r="J318" s="40"/>
      <c r="K318" s="4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</row>
    <row r="319" spans="1:29" ht="14.25" hidden="1" customHeight="1">
      <c r="A319" s="21">
        <v>317</v>
      </c>
      <c r="B319" s="21" t="s">
        <v>319</v>
      </c>
      <c r="C319" s="21" t="s">
        <v>129</v>
      </c>
      <c r="D319" s="21">
        <v>15.6</v>
      </c>
      <c r="E319" s="21">
        <v>9</v>
      </c>
      <c r="F319" s="21" t="s">
        <v>89</v>
      </c>
      <c r="G319" s="26" t="s">
        <v>104</v>
      </c>
      <c r="H319" s="26"/>
      <c r="I319" s="183" t="s">
        <v>59</v>
      </c>
      <c r="J319" s="40"/>
      <c r="K319" s="4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</row>
    <row r="320" spans="1:29" ht="14.25" hidden="1" customHeight="1">
      <c r="A320" s="21">
        <v>318</v>
      </c>
      <c r="B320" s="21" t="s">
        <v>319</v>
      </c>
      <c r="C320" s="21" t="s">
        <v>163</v>
      </c>
      <c r="D320" s="21">
        <v>8.6999999999999993</v>
      </c>
      <c r="E320" s="21" t="s">
        <v>61</v>
      </c>
      <c r="F320" s="21" t="s">
        <v>89</v>
      </c>
      <c r="G320" s="26" t="s">
        <v>104</v>
      </c>
      <c r="H320" s="26"/>
      <c r="I320" s="184"/>
      <c r="J320" s="40"/>
      <c r="K320" s="4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</row>
    <row r="321" spans="1:29" ht="14.25" hidden="1" customHeight="1">
      <c r="A321" s="21">
        <v>319</v>
      </c>
      <c r="B321" s="21" t="s">
        <v>319</v>
      </c>
      <c r="C321" s="21" t="s">
        <v>33</v>
      </c>
      <c r="D321" s="21">
        <v>15.8</v>
      </c>
      <c r="E321" s="21">
        <v>8.6</v>
      </c>
      <c r="F321" s="21" t="s">
        <v>79</v>
      </c>
      <c r="G321" s="26" t="s">
        <v>104</v>
      </c>
      <c r="H321" s="26"/>
      <c r="I321" s="183" t="s">
        <v>59</v>
      </c>
      <c r="J321" s="186" t="s">
        <v>180</v>
      </c>
      <c r="K321" s="112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</row>
    <row r="322" spans="1:29" ht="14.25" hidden="1" customHeight="1">
      <c r="A322" s="21">
        <v>320</v>
      </c>
      <c r="B322" s="21" t="s">
        <v>319</v>
      </c>
      <c r="C322" s="21" t="s">
        <v>84</v>
      </c>
      <c r="D322" s="21">
        <v>9</v>
      </c>
      <c r="E322" s="21" t="s">
        <v>61</v>
      </c>
      <c r="F322" s="21" t="s">
        <v>79</v>
      </c>
      <c r="G322" s="62" t="s">
        <v>178</v>
      </c>
      <c r="H322" s="62"/>
      <c r="I322" s="184"/>
      <c r="J322" s="184"/>
      <c r="K322" s="113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</row>
    <row r="323" spans="1:29" ht="14.25" hidden="1" customHeight="1">
      <c r="A323" s="21">
        <v>321</v>
      </c>
      <c r="B323" s="21" t="s">
        <v>320</v>
      </c>
      <c r="C323" s="21" t="s">
        <v>129</v>
      </c>
      <c r="D323" s="21">
        <v>15</v>
      </c>
      <c r="E323" s="21">
        <v>17.3</v>
      </c>
      <c r="F323" s="21" t="s">
        <v>77</v>
      </c>
      <c r="G323" s="27" t="s">
        <v>54</v>
      </c>
      <c r="H323" s="26"/>
      <c r="I323" s="183" t="s">
        <v>59</v>
      </c>
      <c r="J323" s="40"/>
      <c r="K323" s="4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</row>
    <row r="324" spans="1:29" ht="14.25" hidden="1" customHeight="1">
      <c r="A324" s="21">
        <v>322</v>
      </c>
      <c r="B324" s="21" t="s">
        <v>320</v>
      </c>
      <c r="C324" s="21" t="s">
        <v>163</v>
      </c>
      <c r="D324" s="21">
        <v>5.9</v>
      </c>
      <c r="E324" s="21" t="s">
        <v>61</v>
      </c>
      <c r="F324" s="21" t="s">
        <v>77</v>
      </c>
      <c r="G324" s="27" t="s">
        <v>54</v>
      </c>
      <c r="H324" s="26"/>
      <c r="I324" s="188"/>
      <c r="J324" s="40"/>
      <c r="K324" s="4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</row>
    <row r="325" spans="1:29" ht="14.25" hidden="1" customHeight="1">
      <c r="A325" s="21">
        <v>323</v>
      </c>
      <c r="B325" s="21" t="s">
        <v>320</v>
      </c>
      <c r="C325" s="21" t="s">
        <v>244</v>
      </c>
      <c r="D325" s="21">
        <v>24.4</v>
      </c>
      <c r="E325" s="21" t="s">
        <v>61</v>
      </c>
      <c r="F325" s="21" t="s">
        <v>77</v>
      </c>
      <c r="G325" s="27" t="s">
        <v>54</v>
      </c>
      <c r="H325" s="26"/>
      <c r="I325" s="184"/>
      <c r="J325" s="40"/>
      <c r="K325" s="4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</row>
    <row r="326" spans="1:29" ht="14.25" hidden="1" customHeight="1">
      <c r="A326" s="21">
        <v>324</v>
      </c>
      <c r="B326" s="21" t="s">
        <v>321</v>
      </c>
      <c r="C326" s="21" t="s">
        <v>129</v>
      </c>
      <c r="D326" s="21">
        <v>21.2</v>
      </c>
      <c r="E326" s="21">
        <v>16.100000000000001</v>
      </c>
      <c r="F326" s="21" t="s">
        <v>88</v>
      </c>
      <c r="G326" s="62" t="s">
        <v>104</v>
      </c>
      <c r="H326" s="62"/>
      <c r="I326" s="183" t="s">
        <v>59</v>
      </c>
      <c r="J326" s="40"/>
      <c r="K326" s="4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</row>
    <row r="327" spans="1:29" ht="14.25" hidden="1" customHeight="1">
      <c r="A327" s="21">
        <v>325</v>
      </c>
      <c r="B327" s="21" t="s">
        <v>321</v>
      </c>
      <c r="C327" s="21" t="s">
        <v>163</v>
      </c>
      <c r="D327" s="21">
        <v>37.9</v>
      </c>
      <c r="E327" s="21" t="s">
        <v>61</v>
      </c>
      <c r="F327" s="21" t="s">
        <v>88</v>
      </c>
      <c r="G327" s="62" t="s">
        <v>104</v>
      </c>
      <c r="H327" s="62"/>
      <c r="I327" s="184"/>
      <c r="J327" s="40"/>
      <c r="K327" s="4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</row>
    <row r="328" spans="1:29" ht="14.25" hidden="1" customHeight="1">
      <c r="A328" s="21">
        <v>326</v>
      </c>
      <c r="B328" s="21" t="s">
        <v>322</v>
      </c>
      <c r="C328" s="21" t="s">
        <v>129</v>
      </c>
      <c r="D328" s="21">
        <v>18.899999999999999</v>
      </c>
      <c r="E328" s="21" t="s">
        <v>61</v>
      </c>
      <c r="F328" s="21" t="s">
        <v>79</v>
      </c>
      <c r="G328" s="26" t="s">
        <v>104</v>
      </c>
      <c r="H328" s="26"/>
      <c r="I328" s="183" t="s">
        <v>59</v>
      </c>
      <c r="J328" s="40"/>
      <c r="K328" s="4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</row>
    <row r="329" spans="1:29" ht="14.25" hidden="1" customHeight="1">
      <c r="A329" s="21">
        <v>327</v>
      </c>
      <c r="B329" s="21" t="s">
        <v>322</v>
      </c>
      <c r="C329" s="21" t="s">
        <v>163</v>
      </c>
      <c r="D329" s="21">
        <v>11.3</v>
      </c>
      <c r="E329" s="21" t="s">
        <v>61</v>
      </c>
      <c r="F329" s="21" t="s">
        <v>79</v>
      </c>
      <c r="G329" s="62" t="s">
        <v>104</v>
      </c>
      <c r="H329" s="62"/>
      <c r="I329" s="184"/>
      <c r="J329" s="40"/>
      <c r="K329" s="4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</row>
    <row r="330" spans="1:29" ht="14.25" hidden="1" customHeight="1">
      <c r="A330" s="21">
        <v>328</v>
      </c>
      <c r="B330" s="21" t="s">
        <v>322</v>
      </c>
      <c r="C330" s="21" t="s">
        <v>244</v>
      </c>
      <c r="D330" s="21">
        <v>18.899999999999999</v>
      </c>
      <c r="E330" s="21" t="s">
        <v>61</v>
      </c>
      <c r="F330" s="21" t="s">
        <v>79</v>
      </c>
      <c r="G330" s="26" t="s">
        <v>104</v>
      </c>
      <c r="H330" s="26"/>
      <c r="I330" s="183" t="s">
        <v>59</v>
      </c>
      <c r="J330" s="40"/>
      <c r="K330" s="4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</row>
    <row r="331" spans="1:29" ht="14.25" hidden="1" customHeight="1">
      <c r="A331" s="21">
        <v>329</v>
      </c>
      <c r="B331" s="21" t="s">
        <v>322</v>
      </c>
      <c r="C331" s="21" t="s">
        <v>323</v>
      </c>
      <c r="D331" s="21">
        <v>11.3</v>
      </c>
      <c r="E331" s="21" t="s">
        <v>61</v>
      </c>
      <c r="F331" s="21" t="s">
        <v>79</v>
      </c>
      <c r="G331" s="62" t="s">
        <v>104</v>
      </c>
      <c r="H331" s="62"/>
      <c r="I331" s="184"/>
      <c r="J331" s="40"/>
      <c r="K331" s="4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</row>
    <row r="332" spans="1:29" ht="14.25" hidden="1" customHeight="1">
      <c r="A332" s="21">
        <v>330</v>
      </c>
      <c r="B332" s="21" t="s">
        <v>322</v>
      </c>
      <c r="C332" s="21" t="s">
        <v>324</v>
      </c>
      <c r="D332" s="21">
        <v>18.899999999999999</v>
      </c>
      <c r="E332" s="21" t="s">
        <v>61</v>
      </c>
      <c r="F332" s="21" t="s">
        <v>79</v>
      </c>
      <c r="G332" s="26" t="s">
        <v>104</v>
      </c>
      <c r="H332" s="26"/>
      <c r="I332" s="183" t="s">
        <v>59</v>
      </c>
      <c r="J332" s="40"/>
      <c r="K332" s="4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</row>
    <row r="333" spans="1:29" ht="14.25" hidden="1" customHeight="1">
      <c r="A333" s="21">
        <v>331</v>
      </c>
      <c r="B333" s="21" t="s">
        <v>322</v>
      </c>
      <c r="C333" s="21" t="s">
        <v>325</v>
      </c>
      <c r="D333" s="21">
        <v>11.4</v>
      </c>
      <c r="E333" s="21" t="s">
        <v>61</v>
      </c>
      <c r="F333" s="21" t="s">
        <v>79</v>
      </c>
      <c r="G333" s="62" t="s">
        <v>104</v>
      </c>
      <c r="H333" s="62"/>
      <c r="I333" s="184"/>
      <c r="J333" s="40"/>
      <c r="K333" s="4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</row>
    <row r="334" spans="1:29" ht="14.25" hidden="1" customHeight="1">
      <c r="A334" s="21">
        <v>332</v>
      </c>
      <c r="B334" s="21" t="s">
        <v>322</v>
      </c>
      <c r="C334" s="21" t="s">
        <v>326</v>
      </c>
      <c r="D334" s="21">
        <v>18.899999999999999</v>
      </c>
      <c r="E334" s="21" t="s">
        <v>61</v>
      </c>
      <c r="F334" s="21" t="s">
        <v>79</v>
      </c>
      <c r="G334" s="26" t="s">
        <v>104</v>
      </c>
      <c r="H334" s="26"/>
      <c r="I334" s="183" t="s">
        <v>59</v>
      </c>
      <c r="J334" s="40"/>
      <c r="K334" s="4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</row>
    <row r="335" spans="1:29" ht="14.25" hidden="1" customHeight="1">
      <c r="A335" s="21">
        <v>333</v>
      </c>
      <c r="B335" s="21" t="s">
        <v>322</v>
      </c>
      <c r="C335" s="21" t="s">
        <v>327</v>
      </c>
      <c r="D335" s="21">
        <v>11.3</v>
      </c>
      <c r="E335" s="21" t="s">
        <v>61</v>
      </c>
      <c r="F335" s="21" t="s">
        <v>79</v>
      </c>
      <c r="G335" s="62" t="s">
        <v>104</v>
      </c>
      <c r="H335" s="62"/>
      <c r="I335" s="184"/>
      <c r="J335" s="40"/>
      <c r="K335" s="4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</row>
    <row r="336" spans="1:29" ht="14.25" hidden="1" customHeight="1">
      <c r="A336" s="21">
        <v>334</v>
      </c>
      <c r="B336" s="21" t="s">
        <v>328</v>
      </c>
      <c r="C336" s="21" t="s">
        <v>129</v>
      </c>
      <c r="D336" s="21">
        <v>22.5</v>
      </c>
      <c r="E336" s="21">
        <v>12.6</v>
      </c>
      <c r="F336" s="21" t="s">
        <v>77</v>
      </c>
      <c r="G336" s="27" t="s">
        <v>54</v>
      </c>
      <c r="H336" s="26"/>
      <c r="I336" s="21" t="s">
        <v>59</v>
      </c>
      <c r="J336" s="40"/>
      <c r="K336" s="4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</row>
    <row r="337" spans="1:29" ht="14.25" hidden="1" customHeight="1">
      <c r="A337" s="21">
        <v>335</v>
      </c>
      <c r="B337" s="21" t="s">
        <v>328</v>
      </c>
      <c r="C337" s="21" t="s">
        <v>33</v>
      </c>
      <c r="D337" s="21">
        <v>21.6</v>
      </c>
      <c r="E337" s="21">
        <v>13</v>
      </c>
      <c r="F337" s="21" t="s">
        <v>79</v>
      </c>
      <c r="G337" s="26" t="s">
        <v>104</v>
      </c>
      <c r="H337" s="26"/>
      <c r="I337" s="21" t="s">
        <v>59</v>
      </c>
      <c r="J337" s="40"/>
      <c r="K337" s="4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</row>
    <row r="338" spans="1:29" ht="14.25" hidden="1" customHeight="1">
      <c r="A338" s="21">
        <v>336</v>
      </c>
      <c r="B338" s="21" t="s">
        <v>329</v>
      </c>
      <c r="C338" s="21" t="s">
        <v>129</v>
      </c>
      <c r="D338" s="21">
        <v>20.399999999999999</v>
      </c>
      <c r="E338" s="21">
        <v>11.9</v>
      </c>
      <c r="F338" s="21" t="s">
        <v>150</v>
      </c>
      <c r="G338" s="26" t="s">
        <v>104</v>
      </c>
      <c r="H338" s="26"/>
      <c r="I338" s="21" t="s">
        <v>59</v>
      </c>
      <c r="J338" s="40"/>
      <c r="K338" s="4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</row>
    <row r="339" spans="1:29" ht="14.25" hidden="1" customHeight="1">
      <c r="A339" s="21">
        <v>337</v>
      </c>
      <c r="B339" s="21" t="s">
        <v>329</v>
      </c>
      <c r="C339" s="21" t="s">
        <v>33</v>
      </c>
      <c r="D339" s="21">
        <v>23</v>
      </c>
      <c r="E339" s="21">
        <v>12.5</v>
      </c>
      <c r="F339" s="21" t="s">
        <v>88</v>
      </c>
      <c r="G339" s="21"/>
      <c r="H339" s="21"/>
      <c r="I339" s="21" t="s">
        <v>59</v>
      </c>
      <c r="J339" s="40"/>
      <c r="K339" s="4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</row>
    <row r="340" spans="1:29" ht="14.25" hidden="1" customHeight="1">
      <c r="A340" s="44"/>
      <c r="B340" s="44"/>
      <c r="C340" s="44"/>
      <c r="D340" s="114">
        <f t="shared" ref="D340:E340" si="0">SUM(D3:D339)</f>
        <v>5226.300000000002</v>
      </c>
      <c r="E340" s="114">
        <f t="shared" si="0"/>
        <v>2169.7999999999988</v>
      </c>
      <c r="F340" s="44"/>
      <c r="G340" s="44"/>
      <c r="H340" s="44"/>
      <c r="I340" s="44"/>
      <c r="J340" s="115"/>
      <c r="K340" s="4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</row>
    <row r="341" spans="1:29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7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7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7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7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7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7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7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7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7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7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7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7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7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7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7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7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7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7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7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7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7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7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7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7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7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7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7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7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7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7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7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7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7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7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7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7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7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7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7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7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7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7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7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7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7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7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7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7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7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7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7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7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7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7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7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7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7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7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7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7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7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7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7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7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7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7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7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7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7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7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7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7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7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7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7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7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7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7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7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7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7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7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7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7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7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7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7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7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7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7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7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7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7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7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7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7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7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7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7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7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7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7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7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7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7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7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7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7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7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7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7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7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7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7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7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7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7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7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7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7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7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7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7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7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7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7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7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7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7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7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7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7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7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7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7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7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7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7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7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7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7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7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7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7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7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7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7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7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7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7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7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7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7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7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7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7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7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7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7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7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7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7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7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7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7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7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7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7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7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7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7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7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7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7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7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7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7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7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7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7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7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7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7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7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7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7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7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7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7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7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7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7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7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7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7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7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7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7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7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7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7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7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7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7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7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7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7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7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7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7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7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7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7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7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7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7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7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7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7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7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7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7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7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7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7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7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7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7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7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7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7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7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7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7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7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7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7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7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7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7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7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7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7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7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7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7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7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7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7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7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7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7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7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7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7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7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7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7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7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7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7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7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7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7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7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7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7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7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7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7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7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7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7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7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7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7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7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7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7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7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7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7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7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7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7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7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7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7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7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7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7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7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7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7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7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7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7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7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7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7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7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7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7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7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7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7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7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7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7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7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7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7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7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7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7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7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7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7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7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7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7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7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7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7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7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7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7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7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7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7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7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7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7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7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7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7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7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7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7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7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7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7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7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7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7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7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7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7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7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7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7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7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7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7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7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7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7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7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7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7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7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7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7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7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7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7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7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7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7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7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7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7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7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7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7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7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7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7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7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7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7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7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7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7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7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7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7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7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7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7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7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7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7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7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7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7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7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7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7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7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7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7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7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7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7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7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7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7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7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7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7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7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7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7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7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7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7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7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7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7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7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7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7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7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7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7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7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7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7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7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7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7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7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7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7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7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7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7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7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7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7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7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7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7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7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7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7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7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7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7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7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7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7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7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7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7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7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7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7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7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7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7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7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7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7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7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7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7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7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7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7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7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7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7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7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7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7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7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7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7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7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7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7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7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7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7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7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7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7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7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7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7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7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7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7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7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7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7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7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7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7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7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7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7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7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7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7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7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7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7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7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7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7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7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7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7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7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7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7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7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7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7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7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7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7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7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7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7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7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7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7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7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7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7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7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7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7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7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7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7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7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7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7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7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7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7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7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7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7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7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7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7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7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7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7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7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7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7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7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7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7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7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7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7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7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7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7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7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7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7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7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7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7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7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7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7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7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7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7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7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7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7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7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7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7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7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7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7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7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7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7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7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7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7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7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7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7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7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7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7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7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7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7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7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7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7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7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7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7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7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7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7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7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7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7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7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7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7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7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7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7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7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7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7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7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7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7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7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7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7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7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7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7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7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7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7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7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7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7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7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7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7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7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7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7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7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7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7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7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7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7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7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7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7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7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spans="1:29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7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7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spans="1:29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7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spans="1:2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7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spans="1:29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7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</sheetData>
  <autoFilter ref="A2:AC340" xr:uid="{00000000-0009-0000-0000-000003000000}">
    <filterColumn colId="5">
      <filters>
        <filter val="Адмиралтейский"/>
      </filters>
    </filterColumn>
  </autoFilter>
  <mergeCells count="146">
    <mergeCell ref="I225:I226"/>
    <mergeCell ref="I227:I228"/>
    <mergeCell ref="I204:I205"/>
    <mergeCell ref="I206:I207"/>
    <mergeCell ref="I208:I209"/>
    <mergeCell ref="I210:I211"/>
    <mergeCell ref="I212:I213"/>
    <mergeCell ref="I217:I218"/>
    <mergeCell ref="I219:I220"/>
    <mergeCell ref="I221:I222"/>
    <mergeCell ref="I223:I224"/>
    <mergeCell ref="J321:J322"/>
    <mergeCell ref="I105:I106"/>
    <mergeCell ref="I107:I108"/>
    <mergeCell ref="I109:I110"/>
    <mergeCell ref="I111:I112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47:I148"/>
    <mergeCell ref="I149:I150"/>
    <mergeCell ref="I151:I153"/>
    <mergeCell ref="I154:I156"/>
    <mergeCell ref="I157:I158"/>
    <mergeCell ref="I159:I160"/>
    <mergeCell ref="I161:I162"/>
    <mergeCell ref="I304:I305"/>
    <mergeCell ref="I306:I307"/>
    <mergeCell ref="I308:I310"/>
    <mergeCell ref="I323:I325"/>
    <mergeCell ref="I326:I327"/>
    <mergeCell ref="I328:I329"/>
    <mergeCell ref="I330:I331"/>
    <mergeCell ref="I332:I333"/>
    <mergeCell ref="I334:I335"/>
    <mergeCell ref="I311:I312"/>
    <mergeCell ref="I313:I314"/>
    <mergeCell ref="I315:I316"/>
    <mergeCell ref="I317:I318"/>
    <mergeCell ref="I319:I320"/>
    <mergeCell ref="I321:I322"/>
    <mergeCell ref="I285:I286"/>
    <mergeCell ref="I287:I288"/>
    <mergeCell ref="I289:I291"/>
    <mergeCell ref="I292:I293"/>
    <mergeCell ref="I294:I295"/>
    <mergeCell ref="I296:I297"/>
    <mergeCell ref="I298:I299"/>
    <mergeCell ref="I300:I301"/>
    <mergeCell ref="I302:I303"/>
    <mergeCell ref="I265:I266"/>
    <mergeCell ref="I267:I268"/>
    <mergeCell ref="I269:I270"/>
    <mergeCell ref="I271:I272"/>
    <mergeCell ref="I273:I274"/>
    <mergeCell ref="I275:I276"/>
    <mergeCell ref="I277:I278"/>
    <mergeCell ref="I279:I281"/>
    <mergeCell ref="I283:I284"/>
    <mergeCell ref="I240:I241"/>
    <mergeCell ref="I242:I243"/>
    <mergeCell ref="I244:I245"/>
    <mergeCell ref="I250:I251"/>
    <mergeCell ref="I252:I253"/>
    <mergeCell ref="I255:I256"/>
    <mergeCell ref="I257:I258"/>
    <mergeCell ref="I259:I260"/>
    <mergeCell ref="I263:I264"/>
    <mergeCell ref="I96:I97"/>
    <mergeCell ref="I99:I100"/>
    <mergeCell ref="I101:I102"/>
    <mergeCell ref="I103:I104"/>
    <mergeCell ref="I229:I230"/>
    <mergeCell ref="I231:I232"/>
    <mergeCell ref="I233:I234"/>
    <mergeCell ref="I235:I236"/>
    <mergeCell ref="I237:I238"/>
    <mergeCell ref="I163:I164"/>
    <mergeCell ref="I171:I172"/>
    <mergeCell ref="I173:I174"/>
    <mergeCell ref="I175:I176"/>
    <mergeCell ref="I179:I180"/>
    <mergeCell ref="I181:I182"/>
    <mergeCell ref="I183:I184"/>
    <mergeCell ref="I185:I186"/>
    <mergeCell ref="I188:I189"/>
    <mergeCell ref="I191:I192"/>
    <mergeCell ref="I193:I194"/>
    <mergeCell ref="I195:I196"/>
    <mergeCell ref="I197:I198"/>
    <mergeCell ref="I200:I201"/>
    <mergeCell ref="I202:I203"/>
    <mergeCell ref="I75:I76"/>
    <mergeCell ref="I77:I78"/>
    <mergeCell ref="I79:I80"/>
    <mergeCell ref="I81:I82"/>
    <mergeCell ref="I84:I85"/>
    <mergeCell ref="I86:I87"/>
    <mergeCell ref="I88:I89"/>
    <mergeCell ref="I92:I93"/>
    <mergeCell ref="I94:I95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19:I20"/>
    <mergeCell ref="I21:I22"/>
    <mergeCell ref="I23:I24"/>
    <mergeCell ref="I27:I28"/>
    <mergeCell ref="I29:I30"/>
    <mergeCell ref="I32:I33"/>
    <mergeCell ref="I35:I36"/>
    <mergeCell ref="J35:J36"/>
    <mergeCell ref="I37:I38"/>
    <mergeCell ref="A1:I1"/>
    <mergeCell ref="I3:I4"/>
    <mergeCell ref="I5:I6"/>
    <mergeCell ref="I7:I8"/>
    <mergeCell ref="I9:I10"/>
    <mergeCell ref="I11:I12"/>
    <mergeCell ref="I13:I14"/>
    <mergeCell ref="I15:I16"/>
    <mergeCell ref="I17:I18"/>
  </mergeCells>
  <dataValidations count="1">
    <dataValidation type="list" allowBlank="1" showErrorMessage="1" sqref="F3:F340" xr:uid="{00000000-0002-0000-0300-000000000000}">
      <formula1>"Центральный,Невский,Приморский,Калининский,Красносельский,Выборгский,Московский,Фрунзенский,Пушкинский,Петроградский,Красногвардейский,Кировский,Адмиралтейский,Василеостровский,Колпинский,Кронштадский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000"/>
  <sheetViews>
    <sheetView workbookViewId="0">
      <selection sqref="A1:H1"/>
    </sheetView>
  </sheetViews>
  <sheetFormatPr defaultColWidth="12.5703125" defaultRowHeight="15" customHeight="1"/>
  <cols>
    <col min="1" max="1" width="5.42578125" customWidth="1"/>
    <col min="2" max="2" width="12.85546875" customWidth="1"/>
    <col min="3" max="4" width="11.42578125" customWidth="1"/>
    <col min="5" max="5" width="11.140625" customWidth="1"/>
    <col min="6" max="6" width="17.28515625" customWidth="1"/>
    <col min="7" max="7" width="10.85546875" customWidth="1"/>
    <col min="8" max="8" width="19" customWidth="1"/>
    <col min="9" max="9" width="21.42578125" customWidth="1"/>
    <col min="10" max="10" width="18.42578125" customWidth="1"/>
    <col min="11" max="34" width="11.5703125" customWidth="1"/>
  </cols>
  <sheetData>
    <row r="1" spans="1:34" ht="14.25" customHeight="1">
      <c r="A1" s="179" t="s">
        <v>330</v>
      </c>
      <c r="B1" s="180"/>
      <c r="C1" s="180"/>
      <c r="D1" s="180"/>
      <c r="E1" s="180"/>
      <c r="F1" s="180"/>
      <c r="G1" s="180"/>
      <c r="H1" s="181"/>
      <c r="I1" s="116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34" ht="14.25" customHeight="1">
      <c r="A2" s="16" t="s">
        <v>11</v>
      </c>
      <c r="B2" s="16" t="s">
        <v>13</v>
      </c>
      <c r="C2" s="16" t="s">
        <v>14</v>
      </c>
      <c r="D2" s="16" t="s">
        <v>15</v>
      </c>
      <c r="E2" s="16" t="s">
        <v>16</v>
      </c>
      <c r="F2" s="16" t="s">
        <v>17</v>
      </c>
      <c r="G2" s="16" t="s">
        <v>18</v>
      </c>
      <c r="H2" s="16" t="s">
        <v>9</v>
      </c>
      <c r="I2" s="117" t="s">
        <v>19</v>
      </c>
      <c r="J2" s="19" t="s">
        <v>24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ht="14.25" customHeight="1">
      <c r="A3" s="118">
        <v>1</v>
      </c>
      <c r="B3" s="118" t="s">
        <v>331</v>
      </c>
      <c r="C3" s="118" t="s">
        <v>332</v>
      </c>
      <c r="D3" s="118">
        <v>42.6</v>
      </c>
      <c r="E3" s="118" t="s">
        <v>61</v>
      </c>
      <c r="F3" s="118" t="s">
        <v>62</v>
      </c>
      <c r="G3" s="27" t="s">
        <v>54</v>
      </c>
      <c r="H3" s="23" t="s">
        <v>333</v>
      </c>
      <c r="I3" s="119"/>
      <c r="J3" s="120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spans="1:34" ht="14.25" customHeight="1">
      <c r="A4" s="118">
        <v>2</v>
      </c>
      <c r="B4" s="118" t="s">
        <v>331</v>
      </c>
      <c r="C4" s="118" t="s">
        <v>334</v>
      </c>
      <c r="D4" s="118">
        <v>42.7</v>
      </c>
      <c r="E4" s="118" t="s">
        <v>61</v>
      </c>
      <c r="F4" s="118" t="s">
        <v>51</v>
      </c>
      <c r="G4" s="23"/>
      <c r="H4" s="23" t="s">
        <v>333</v>
      </c>
      <c r="I4" s="119" t="s">
        <v>335</v>
      </c>
      <c r="J4" s="120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spans="1:34" ht="14.25" customHeight="1">
      <c r="A5" s="118">
        <v>3</v>
      </c>
      <c r="B5" s="118" t="s">
        <v>331</v>
      </c>
      <c r="C5" s="118" t="s">
        <v>336</v>
      </c>
      <c r="D5" s="118">
        <v>42.7</v>
      </c>
      <c r="E5" s="118" t="s">
        <v>61</v>
      </c>
      <c r="F5" s="121" t="s">
        <v>112</v>
      </c>
      <c r="G5" s="26" t="s">
        <v>104</v>
      </c>
      <c r="H5" s="23" t="s">
        <v>333</v>
      </c>
      <c r="I5" s="122" t="s">
        <v>335</v>
      </c>
      <c r="J5" s="120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 spans="1:34" ht="14.25" customHeight="1">
      <c r="A6" s="118">
        <v>4</v>
      </c>
      <c r="B6" s="118" t="s">
        <v>331</v>
      </c>
      <c r="C6" s="118" t="s">
        <v>337</v>
      </c>
      <c r="D6" s="118">
        <v>42.9</v>
      </c>
      <c r="E6" s="118" t="s">
        <v>61</v>
      </c>
      <c r="F6" s="118" t="s">
        <v>77</v>
      </c>
      <c r="G6" s="27" t="s">
        <v>54</v>
      </c>
      <c r="H6" s="23" t="s">
        <v>333</v>
      </c>
      <c r="I6" s="119" t="s">
        <v>335</v>
      </c>
      <c r="J6" s="12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4" ht="14.25" customHeight="1">
      <c r="A7" s="118">
        <v>5</v>
      </c>
      <c r="B7" s="118" t="s">
        <v>338</v>
      </c>
      <c r="C7" s="118" t="s">
        <v>332</v>
      </c>
      <c r="D7" s="118">
        <v>42.2</v>
      </c>
      <c r="E7" s="118" t="s">
        <v>61</v>
      </c>
      <c r="F7" s="121" t="s">
        <v>55</v>
      </c>
      <c r="G7" s="124" t="s">
        <v>54</v>
      </c>
      <c r="H7" s="23" t="s">
        <v>333</v>
      </c>
      <c r="I7" s="122" t="s">
        <v>335</v>
      </c>
      <c r="J7" s="120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1:34" ht="14.25" customHeight="1">
      <c r="A8" s="118">
        <v>6</v>
      </c>
      <c r="B8" s="118" t="s">
        <v>338</v>
      </c>
      <c r="C8" s="118" t="s">
        <v>336</v>
      </c>
      <c r="D8" s="118">
        <v>42.2</v>
      </c>
      <c r="E8" s="118" t="s">
        <v>61</v>
      </c>
      <c r="F8" s="121" t="s">
        <v>150</v>
      </c>
      <c r="G8" s="26" t="s">
        <v>104</v>
      </c>
      <c r="H8" s="23" t="s">
        <v>333</v>
      </c>
      <c r="I8" s="122" t="s">
        <v>335</v>
      </c>
      <c r="J8" s="120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1:34" ht="14.25" customHeight="1">
      <c r="A9" s="118">
        <v>7</v>
      </c>
      <c r="B9" s="118" t="s">
        <v>339</v>
      </c>
      <c r="C9" s="118" t="s">
        <v>334</v>
      </c>
      <c r="D9" s="118">
        <v>42.6</v>
      </c>
      <c r="E9" s="118" t="s">
        <v>61</v>
      </c>
      <c r="F9" s="121" t="s">
        <v>77</v>
      </c>
      <c r="G9" s="27" t="s">
        <v>54</v>
      </c>
      <c r="H9" s="23" t="s">
        <v>333</v>
      </c>
      <c r="I9" s="122" t="s">
        <v>314</v>
      </c>
      <c r="J9" s="120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1:34" ht="14.25" customHeight="1">
      <c r="A10" s="118">
        <v>8</v>
      </c>
      <c r="B10" s="118" t="s">
        <v>339</v>
      </c>
      <c r="C10" s="118" t="s">
        <v>336</v>
      </c>
      <c r="D10" s="118">
        <v>42.7</v>
      </c>
      <c r="E10" s="118" t="s">
        <v>61</v>
      </c>
      <c r="F10" s="118" t="s">
        <v>69</v>
      </c>
      <c r="G10" s="41" t="s">
        <v>104</v>
      </c>
      <c r="H10" s="23" t="s">
        <v>333</v>
      </c>
      <c r="I10" s="119"/>
      <c r="J10" s="120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1:34" ht="14.25" customHeight="1">
      <c r="A11" s="118">
        <v>9</v>
      </c>
      <c r="B11" s="118" t="s">
        <v>339</v>
      </c>
      <c r="C11" s="118" t="s">
        <v>337</v>
      </c>
      <c r="D11" s="118">
        <v>42.7</v>
      </c>
      <c r="E11" s="118" t="s">
        <v>61</v>
      </c>
      <c r="F11" s="118" t="s">
        <v>150</v>
      </c>
      <c r="G11" s="26" t="s">
        <v>104</v>
      </c>
      <c r="H11" s="23" t="s">
        <v>333</v>
      </c>
      <c r="I11" s="119"/>
      <c r="J11" s="120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1:34" ht="14.25" customHeight="1">
      <c r="A12" s="118">
        <v>10</v>
      </c>
      <c r="B12" s="118" t="s">
        <v>339</v>
      </c>
      <c r="C12" s="118" t="s">
        <v>332</v>
      </c>
      <c r="D12" s="118">
        <v>42.8</v>
      </c>
      <c r="E12" s="118" t="s">
        <v>61</v>
      </c>
      <c r="F12" s="118" t="s">
        <v>150</v>
      </c>
      <c r="G12" s="26" t="s">
        <v>104</v>
      </c>
      <c r="H12" s="23" t="s">
        <v>333</v>
      </c>
      <c r="I12" s="119"/>
      <c r="J12" s="120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ht="14.25" customHeight="1">
      <c r="A13" s="118">
        <v>11</v>
      </c>
      <c r="B13" s="118" t="s">
        <v>340</v>
      </c>
      <c r="C13" s="118" t="s">
        <v>334</v>
      </c>
      <c r="D13" s="118">
        <v>42.6</v>
      </c>
      <c r="E13" s="118" t="s">
        <v>61</v>
      </c>
      <c r="F13" s="121" t="s">
        <v>55</v>
      </c>
      <c r="G13" s="124" t="s">
        <v>54</v>
      </c>
      <c r="H13" s="23" t="s">
        <v>333</v>
      </c>
      <c r="I13" s="119"/>
      <c r="J13" s="120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1:34" ht="14.25" customHeight="1">
      <c r="A14" s="125">
        <v>12</v>
      </c>
      <c r="B14" s="125" t="s">
        <v>340</v>
      </c>
      <c r="C14" s="125" t="s">
        <v>336</v>
      </c>
      <c r="D14" s="125">
        <v>42.7</v>
      </c>
      <c r="E14" s="125" t="s">
        <v>61</v>
      </c>
      <c r="F14" s="125" t="s">
        <v>118</v>
      </c>
      <c r="G14" s="124" t="s">
        <v>54</v>
      </c>
      <c r="H14" s="126" t="s">
        <v>333</v>
      </c>
      <c r="I14" s="122"/>
      <c r="J14" s="120" t="s">
        <v>341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1:34" ht="14.25" customHeight="1">
      <c r="A15" s="125">
        <v>13</v>
      </c>
      <c r="B15" s="125" t="s">
        <v>340</v>
      </c>
      <c r="C15" s="125" t="s">
        <v>337</v>
      </c>
      <c r="D15" s="125">
        <v>42.7</v>
      </c>
      <c r="E15" s="125" t="s">
        <v>61</v>
      </c>
      <c r="F15" s="125" t="s">
        <v>124</v>
      </c>
      <c r="G15" s="126"/>
      <c r="H15" s="126" t="s">
        <v>333</v>
      </c>
      <c r="I15" s="119"/>
      <c r="J15" s="120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1:34" ht="14.25" customHeight="1">
      <c r="A16" s="125">
        <v>14</v>
      </c>
      <c r="B16" s="125" t="s">
        <v>340</v>
      </c>
      <c r="C16" s="125" t="s">
        <v>332</v>
      </c>
      <c r="D16" s="125">
        <v>42.8</v>
      </c>
      <c r="E16" s="125" t="s">
        <v>61</v>
      </c>
      <c r="F16" s="125" t="s">
        <v>77</v>
      </c>
      <c r="G16" s="124" t="s">
        <v>54</v>
      </c>
      <c r="H16" s="126" t="s">
        <v>333</v>
      </c>
      <c r="I16" s="119"/>
      <c r="J16" s="120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1:34" ht="14.25" customHeight="1">
      <c r="A17" s="23">
        <v>15</v>
      </c>
      <c r="B17" s="23" t="s">
        <v>342</v>
      </c>
      <c r="C17" s="23" t="s">
        <v>343</v>
      </c>
      <c r="D17" s="25">
        <v>42.5</v>
      </c>
      <c r="E17" s="25" t="s">
        <v>61</v>
      </c>
      <c r="F17" s="25" t="s">
        <v>55</v>
      </c>
      <c r="G17" s="41" t="s">
        <v>104</v>
      </c>
      <c r="H17" s="25" t="s">
        <v>344</v>
      </c>
      <c r="I17" s="119"/>
      <c r="J17" s="120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1:34" ht="14.25" customHeight="1">
      <c r="A18" s="23">
        <v>16</v>
      </c>
      <c r="B18" s="23" t="s">
        <v>342</v>
      </c>
      <c r="C18" s="23" t="s">
        <v>345</v>
      </c>
      <c r="D18" s="25">
        <v>42.6</v>
      </c>
      <c r="E18" s="25" t="s">
        <v>61</v>
      </c>
      <c r="F18" s="25" t="s">
        <v>55</v>
      </c>
      <c r="G18" s="41" t="s">
        <v>104</v>
      </c>
      <c r="H18" s="25" t="s">
        <v>344</v>
      </c>
      <c r="I18" s="119"/>
      <c r="J18" s="120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1:34" ht="14.25" customHeight="1">
      <c r="A19" s="23">
        <v>17</v>
      </c>
      <c r="B19" s="23" t="s">
        <v>342</v>
      </c>
      <c r="C19" s="23" t="s">
        <v>346</v>
      </c>
      <c r="D19" s="25">
        <v>42.8</v>
      </c>
      <c r="E19" s="25" t="s">
        <v>61</v>
      </c>
      <c r="F19" s="25" t="s">
        <v>55</v>
      </c>
      <c r="G19" s="41" t="s">
        <v>104</v>
      </c>
      <c r="H19" s="25" t="s">
        <v>344</v>
      </c>
      <c r="I19" s="119"/>
      <c r="J19" s="120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1:34" ht="14.25" customHeight="1">
      <c r="A20" s="23">
        <v>18</v>
      </c>
      <c r="B20" s="23" t="s">
        <v>342</v>
      </c>
      <c r="C20" s="23" t="s">
        <v>347</v>
      </c>
      <c r="D20" s="25">
        <v>43</v>
      </c>
      <c r="E20" s="25" t="s">
        <v>61</v>
      </c>
      <c r="F20" s="25" t="s">
        <v>55</v>
      </c>
      <c r="G20" s="41" t="s">
        <v>104</v>
      </c>
      <c r="H20" s="25" t="s">
        <v>344</v>
      </c>
      <c r="I20" s="119"/>
      <c r="J20" s="120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1:34" ht="14.25" customHeight="1">
      <c r="A21" s="23">
        <v>19</v>
      </c>
      <c r="B21" s="23" t="s">
        <v>348</v>
      </c>
      <c r="C21" s="23" t="s">
        <v>343</v>
      </c>
      <c r="D21" s="25">
        <v>42.3</v>
      </c>
      <c r="E21" s="25" t="s">
        <v>61</v>
      </c>
      <c r="F21" s="25" t="s">
        <v>36</v>
      </c>
      <c r="G21" s="41" t="s">
        <v>104</v>
      </c>
      <c r="H21" s="25" t="s">
        <v>344</v>
      </c>
      <c r="I21" s="119"/>
      <c r="J21" s="120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 spans="1:34" ht="14.25" customHeight="1">
      <c r="A22" s="23">
        <v>20</v>
      </c>
      <c r="B22" s="23" t="s">
        <v>348</v>
      </c>
      <c r="C22" s="23" t="s">
        <v>347</v>
      </c>
      <c r="D22" s="25">
        <v>42.4</v>
      </c>
      <c r="E22" s="25" t="s">
        <v>61</v>
      </c>
      <c r="F22" s="25" t="s">
        <v>36</v>
      </c>
      <c r="G22" s="41" t="s">
        <v>104</v>
      </c>
      <c r="H22" s="25" t="s">
        <v>344</v>
      </c>
      <c r="I22" s="119"/>
      <c r="J22" s="120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 spans="1:34" ht="14.25" customHeight="1">
      <c r="A23" s="23">
        <v>21</v>
      </c>
      <c r="B23" s="23" t="s">
        <v>348</v>
      </c>
      <c r="C23" s="23" t="s">
        <v>345</v>
      </c>
      <c r="D23" s="25">
        <v>42.5</v>
      </c>
      <c r="E23" s="25" t="s">
        <v>61</v>
      </c>
      <c r="F23" s="25" t="s">
        <v>36</v>
      </c>
      <c r="G23" s="41" t="s">
        <v>104</v>
      </c>
      <c r="H23" s="25" t="s">
        <v>344</v>
      </c>
      <c r="I23" s="119"/>
      <c r="J23" s="120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 spans="1:34" ht="14.25" customHeight="1">
      <c r="A24" s="23">
        <v>22</v>
      </c>
      <c r="B24" s="23" t="s">
        <v>348</v>
      </c>
      <c r="C24" s="23" t="s">
        <v>346</v>
      </c>
      <c r="D24" s="25">
        <v>42.6</v>
      </c>
      <c r="E24" s="25" t="s">
        <v>61</v>
      </c>
      <c r="F24" s="25" t="s">
        <v>47</v>
      </c>
      <c r="G24" s="41" t="s">
        <v>104</v>
      </c>
      <c r="H24" s="25" t="s">
        <v>344</v>
      </c>
      <c r="I24" s="119"/>
      <c r="J24" s="120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1:34" ht="14.25" customHeight="1">
      <c r="A25" s="23">
        <v>23</v>
      </c>
      <c r="B25" s="23" t="s">
        <v>349</v>
      </c>
      <c r="C25" s="23" t="s">
        <v>343</v>
      </c>
      <c r="D25" s="25">
        <v>41.8</v>
      </c>
      <c r="E25" s="25" t="s">
        <v>61</v>
      </c>
      <c r="F25" s="25" t="s">
        <v>118</v>
      </c>
      <c r="G25" s="29" t="s">
        <v>54</v>
      </c>
      <c r="H25" s="25" t="s">
        <v>344</v>
      </c>
      <c r="I25" s="119"/>
      <c r="J25" s="120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1:34" ht="14.25" customHeight="1">
      <c r="A26" s="23">
        <v>24</v>
      </c>
      <c r="B26" s="23" t="s">
        <v>349</v>
      </c>
      <c r="C26" s="23" t="s">
        <v>347</v>
      </c>
      <c r="D26" s="25">
        <v>42.3</v>
      </c>
      <c r="E26" s="25" t="s">
        <v>61</v>
      </c>
      <c r="F26" s="25" t="s">
        <v>36</v>
      </c>
      <c r="G26" s="25" t="str">
        <f t="shared" ref="G26:G27" si="0">G31</f>
        <v xml:space="preserve"> +</v>
      </c>
      <c r="H26" s="25" t="str">
        <f t="shared" ref="H26:H27" si="1">H30</f>
        <v>С 2</v>
      </c>
      <c r="I26" s="119"/>
      <c r="J26" s="120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1:34" ht="14.25" customHeight="1">
      <c r="A27" s="23">
        <v>25</v>
      </c>
      <c r="B27" s="23" t="s">
        <v>350</v>
      </c>
      <c r="C27" s="23" t="s">
        <v>343</v>
      </c>
      <c r="D27" s="25">
        <v>42.4</v>
      </c>
      <c r="E27" s="25" t="s">
        <v>61</v>
      </c>
      <c r="F27" s="25" t="s">
        <v>88</v>
      </c>
      <c r="G27" s="25" t="str">
        <f t="shared" si="0"/>
        <v xml:space="preserve"> +</v>
      </c>
      <c r="H27" s="25" t="str">
        <f t="shared" si="1"/>
        <v>С 2</v>
      </c>
      <c r="I27" s="119"/>
      <c r="J27" s="120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 spans="1:34" ht="14.25" customHeight="1">
      <c r="A28" s="23">
        <v>26</v>
      </c>
      <c r="B28" s="23" t="s">
        <v>350</v>
      </c>
      <c r="C28" s="23" t="s">
        <v>346</v>
      </c>
      <c r="D28" s="25">
        <v>42.4</v>
      </c>
      <c r="E28" s="25" t="s">
        <v>61</v>
      </c>
      <c r="F28" s="25" t="s">
        <v>12</v>
      </c>
      <c r="G28" s="25"/>
      <c r="H28" s="25" t="s">
        <v>344</v>
      </c>
      <c r="I28" s="119"/>
      <c r="J28" s="120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 spans="1:34" ht="14.25" customHeight="1">
      <c r="A29" s="23">
        <v>27</v>
      </c>
      <c r="B29" s="23" t="s">
        <v>350</v>
      </c>
      <c r="C29" s="23" t="s">
        <v>347</v>
      </c>
      <c r="D29" s="25">
        <v>42.5</v>
      </c>
      <c r="E29" s="25" t="s">
        <v>61</v>
      </c>
      <c r="F29" s="25" t="s">
        <v>88</v>
      </c>
      <c r="G29" s="25" t="str">
        <f>G33</f>
        <v xml:space="preserve"> +</v>
      </c>
      <c r="H29" s="25" t="s">
        <v>344</v>
      </c>
      <c r="I29" s="119"/>
      <c r="J29" s="120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 spans="1:34" ht="14.25" customHeight="1">
      <c r="A30" s="23">
        <v>28</v>
      </c>
      <c r="B30" s="23" t="s">
        <v>350</v>
      </c>
      <c r="C30" s="23" t="s">
        <v>345</v>
      </c>
      <c r="D30" s="25">
        <v>42.5</v>
      </c>
      <c r="E30" s="25" t="s">
        <v>61</v>
      </c>
      <c r="F30" s="25" t="s">
        <v>12</v>
      </c>
      <c r="G30" s="25"/>
      <c r="H30" s="25" t="s">
        <v>344</v>
      </c>
      <c r="I30" s="119"/>
      <c r="J30" s="120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 spans="1:34" ht="14.25" customHeight="1">
      <c r="A31" s="23">
        <v>29</v>
      </c>
      <c r="B31" s="23" t="s">
        <v>351</v>
      </c>
      <c r="C31" s="23" t="s">
        <v>343</v>
      </c>
      <c r="D31" s="25">
        <v>42.5</v>
      </c>
      <c r="E31" s="25" t="s">
        <v>61</v>
      </c>
      <c r="F31" s="25" t="s">
        <v>112</v>
      </c>
      <c r="G31" s="41" t="s">
        <v>104</v>
      </c>
      <c r="H31" s="25" t="s">
        <v>344</v>
      </c>
      <c r="I31" s="119"/>
      <c r="J31" s="120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 spans="1:34" ht="14.25" customHeight="1">
      <c r="A32" s="23">
        <v>30</v>
      </c>
      <c r="B32" s="23" t="s">
        <v>351</v>
      </c>
      <c r="C32" s="23" t="s">
        <v>345</v>
      </c>
      <c r="D32" s="25">
        <v>42.5</v>
      </c>
      <c r="E32" s="25" t="s">
        <v>61</v>
      </c>
      <c r="F32" s="41" t="s">
        <v>77</v>
      </c>
      <c r="G32" s="41" t="s">
        <v>104</v>
      </c>
      <c r="H32" s="25" t="s">
        <v>344</v>
      </c>
      <c r="I32" s="122" t="s">
        <v>352</v>
      </c>
      <c r="J32" s="120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 spans="1:34" ht="14.25" customHeight="1">
      <c r="A33" s="23">
        <v>31</v>
      </c>
      <c r="B33" s="23" t="s">
        <v>351</v>
      </c>
      <c r="C33" s="23" t="s">
        <v>346</v>
      </c>
      <c r="D33" s="25">
        <v>42.5</v>
      </c>
      <c r="E33" s="25" t="s">
        <v>61</v>
      </c>
      <c r="F33" s="25" t="s">
        <v>79</v>
      </c>
      <c r="G33" s="41" t="s">
        <v>104</v>
      </c>
      <c r="H33" s="25" t="s">
        <v>344</v>
      </c>
      <c r="I33" s="119"/>
      <c r="J33" s="120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 spans="1:34" ht="14.25" customHeight="1">
      <c r="A34" s="23">
        <v>32</v>
      </c>
      <c r="B34" s="23" t="s">
        <v>351</v>
      </c>
      <c r="C34" s="23" t="s">
        <v>347</v>
      </c>
      <c r="D34" s="25">
        <v>42.6</v>
      </c>
      <c r="E34" s="25" t="s">
        <v>61</v>
      </c>
      <c r="F34" s="25" t="s">
        <v>55</v>
      </c>
      <c r="G34" s="41" t="s">
        <v>104</v>
      </c>
      <c r="H34" s="25" t="s">
        <v>344</v>
      </c>
      <c r="I34" s="127"/>
      <c r="J34" s="128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 spans="1:34" ht="14.25" customHeight="1">
      <c r="A35" s="23">
        <v>33</v>
      </c>
      <c r="B35" s="23" t="s">
        <v>353</v>
      </c>
      <c r="C35" s="23" t="s">
        <v>343</v>
      </c>
      <c r="D35" s="25">
        <v>41.6</v>
      </c>
      <c r="E35" s="25" t="s">
        <v>61</v>
      </c>
      <c r="F35" s="25" t="s">
        <v>150</v>
      </c>
      <c r="G35" s="41" t="s">
        <v>104</v>
      </c>
      <c r="H35" s="25" t="s">
        <v>344</v>
      </c>
      <c r="I35" s="119"/>
      <c r="J35" s="120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 spans="1:34" ht="14.25" customHeight="1">
      <c r="A36" s="23">
        <v>34</v>
      </c>
      <c r="B36" s="23" t="s">
        <v>353</v>
      </c>
      <c r="C36" s="23" t="s">
        <v>347</v>
      </c>
      <c r="D36" s="25">
        <v>42.1</v>
      </c>
      <c r="E36" s="25" t="s">
        <v>61</v>
      </c>
      <c r="F36" s="25" t="s">
        <v>150</v>
      </c>
      <c r="G36" s="41" t="s">
        <v>104</v>
      </c>
      <c r="H36" s="25" t="s">
        <v>344</v>
      </c>
      <c r="I36" s="119"/>
      <c r="J36" s="120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 spans="1:34" ht="14.25" customHeight="1">
      <c r="A37" s="23">
        <v>35</v>
      </c>
      <c r="B37" s="23" t="s">
        <v>353</v>
      </c>
      <c r="C37" s="23" t="s">
        <v>345</v>
      </c>
      <c r="D37" s="25">
        <v>42.3</v>
      </c>
      <c r="E37" s="25" t="s">
        <v>61</v>
      </c>
      <c r="F37" s="25" t="s">
        <v>150</v>
      </c>
      <c r="G37" s="41" t="s">
        <v>104</v>
      </c>
      <c r="H37" s="25" t="s">
        <v>344</v>
      </c>
      <c r="I37" s="119"/>
      <c r="J37" s="120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 spans="1:34" ht="14.25" customHeight="1">
      <c r="A38" s="23">
        <v>36</v>
      </c>
      <c r="B38" s="23" t="s">
        <v>354</v>
      </c>
      <c r="C38" s="23" t="s">
        <v>347</v>
      </c>
      <c r="D38" s="25">
        <v>42.3</v>
      </c>
      <c r="E38" s="25" t="s">
        <v>61</v>
      </c>
      <c r="F38" s="25" t="s">
        <v>47</v>
      </c>
      <c r="G38" s="41" t="s">
        <v>104</v>
      </c>
      <c r="H38" s="25" t="s">
        <v>344</v>
      </c>
      <c r="I38" s="119"/>
      <c r="J38" s="120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 spans="1:34" ht="14.25" customHeight="1">
      <c r="A39" s="23">
        <v>37</v>
      </c>
      <c r="B39" s="23" t="s">
        <v>354</v>
      </c>
      <c r="C39" s="23" t="s">
        <v>345</v>
      </c>
      <c r="D39" s="25">
        <v>42.4</v>
      </c>
      <c r="E39" s="25" t="s">
        <v>61</v>
      </c>
      <c r="F39" s="25" t="s">
        <v>150</v>
      </c>
      <c r="G39" s="41" t="s">
        <v>104</v>
      </c>
      <c r="H39" s="25" t="s">
        <v>344</v>
      </c>
      <c r="I39" s="119"/>
      <c r="J39" s="120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 spans="1:34" ht="14.25" customHeight="1">
      <c r="A40" s="23">
        <v>38</v>
      </c>
      <c r="B40" s="23" t="s">
        <v>354</v>
      </c>
      <c r="C40" s="23" t="s">
        <v>343</v>
      </c>
      <c r="D40" s="25">
        <v>42.4</v>
      </c>
      <c r="E40" s="25" t="s">
        <v>61</v>
      </c>
      <c r="F40" s="25" t="s">
        <v>47</v>
      </c>
      <c r="G40" s="41" t="s">
        <v>104</v>
      </c>
      <c r="H40" s="25" t="s">
        <v>344</v>
      </c>
      <c r="I40" s="119"/>
      <c r="J40" s="120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 spans="1:34" ht="14.25" customHeight="1">
      <c r="A41" s="23">
        <v>39</v>
      </c>
      <c r="B41" s="23" t="s">
        <v>354</v>
      </c>
      <c r="C41" s="23" t="s">
        <v>346</v>
      </c>
      <c r="D41" s="25">
        <v>42.5</v>
      </c>
      <c r="E41" s="25" t="s">
        <v>61</v>
      </c>
      <c r="F41" s="25" t="s">
        <v>47</v>
      </c>
      <c r="G41" s="41" t="s">
        <v>104</v>
      </c>
      <c r="H41" s="25" t="s">
        <v>344</v>
      </c>
      <c r="I41" s="119"/>
      <c r="J41" s="120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 spans="1:34" ht="14.25" customHeight="1">
      <c r="A42" s="23">
        <v>40</v>
      </c>
      <c r="B42" s="23" t="s">
        <v>355</v>
      </c>
      <c r="C42" s="23" t="s">
        <v>345</v>
      </c>
      <c r="D42" s="25">
        <v>42.4</v>
      </c>
      <c r="E42" s="25" t="s">
        <v>61</v>
      </c>
      <c r="F42" s="25" t="s">
        <v>55</v>
      </c>
      <c r="G42" s="41" t="s">
        <v>104</v>
      </c>
      <c r="H42" s="25" t="s">
        <v>344</v>
      </c>
      <c r="I42" s="119"/>
      <c r="J42" s="120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 spans="1:34" ht="14.25" customHeight="1">
      <c r="A43" s="23">
        <v>41</v>
      </c>
      <c r="B43" s="23" t="s">
        <v>355</v>
      </c>
      <c r="C43" s="23" t="s">
        <v>346</v>
      </c>
      <c r="D43" s="25">
        <v>42.4</v>
      </c>
      <c r="E43" s="25" t="s">
        <v>61</v>
      </c>
      <c r="F43" s="25" t="s">
        <v>55</v>
      </c>
      <c r="G43" s="41" t="s">
        <v>104</v>
      </c>
      <c r="H43" s="25" t="s">
        <v>344</v>
      </c>
      <c r="I43" s="119"/>
      <c r="J43" s="120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 spans="1:34" ht="14.25" customHeight="1">
      <c r="A44" s="23">
        <v>42</v>
      </c>
      <c r="B44" s="23" t="s">
        <v>355</v>
      </c>
      <c r="C44" s="23" t="s">
        <v>343</v>
      </c>
      <c r="D44" s="25">
        <v>42.6</v>
      </c>
      <c r="E44" s="25" t="s">
        <v>61</v>
      </c>
      <c r="F44" s="25" t="s">
        <v>55</v>
      </c>
      <c r="G44" s="41" t="s">
        <v>104</v>
      </c>
      <c r="H44" s="25" t="s">
        <v>344</v>
      </c>
      <c r="I44" s="119"/>
      <c r="J44" s="120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spans="1:34" ht="14.25" customHeight="1">
      <c r="A45" s="23">
        <v>43</v>
      </c>
      <c r="B45" s="23" t="s">
        <v>355</v>
      </c>
      <c r="C45" s="23" t="s">
        <v>347</v>
      </c>
      <c r="D45" s="25">
        <v>42.6</v>
      </c>
      <c r="E45" s="25" t="s">
        <v>61</v>
      </c>
      <c r="F45" s="25" t="s">
        <v>62</v>
      </c>
      <c r="G45" s="27" t="s">
        <v>54</v>
      </c>
      <c r="H45" s="25" t="s">
        <v>344</v>
      </c>
      <c r="I45" s="127"/>
      <c r="J45" s="128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spans="1:34" ht="14.25" customHeight="1">
      <c r="A46" s="23">
        <v>44</v>
      </c>
      <c r="B46" s="23" t="s">
        <v>356</v>
      </c>
      <c r="C46" s="23" t="s">
        <v>347</v>
      </c>
      <c r="D46" s="25">
        <v>42.4</v>
      </c>
      <c r="E46" s="25" t="s">
        <v>61</v>
      </c>
      <c r="F46" s="25" t="s">
        <v>47</v>
      </c>
      <c r="G46" s="41" t="s">
        <v>104</v>
      </c>
      <c r="H46" s="25" t="s">
        <v>344</v>
      </c>
      <c r="I46" s="119"/>
      <c r="J46" s="120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spans="1:34" ht="14.25" customHeight="1">
      <c r="A47" s="23">
        <v>45</v>
      </c>
      <c r="B47" s="23" t="s">
        <v>356</v>
      </c>
      <c r="C47" s="23" t="s">
        <v>345</v>
      </c>
      <c r="D47" s="25">
        <v>42.4</v>
      </c>
      <c r="E47" s="25" t="s">
        <v>61</v>
      </c>
      <c r="F47" s="25" t="s">
        <v>150</v>
      </c>
      <c r="G47" s="41" t="s">
        <v>104</v>
      </c>
      <c r="H47" s="25" t="s">
        <v>344</v>
      </c>
      <c r="I47" s="119"/>
      <c r="J47" s="120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spans="1:34" ht="14.25" customHeight="1">
      <c r="A48" s="23">
        <v>46</v>
      </c>
      <c r="B48" s="23" t="s">
        <v>356</v>
      </c>
      <c r="C48" s="23" t="s">
        <v>346</v>
      </c>
      <c r="D48" s="25">
        <v>42.5</v>
      </c>
      <c r="E48" s="25" t="s">
        <v>61</v>
      </c>
      <c r="F48" s="25" t="s">
        <v>112</v>
      </c>
      <c r="G48" s="41" t="s">
        <v>104</v>
      </c>
      <c r="H48" s="25" t="s">
        <v>344</v>
      </c>
      <c r="I48" s="119"/>
      <c r="J48" s="120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spans="1:34" ht="14.25" customHeight="1">
      <c r="A49" s="23">
        <v>47</v>
      </c>
      <c r="B49" s="23" t="s">
        <v>356</v>
      </c>
      <c r="C49" s="23" t="s">
        <v>343</v>
      </c>
      <c r="D49" s="25">
        <v>42.7</v>
      </c>
      <c r="E49" s="25" t="s">
        <v>61</v>
      </c>
      <c r="F49" s="25" t="s">
        <v>112</v>
      </c>
      <c r="G49" s="41" t="s">
        <v>104</v>
      </c>
      <c r="H49" s="25" t="s">
        <v>344</v>
      </c>
      <c r="I49" s="119"/>
      <c r="J49" s="120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1:34" ht="14.25" customHeight="1">
      <c r="A50" s="126">
        <v>48</v>
      </c>
      <c r="B50" s="126" t="s">
        <v>357</v>
      </c>
      <c r="C50" s="126" t="s">
        <v>347</v>
      </c>
      <c r="D50" s="129">
        <v>42.3</v>
      </c>
      <c r="E50" s="129"/>
      <c r="F50" s="129" t="s">
        <v>36</v>
      </c>
      <c r="G50" s="41" t="s">
        <v>104</v>
      </c>
      <c r="H50" s="129" t="s">
        <v>344</v>
      </c>
      <c r="I50" s="122" t="s">
        <v>335</v>
      </c>
      <c r="J50" s="128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1:34" ht="14.25" customHeight="1">
      <c r="A51" s="23">
        <v>49</v>
      </c>
      <c r="B51" s="23" t="s">
        <v>357</v>
      </c>
      <c r="C51" s="23" t="s">
        <v>345</v>
      </c>
      <c r="D51" s="25">
        <v>42.4</v>
      </c>
      <c r="E51" s="25" t="s">
        <v>61</v>
      </c>
      <c r="F51" s="25" t="s">
        <v>118</v>
      </c>
      <c r="G51" s="130" t="s">
        <v>54</v>
      </c>
      <c r="H51" s="25" t="s">
        <v>344</v>
      </c>
      <c r="I51" s="119"/>
      <c r="J51" s="120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1:34" ht="14.25" customHeight="1">
      <c r="A52" s="23">
        <v>50</v>
      </c>
      <c r="B52" s="23" t="s">
        <v>357</v>
      </c>
      <c r="C52" s="23" t="s">
        <v>346</v>
      </c>
      <c r="D52" s="25">
        <v>42.4</v>
      </c>
      <c r="E52" s="25" t="s">
        <v>61</v>
      </c>
      <c r="F52" s="25" t="s">
        <v>12</v>
      </c>
      <c r="G52" s="25"/>
      <c r="H52" s="25" t="s">
        <v>344</v>
      </c>
      <c r="I52" s="119"/>
      <c r="J52" s="120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spans="1:34" ht="14.25" customHeight="1">
      <c r="A53" s="118">
        <v>51</v>
      </c>
      <c r="B53" s="118" t="s">
        <v>357</v>
      </c>
      <c r="C53" s="118" t="s">
        <v>343</v>
      </c>
      <c r="D53" s="118">
        <v>42.5</v>
      </c>
      <c r="E53" s="118" t="s">
        <v>61</v>
      </c>
      <c r="F53" s="118" t="s">
        <v>164</v>
      </c>
      <c r="G53" s="118"/>
      <c r="H53" s="118" t="s">
        <v>344</v>
      </c>
      <c r="I53" s="131" t="s">
        <v>358</v>
      </c>
      <c r="J53" s="132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spans="1:34" ht="14.25" customHeight="1">
      <c r="A54" s="23">
        <v>52</v>
      </c>
      <c r="B54" s="23" t="s">
        <v>359</v>
      </c>
      <c r="C54" s="23" t="s">
        <v>347</v>
      </c>
      <c r="D54" s="25">
        <v>42.4</v>
      </c>
      <c r="E54" s="25" t="s">
        <v>61</v>
      </c>
      <c r="F54" s="25" t="s">
        <v>77</v>
      </c>
      <c r="G54" s="29" t="s">
        <v>54</v>
      </c>
      <c r="H54" s="25" t="s">
        <v>344</v>
      </c>
      <c r="I54" s="119"/>
      <c r="J54" s="120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spans="1:34" ht="14.25" customHeight="1">
      <c r="A55" s="23">
        <v>53</v>
      </c>
      <c r="B55" s="23" t="s">
        <v>359</v>
      </c>
      <c r="C55" s="23" t="s">
        <v>343</v>
      </c>
      <c r="D55" s="25">
        <v>42.5</v>
      </c>
      <c r="E55" s="25" t="s">
        <v>61</v>
      </c>
      <c r="F55" s="25" t="s">
        <v>77</v>
      </c>
      <c r="G55" s="29" t="s">
        <v>54</v>
      </c>
      <c r="H55" s="25" t="s">
        <v>344</v>
      </c>
      <c r="I55" s="119"/>
      <c r="J55" s="120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spans="1:34" ht="14.25" customHeight="1">
      <c r="A56" s="23">
        <v>54</v>
      </c>
      <c r="B56" s="23" t="s">
        <v>359</v>
      </c>
      <c r="C56" s="23" t="s">
        <v>345</v>
      </c>
      <c r="D56" s="25">
        <v>42.6</v>
      </c>
      <c r="E56" s="25" t="s">
        <v>61</v>
      </c>
      <c r="F56" s="25" t="s">
        <v>77</v>
      </c>
      <c r="G56" s="29" t="s">
        <v>54</v>
      </c>
      <c r="H56" s="25" t="s">
        <v>344</v>
      </c>
      <c r="I56" s="119"/>
      <c r="J56" s="120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spans="1:34" ht="14.25" customHeight="1">
      <c r="A57" s="23">
        <v>55</v>
      </c>
      <c r="B57" s="23" t="s">
        <v>359</v>
      </c>
      <c r="C57" s="23" t="s">
        <v>346</v>
      </c>
      <c r="D57" s="25">
        <v>42.6</v>
      </c>
      <c r="E57" s="25" t="s">
        <v>61</v>
      </c>
      <c r="F57" s="25" t="s">
        <v>77</v>
      </c>
      <c r="G57" s="29" t="s">
        <v>54</v>
      </c>
      <c r="H57" s="25" t="s">
        <v>344</v>
      </c>
      <c r="I57" s="119"/>
      <c r="J57" s="120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spans="1:34" ht="14.25" customHeight="1">
      <c r="A58" s="23">
        <v>56</v>
      </c>
      <c r="B58" s="23" t="s">
        <v>360</v>
      </c>
      <c r="C58" s="23" t="s">
        <v>343</v>
      </c>
      <c r="D58" s="25">
        <v>41.9</v>
      </c>
      <c r="E58" s="25" t="s">
        <v>61</v>
      </c>
      <c r="F58" s="25" t="s">
        <v>88</v>
      </c>
      <c r="G58" s="41" t="s">
        <v>104</v>
      </c>
      <c r="H58" s="25" t="s">
        <v>344</v>
      </c>
      <c r="I58" s="119"/>
      <c r="J58" s="120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spans="1:34" ht="14.25" customHeight="1">
      <c r="A59" s="23">
        <v>57</v>
      </c>
      <c r="B59" s="23" t="s">
        <v>360</v>
      </c>
      <c r="C59" s="23" t="s">
        <v>347</v>
      </c>
      <c r="D59" s="25">
        <v>42.1</v>
      </c>
      <c r="E59" s="25" t="s">
        <v>61</v>
      </c>
      <c r="F59" s="25" t="s">
        <v>47</v>
      </c>
      <c r="G59" s="41" t="s">
        <v>104</v>
      </c>
      <c r="H59" s="25" t="s">
        <v>344</v>
      </c>
      <c r="I59" s="119"/>
      <c r="J59" s="120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spans="1:34" ht="14.25" customHeight="1">
      <c r="A60" s="23">
        <v>58</v>
      </c>
      <c r="B60" s="23" t="s">
        <v>361</v>
      </c>
      <c r="C60" s="23" t="s">
        <v>347</v>
      </c>
      <c r="D60" s="25">
        <v>41.7</v>
      </c>
      <c r="E60" s="25" t="s">
        <v>61</v>
      </c>
      <c r="F60" s="25" t="s">
        <v>88</v>
      </c>
      <c r="G60" s="41" t="s">
        <v>104</v>
      </c>
      <c r="H60" s="25" t="s">
        <v>344</v>
      </c>
      <c r="I60" s="119"/>
      <c r="J60" s="120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spans="1:34" ht="14.25" customHeight="1">
      <c r="A61" s="23">
        <v>59</v>
      </c>
      <c r="B61" s="23" t="s">
        <v>361</v>
      </c>
      <c r="C61" s="23" t="s">
        <v>343</v>
      </c>
      <c r="D61" s="25">
        <v>42</v>
      </c>
      <c r="E61" s="25" t="s">
        <v>61</v>
      </c>
      <c r="F61" s="25" t="s">
        <v>112</v>
      </c>
      <c r="G61" s="41" t="s">
        <v>104</v>
      </c>
      <c r="H61" s="25" t="s">
        <v>344</v>
      </c>
      <c r="I61" s="119"/>
      <c r="J61" s="120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spans="1:34" ht="14.25" customHeight="1">
      <c r="A62" s="23">
        <v>60</v>
      </c>
      <c r="B62" s="23" t="s">
        <v>361</v>
      </c>
      <c r="C62" s="23" t="s">
        <v>345</v>
      </c>
      <c r="D62" s="25">
        <v>42.4</v>
      </c>
      <c r="E62" s="25" t="s">
        <v>61</v>
      </c>
      <c r="F62" s="25" t="s">
        <v>47</v>
      </c>
      <c r="G62" s="41" t="s">
        <v>104</v>
      </c>
      <c r="H62" s="25" t="s">
        <v>344</v>
      </c>
      <c r="I62" s="119"/>
      <c r="J62" s="120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34" ht="14.25" customHeight="1">
      <c r="A63" s="23">
        <v>61</v>
      </c>
      <c r="B63" s="23" t="s">
        <v>361</v>
      </c>
      <c r="C63" s="23" t="s">
        <v>346</v>
      </c>
      <c r="D63" s="25">
        <v>42.6</v>
      </c>
      <c r="E63" s="25" t="s">
        <v>61</v>
      </c>
      <c r="F63" s="25" t="s">
        <v>88</v>
      </c>
      <c r="G63" s="41" t="s">
        <v>104</v>
      </c>
      <c r="H63" s="25" t="s">
        <v>344</v>
      </c>
      <c r="I63" s="119"/>
      <c r="J63" s="120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34" ht="14.25" customHeight="1">
      <c r="A64" s="23">
        <v>62</v>
      </c>
      <c r="B64" s="23" t="s">
        <v>362</v>
      </c>
      <c r="C64" s="23" t="s">
        <v>343</v>
      </c>
      <c r="D64" s="25">
        <v>41.6</v>
      </c>
      <c r="E64" s="25" t="s">
        <v>61</v>
      </c>
      <c r="F64" s="25" t="s">
        <v>118</v>
      </c>
      <c r="G64" s="29" t="s">
        <v>54</v>
      </c>
      <c r="H64" s="25" t="s">
        <v>344</v>
      </c>
      <c r="I64" s="119"/>
      <c r="J64" s="120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34" ht="14.25" customHeight="1">
      <c r="A65" s="23">
        <v>63</v>
      </c>
      <c r="B65" s="23" t="s">
        <v>362</v>
      </c>
      <c r="C65" s="23" t="s">
        <v>347</v>
      </c>
      <c r="D65" s="25">
        <v>42</v>
      </c>
      <c r="E65" s="25" t="s">
        <v>61</v>
      </c>
      <c r="F65" s="25" t="s">
        <v>47</v>
      </c>
      <c r="G65" s="41" t="s">
        <v>104</v>
      </c>
      <c r="H65" s="25" t="s">
        <v>344</v>
      </c>
      <c r="I65" s="119"/>
      <c r="J65" s="120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34" ht="14.25" customHeight="1">
      <c r="A66" s="23">
        <v>64</v>
      </c>
      <c r="B66" s="23" t="s">
        <v>362</v>
      </c>
      <c r="C66" s="23" t="s">
        <v>345</v>
      </c>
      <c r="D66" s="25">
        <v>42.6</v>
      </c>
      <c r="E66" s="25" t="s">
        <v>61</v>
      </c>
      <c r="F66" s="25" t="s">
        <v>12</v>
      </c>
      <c r="G66" s="25"/>
      <c r="H66" s="25" t="s">
        <v>344</v>
      </c>
      <c r="I66" s="119"/>
      <c r="J66" s="120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34" ht="14.25" customHeight="1">
      <c r="A67" s="23">
        <v>65</v>
      </c>
      <c r="B67" s="23" t="s">
        <v>362</v>
      </c>
      <c r="C67" s="23" t="s">
        <v>346</v>
      </c>
      <c r="D67" s="25">
        <v>42.7</v>
      </c>
      <c r="E67" s="25" t="s">
        <v>61</v>
      </c>
      <c r="F67" s="25" t="s">
        <v>118</v>
      </c>
      <c r="G67" s="29" t="s">
        <v>54</v>
      </c>
      <c r="H67" s="25" t="s">
        <v>344</v>
      </c>
      <c r="I67" s="119"/>
      <c r="J67" s="120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34" ht="14.25" customHeight="1">
      <c r="A68" s="23">
        <v>66</v>
      </c>
      <c r="B68" s="23" t="s">
        <v>363</v>
      </c>
      <c r="C68" s="23" t="s">
        <v>343</v>
      </c>
      <c r="D68" s="25">
        <v>41.8</v>
      </c>
      <c r="E68" s="25" t="s">
        <v>61</v>
      </c>
      <c r="F68" s="25" t="s">
        <v>62</v>
      </c>
      <c r="G68" s="27" t="s">
        <v>54</v>
      </c>
      <c r="H68" s="25" t="s">
        <v>344</v>
      </c>
      <c r="I68" s="119"/>
      <c r="J68" s="120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34" ht="14.25" customHeight="1">
      <c r="A69" s="23">
        <v>67</v>
      </c>
      <c r="B69" s="23" t="s">
        <v>363</v>
      </c>
      <c r="C69" s="23" t="s">
        <v>347</v>
      </c>
      <c r="D69" s="25">
        <v>41.9</v>
      </c>
      <c r="E69" s="25" t="s">
        <v>61</v>
      </c>
      <c r="F69" s="25" t="s">
        <v>62</v>
      </c>
      <c r="G69" s="27" t="s">
        <v>54</v>
      </c>
      <c r="H69" s="25" t="s">
        <v>344</v>
      </c>
      <c r="I69" s="119"/>
      <c r="J69" s="120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spans="1:34" ht="14.25" customHeight="1">
      <c r="A70" s="23">
        <v>68</v>
      </c>
      <c r="B70" s="23" t="s">
        <v>363</v>
      </c>
      <c r="C70" s="23" t="s">
        <v>346</v>
      </c>
      <c r="D70" s="25">
        <v>42.4</v>
      </c>
      <c r="E70" s="25" t="s">
        <v>61</v>
      </c>
      <c r="F70" s="25" t="s">
        <v>62</v>
      </c>
      <c r="G70" s="27" t="s">
        <v>54</v>
      </c>
      <c r="H70" s="25" t="s">
        <v>344</v>
      </c>
      <c r="I70" s="119"/>
      <c r="J70" s="120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spans="1:34" ht="14.25" customHeight="1">
      <c r="A71" s="23">
        <v>69</v>
      </c>
      <c r="B71" s="23" t="s">
        <v>363</v>
      </c>
      <c r="C71" s="23" t="s">
        <v>345</v>
      </c>
      <c r="D71" s="25">
        <v>42.6</v>
      </c>
      <c r="E71" s="25" t="s">
        <v>61</v>
      </c>
      <c r="F71" s="25" t="s">
        <v>77</v>
      </c>
      <c r="G71" s="29" t="s">
        <v>54</v>
      </c>
      <c r="H71" s="25" t="s">
        <v>344</v>
      </c>
      <c r="I71" s="119"/>
      <c r="J71" s="120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spans="1:34" ht="14.25" customHeight="1">
      <c r="A72" s="23">
        <v>70</v>
      </c>
      <c r="B72" s="23" t="s">
        <v>364</v>
      </c>
      <c r="C72" s="23" t="s">
        <v>347</v>
      </c>
      <c r="D72" s="25">
        <v>42.4</v>
      </c>
      <c r="E72" s="25" t="s">
        <v>61</v>
      </c>
      <c r="F72" s="25" t="s">
        <v>36</v>
      </c>
      <c r="G72" s="29" t="s">
        <v>54</v>
      </c>
      <c r="H72" s="25" t="s">
        <v>344</v>
      </c>
      <c r="I72" s="119"/>
      <c r="J72" s="120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spans="1:34" ht="14.25" customHeight="1">
      <c r="A73" s="23">
        <v>71</v>
      </c>
      <c r="B73" s="23" t="s">
        <v>364</v>
      </c>
      <c r="C73" s="23" t="s">
        <v>346</v>
      </c>
      <c r="D73" s="25">
        <v>42.6</v>
      </c>
      <c r="E73" s="25" t="s">
        <v>61</v>
      </c>
      <c r="F73" s="25" t="s">
        <v>106</v>
      </c>
      <c r="G73" s="41" t="s">
        <v>104</v>
      </c>
      <c r="H73" s="25" t="s">
        <v>344</v>
      </c>
      <c r="I73" s="119"/>
      <c r="J73" s="120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spans="1:34" ht="14.25" customHeight="1">
      <c r="A74" s="23">
        <v>72</v>
      </c>
      <c r="B74" s="23" t="s">
        <v>364</v>
      </c>
      <c r="C74" s="23" t="s">
        <v>343</v>
      </c>
      <c r="D74" s="25">
        <v>42.7</v>
      </c>
      <c r="E74" s="25" t="s">
        <v>61</v>
      </c>
      <c r="F74" s="25" t="s">
        <v>36</v>
      </c>
      <c r="G74" s="41" t="s">
        <v>104</v>
      </c>
      <c r="H74" s="25" t="s">
        <v>344</v>
      </c>
      <c r="I74" s="119"/>
      <c r="J74" s="120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spans="1:34" ht="14.25" customHeight="1">
      <c r="A75" s="23">
        <v>73</v>
      </c>
      <c r="B75" s="23" t="s">
        <v>364</v>
      </c>
      <c r="C75" s="23" t="s">
        <v>345</v>
      </c>
      <c r="D75" s="25">
        <v>42.8</v>
      </c>
      <c r="E75" s="25" t="s">
        <v>61</v>
      </c>
      <c r="F75" s="25" t="s">
        <v>62</v>
      </c>
      <c r="G75" s="27" t="s">
        <v>54</v>
      </c>
      <c r="H75" s="25" t="s">
        <v>344</v>
      </c>
      <c r="I75" s="119"/>
      <c r="J75" s="120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spans="1:34" ht="14.25" customHeight="1">
      <c r="A76" s="23">
        <v>74</v>
      </c>
      <c r="B76" s="23" t="s">
        <v>365</v>
      </c>
      <c r="C76" s="23" t="s">
        <v>347</v>
      </c>
      <c r="D76" s="25">
        <v>41.8</v>
      </c>
      <c r="E76" s="25" t="s">
        <v>61</v>
      </c>
      <c r="F76" s="25" t="s">
        <v>112</v>
      </c>
      <c r="G76" s="41" t="s">
        <v>104</v>
      </c>
      <c r="H76" s="25" t="s">
        <v>344</v>
      </c>
      <c r="I76" s="119"/>
      <c r="J76" s="120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spans="1:34" ht="14.25" customHeight="1">
      <c r="A77" s="23">
        <v>75</v>
      </c>
      <c r="B77" s="23" t="s">
        <v>365</v>
      </c>
      <c r="C77" s="23" t="s">
        <v>343</v>
      </c>
      <c r="D77" s="25">
        <v>41.9</v>
      </c>
      <c r="E77" s="25" t="s">
        <v>61</v>
      </c>
      <c r="F77" s="25" t="s">
        <v>112</v>
      </c>
      <c r="G77" s="41" t="s">
        <v>104</v>
      </c>
      <c r="H77" s="25" t="s">
        <v>344</v>
      </c>
      <c r="I77" s="119"/>
      <c r="J77" s="120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spans="1:34" ht="14.25" customHeight="1">
      <c r="A78" s="23">
        <v>76</v>
      </c>
      <c r="B78" s="23" t="s">
        <v>365</v>
      </c>
      <c r="C78" s="23" t="s">
        <v>345</v>
      </c>
      <c r="D78" s="25">
        <v>42.4</v>
      </c>
      <c r="E78" s="25" t="s">
        <v>61</v>
      </c>
      <c r="F78" s="25" t="s">
        <v>51</v>
      </c>
      <c r="G78" s="25"/>
      <c r="H78" s="25" t="s">
        <v>344</v>
      </c>
      <c r="I78" s="119"/>
      <c r="J78" s="120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spans="1:34" ht="14.25" customHeight="1">
      <c r="A79" s="23">
        <v>77</v>
      </c>
      <c r="B79" s="23" t="s">
        <v>365</v>
      </c>
      <c r="C79" s="23" t="s">
        <v>346</v>
      </c>
      <c r="D79" s="25">
        <v>42.7</v>
      </c>
      <c r="E79" s="25" t="s">
        <v>61</v>
      </c>
      <c r="F79" s="25" t="s">
        <v>51</v>
      </c>
      <c r="G79" s="25"/>
      <c r="H79" s="25" t="s">
        <v>344</v>
      </c>
      <c r="I79" s="119"/>
      <c r="J79" s="120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spans="1:34" ht="14.25" customHeight="1">
      <c r="A80" s="23">
        <v>78</v>
      </c>
      <c r="B80" s="23" t="s">
        <v>366</v>
      </c>
      <c r="C80" s="23" t="s">
        <v>343</v>
      </c>
      <c r="D80" s="25">
        <v>41.9</v>
      </c>
      <c r="E80" s="25" t="s">
        <v>61</v>
      </c>
      <c r="F80" s="25" t="s">
        <v>12</v>
      </c>
      <c r="G80" s="25"/>
      <c r="H80" s="25" t="s">
        <v>344</v>
      </c>
      <c r="I80" s="119"/>
      <c r="J80" s="120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spans="1:34" ht="14.25" customHeight="1">
      <c r="A81" s="23">
        <v>79</v>
      </c>
      <c r="B81" s="23" t="s">
        <v>366</v>
      </c>
      <c r="C81" s="23" t="s">
        <v>347</v>
      </c>
      <c r="D81" s="25">
        <v>42.2</v>
      </c>
      <c r="E81" s="25" t="s">
        <v>61</v>
      </c>
      <c r="F81" s="25" t="s">
        <v>112</v>
      </c>
      <c r="G81" s="41" t="s">
        <v>104</v>
      </c>
      <c r="H81" s="25" t="s">
        <v>344</v>
      </c>
      <c r="I81" s="119"/>
      <c r="J81" s="120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spans="1:34" ht="14.25" customHeight="1">
      <c r="A82" s="23">
        <v>80</v>
      </c>
      <c r="B82" s="23" t="s">
        <v>367</v>
      </c>
      <c r="C82" s="23" t="s">
        <v>343</v>
      </c>
      <c r="D82" s="25">
        <v>41.7</v>
      </c>
      <c r="E82" s="25" t="s">
        <v>61</v>
      </c>
      <c r="F82" s="25" t="s">
        <v>55</v>
      </c>
      <c r="G82" s="41" t="s">
        <v>104</v>
      </c>
      <c r="H82" s="25" t="s">
        <v>344</v>
      </c>
      <c r="I82" s="119"/>
      <c r="J82" s="120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spans="1:34" ht="14.25" customHeight="1">
      <c r="A83" s="23">
        <v>81</v>
      </c>
      <c r="B83" s="23" t="s">
        <v>367</v>
      </c>
      <c r="C83" s="23" t="s">
        <v>347</v>
      </c>
      <c r="D83" s="25">
        <v>42.1</v>
      </c>
      <c r="E83" s="25" t="s">
        <v>61</v>
      </c>
      <c r="F83" s="25" t="s">
        <v>112</v>
      </c>
      <c r="G83" s="41" t="s">
        <v>104</v>
      </c>
      <c r="H83" s="25" t="s">
        <v>344</v>
      </c>
      <c r="I83" s="119"/>
      <c r="J83" s="120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spans="1:34" ht="14.25" customHeight="1">
      <c r="A84" s="23">
        <v>82</v>
      </c>
      <c r="B84" s="23" t="s">
        <v>368</v>
      </c>
      <c r="C84" s="23" t="s">
        <v>347</v>
      </c>
      <c r="D84" s="25">
        <v>42.4</v>
      </c>
      <c r="E84" s="25" t="s">
        <v>61</v>
      </c>
      <c r="F84" s="25" t="s">
        <v>69</v>
      </c>
      <c r="G84" s="41" t="s">
        <v>104</v>
      </c>
      <c r="H84" s="25" t="s">
        <v>344</v>
      </c>
      <c r="I84" s="119"/>
      <c r="J84" s="120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 spans="1:34" ht="14.25" customHeight="1">
      <c r="A85" s="23">
        <v>83</v>
      </c>
      <c r="B85" s="23" t="s">
        <v>368</v>
      </c>
      <c r="C85" s="23" t="s">
        <v>345</v>
      </c>
      <c r="D85" s="25">
        <v>42.7</v>
      </c>
      <c r="E85" s="25" t="s">
        <v>61</v>
      </c>
      <c r="F85" s="25" t="s">
        <v>77</v>
      </c>
      <c r="G85" s="29" t="s">
        <v>54</v>
      </c>
      <c r="H85" s="25" t="s">
        <v>344</v>
      </c>
      <c r="I85" s="119"/>
      <c r="J85" s="120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spans="1:34" ht="14.25" customHeight="1">
      <c r="A86" s="23">
        <v>84</v>
      </c>
      <c r="B86" s="23" t="s">
        <v>368</v>
      </c>
      <c r="C86" s="23" t="s">
        <v>346</v>
      </c>
      <c r="D86" s="25">
        <v>42.7</v>
      </c>
      <c r="E86" s="25" t="s">
        <v>61</v>
      </c>
      <c r="F86" s="25" t="s">
        <v>77</v>
      </c>
      <c r="G86" s="29" t="s">
        <v>54</v>
      </c>
      <c r="H86" s="25" t="s">
        <v>344</v>
      </c>
      <c r="I86" s="119"/>
      <c r="J86" s="120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spans="1:34" ht="14.25" customHeight="1">
      <c r="A87" s="23">
        <v>85</v>
      </c>
      <c r="B87" s="23" t="s">
        <v>368</v>
      </c>
      <c r="C87" s="23" t="s">
        <v>343</v>
      </c>
      <c r="D87" s="25">
        <v>42.9</v>
      </c>
      <c r="E87" s="25" t="s">
        <v>61</v>
      </c>
      <c r="F87" s="25" t="s">
        <v>77</v>
      </c>
      <c r="G87" s="29" t="s">
        <v>54</v>
      </c>
      <c r="H87" s="25" t="s">
        <v>344</v>
      </c>
      <c r="I87" s="119"/>
      <c r="J87" s="120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spans="1:34" ht="14.25" customHeight="1">
      <c r="A88" s="23">
        <v>86</v>
      </c>
      <c r="B88" s="23" t="s">
        <v>369</v>
      </c>
      <c r="C88" s="23" t="s">
        <v>343</v>
      </c>
      <c r="D88" s="25">
        <v>42.4</v>
      </c>
      <c r="E88" s="25" t="s">
        <v>61</v>
      </c>
      <c r="F88" s="25" t="s">
        <v>88</v>
      </c>
      <c r="G88" s="41" t="s">
        <v>104</v>
      </c>
      <c r="H88" s="25" t="s">
        <v>344</v>
      </c>
      <c r="I88" s="119"/>
      <c r="J88" s="120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spans="1:34" ht="14.25" customHeight="1">
      <c r="A89" s="23">
        <v>87</v>
      </c>
      <c r="B89" s="23" t="s">
        <v>369</v>
      </c>
      <c r="C89" s="23" t="s">
        <v>347</v>
      </c>
      <c r="D89" s="25">
        <v>42.4</v>
      </c>
      <c r="E89" s="25" t="s">
        <v>61</v>
      </c>
      <c r="F89" s="25" t="s">
        <v>79</v>
      </c>
      <c r="G89" s="41" t="s">
        <v>104</v>
      </c>
      <c r="H89" s="25" t="s">
        <v>344</v>
      </c>
      <c r="I89" s="119"/>
      <c r="J89" s="120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spans="1:34" ht="14.25" customHeight="1">
      <c r="A90" s="23">
        <v>88</v>
      </c>
      <c r="B90" s="23" t="s">
        <v>369</v>
      </c>
      <c r="C90" s="23" t="s">
        <v>345</v>
      </c>
      <c r="D90" s="25">
        <v>42.4</v>
      </c>
      <c r="E90" s="25" t="s">
        <v>61</v>
      </c>
      <c r="F90" s="25" t="s">
        <v>79</v>
      </c>
      <c r="G90" s="41" t="s">
        <v>104</v>
      </c>
      <c r="H90" s="25" t="s">
        <v>344</v>
      </c>
      <c r="I90" s="119"/>
      <c r="J90" s="120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spans="1:34" ht="14.25" customHeight="1">
      <c r="A91" s="133">
        <v>89</v>
      </c>
      <c r="B91" s="133" t="s">
        <v>369</v>
      </c>
      <c r="C91" s="134" t="s">
        <v>346</v>
      </c>
      <c r="D91" s="134" t="s">
        <v>370</v>
      </c>
      <c r="E91" s="135"/>
      <c r="F91" s="136" t="s">
        <v>69</v>
      </c>
      <c r="G91" s="41" t="s">
        <v>104</v>
      </c>
      <c r="H91" s="137"/>
      <c r="I91" s="138"/>
      <c r="J91" s="139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</row>
    <row r="92" spans="1:34" ht="14.25" customHeight="1">
      <c r="A92" s="23">
        <v>90</v>
      </c>
      <c r="B92" s="23" t="s">
        <v>371</v>
      </c>
      <c r="C92" s="23" t="s">
        <v>347</v>
      </c>
      <c r="D92" s="25">
        <v>56.5</v>
      </c>
      <c r="E92" s="25" t="s">
        <v>61</v>
      </c>
      <c r="F92" s="25" t="s">
        <v>89</v>
      </c>
      <c r="G92" s="26" t="s">
        <v>104</v>
      </c>
      <c r="H92" s="25" t="s">
        <v>372</v>
      </c>
      <c r="I92" s="119"/>
      <c r="J92" s="120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:34" ht="14.25" customHeight="1">
      <c r="A93" s="23">
        <v>91</v>
      </c>
      <c r="B93" s="23" t="s">
        <v>371</v>
      </c>
      <c r="C93" s="23" t="s">
        <v>345</v>
      </c>
      <c r="D93" s="25">
        <v>56.5</v>
      </c>
      <c r="E93" s="25" t="s">
        <v>61</v>
      </c>
      <c r="F93" s="25" t="s">
        <v>89</v>
      </c>
      <c r="G93" s="26" t="s">
        <v>104</v>
      </c>
      <c r="H93" s="25" t="s">
        <v>372</v>
      </c>
      <c r="I93" s="119"/>
      <c r="J93" s="120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:34" ht="14.25" customHeight="1">
      <c r="A94" s="23">
        <v>92</v>
      </c>
      <c r="B94" s="23" t="s">
        <v>371</v>
      </c>
      <c r="C94" s="23" t="s">
        <v>346</v>
      </c>
      <c r="D94" s="25">
        <v>56.5</v>
      </c>
      <c r="E94" s="25" t="s">
        <v>61</v>
      </c>
      <c r="F94" s="25" t="s">
        <v>89</v>
      </c>
      <c r="G94" s="26" t="s">
        <v>104</v>
      </c>
      <c r="H94" s="25" t="s">
        <v>372</v>
      </c>
      <c r="I94" s="119"/>
      <c r="J94" s="120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spans="1:34" ht="14.25" customHeight="1">
      <c r="A95" s="23">
        <v>93</v>
      </c>
      <c r="B95" s="23" t="s">
        <v>371</v>
      </c>
      <c r="C95" s="23" t="s">
        <v>343</v>
      </c>
      <c r="D95" s="25">
        <v>56.7</v>
      </c>
      <c r="E95" s="25" t="s">
        <v>61</v>
      </c>
      <c r="F95" s="25" t="s">
        <v>112</v>
      </c>
      <c r="G95" s="41" t="s">
        <v>104</v>
      </c>
      <c r="H95" s="25" t="s">
        <v>372</v>
      </c>
      <c r="I95" s="119"/>
      <c r="J95" s="120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spans="1:34" ht="14.25" customHeight="1">
      <c r="A96" s="23">
        <v>94</v>
      </c>
      <c r="B96" s="23" t="s">
        <v>373</v>
      </c>
      <c r="C96" s="23" t="s">
        <v>347</v>
      </c>
      <c r="D96" s="25">
        <v>56.3</v>
      </c>
      <c r="E96" s="25" t="s">
        <v>61</v>
      </c>
      <c r="F96" s="25" t="s">
        <v>77</v>
      </c>
      <c r="G96" s="29" t="s">
        <v>54</v>
      </c>
      <c r="H96" s="25" t="s">
        <v>372</v>
      </c>
      <c r="I96" s="119"/>
      <c r="J96" s="120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spans="1:34" ht="14.25" customHeight="1">
      <c r="A97" s="23">
        <v>95</v>
      </c>
      <c r="B97" s="23" t="s">
        <v>373</v>
      </c>
      <c r="C97" s="23" t="s">
        <v>345</v>
      </c>
      <c r="D97" s="25">
        <v>56.5</v>
      </c>
      <c r="E97" s="25" t="s">
        <v>61</v>
      </c>
      <c r="F97" s="25" t="s">
        <v>79</v>
      </c>
      <c r="G97" s="41" t="s">
        <v>104</v>
      </c>
      <c r="H97" s="25" t="s">
        <v>372</v>
      </c>
      <c r="I97" s="119"/>
      <c r="J97" s="120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spans="1:34" ht="14.25" customHeight="1">
      <c r="A98" s="23">
        <v>96</v>
      </c>
      <c r="B98" s="23" t="s">
        <v>373</v>
      </c>
      <c r="C98" s="23" t="s">
        <v>346</v>
      </c>
      <c r="D98" s="25">
        <v>56.7</v>
      </c>
      <c r="E98" s="25" t="s">
        <v>61</v>
      </c>
      <c r="F98" s="25" t="s">
        <v>79</v>
      </c>
      <c r="G98" s="41" t="s">
        <v>104</v>
      </c>
      <c r="H98" s="25" t="s">
        <v>372</v>
      </c>
      <c r="I98" s="119"/>
      <c r="J98" s="120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spans="1:34" ht="14.25" customHeight="1">
      <c r="A99" s="23">
        <v>97</v>
      </c>
      <c r="B99" s="23" t="s">
        <v>373</v>
      </c>
      <c r="C99" s="23" t="s">
        <v>343</v>
      </c>
      <c r="D99" s="25">
        <v>56.8</v>
      </c>
      <c r="E99" s="25" t="s">
        <v>61</v>
      </c>
      <c r="F99" s="25" t="s">
        <v>77</v>
      </c>
      <c r="G99" s="29" t="s">
        <v>54</v>
      </c>
      <c r="H99" s="25" t="s">
        <v>372</v>
      </c>
      <c r="I99" s="119"/>
      <c r="J99" s="120"/>
      <c r="K99" s="13"/>
      <c r="L99" s="25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spans="1:34" ht="14.25" customHeight="1">
      <c r="A100" s="23">
        <v>98</v>
      </c>
      <c r="B100" s="23" t="s">
        <v>374</v>
      </c>
      <c r="C100" s="23" t="s">
        <v>345</v>
      </c>
      <c r="D100" s="25">
        <v>56.4</v>
      </c>
      <c r="E100" s="25" t="s">
        <v>61</v>
      </c>
      <c r="F100" s="25" t="s">
        <v>150</v>
      </c>
      <c r="G100" s="41" t="s">
        <v>104</v>
      </c>
      <c r="H100" s="25" t="s">
        <v>372</v>
      </c>
      <c r="I100" s="119"/>
      <c r="J100" s="120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spans="1:34" ht="14.25" customHeight="1">
      <c r="A101" s="23">
        <v>99</v>
      </c>
      <c r="B101" s="23" t="s">
        <v>374</v>
      </c>
      <c r="C101" s="23" t="s">
        <v>346</v>
      </c>
      <c r="D101" s="25">
        <v>56.4</v>
      </c>
      <c r="E101" s="25" t="s">
        <v>61</v>
      </c>
      <c r="F101" s="25" t="s">
        <v>150</v>
      </c>
      <c r="G101" s="41" t="s">
        <v>104</v>
      </c>
      <c r="H101" s="25" t="s">
        <v>372</v>
      </c>
      <c r="I101" s="119"/>
      <c r="J101" s="120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spans="1:34" ht="14.25" customHeight="1">
      <c r="A102" s="23">
        <v>100</v>
      </c>
      <c r="B102" s="23" t="s">
        <v>374</v>
      </c>
      <c r="C102" s="23" t="s">
        <v>343</v>
      </c>
      <c r="D102" s="25">
        <v>56.6</v>
      </c>
      <c r="E102" s="25" t="s">
        <v>61</v>
      </c>
      <c r="F102" s="25" t="s">
        <v>118</v>
      </c>
      <c r="G102" s="29" t="s">
        <v>54</v>
      </c>
      <c r="H102" s="25" t="s">
        <v>372</v>
      </c>
      <c r="I102" s="119"/>
      <c r="J102" s="120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spans="1:34" ht="14.25" customHeight="1">
      <c r="A103" s="23">
        <v>101</v>
      </c>
      <c r="B103" s="23" t="s">
        <v>374</v>
      </c>
      <c r="C103" s="23" t="s">
        <v>347</v>
      </c>
      <c r="D103" s="25">
        <v>56.8</v>
      </c>
      <c r="E103" s="25" t="s">
        <v>61</v>
      </c>
      <c r="F103" s="41" t="s">
        <v>51</v>
      </c>
      <c r="G103" s="41" t="s">
        <v>104</v>
      </c>
      <c r="H103" s="25" t="s">
        <v>372</v>
      </c>
      <c r="I103" s="122" t="s">
        <v>68</v>
      </c>
      <c r="J103" s="141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spans="1:34" ht="14.25" customHeight="1">
      <c r="A104" s="23">
        <v>102</v>
      </c>
      <c r="B104" s="23" t="s">
        <v>375</v>
      </c>
      <c r="C104" s="23" t="s">
        <v>343</v>
      </c>
      <c r="D104" s="25">
        <v>46.8</v>
      </c>
      <c r="E104" s="25" t="s">
        <v>61</v>
      </c>
      <c r="F104" s="41" t="s">
        <v>77</v>
      </c>
      <c r="G104" s="41" t="s">
        <v>104</v>
      </c>
      <c r="H104" s="25" t="s">
        <v>376</v>
      </c>
      <c r="I104" s="122" t="s">
        <v>377</v>
      </c>
      <c r="J104" s="120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spans="1:34" ht="14.25" customHeight="1">
      <c r="A105" s="23">
        <v>103</v>
      </c>
      <c r="B105" s="23" t="s">
        <v>375</v>
      </c>
      <c r="C105" s="23" t="s">
        <v>347</v>
      </c>
      <c r="D105" s="25">
        <v>46.9</v>
      </c>
      <c r="E105" s="25" t="s">
        <v>61</v>
      </c>
      <c r="F105" s="25" t="s">
        <v>150</v>
      </c>
      <c r="G105" s="41" t="s">
        <v>104</v>
      </c>
      <c r="H105" s="25" t="s">
        <v>372</v>
      </c>
      <c r="I105" s="119"/>
      <c r="J105" s="120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spans="1:34" ht="14.25" customHeight="1">
      <c r="A106" s="23">
        <v>104</v>
      </c>
      <c r="B106" s="23" t="s">
        <v>378</v>
      </c>
      <c r="C106" s="23" t="s">
        <v>345</v>
      </c>
      <c r="D106" s="25">
        <v>56.5</v>
      </c>
      <c r="E106" s="25" t="s">
        <v>61</v>
      </c>
      <c r="F106" s="25" t="s">
        <v>79</v>
      </c>
      <c r="G106" s="29" t="s">
        <v>54</v>
      </c>
      <c r="H106" s="25" t="s">
        <v>372</v>
      </c>
      <c r="I106" s="119"/>
      <c r="J106" s="120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spans="1:34" ht="14.25" customHeight="1">
      <c r="A107" s="23">
        <v>105</v>
      </c>
      <c r="B107" s="23" t="s">
        <v>378</v>
      </c>
      <c r="C107" s="23" t="s">
        <v>346</v>
      </c>
      <c r="D107" s="25">
        <v>56.6</v>
      </c>
      <c r="E107" s="25" t="s">
        <v>61</v>
      </c>
      <c r="F107" s="25" t="s">
        <v>77</v>
      </c>
      <c r="G107" s="29" t="s">
        <v>54</v>
      </c>
      <c r="H107" s="25" t="s">
        <v>372</v>
      </c>
      <c r="I107" s="119"/>
      <c r="J107" s="120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spans="1:34" ht="14.25" customHeight="1">
      <c r="A108" s="23">
        <v>106</v>
      </c>
      <c r="B108" s="23" t="s">
        <v>378</v>
      </c>
      <c r="C108" s="23" t="s">
        <v>347</v>
      </c>
      <c r="D108" s="25">
        <v>56.6</v>
      </c>
      <c r="E108" s="25" t="s">
        <v>61</v>
      </c>
      <c r="F108" s="25" t="s">
        <v>112</v>
      </c>
      <c r="G108" s="41" t="s">
        <v>104</v>
      </c>
      <c r="H108" s="25" t="s">
        <v>372</v>
      </c>
      <c r="I108" s="119"/>
      <c r="J108" s="120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spans="1:34" ht="14.25" customHeight="1">
      <c r="A109" s="23">
        <v>107</v>
      </c>
      <c r="B109" s="23" t="s">
        <v>378</v>
      </c>
      <c r="C109" s="23" t="s">
        <v>343</v>
      </c>
      <c r="D109" s="25">
        <v>56.7</v>
      </c>
      <c r="E109" s="25" t="s">
        <v>61</v>
      </c>
      <c r="F109" s="25" t="s">
        <v>112</v>
      </c>
      <c r="G109" s="41" t="s">
        <v>104</v>
      </c>
      <c r="H109" s="25" t="s">
        <v>372</v>
      </c>
      <c r="I109" s="119"/>
      <c r="J109" s="120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spans="1:34" ht="14.25" customHeight="1">
      <c r="A110" s="23">
        <v>108</v>
      </c>
      <c r="B110" s="23" t="s">
        <v>379</v>
      </c>
      <c r="C110" s="23" t="s">
        <v>347</v>
      </c>
      <c r="D110" s="25">
        <v>56.4</v>
      </c>
      <c r="E110" s="25" t="s">
        <v>61</v>
      </c>
      <c r="F110" s="25" t="s">
        <v>88</v>
      </c>
      <c r="G110" s="29" t="s">
        <v>54</v>
      </c>
      <c r="H110" s="25" t="s">
        <v>372</v>
      </c>
      <c r="I110" s="119"/>
      <c r="J110" s="120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spans="1:34" ht="14.25" customHeight="1">
      <c r="A111" s="23">
        <v>109</v>
      </c>
      <c r="B111" s="23" t="s">
        <v>379</v>
      </c>
      <c r="C111" s="23" t="s">
        <v>345</v>
      </c>
      <c r="D111" s="25">
        <v>56.4</v>
      </c>
      <c r="E111" s="25" t="s">
        <v>61</v>
      </c>
      <c r="F111" s="25" t="s">
        <v>47</v>
      </c>
      <c r="G111" s="41" t="s">
        <v>104</v>
      </c>
      <c r="H111" s="25" t="s">
        <v>372</v>
      </c>
      <c r="I111" s="119"/>
      <c r="J111" s="120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spans="1:34" ht="14.25" customHeight="1">
      <c r="A112" s="23">
        <v>110</v>
      </c>
      <c r="B112" s="23" t="s">
        <v>379</v>
      </c>
      <c r="C112" s="23" t="s">
        <v>346</v>
      </c>
      <c r="D112" s="25">
        <v>56.5</v>
      </c>
      <c r="E112" s="25" t="s">
        <v>61</v>
      </c>
      <c r="F112" s="25" t="s">
        <v>118</v>
      </c>
      <c r="G112" s="29" t="s">
        <v>54</v>
      </c>
      <c r="H112" s="25" t="s">
        <v>372</v>
      </c>
      <c r="I112" s="119"/>
      <c r="J112" s="120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spans="1:34" ht="14.25" customHeight="1">
      <c r="A113" s="23">
        <v>111</v>
      </c>
      <c r="B113" s="23" t="s">
        <v>379</v>
      </c>
      <c r="C113" s="23" t="s">
        <v>343</v>
      </c>
      <c r="D113" s="25">
        <v>56.6</v>
      </c>
      <c r="E113" s="25" t="s">
        <v>61</v>
      </c>
      <c r="F113" s="25" t="s">
        <v>150</v>
      </c>
      <c r="G113" s="41" t="s">
        <v>104</v>
      </c>
      <c r="H113" s="25" t="s">
        <v>372</v>
      </c>
      <c r="I113" s="119"/>
      <c r="J113" s="120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spans="1:34" ht="14.25" customHeight="1">
      <c r="A114" s="23">
        <v>112</v>
      </c>
      <c r="B114" s="23" t="s">
        <v>380</v>
      </c>
      <c r="C114" s="23" t="s">
        <v>343</v>
      </c>
      <c r="D114" s="25">
        <v>56.4</v>
      </c>
      <c r="E114" s="25" t="s">
        <v>61</v>
      </c>
      <c r="F114" s="25" t="s">
        <v>77</v>
      </c>
      <c r="G114" s="29" t="s">
        <v>54</v>
      </c>
      <c r="H114" s="25" t="s">
        <v>372</v>
      </c>
      <c r="I114" s="119"/>
      <c r="J114" s="120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spans="1:34" ht="14.25" customHeight="1">
      <c r="A115" s="23">
        <v>113</v>
      </c>
      <c r="B115" s="23" t="s">
        <v>380</v>
      </c>
      <c r="C115" s="23" t="s">
        <v>347</v>
      </c>
      <c r="D115" s="25">
        <v>56.5</v>
      </c>
      <c r="E115" s="25" t="s">
        <v>61</v>
      </c>
      <c r="F115" s="25" t="s">
        <v>77</v>
      </c>
      <c r="G115" s="29" t="s">
        <v>54</v>
      </c>
      <c r="H115" s="25" t="s">
        <v>372</v>
      </c>
      <c r="I115" s="119"/>
      <c r="J115" s="120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spans="1:34" ht="14.25" customHeight="1">
      <c r="A116" s="23">
        <v>114</v>
      </c>
      <c r="B116" s="23" t="s">
        <v>380</v>
      </c>
      <c r="C116" s="23" t="s">
        <v>345</v>
      </c>
      <c r="D116" s="25">
        <v>56.5</v>
      </c>
      <c r="E116" s="25" t="s">
        <v>61</v>
      </c>
      <c r="F116" s="25" t="s">
        <v>77</v>
      </c>
      <c r="G116" s="29" t="s">
        <v>54</v>
      </c>
      <c r="H116" s="25" t="s">
        <v>372</v>
      </c>
      <c r="I116" s="119"/>
      <c r="J116" s="120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spans="1:34" ht="14.25" customHeight="1">
      <c r="A117" s="23">
        <v>115</v>
      </c>
      <c r="B117" s="23" t="s">
        <v>380</v>
      </c>
      <c r="C117" s="23" t="s">
        <v>346</v>
      </c>
      <c r="D117" s="25">
        <v>56.5</v>
      </c>
      <c r="E117" s="25" t="s">
        <v>61</v>
      </c>
      <c r="F117" s="25" t="s">
        <v>77</v>
      </c>
      <c r="G117" s="29" t="s">
        <v>54</v>
      </c>
      <c r="H117" s="25" t="s">
        <v>372</v>
      </c>
      <c r="I117" s="119"/>
      <c r="J117" s="120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spans="1:34" ht="14.25" customHeight="1">
      <c r="A118" s="23">
        <v>116</v>
      </c>
      <c r="B118" s="23" t="s">
        <v>381</v>
      </c>
      <c r="C118" s="23" t="s">
        <v>343</v>
      </c>
      <c r="D118" s="25">
        <v>47.1</v>
      </c>
      <c r="E118" s="25" t="s">
        <v>61</v>
      </c>
      <c r="F118" s="25" t="s">
        <v>55</v>
      </c>
      <c r="G118" s="41" t="s">
        <v>104</v>
      </c>
      <c r="H118" s="25" t="s">
        <v>376</v>
      </c>
      <c r="I118" s="119"/>
      <c r="J118" s="120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spans="1:34" ht="14.25" customHeight="1">
      <c r="A119" s="23">
        <v>117</v>
      </c>
      <c r="B119" s="23" t="s">
        <v>381</v>
      </c>
      <c r="C119" s="23" t="s">
        <v>347</v>
      </c>
      <c r="D119" s="25">
        <v>47.1</v>
      </c>
      <c r="E119" s="25" t="s">
        <v>61</v>
      </c>
      <c r="F119" s="25" t="s">
        <v>79</v>
      </c>
      <c r="G119" s="41" t="s">
        <v>104</v>
      </c>
      <c r="H119" s="25" t="s">
        <v>376</v>
      </c>
      <c r="I119" s="119"/>
      <c r="J119" s="120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spans="1:34" ht="14.25" customHeight="1">
      <c r="A120" s="23">
        <v>118</v>
      </c>
      <c r="B120" s="23" t="s">
        <v>381</v>
      </c>
      <c r="C120" s="23" t="s">
        <v>345</v>
      </c>
      <c r="D120" s="25">
        <v>47.1</v>
      </c>
      <c r="E120" s="25" t="s">
        <v>61</v>
      </c>
      <c r="F120" s="25" t="s">
        <v>12</v>
      </c>
      <c r="G120" s="25"/>
      <c r="H120" s="25" t="s">
        <v>376</v>
      </c>
      <c r="I120" s="119"/>
      <c r="J120" s="120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spans="1:34" ht="14.25" customHeight="1">
      <c r="A121" s="23">
        <v>119</v>
      </c>
      <c r="B121" s="23" t="s">
        <v>381</v>
      </c>
      <c r="C121" s="23" t="s">
        <v>346</v>
      </c>
      <c r="D121" s="25">
        <v>47.1</v>
      </c>
      <c r="E121" s="25" t="s">
        <v>61</v>
      </c>
      <c r="F121" s="25" t="s">
        <v>69</v>
      </c>
      <c r="G121" s="41" t="s">
        <v>104</v>
      </c>
      <c r="H121" s="25" t="s">
        <v>376</v>
      </c>
      <c r="I121" s="119"/>
      <c r="J121" s="120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spans="1:34" ht="14.25" customHeight="1">
      <c r="A122" s="23">
        <v>120</v>
      </c>
      <c r="B122" s="23" t="s">
        <v>382</v>
      </c>
      <c r="C122" s="23" t="s">
        <v>345</v>
      </c>
      <c r="D122" s="25">
        <v>42.1</v>
      </c>
      <c r="E122" s="25" t="s">
        <v>61</v>
      </c>
      <c r="F122" s="25" t="s">
        <v>55</v>
      </c>
      <c r="G122" s="41" t="s">
        <v>104</v>
      </c>
      <c r="H122" s="25" t="s">
        <v>383</v>
      </c>
      <c r="I122" s="119"/>
      <c r="J122" s="120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spans="1:34" ht="14.25" customHeight="1">
      <c r="A123" s="23">
        <v>121</v>
      </c>
      <c r="B123" s="23" t="s">
        <v>382</v>
      </c>
      <c r="C123" s="23" t="s">
        <v>346</v>
      </c>
      <c r="D123" s="25">
        <v>42.1</v>
      </c>
      <c r="E123" s="25" t="s">
        <v>61</v>
      </c>
      <c r="F123" s="25" t="s">
        <v>124</v>
      </c>
      <c r="G123" s="26" t="s">
        <v>104</v>
      </c>
      <c r="H123" s="25" t="s">
        <v>383</v>
      </c>
      <c r="I123" s="119"/>
      <c r="J123" s="120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spans="1:34" ht="14.25" customHeight="1">
      <c r="A124" s="23">
        <v>122</v>
      </c>
      <c r="B124" s="23" t="s">
        <v>382</v>
      </c>
      <c r="C124" s="23" t="s">
        <v>343</v>
      </c>
      <c r="D124" s="25">
        <v>42.2</v>
      </c>
      <c r="E124" s="25" t="s">
        <v>61</v>
      </c>
      <c r="F124" s="25" t="s">
        <v>12</v>
      </c>
      <c r="G124" s="25"/>
      <c r="H124" s="25" t="s">
        <v>383</v>
      </c>
      <c r="I124" s="119"/>
      <c r="J124" s="120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spans="1:34" ht="14.25" customHeight="1">
      <c r="A125" s="23">
        <v>123</v>
      </c>
      <c r="B125" s="23" t="s">
        <v>382</v>
      </c>
      <c r="C125" s="23" t="s">
        <v>347</v>
      </c>
      <c r="D125" s="25">
        <v>42.3</v>
      </c>
      <c r="E125" s="25" t="s">
        <v>61</v>
      </c>
      <c r="F125" s="25" t="s">
        <v>55</v>
      </c>
      <c r="G125" s="41" t="s">
        <v>104</v>
      </c>
      <c r="H125" s="25" t="s">
        <v>383</v>
      </c>
      <c r="I125" s="119"/>
      <c r="J125" s="120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spans="1:34" ht="14.25" customHeight="1">
      <c r="A126" s="23">
        <v>124</v>
      </c>
      <c r="B126" s="23" t="s">
        <v>384</v>
      </c>
      <c r="C126" s="23" t="s">
        <v>345</v>
      </c>
      <c r="D126" s="25">
        <v>42.6</v>
      </c>
      <c r="E126" s="25" t="s">
        <v>61</v>
      </c>
      <c r="F126" s="25" t="s">
        <v>77</v>
      </c>
      <c r="G126" s="29" t="s">
        <v>54</v>
      </c>
      <c r="H126" s="25" t="s">
        <v>383</v>
      </c>
      <c r="I126" s="119"/>
      <c r="J126" s="120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spans="1:34" ht="14.25" customHeight="1">
      <c r="A127" s="23">
        <v>125</v>
      </c>
      <c r="B127" s="23" t="s">
        <v>384</v>
      </c>
      <c r="C127" s="23" t="s">
        <v>346</v>
      </c>
      <c r="D127" s="25">
        <v>42.6</v>
      </c>
      <c r="E127" s="25" t="s">
        <v>61</v>
      </c>
      <c r="F127" s="25" t="s">
        <v>55</v>
      </c>
      <c r="G127" s="41" t="s">
        <v>104</v>
      </c>
      <c r="H127" s="25" t="s">
        <v>383</v>
      </c>
      <c r="I127" s="119"/>
      <c r="J127" s="120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spans="1:34" ht="14.25" customHeight="1">
      <c r="A128" s="23">
        <v>126</v>
      </c>
      <c r="B128" s="23" t="s">
        <v>384</v>
      </c>
      <c r="C128" s="23" t="s">
        <v>347</v>
      </c>
      <c r="D128" s="25">
        <v>42.9</v>
      </c>
      <c r="E128" s="25" t="s">
        <v>61</v>
      </c>
      <c r="F128" s="25" t="s">
        <v>62</v>
      </c>
      <c r="G128" s="27" t="s">
        <v>54</v>
      </c>
      <c r="H128" s="25" t="s">
        <v>383</v>
      </c>
      <c r="I128" s="119"/>
      <c r="J128" s="120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spans="1:34" ht="14.25" customHeight="1">
      <c r="A129" s="23">
        <v>127</v>
      </c>
      <c r="B129" s="23" t="s">
        <v>384</v>
      </c>
      <c r="C129" s="23" t="s">
        <v>343</v>
      </c>
      <c r="D129" s="25">
        <v>43.1</v>
      </c>
      <c r="E129" s="25" t="s">
        <v>61</v>
      </c>
      <c r="F129" s="25" t="s">
        <v>88</v>
      </c>
      <c r="G129" s="41" t="s">
        <v>104</v>
      </c>
      <c r="H129" s="25" t="s">
        <v>383</v>
      </c>
      <c r="I129" s="119"/>
      <c r="J129" s="120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spans="1:34" ht="14.25" customHeight="1">
      <c r="A130" s="23">
        <v>128</v>
      </c>
      <c r="B130" s="23" t="s">
        <v>385</v>
      </c>
      <c r="C130" s="23" t="s">
        <v>347</v>
      </c>
      <c r="D130" s="25">
        <v>42.6</v>
      </c>
      <c r="E130" s="25" t="s">
        <v>61</v>
      </c>
      <c r="F130" s="25" t="s">
        <v>88</v>
      </c>
      <c r="G130" s="41" t="s">
        <v>104</v>
      </c>
      <c r="H130" s="25" t="s">
        <v>383</v>
      </c>
      <c r="I130" s="119"/>
      <c r="J130" s="120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spans="1:34" ht="14.25" customHeight="1">
      <c r="A131" s="23">
        <v>129</v>
      </c>
      <c r="B131" s="23" t="s">
        <v>385</v>
      </c>
      <c r="C131" s="23" t="s">
        <v>343</v>
      </c>
      <c r="D131" s="25">
        <v>42.8</v>
      </c>
      <c r="E131" s="25" t="s">
        <v>61</v>
      </c>
      <c r="F131" s="25" t="s">
        <v>79</v>
      </c>
      <c r="G131" s="41" t="s">
        <v>104</v>
      </c>
      <c r="H131" s="25" t="s">
        <v>383</v>
      </c>
      <c r="I131" s="119"/>
      <c r="J131" s="120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spans="1:34" ht="14.25" customHeight="1">
      <c r="A132" s="23">
        <v>130</v>
      </c>
      <c r="B132" s="23" t="s">
        <v>385</v>
      </c>
      <c r="C132" s="23" t="s">
        <v>346</v>
      </c>
      <c r="D132" s="25">
        <v>42.8</v>
      </c>
      <c r="E132" s="25" t="s">
        <v>61</v>
      </c>
      <c r="F132" s="25" t="s">
        <v>79</v>
      </c>
      <c r="G132" s="41" t="s">
        <v>104</v>
      </c>
      <c r="H132" s="25" t="s">
        <v>383</v>
      </c>
      <c r="I132" s="119"/>
      <c r="J132" s="120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spans="1:34" ht="14.25" customHeight="1">
      <c r="A133" s="23">
        <v>131</v>
      </c>
      <c r="B133" s="23" t="s">
        <v>385</v>
      </c>
      <c r="C133" s="23" t="s">
        <v>345</v>
      </c>
      <c r="D133" s="25">
        <v>43</v>
      </c>
      <c r="E133" s="25" t="s">
        <v>61</v>
      </c>
      <c r="F133" s="25" t="s">
        <v>112</v>
      </c>
      <c r="G133" s="41" t="s">
        <v>104</v>
      </c>
      <c r="H133" s="25" t="s">
        <v>383</v>
      </c>
      <c r="I133" s="119"/>
      <c r="J133" s="120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spans="1:34" ht="14.25" customHeight="1">
      <c r="A134" s="23">
        <v>132</v>
      </c>
      <c r="B134" s="23" t="s">
        <v>386</v>
      </c>
      <c r="C134" s="23" t="s">
        <v>345</v>
      </c>
      <c r="D134" s="25">
        <v>42</v>
      </c>
      <c r="E134" s="25" t="s">
        <v>61</v>
      </c>
      <c r="F134" s="25" t="s">
        <v>89</v>
      </c>
      <c r="G134" s="26" t="s">
        <v>104</v>
      </c>
      <c r="H134" s="25" t="s">
        <v>383</v>
      </c>
      <c r="I134" s="119"/>
      <c r="J134" s="120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spans="1:34" ht="14.25" customHeight="1">
      <c r="A135" s="23">
        <v>133</v>
      </c>
      <c r="B135" s="23" t="s">
        <v>386</v>
      </c>
      <c r="C135" s="23" t="s">
        <v>343</v>
      </c>
      <c r="D135" s="25">
        <v>42.1</v>
      </c>
      <c r="E135" s="25" t="s">
        <v>61</v>
      </c>
      <c r="F135" s="25" t="s">
        <v>36</v>
      </c>
      <c r="G135" s="26" t="s">
        <v>104</v>
      </c>
      <c r="H135" s="25" t="s">
        <v>383</v>
      </c>
      <c r="I135" s="119"/>
      <c r="J135" s="120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spans="1:34" ht="14.25" customHeight="1">
      <c r="A136" s="23">
        <v>134</v>
      </c>
      <c r="B136" s="23" t="s">
        <v>386</v>
      </c>
      <c r="C136" s="23" t="s">
        <v>347</v>
      </c>
      <c r="D136" s="25">
        <v>42.1</v>
      </c>
      <c r="E136" s="25" t="s">
        <v>61</v>
      </c>
      <c r="F136" s="25" t="s">
        <v>36</v>
      </c>
      <c r="G136" s="26" t="s">
        <v>104</v>
      </c>
      <c r="H136" s="25" t="s">
        <v>383</v>
      </c>
      <c r="I136" s="119"/>
      <c r="J136" s="120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spans="1:34" ht="14.25" customHeight="1">
      <c r="A137" s="23">
        <v>135</v>
      </c>
      <c r="B137" s="23" t="s">
        <v>386</v>
      </c>
      <c r="C137" s="23" t="s">
        <v>346</v>
      </c>
      <c r="D137" s="25">
        <v>42.3</v>
      </c>
      <c r="E137" s="25" t="s">
        <v>61</v>
      </c>
      <c r="F137" s="25" t="s">
        <v>51</v>
      </c>
      <c r="G137" s="25"/>
      <c r="H137" s="25" t="s">
        <v>383</v>
      </c>
      <c r="I137" s="119"/>
      <c r="J137" s="120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spans="1:34" ht="14.25" customHeight="1">
      <c r="A138" s="23">
        <v>136</v>
      </c>
      <c r="B138" s="23" t="s">
        <v>387</v>
      </c>
      <c r="C138" s="23" t="s">
        <v>345</v>
      </c>
      <c r="D138" s="25">
        <v>56.5</v>
      </c>
      <c r="E138" s="25" t="s">
        <v>61</v>
      </c>
      <c r="F138" s="25" t="s">
        <v>12</v>
      </c>
      <c r="G138" s="25"/>
      <c r="H138" s="25" t="s">
        <v>372</v>
      </c>
      <c r="I138" s="119"/>
      <c r="J138" s="120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spans="1:34" ht="14.25" customHeight="1">
      <c r="A139" s="23">
        <v>137</v>
      </c>
      <c r="B139" s="23" t="s">
        <v>387</v>
      </c>
      <c r="C139" s="23" t="s">
        <v>346</v>
      </c>
      <c r="D139" s="25">
        <v>56.5</v>
      </c>
      <c r="E139" s="25" t="s">
        <v>61</v>
      </c>
      <c r="F139" s="25" t="s">
        <v>150</v>
      </c>
      <c r="G139" s="41" t="s">
        <v>104</v>
      </c>
      <c r="H139" s="25" t="s">
        <v>372</v>
      </c>
      <c r="I139" s="119"/>
      <c r="J139" s="120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spans="1:34" ht="14.25" customHeight="1">
      <c r="A140" s="23">
        <v>138</v>
      </c>
      <c r="B140" s="23" t="s">
        <v>387</v>
      </c>
      <c r="C140" s="23" t="s">
        <v>343</v>
      </c>
      <c r="D140" s="25">
        <v>56.7</v>
      </c>
      <c r="E140" s="25" t="s">
        <v>61</v>
      </c>
      <c r="F140" s="25" t="s">
        <v>118</v>
      </c>
      <c r="G140" s="29" t="s">
        <v>54</v>
      </c>
      <c r="H140" s="25" t="s">
        <v>372</v>
      </c>
      <c r="I140" s="119"/>
      <c r="J140" s="120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spans="1:34" ht="14.25" customHeight="1">
      <c r="A141" s="23">
        <v>139</v>
      </c>
      <c r="B141" s="23" t="s">
        <v>387</v>
      </c>
      <c r="C141" s="23" t="s">
        <v>347</v>
      </c>
      <c r="D141" s="25">
        <v>56.9</v>
      </c>
      <c r="E141" s="25" t="s">
        <v>61</v>
      </c>
      <c r="F141" s="25" t="s">
        <v>47</v>
      </c>
      <c r="G141" s="41"/>
      <c r="H141" s="25" t="s">
        <v>372</v>
      </c>
      <c r="I141" s="119"/>
      <c r="J141" s="120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spans="1:34" ht="14.25" customHeight="1">
      <c r="A142" s="23">
        <v>140</v>
      </c>
      <c r="B142" s="23" t="s">
        <v>388</v>
      </c>
      <c r="C142" s="23" t="s">
        <v>345</v>
      </c>
      <c r="D142" s="25">
        <v>56.5</v>
      </c>
      <c r="E142" s="25" t="s">
        <v>61</v>
      </c>
      <c r="F142" s="25" t="s">
        <v>88</v>
      </c>
      <c r="G142" s="41" t="s">
        <v>104</v>
      </c>
      <c r="H142" s="25" t="s">
        <v>372</v>
      </c>
      <c r="I142" s="119"/>
      <c r="J142" s="120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spans="1:34" ht="14.25" customHeight="1">
      <c r="A143" s="23">
        <v>141</v>
      </c>
      <c r="B143" s="23" t="s">
        <v>388</v>
      </c>
      <c r="C143" s="23" t="s">
        <v>346</v>
      </c>
      <c r="D143" s="25">
        <v>56.5</v>
      </c>
      <c r="E143" s="25" t="s">
        <v>61</v>
      </c>
      <c r="F143" s="25" t="s">
        <v>79</v>
      </c>
      <c r="G143" s="41" t="s">
        <v>104</v>
      </c>
      <c r="H143" s="25" t="s">
        <v>372</v>
      </c>
      <c r="I143" s="119"/>
      <c r="J143" s="120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spans="1:34" ht="14.25" customHeight="1">
      <c r="A144" s="23">
        <v>142</v>
      </c>
      <c r="B144" s="23" t="s">
        <v>388</v>
      </c>
      <c r="C144" s="23" t="s">
        <v>343</v>
      </c>
      <c r="D144" s="25">
        <v>56.6</v>
      </c>
      <c r="E144" s="25" t="s">
        <v>61</v>
      </c>
      <c r="F144" s="25" t="s">
        <v>112</v>
      </c>
      <c r="G144" s="41" t="s">
        <v>104</v>
      </c>
      <c r="H144" s="25" t="s">
        <v>372</v>
      </c>
      <c r="I144" s="119"/>
      <c r="J144" s="120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spans="1:34" ht="14.25" customHeight="1">
      <c r="A145" s="23">
        <v>143</v>
      </c>
      <c r="B145" s="23" t="s">
        <v>388</v>
      </c>
      <c r="C145" s="23" t="s">
        <v>347</v>
      </c>
      <c r="D145" s="25">
        <v>56.8</v>
      </c>
      <c r="E145" s="25" t="s">
        <v>61</v>
      </c>
      <c r="F145" s="25" t="s">
        <v>36</v>
      </c>
      <c r="G145" s="41" t="s">
        <v>104</v>
      </c>
      <c r="H145" s="25" t="s">
        <v>372</v>
      </c>
      <c r="I145" s="119"/>
      <c r="J145" s="120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spans="1:34" ht="14.25" customHeight="1">
      <c r="A146" s="23">
        <v>144</v>
      </c>
      <c r="B146" s="23" t="s">
        <v>389</v>
      </c>
      <c r="C146" s="23" t="s">
        <v>347</v>
      </c>
      <c r="D146" s="25">
        <v>56.3</v>
      </c>
      <c r="E146" s="25" t="s">
        <v>61</v>
      </c>
      <c r="F146" s="25" t="s">
        <v>150</v>
      </c>
      <c r="G146" s="41" t="s">
        <v>104</v>
      </c>
      <c r="H146" s="25" t="s">
        <v>372</v>
      </c>
      <c r="I146" s="119"/>
      <c r="J146" s="120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spans="1:34" ht="14.25" customHeight="1">
      <c r="A147" s="23">
        <v>145</v>
      </c>
      <c r="B147" s="23" t="s">
        <v>389</v>
      </c>
      <c r="C147" s="23" t="s">
        <v>345</v>
      </c>
      <c r="D147" s="25">
        <v>56.5</v>
      </c>
      <c r="E147" s="25" t="s">
        <v>61</v>
      </c>
      <c r="F147" s="25" t="s">
        <v>12</v>
      </c>
      <c r="G147" s="25"/>
      <c r="H147" s="25" t="s">
        <v>372</v>
      </c>
      <c r="I147" s="119"/>
      <c r="J147" s="120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spans="1:34" ht="14.25" customHeight="1">
      <c r="A148" s="23">
        <v>146</v>
      </c>
      <c r="B148" s="23" t="s">
        <v>389</v>
      </c>
      <c r="C148" s="23" t="s">
        <v>346</v>
      </c>
      <c r="D148" s="25">
        <v>56.5</v>
      </c>
      <c r="E148" s="25" t="s">
        <v>61</v>
      </c>
      <c r="F148" s="25" t="s">
        <v>55</v>
      </c>
      <c r="G148" s="41" t="s">
        <v>104</v>
      </c>
      <c r="H148" s="25" t="s">
        <v>372</v>
      </c>
      <c r="I148" s="119"/>
      <c r="J148" s="120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spans="1:34" ht="14.25" customHeight="1">
      <c r="A149" s="23">
        <v>147</v>
      </c>
      <c r="B149" s="23" t="s">
        <v>389</v>
      </c>
      <c r="C149" s="23" t="s">
        <v>343</v>
      </c>
      <c r="D149" s="25">
        <v>56.7</v>
      </c>
      <c r="E149" s="25" t="s">
        <v>61</v>
      </c>
      <c r="F149" s="25" t="s">
        <v>12</v>
      </c>
      <c r="G149" s="25"/>
      <c r="H149" s="25" t="s">
        <v>372</v>
      </c>
      <c r="I149" s="119"/>
      <c r="J149" s="120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spans="1:34" ht="14.25" customHeight="1">
      <c r="A150" s="23">
        <v>148</v>
      </c>
      <c r="B150" s="23" t="s">
        <v>390</v>
      </c>
      <c r="C150" s="23" t="s">
        <v>346</v>
      </c>
      <c r="D150" s="25">
        <v>56.1</v>
      </c>
      <c r="E150" s="25" t="s">
        <v>61</v>
      </c>
      <c r="F150" s="25" t="s">
        <v>55</v>
      </c>
      <c r="G150" s="41" t="s">
        <v>104</v>
      </c>
      <c r="H150" s="25" t="s">
        <v>372</v>
      </c>
      <c r="I150" s="119"/>
      <c r="J150" s="120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spans="1:34" ht="14.25" customHeight="1">
      <c r="A151" s="23">
        <v>149</v>
      </c>
      <c r="B151" s="23" t="s">
        <v>390</v>
      </c>
      <c r="C151" s="23" t="s">
        <v>345</v>
      </c>
      <c r="D151" s="25">
        <v>56.4</v>
      </c>
      <c r="E151" s="25" t="s">
        <v>61</v>
      </c>
      <c r="F151" s="25" t="s">
        <v>55</v>
      </c>
      <c r="G151" s="41" t="s">
        <v>104</v>
      </c>
      <c r="H151" s="25" t="s">
        <v>372</v>
      </c>
      <c r="I151" s="119"/>
      <c r="J151" s="120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spans="1:34" ht="14.25" customHeight="1">
      <c r="A152" s="23">
        <v>150</v>
      </c>
      <c r="B152" s="23" t="s">
        <v>390</v>
      </c>
      <c r="C152" s="23" t="s">
        <v>343</v>
      </c>
      <c r="D152" s="25">
        <v>56.6</v>
      </c>
      <c r="E152" s="25" t="s">
        <v>61</v>
      </c>
      <c r="F152" s="25" t="s">
        <v>55</v>
      </c>
      <c r="G152" s="41" t="s">
        <v>104</v>
      </c>
      <c r="H152" s="25" t="s">
        <v>372</v>
      </c>
      <c r="I152" s="119"/>
      <c r="J152" s="120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spans="1:34" ht="14.25" customHeight="1">
      <c r="A153" s="23">
        <v>151</v>
      </c>
      <c r="B153" s="23" t="s">
        <v>390</v>
      </c>
      <c r="C153" s="23" t="s">
        <v>347</v>
      </c>
      <c r="D153" s="25">
        <v>56.6</v>
      </c>
      <c r="E153" s="25" t="s">
        <v>61</v>
      </c>
      <c r="F153" s="25" t="s">
        <v>55</v>
      </c>
      <c r="G153" s="41" t="s">
        <v>104</v>
      </c>
      <c r="H153" s="25" t="s">
        <v>372</v>
      </c>
      <c r="I153" s="119"/>
      <c r="J153" s="120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spans="1:34" ht="14.25" customHeight="1">
      <c r="A154" s="23">
        <v>152</v>
      </c>
      <c r="B154" s="23" t="s">
        <v>391</v>
      </c>
      <c r="C154" s="23" t="s">
        <v>346</v>
      </c>
      <c r="D154" s="25">
        <v>56.5</v>
      </c>
      <c r="E154" s="25" t="s">
        <v>61</v>
      </c>
      <c r="F154" s="25" t="s">
        <v>47</v>
      </c>
      <c r="G154" s="41" t="s">
        <v>104</v>
      </c>
      <c r="H154" s="25" t="s">
        <v>372</v>
      </c>
      <c r="I154" s="119"/>
      <c r="J154" s="120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spans="1:34" ht="14.25" customHeight="1">
      <c r="A155" s="23">
        <v>153</v>
      </c>
      <c r="B155" s="23" t="s">
        <v>391</v>
      </c>
      <c r="C155" s="23" t="s">
        <v>343</v>
      </c>
      <c r="D155" s="25">
        <v>56.6</v>
      </c>
      <c r="E155" s="25" t="s">
        <v>61</v>
      </c>
      <c r="F155" s="25" t="s">
        <v>112</v>
      </c>
      <c r="G155" s="41" t="s">
        <v>104</v>
      </c>
      <c r="H155" s="25" t="s">
        <v>372</v>
      </c>
      <c r="I155" s="119"/>
      <c r="J155" s="120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spans="1:34" ht="14.25" customHeight="1">
      <c r="A156" s="23">
        <v>154</v>
      </c>
      <c r="B156" s="23" t="s">
        <v>391</v>
      </c>
      <c r="C156" s="23" t="s">
        <v>345</v>
      </c>
      <c r="D156" s="25">
        <v>56.6</v>
      </c>
      <c r="E156" s="25" t="s">
        <v>61</v>
      </c>
      <c r="F156" s="25" t="s">
        <v>47</v>
      </c>
      <c r="G156" s="41" t="s">
        <v>104</v>
      </c>
      <c r="H156" s="25" t="s">
        <v>372</v>
      </c>
      <c r="I156" s="119"/>
      <c r="J156" s="120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spans="1:34" ht="14.25" customHeight="1">
      <c r="A157" s="23">
        <v>155</v>
      </c>
      <c r="B157" s="23" t="s">
        <v>391</v>
      </c>
      <c r="C157" s="23" t="s">
        <v>347</v>
      </c>
      <c r="D157" s="25">
        <v>56.9</v>
      </c>
      <c r="E157" s="25" t="s">
        <v>61</v>
      </c>
      <c r="F157" s="25" t="s">
        <v>55</v>
      </c>
      <c r="G157" s="41" t="s">
        <v>104</v>
      </c>
      <c r="H157" s="25" t="s">
        <v>372</v>
      </c>
      <c r="I157" s="119"/>
      <c r="J157" s="120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spans="1:34" ht="14.25" customHeight="1">
      <c r="A158" s="23">
        <v>156</v>
      </c>
      <c r="B158" s="23" t="s">
        <v>392</v>
      </c>
      <c r="C158" s="23" t="s">
        <v>345</v>
      </c>
      <c r="D158" s="25">
        <v>56.5</v>
      </c>
      <c r="E158" s="25" t="s">
        <v>61</v>
      </c>
      <c r="F158" s="25" t="s">
        <v>88</v>
      </c>
      <c r="G158" s="41" t="s">
        <v>104</v>
      </c>
      <c r="H158" s="25" t="s">
        <v>372</v>
      </c>
      <c r="I158" s="119"/>
      <c r="J158" s="120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spans="1:34" ht="14.25" customHeight="1">
      <c r="A159" s="23">
        <v>157</v>
      </c>
      <c r="B159" s="23" t="s">
        <v>392</v>
      </c>
      <c r="C159" s="23" t="s">
        <v>346</v>
      </c>
      <c r="D159" s="25">
        <v>56.6</v>
      </c>
      <c r="E159" s="25" t="s">
        <v>61</v>
      </c>
      <c r="F159" s="25" t="s">
        <v>89</v>
      </c>
      <c r="G159" s="26" t="s">
        <v>104</v>
      </c>
      <c r="H159" s="25" t="s">
        <v>372</v>
      </c>
      <c r="I159" s="119"/>
      <c r="J159" s="120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spans="1:34" ht="14.25" customHeight="1">
      <c r="A160" s="23">
        <v>158</v>
      </c>
      <c r="B160" s="23" t="s">
        <v>392</v>
      </c>
      <c r="C160" s="23" t="s">
        <v>343</v>
      </c>
      <c r="D160" s="25">
        <v>56.6</v>
      </c>
      <c r="E160" s="25" t="s">
        <v>61</v>
      </c>
      <c r="F160" s="25" t="s">
        <v>51</v>
      </c>
      <c r="G160" s="26"/>
      <c r="H160" s="25" t="s">
        <v>372</v>
      </c>
      <c r="I160" s="119"/>
      <c r="J160" s="120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spans="1:34" ht="14.25" customHeight="1">
      <c r="A161" s="23">
        <v>159</v>
      </c>
      <c r="B161" s="23" t="s">
        <v>392</v>
      </c>
      <c r="C161" s="23" t="s">
        <v>347</v>
      </c>
      <c r="D161" s="25">
        <v>56.7</v>
      </c>
      <c r="E161" s="25" t="s">
        <v>61</v>
      </c>
      <c r="F161" s="25" t="s">
        <v>36</v>
      </c>
      <c r="G161" s="26" t="s">
        <v>104</v>
      </c>
      <c r="H161" s="25" t="s">
        <v>372</v>
      </c>
      <c r="I161" s="119"/>
      <c r="J161" s="120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spans="1:34" ht="14.25" customHeight="1">
      <c r="A162" s="23">
        <v>160</v>
      </c>
      <c r="B162" s="23" t="s">
        <v>393</v>
      </c>
      <c r="C162" s="23" t="s">
        <v>343</v>
      </c>
      <c r="D162" s="25">
        <v>56.6</v>
      </c>
      <c r="E162" s="25" t="s">
        <v>61</v>
      </c>
      <c r="F162" s="25" t="s">
        <v>36</v>
      </c>
      <c r="G162" s="26" t="s">
        <v>104</v>
      </c>
      <c r="H162" s="25" t="s">
        <v>372</v>
      </c>
      <c r="I162" s="119"/>
      <c r="J162" s="120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spans="1:34" ht="14.25" customHeight="1">
      <c r="A163" s="23">
        <v>161</v>
      </c>
      <c r="B163" s="23" t="s">
        <v>393</v>
      </c>
      <c r="C163" s="23" t="s">
        <v>345</v>
      </c>
      <c r="D163" s="25">
        <v>56.7</v>
      </c>
      <c r="E163" s="25" t="s">
        <v>61</v>
      </c>
      <c r="F163" s="25" t="s">
        <v>36</v>
      </c>
      <c r="G163" s="26" t="s">
        <v>104</v>
      </c>
      <c r="H163" s="25" t="s">
        <v>372</v>
      </c>
      <c r="I163" s="119"/>
      <c r="J163" s="120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spans="1:34" ht="14.25" customHeight="1">
      <c r="A164" s="23">
        <v>162</v>
      </c>
      <c r="B164" s="23" t="s">
        <v>393</v>
      </c>
      <c r="C164" s="23" t="s">
        <v>346</v>
      </c>
      <c r="D164" s="25">
        <v>56.7</v>
      </c>
      <c r="E164" s="25" t="s">
        <v>61</v>
      </c>
      <c r="F164" s="25" t="s">
        <v>36</v>
      </c>
      <c r="G164" s="26" t="s">
        <v>104</v>
      </c>
      <c r="H164" s="25" t="s">
        <v>372</v>
      </c>
      <c r="I164" s="119"/>
      <c r="J164" s="120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spans="1:34" ht="14.25" customHeight="1">
      <c r="A165" s="23">
        <v>163</v>
      </c>
      <c r="B165" s="23" t="s">
        <v>393</v>
      </c>
      <c r="C165" s="23" t="s">
        <v>347</v>
      </c>
      <c r="D165" s="25">
        <v>56.8</v>
      </c>
      <c r="E165" s="25" t="s">
        <v>61</v>
      </c>
      <c r="F165" s="25" t="s">
        <v>36</v>
      </c>
      <c r="G165" s="26" t="s">
        <v>104</v>
      </c>
      <c r="H165" s="25" t="s">
        <v>372</v>
      </c>
      <c r="I165" s="119"/>
      <c r="J165" s="120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spans="1:34" ht="14.25" customHeight="1">
      <c r="A166" s="23">
        <v>164</v>
      </c>
      <c r="B166" s="23" t="s">
        <v>394</v>
      </c>
      <c r="C166" s="23" t="s">
        <v>345</v>
      </c>
      <c r="D166" s="25">
        <v>56.3</v>
      </c>
      <c r="E166" s="25" t="s">
        <v>61</v>
      </c>
      <c r="F166" s="25" t="s">
        <v>118</v>
      </c>
      <c r="G166" s="29" t="s">
        <v>54</v>
      </c>
      <c r="H166" s="25" t="s">
        <v>372</v>
      </c>
      <c r="I166" s="119"/>
      <c r="J166" s="120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spans="1:34" ht="14.25" customHeight="1">
      <c r="A167" s="23">
        <v>165</v>
      </c>
      <c r="B167" s="23" t="s">
        <v>394</v>
      </c>
      <c r="C167" s="23" t="s">
        <v>346</v>
      </c>
      <c r="D167" s="25">
        <v>56.4</v>
      </c>
      <c r="E167" s="25" t="s">
        <v>61</v>
      </c>
      <c r="F167" s="25" t="s">
        <v>150</v>
      </c>
      <c r="G167" s="41" t="s">
        <v>104</v>
      </c>
      <c r="H167" s="25" t="s">
        <v>372</v>
      </c>
      <c r="I167" s="119"/>
      <c r="J167" s="120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spans="1:34" ht="14.25" customHeight="1">
      <c r="A168" s="23">
        <v>166</v>
      </c>
      <c r="B168" s="23" t="s">
        <v>394</v>
      </c>
      <c r="C168" s="23" t="s">
        <v>343</v>
      </c>
      <c r="D168" s="25">
        <v>56.7</v>
      </c>
      <c r="E168" s="25" t="s">
        <v>61</v>
      </c>
      <c r="F168" s="25" t="s">
        <v>55</v>
      </c>
      <c r="G168" s="41" t="s">
        <v>104</v>
      </c>
      <c r="H168" s="25" t="s">
        <v>372</v>
      </c>
      <c r="I168" s="119"/>
      <c r="J168" s="120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spans="1:34" ht="14.25" customHeight="1">
      <c r="A169" s="23">
        <v>167</v>
      </c>
      <c r="B169" s="23" t="s">
        <v>394</v>
      </c>
      <c r="C169" s="23" t="s">
        <v>347</v>
      </c>
      <c r="D169" s="25">
        <v>56.9</v>
      </c>
      <c r="E169" s="25" t="s">
        <v>61</v>
      </c>
      <c r="F169" s="25" t="s">
        <v>88</v>
      </c>
      <c r="G169" s="41" t="s">
        <v>104</v>
      </c>
      <c r="H169" s="25" t="s">
        <v>372</v>
      </c>
      <c r="I169" s="119"/>
      <c r="J169" s="120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spans="1:34" ht="14.25" customHeight="1">
      <c r="A170" s="23">
        <v>168</v>
      </c>
      <c r="B170" s="23" t="s">
        <v>396</v>
      </c>
      <c r="C170" s="23" t="s">
        <v>343</v>
      </c>
      <c r="D170" s="25">
        <v>56.4</v>
      </c>
      <c r="E170" s="25" t="s">
        <v>61</v>
      </c>
      <c r="F170" s="25" t="s">
        <v>12</v>
      </c>
      <c r="G170" s="25"/>
      <c r="H170" s="25" t="s">
        <v>372</v>
      </c>
      <c r="I170" s="119"/>
      <c r="J170" s="120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spans="1:34" ht="14.25" customHeight="1">
      <c r="A171" s="23">
        <v>169</v>
      </c>
      <c r="B171" s="23" t="s">
        <v>396</v>
      </c>
      <c r="C171" s="23" t="s">
        <v>347</v>
      </c>
      <c r="D171" s="25">
        <v>56.5</v>
      </c>
      <c r="E171" s="25" t="s">
        <v>61</v>
      </c>
      <c r="F171" s="41" t="s">
        <v>112</v>
      </c>
      <c r="G171" s="41" t="s">
        <v>104</v>
      </c>
      <c r="H171" s="25" t="s">
        <v>372</v>
      </c>
      <c r="I171" s="122" t="s">
        <v>397</v>
      </c>
      <c r="J171" s="120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spans="1:34" ht="14.25" customHeight="1">
      <c r="A172" s="23">
        <v>170</v>
      </c>
      <c r="B172" s="23" t="s">
        <v>396</v>
      </c>
      <c r="C172" s="23" t="s">
        <v>345</v>
      </c>
      <c r="D172" s="25">
        <v>56.6</v>
      </c>
      <c r="E172" s="25" t="s">
        <v>61</v>
      </c>
      <c r="F172" s="25" t="s">
        <v>12</v>
      </c>
      <c r="G172" s="25"/>
      <c r="H172" s="25" t="s">
        <v>372</v>
      </c>
      <c r="I172" s="119"/>
      <c r="J172" s="120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spans="1:34" ht="14.25" customHeight="1">
      <c r="A173" s="23">
        <v>171</v>
      </c>
      <c r="B173" s="23" t="s">
        <v>396</v>
      </c>
      <c r="C173" s="23" t="s">
        <v>346</v>
      </c>
      <c r="D173" s="25">
        <v>56.7</v>
      </c>
      <c r="E173" s="25" t="s">
        <v>61</v>
      </c>
      <c r="F173" s="25" t="s">
        <v>12</v>
      </c>
      <c r="G173" s="25"/>
      <c r="H173" s="25" t="s">
        <v>372</v>
      </c>
      <c r="I173" s="119"/>
      <c r="J173" s="120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spans="1:34" ht="14.25" customHeight="1">
      <c r="A174" s="23">
        <v>172</v>
      </c>
      <c r="B174" s="23" t="s">
        <v>398</v>
      </c>
      <c r="C174" s="23" t="s">
        <v>345</v>
      </c>
      <c r="D174" s="25">
        <v>56.5</v>
      </c>
      <c r="E174" s="25" t="s">
        <v>61</v>
      </c>
      <c r="F174" s="25" t="s">
        <v>89</v>
      </c>
      <c r="G174" s="26" t="s">
        <v>104</v>
      </c>
      <c r="H174" s="25" t="s">
        <v>372</v>
      </c>
      <c r="I174" s="119"/>
      <c r="J174" s="120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spans="1:34" ht="14.25" customHeight="1">
      <c r="A175" s="23">
        <v>173</v>
      </c>
      <c r="B175" s="23" t="s">
        <v>398</v>
      </c>
      <c r="C175" s="23" t="s">
        <v>346</v>
      </c>
      <c r="D175" s="25">
        <v>56.6</v>
      </c>
      <c r="E175" s="25" t="s">
        <v>61</v>
      </c>
      <c r="F175" s="25" t="s">
        <v>79</v>
      </c>
      <c r="G175" s="41" t="s">
        <v>104</v>
      </c>
      <c r="H175" s="25" t="s">
        <v>372</v>
      </c>
      <c r="I175" s="119"/>
      <c r="J175" s="120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spans="1:34" ht="14.25" customHeight="1">
      <c r="A176" s="23">
        <v>174</v>
      </c>
      <c r="B176" s="23" t="s">
        <v>398</v>
      </c>
      <c r="C176" s="23" t="s">
        <v>347</v>
      </c>
      <c r="D176" s="25">
        <v>56.7</v>
      </c>
      <c r="E176" s="25" t="s">
        <v>61</v>
      </c>
      <c r="F176" s="25" t="s">
        <v>55</v>
      </c>
      <c r="G176" s="41" t="s">
        <v>104</v>
      </c>
      <c r="H176" s="25" t="s">
        <v>372</v>
      </c>
      <c r="I176" s="119"/>
      <c r="J176" s="120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spans="1:34" ht="14.25" customHeight="1">
      <c r="A177" s="23">
        <v>175</v>
      </c>
      <c r="B177" s="23" t="s">
        <v>398</v>
      </c>
      <c r="C177" s="23" t="s">
        <v>343</v>
      </c>
      <c r="D177" s="25">
        <v>56.8</v>
      </c>
      <c r="E177" s="25" t="s">
        <v>61</v>
      </c>
      <c r="F177" s="25" t="s">
        <v>124</v>
      </c>
      <c r="G177" s="26" t="s">
        <v>104</v>
      </c>
      <c r="H177" s="25" t="s">
        <v>372</v>
      </c>
      <c r="I177" s="119"/>
      <c r="J177" s="120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spans="1:34" ht="14.25" customHeight="1">
      <c r="A178" s="126">
        <v>176</v>
      </c>
      <c r="B178" s="126" t="s">
        <v>400</v>
      </c>
      <c r="C178" s="126" t="s">
        <v>347</v>
      </c>
      <c r="D178" s="129">
        <v>56.5</v>
      </c>
      <c r="E178" s="129" t="s">
        <v>61</v>
      </c>
      <c r="F178" s="129" t="s">
        <v>106</v>
      </c>
      <c r="G178" s="41" t="s">
        <v>104</v>
      </c>
      <c r="H178" s="129" t="s">
        <v>372</v>
      </c>
      <c r="I178" s="119"/>
      <c r="J178" s="120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spans="1:34" ht="14.25" customHeight="1">
      <c r="A179" s="23">
        <v>177</v>
      </c>
      <c r="B179" s="23" t="s">
        <v>400</v>
      </c>
      <c r="C179" s="23" t="s">
        <v>345</v>
      </c>
      <c r="D179" s="25">
        <v>56.6</v>
      </c>
      <c r="E179" s="25" t="s">
        <v>61</v>
      </c>
      <c r="F179" s="25" t="s">
        <v>47</v>
      </c>
      <c r="G179" s="41" t="s">
        <v>104</v>
      </c>
      <c r="H179" s="25" t="s">
        <v>372</v>
      </c>
      <c r="I179" s="119"/>
      <c r="J179" s="120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spans="1:34" ht="14.25" customHeight="1">
      <c r="A180" s="23">
        <v>178</v>
      </c>
      <c r="B180" s="23" t="s">
        <v>400</v>
      </c>
      <c r="C180" s="23" t="s">
        <v>346</v>
      </c>
      <c r="D180" s="25">
        <v>56.6</v>
      </c>
      <c r="E180" s="25" t="s">
        <v>61</v>
      </c>
      <c r="F180" s="25" t="s">
        <v>77</v>
      </c>
      <c r="G180" s="29" t="s">
        <v>54</v>
      </c>
      <c r="H180" s="25" t="s">
        <v>372</v>
      </c>
      <c r="I180" s="119"/>
      <c r="J180" s="120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spans="1:34" ht="14.25" customHeight="1">
      <c r="A181" s="23">
        <v>179</v>
      </c>
      <c r="B181" s="23" t="s">
        <v>400</v>
      </c>
      <c r="C181" s="23" t="s">
        <v>343</v>
      </c>
      <c r="D181" s="25">
        <v>56.7</v>
      </c>
      <c r="E181" s="25" t="s">
        <v>61</v>
      </c>
      <c r="F181" s="25" t="s">
        <v>77</v>
      </c>
      <c r="G181" s="29" t="s">
        <v>54</v>
      </c>
      <c r="H181" s="25" t="s">
        <v>372</v>
      </c>
      <c r="I181" s="119"/>
      <c r="J181" s="120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spans="1:34" ht="14.25" customHeight="1">
      <c r="A182" s="23">
        <v>180</v>
      </c>
      <c r="B182" s="23" t="s">
        <v>402</v>
      </c>
      <c r="C182" s="23" t="s">
        <v>345</v>
      </c>
      <c r="D182" s="25">
        <v>56.5</v>
      </c>
      <c r="E182" s="25" t="s">
        <v>61</v>
      </c>
      <c r="F182" s="25" t="s">
        <v>79</v>
      </c>
      <c r="G182" s="41" t="s">
        <v>104</v>
      </c>
      <c r="H182" s="25" t="s">
        <v>372</v>
      </c>
      <c r="I182" s="119"/>
      <c r="J182" s="120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spans="1:34" ht="14.25" customHeight="1">
      <c r="A183" s="23">
        <v>181</v>
      </c>
      <c r="B183" s="23" t="s">
        <v>402</v>
      </c>
      <c r="C183" s="23" t="s">
        <v>346</v>
      </c>
      <c r="D183" s="25">
        <v>56.6</v>
      </c>
      <c r="E183" s="25" t="s">
        <v>61</v>
      </c>
      <c r="F183" s="25" t="s">
        <v>47</v>
      </c>
      <c r="G183" s="41" t="s">
        <v>104</v>
      </c>
      <c r="H183" s="25" t="s">
        <v>372</v>
      </c>
      <c r="I183" s="119"/>
      <c r="J183" s="120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spans="1:34" ht="14.25" customHeight="1">
      <c r="A184" s="23">
        <v>182</v>
      </c>
      <c r="B184" s="23" t="s">
        <v>402</v>
      </c>
      <c r="C184" s="23" t="s">
        <v>347</v>
      </c>
      <c r="D184" s="25">
        <v>56.7</v>
      </c>
      <c r="E184" s="25" t="s">
        <v>61</v>
      </c>
      <c r="F184" s="25" t="s">
        <v>118</v>
      </c>
      <c r="G184" s="29" t="s">
        <v>54</v>
      </c>
      <c r="H184" s="25" t="s">
        <v>372</v>
      </c>
      <c r="I184" s="119"/>
      <c r="J184" s="120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spans="1:34" ht="14.25" customHeight="1">
      <c r="A185" s="23">
        <v>183</v>
      </c>
      <c r="B185" s="23" t="s">
        <v>402</v>
      </c>
      <c r="C185" s="23" t="s">
        <v>343</v>
      </c>
      <c r="D185" s="25">
        <v>56.8</v>
      </c>
      <c r="E185" s="25" t="s">
        <v>61</v>
      </c>
      <c r="F185" s="25" t="s">
        <v>118</v>
      </c>
      <c r="G185" s="29" t="s">
        <v>54</v>
      </c>
      <c r="H185" s="25" t="s">
        <v>372</v>
      </c>
      <c r="I185" s="119"/>
      <c r="J185" s="120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spans="1:34" ht="14.25" customHeight="1">
      <c r="A186" s="23">
        <v>184</v>
      </c>
      <c r="B186" s="23" t="s">
        <v>403</v>
      </c>
      <c r="C186" s="23" t="s">
        <v>346</v>
      </c>
      <c r="D186" s="25">
        <v>56.4</v>
      </c>
      <c r="E186" s="25" t="s">
        <v>61</v>
      </c>
      <c r="F186" s="25" t="s">
        <v>88</v>
      </c>
      <c r="G186" s="41" t="s">
        <v>104</v>
      </c>
      <c r="H186" s="25" t="s">
        <v>372</v>
      </c>
      <c r="I186" s="119"/>
      <c r="J186" s="120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spans="1:34" ht="14.25" customHeight="1">
      <c r="A187" s="23">
        <v>185</v>
      </c>
      <c r="B187" s="23" t="s">
        <v>403</v>
      </c>
      <c r="C187" s="23" t="s">
        <v>343</v>
      </c>
      <c r="D187" s="25">
        <v>56.6</v>
      </c>
      <c r="E187" s="25" t="s">
        <v>61</v>
      </c>
      <c r="F187" s="25" t="s">
        <v>118</v>
      </c>
      <c r="G187" s="29" t="s">
        <v>54</v>
      </c>
      <c r="H187" s="25" t="s">
        <v>372</v>
      </c>
      <c r="I187" s="119"/>
      <c r="J187" s="120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spans="1:34" ht="14.25" customHeight="1">
      <c r="A188" s="23">
        <v>186</v>
      </c>
      <c r="B188" s="23" t="s">
        <v>403</v>
      </c>
      <c r="C188" s="23" t="s">
        <v>347</v>
      </c>
      <c r="D188" s="25">
        <v>56.7</v>
      </c>
      <c r="E188" s="25" t="s">
        <v>61</v>
      </c>
      <c r="F188" s="25" t="s">
        <v>118</v>
      </c>
      <c r="G188" s="29" t="s">
        <v>54</v>
      </c>
      <c r="H188" s="25" t="s">
        <v>372</v>
      </c>
      <c r="I188" s="119"/>
      <c r="J188" s="120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spans="1:34" ht="14.25" customHeight="1">
      <c r="A189" s="23">
        <v>187</v>
      </c>
      <c r="B189" s="23" t="s">
        <v>403</v>
      </c>
      <c r="C189" s="23" t="s">
        <v>345</v>
      </c>
      <c r="D189" s="25">
        <v>56.7</v>
      </c>
      <c r="E189" s="25" t="s">
        <v>61</v>
      </c>
      <c r="F189" s="25" t="s">
        <v>118</v>
      </c>
      <c r="G189" s="29" t="s">
        <v>54</v>
      </c>
      <c r="H189" s="25" t="s">
        <v>372</v>
      </c>
      <c r="I189" s="119"/>
      <c r="J189" s="120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spans="1:34" ht="14.25" customHeight="1">
      <c r="A190" s="23">
        <v>188</v>
      </c>
      <c r="B190" s="23" t="s">
        <v>405</v>
      </c>
      <c r="C190" s="23" t="s">
        <v>347</v>
      </c>
      <c r="D190" s="25">
        <v>42.2</v>
      </c>
      <c r="E190" s="25" t="s">
        <v>61</v>
      </c>
      <c r="F190" s="25" t="s">
        <v>89</v>
      </c>
      <c r="G190" s="26" t="s">
        <v>104</v>
      </c>
      <c r="H190" s="25" t="s">
        <v>407</v>
      </c>
      <c r="I190" s="119"/>
      <c r="J190" s="120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spans="1:34" ht="14.25" customHeight="1">
      <c r="A191" s="23">
        <v>189</v>
      </c>
      <c r="B191" s="23" t="s">
        <v>405</v>
      </c>
      <c r="C191" s="23" t="s">
        <v>343</v>
      </c>
      <c r="D191" s="25">
        <v>42.5</v>
      </c>
      <c r="E191" s="25" t="s">
        <v>61</v>
      </c>
      <c r="F191" s="25" t="s">
        <v>89</v>
      </c>
      <c r="G191" s="26" t="s">
        <v>104</v>
      </c>
      <c r="H191" s="25" t="s">
        <v>407</v>
      </c>
      <c r="I191" s="119"/>
      <c r="J191" s="120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spans="1:34" ht="14.25" customHeight="1">
      <c r="A192" s="23">
        <v>190</v>
      </c>
      <c r="B192" s="23" t="s">
        <v>405</v>
      </c>
      <c r="C192" s="23" t="s">
        <v>345</v>
      </c>
      <c r="D192" s="25">
        <v>42.5</v>
      </c>
      <c r="E192" s="25" t="s">
        <v>61</v>
      </c>
      <c r="F192" s="25" t="s">
        <v>89</v>
      </c>
      <c r="G192" s="26" t="s">
        <v>104</v>
      </c>
      <c r="H192" s="25" t="s">
        <v>407</v>
      </c>
      <c r="I192" s="119"/>
      <c r="J192" s="120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spans="1:34" ht="14.25" customHeight="1">
      <c r="A193" s="23">
        <v>191</v>
      </c>
      <c r="B193" s="23" t="s">
        <v>405</v>
      </c>
      <c r="C193" s="23" t="s">
        <v>346</v>
      </c>
      <c r="D193" s="25">
        <v>42.6</v>
      </c>
      <c r="E193" s="25" t="s">
        <v>61</v>
      </c>
      <c r="F193" s="25" t="s">
        <v>77</v>
      </c>
      <c r="G193" s="29" t="s">
        <v>54</v>
      </c>
      <c r="H193" s="25" t="s">
        <v>407</v>
      </c>
      <c r="I193" s="119"/>
      <c r="J193" s="120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spans="1:34" ht="14.25" customHeight="1">
      <c r="A194" s="23">
        <v>192</v>
      </c>
      <c r="B194" s="23" t="s">
        <v>409</v>
      </c>
      <c r="C194" s="23" t="s">
        <v>345</v>
      </c>
      <c r="D194" s="25">
        <v>42.5</v>
      </c>
      <c r="E194" s="25" t="s">
        <v>61</v>
      </c>
      <c r="F194" s="25" t="s">
        <v>89</v>
      </c>
      <c r="G194" s="26" t="s">
        <v>104</v>
      </c>
      <c r="H194" s="25" t="s">
        <v>407</v>
      </c>
      <c r="I194" s="119"/>
      <c r="J194" s="120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spans="1:34" ht="14.25" customHeight="1">
      <c r="A195" s="23">
        <v>193</v>
      </c>
      <c r="B195" s="23" t="s">
        <v>409</v>
      </c>
      <c r="C195" s="23" t="s">
        <v>346</v>
      </c>
      <c r="D195" s="25">
        <v>42.7</v>
      </c>
      <c r="E195" s="25" t="s">
        <v>61</v>
      </c>
      <c r="F195" s="25" t="s">
        <v>89</v>
      </c>
      <c r="G195" s="26" t="s">
        <v>104</v>
      </c>
      <c r="H195" s="25" t="s">
        <v>407</v>
      </c>
      <c r="I195" s="119"/>
      <c r="J195" s="120" t="s">
        <v>54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spans="1:34" ht="14.25" customHeight="1">
      <c r="A196" s="23">
        <v>194</v>
      </c>
      <c r="B196" s="23" t="s">
        <v>409</v>
      </c>
      <c r="C196" s="23" t="s">
        <v>347</v>
      </c>
      <c r="D196" s="25">
        <v>42.7</v>
      </c>
      <c r="E196" s="25" t="s">
        <v>61</v>
      </c>
      <c r="F196" s="25" t="s">
        <v>89</v>
      </c>
      <c r="G196" s="26" t="s">
        <v>104</v>
      </c>
      <c r="H196" s="25" t="s">
        <v>407</v>
      </c>
      <c r="I196" s="119"/>
      <c r="J196" s="120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spans="1:34" ht="14.25" customHeight="1">
      <c r="A197" s="23">
        <v>195</v>
      </c>
      <c r="B197" s="23" t="s">
        <v>409</v>
      </c>
      <c r="C197" s="23" t="s">
        <v>343</v>
      </c>
      <c r="D197" s="25">
        <v>42.9</v>
      </c>
      <c r="E197" s="25" t="s">
        <v>61</v>
      </c>
      <c r="F197" s="25" t="s">
        <v>89</v>
      </c>
      <c r="G197" s="26" t="s">
        <v>104</v>
      </c>
      <c r="H197" s="25" t="s">
        <v>407</v>
      </c>
      <c r="I197" s="119"/>
      <c r="J197" s="120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spans="1:34" ht="14.25" customHeight="1">
      <c r="A198" s="23">
        <v>196</v>
      </c>
      <c r="B198" s="23" t="s">
        <v>412</v>
      </c>
      <c r="C198" s="23" t="s">
        <v>343</v>
      </c>
      <c r="D198" s="25">
        <v>42.6</v>
      </c>
      <c r="E198" s="25" t="s">
        <v>61</v>
      </c>
      <c r="F198" s="25" t="s">
        <v>89</v>
      </c>
      <c r="G198" s="26" t="s">
        <v>104</v>
      </c>
      <c r="H198" s="25" t="s">
        <v>407</v>
      </c>
      <c r="I198" s="119"/>
      <c r="J198" s="120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spans="1:34" ht="14.25" customHeight="1">
      <c r="A199" s="23">
        <v>197</v>
      </c>
      <c r="B199" s="23" t="s">
        <v>412</v>
      </c>
      <c r="C199" s="23" t="s">
        <v>345</v>
      </c>
      <c r="D199" s="25">
        <v>42.7</v>
      </c>
      <c r="E199" s="25" t="s">
        <v>61</v>
      </c>
      <c r="F199" s="25" t="s">
        <v>88</v>
      </c>
      <c r="G199" s="41" t="s">
        <v>104</v>
      </c>
      <c r="H199" s="25" t="s">
        <v>407</v>
      </c>
      <c r="I199" s="119"/>
      <c r="J199" s="120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spans="1:34" ht="14.25" customHeight="1">
      <c r="A200" s="23">
        <v>198</v>
      </c>
      <c r="B200" s="23" t="s">
        <v>412</v>
      </c>
      <c r="C200" s="23" t="s">
        <v>346</v>
      </c>
      <c r="D200" s="25">
        <v>42.7</v>
      </c>
      <c r="E200" s="25" t="s">
        <v>61</v>
      </c>
      <c r="F200" s="25" t="s">
        <v>89</v>
      </c>
      <c r="G200" s="26" t="s">
        <v>104</v>
      </c>
      <c r="H200" s="25" t="s">
        <v>407</v>
      </c>
      <c r="I200" s="119"/>
      <c r="J200" s="120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spans="1:34" ht="14.25" customHeight="1">
      <c r="A201" s="23">
        <v>199</v>
      </c>
      <c r="B201" s="23" t="s">
        <v>412</v>
      </c>
      <c r="C201" s="23" t="s">
        <v>347</v>
      </c>
      <c r="D201" s="25">
        <v>42.8</v>
      </c>
      <c r="E201" s="25" t="s">
        <v>61</v>
      </c>
      <c r="F201" s="25" t="s">
        <v>89</v>
      </c>
      <c r="G201" s="26" t="s">
        <v>104</v>
      </c>
      <c r="H201" s="25" t="s">
        <v>407</v>
      </c>
      <c r="I201" s="119"/>
      <c r="J201" s="120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spans="1:34" ht="14.25" customHeight="1">
      <c r="A202" s="23">
        <v>200</v>
      </c>
      <c r="B202" s="23" t="s">
        <v>415</v>
      </c>
      <c r="C202" s="23" t="s">
        <v>346</v>
      </c>
      <c r="D202" s="25">
        <v>42.6</v>
      </c>
      <c r="E202" s="25" t="s">
        <v>61</v>
      </c>
      <c r="F202" s="25" t="s">
        <v>89</v>
      </c>
      <c r="G202" s="26" t="s">
        <v>104</v>
      </c>
      <c r="H202" s="25" t="s">
        <v>407</v>
      </c>
      <c r="I202" s="119"/>
      <c r="J202" s="120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spans="1:34" ht="14.25" customHeight="1">
      <c r="A203" s="23">
        <v>201</v>
      </c>
      <c r="B203" s="23" t="s">
        <v>415</v>
      </c>
      <c r="C203" s="23" t="s">
        <v>343</v>
      </c>
      <c r="D203" s="25">
        <v>42.8</v>
      </c>
      <c r="E203" s="25" t="s">
        <v>61</v>
      </c>
      <c r="F203" s="25" t="s">
        <v>89</v>
      </c>
      <c r="G203" s="26" t="s">
        <v>104</v>
      </c>
      <c r="H203" s="25" t="s">
        <v>407</v>
      </c>
      <c r="I203" s="119"/>
      <c r="J203" s="120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spans="1:34" ht="14.25" customHeight="1">
      <c r="A204" s="23">
        <v>202</v>
      </c>
      <c r="B204" s="23" t="s">
        <v>415</v>
      </c>
      <c r="C204" s="23" t="s">
        <v>347</v>
      </c>
      <c r="D204" s="25">
        <v>42.9</v>
      </c>
      <c r="E204" s="25" t="s">
        <v>61</v>
      </c>
      <c r="F204" s="25" t="s">
        <v>89</v>
      </c>
      <c r="G204" s="26" t="s">
        <v>104</v>
      </c>
      <c r="H204" s="25" t="s">
        <v>407</v>
      </c>
      <c r="I204" s="119"/>
      <c r="J204" s="120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spans="1:34" ht="14.25" customHeight="1">
      <c r="A205" s="23">
        <v>203</v>
      </c>
      <c r="B205" s="23" t="s">
        <v>415</v>
      </c>
      <c r="C205" s="23" t="s">
        <v>345</v>
      </c>
      <c r="D205" s="25">
        <v>42.9</v>
      </c>
      <c r="E205" s="25" t="s">
        <v>61</v>
      </c>
      <c r="F205" s="25" t="s">
        <v>89</v>
      </c>
      <c r="G205" s="26" t="s">
        <v>104</v>
      </c>
      <c r="H205" s="25" t="s">
        <v>407</v>
      </c>
      <c r="I205" s="119"/>
      <c r="J205" s="120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spans="1:34" ht="14.25" customHeight="1">
      <c r="A206" s="23">
        <v>204</v>
      </c>
      <c r="B206" s="23" t="s">
        <v>420</v>
      </c>
      <c r="C206" s="23" t="s">
        <v>346</v>
      </c>
      <c r="D206" s="25">
        <v>42.6</v>
      </c>
      <c r="E206" s="25" t="s">
        <v>61</v>
      </c>
      <c r="F206" s="25" t="s">
        <v>79</v>
      </c>
      <c r="G206" s="41" t="s">
        <v>104</v>
      </c>
      <c r="H206" s="25" t="s">
        <v>407</v>
      </c>
      <c r="I206" s="119"/>
      <c r="J206" s="120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spans="1:34" ht="14.25" customHeight="1">
      <c r="A207" s="23">
        <v>205</v>
      </c>
      <c r="B207" s="23" t="s">
        <v>420</v>
      </c>
      <c r="C207" s="23" t="s">
        <v>347</v>
      </c>
      <c r="D207" s="25">
        <v>42.8</v>
      </c>
      <c r="E207" s="25" t="s">
        <v>61</v>
      </c>
      <c r="F207" s="25" t="s">
        <v>79</v>
      </c>
      <c r="G207" s="41" t="s">
        <v>104</v>
      </c>
      <c r="H207" s="25" t="s">
        <v>407</v>
      </c>
      <c r="I207" s="119"/>
      <c r="J207" s="120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spans="1:34" ht="14.25" customHeight="1">
      <c r="A208" s="23">
        <v>206</v>
      </c>
      <c r="B208" s="23" t="s">
        <v>420</v>
      </c>
      <c r="C208" s="23" t="s">
        <v>345</v>
      </c>
      <c r="D208" s="25">
        <v>43.1</v>
      </c>
      <c r="E208" s="25" t="s">
        <v>61</v>
      </c>
      <c r="F208" s="25" t="s">
        <v>79</v>
      </c>
      <c r="G208" s="41" t="s">
        <v>104</v>
      </c>
      <c r="H208" s="25" t="s">
        <v>407</v>
      </c>
      <c r="I208" s="119"/>
      <c r="J208" s="120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spans="1:34" ht="14.25" customHeight="1">
      <c r="A209" s="23">
        <v>207</v>
      </c>
      <c r="B209" s="23" t="s">
        <v>420</v>
      </c>
      <c r="C209" s="23" t="s">
        <v>343</v>
      </c>
      <c r="D209" s="25">
        <v>43.2</v>
      </c>
      <c r="E209" s="25" t="s">
        <v>61</v>
      </c>
      <c r="F209" s="25" t="s">
        <v>88</v>
      </c>
      <c r="G209" s="41" t="s">
        <v>104</v>
      </c>
      <c r="H209" s="25" t="s">
        <v>407</v>
      </c>
      <c r="I209" s="119"/>
      <c r="J209" s="120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spans="1:34" ht="14.25" customHeight="1">
      <c r="A210" s="23">
        <v>208</v>
      </c>
      <c r="B210" s="23" t="s">
        <v>425</v>
      </c>
      <c r="C210" s="23" t="s">
        <v>343</v>
      </c>
      <c r="D210" s="25">
        <v>56.4</v>
      </c>
      <c r="E210" s="25" t="s">
        <v>61</v>
      </c>
      <c r="F210" s="25" t="s">
        <v>77</v>
      </c>
      <c r="G210" s="29" t="s">
        <v>54</v>
      </c>
      <c r="H210" s="25" t="s">
        <v>372</v>
      </c>
      <c r="I210" s="119"/>
      <c r="J210" s="120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spans="1:34" ht="14.25" customHeight="1">
      <c r="A211" s="23">
        <v>209</v>
      </c>
      <c r="B211" s="23" t="s">
        <v>425</v>
      </c>
      <c r="C211" s="23" t="s">
        <v>347</v>
      </c>
      <c r="D211" s="25">
        <v>56.6</v>
      </c>
      <c r="E211" s="25" t="s">
        <v>61</v>
      </c>
      <c r="F211" s="25" t="s">
        <v>77</v>
      </c>
      <c r="G211" s="29" t="s">
        <v>54</v>
      </c>
      <c r="H211" s="25" t="s">
        <v>372</v>
      </c>
      <c r="I211" s="119"/>
      <c r="J211" s="120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spans="1:34" ht="14.25" customHeight="1">
      <c r="A212" s="23">
        <v>210</v>
      </c>
      <c r="B212" s="23" t="s">
        <v>425</v>
      </c>
      <c r="C212" s="23" t="s">
        <v>345</v>
      </c>
      <c r="D212" s="25">
        <v>56.6</v>
      </c>
      <c r="E212" s="25" t="s">
        <v>61</v>
      </c>
      <c r="F212" s="25" t="s">
        <v>77</v>
      </c>
      <c r="G212" s="29" t="s">
        <v>54</v>
      </c>
      <c r="H212" s="25" t="s">
        <v>372</v>
      </c>
      <c r="I212" s="119"/>
      <c r="J212" s="120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spans="1:34" ht="14.25" customHeight="1">
      <c r="A213" s="23">
        <v>211</v>
      </c>
      <c r="B213" s="23" t="s">
        <v>425</v>
      </c>
      <c r="C213" s="23" t="s">
        <v>346</v>
      </c>
      <c r="D213" s="25">
        <v>56.6</v>
      </c>
      <c r="E213" s="25" t="s">
        <v>61</v>
      </c>
      <c r="F213" s="25" t="s">
        <v>77</v>
      </c>
      <c r="G213" s="29" t="s">
        <v>54</v>
      </c>
      <c r="H213" s="25" t="s">
        <v>372</v>
      </c>
      <c r="I213" s="119"/>
      <c r="J213" s="120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spans="1:34" ht="14.25" customHeight="1">
      <c r="A214" s="23">
        <v>212</v>
      </c>
      <c r="B214" s="23" t="s">
        <v>429</v>
      </c>
      <c r="C214" s="23" t="s">
        <v>343</v>
      </c>
      <c r="D214" s="25">
        <v>56.5</v>
      </c>
      <c r="E214" s="25" t="s">
        <v>61</v>
      </c>
      <c r="F214" s="25" t="s">
        <v>36</v>
      </c>
      <c r="G214" s="29" t="s">
        <v>54</v>
      </c>
      <c r="H214" s="25" t="s">
        <v>372</v>
      </c>
      <c r="I214" s="119"/>
      <c r="J214" s="120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spans="1:34" ht="14.25" customHeight="1">
      <c r="A215" s="23">
        <v>213</v>
      </c>
      <c r="B215" s="23" t="s">
        <v>429</v>
      </c>
      <c r="C215" s="23" t="s">
        <v>346</v>
      </c>
      <c r="D215" s="25">
        <v>56.6</v>
      </c>
      <c r="E215" s="25" t="s">
        <v>61</v>
      </c>
      <c r="F215" s="25" t="s">
        <v>55</v>
      </c>
      <c r="G215" s="41" t="s">
        <v>104</v>
      </c>
      <c r="H215" s="25" t="s">
        <v>372</v>
      </c>
      <c r="I215" s="119"/>
      <c r="J215" s="120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spans="1:34" ht="14.25" customHeight="1">
      <c r="A216" s="23">
        <v>214</v>
      </c>
      <c r="B216" s="23" t="s">
        <v>429</v>
      </c>
      <c r="C216" s="23" t="s">
        <v>347</v>
      </c>
      <c r="D216" s="25">
        <v>56.6</v>
      </c>
      <c r="E216" s="25" t="s">
        <v>61</v>
      </c>
      <c r="F216" s="25" t="s">
        <v>55</v>
      </c>
      <c r="G216" s="41" t="s">
        <v>104</v>
      </c>
      <c r="H216" s="25" t="s">
        <v>372</v>
      </c>
      <c r="I216" s="119"/>
      <c r="J216" s="120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spans="1:34" ht="14.25" customHeight="1">
      <c r="A217" s="23">
        <v>215</v>
      </c>
      <c r="B217" s="23" t="s">
        <v>429</v>
      </c>
      <c r="C217" s="23" t="s">
        <v>345</v>
      </c>
      <c r="D217" s="25">
        <v>56.7</v>
      </c>
      <c r="E217" s="25" t="s">
        <v>61</v>
      </c>
      <c r="F217" s="25" t="s">
        <v>55</v>
      </c>
      <c r="G217" s="41" t="s">
        <v>104</v>
      </c>
      <c r="H217" s="25" t="s">
        <v>372</v>
      </c>
      <c r="I217" s="119"/>
      <c r="J217" s="120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spans="1:34" ht="14.25" customHeight="1">
      <c r="A218" s="23">
        <v>216</v>
      </c>
      <c r="B218" s="23" t="s">
        <v>434</v>
      </c>
      <c r="C218" s="23" t="s">
        <v>343</v>
      </c>
      <c r="D218" s="25">
        <v>56.5</v>
      </c>
      <c r="E218" s="25" t="s">
        <v>61</v>
      </c>
      <c r="F218" s="25" t="s">
        <v>12</v>
      </c>
      <c r="G218" s="25"/>
      <c r="H218" s="25" t="s">
        <v>372</v>
      </c>
      <c r="I218" s="119"/>
      <c r="J218" s="120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spans="1:34" ht="14.25" customHeight="1">
      <c r="A219" s="23">
        <v>217</v>
      </c>
      <c r="B219" s="23" t="s">
        <v>434</v>
      </c>
      <c r="C219" s="23" t="s">
        <v>345</v>
      </c>
      <c r="D219" s="25">
        <v>56.5</v>
      </c>
      <c r="E219" s="25" t="s">
        <v>61</v>
      </c>
      <c r="F219" s="25" t="s">
        <v>62</v>
      </c>
      <c r="G219" s="27" t="s">
        <v>54</v>
      </c>
      <c r="H219" s="25" t="s">
        <v>372</v>
      </c>
      <c r="I219" s="119"/>
      <c r="J219" s="120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spans="1:34" ht="14.25" customHeight="1">
      <c r="A220" s="23">
        <v>218</v>
      </c>
      <c r="B220" s="23" t="s">
        <v>434</v>
      </c>
      <c r="C220" s="23" t="s">
        <v>346</v>
      </c>
      <c r="D220" s="25">
        <v>56.5</v>
      </c>
      <c r="E220" s="25" t="s">
        <v>61</v>
      </c>
      <c r="F220" s="25" t="s">
        <v>124</v>
      </c>
      <c r="G220" s="26" t="s">
        <v>104</v>
      </c>
      <c r="H220" s="25" t="s">
        <v>372</v>
      </c>
      <c r="I220" s="119"/>
      <c r="J220" s="120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spans="1:34" ht="14.25" customHeight="1">
      <c r="A221" s="23">
        <v>219</v>
      </c>
      <c r="B221" s="23" t="s">
        <v>434</v>
      </c>
      <c r="C221" s="23" t="s">
        <v>347</v>
      </c>
      <c r="D221" s="25">
        <v>56.8</v>
      </c>
      <c r="E221" s="25" t="s">
        <v>61</v>
      </c>
      <c r="F221" s="25" t="s">
        <v>62</v>
      </c>
      <c r="G221" s="27" t="s">
        <v>54</v>
      </c>
      <c r="H221" s="25" t="s">
        <v>372</v>
      </c>
      <c r="I221" s="119"/>
      <c r="J221" s="120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spans="1:34" ht="14.25" customHeight="1">
      <c r="A222" s="23">
        <v>220</v>
      </c>
      <c r="B222" s="23" t="s">
        <v>437</v>
      </c>
      <c r="C222" s="23" t="s">
        <v>346</v>
      </c>
      <c r="D222" s="25">
        <v>56.5</v>
      </c>
      <c r="E222" s="25" t="s">
        <v>61</v>
      </c>
      <c r="F222" s="25" t="s">
        <v>112</v>
      </c>
      <c r="G222" s="41" t="s">
        <v>104</v>
      </c>
      <c r="H222" s="25" t="s">
        <v>372</v>
      </c>
      <c r="I222" s="119"/>
      <c r="J222" s="120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spans="1:34" ht="14.25" customHeight="1">
      <c r="A223" s="23">
        <v>221</v>
      </c>
      <c r="B223" s="23" t="s">
        <v>437</v>
      </c>
      <c r="C223" s="23" t="s">
        <v>345</v>
      </c>
      <c r="D223" s="25">
        <v>56.6</v>
      </c>
      <c r="E223" s="25" t="s">
        <v>61</v>
      </c>
      <c r="F223" s="25" t="s">
        <v>150</v>
      </c>
      <c r="G223" s="41" t="s">
        <v>104</v>
      </c>
      <c r="H223" s="25" t="s">
        <v>372</v>
      </c>
      <c r="I223" s="119"/>
      <c r="J223" s="120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spans="1:34" ht="14.25" customHeight="1">
      <c r="A224" s="23">
        <v>222</v>
      </c>
      <c r="B224" s="23" t="s">
        <v>437</v>
      </c>
      <c r="C224" s="23" t="s">
        <v>343</v>
      </c>
      <c r="D224" s="25">
        <v>56.7</v>
      </c>
      <c r="E224" s="25" t="s">
        <v>61</v>
      </c>
      <c r="F224" s="25" t="s">
        <v>47</v>
      </c>
      <c r="G224" s="41" t="s">
        <v>104</v>
      </c>
      <c r="H224" s="25" t="s">
        <v>372</v>
      </c>
      <c r="I224" s="119"/>
      <c r="J224" s="120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spans="1:34" ht="14.25" customHeight="1">
      <c r="A225" s="23">
        <v>223</v>
      </c>
      <c r="B225" s="23" t="s">
        <v>437</v>
      </c>
      <c r="C225" s="23" t="s">
        <v>347</v>
      </c>
      <c r="D225" s="25">
        <v>56.8</v>
      </c>
      <c r="E225" s="25" t="s">
        <v>61</v>
      </c>
      <c r="F225" s="25" t="s">
        <v>51</v>
      </c>
      <c r="G225" s="25"/>
      <c r="H225" s="25" t="s">
        <v>372</v>
      </c>
      <c r="I225" s="119"/>
      <c r="J225" s="120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spans="1:34" ht="14.25" customHeight="1">
      <c r="A226" s="23">
        <v>224</v>
      </c>
      <c r="B226" s="23" t="s">
        <v>442</v>
      </c>
      <c r="C226" s="23" t="s">
        <v>343</v>
      </c>
      <c r="D226" s="25">
        <v>41.1</v>
      </c>
      <c r="E226" s="25" t="s">
        <v>61</v>
      </c>
      <c r="F226" s="25" t="s">
        <v>36</v>
      </c>
      <c r="G226" s="25"/>
      <c r="H226" s="25" t="s">
        <v>344</v>
      </c>
      <c r="I226" s="119"/>
      <c r="J226" s="120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spans="1:34" ht="14.25" customHeight="1">
      <c r="A227" s="23">
        <v>225</v>
      </c>
      <c r="B227" s="23" t="s">
        <v>443</v>
      </c>
      <c r="C227" s="23" t="s">
        <v>345</v>
      </c>
      <c r="D227" s="25">
        <v>42.5</v>
      </c>
      <c r="E227" s="25" t="s">
        <v>61</v>
      </c>
      <c r="F227" s="25" t="s">
        <v>62</v>
      </c>
      <c r="G227" s="27" t="s">
        <v>54</v>
      </c>
      <c r="H227" s="25" t="s">
        <v>344</v>
      </c>
      <c r="I227" s="119"/>
      <c r="J227" s="120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spans="1:34" ht="14.25" customHeight="1">
      <c r="A228" s="23">
        <v>226</v>
      </c>
      <c r="B228" s="23" t="s">
        <v>443</v>
      </c>
      <c r="C228" s="23" t="s">
        <v>347</v>
      </c>
      <c r="D228" s="25">
        <v>42.6</v>
      </c>
      <c r="E228" s="25" t="s">
        <v>61</v>
      </c>
      <c r="F228" s="25" t="s">
        <v>62</v>
      </c>
      <c r="G228" s="27" t="s">
        <v>54</v>
      </c>
      <c r="H228" s="25" t="s">
        <v>344</v>
      </c>
      <c r="I228" s="119"/>
      <c r="J228" s="120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spans="1:34" ht="14.25" customHeight="1">
      <c r="A229" s="23">
        <v>227</v>
      </c>
      <c r="B229" s="23" t="s">
        <v>443</v>
      </c>
      <c r="C229" s="23" t="s">
        <v>346</v>
      </c>
      <c r="D229" s="25">
        <v>42.7</v>
      </c>
      <c r="E229" s="25" t="s">
        <v>61</v>
      </c>
      <c r="F229" s="25" t="s">
        <v>62</v>
      </c>
      <c r="G229" s="27" t="s">
        <v>54</v>
      </c>
      <c r="H229" s="25" t="s">
        <v>344</v>
      </c>
      <c r="I229" s="119"/>
      <c r="J229" s="120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spans="1:34" ht="14.25" customHeight="1">
      <c r="A230" s="23">
        <v>228</v>
      </c>
      <c r="B230" s="23" t="s">
        <v>443</v>
      </c>
      <c r="C230" s="23" t="s">
        <v>343</v>
      </c>
      <c r="D230" s="25">
        <v>42.7</v>
      </c>
      <c r="E230" s="25" t="s">
        <v>61</v>
      </c>
      <c r="F230" s="25" t="s">
        <v>62</v>
      </c>
      <c r="G230" s="27" t="s">
        <v>54</v>
      </c>
      <c r="H230" s="25" t="s">
        <v>344</v>
      </c>
      <c r="I230" s="119"/>
      <c r="J230" s="120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spans="1:34" ht="14.25" customHeight="1">
      <c r="A231" s="23">
        <v>229</v>
      </c>
      <c r="B231" s="23" t="s">
        <v>448</v>
      </c>
      <c r="C231" s="23" t="s">
        <v>343</v>
      </c>
      <c r="D231" s="25">
        <v>42.6</v>
      </c>
      <c r="E231" s="25" t="s">
        <v>61</v>
      </c>
      <c r="F231" s="25" t="s">
        <v>124</v>
      </c>
      <c r="G231" s="26" t="s">
        <v>104</v>
      </c>
      <c r="H231" s="25" t="s">
        <v>344</v>
      </c>
      <c r="I231" s="119"/>
      <c r="J231" s="120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spans="1:34" ht="14.25" customHeight="1">
      <c r="A232" s="23">
        <v>230</v>
      </c>
      <c r="B232" s="23" t="s">
        <v>448</v>
      </c>
      <c r="C232" s="23" t="s">
        <v>347</v>
      </c>
      <c r="D232" s="25">
        <v>42.6</v>
      </c>
      <c r="E232" s="25" t="s">
        <v>61</v>
      </c>
      <c r="F232" s="25" t="s">
        <v>124</v>
      </c>
      <c r="G232" s="26" t="s">
        <v>104</v>
      </c>
      <c r="H232" s="25" t="s">
        <v>344</v>
      </c>
      <c r="I232" s="119"/>
      <c r="J232" s="120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spans="1:34" ht="14.25" customHeight="1">
      <c r="A233" s="23">
        <v>231</v>
      </c>
      <c r="B233" s="23" t="s">
        <v>448</v>
      </c>
      <c r="C233" s="23" t="s">
        <v>345</v>
      </c>
      <c r="D233" s="25">
        <v>42.7</v>
      </c>
      <c r="E233" s="25" t="s">
        <v>61</v>
      </c>
      <c r="F233" s="25" t="s">
        <v>124</v>
      </c>
      <c r="G233" s="26" t="s">
        <v>104</v>
      </c>
      <c r="H233" s="25" t="s">
        <v>344</v>
      </c>
      <c r="I233" s="119"/>
      <c r="J233" s="120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spans="1:34" ht="14.25" customHeight="1">
      <c r="A234" s="23">
        <v>232</v>
      </c>
      <c r="B234" s="23" t="s">
        <v>448</v>
      </c>
      <c r="C234" s="23" t="s">
        <v>346</v>
      </c>
      <c r="D234" s="25">
        <v>42.7</v>
      </c>
      <c r="E234" s="25" t="s">
        <v>61</v>
      </c>
      <c r="F234" s="41" t="s">
        <v>77</v>
      </c>
      <c r="G234" s="29" t="s">
        <v>54</v>
      </c>
      <c r="H234" s="25" t="s">
        <v>344</v>
      </c>
      <c r="I234" s="122" t="s">
        <v>452</v>
      </c>
      <c r="J234" s="120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spans="1:34" ht="14.25" customHeight="1">
      <c r="A235" s="23">
        <v>233</v>
      </c>
      <c r="B235" s="23" t="s">
        <v>453</v>
      </c>
      <c r="C235" s="23" t="s">
        <v>343</v>
      </c>
      <c r="D235" s="25">
        <v>42.1</v>
      </c>
      <c r="E235" s="25" t="s">
        <v>61</v>
      </c>
      <c r="F235" s="25" t="s">
        <v>79</v>
      </c>
      <c r="G235" s="41" t="s">
        <v>104</v>
      </c>
      <c r="H235" s="25" t="s">
        <v>344</v>
      </c>
      <c r="I235" s="119"/>
      <c r="J235" s="120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spans="1:34" ht="14.25" customHeight="1">
      <c r="A236" s="23">
        <v>234</v>
      </c>
      <c r="B236" s="23" t="s">
        <v>453</v>
      </c>
      <c r="C236" s="23" t="s">
        <v>346</v>
      </c>
      <c r="D236" s="25">
        <v>42.2</v>
      </c>
      <c r="E236" s="25" t="s">
        <v>61</v>
      </c>
      <c r="F236" s="25" t="s">
        <v>118</v>
      </c>
      <c r="G236" s="29" t="s">
        <v>54</v>
      </c>
      <c r="H236" s="25" t="s">
        <v>344</v>
      </c>
      <c r="I236" s="119"/>
      <c r="J236" s="120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spans="1:34" ht="14.25" customHeight="1">
      <c r="A237" s="23">
        <v>235</v>
      </c>
      <c r="B237" s="23" t="s">
        <v>453</v>
      </c>
      <c r="C237" s="23" t="s">
        <v>347</v>
      </c>
      <c r="D237" s="25">
        <v>42.2</v>
      </c>
      <c r="E237" s="25" t="s">
        <v>61</v>
      </c>
      <c r="F237" s="25" t="s">
        <v>118</v>
      </c>
      <c r="G237" s="29" t="s">
        <v>54</v>
      </c>
      <c r="H237" s="25" t="s">
        <v>344</v>
      </c>
      <c r="I237" s="119"/>
      <c r="J237" s="120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spans="1:34" ht="14.25" customHeight="1">
      <c r="A238" s="23">
        <v>236</v>
      </c>
      <c r="B238" s="23" t="s">
        <v>453</v>
      </c>
      <c r="C238" s="23" t="s">
        <v>345</v>
      </c>
      <c r="D238" s="25">
        <v>42.3</v>
      </c>
      <c r="E238" s="25" t="s">
        <v>61</v>
      </c>
      <c r="F238" s="25" t="s">
        <v>118</v>
      </c>
      <c r="G238" s="29" t="s">
        <v>54</v>
      </c>
      <c r="H238" s="25" t="s">
        <v>344</v>
      </c>
      <c r="I238" s="119"/>
      <c r="J238" s="120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spans="1:34" ht="14.25" customHeight="1">
      <c r="A239" s="23">
        <v>237</v>
      </c>
      <c r="B239" s="23" t="s">
        <v>457</v>
      </c>
      <c r="C239" s="23" t="s">
        <v>345</v>
      </c>
      <c r="D239" s="25">
        <v>42.3</v>
      </c>
      <c r="E239" s="25" t="s">
        <v>61</v>
      </c>
      <c r="F239" s="25" t="s">
        <v>118</v>
      </c>
      <c r="G239" s="29" t="s">
        <v>54</v>
      </c>
      <c r="H239" s="25" t="s">
        <v>344</v>
      </c>
      <c r="I239" s="119"/>
      <c r="J239" s="120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spans="1:34" ht="14.25" customHeight="1">
      <c r="A240" s="23">
        <v>238</v>
      </c>
      <c r="B240" s="23" t="s">
        <v>457</v>
      </c>
      <c r="C240" s="23" t="s">
        <v>346</v>
      </c>
      <c r="D240" s="25">
        <v>42.5</v>
      </c>
      <c r="E240" s="25" t="s">
        <v>61</v>
      </c>
      <c r="F240" s="25" t="s">
        <v>118</v>
      </c>
      <c r="G240" s="29" t="s">
        <v>54</v>
      </c>
      <c r="H240" s="25" t="s">
        <v>344</v>
      </c>
      <c r="I240" s="119"/>
      <c r="J240" s="120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spans="1:34" ht="14.25" customHeight="1">
      <c r="A241" s="23">
        <v>239</v>
      </c>
      <c r="B241" s="23" t="s">
        <v>457</v>
      </c>
      <c r="C241" s="23" t="s">
        <v>343</v>
      </c>
      <c r="D241" s="25">
        <v>42.5</v>
      </c>
      <c r="E241" s="25" t="s">
        <v>61</v>
      </c>
      <c r="F241" s="25" t="s">
        <v>79</v>
      </c>
      <c r="G241" s="41" t="s">
        <v>104</v>
      </c>
      <c r="H241" s="25" t="s">
        <v>344</v>
      </c>
      <c r="I241" s="119"/>
      <c r="J241" s="120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spans="1:34" ht="14.25" customHeight="1">
      <c r="A242" s="23">
        <v>240</v>
      </c>
      <c r="B242" s="23" t="s">
        <v>457</v>
      </c>
      <c r="C242" s="23" t="s">
        <v>347</v>
      </c>
      <c r="D242" s="25">
        <v>42.5</v>
      </c>
      <c r="E242" s="25" t="s">
        <v>61</v>
      </c>
      <c r="F242" s="25" t="s">
        <v>62</v>
      </c>
      <c r="G242" s="27" t="s">
        <v>54</v>
      </c>
      <c r="H242" s="25" t="s">
        <v>344</v>
      </c>
      <c r="I242" s="119"/>
      <c r="J242" s="120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spans="1:34" ht="14.25" customHeight="1">
      <c r="A243" s="118">
        <v>241</v>
      </c>
      <c r="B243" s="118" t="s">
        <v>462</v>
      </c>
      <c r="C243" s="118" t="s">
        <v>343</v>
      </c>
      <c r="D243" s="118">
        <v>56.5</v>
      </c>
      <c r="E243" s="118" t="s">
        <v>61</v>
      </c>
      <c r="F243" s="118" t="s">
        <v>77</v>
      </c>
      <c r="G243" s="153" t="s">
        <v>54</v>
      </c>
      <c r="H243" s="118" t="s">
        <v>372</v>
      </c>
      <c r="I243" s="119"/>
      <c r="J243" s="120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spans="1:34" ht="14.25" customHeight="1">
      <c r="A244" s="23">
        <v>242</v>
      </c>
      <c r="B244" s="23" t="s">
        <v>462</v>
      </c>
      <c r="C244" s="23" t="s">
        <v>346</v>
      </c>
      <c r="D244" s="25">
        <v>56.5</v>
      </c>
      <c r="E244" s="25" t="s">
        <v>61</v>
      </c>
      <c r="F244" s="25" t="s">
        <v>77</v>
      </c>
      <c r="G244" s="153" t="s">
        <v>54</v>
      </c>
      <c r="H244" s="25" t="s">
        <v>372</v>
      </c>
      <c r="I244" s="119"/>
      <c r="J244" s="120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spans="1:34" ht="14.25" customHeight="1">
      <c r="A245" s="23">
        <v>243</v>
      </c>
      <c r="B245" s="23" t="s">
        <v>462</v>
      </c>
      <c r="C245" s="23" t="s">
        <v>347</v>
      </c>
      <c r="D245" s="25">
        <v>56.7</v>
      </c>
      <c r="E245" s="25" t="s">
        <v>61</v>
      </c>
      <c r="F245" s="25" t="s">
        <v>77</v>
      </c>
      <c r="G245" s="153" t="s">
        <v>54</v>
      </c>
      <c r="H245" s="25" t="s">
        <v>372</v>
      </c>
      <c r="I245" s="119"/>
      <c r="J245" s="120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spans="1:34" ht="14.25" customHeight="1">
      <c r="A246" s="23">
        <v>244</v>
      </c>
      <c r="B246" s="23" t="s">
        <v>462</v>
      </c>
      <c r="C246" s="23" t="s">
        <v>345</v>
      </c>
      <c r="D246" s="25">
        <v>56.7</v>
      </c>
      <c r="E246" s="25" t="s">
        <v>61</v>
      </c>
      <c r="F246" s="25" t="s">
        <v>79</v>
      </c>
      <c r="G246" s="41" t="s">
        <v>104</v>
      </c>
      <c r="H246" s="25" t="s">
        <v>372</v>
      </c>
      <c r="I246" s="119"/>
      <c r="J246" s="120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spans="1:34" ht="14.25" customHeight="1">
      <c r="A247" s="23">
        <v>245</v>
      </c>
      <c r="B247" s="23" t="s">
        <v>467</v>
      </c>
      <c r="C247" s="23" t="s">
        <v>343</v>
      </c>
      <c r="D247" s="25">
        <v>56.5</v>
      </c>
      <c r="E247" s="25" t="s">
        <v>61</v>
      </c>
      <c r="F247" s="25" t="s">
        <v>124</v>
      </c>
      <c r="G247" s="26" t="s">
        <v>104</v>
      </c>
      <c r="H247" s="25" t="s">
        <v>372</v>
      </c>
      <c r="I247" s="119"/>
      <c r="J247" s="120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spans="1:34" ht="14.25" customHeight="1">
      <c r="A248" s="23">
        <v>246</v>
      </c>
      <c r="B248" s="23" t="s">
        <v>467</v>
      </c>
      <c r="C248" s="23" t="s">
        <v>347</v>
      </c>
      <c r="D248" s="25">
        <v>56.5</v>
      </c>
      <c r="E248" s="25" t="s">
        <v>61</v>
      </c>
      <c r="F248" s="25" t="s">
        <v>79</v>
      </c>
      <c r="G248" s="41" t="s">
        <v>104</v>
      </c>
      <c r="H248" s="25" t="s">
        <v>372</v>
      </c>
      <c r="I248" s="119"/>
      <c r="J248" s="120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spans="1:34" ht="14.25" customHeight="1">
      <c r="A249" s="23">
        <v>247</v>
      </c>
      <c r="B249" s="23" t="s">
        <v>467</v>
      </c>
      <c r="C249" s="23" t="s">
        <v>346</v>
      </c>
      <c r="D249" s="25">
        <v>56.6</v>
      </c>
      <c r="E249" s="25" t="s">
        <v>61</v>
      </c>
      <c r="F249" s="25" t="s">
        <v>79</v>
      </c>
      <c r="G249" s="41" t="s">
        <v>104</v>
      </c>
      <c r="H249" s="25" t="s">
        <v>372</v>
      </c>
      <c r="I249" s="119"/>
      <c r="J249" s="120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spans="1:34" ht="14.25" customHeight="1">
      <c r="A250" s="23">
        <v>248</v>
      </c>
      <c r="B250" s="23" t="s">
        <v>467</v>
      </c>
      <c r="C250" s="23" t="s">
        <v>345</v>
      </c>
      <c r="D250" s="25">
        <v>56.7</v>
      </c>
      <c r="E250" s="25" t="s">
        <v>61</v>
      </c>
      <c r="F250" s="25" t="s">
        <v>47</v>
      </c>
      <c r="G250" s="41" t="s">
        <v>104</v>
      </c>
      <c r="H250" s="25" t="s">
        <v>372</v>
      </c>
      <c r="I250" s="119"/>
      <c r="J250" s="120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spans="1:34" ht="14.25" customHeight="1">
      <c r="A251" s="23">
        <v>249</v>
      </c>
      <c r="B251" s="23" t="s">
        <v>471</v>
      </c>
      <c r="C251" s="23" t="s">
        <v>343</v>
      </c>
      <c r="D251" s="25">
        <v>56.5</v>
      </c>
      <c r="E251" s="25" t="s">
        <v>61</v>
      </c>
      <c r="F251" s="25" t="s">
        <v>36</v>
      </c>
      <c r="G251" s="41" t="s">
        <v>104</v>
      </c>
      <c r="H251" s="25" t="s">
        <v>372</v>
      </c>
      <c r="I251" s="119"/>
      <c r="J251" s="120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spans="1:34" ht="14.25" customHeight="1">
      <c r="A252" s="23">
        <v>250</v>
      </c>
      <c r="B252" s="23" t="s">
        <v>471</v>
      </c>
      <c r="C252" s="23" t="s">
        <v>347</v>
      </c>
      <c r="D252" s="25">
        <v>56.5</v>
      </c>
      <c r="E252" s="25" t="s">
        <v>61</v>
      </c>
      <c r="F252" s="25" t="s">
        <v>36</v>
      </c>
      <c r="G252" s="41" t="s">
        <v>104</v>
      </c>
      <c r="H252" s="25" t="s">
        <v>372</v>
      </c>
      <c r="I252" s="119"/>
      <c r="J252" s="120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spans="1:34" ht="14.25" customHeight="1">
      <c r="A253" s="23">
        <v>251</v>
      </c>
      <c r="B253" s="23" t="s">
        <v>471</v>
      </c>
      <c r="C253" s="23" t="s">
        <v>345</v>
      </c>
      <c r="D253" s="25">
        <v>56.5</v>
      </c>
      <c r="E253" s="25" t="s">
        <v>61</v>
      </c>
      <c r="F253" s="25" t="s">
        <v>36</v>
      </c>
      <c r="G253" s="41" t="s">
        <v>104</v>
      </c>
      <c r="H253" s="25" t="s">
        <v>372</v>
      </c>
      <c r="I253" s="119"/>
      <c r="J253" s="120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spans="1:34" ht="14.25" customHeight="1">
      <c r="A254" s="23">
        <v>252</v>
      </c>
      <c r="B254" s="23" t="s">
        <v>471</v>
      </c>
      <c r="C254" s="23" t="s">
        <v>346</v>
      </c>
      <c r="D254" s="25">
        <v>56.6</v>
      </c>
      <c r="E254" s="25" t="s">
        <v>61</v>
      </c>
      <c r="F254" s="25" t="s">
        <v>36</v>
      </c>
      <c r="G254" s="41" t="s">
        <v>104</v>
      </c>
      <c r="H254" s="25" t="s">
        <v>372</v>
      </c>
      <c r="I254" s="119"/>
      <c r="J254" s="120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spans="1:34" ht="14.25" customHeight="1">
      <c r="A255" s="23">
        <v>253</v>
      </c>
      <c r="B255" s="23" t="s">
        <v>474</v>
      </c>
      <c r="C255" s="23" t="s">
        <v>346</v>
      </c>
      <c r="D255" s="25">
        <v>56.4</v>
      </c>
      <c r="E255" s="25" t="s">
        <v>61</v>
      </c>
      <c r="F255" s="25" t="s">
        <v>77</v>
      </c>
      <c r="G255" s="29" t="s">
        <v>54</v>
      </c>
      <c r="H255" s="25" t="s">
        <v>372</v>
      </c>
      <c r="I255" s="119"/>
      <c r="J255" s="120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spans="1:34" ht="14.25" customHeight="1">
      <c r="A256" s="23">
        <v>254</v>
      </c>
      <c r="B256" s="26" t="s">
        <v>474</v>
      </c>
      <c r="C256" s="23" t="s">
        <v>343</v>
      </c>
      <c r="D256" s="25">
        <v>56.5</v>
      </c>
      <c r="E256" s="25" t="s">
        <v>61</v>
      </c>
      <c r="F256" s="25" t="s">
        <v>118</v>
      </c>
      <c r="G256" s="29" t="s">
        <v>54</v>
      </c>
      <c r="H256" s="25" t="s">
        <v>372</v>
      </c>
      <c r="I256" s="119"/>
      <c r="J256" s="120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spans="1:34" ht="14.25" customHeight="1">
      <c r="A257" s="23">
        <v>255</v>
      </c>
      <c r="B257" s="23" t="s">
        <v>474</v>
      </c>
      <c r="C257" s="23" t="s">
        <v>347</v>
      </c>
      <c r="D257" s="25">
        <v>56.6</v>
      </c>
      <c r="E257" s="25" t="s">
        <v>61</v>
      </c>
      <c r="F257" s="25" t="s">
        <v>12</v>
      </c>
      <c r="G257" s="25"/>
      <c r="H257" s="25" t="s">
        <v>372</v>
      </c>
      <c r="I257" s="119" t="s">
        <v>477</v>
      </c>
      <c r="J257" s="120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spans="1:34" ht="14.25" customHeight="1">
      <c r="A258" s="23">
        <v>256</v>
      </c>
      <c r="B258" s="23" t="s">
        <v>474</v>
      </c>
      <c r="C258" s="23" t="s">
        <v>345</v>
      </c>
      <c r="D258" s="25">
        <v>56.7</v>
      </c>
      <c r="E258" s="25" t="s">
        <v>61</v>
      </c>
      <c r="F258" s="25" t="s">
        <v>77</v>
      </c>
      <c r="G258" s="29" t="s">
        <v>54</v>
      </c>
      <c r="H258" s="25" t="s">
        <v>372</v>
      </c>
      <c r="I258" s="119"/>
      <c r="J258" s="120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spans="1:34" ht="14.25" customHeight="1">
      <c r="A259" s="23">
        <v>257</v>
      </c>
      <c r="B259" s="23" t="s">
        <v>479</v>
      </c>
      <c r="C259" s="23" t="s">
        <v>347</v>
      </c>
      <c r="D259" s="25">
        <v>56.5</v>
      </c>
      <c r="E259" s="25" t="s">
        <v>61</v>
      </c>
      <c r="F259" s="25" t="s">
        <v>47</v>
      </c>
      <c r="G259" s="41" t="s">
        <v>104</v>
      </c>
      <c r="H259" s="25" t="s">
        <v>372</v>
      </c>
      <c r="I259" s="119"/>
      <c r="J259" s="120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spans="1:34" ht="14.25" customHeight="1">
      <c r="A260" s="23">
        <v>258</v>
      </c>
      <c r="B260" s="23" t="s">
        <v>479</v>
      </c>
      <c r="C260" s="23" t="s">
        <v>345</v>
      </c>
      <c r="D260" s="25">
        <v>56.6</v>
      </c>
      <c r="E260" s="25" t="s">
        <v>61</v>
      </c>
      <c r="F260" s="25" t="s">
        <v>79</v>
      </c>
      <c r="G260" s="41" t="s">
        <v>104</v>
      </c>
      <c r="H260" s="25" t="s">
        <v>372</v>
      </c>
      <c r="I260" s="119"/>
      <c r="J260" s="120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spans="1:34" ht="14.25" customHeight="1">
      <c r="A261" s="23">
        <v>259</v>
      </c>
      <c r="B261" s="23" t="s">
        <v>479</v>
      </c>
      <c r="C261" s="23" t="s">
        <v>346</v>
      </c>
      <c r="D261" s="25">
        <v>56.6</v>
      </c>
      <c r="E261" s="25" t="s">
        <v>61</v>
      </c>
      <c r="F261" s="25" t="s">
        <v>77</v>
      </c>
      <c r="G261" s="29" t="s">
        <v>54</v>
      </c>
      <c r="H261" s="25" t="s">
        <v>372</v>
      </c>
      <c r="I261" s="119"/>
      <c r="J261" s="120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spans="1:34" ht="14.25" customHeight="1">
      <c r="A262" s="23">
        <v>260</v>
      </c>
      <c r="B262" s="23" t="s">
        <v>479</v>
      </c>
      <c r="C262" s="23" t="s">
        <v>343</v>
      </c>
      <c r="D262" s="25">
        <v>56.7</v>
      </c>
      <c r="E262" s="25" t="s">
        <v>61</v>
      </c>
      <c r="F262" s="25" t="s">
        <v>150</v>
      </c>
      <c r="G262" s="41" t="s">
        <v>104</v>
      </c>
      <c r="H262" s="25" t="s">
        <v>372</v>
      </c>
      <c r="I262" s="119"/>
      <c r="J262" s="120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spans="1:34" ht="14.25" customHeight="1">
      <c r="A263" s="23">
        <v>261</v>
      </c>
      <c r="B263" s="23" t="s">
        <v>484</v>
      </c>
      <c r="C263" s="23" t="s">
        <v>343</v>
      </c>
      <c r="D263" s="25">
        <v>131.5</v>
      </c>
      <c r="E263" s="25" t="s">
        <v>61</v>
      </c>
      <c r="F263" s="25" t="s">
        <v>62</v>
      </c>
      <c r="G263" s="27" t="s">
        <v>54</v>
      </c>
      <c r="H263" s="25" t="s">
        <v>485</v>
      </c>
      <c r="I263" s="119"/>
      <c r="J263" s="120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spans="1:34" ht="14.25" customHeight="1">
      <c r="A264" s="23">
        <v>262</v>
      </c>
      <c r="B264" s="23" t="s">
        <v>487</v>
      </c>
      <c r="C264" s="23" t="s">
        <v>347</v>
      </c>
      <c r="D264" s="25">
        <v>124.7</v>
      </c>
      <c r="E264" s="25" t="s">
        <v>61</v>
      </c>
      <c r="F264" s="41" t="s">
        <v>55</v>
      </c>
      <c r="G264" s="41" t="s">
        <v>104</v>
      </c>
      <c r="H264" s="25" t="s">
        <v>485</v>
      </c>
      <c r="I264" s="122" t="s">
        <v>488</v>
      </c>
      <c r="J264" s="120" t="s">
        <v>489</v>
      </c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spans="1:34" ht="14.25" customHeight="1">
      <c r="A265" s="23">
        <v>263</v>
      </c>
      <c r="B265" s="23" t="s">
        <v>487</v>
      </c>
      <c r="C265" s="23" t="s">
        <v>343</v>
      </c>
      <c r="D265" s="25">
        <v>125</v>
      </c>
      <c r="E265" s="25" t="s">
        <v>61</v>
      </c>
      <c r="F265" s="25" t="s">
        <v>77</v>
      </c>
      <c r="G265" s="29" t="s">
        <v>54</v>
      </c>
      <c r="H265" s="25" t="s">
        <v>485</v>
      </c>
      <c r="I265" s="119"/>
      <c r="J265" s="120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spans="1:34" ht="14.25" customHeight="1">
      <c r="A266" s="23">
        <v>264</v>
      </c>
      <c r="B266" s="23" t="s">
        <v>491</v>
      </c>
      <c r="C266" s="23" t="s">
        <v>345</v>
      </c>
      <c r="D266" s="25">
        <v>42.5</v>
      </c>
      <c r="E266" s="25" t="s">
        <v>61</v>
      </c>
      <c r="F266" s="25" t="s">
        <v>77</v>
      </c>
      <c r="G266" s="29" t="s">
        <v>54</v>
      </c>
      <c r="H266" s="25" t="s">
        <v>344</v>
      </c>
      <c r="I266" s="119"/>
      <c r="J266" s="120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spans="1:34" ht="14.25" customHeight="1">
      <c r="A267" s="23">
        <v>265</v>
      </c>
      <c r="B267" s="23" t="s">
        <v>491</v>
      </c>
      <c r="C267" s="23" t="s">
        <v>346</v>
      </c>
      <c r="D267" s="25">
        <v>42.5</v>
      </c>
      <c r="E267" s="25" t="s">
        <v>61</v>
      </c>
      <c r="F267" s="25" t="s">
        <v>150</v>
      </c>
      <c r="G267" s="41" t="s">
        <v>104</v>
      </c>
      <c r="H267" s="25" t="s">
        <v>344</v>
      </c>
      <c r="I267" s="119"/>
      <c r="J267" s="120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spans="1:34" ht="14.25" customHeight="1">
      <c r="A268" s="23">
        <v>266</v>
      </c>
      <c r="B268" s="23" t="s">
        <v>491</v>
      </c>
      <c r="C268" s="23" t="s">
        <v>343</v>
      </c>
      <c r="D268" s="25">
        <v>42.5</v>
      </c>
      <c r="E268" s="25" t="s">
        <v>61</v>
      </c>
      <c r="F268" s="25" t="s">
        <v>150</v>
      </c>
      <c r="G268" s="41" t="s">
        <v>104</v>
      </c>
      <c r="H268" s="25" t="s">
        <v>344</v>
      </c>
      <c r="I268" s="119"/>
      <c r="J268" s="120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spans="1:34" ht="14.25" customHeight="1">
      <c r="A269" s="23">
        <v>267</v>
      </c>
      <c r="B269" s="23" t="s">
        <v>491</v>
      </c>
      <c r="C269" s="23" t="s">
        <v>347</v>
      </c>
      <c r="D269" s="25">
        <v>42.6</v>
      </c>
      <c r="E269" s="25" t="s">
        <v>61</v>
      </c>
      <c r="F269" s="25" t="s">
        <v>150</v>
      </c>
      <c r="G269" s="41" t="s">
        <v>104</v>
      </c>
      <c r="H269" s="25" t="s">
        <v>344</v>
      </c>
      <c r="I269" s="119"/>
      <c r="J269" s="120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spans="1:34" ht="14.25" customHeight="1">
      <c r="A270" s="23">
        <v>268</v>
      </c>
      <c r="B270" s="23" t="s">
        <v>496</v>
      </c>
      <c r="C270" s="23" t="s">
        <v>343</v>
      </c>
      <c r="D270" s="25">
        <v>124.6</v>
      </c>
      <c r="E270" s="25" t="s">
        <v>61</v>
      </c>
      <c r="F270" s="25" t="s">
        <v>124</v>
      </c>
      <c r="G270" s="26" t="s">
        <v>104</v>
      </c>
      <c r="H270" s="25" t="s">
        <v>485</v>
      </c>
      <c r="I270" s="119"/>
      <c r="J270" s="120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spans="1:34" ht="14.25" customHeight="1">
      <c r="A271" s="23">
        <v>269</v>
      </c>
      <c r="B271" s="23" t="s">
        <v>496</v>
      </c>
      <c r="C271" s="23" t="s">
        <v>347</v>
      </c>
      <c r="D271" s="25">
        <v>124.7</v>
      </c>
      <c r="E271" s="25" t="s">
        <v>61</v>
      </c>
      <c r="F271" s="41" t="s">
        <v>77</v>
      </c>
      <c r="G271" s="29" t="s">
        <v>54</v>
      </c>
      <c r="H271" s="25" t="s">
        <v>485</v>
      </c>
      <c r="I271" s="122" t="s">
        <v>488</v>
      </c>
      <c r="J271" s="120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spans="1:34" ht="14.25" customHeight="1">
      <c r="A272" s="118">
        <v>270</v>
      </c>
      <c r="B272" s="118" t="s">
        <v>498</v>
      </c>
      <c r="C272" s="118" t="s">
        <v>343</v>
      </c>
      <c r="D272" s="118">
        <v>124.7</v>
      </c>
      <c r="E272" s="118" t="s">
        <v>61</v>
      </c>
      <c r="F272" s="121" t="s">
        <v>77</v>
      </c>
      <c r="G272" s="29" t="s">
        <v>54</v>
      </c>
      <c r="H272" s="25" t="s">
        <v>485</v>
      </c>
      <c r="I272" s="122" t="s">
        <v>452</v>
      </c>
      <c r="J272" s="120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spans="1:34" ht="14.25" customHeight="1">
      <c r="A273" s="118">
        <v>271</v>
      </c>
      <c r="B273" s="118" t="s">
        <v>498</v>
      </c>
      <c r="C273" s="118" t="s">
        <v>347</v>
      </c>
      <c r="D273" s="118">
        <v>125.2</v>
      </c>
      <c r="E273" s="118" t="s">
        <v>61</v>
      </c>
      <c r="F273" s="118" t="s">
        <v>47</v>
      </c>
      <c r="G273" s="41" t="s">
        <v>104</v>
      </c>
      <c r="H273" s="25" t="s">
        <v>485</v>
      </c>
      <c r="I273" s="119"/>
      <c r="J273" s="120"/>
      <c r="K273" s="154" t="s">
        <v>500</v>
      </c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spans="1:34" ht="14.25" customHeight="1">
      <c r="A274" s="23">
        <v>272</v>
      </c>
      <c r="B274" s="23" t="s">
        <v>502</v>
      </c>
      <c r="C274" s="23" t="s">
        <v>343</v>
      </c>
      <c r="D274" s="25">
        <v>125.5</v>
      </c>
      <c r="E274" s="25" t="s">
        <v>61</v>
      </c>
      <c r="F274" s="25" t="s">
        <v>47</v>
      </c>
      <c r="G274" s="41" t="s">
        <v>104</v>
      </c>
      <c r="H274" s="25" t="s">
        <v>485</v>
      </c>
      <c r="I274" s="119"/>
      <c r="J274" s="120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spans="1:34" ht="14.25" customHeight="1">
      <c r="A275" s="23">
        <v>273</v>
      </c>
      <c r="B275" s="23" t="s">
        <v>502</v>
      </c>
      <c r="C275" s="23" t="s">
        <v>347</v>
      </c>
      <c r="D275" s="25">
        <v>126</v>
      </c>
      <c r="E275" s="25" t="s">
        <v>61</v>
      </c>
      <c r="F275" s="25" t="s">
        <v>55</v>
      </c>
      <c r="G275" s="41" t="s">
        <v>104</v>
      </c>
      <c r="H275" s="25" t="s">
        <v>485</v>
      </c>
      <c r="I275" s="119"/>
      <c r="J275" s="120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spans="1:34" ht="14.25" customHeight="1">
      <c r="A276" s="23">
        <v>274</v>
      </c>
      <c r="B276" s="23" t="s">
        <v>504</v>
      </c>
      <c r="C276" s="23" t="s">
        <v>346</v>
      </c>
      <c r="D276" s="25">
        <v>42.4</v>
      </c>
      <c r="E276" s="25" t="s">
        <v>61</v>
      </c>
      <c r="F276" s="25" t="s">
        <v>77</v>
      </c>
      <c r="G276" s="41" t="s">
        <v>104</v>
      </c>
      <c r="H276" s="25" t="s">
        <v>344</v>
      </c>
      <c r="I276" s="119"/>
      <c r="J276" s="120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spans="1:34" ht="14.25" customHeight="1">
      <c r="A277" s="23">
        <v>275</v>
      </c>
      <c r="B277" s="23" t="s">
        <v>504</v>
      </c>
      <c r="C277" s="23" t="s">
        <v>347</v>
      </c>
      <c r="D277" s="25">
        <v>42.5</v>
      </c>
      <c r="E277" s="25" t="s">
        <v>61</v>
      </c>
      <c r="F277" s="25" t="s">
        <v>77</v>
      </c>
      <c r="G277" s="41" t="s">
        <v>104</v>
      </c>
      <c r="H277" s="25" t="s">
        <v>344</v>
      </c>
      <c r="I277" s="119"/>
      <c r="J277" s="120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spans="1:34" ht="14.25" customHeight="1">
      <c r="A278" s="23">
        <v>276</v>
      </c>
      <c r="B278" s="23" t="s">
        <v>504</v>
      </c>
      <c r="C278" s="23" t="s">
        <v>345</v>
      </c>
      <c r="D278" s="25">
        <v>42.5</v>
      </c>
      <c r="E278" s="25" t="s">
        <v>61</v>
      </c>
      <c r="F278" s="25" t="s">
        <v>77</v>
      </c>
      <c r="G278" s="41" t="s">
        <v>104</v>
      </c>
      <c r="H278" s="25" t="s">
        <v>344</v>
      </c>
      <c r="I278" s="119"/>
      <c r="J278" s="120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spans="1:34" ht="14.25" customHeight="1">
      <c r="A279" s="23">
        <v>277</v>
      </c>
      <c r="B279" s="23" t="s">
        <v>504</v>
      </c>
      <c r="C279" s="23" t="s">
        <v>343</v>
      </c>
      <c r="D279" s="25">
        <v>42.8</v>
      </c>
      <c r="E279" s="25" t="s">
        <v>61</v>
      </c>
      <c r="F279" s="25" t="s">
        <v>77</v>
      </c>
      <c r="G279" s="29" t="s">
        <v>54</v>
      </c>
      <c r="H279" s="25" t="s">
        <v>344</v>
      </c>
      <c r="I279" s="119"/>
      <c r="J279" s="120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spans="1:34" ht="14.25" customHeight="1">
      <c r="A280" s="23">
        <v>278</v>
      </c>
      <c r="B280" s="23" t="s">
        <v>508</v>
      </c>
      <c r="C280" s="23" t="s">
        <v>343</v>
      </c>
      <c r="D280" s="25">
        <v>42.1</v>
      </c>
      <c r="E280" s="25" t="s">
        <v>61</v>
      </c>
      <c r="F280" s="25" t="s">
        <v>47</v>
      </c>
      <c r="G280" s="41" t="s">
        <v>104</v>
      </c>
      <c r="H280" s="25" t="s">
        <v>344</v>
      </c>
      <c r="I280" s="119"/>
      <c r="J280" s="120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spans="1:34" ht="14.25" customHeight="1">
      <c r="A281" s="23">
        <v>279</v>
      </c>
      <c r="B281" s="23" t="s">
        <v>509</v>
      </c>
      <c r="C281" s="23" t="s">
        <v>347</v>
      </c>
      <c r="D281" s="25">
        <v>42.7</v>
      </c>
      <c r="E281" s="25" t="s">
        <v>61</v>
      </c>
      <c r="F281" s="25" t="s">
        <v>51</v>
      </c>
      <c r="G281" s="25"/>
      <c r="H281" s="25" t="s">
        <v>344</v>
      </c>
      <c r="I281" s="119"/>
      <c r="J281" s="120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spans="1:34" ht="14.25" customHeight="1">
      <c r="A282" s="23">
        <v>280</v>
      </c>
      <c r="B282" s="23" t="s">
        <v>509</v>
      </c>
      <c r="C282" s="23" t="s">
        <v>343</v>
      </c>
      <c r="D282" s="25">
        <v>42.8</v>
      </c>
      <c r="E282" s="25" t="s">
        <v>61</v>
      </c>
      <c r="F282" s="25" t="s">
        <v>112</v>
      </c>
      <c r="G282" s="41" t="s">
        <v>104</v>
      </c>
      <c r="H282" s="25" t="s">
        <v>344</v>
      </c>
      <c r="I282" s="119"/>
      <c r="J282" s="120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spans="1:34" ht="14.25" customHeight="1">
      <c r="A283" s="23">
        <v>281</v>
      </c>
      <c r="B283" s="23" t="s">
        <v>509</v>
      </c>
      <c r="C283" s="23" t="s">
        <v>345</v>
      </c>
      <c r="D283" s="25">
        <v>42.9</v>
      </c>
      <c r="E283" s="25" t="s">
        <v>61</v>
      </c>
      <c r="F283" s="25" t="s">
        <v>55</v>
      </c>
      <c r="G283" s="41" t="s">
        <v>104</v>
      </c>
      <c r="H283" s="25" t="s">
        <v>344</v>
      </c>
      <c r="I283" s="119"/>
      <c r="J283" s="120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spans="1:34" ht="14.25" customHeight="1">
      <c r="A284" s="23">
        <v>282</v>
      </c>
      <c r="B284" s="23" t="s">
        <v>509</v>
      </c>
      <c r="C284" s="23" t="s">
        <v>346</v>
      </c>
      <c r="D284" s="25">
        <v>42.9</v>
      </c>
      <c r="E284" s="25" t="s">
        <v>61</v>
      </c>
      <c r="F284" s="25" t="s">
        <v>77</v>
      </c>
      <c r="G284" s="41" t="s">
        <v>104</v>
      </c>
      <c r="H284" s="25" t="s">
        <v>344</v>
      </c>
      <c r="I284" s="119"/>
      <c r="J284" s="120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spans="1:34" ht="14.25" customHeight="1">
      <c r="A285" s="23">
        <v>283</v>
      </c>
      <c r="B285" s="23" t="s">
        <v>513</v>
      </c>
      <c r="C285" s="23" t="s">
        <v>343</v>
      </c>
      <c r="D285" s="25">
        <v>42.7</v>
      </c>
      <c r="E285" s="25" t="s">
        <v>61</v>
      </c>
      <c r="F285" s="25" t="s">
        <v>88</v>
      </c>
      <c r="G285" s="41" t="s">
        <v>104</v>
      </c>
      <c r="H285" s="25" t="s">
        <v>344</v>
      </c>
      <c r="I285" s="119"/>
      <c r="J285" s="120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spans="1:34" ht="14.25" customHeight="1">
      <c r="A286" s="23">
        <v>284</v>
      </c>
      <c r="B286" s="23" t="s">
        <v>513</v>
      </c>
      <c r="C286" s="23" t="s">
        <v>347</v>
      </c>
      <c r="D286" s="25">
        <v>42.8</v>
      </c>
      <c r="E286" s="25" t="s">
        <v>61</v>
      </c>
      <c r="F286" s="25" t="s">
        <v>112</v>
      </c>
      <c r="G286" s="41" t="s">
        <v>104</v>
      </c>
      <c r="H286" s="25" t="s">
        <v>344</v>
      </c>
      <c r="I286" s="119"/>
      <c r="J286" s="120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spans="1:34" ht="14.25" customHeight="1">
      <c r="A287" s="23">
        <v>285</v>
      </c>
      <c r="B287" s="23" t="s">
        <v>513</v>
      </c>
      <c r="C287" s="23" t="s">
        <v>345</v>
      </c>
      <c r="D287" s="25">
        <v>42.8</v>
      </c>
      <c r="E287" s="25" t="s">
        <v>61</v>
      </c>
      <c r="F287" s="25" t="s">
        <v>47</v>
      </c>
      <c r="G287" s="41" t="s">
        <v>104</v>
      </c>
      <c r="H287" s="25" t="s">
        <v>344</v>
      </c>
      <c r="I287" s="119"/>
      <c r="J287" s="120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spans="1:34" ht="14.25" customHeight="1">
      <c r="A288" s="23">
        <v>286</v>
      </c>
      <c r="B288" s="23" t="s">
        <v>513</v>
      </c>
      <c r="C288" s="23" t="s">
        <v>346</v>
      </c>
      <c r="D288" s="25">
        <v>42.8</v>
      </c>
      <c r="E288" s="25" t="s">
        <v>61</v>
      </c>
      <c r="F288" s="25" t="s">
        <v>88</v>
      </c>
      <c r="G288" s="41" t="s">
        <v>104</v>
      </c>
      <c r="H288" s="25" t="s">
        <v>344</v>
      </c>
      <c r="I288" s="119"/>
      <c r="J288" s="120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spans="1:34" ht="14.25" customHeight="1">
      <c r="A289" s="23">
        <v>287</v>
      </c>
      <c r="B289" s="23" t="s">
        <v>518</v>
      </c>
      <c r="C289" s="23" t="s">
        <v>346</v>
      </c>
      <c r="D289" s="25">
        <v>42.8</v>
      </c>
      <c r="E289" s="25" t="s">
        <v>61</v>
      </c>
      <c r="F289" s="25" t="s">
        <v>150</v>
      </c>
      <c r="G289" s="41" t="s">
        <v>104</v>
      </c>
      <c r="H289" s="25" t="s">
        <v>344</v>
      </c>
      <c r="I289" s="119"/>
      <c r="J289" s="120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spans="1:34" ht="14.25" customHeight="1">
      <c r="A290" s="23">
        <v>288</v>
      </c>
      <c r="B290" s="23" t="s">
        <v>518</v>
      </c>
      <c r="C290" s="23" t="s">
        <v>343</v>
      </c>
      <c r="D290" s="25">
        <v>42.9</v>
      </c>
      <c r="E290" s="25" t="s">
        <v>61</v>
      </c>
      <c r="F290" s="25" t="s">
        <v>150</v>
      </c>
      <c r="G290" s="41" t="s">
        <v>104</v>
      </c>
      <c r="H290" s="25" t="s">
        <v>344</v>
      </c>
      <c r="I290" s="119"/>
      <c r="J290" s="120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spans="1:34" ht="14.25" customHeight="1">
      <c r="A291" s="23">
        <v>289</v>
      </c>
      <c r="B291" s="23" t="s">
        <v>518</v>
      </c>
      <c r="C291" s="23" t="s">
        <v>347</v>
      </c>
      <c r="D291" s="25">
        <v>42.9</v>
      </c>
      <c r="E291" s="25" t="s">
        <v>61</v>
      </c>
      <c r="F291" s="25" t="s">
        <v>150</v>
      </c>
      <c r="G291" s="41" t="s">
        <v>104</v>
      </c>
      <c r="H291" s="25" t="s">
        <v>344</v>
      </c>
      <c r="I291" s="119"/>
      <c r="J291" s="120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spans="1:34" ht="14.25" customHeight="1">
      <c r="A292" s="23">
        <v>290</v>
      </c>
      <c r="B292" s="23" t="s">
        <v>518</v>
      </c>
      <c r="C292" s="23" t="s">
        <v>345</v>
      </c>
      <c r="D292" s="25">
        <v>43</v>
      </c>
      <c r="E292" s="25" t="s">
        <v>61</v>
      </c>
      <c r="F292" s="25" t="s">
        <v>150</v>
      </c>
      <c r="G292" s="41" t="s">
        <v>104</v>
      </c>
      <c r="H292" s="25" t="s">
        <v>344</v>
      </c>
      <c r="I292" s="119"/>
      <c r="J292" s="120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spans="1:34" ht="14.25" customHeight="1">
      <c r="A293" s="23">
        <v>291</v>
      </c>
      <c r="B293" s="23" t="s">
        <v>521</v>
      </c>
      <c r="C293" s="23" t="s">
        <v>347</v>
      </c>
      <c r="D293" s="25">
        <v>42.6</v>
      </c>
      <c r="E293" s="25" t="s">
        <v>61</v>
      </c>
      <c r="F293" s="25" t="s">
        <v>150</v>
      </c>
      <c r="G293" s="41" t="s">
        <v>104</v>
      </c>
      <c r="H293" s="25" t="s">
        <v>344</v>
      </c>
      <c r="I293" s="119"/>
      <c r="J293" s="120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spans="1:34" ht="14.25" customHeight="1">
      <c r="A294" s="118">
        <v>292</v>
      </c>
      <c r="B294" s="118" t="s">
        <v>521</v>
      </c>
      <c r="C294" s="118" t="s">
        <v>343</v>
      </c>
      <c r="D294" s="118">
        <v>42.7</v>
      </c>
      <c r="E294" s="118" t="s">
        <v>61</v>
      </c>
      <c r="F294" s="118" t="s">
        <v>164</v>
      </c>
      <c r="G294" s="118"/>
      <c r="H294" s="118" t="s">
        <v>344</v>
      </c>
      <c r="I294" s="131" t="s">
        <v>523</v>
      </c>
      <c r="J294" s="132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spans="1:34" ht="14.25" customHeight="1">
      <c r="A295" s="23">
        <v>293</v>
      </c>
      <c r="B295" s="23" t="s">
        <v>521</v>
      </c>
      <c r="C295" s="23" t="s">
        <v>346</v>
      </c>
      <c r="D295" s="25">
        <v>42.7</v>
      </c>
      <c r="E295" s="25" t="s">
        <v>61</v>
      </c>
      <c r="F295" s="25" t="s">
        <v>150</v>
      </c>
      <c r="G295" s="41" t="s">
        <v>104</v>
      </c>
      <c r="H295" s="25" t="s">
        <v>344</v>
      </c>
      <c r="I295" s="119"/>
      <c r="J295" s="120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spans="1:34" ht="14.25" customHeight="1">
      <c r="A296" s="23">
        <v>294</v>
      </c>
      <c r="B296" s="23" t="s">
        <v>521</v>
      </c>
      <c r="C296" s="23" t="s">
        <v>345</v>
      </c>
      <c r="D296" s="25">
        <v>42.8</v>
      </c>
      <c r="E296" s="25" t="s">
        <v>61</v>
      </c>
      <c r="F296" s="25" t="s">
        <v>118</v>
      </c>
      <c r="G296" s="29" t="s">
        <v>54</v>
      </c>
      <c r="H296" s="25" t="s">
        <v>344</v>
      </c>
      <c r="I296" s="119"/>
      <c r="J296" s="120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spans="1:34" ht="14.25" customHeight="1">
      <c r="A297" s="23">
        <v>295</v>
      </c>
      <c r="B297" s="23" t="s">
        <v>527</v>
      </c>
      <c r="C297" s="23" t="s">
        <v>345</v>
      </c>
      <c r="D297" s="25">
        <v>42.4</v>
      </c>
      <c r="E297" s="25" t="s">
        <v>61</v>
      </c>
      <c r="F297" s="25" t="s">
        <v>89</v>
      </c>
      <c r="G297" s="26" t="s">
        <v>104</v>
      </c>
      <c r="H297" s="25" t="s">
        <v>344</v>
      </c>
      <c r="I297" s="119"/>
      <c r="J297" s="120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spans="1:34" ht="14.25" customHeight="1">
      <c r="A298" s="23">
        <v>296</v>
      </c>
      <c r="B298" s="23" t="s">
        <v>527</v>
      </c>
      <c r="C298" s="23" t="s">
        <v>346</v>
      </c>
      <c r="D298" s="25">
        <v>42.6</v>
      </c>
      <c r="E298" s="25" t="s">
        <v>61</v>
      </c>
      <c r="F298" s="25" t="s">
        <v>88</v>
      </c>
      <c r="G298" s="41" t="s">
        <v>104</v>
      </c>
      <c r="H298" s="25" t="s">
        <v>344</v>
      </c>
      <c r="I298" s="119"/>
      <c r="J298" s="120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spans="1:34" ht="14.25" customHeight="1">
      <c r="A299" s="23">
        <v>297</v>
      </c>
      <c r="B299" s="23" t="s">
        <v>527</v>
      </c>
      <c r="C299" s="23" t="s">
        <v>343</v>
      </c>
      <c r="D299" s="25">
        <v>42.8</v>
      </c>
      <c r="E299" s="25" t="s">
        <v>61</v>
      </c>
      <c r="F299" s="41" t="s">
        <v>55</v>
      </c>
      <c r="G299" s="41" t="s">
        <v>104</v>
      </c>
      <c r="H299" s="25" t="s">
        <v>344</v>
      </c>
      <c r="I299" s="122" t="s">
        <v>446</v>
      </c>
      <c r="J299" s="141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spans="1:34" ht="14.25" customHeight="1">
      <c r="A300" s="23">
        <v>298</v>
      </c>
      <c r="B300" s="23" t="s">
        <v>527</v>
      </c>
      <c r="C300" s="23" t="s">
        <v>347</v>
      </c>
      <c r="D300" s="25">
        <v>43</v>
      </c>
      <c r="E300" s="25" t="s">
        <v>61</v>
      </c>
      <c r="F300" s="25" t="s">
        <v>89</v>
      </c>
      <c r="G300" s="26" t="s">
        <v>104</v>
      </c>
      <c r="H300" s="25" t="s">
        <v>344</v>
      </c>
      <c r="I300" s="119"/>
      <c r="J300" s="141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spans="1:34" ht="14.25" customHeight="1">
      <c r="A301" s="23">
        <v>299</v>
      </c>
      <c r="B301" s="23" t="s">
        <v>530</v>
      </c>
      <c r="C301" s="23" t="s">
        <v>347</v>
      </c>
      <c r="D301" s="25">
        <v>42.6</v>
      </c>
      <c r="E301" s="25" t="s">
        <v>61</v>
      </c>
      <c r="F301" s="25" t="s">
        <v>88</v>
      </c>
      <c r="G301" s="41" t="s">
        <v>104</v>
      </c>
      <c r="H301" s="25" t="s">
        <v>344</v>
      </c>
      <c r="I301" s="119"/>
      <c r="J301" s="120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spans="1:34" ht="14.25" customHeight="1">
      <c r="A302" s="23">
        <v>300</v>
      </c>
      <c r="B302" s="23" t="s">
        <v>530</v>
      </c>
      <c r="C302" s="23" t="s">
        <v>346</v>
      </c>
      <c r="D302" s="25">
        <v>42.6</v>
      </c>
      <c r="E302" s="25" t="s">
        <v>61</v>
      </c>
      <c r="F302" s="25" t="s">
        <v>12</v>
      </c>
      <c r="G302" s="25"/>
      <c r="H302" s="25" t="s">
        <v>344</v>
      </c>
      <c r="I302" s="119"/>
      <c r="J302" s="120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spans="1:34" ht="14.25" customHeight="1">
      <c r="A303" s="23">
        <v>301</v>
      </c>
      <c r="B303" s="23" t="s">
        <v>530</v>
      </c>
      <c r="C303" s="23" t="s">
        <v>345</v>
      </c>
      <c r="D303" s="25">
        <v>42.7</v>
      </c>
      <c r="E303" s="25" t="s">
        <v>61</v>
      </c>
      <c r="F303" s="25" t="s">
        <v>12</v>
      </c>
      <c r="G303" s="25"/>
      <c r="H303" s="25" t="s">
        <v>344</v>
      </c>
      <c r="I303" s="119"/>
      <c r="J303" s="120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spans="1:34" ht="14.25" customHeight="1">
      <c r="A304" s="23">
        <v>302</v>
      </c>
      <c r="B304" s="23" t="s">
        <v>530</v>
      </c>
      <c r="C304" s="23" t="s">
        <v>343</v>
      </c>
      <c r="D304" s="25">
        <v>42.7</v>
      </c>
      <c r="E304" s="25" t="s">
        <v>61</v>
      </c>
      <c r="F304" s="25" t="s">
        <v>199</v>
      </c>
      <c r="G304" s="41" t="s">
        <v>104</v>
      </c>
      <c r="H304" s="25" t="s">
        <v>344</v>
      </c>
      <c r="I304" s="119"/>
      <c r="J304" s="120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spans="1:34" ht="14.25" customHeight="1">
      <c r="A305" s="23">
        <v>303</v>
      </c>
      <c r="B305" s="23" t="s">
        <v>534</v>
      </c>
      <c r="C305" s="23" t="s">
        <v>346</v>
      </c>
      <c r="D305" s="25">
        <v>42.6</v>
      </c>
      <c r="E305" s="25" t="s">
        <v>61</v>
      </c>
      <c r="F305" s="25" t="s">
        <v>112</v>
      </c>
      <c r="G305" s="41" t="s">
        <v>104</v>
      </c>
      <c r="H305" s="25" t="s">
        <v>344</v>
      </c>
      <c r="I305" s="119"/>
      <c r="J305" s="120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spans="1:34" ht="14.25" customHeight="1">
      <c r="A306" s="23">
        <v>304</v>
      </c>
      <c r="B306" s="23" t="s">
        <v>534</v>
      </c>
      <c r="C306" s="23" t="s">
        <v>343</v>
      </c>
      <c r="D306" s="25">
        <v>42.6</v>
      </c>
      <c r="E306" s="25" t="s">
        <v>61</v>
      </c>
      <c r="F306" s="25" t="s">
        <v>112</v>
      </c>
      <c r="G306" s="41" t="s">
        <v>104</v>
      </c>
      <c r="H306" s="25" t="s">
        <v>344</v>
      </c>
      <c r="I306" s="119"/>
      <c r="J306" s="120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spans="1:34" ht="14.25" customHeight="1">
      <c r="A307" s="23">
        <v>305</v>
      </c>
      <c r="B307" s="23" t="s">
        <v>534</v>
      </c>
      <c r="C307" s="23" t="s">
        <v>347</v>
      </c>
      <c r="D307" s="25">
        <v>42.7</v>
      </c>
      <c r="E307" s="25" t="s">
        <v>61</v>
      </c>
      <c r="F307" s="25" t="s">
        <v>112</v>
      </c>
      <c r="G307" s="41" t="s">
        <v>104</v>
      </c>
      <c r="H307" s="25" t="s">
        <v>344</v>
      </c>
      <c r="I307" s="119"/>
      <c r="J307" s="120" t="s">
        <v>537</v>
      </c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spans="1:34" ht="14.25" customHeight="1">
      <c r="A308" s="23">
        <v>306</v>
      </c>
      <c r="B308" s="23" t="s">
        <v>534</v>
      </c>
      <c r="C308" s="23" t="s">
        <v>345</v>
      </c>
      <c r="D308" s="25">
        <v>42.9</v>
      </c>
      <c r="E308" s="25" t="s">
        <v>61</v>
      </c>
      <c r="F308" s="25" t="s">
        <v>112</v>
      </c>
      <c r="G308" s="41" t="s">
        <v>104</v>
      </c>
      <c r="H308" s="25" t="s">
        <v>344</v>
      </c>
      <c r="I308" s="119"/>
      <c r="J308" s="120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spans="1:34" ht="14.25" customHeight="1">
      <c r="A309" s="23">
        <v>307</v>
      </c>
      <c r="B309" s="23" t="s">
        <v>539</v>
      </c>
      <c r="C309" s="23" t="s">
        <v>343</v>
      </c>
      <c r="D309" s="25">
        <v>42.5</v>
      </c>
      <c r="E309" s="25" t="s">
        <v>61</v>
      </c>
      <c r="F309" s="25" t="s">
        <v>88</v>
      </c>
      <c r="G309" s="41" t="s">
        <v>104</v>
      </c>
      <c r="H309" s="25" t="s">
        <v>344</v>
      </c>
      <c r="I309" s="119"/>
      <c r="J309" s="120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spans="1:34" ht="14.25" customHeight="1">
      <c r="A310" s="23">
        <v>308</v>
      </c>
      <c r="B310" s="23" t="s">
        <v>539</v>
      </c>
      <c r="C310" s="23" t="s">
        <v>347</v>
      </c>
      <c r="D310" s="25">
        <v>42.6</v>
      </c>
      <c r="E310" s="25" t="s">
        <v>61</v>
      </c>
      <c r="F310" s="25" t="s">
        <v>112</v>
      </c>
      <c r="G310" s="41" t="s">
        <v>104</v>
      </c>
      <c r="H310" s="25" t="s">
        <v>344</v>
      </c>
      <c r="I310" s="119"/>
      <c r="J310" s="120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spans="1:34" ht="14.25" customHeight="1">
      <c r="A311" s="23">
        <v>309</v>
      </c>
      <c r="B311" s="23" t="s">
        <v>539</v>
      </c>
      <c r="C311" s="23" t="s">
        <v>345</v>
      </c>
      <c r="D311" s="25">
        <v>42.7</v>
      </c>
      <c r="E311" s="25" t="s">
        <v>61</v>
      </c>
      <c r="F311" s="25" t="s">
        <v>112</v>
      </c>
      <c r="G311" s="41" t="s">
        <v>104</v>
      </c>
      <c r="H311" s="25" t="s">
        <v>344</v>
      </c>
      <c r="I311" s="119"/>
      <c r="J311" s="120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spans="1:34" ht="14.25" customHeight="1">
      <c r="A312" s="23">
        <v>310</v>
      </c>
      <c r="B312" s="23" t="s">
        <v>539</v>
      </c>
      <c r="C312" s="23" t="s">
        <v>346</v>
      </c>
      <c r="D312" s="25">
        <v>42.8</v>
      </c>
      <c r="E312" s="25" t="s">
        <v>61</v>
      </c>
      <c r="F312" s="25" t="s">
        <v>112</v>
      </c>
      <c r="G312" s="41" t="s">
        <v>104</v>
      </c>
      <c r="H312" s="25" t="s">
        <v>344</v>
      </c>
      <c r="I312" s="119"/>
      <c r="J312" s="120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spans="1:34" ht="14.25" customHeight="1">
      <c r="A313" s="23">
        <v>311</v>
      </c>
      <c r="B313" s="23" t="s">
        <v>543</v>
      </c>
      <c r="C313" s="23" t="s">
        <v>345</v>
      </c>
      <c r="D313" s="25">
        <v>42.5</v>
      </c>
      <c r="E313" s="25" t="s">
        <v>61</v>
      </c>
      <c r="F313" s="25" t="s">
        <v>55</v>
      </c>
      <c r="G313" s="41" t="s">
        <v>104</v>
      </c>
      <c r="H313" s="25" t="s">
        <v>344</v>
      </c>
      <c r="I313" s="119"/>
      <c r="J313" s="120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spans="1:34" ht="14.25" customHeight="1">
      <c r="A314" s="23">
        <v>312</v>
      </c>
      <c r="B314" s="23" t="s">
        <v>543</v>
      </c>
      <c r="C314" s="23" t="s">
        <v>346</v>
      </c>
      <c r="D314" s="25">
        <v>42.5</v>
      </c>
      <c r="E314" s="25" t="s">
        <v>61</v>
      </c>
      <c r="F314" s="25" t="s">
        <v>55</v>
      </c>
      <c r="G314" s="41" t="s">
        <v>104</v>
      </c>
      <c r="H314" s="25" t="s">
        <v>344</v>
      </c>
      <c r="I314" s="119"/>
      <c r="J314" s="120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spans="1:34" ht="14.25" customHeight="1">
      <c r="A315" s="23">
        <v>313</v>
      </c>
      <c r="B315" s="23" t="s">
        <v>543</v>
      </c>
      <c r="C315" s="23" t="s">
        <v>343</v>
      </c>
      <c r="D315" s="25">
        <v>42.5</v>
      </c>
      <c r="E315" s="25" t="s">
        <v>61</v>
      </c>
      <c r="F315" s="25" t="s">
        <v>55</v>
      </c>
      <c r="G315" s="41" t="s">
        <v>104</v>
      </c>
      <c r="H315" s="25" t="s">
        <v>344</v>
      </c>
      <c r="I315" s="119"/>
      <c r="J315" s="120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spans="1:34" ht="14.25" customHeight="1">
      <c r="A316" s="23">
        <v>314</v>
      </c>
      <c r="B316" s="23" t="s">
        <v>543</v>
      </c>
      <c r="C316" s="23" t="s">
        <v>347</v>
      </c>
      <c r="D316" s="25">
        <v>42.6</v>
      </c>
      <c r="E316" s="25" t="s">
        <v>61</v>
      </c>
      <c r="F316" s="25" t="s">
        <v>55</v>
      </c>
      <c r="G316" s="41" t="s">
        <v>104</v>
      </c>
      <c r="H316" s="25" t="s">
        <v>344</v>
      </c>
      <c r="I316" s="119"/>
      <c r="J316" s="120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spans="1:34" ht="14.25" customHeight="1">
      <c r="A317" s="23">
        <v>315</v>
      </c>
      <c r="B317" s="23" t="s">
        <v>546</v>
      </c>
      <c r="C317" s="23" t="s">
        <v>343</v>
      </c>
      <c r="D317" s="25">
        <v>42.5</v>
      </c>
      <c r="E317" s="25" t="s">
        <v>61</v>
      </c>
      <c r="F317" s="25" t="s">
        <v>12</v>
      </c>
      <c r="G317" s="25"/>
      <c r="H317" s="25" t="s">
        <v>344</v>
      </c>
      <c r="I317" s="119"/>
      <c r="J317" s="120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spans="1:34" ht="14.25" customHeight="1">
      <c r="A318" s="23">
        <v>316</v>
      </c>
      <c r="B318" s="23" t="s">
        <v>546</v>
      </c>
      <c r="C318" s="23" t="s">
        <v>347</v>
      </c>
      <c r="D318" s="25">
        <v>42.7</v>
      </c>
      <c r="E318" s="25" t="s">
        <v>61</v>
      </c>
      <c r="F318" s="25" t="s">
        <v>77</v>
      </c>
      <c r="G318" s="29" t="s">
        <v>54</v>
      </c>
      <c r="H318" s="25" t="s">
        <v>344</v>
      </c>
      <c r="I318" s="119"/>
      <c r="J318" s="120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spans="1:34" ht="14.25" customHeight="1">
      <c r="A319" s="23">
        <v>317</v>
      </c>
      <c r="B319" s="23" t="s">
        <v>546</v>
      </c>
      <c r="C319" s="23" t="s">
        <v>345</v>
      </c>
      <c r="D319" s="25">
        <v>42.8</v>
      </c>
      <c r="E319" s="25" t="s">
        <v>61</v>
      </c>
      <c r="F319" s="25" t="s">
        <v>77</v>
      </c>
      <c r="G319" s="29" t="s">
        <v>54</v>
      </c>
      <c r="H319" s="25" t="s">
        <v>344</v>
      </c>
      <c r="I319" s="119"/>
      <c r="J319" s="120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spans="1:34" ht="14.25" customHeight="1">
      <c r="A320" s="23">
        <v>318</v>
      </c>
      <c r="B320" s="23" t="s">
        <v>546</v>
      </c>
      <c r="C320" s="23" t="s">
        <v>346</v>
      </c>
      <c r="D320" s="25">
        <v>42.8</v>
      </c>
      <c r="E320" s="25" t="s">
        <v>61</v>
      </c>
      <c r="F320" s="25" t="s">
        <v>150</v>
      </c>
      <c r="G320" s="41" t="s">
        <v>104</v>
      </c>
      <c r="H320" s="25" t="s">
        <v>344</v>
      </c>
      <c r="I320" s="122" t="s">
        <v>550</v>
      </c>
      <c r="J320" s="120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spans="1:34" ht="14.25" customHeight="1">
      <c r="A321" s="23">
        <v>319</v>
      </c>
      <c r="B321" s="23" t="s">
        <v>551</v>
      </c>
      <c r="C321" s="23" t="s">
        <v>346</v>
      </c>
      <c r="D321" s="25">
        <v>42.6</v>
      </c>
      <c r="E321" s="25" t="s">
        <v>61</v>
      </c>
      <c r="F321" s="25" t="s">
        <v>55</v>
      </c>
      <c r="G321" s="41" t="s">
        <v>104</v>
      </c>
      <c r="H321" s="25" t="s">
        <v>344</v>
      </c>
      <c r="I321" s="119"/>
      <c r="J321" s="120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spans="1:34" ht="14.25" customHeight="1">
      <c r="A322" s="23">
        <v>320</v>
      </c>
      <c r="B322" s="23" t="s">
        <v>551</v>
      </c>
      <c r="C322" s="23" t="s">
        <v>345</v>
      </c>
      <c r="D322" s="25">
        <v>42.7</v>
      </c>
      <c r="E322" s="25" t="s">
        <v>61</v>
      </c>
      <c r="F322" s="25" t="s">
        <v>55</v>
      </c>
      <c r="G322" s="41" t="s">
        <v>104</v>
      </c>
      <c r="H322" s="25" t="s">
        <v>344</v>
      </c>
      <c r="I322" s="119"/>
      <c r="J322" s="120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spans="1:34" ht="14.25" customHeight="1">
      <c r="A323" s="23">
        <v>321</v>
      </c>
      <c r="B323" s="23" t="s">
        <v>551</v>
      </c>
      <c r="C323" s="23" t="s">
        <v>343</v>
      </c>
      <c r="D323" s="25">
        <v>42.7</v>
      </c>
      <c r="E323" s="25" t="s">
        <v>61</v>
      </c>
      <c r="F323" s="25" t="s">
        <v>55</v>
      </c>
      <c r="G323" s="41" t="s">
        <v>104</v>
      </c>
      <c r="H323" s="25" t="s">
        <v>344</v>
      </c>
      <c r="I323" s="119"/>
      <c r="J323" s="120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spans="1:34" ht="14.25" customHeight="1">
      <c r="A324" s="23">
        <v>322</v>
      </c>
      <c r="B324" s="23" t="s">
        <v>551</v>
      </c>
      <c r="C324" s="23" t="s">
        <v>347</v>
      </c>
      <c r="D324" s="25">
        <v>42.8</v>
      </c>
      <c r="E324" s="25" t="s">
        <v>61</v>
      </c>
      <c r="F324" s="25" t="s">
        <v>55</v>
      </c>
      <c r="G324" s="41" t="s">
        <v>104</v>
      </c>
      <c r="H324" s="25" t="s">
        <v>344</v>
      </c>
      <c r="I324" s="119"/>
      <c r="J324" s="120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spans="1:34" ht="14.25" customHeight="1">
      <c r="A325" s="23">
        <v>323</v>
      </c>
      <c r="B325" s="23" t="s">
        <v>556</v>
      </c>
      <c r="C325" s="23" t="s">
        <v>347</v>
      </c>
      <c r="D325" s="25">
        <v>42.5</v>
      </c>
      <c r="E325" s="25" t="s">
        <v>61</v>
      </c>
      <c r="F325" s="25" t="s">
        <v>55</v>
      </c>
      <c r="G325" s="41" t="s">
        <v>104</v>
      </c>
      <c r="H325" s="25" t="s">
        <v>344</v>
      </c>
      <c r="I325" s="119"/>
      <c r="J325" s="120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spans="1:34" ht="14.25" customHeight="1">
      <c r="A326" s="23">
        <v>324</v>
      </c>
      <c r="B326" s="23" t="s">
        <v>556</v>
      </c>
      <c r="C326" s="23" t="s">
        <v>345</v>
      </c>
      <c r="D326" s="25">
        <v>42.5</v>
      </c>
      <c r="E326" s="25" t="s">
        <v>61</v>
      </c>
      <c r="F326" s="25" t="s">
        <v>55</v>
      </c>
      <c r="G326" s="41" t="s">
        <v>104</v>
      </c>
      <c r="H326" s="25" t="s">
        <v>344</v>
      </c>
      <c r="I326" s="119"/>
      <c r="J326" s="120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spans="1:34" ht="14.25" customHeight="1">
      <c r="A327" s="23">
        <v>325</v>
      </c>
      <c r="B327" s="23" t="s">
        <v>556</v>
      </c>
      <c r="C327" s="23" t="s">
        <v>343</v>
      </c>
      <c r="D327" s="25">
        <v>42.6</v>
      </c>
      <c r="E327" s="25" t="s">
        <v>61</v>
      </c>
      <c r="F327" s="25" t="s">
        <v>62</v>
      </c>
      <c r="G327" s="27" t="s">
        <v>54</v>
      </c>
      <c r="H327" s="25" t="s">
        <v>344</v>
      </c>
      <c r="I327" s="119"/>
      <c r="J327" s="120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spans="1:34" ht="14.25" customHeight="1">
      <c r="A328" s="23">
        <v>326</v>
      </c>
      <c r="B328" s="23" t="s">
        <v>556</v>
      </c>
      <c r="C328" s="23" t="s">
        <v>346</v>
      </c>
      <c r="D328" s="25">
        <v>42.6</v>
      </c>
      <c r="E328" s="25" t="s">
        <v>61</v>
      </c>
      <c r="F328" s="25" t="s">
        <v>55</v>
      </c>
      <c r="G328" s="41" t="s">
        <v>104</v>
      </c>
      <c r="H328" s="25" t="s">
        <v>344</v>
      </c>
      <c r="I328" s="119"/>
      <c r="J328" s="120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spans="1:34" ht="14.25" customHeight="1">
      <c r="A329" s="23">
        <v>327</v>
      </c>
      <c r="B329" s="23" t="s">
        <v>559</v>
      </c>
      <c r="C329" s="23" t="s">
        <v>347</v>
      </c>
      <c r="D329" s="25">
        <v>42.7</v>
      </c>
      <c r="E329" s="25" t="s">
        <v>61</v>
      </c>
      <c r="F329" s="25" t="s">
        <v>47</v>
      </c>
      <c r="G329" s="41" t="s">
        <v>104</v>
      </c>
      <c r="H329" s="25" t="s">
        <v>344</v>
      </c>
      <c r="I329" s="119"/>
      <c r="J329" s="120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spans="1:34" ht="14.25" customHeight="1">
      <c r="A330" s="23">
        <v>328</v>
      </c>
      <c r="B330" s="23" t="s">
        <v>559</v>
      </c>
      <c r="C330" s="23" t="s">
        <v>343</v>
      </c>
      <c r="D330" s="25">
        <v>42.8</v>
      </c>
      <c r="E330" s="25" t="s">
        <v>61</v>
      </c>
      <c r="F330" s="25" t="s">
        <v>47</v>
      </c>
      <c r="G330" s="41" t="s">
        <v>104</v>
      </c>
      <c r="H330" s="25" t="s">
        <v>344</v>
      </c>
      <c r="I330" s="119"/>
      <c r="J330" s="120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spans="1:34" ht="14.25" customHeight="1">
      <c r="A331" s="23">
        <v>329</v>
      </c>
      <c r="B331" s="23" t="s">
        <v>559</v>
      </c>
      <c r="C331" s="23" t="s">
        <v>345</v>
      </c>
      <c r="D331" s="25">
        <v>42.9</v>
      </c>
      <c r="E331" s="25" t="s">
        <v>61</v>
      </c>
      <c r="F331" s="25" t="s">
        <v>118</v>
      </c>
      <c r="G331" s="29" t="s">
        <v>54</v>
      </c>
      <c r="H331" s="25" t="s">
        <v>344</v>
      </c>
      <c r="I331" s="119"/>
      <c r="J331" s="120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spans="1:34" ht="14.25" customHeight="1">
      <c r="A332" s="23">
        <v>330</v>
      </c>
      <c r="B332" s="23" t="s">
        <v>559</v>
      </c>
      <c r="C332" s="23" t="s">
        <v>346</v>
      </c>
      <c r="D332" s="25">
        <v>42.9</v>
      </c>
      <c r="E332" s="25" t="s">
        <v>61</v>
      </c>
      <c r="F332" s="25" t="s">
        <v>47</v>
      </c>
      <c r="G332" s="41" t="s">
        <v>104</v>
      </c>
      <c r="H332" s="25" t="s">
        <v>344</v>
      </c>
      <c r="I332" s="119"/>
      <c r="J332" s="120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spans="1:34" ht="14.25" customHeight="1">
      <c r="A333" s="23">
        <v>331</v>
      </c>
      <c r="B333" s="23" t="s">
        <v>563</v>
      </c>
      <c r="C333" s="23" t="s">
        <v>343</v>
      </c>
      <c r="D333" s="25">
        <v>42.6</v>
      </c>
      <c r="E333" s="25" t="s">
        <v>61</v>
      </c>
      <c r="F333" s="25" t="s">
        <v>62</v>
      </c>
      <c r="G333" s="27" t="s">
        <v>54</v>
      </c>
      <c r="H333" s="25" t="s">
        <v>344</v>
      </c>
      <c r="I333" s="119"/>
      <c r="J333" s="120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spans="1:34" ht="14.25" customHeight="1">
      <c r="A334" s="23">
        <v>332</v>
      </c>
      <c r="B334" s="23" t="s">
        <v>563</v>
      </c>
      <c r="C334" s="23" t="s">
        <v>347</v>
      </c>
      <c r="D334" s="25">
        <v>42.8</v>
      </c>
      <c r="E334" s="25" t="s">
        <v>61</v>
      </c>
      <c r="F334" s="25" t="s">
        <v>89</v>
      </c>
      <c r="G334" s="26" t="s">
        <v>104</v>
      </c>
      <c r="H334" s="25" t="s">
        <v>344</v>
      </c>
      <c r="I334" s="119"/>
      <c r="J334" s="120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spans="1:34" ht="14.25" customHeight="1">
      <c r="A335" s="23">
        <v>333</v>
      </c>
      <c r="B335" s="23" t="s">
        <v>563</v>
      </c>
      <c r="C335" s="23" t="s">
        <v>345</v>
      </c>
      <c r="D335" s="25">
        <v>42.8</v>
      </c>
      <c r="E335" s="25" t="s">
        <v>61</v>
      </c>
      <c r="F335" s="25" t="s">
        <v>77</v>
      </c>
      <c r="G335" s="29" t="s">
        <v>54</v>
      </c>
      <c r="H335" s="25" t="s">
        <v>344</v>
      </c>
      <c r="I335" s="119"/>
      <c r="J335" s="120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spans="1:34" ht="14.25" customHeight="1">
      <c r="A336" s="23">
        <v>334</v>
      </c>
      <c r="B336" s="23" t="s">
        <v>563</v>
      </c>
      <c r="C336" s="23" t="s">
        <v>346</v>
      </c>
      <c r="D336" s="25">
        <v>43</v>
      </c>
      <c r="E336" s="25" t="s">
        <v>61</v>
      </c>
      <c r="F336" s="25" t="s">
        <v>150</v>
      </c>
      <c r="G336" s="41" t="s">
        <v>104</v>
      </c>
      <c r="H336" s="25" t="s">
        <v>344</v>
      </c>
      <c r="I336" s="119"/>
      <c r="J336" s="120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spans="1:34" ht="14.25" customHeight="1">
      <c r="A337" s="23">
        <v>335</v>
      </c>
      <c r="B337" s="23" t="s">
        <v>567</v>
      </c>
      <c r="C337" s="23" t="s">
        <v>345</v>
      </c>
      <c r="D337" s="25">
        <v>42.8</v>
      </c>
      <c r="E337" s="25" t="s">
        <v>61</v>
      </c>
      <c r="F337" s="25" t="s">
        <v>77</v>
      </c>
      <c r="G337" s="29" t="s">
        <v>54</v>
      </c>
      <c r="H337" s="25" t="s">
        <v>344</v>
      </c>
      <c r="I337" s="119"/>
      <c r="J337" s="120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spans="1:34" ht="14.25" customHeight="1">
      <c r="A338" s="23">
        <v>336</v>
      </c>
      <c r="B338" s="23" t="s">
        <v>567</v>
      </c>
      <c r="C338" s="23" t="s">
        <v>343</v>
      </c>
      <c r="D338" s="25">
        <v>42.9</v>
      </c>
      <c r="E338" s="25" t="s">
        <v>61</v>
      </c>
      <c r="F338" s="25" t="s">
        <v>55</v>
      </c>
      <c r="G338" s="41" t="s">
        <v>104</v>
      </c>
      <c r="H338" s="25" t="s">
        <v>344</v>
      </c>
      <c r="I338" s="119"/>
      <c r="J338" s="120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spans="1:34" ht="14.25" customHeight="1">
      <c r="A339" s="23">
        <v>337</v>
      </c>
      <c r="B339" s="23" t="s">
        <v>567</v>
      </c>
      <c r="C339" s="23" t="s">
        <v>347</v>
      </c>
      <c r="D339" s="25">
        <v>42.9</v>
      </c>
      <c r="E339" s="25" t="s">
        <v>61</v>
      </c>
      <c r="F339" s="25" t="s">
        <v>118</v>
      </c>
      <c r="G339" s="29" t="s">
        <v>54</v>
      </c>
      <c r="H339" s="25" t="s">
        <v>344</v>
      </c>
      <c r="I339" s="119"/>
      <c r="J339" s="120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spans="1:34" ht="14.25" customHeight="1">
      <c r="A340" s="23">
        <v>338</v>
      </c>
      <c r="B340" s="23" t="s">
        <v>567</v>
      </c>
      <c r="C340" s="23" t="s">
        <v>346</v>
      </c>
      <c r="D340" s="25">
        <v>43.2</v>
      </c>
      <c r="E340" s="25" t="s">
        <v>61</v>
      </c>
      <c r="F340" s="25" t="s">
        <v>36</v>
      </c>
      <c r="G340" s="41" t="s">
        <v>104</v>
      </c>
      <c r="H340" s="25" t="s">
        <v>344</v>
      </c>
      <c r="I340" s="119"/>
      <c r="J340" s="120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spans="1:34" ht="14.25" customHeight="1">
      <c r="A341" s="23">
        <v>339</v>
      </c>
      <c r="B341" s="23" t="s">
        <v>570</v>
      </c>
      <c r="C341" s="23" t="s">
        <v>343</v>
      </c>
      <c r="D341" s="25">
        <v>42.7</v>
      </c>
      <c r="E341" s="25" t="s">
        <v>61</v>
      </c>
      <c r="F341" s="25" t="s">
        <v>150</v>
      </c>
      <c r="G341" s="41" t="s">
        <v>104</v>
      </c>
      <c r="H341" s="25" t="s">
        <v>344</v>
      </c>
      <c r="I341" s="119"/>
      <c r="J341" s="120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spans="1:34" ht="14.25" customHeight="1">
      <c r="A342" s="23">
        <v>340</v>
      </c>
      <c r="B342" s="23" t="s">
        <v>570</v>
      </c>
      <c r="C342" s="23" t="s">
        <v>345</v>
      </c>
      <c r="D342" s="25">
        <v>42.8</v>
      </c>
      <c r="E342" s="25" t="s">
        <v>61</v>
      </c>
      <c r="F342" s="25" t="s">
        <v>55</v>
      </c>
      <c r="G342" s="41" t="s">
        <v>104</v>
      </c>
      <c r="H342" s="25" t="s">
        <v>344</v>
      </c>
      <c r="I342" s="119"/>
      <c r="J342" s="120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spans="1:34" ht="14.25" customHeight="1">
      <c r="A343" s="23">
        <v>341</v>
      </c>
      <c r="B343" s="23" t="s">
        <v>570</v>
      </c>
      <c r="C343" s="23" t="s">
        <v>347</v>
      </c>
      <c r="D343" s="25">
        <v>43.1</v>
      </c>
      <c r="E343" s="25" t="s">
        <v>61</v>
      </c>
      <c r="F343" s="41" t="s">
        <v>124</v>
      </c>
      <c r="G343" s="26" t="s">
        <v>104</v>
      </c>
      <c r="H343" s="25" t="s">
        <v>344</v>
      </c>
      <c r="I343" s="122" t="s">
        <v>68</v>
      </c>
      <c r="J343" s="120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spans="1:34" ht="14.25" customHeight="1">
      <c r="A344" s="23">
        <v>342</v>
      </c>
      <c r="B344" s="23" t="s">
        <v>570</v>
      </c>
      <c r="C344" s="23" t="s">
        <v>346</v>
      </c>
      <c r="D344" s="25">
        <v>43.2</v>
      </c>
      <c r="E344" s="25" t="s">
        <v>61</v>
      </c>
      <c r="F344" s="25" t="s">
        <v>62</v>
      </c>
      <c r="G344" s="27" t="s">
        <v>54</v>
      </c>
      <c r="H344" s="25" t="s">
        <v>344</v>
      </c>
      <c r="I344" s="119"/>
      <c r="J344" s="120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spans="1:34" ht="14.25" customHeight="1">
      <c r="A345" s="23">
        <v>343</v>
      </c>
      <c r="B345" s="23" t="s">
        <v>574</v>
      </c>
      <c r="C345" s="23" t="s">
        <v>347</v>
      </c>
      <c r="D345" s="25">
        <v>42.6</v>
      </c>
      <c r="E345" s="25" t="s">
        <v>61</v>
      </c>
      <c r="F345" s="25" t="s">
        <v>55</v>
      </c>
      <c r="G345" s="41" t="s">
        <v>104</v>
      </c>
      <c r="H345" s="25" t="s">
        <v>344</v>
      </c>
      <c r="I345" s="119"/>
      <c r="J345" s="120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spans="1:34" ht="14.25" customHeight="1">
      <c r="A346" s="23">
        <v>344</v>
      </c>
      <c r="B346" s="23" t="s">
        <v>574</v>
      </c>
      <c r="C346" s="23" t="s">
        <v>345</v>
      </c>
      <c r="D346" s="25">
        <v>42.7</v>
      </c>
      <c r="E346" s="25" t="s">
        <v>61</v>
      </c>
      <c r="F346" s="25" t="s">
        <v>55</v>
      </c>
      <c r="G346" s="41" t="s">
        <v>104</v>
      </c>
      <c r="H346" s="25" t="s">
        <v>344</v>
      </c>
      <c r="I346" s="119"/>
      <c r="J346" s="120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spans="1:34" ht="14.25" customHeight="1">
      <c r="A347" s="23">
        <v>345</v>
      </c>
      <c r="B347" s="23" t="s">
        <v>574</v>
      </c>
      <c r="C347" s="23" t="s">
        <v>346</v>
      </c>
      <c r="D347" s="25">
        <v>42.8</v>
      </c>
      <c r="E347" s="25" t="s">
        <v>61</v>
      </c>
      <c r="F347" s="25" t="s">
        <v>55</v>
      </c>
      <c r="G347" s="41" t="s">
        <v>104</v>
      </c>
      <c r="H347" s="25" t="s">
        <v>344</v>
      </c>
      <c r="I347" s="119"/>
      <c r="J347" s="120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spans="1:34" ht="14.25" customHeight="1">
      <c r="A348" s="23">
        <v>346</v>
      </c>
      <c r="B348" s="23" t="s">
        <v>574</v>
      </c>
      <c r="C348" s="23" t="s">
        <v>343</v>
      </c>
      <c r="D348" s="25">
        <v>42.9</v>
      </c>
      <c r="E348" s="25" t="s">
        <v>61</v>
      </c>
      <c r="F348" s="25" t="s">
        <v>55</v>
      </c>
      <c r="G348" s="41" t="s">
        <v>104</v>
      </c>
      <c r="H348" s="25" t="s">
        <v>344</v>
      </c>
      <c r="I348" s="119"/>
      <c r="J348" s="120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spans="1:34" ht="14.25" customHeight="1">
      <c r="A349" s="23">
        <v>347</v>
      </c>
      <c r="B349" s="23" t="s">
        <v>576</v>
      </c>
      <c r="C349" s="23" t="s">
        <v>343</v>
      </c>
      <c r="D349" s="25">
        <v>42.4</v>
      </c>
      <c r="E349" s="25" t="s">
        <v>61</v>
      </c>
      <c r="F349" s="25" t="s">
        <v>55</v>
      </c>
      <c r="G349" s="41" t="s">
        <v>104</v>
      </c>
      <c r="H349" s="25" t="s">
        <v>344</v>
      </c>
      <c r="I349" s="119"/>
      <c r="J349" s="120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spans="1:34" ht="14.25" customHeight="1">
      <c r="A350" s="23">
        <v>348</v>
      </c>
      <c r="B350" s="23" t="s">
        <v>576</v>
      </c>
      <c r="C350" s="23" t="s">
        <v>347</v>
      </c>
      <c r="D350" s="25">
        <v>42.7</v>
      </c>
      <c r="E350" s="25" t="s">
        <v>61</v>
      </c>
      <c r="F350" s="25" t="s">
        <v>62</v>
      </c>
      <c r="G350" s="27" t="s">
        <v>54</v>
      </c>
      <c r="H350" s="25" t="s">
        <v>344</v>
      </c>
      <c r="I350" s="119"/>
      <c r="J350" s="120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spans="1:34" ht="14.25" customHeight="1">
      <c r="A351" s="118">
        <v>349</v>
      </c>
      <c r="B351" s="118" t="s">
        <v>576</v>
      </c>
      <c r="C351" s="118" t="s">
        <v>346</v>
      </c>
      <c r="D351" s="118">
        <v>42.7</v>
      </c>
      <c r="E351" s="118" t="s">
        <v>61</v>
      </c>
      <c r="F351" s="118" t="s">
        <v>69</v>
      </c>
      <c r="G351" s="41" t="s">
        <v>104</v>
      </c>
      <c r="H351" s="118" t="s">
        <v>344</v>
      </c>
      <c r="I351" s="119"/>
      <c r="J351" s="120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spans="1:34" ht="14.25" customHeight="1">
      <c r="A352" s="23">
        <v>350</v>
      </c>
      <c r="B352" s="23" t="s">
        <v>576</v>
      </c>
      <c r="C352" s="23" t="s">
        <v>345</v>
      </c>
      <c r="D352" s="25">
        <v>42.8</v>
      </c>
      <c r="E352" s="25" t="s">
        <v>61</v>
      </c>
      <c r="F352" s="25" t="s">
        <v>118</v>
      </c>
      <c r="G352" s="29" t="s">
        <v>54</v>
      </c>
      <c r="H352" s="25" t="s">
        <v>344</v>
      </c>
      <c r="I352" s="119"/>
      <c r="J352" s="120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spans="1:34" ht="14.25" customHeight="1">
      <c r="A353" s="23">
        <v>351</v>
      </c>
      <c r="B353" s="23" t="s">
        <v>578</v>
      </c>
      <c r="C353" s="23" t="s">
        <v>343</v>
      </c>
      <c r="D353" s="25">
        <v>42.4</v>
      </c>
      <c r="E353" s="25" t="s">
        <v>61</v>
      </c>
      <c r="F353" s="25" t="s">
        <v>89</v>
      </c>
      <c r="G353" s="26" t="s">
        <v>104</v>
      </c>
      <c r="H353" s="25" t="s">
        <v>344</v>
      </c>
      <c r="I353" s="119"/>
      <c r="J353" s="120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spans="1:34" ht="14.25" customHeight="1">
      <c r="A354" s="23">
        <v>352</v>
      </c>
      <c r="B354" s="23" t="s">
        <v>578</v>
      </c>
      <c r="C354" s="23" t="s">
        <v>347</v>
      </c>
      <c r="D354" s="25">
        <v>42.7</v>
      </c>
      <c r="E354" s="25" t="s">
        <v>61</v>
      </c>
      <c r="F354" s="25" t="s">
        <v>36</v>
      </c>
      <c r="G354" s="26" t="s">
        <v>104</v>
      </c>
      <c r="H354" s="25" t="s">
        <v>344</v>
      </c>
      <c r="I354" s="119"/>
      <c r="J354" s="120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spans="1:34" ht="14.25" customHeight="1">
      <c r="A355" s="23">
        <v>353</v>
      </c>
      <c r="B355" s="23" t="s">
        <v>578</v>
      </c>
      <c r="C355" s="23" t="s">
        <v>346</v>
      </c>
      <c r="D355" s="25">
        <v>42.7</v>
      </c>
      <c r="E355" s="25" t="s">
        <v>61</v>
      </c>
      <c r="F355" s="25" t="s">
        <v>36</v>
      </c>
      <c r="G355" s="26" t="s">
        <v>104</v>
      </c>
      <c r="H355" s="25" t="s">
        <v>344</v>
      </c>
      <c r="I355" s="119"/>
      <c r="J355" s="120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spans="1:34" ht="14.25" customHeight="1">
      <c r="A356" s="23">
        <v>354</v>
      </c>
      <c r="B356" s="23" t="s">
        <v>578</v>
      </c>
      <c r="C356" s="23" t="s">
        <v>345</v>
      </c>
      <c r="D356" s="25">
        <v>42.8</v>
      </c>
      <c r="E356" s="25" t="s">
        <v>61</v>
      </c>
      <c r="F356" s="25" t="s">
        <v>36</v>
      </c>
      <c r="G356" s="26" t="s">
        <v>104</v>
      </c>
      <c r="H356" s="25" t="s">
        <v>344</v>
      </c>
      <c r="I356" s="119"/>
      <c r="J356" s="120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spans="1:34" ht="14.25" customHeight="1">
      <c r="A357" s="23">
        <v>355</v>
      </c>
      <c r="B357" s="23" t="s">
        <v>581</v>
      </c>
      <c r="C357" s="23" t="s">
        <v>345</v>
      </c>
      <c r="D357" s="25">
        <v>42.9</v>
      </c>
      <c r="E357" s="25" t="s">
        <v>61</v>
      </c>
      <c r="F357" s="25" t="s">
        <v>62</v>
      </c>
      <c r="G357" s="27" t="s">
        <v>54</v>
      </c>
      <c r="H357" s="25" t="s">
        <v>344</v>
      </c>
      <c r="I357" s="119"/>
      <c r="J357" s="120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spans="1:34" ht="14.25" customHeight="1">
      <c r="A358" s="23">
        <v>356</v>
      </c>
      <c r="B358" s="23" t="s">
        <v>581</v>
      </c>
      <c r="C358" s="23" t="s">
        <v>346</v>
      </c>
      <c r="D358" s="25">
        <v>42.9</v>
      </c>
      <c r="E358" s="25" t="s">
        <v>61</v>
      </c>
      <c r="F358" s="25" t="s">
        <v>118</v>
      </c>
      <c r="G358" s="29" t="s">
        <v>54</v>
      </c>
      <c r="H358" s="25" t="s">
        <v>344</v>
      </c>
      <c r="I358" s="119"/>
      <c r="J358" s="120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spans="1:34" ht="14.25" customHeight="1">
      <c r="A359" s="23">
        <v>357</v>
      </c>
      <c r="B359" s="23" t="s">
        <v>581</v>
      </c>
      <c r="C359" s="23" t="s">
        <v>343</v>
      </c>
      <c r="D359" s="25">
        <v>42.9</v>
      </c>
      <c r="E359" s="25" t="s">
        <v>61</v>
      </c>
      <c r="F359" s="25" t="s">
        <v>62</v>
      </c>
      <c r="G359" s="27" t="s">
        <v>54</v>
      </c>
      <c r="H359" s="25" t="s">
        <v>344</v>
      </c>
      <c r="I359" s="119"/>
      <c r="J359" s="120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spans="1:34" ht="14.25" customHeight="1">
      <c r="A360" s="23">
        <v>358</v>
      </c>
      <c r="B360" s="23" t="s">
        <v>581</v>
      </c>
      <c r="C360" s="23" t="s">
        <v>347</v>
      </c>
      <c r="D360" s="25">
        <v>43</v>
      </c>
      <c r="E360" s="25" t="s">
        <v>61</v>
      </c>
      <c r="F360" s="25" t="s">
        <v>62</v>
      </c>
      <c r="G360" s="27" t="s">
        <v>54</v>
      </c>
      <c r="H360" s="25" t="s">
        <v>344</v>
      </c>
      <c r="I360" s="119"/>
      <c r="J360" s="120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spans="1:34" ht="14.25" customHeight="1">
      <c r="A361" s="69"/>
      <c r="B361" s="69"/>
      <c r="C361" s="69"/>
      <c r="D361" s="72">
        <f>SUM(D3:D360)</f>
        <v>17539.700000000037</v>
      </c>
      <c r="E361" s="25">
        <f>SUM(E9:E360)</f>
        <v>0</v>
      </c>
      <c r="F361" s="69"/>
      <c r="G361" s="69"/>
      <c r="H361" s="69"/>
      <c r="I361" s="119"/>
      <c r="J361" s="120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spans="1:34" ht="14.25" customHeight="1">
      <c r="A362" s="13"/>
      <c r="B362" s="13"/>
      <c r="C362" s="13"/>
      <c r="D362" s="13"/>
      <c r="E362" s="13"/>
      <c r="F362" s="13"/>
      <c r="G362" s="13"/>
      <c r="H362" s="13"/>
      <c r="I362" s="116"/>
      <c r="J362" s="12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spans="1:34" ht="14.25" customHeight="1">
      <c r="A363" s="13"/>
      <c r="B363" s="13"/>
      <c r="C363" s="13"/>
      <c r="D363" s="13"/>
      <c r="E363" s="13"/>
      <c r="F363" s="13"/>
      <c r="G363" s="13"/>
      <c r="H363" s="13"/>
      <c r="I363" s="116"/>
      <c r="J363" s="12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spans="1:34" ht="14.25" customHeight="1">
      <c r="A364" s="13"/>
      <c r="B364" s="13"/>
      <c r="C364" s="13"/>
      <c r="D364" s="13"/>
      <c r="E364" s="13"/>
      <c r="F364" s="13"/>
      <c r="G364" s="13"/>
      <c r="H364" s="13"/>
      <c r="I364" s="116"/>
      <c r="J364" s="12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spans="1:34" ht="14.25" customHeight="1">
      <c r="A365" s="13"/>
      <c r="B365" s="13"/>
      <c r="C365" s="13"/>
      <c r="D365" s="13"/>
      <c r="E365" s="13"/>
      <c r="F365" s="13"/>
      <c r="G365" s="13"/>
      <c r="H365" s="13"/>
      <c r="I365" s="116"/>
      <c r="J365" s="12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spans="1:34" ht="14.25" customHeight="1">
      <c r="A366" s="13"/>
      <c r="B366" s="13"/>
      <c r="C366" s="13"/>
      <c r="D366" s="13"/>
      <c r="E366" s="13"/>
      <c r="F366" s="13"/>
      <c r="G366" s="13"/>
      <c r="H366" s="13"/>
      <c r="I366" s="116"/>
      <c r="J366" s="12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spans="1:34" ht="14.25" customHeight="1">
      <c r="A367" s="13"/>
      <c r="B367" s="13"/>
      <c r="C367" s="13"/>
      <c r="D367" s="13"/>
      <c r="E367" s="13"/>
      <c r="F367" s="13"/>
      <c r="G367" s="13"/>
      <c r="H367" s="13"/>
      <c r="I367" s="116"/>
      <c r="J367" s="12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spans="1:34" ht="14.25" customHeight="1">
      <c r="A368" s="13"/>
      <c r="B368" s="13"/>
      <c r="C368" s="13"/>
      <c r="D368" s="13"/>
      <c r="E368" s="13"/>
      <c r="F368" s="13"/>
      <c r="G368" s="13"/>
      <c r="H368" s="13"/>
      <c r="I368" s="116"/>
      <c r="J368" s="12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spans="1:34" ht="14.25" customHeight="1">
      <c r="A369" s="13"/>
      <c r="B369" s="13"/>
      <c r="C369" s="13"/>
      <c r="D369" s="13"/>
      <c r="E369" s="13"/>
      <c r="F369" s="13"/>
      <c r="G369" s="13"/>
      <c r="H369" s="13"/>
      <c r="I369" s="116"/>
      <c r="J369" s="12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spans="1:34" ht="14.25" customHeight="1">
      <c r="A370" s="13"/>
      <c r="B370" s="13"/>
      <c r="C370" s="13"/>
      <c r="D370" s="13"/>
      <c r="E370" s="13"/>
      <c r="F370" s="13"/>
      <c r="G370" s="13"/>
      <c r="H370" s="13"/>
      <c r="I370" s="116"/>
      <c r="J370" s="12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spans="1:34" ht="14.25" customHeight="1">
      <c r="A371" s="13"/>
      <c r="B371" s="13"/>
      <c r="C371" s="13"/>
      <c r="D371" s="13"/>
      <c r="E371" s="13"/>
      <c r="F371" s="13"/>
      <c r="G371" s="13"/>
      <c r="H371" s="13"/>
      <c r="I371" s="116"/>
      <c r="J371" s="12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spans="1:34" ht="14.25" customHeight="1">
      <c r="A372" s="13"/>
      <c r="B372" s="13"/>
      <c r="C372" s="13"/>
      <c r="D372" s="13"/>
      <c r="E372" s="13"/>
      <c r="F372" s="13"/>
      <c r="G372" s="13"/>
      <c r="H372" s="13"/>
      <c r="I372" s="116"/>
      <c r="J372" s="12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spans="1:34" ht="14.25" customHeight="1">
      <c r="A373" s="13"/>
      <c r="B373" s="13"/>
      <c r="C373" s="13"/>
      <c r="D373" s="13"/>
      <c r="E373" s="13"/>
      <c r="F373" s="13"/>
      <c r="G373" s="13"/>
      <c r="H373" s="13"/>
      <c r="I373" s="116"/>
      <c r="J373" s="12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spans="1:34" ht="14.25" customHeight="1">
      <c r="A374" s="13"/>
      <c r="B374" s="13"/>
      <c r="C374" s="13"/>
      <c r="D374" s="13"/>
      <c r="E374" s="13"/>
      <c r="F374" s="13"/>
      <c r="G374" s="13"/>
      <c r="H374" s="13"/>
      <c r="I374" s="116"/>
      <c r="J374" s="12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spans="1:34" ht="14.25" customHeight="1">
      <c r="A375" s="13"/>
      <c r="B375" s="13"/>
      <c r="C375" s="13"/>
      <c r="D375" s="13"/>
      <c r="E375" s="13"/>
      <c r="F375" s="13"/>
      <c r="G375" s="13"/>
      <c r="H375" s="13"/>
      <c r="I375" s="116"/>
      <c r="J375" s="12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spans="1:34" ht="14.25" customHeight="1">
      <c r="A376" s="13"/>
      <c r="B376" s="13"/>
      <c r="C376" s="13"/>
      <c r="D376" s="13"/>
      <c r="E376" s="13"/>
      <c r="F376" s="13"/>
      <c r="G376" s="13"/>
      <c r="H376" s="13"/>
      <c r="I376" s="116"/>
      <c r="J376" s="12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spans="1:34" ht="14.25" customHeight="1">
      <c r="A377" s="13"/>
      <c r="B377" s="13"/>
      <c r="C377" s="13"/>
      <c r="D377" s="13"/>
      <c r="E377" s="13"/>
      <c r="F377" s="13"/>
      <c r="G377" s="13"/>
      <c r="H377" s="13"/>
      <c r="I377" s="116"/>
      <c r="J377" s="12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spans="1:34" ht="14.25" customHeight="1">
      <c r="A378" s="13"/>
      <c r="B378" s="13"/>
      <c r="C378" s="13"/>
      <c r="D378" s="13"/>
      <c r="E378" s="13"/>
      <c r="F378" s="13"/>
      <c r="G378" s="13"/>
      <c r="H378" s="13"/>
      <c r="I378" s="116"/>
      <c r="J378" s="12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spans="1:34" ht="14.25" customHeight="1">
      <c r="A379" s="13"/>
      <c r="B379" s="13"/>
      <c r="C379" s="13"/>
      <c r="D379" s="13"/>
      <c r="E379" s="13"/>
      <c r="F379" s="13"/>
      <c r="G379" s="13"/>
      <c r="H379" s="13"/>
      <c r="I379" s="116"/>
      <c r="J379" s="12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spans="1:34" ht="14.25" customHeight="1">
      <c r="A380" s="13"/>
      <c r="B380" s="13"/>
      <c r="C380" s="13"/>
      <c r="D380" s="13"/>
      <c r="E380" s="13"/>
      <c r="F380" s="13"/>
      <c r="G380" s="13"/>
      <c r="H380" s="13"/>
      <c r="I380" s="116"/>
      <c r="J380" s="12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spans="1:34" ht="14.25" customHeight="1">
      <c r="A381" s="13"/>
      <c r="B381" s="13"/>
      <c r="C381" s="13"/>
      <c r="D381" s="13"/>
      <c r="E381" s="13"/>
      <c r="F381" s="13"/>
      <c r="G381" s="13"/>
      <c r="H381" s="13"/>
      <c r="I381" s="116"/>
      <c r="J381" s="12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spans="1:34" ht="14.25" customHeight="1">
      <c r="A382" s="13"/>
      <c r="B382" s="13"/>
      <c r="C382" s="13"/>
      <c r="D382" s="13"/>
      <c r="E382" s="13"/>
      <c r="F382" s="13"/>
      <c r="G382" s="13"/>
      <c r="H382" s="13"/>
      <c r="I382" s="116"/>
      <c r="J382" s="12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spans="1:34" ht="14.25" customHeight="1">
      <c r="A383" s="13"/>
      <c r="B383" s="13"/>
      <c r="C383" s="13"/>
      <c r="D383" s="13"/>
      <c r="E383" s="13"/>
      <c r="F383" s="13"/>
      <c r="G383" s="13"/>
      <c r="H383" s="13"/>
      <c r="I383" s="116"/>
      <c r="J383" s="12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spans="1:34" ht="14.25" customHeight="1">
      <c r="A384" s="13"/>
      <c r="B384" s="13"/>
      <c r="C384" s="13"/>
      <c r="D384" s="13"/>
      <c r="E384" s="13"/>
      <c r="F384" s="13"/>
      <c r="G384" s="13"/>
      <c r="H384" s="13"/>
      <c r="I384" s="116"/>
      <c r="J384" s="12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spans="1:34" ht="14.25" customHeight="1">
      <c r="A385" s="13"/>
      <c r="B385" s="13"/>
      <c r="C385" s="13"/>
      <c r="D385" s="13"/>
      <c r="E385" s="13"/>
      <c r="F385" s="13"/>
      <c r="G385" s="13"/>
      <c r="H385" s="13"/>
      <c r="I385" s="116"/>
      <c r="J385" s="12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spans="1:34" ht="14.25" customHeight="1">
      <c r="A386" s="13"/>
      <c r="B386" s="13"/>
      <c r="C386" s="13"/>
      <c r="D386" s="13"/>
      <c r="E386" s="13"/>
      <c r="F386" s="13"/>
      <c r="G386" s="13"/>
      <c r="H386" s="13"/>
      <c r="I386" s="116"/>
      <c r="J386" s="12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spans="1:34" ht="14.25" customHeight="1">
      <c r="A387" s="13"/>
      <c r="B387" s="13"/>
      <c r="C387" s="13"/>
      <c r="D387" s="13"/>
      <c r="E387" s="13"/>
      <c r="F387" s="13"/>
      <c r="G387" s="13"/>
      <c r="H387" s="13"/>
      <c r="I387" s="116"/>
      <c r="J387" s="12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spans="1:34" ht="14.25" customHeight="1">
      <c r="A388" s="13"/>
      <c r="B388" s="13"/>
      <c r="C388" s="13"/>
      <c r="D388" s="13"/>
      <c r="E388" s="13"/>
      <c r="F388" s="13"/>
      <c r="G388" s="13"/>
      <c r="H388" s="13"/>
      <c r="I388" s="116"/>
      <c r="J388" s="12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spans="1:34" ht="14.25" customHeight="1">
      <c r="A389" s="13"/>
      <c r="B389" s="13"/>
      <c r="C389" s="13"/>
      <c r="D389" s="13"/>
      <c r="E389" s="13"/>
      <c r="F389" s="13"/>
      <c r="G389" s="13"/>
      <c r="H389" s="13"/>
      <c r="I389" s="116"/>
      <c r="J389" s="12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spans="1:34" ht="14.25" customHeight="1">
      <c r="A390" s="13"/>
      <c r="B390" s="13"/>
      <c r="C390" s="13"/>
      <c r="D390" s="13"/>
      <c r="E390" s="13"/>
      <c r="F390" s="13"/>
      <c r="G390" s="13"/>
      <c r="H390" s="13"/>
      <c r="I390" s="116"/>
      <c r="J390" s="12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spans="1:34" ht="14.25" customHeight="1">
      <c r="A391" s="13"/>
      <c r="B391" s="13"/>
      <c r="C391" s="13"/>
      <c r="D391" s="13"/>
      <c r="E391" s="13"/>
      <c r="F391" s="13"/>
      <c r="G391" s="13"/>
      <c r="H391" s="13"/>
      <c r="I391" s="116"/>
      <c r="J391" s="12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spans="1:34" ht="14.25" customHeight="1">
      <c r="A392" s="13"/>
      <c r="B392" s="13"/>
      <c r="C392" s="13"/>
      <c r="D392" s="13"/>
      <c r="E392" s="13"/>
      <c r="F392" s="13"/>
      <c r="G392" s="13"/>
      <c r="H392" s="13"/>
      <c r="I392" s="116"/>
      <c r="J392" s="12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spans="1:34" ht="14.25" customHeight="1">
      <c r="A393" s="13"/>
      <c r="B393" s="13"/>
      <c r="C393" s="13"/>
      <c r="D393" s="13"/>
      <c r="E393" s="13"/>
      <c r="F393" s="13"/>
      <c r="G393" s="13"/>
      <c r="H393" s="13"/>
      <c r="I393" s="116"/>
      <c r="J393" s="12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spans="1:34" ht="14.25" customHeight="1">
      <c r="A394" s="13"/>
      <c r="B394" s="13"/>
      <c r="C394" s="13"/>
      <c r="D394" s="13"/>
      <c r="E394" s="13"/>
      <c r="F394" s="13"/>
      <c r="G394" s="13"/>
      <c r="H394" s="13"/>
      <c r="I394" s="116"/>
      <c r="J394" s="12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spans="1:34" ht="14.25" customHeight="1">
      <c r="A395" s="13"/>
      <c r="B395" s="13"/>
      <c r="C395" s="13"/>
      <c r="D395" s="13"/>
      <c r="E395" s="13"/>
      <c r="F395" s="13"/>
      <c r="G395" s="13"/>
      <c r="H395" s="13"/>
      <c r="I395" s="116"/>
      <c r="J395" s="12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spans="1:34" ht="14.25" customHeight="1">
      <c r="A396" s="13"/>
      <c r="B396" s="13"/>
      <c r="C396" s="13"/>
      <c r="D396" s="13"/>
      <c r="E396" s="13"/>
      <c r="F396" s="13"/>
      <c r="G396" s="13"/>
      <c r="H396" s="13"/>
      <c r="I396" s="116"/>
      <c r="J396" s="12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spans="1:34" ht="14.25" customHeight="1">
      <c r="A397" s="13"/>
      <c r="B397" s="13"/>
      <c r="C397" s="13"/>
      <c r="D397" s="13"/>
      <c r="E397" s="13"/>
      <c r="F397" s="13"/>
      <c r="G397" s="13"/>
      <c r="H397" s="13"/>
      <c r="I397" s="116"/>
      <c r="J397" s="12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spans="1:34" ht="14.25" customHeight="1">
      <c r="A398" s="13"/>
      <c r="B398" s="13"/>
      <c r="C398" s="13"/>
      <c r="D398" s="13"/>
      <c r="E398" s="13"/>
      <c r="F398" s="13"/>
      <c r="G398" s="13"/>
      <c r="H398" s="13"/>
      <c r="I398" s="116"/>
      <c r="J398" s="12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spans="1:34" ht="14.25" customHeight="1">
      <c r="A399" s="13"/>
      <c r="B399" s="13"/>
      <c r="C399" s="13"/>
      <c r="D399" s="13"/>
      <c r="E399" s="13"/>
      <c r="F399" s="13"/>
      <c r="G399" s="13"/>
      <c r="H399" s="13"/>
      <c r="I399" s="116"/>
      <c r="J399" s="12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spans="1:34" ht="14.25" customHeight="1">
      <c r="A400" s="13"/>
      <c r="B400" s="13"/>
      <c r="C400" s="13"/>
      <c r="D400" s="13"/>
      <c r="E400" s="13"/>
      <c r="F400" s="13"/>
      <c r="G400" s="13"/>
      <c r="H400" s="13"/>
      <c r="I400" s="116"/>
      <c r="J400" s="12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spans="1:34" ht="14.25" customHeight="1">
      <c r="A401" s="13"/>
      <c r="B401" s="13"/>
      <c r="C401" s="13"/>
      <c r="D401" s="13"/>
      <c r="E401" s="13"/>
      <c r="F401" s="13"/>
      <c r="G401" s="13"/>
      <c r="H401" s="13"/>
      <c r="I401" s="116"/>
      <c r="J401" s="12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spans="1:34" ht="14.25" customHeight="1">
      <c r="A402" s="13"/>
      <c r="B402" s="13"/>
      <c r="C402" s="13"/>
      <c r="D402" s="13"/>
      <c r="E402" s="13"/>
      <c r="F402" s="13"/>
      <c r="G402" s="13"/>
      <c r="H402" s="13"/>
      <c r="I402" s="116"/>
      <c r="J402" s="12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spans="1:34" ht="14.25" customHeight="1">
      <c r="A403" s="13"/>
      <c r="B403" s="13"/>
      <c r="C403" s="13"/>
      <c r="D403" s="13"/>
      <c r="E403" s="13"/>
      <c r="F403" s="13"/>
      <c r="G403" s="13"/>
      <c r="H403" s="13"/>
      <c r="I403" s="116"/>
      <c r="J403" s="12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spans="1:34" ht="14.25" customHeight="1">
      <c r="A404" s="13"/>
      <c r="B404" s="13"/>
      <c r="C404" s="13"/>
      <c r="D404" s="13"/>
      <c r="E404" s="13"/>
      <c r="F404" s="13"/>
      <c r="G404" s="13"/>
      <c r="H404" s="13"/>
      <c r="I404" s="116"/>
      <c r="J404" s="12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spans="1:34" ht="14.25" customHeight="1">
      <c r="A405" s="13"/>
      <c r="B405" s="13"/>
      <c r="C405" s="13"/>
      <c r="D405" s="13"/>
      <c r="E405" s="13"/>
      <c r="F405" s="13"/>
      <c r="G405" s="13"/>
      <c r="H405" s="13"/>
      <c r="I405" s="116"/>
      <c r="J405" s="12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spans="1:34" ht="14.25" customHeight="1">
      <c r="A406" s="13"/>
      <c r="B406" s="13"/>
      <c r="C406" s="13"/>
      <c r="D406" s="13"/>
      <c r="E406" s="13"/>
      <c r="F406" s="13"/>
      <c r="G406" s="13"/>
      <c r="H406" s="13"/>
      <c r="I406" s="116"/>
      <c r="J406" s="12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spans="1:34" ht="14.25" customHeight="1">
      <c r="A407" s="13"/>
      <c r="B407" s="13"/>
      <c r="C407" s="13"/>
      <c r="D407" s="13"/>
      <c r="E407" s="13"/>
      <c r="F407" s="13"/>
      <c r="G407" s="13"/>
      <c r="H407" s="13"/>
      <c r="I407" s="116"/>
      <c r="J407" s="12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spans="1:34" ht="14.25" customHeight="1">
      <c r="A408" s="13"/>
      <c r="B408" s="13"/>
      <c r="C408" s="13"/>
      <c r="D408" s="13"/>
      <c r="E408" s="13"/>
      <c r="F408" s="13"/>
      <c r="G408" s="13"/>
      <c r="H408" s="13"/>
      <c r="I408" s="116"/>
      <c r="J408" s="12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spans="1:34" ht="14.25" customHeight="1">
      <c r="A409" s="13"/>
      <c r="B409" s="13"/>
      <c r="C409" s="13"/>
      <c r="D409" s="13"/>
      <c r="E409" s="13"/>
      <c r="F409" s="13"/>
      <c r="G409" s="13"/>
      <c r="H409" s="13"/>
      <c r="I409" s="116"/>
      <c r="J409" s="12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spans="1:34" ht="14.25" customHeight="1">
      <c r="A410" s="13"/>
      <c r="B410" s="13"/>
      <c r="C410" s="13"/>
      <c r="D410" s="13"/>
      <c r="E410" s="13"/>
      <c r="F410" s="13"/>
      <c r="G410" s="13"/>
      <c r="H410" s="13"/>
      <c r="I410" s="116"/>
      <c r="J410" s="12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spans="1:34" ht="14.25" customHeight="1">
      <c r="A411" s="13"/>
      <c r="B411" s="13"/>
      <c r="C411" s="13"/>
      <c r="D411" s="13"/>
      <c r="E411" s="13"/>
      <c r="F411" s="13"/>
      <c r="G411" s="13"/>
      <c r="H411" s="13"/>
      <c r="I411" s="116"/>
      <c r="J411" s="12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spans="1:34" ht="14.25" customHeight="1">
      <c r="A412" s="13"/>
      <c r="B412" s="13"/>
      <c r="C412" s="13"/>
      <c r="D412" s="13"/>
      <c r="E412" s="13"/>
      <c r="F412" s="13"/>
      <c r="G412" s="13"/>
      <c r="H412" s="13"/>
      <c r="I412" s="116"/>
      <c r="J412" s="12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spans="1:34" ht="14.25" customHeight="1">
      <c r="A413" s="13"/>
      <c r="B413" s="13"/>
      <c r="C413" s="13"/>
      <c r="D413" s="13"/>
      <c r="E413" s="13"/>
      <c r="F413" s="13"/>
      <c r="G413" s="13"/>
      <c r="H413" s="13"/>
      <c r="I413" s="116"/>
      <c r="J413" s="12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spans="1:34" ht="14.25" customHeight="1">
      <c r="A414" s="13"/>
      <c r="B414" s="13"/>
      <c r="C414" s="13"/>
      <c r="D414" s="13"/>
      <c r="E414" s="13"/>
      <c r="F414" s="13"/>
      <c r="G414" s="13"/>
      <c r="H414" s="13"/>
      <c r="I414" s="116"/>
      <c r="J414" s="12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spans="1:34" ht="14.25" customHeight="1">
      <c r="A415" s="13"/>
      <c r="B415" s="13"/>
      <c r="C415" s="13"/>
      <c r="D415" s="13"/>
      <c r="E415" s="13"/>
      <c r="F415" s="13"/>
      <c r="G415" s="13"/>
      <c r="H415" s="13"/>
      <c r="I415" s="116"/>
      <c r="J415" s="12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spans="1:34" ht="14.25" customHeight="1">
      <c r="A416" s="13"/>
      <c r="B416" s="13"/>
      <c r="C416" s="13"/>
      <c r="D416" s="13"/>
      <c r="E416" s="13"/>
      <c r="F416" s="13"/>
      <c r="G416" s="13"/>
      <c r="H416" s="13"/>
      <c r="I416" s="116"/>
      <c r="J416" s="12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spans="1:34" ht="14.25" customHeight="1">
      <c r="A417" s="13"/>
      <c r="B417" s="13"/>
      <c r="C417" s="13"/>
      <c r="D417" s="13"/>
      <c r="E417" s="13"/>
      <c r="F417" s="13"/>
      <c r="G417" s="13"/>
      <c r="H417" s="13"/>
      <c r="I417" s="116"/>
      <c r="J417" s="12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spans="1:34" ht="14.25" customHeight="1">
      <c r="A418" s="13"/>
      <c r="B418" s="13"/>
      <c r="C418" s="13"/>
      <c r="D418" s="13"/>
      <c r="E418" s="13"/>
      <c r="F418" s="13"/>
      <c r="G418" s="13"/>
      <c r="H418" s="13"/>
      <c r="I418" s="116"/>
      <c r="J418" s="12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spans="1:34" ht="14.25" customHeight="1">
      <c r="A419" s="13"/>
      <c r="B419" s="13"/>
      <c r="C419" s="13"/>
      <c r="D419" s="13"/>
      <c r="E419" s="13"/>
      <c r="F419" s="13"/>
      <c r="G419" s="13"/>
      <c r="H419" s="13"/>
      <c r="I419" s="116"/>
      <c r="J419" s="12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spans="1:34" ht="14.25" customHeight="1">
      <c r="A420" s="13"/>
      <c r="B420" s="13"/>
      <c r="C420" s="13"/>
      <c r="D420" s="13"/>
      <c r="E420" s="13"/>
      <c r="F420" s="13"/>
      <c r="G420" s="13"/>
      <c r="H420" s="13"/>
      <c r="I420" s="116"/>
      <c r="J420" s="12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spans="1:34" ht="14.25" customHeight="1">
      <c r="A421" s="13"/>
      <c r="B421" s="13"/>
      <c r="C421" s="13"/>
      <c r="D421" s="13"/>
      <c r="E421" s="13"/>
      <c r="F421" s="13"/>
      <c r="G421" s="13"/>
      <c r="H421" s="13"/>
      <c r="I421" s="116"/>
      <c r="J421" s="12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spans="1:34" ht="14.25" customHeight="1">
      <c r="A422" s="13"/>
      <c r="B422" s="13"/>
      <c r="C422" s="13"/>
      <c r="D422" s="13"/>
      <c r="E422" s="13"/>
      <c r="F422" s="13"/>
      <c r="G422" s="13"/>
      <c r="H422" s="13"/>
      <c r="I422" s="116"/>
      <c r="J422" s="12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spans="1:34" ht="14.25" customHeight="1">
      <c r="A423" s="13"/>
      <c r="B423" s="13"/>
      <c r="C423" s="13"/>
      <c r="D423" s="13"/>
      <c r="E423" s="13"/>
      <c r="F423" s="13"/>
      <c r="G423" s="13"/>
      <c r="H423" s="13"/>
      <c r="I423" s="116"/>
      <c r="J423" s="12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spans="1:34" ht="14.25" customHeight="1">
      <c r="A424" s="13"/>
      <c r="B424" s="13"/>
      <c r="C424" s="13"/>
      <c r="D424" s="13"/>
      <c r="E424" s="13"/>
      <c r="F424" s="13"/>
      <c r="G424" s="13"/>
      <c r="H424" s="13"/>
      <c r="I424" s="116"/>
      <c r="J424" s="12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spans="1:34" ht="14.25" customHeight="1">
      <c r="A425" s="13"/>
      <c r="B425" s="13"/>
      <c r="C425" s="13"/>
      <c r="D425" s="13"/>
      <c r="E425" s="13"/>
      <c r="F425" s="13"/>
      <c r="G425" s="13"/>
      <c r="H425" s="13"/>
      <c r="I425" s="116"/>
      <c r="J425" s="12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spans="1:34" ht="14.25" customHeight="1">
      <c r="A426" s="13"/>
      <c r="B426" s="13"/>
      <c r="C426" s="13"/>
      <c r="D426" s="13"/>
      <c r="E426" s="13"/>
      <c r="F426" s="13"/>
      <c r="G426" s="13"/>
      <c r="H426" s="13"/>
      <c r="I426" s="116"/>
      <c r="J426" s="12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spans="1:34" ht="14.25" customHeight="1">
      <c r="A427" s="13"/>
      <c r="B427" s="13"/>
      <c r="C427" s="13"/>
      <c r="D427" s="13"/>
      <c r="E427" s="13"/>
      <c r="F427" s="13"/>
      <c r="G427" s="13"/>
      <c r="H427" s="13"/>
      <c r="I427" s="116"/>
      <c r="J427" s="12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spans="1:34" ht="14.25" customHeight="1">
      <c r="A428" s="13"/>
      <c r="B428" s="13"/>
      <c r="C428" s="13"/>
      <c r="D428" s="13"/>
      <c r="E428" s="13"/>
      <c r="F428" s="13"/>
      <c r="G428" s="13"/>
      <c r="H428" s="13"/>
      <c r="I428" s="116"/>
      <c r="J428" s="12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spans="1:34" ht="14.25" customHeight="1">
      <c r="A429" s="13"/>
      <c r="B429" s="13"/>
      <c r="C429" s="13"/>
      <c r="D429" s="13"/>
      <c r="E429" s="13"/>
      <c r="F429" s="13"/>
      <c r="G429" s="13"/>
      <c r="H429" s="13"/>
      <c r="I429" s="116"/>
      <c r="J429" s="12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spans="1:34" ht="14.25" customHeight="1">
      <c r="A430" s="13"/>
      <c r="B430" s="13"/>
      <c r="C430" s="13"/>
      <c r="D430" s="13"/>
      <c r="E430" s="13"/>
      <c r="F430" s="13"/>
      <c r="G430" s="13"/>
      <c r="H430" s="13"/>
      <c r="I430" s="116"/>
      <c r="J430" s="12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spans="1:34" ht="14.25" customHeight="1">
      <c r="A431" s="13"/>
      <c r="B431" s="13"/>
      <c r="C431" s="13"/>
      <c r="D431" s="13"/>
      <c r="E431" s="13"/>
      <c r="F431" s="13"/>
      <c r="G431" s="13"/>
      <c r="H431" s="13"/>
      <c r="I431" s="116"/>
      <c r="J431" s="12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spans="1:34" ht="14.25" customHeight="1">
      <c r="A432" s="13"/>
      <c r="B432" s="13"/>
      <c r="C432" s="13"/>
      <c r="D432" s="13"/>
      <c r="E432" s="13"/>
      <c r="F432" s="13"/>
      <c r="G432" s="13"/>
      <c r="H432" s="13"/>
      <c r="I432" s="116"/>
      <c r="J432" s="12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spans="1:34" ht="14.25" customHeight="1">
      <c r="A433" s="13"/>
      <c r="B433" s="13"/>
      <c r="C433" s="13"/>
      <c r="D433" s="13"/>
      <c r="E433" s="13"/>
      <c r="F433" s="13"/>
      <c r="G433" s="13"/>
      <c r="H433" s="13"/>
      <c r="I433" s="116"/>
      <c r="J433" s="12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spans="1:34" ht="14.25" customHeight="1">
      <c r="A434" s="13"/>
      <c r="B434" s="13"/>
      <c r="C434" s="13"/>
      <c r="D434" s="13"/>
      <c r="E434" s="13"/>
      <c r="F434" s="13"/>
      <c r="G434" s="13"/>
      <c r="H434" s="13"/>
      <c r="I434" s="116"/>
      <c r="J434" s="12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spans="1:34" ht="14.25" customHeight="1">
      <c r="A435" s="13"/>
      <c r="B435" s="13"/>
      <c r="C435" s="13"/>
      <c r="D435" s="13"/>
      <c r="E435" s="13"/>
      <c r="F435" s="13"/>
      <c r="G435" s="13"/>
      <c r="H435" s="13"/>
      <c r="I435" s="116"/>
      <c r="J435" s="12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spans="1:34" ht="14.25" customHeight="1">
      <c r="A436" s="13"/>
      <c r="B436" s="13"/>
      <c r="C436" s="13"/>
      <c r="D436" s="13"/>
      <c r="E436" s="13"/>
      <c r="F436" s="13"/>
      <c r="G436" s="13"/>
      <c r="H436" s="13"/>
      <c r="I436" s="116"/>
      <c r="J436" s="12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spans="1:34" ht="14.25" customHeight="1">
      <c r="A437" s="13"/>
      <c r="B437" s="13"/>
      <c r="C437" s="13"/>
      <c r="D437" s="13"/>
      <c r="E437" s="13"/>
      <c r="F437" s="13"/>
      <c r="G437" s="13"/>
      <c r="H437" s="13"/>
      <c r="I437" s="116"/>
      <c r="J437" s="12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spans="1:34" ht="14.25" customHeight="1">
      <c r="A438" s="13"/>
      <c r="B438" s="13"/>
      <c r="C438" s="13"/>
      <c r="D438" s="13"/>
      <c r="E438" s="13"/>
      <c r="F438" s="13"/>
      <c r="G438" s="13"/>
      <c r="H438" s="13"/>
      <c r="I438" s="116"/>
      <c r="J438" s="12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spans="1:34" ht="14.25" customHeight="1">
      <c r="A439" s="13"/>
      <c r="B439" s="13"/>
      <c r="C439" s="13"/>
      <c r="D439" s="13"/>
      <c r="E439" s="13"/>
      <c r="F439" s="13"/>
      <c r="G439" s="13"/>
      <c r="H439" s="13"/>
      <c r="I439" s="116"/>
      <c r="J439" s="12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spans="1:34" ht="14.25" customHeight="1">
      <c r="A440" s="13"/>
      <c r="B440" s="13"/>
      <c r="C440" s="13"/>
      <c r="D440" s="13"/>
      <c r="E440" s="13"/>
      <c r="F440" s="13"/>
      <c r="G440" s="13"/>
      <c r="H440" s="13"/>
      <c r="I440" s="116"/>
      <c r="J440" s="12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spans="1:34" ht="14.25" customHeight="1">
      <c r="A441" s="13"/>
      <c r="B441" s="13"/>
      <c r="C441" s="13"/>
      <c r="D441" s="13"/>
      <c r="E441" s="13"/>
      <c r="F441" s="13"/>
      <c r="G441" s="13"/>
      <c r="H441" s="13"/>
      <c r="I441" s="116"/>
      <c r="J441" s="12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spans="1:34" ht="14.25" customHeight="1">
      <c r="A442" s="13"/>
      <c r="B442" s="13"/>
      <c r="C442" s="13"/>
      <c r="D442" s="13"/>
      <c r="E442" s="13"/>
      <c r="F442" s="13"/>
      <c r="G442" s="13"/>
      <c r="H442" s="13"/>
      <c r="I442" s="116"/>
      <c r="J442" s="12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spans="1:34" ht="14.25" customHeight="1">
      <c r="A443" s="13"/>
      <c r="B443" s="13"/>
      <c r="C443" s="13"/>
      <c r="D443" s="13"/>
      <c r="E443" s="13"/>
      <c r="F443" s="13"/>
      <c r="G443" s="13"/>
      <c r="H443" s="13"/>
      <c r="I443" s="116"/>
      <c r="J443" s="12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spans="1:34" ht="14.25" customHeight="1">
      <c r="A444" s="13"/>
      <c r="B444" s="13"/>
      <c r="C444" s="13"/>
      <c r="D444" s="13"/>
      <c r="E444" s="13"/>
      <c r="F444" s="13"/>
      <c r="G444" s="13"/>
      <c r="H444" s="13"/>
      <c r="I444" s="116"/>
      <c r="J444" s="12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spans="1:34" ht="14.25" customHeight="1">
      <c r="A445" s="13"/>
      <c r="B445" s="13"/>
      <c r="C445" s="13"/>
      <c r="D445" s="13"/>
      <c r="E445" s="13"/>
      <c r="F445" s="13"/>
      <c r="G445" s="13"/>
      <c r="H445" s="13"/>
      <c r="I445" s="116"/>
      <c r="J445" s="12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spans="1:34" ht="14.25" customHeight="1">
      <c r="A446" s="13"/>
      <c r="B446" s="13"/>
      <c r="C446" s="13"/>
      <c r="D446" s="13"/>
      <c r="E446" s="13"/>
      <c r="F446" s="13"/>
      <c r="G446" s="13"/>
      <c r="H446" s="13"/>
      <c r="I446" s="116"/>
      <c r="J446" s="12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spans="1:34" ht="14.25" customHeight="1">
      <c r="A447" s="13"/>
      <c r="B447" s="13"/>
      <c r="C447" s="13"/>
      <c r="D447" s="13"/>
      <c r="E447" s="13"/>
      <c r="F447" s="13"/>
      <c r="G447" s="13"/>
      <c r="H447" s="13"/>
      <c r="I447" s="116"/>
      <c r="J447" s="12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spans="1:34" ht="14.25" customHeight="1">
      <c r="A448" s="13"/>
      <c r="B448" s="13"/>
      <c r="C448" s="13"/>
      <c r="D448" s="13"/>
      <c r="E448" s="13"/>
      <c r="F448" s="13"/>
      <c r="G448" s="13"/>
      <c r="H448" s="13"/>
      <c r="I448" s="116"/>
      <c r="J448" s="12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spans="1:34" ht="14.25" customHeight="1">
      <c r="A449" s="13"/>
      <c r="B449" s="13"/>
      <c r="C449" s="13"/>
      <c r="D449" s="13"/>
      <c r="E449" s="13"/>
      <c r="F449" s="13"/>
      <c r="G449" s="13"/>
      <c r="H449" s="13"/>
      <c r="I449" s="116"/>
      <c r="J449" s="12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spans="1:34" ht="14.25" customHeight="1">
      <c r="A450" s="13"/>
      <c r="B450" s="13"/>
      <c r="C450" s="13"/>
      <c r="D450" s="13"/>
      <c r="E450" s="13"/>
      <c r="F450" s="13"/>
      <c r="G450" s="13"/>
      <c r="H450" s="13"/>
      <c r="I450" s="116"/>
      <c r="J450" s="12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spans="1:34" ht="14.25" customHeight="1">
      <c r="A451" s="13"/>
      <c r="B451" s="13"/>
      <c r="C451" s="13"/>
      <c r="D451" s="13"/>
      <c r="E451" s="13"/>
      <c r="F451" s="13"/>
      <c r="G451" s="13"/>
      <c r="H451" s="13"/>
      <c r="I451" s="116"/>
      <c r="J451" s="12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spans="1:34" ht="14.25" customHeight="1">
      <c r="A452" s="13"/>
      <c r="B452" s="13"/>
      <c r="C452" s="13"/>
      <c r="D452" s="13"/>
      <c r="E452" s="13"/>
      <c r="F452" s="13"/>
      <c r="G452" s="13"/>
      <c r="H452" s="13"/>
      <c r="I452" s="116"/>
      <c r="J452" s="12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spans="1:34" ht="14.25" customHeight="1">
      <c r="A453" s="13"/>
      <c r="B453" s="13"/>
      <c r="C453" s="13"/>
      <c r="D453" s="13"/>
      <c r="E453" s="13"/>
      <c r="F453" s="13"/>
      <c r="G453" s="13"/>
      <c r="H453" s="13"/>
      <c r="I453" s="116"/>
      <c r="J453" s="12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spans="1:34" ht="14.25" customHeight="1">
      <c r="A454" s="13"/>
      <c r="B454" s="13"/>
      <c r="C454" s="13"/>
      <c r="D454" s="13"/>
      <c r="E454" s="13"/>
      <c r="F454" s="13"/>
      <c r="G454" s="13"/>
      <c r="H454" s="13"/>
      <c r="I454" s="116"/>
      <c r="J454" s="12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spans="1:34" ht="14.25" customHeight="1">
      <c r="A455" s="13"/>
      <c r="B455" s="13"/>
      <c r="C455" s="13"/>
      <c r="D455" s="13"/>
      <c r="E455" s="13"/>
      <c r="F455" s="13"/>
      <c r="G455" s="13"/>
      <c r="H455" s="13"/>
      <c r="I455" s="116"/>
      <c r="J455" s="12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spans="1:34" ht="14.25" customHeight="1">
      <c r="A456" s="13"/>
      <c r="B456" s="13"/>
      <c r="C456" s="13"/>
      <c r="D456" s="13"/>
      <c r="E456" s="13"/>
      <c r="F456" s="13"/>
      <c r="G456" s="13"/>
      <c r="H456" s="13"/>
      <c r="I456" s="116"/>
      <c r="J456" s="12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spans="1:34" ht="14.25" customHeight="1">
      <c r="A457" s="13"/>
      <c r="B457" s="13"/>
      <c r="C457" s="13"/>
      <c r="D457" s="13"/>
      <c r="E457" s="13"/>
      <c r="F457" s="13"/>
      <c r="G457" s="13"/>
      <c r="H457" s="13"/>
      <c r="I457" s="116"/>
      <c r="J457" s="12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spans="1:34" ht="14.25" customHeight="1">
      <c r="A458" s="13"/>
      <c r="B458" s="13"/>
      <c r="C458" s="13"/>
      <c r="D458" s="13"/>
      <c r="E458" s="13"/>
      <c r="F458" s="13"/>
      <c r="G458" s="13"/>
      <c r="H458" s="13"/>
      <c r="I458" s="116"/>
      <c r="J458" s="12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spans="1:34" ht="14.25" customHeight="1">
      <c r="A459" s="13"/>
      <c r="B459" s="13"/>
      <c r="C459" s="13"/>
      <c r="D459" s="13"/>
      <c r="E459" s="13"/>
      <c r="F459" s="13"/>
      <c r="G459" s="13"/>
      <c r="H459" s="13"/>
      <c r="I459" s="116"/>
      <c r="J459" s="12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spans="1:34" ht="14.25" customHeight="1">
      <c r="A460" s="13"/>
      <c r="B460" s="13"/>
      <c r="C460" s="13"/>
      <c r="D460" s="13"/>
      <c r="E460" s="13"/>
      <c r="F460" s="13"/>
      <c r="G460" s="13"/>
      <c r="H460" s="13"/>
      <c r="I460" s="116"/>
      <c r="J460" s="12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spans="1:34" ht="14.25" customHeight="1">
      <c r="A461" s="13"/>
      <c r="B461" s="13"/>
      <c r="C461" s="13"/>
      <c r="D461" s="13"/>
      <c r="E461" s="13"/>
      <c r="F461" s="13"/>
      <c r="G461" s="13"/>
      <c r="H461" s="13"/>
      <c r="I461" s="116"/>
      <c r="J461" s="12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spans="1:34" ht="14.25" customHeight="1">
      <c r="A462" s="13"/>
      <c r="B462" s="13"/>
      <c r="C462" s="13"/>
      <c r="D462" s="13"/>
      <c r="E462" s="13"/>
      <c r="F462" s="13"/>
      <c r="G462" s="13"/>
      <c r="H462" s="13"/>
      <c r="I462" s="116"/>
      <c r="J462" s="12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spans="1:34" ht="14.25" customHeight="1">
      <c r="A463" s="13"/>
      <c r="B463" s="13"/>
      <c r="C463" s="13"/>
      <c r="D463" s="13"/>
      <c r="E463" s="13"/>
      <c r="F463" s="13"/>
      <c r="G463" s="13"/>
      <c r="H463" s="13"/>
      <c r="I463" s="116"/>
      <c r="J463" s="12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spans="1:34" ht="14.25" customHeight="1">
      <c r="A464" s="13"/>
      <c r="B464" s="13"/>
      <c r="C464" s="13"/>
      <c r="D464" s="13"/>
      <c r="E464" s="13"/>
      <c r="F464" s="13"/>
      <c r="G464" s="13"/>
      <c r="H464" s="13"/>
      <c r="I464" s="116"/>
      <c r="J464" s="12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spans="1:34" ht="14.25" customHeight="1">
      <c r="A465" s="13"/>
      <c r="B465" s="13"/>
      <c r="C465" s="13"/>
      <c r="D465" s="13"/>
      <c r="E465" s="13"/>
      <c r="F465" s="13"/>
      <c r="G465" s="13"/>
      <c r="H465" s="13"/>
      <c r="I465" s="116"/>
      <c r="J465" s="12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spans="1:34" ht="14.25" customHeight="1">
      <c r="A466" s="13"/>
      <c r="B466" s="13"/>
      <c r="C466" s="13"/>
      <c r="D466" s="13"/>
      <c r="E466" s="13"/>
      <c r="F466" s="13"/>
      <c r="G466" s="13"/>
      <c r="H466" s="13"/>
      <c r="I466" s="116"/>
      <c r="J466" s="12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spans="1:34" ht="14.25" customHeight="1">
      <c r="A467" s="13"/>
      <c r="B467" s="13"/>
      <c r="C467" s="13"/>
      <c r="D467" s="13"/>
      <c r="E467" s="13"/>
      <c r="F467" s="13"/>
      <c r="G467" s="13"/>
      <c r="H467" s="13"/>
      <c r="I467" s="116"/>
      <c r="J467" s="12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spans="1:34" ht="14.25" customHeight="1">
      <c r="A468" s="13"/>
      <c r="B468" s="13"/>
      <c r="C468" s="13"/>
      <c r="D468" s="13"/>
      <c r="E468" s="13"/>
      <c r="F468" s="13"/>
      <c r="G468" s="13"/>
      <c r="H468" s="13"/>
      <c r="I468" s="116"/>
      <c r="J468" s="12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spans="1:34" ht="14.25" customHeight="1">
      <c r="A469" s="13"/>
      <c r="B469" s="13"/>
      <c r="C469" s="13"/>
      <c r="D469" s="13"/>
      <c r="E469" s="13"/>
      <c r="F469" s="13"/>
      <c r="G469" s="13"/>
      <c r="H469" s="13"/>
      <c r="I469" s="116"/>
      <c r="J469" s="12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spans="1:34" ht="14.25" customHeight="1">
      <c r="A470" s="13"/>
      <c r="B470" s="13"/>
      <c r="C470" s="13"/>
      <c r="D470" s="13"/>
      <c r="E470" s="13"/>
      <c r="F470" s="13"/>
      <c r="G470" s="13"/>
      <c r="H470" s="13"/>
      <c r="I470" s="116"/>
      <c r="J470" s="12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spans="1:34" ht="14.25" customHeight="1">
      <c r="A471" s="13"/>
      <c r="B471" s="13"/>
      <c r="C471" s="13"/>
      <c r="D471" s="13"/>
      <c r="E471" s="13"/>
      <c r="F471" s="13"/>
      <c r="G471" s="13"/>
      <c r="H471" s="13"/>
      <c r="I471" s="116"/>
      <c r="J471" s="12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spans="1:34" ht="14.25" customHeight="1">
      <c r="A472" s="13"/>
      <c r="B472" s="13"/>
      <c r="C472" s="13"/>
      <c r="D472" s="13"/>
      <c r="E472" s="13"/>
      <c r="F472" s="13"/>
      <c r="G472" s="13"/>
      <c r="H472" s="13"/>
      <c r="I472" s="116"/>
      <c r="J472" s="12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spans="1:34" ht="14.25" customHeight="1">
      <c r="A473" s="13"/>
      <c r="B473" s="13"/>
      <c r="C473" s="13"/>
      <c r="D473" s="13"/>
      <c r="E473" s="13"/>
      <c r="F473" s="13"/>
      <c r="G473" s="13"/>
      <c r="H473" s="13"/>
      <c r="I473" s="116"/>
      <c r="J473" s="12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spans="1:34" ht="14.25" customHeight="1">
      <c r="A474" s="13"/>
      <c r="B474" s="13"/>
      <c r="C474" s="13"/>
      <c r="D474" s="13"/>
      <c r="E474" s="13"/>
      <c r="F474" s="13"/>
      <c r="G474" s="13"/>
      <c r="H474" s="13"/>
      <c r="I474" s="116"/>
      <c r="J474" s="12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spans="1:34" ht="14.25" customHeight="1">
      <c r="A475" s="13"/>
      <c r="B475" s="13"/>
      <c r="C475" s="13"/>
      <c r="D475" s="13"/>
      <c r="E475" s="13"/>
      <c r="F475" s="13"/>
      <c r="G475" s="13"/>
      <c r="H475" s="13"/>
      <c r="I475" s="116"/>
      <c r="J475" s="12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spans="1:34" ht="14.25" customHeight="1">
      <c r="A476" s="13"/>
      <c r="B476" s="13"/>
      <c r="C476" s="13"/>
      <c r="D476" s="13"/>
      <c r="E476" s="13"/>
      <c r="F476" s="13"/>
      <c r="G476" s="13"/>
      <c r="H476" s="13"/>
      <c r="I476" s="116"/>
      <c r="J476" s="12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spans="1:34" ht="14.25" customHeight="1">
      <c r="A477" s="13"/>
      <c r="B477" s="13"/>
      <c r="C477" s="13"/>
      <c r="D477" s="13"/>
      <c r="E477" s="13"/>
      <c r="F477" s="13"/>
      <c r="G477" s="13"/>
      <c r="H477" s="13"/>
      <c r="I477" s="116"/>
      <c r="J477" s="12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spans="1:34" ht="14.25" customHeight="1">
      <c r="A478" s="13"/>
      <c r="B478" s="13"/>
      <c r="C478" s="13"/>
      <c r="D478" s="13"/>
      <c r="E478" s="13"/>
      <c r="F478" s="13"/>
      <c r="G478" s="13"/>
      <c r="H478" s="13"/>
      <c r="I478" s="116"/>
      <c r="J478" s="12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spans="1:34" ht="14.25" customHeight="1">
      <c r="A479" s="13"/>
      <c r="B479" s="13"/>
      <c r="C479" s="13"/>
      <c r="D479" s="13"/>
      <c r="E479" s="13"/>
      <c r="F479" s="13"/>
      <c r="G479" s="13"/>
      <c r="H479" s="13"/>
      <c r="I479" s="116"/>
      <c r="J479" s="12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spans="1:34" ht="14.25" customHeight="1">
      <c r="A480" s="13"/>
      <c r="B480" s="13"/>
      <c r="C480" s="13"/>
      <c r="D480" s="13"/>
      <c r="E480" s="13"/>
      <c r="F480" s="13"/>
      <c r="G480" s="13"/>
      <c r="H480" s="13"/>
      <c r="I480" s="116"/>
      <c r="J480" s="12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spans="1:34" ht="14.25" customHeight="1">
      <c r="A481" s="13"/>
      <c r="B481" s="13"/>
      <c r="C481" s="13"/>
      <c r="D481" s="13"/>
      <c r="E481" s="13"/>
      <c r="F481" s="13"/>
      <c r="G481" s="13"/>
      <c r="H481" s="13"/>
      <c r="I481" s="116"/>
      <c r="J481" s="12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spans="1:34" ht="14.25" customHeight="1">
      <c r="A482" s="13"/>
      <c r="B482" s="13"/>
      <c r="C482" s="13"/>
      <c r="D482" s="13"/>
      <c r="E482" s="13"/>
      <c r="F482" s="13"/>
      <c r="G482" s="13"/>
      <c r="H482" s="13"/>
      <c r="I482" s="116"/>
      <c r="J482" s="12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spans="1:34" ht="14.25" customHeight="1">
      <c r="A483" s="13"/>
      <c r="B483" s="13"/>
      <c r="C483" s="13"/>
      <c r="D483" s="13"/>
      <c r="E483" s="13"/>
      <c r="F483" s="13"/>
      <c r="G483" s="13"/>
      <c r="H483" s="13"/>
      <c r="I483" s="116"/>
      <c r="J483" s="12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spans="1:34" ht="14.25" customHeight="1">
      <c r="A484" s="13"/>
      <c r="B484" s="13"/>
      <c r="C484" s="13"/>
      <c r="D484" s="13"/>
      <c r="E484" s="13"/>
      <c r="F484" s="13"/>
      <c r="G484" s="13"/>
      <c r="H484" s="13"/>
      <c r="I484" s="116"/>
      <c r="J484" s="12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spans="1:34" ht="14.25" customHeight="1">
      <c r="A485" s="13"/>
      <c r="B485" s="13"/>
      <c r="C485" s="13"/>
      <c r="D485" s="13"/>
      <c r="E485" s="13"/>
      <c r="F485" s="13"/>
      <c r="G485" s="13"/>
      <c r="H485" s="13"/>
      <c r="I485" s="116"/>
      <c r="J485" s="12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spans="1:34" ht="14.25" customHeight="1">
      <c r="A486" s="13"/>
      <c r="B486" s="13"/>
      <c r="C486" s="13"/>
      <c r="D486" s="13"/>
      <c r="E486" s="13"/>
      <c r="F486" s="13"/>
      <c r="G486" s="13"/>
      <c r="H486" s="13"/>
      <c r="I486" s="116"/>
      <c r="J486" s="12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spans="1:34" ht="14.25" customHeight="1">
      <c r="A487" s="13"/>
      <c r="B487" s="13"/>
      <c r="C487" s="13"/>
      <c r="D487" s="13"/>
      <c r="E487" s="13"/>
      <c r="F487" s="13"/>
      <c r="G487" s="13"/>
      <c r="H487" s="13"/>
      <c r="I487" s="116"/>
      <c r="J487" s="12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spans="1:34" ht="14.25" customHeight="1">
      <c r="A488" s="13"/>
      <c r="B488" s="13"/>
      <c r="C488" s="13"/>
      <c r="D488" s="13"/>
      <c r="E488" s="13"/>
      <c r="F488" s="13"/>
      <c r="G488" s="13"/>
      <c r="H488" s="13"/>
      <c r="I488" s="116"/>
      <c r="J488" s="12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spans="1:34" ht="14.25" customHeight="1">
      <c r="A489" s="13"/>
      <c r="B489" s="13"/>
      <c r="C489" s="13"/>
      <c r="D489" s="13"/>
      <c r="E489" s="13"/>
      <c r="F489" s="13"/>
      <c r="G489" s="13"/>
      <c r="H489" s="13"/>
      <c r="I489" s="116"/>
      <c r="J489" s="12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spans="1:34" ht="14.25" customHeight="1">
      <c r="A490" s="13"/>
      <c r="B490" s="13"/>
      <c r="C490" s="13"/>
      <c r="D490" s="13"/>
      <c r="E490" s="13"/>
      <c r="F490" s="13"/>
      <c r="G490" s="13"/>
      <c r="H490" s="13"/>
      <c r="I490" s="116"/>
      <c r="J490" s="12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spans="1:34" ht="14.25" customHeight="1">
      <c r="A491" s="13"/>
      <c r="B491" s="13"/>
      <c r="C491" s="13"/>
      <c r="D491" s="13"/>
      <c r="E491" s="13"/>
      <c r="F491" s="13"/>
      <c r="G491" s="13"/>
      <c r="H491" s="13"/>
      <c r="I491" s="116"/>
      <c r="J491" s="12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spans="1:34" ht="14.25" customHeight="1">
      <c r="A492" s="13"/>
      <c r="B492" s="13"/>
      <c r="C492" s="13"/>
      <c r="D492" s="13"/>
      <c r="E492" s="13"/>
      <c r="F492" s="13"/>
      <c r="G492" s="13"/>
      <c r="H492" s="13"/>
      <c r="I492" s="116"/>
      <c r="J492" s="12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spans="1:34" ht="14.25" customHeight="1">
      <c r="A493" s="13"/>
      <c r="B493" s="13"/>
      <c r="C493" s="13"/>
      <c r="D493" s="13"/>
      <c r="E493" s="13"/>
      <c r="F493" s="13"/>
      <c r="G493" s="13"/>
      <c r="H493" s="13"/>
      <c r="I493" s="116"/>
      <c r="J493" s="12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spans="1:34" ht="14.25" customHeight="1">
      <c r="A494" s="13"/>
      <c r="B494" s="13"/>
      <c r="C494" s="13"/>
      <c r="D494" s="13"/>
      <c r="E494" s="13"/>
      <c r="F494" s="13"/>
      <c r="G494" s="13"/>
      <c r="H494" s="13"/>
      <c r="I494" s="116"/>
      <c r="J494" s="12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spans="1:34" ht="14.25" customHeight="1">
      <c r="A495" s="13"/>
      <c r="B495" s="13"/>
      <c r="C495" s="13"/>
      <c r="D495" s="13"/>
      <c r="E495" s="13"/>
      <c r="F495" s="13"/>
      <c r="G495" s="13"/>
      <c r="H495" s="13"/>
      <c r="I495" s="116"/>
      <c r="J495" s="12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spans="1:34" ht="14.25" customHeight="1">
      <c r="A496" s="13"/>
      <c r="B496" s="13"/>
      <c r="C496" s="13"/>
      <c r="D496" s="13"/>
      <c r="E496" s="13"/>
      <c r="F496" s="13"/>
      <c r="G496" s="13"/>
      <c r="H496" s="13"/>
      <c r="I496" s="116"/>
      <c r="J496" s="12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spans="1:34" ht="14.25" customHeight="1">
      <c r="A497" s="13"/>
      <c r="B497" s="13"/>
      <c r="C497" s="13"/>
      <c r="D497" s="13"/>
      <c r="E497" s="13"/>
      <c r="F497" s="13"/>
      <c r="G497" s="13"/>
      <c r="H497" s="13"/>
      <c r="I497" s="116"/>
      <c r="J497" s="12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spans="1:34" ht="14.25" customHeight="1">
      <c r="A498" s="13"/>
      <c r="B498" s="13"/>
      <c r="C498" s="13"/>
      <c r="D498" s="13"/>
      <c r="E498" s="13"/>
      <c r="F498" s="13"/>
      <c r="G498" s="13"/>
      <c r="H498" s="13"/>
      <c r="I498" s="116"/>
      <c r="J498" s="12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spans="1:34" ht="14.25" customHeight="1">
      <c r="A499" s="13"/>
      <c r="B499" s="13"/>
      <c r="C499" s="13"/>
      <c r="D499" s="13"/>
      <c r="E499" s="13"/>
      <c r="F499" s="13"/>
      <c r="G499" s="13"/>
      <c r="H499" s="13"/>
      <c r="I499" s="116"/>
      <c r="J499" s="12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spans="1:34" ht="14.25" customHeight="1">
      <c r="A500" s="13"/>
      <c r="B500" s="13"/>
      <c r="C500" s="13"/>
      <c r="D500" s="13"/>
      <c r="E500" s="13"/>
      <c r="F500" s="13"/>
      <c r="G500" s="13"/>
      <c r="H500" s="13"/>
      <c r="I500" s="116"/>
      <c r="J500" s="12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spans="1:34" ht="14.25" customHeight="1">
      <c r="A501" s="13"/>
      <c r="B501" s="13"/>
      <c r="C501" s="13"/>
      <c r="D501" s="13"/>
      <c r="E501" s="13"/>
      <c r="F501" s="13"/>
      <c r="G501" s="13"/>
      <c r="H501" s="13"/>
      <c r="I501" s="116"/>
      <c r="J501" s="12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spans="1:34" ht="14.25" customHeight="1">
      <c r="A502" s="13"/>
      <c r="B502" s="13"/>
      <c r="C502" s="13"/>
      <c r="D502" s="13"/>
      <c r="E502" s="13"/>
      <c r="F502" s="13"/>
      <c r="G502" s="13"/>
      <c r="H502" s="13"/>
      <c r="I502" s="116"/>
      <c r="J502" s="12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spans="1:34" ht="14.25" customHeight="1">
      <c r="A503" s="13"/>
      <c r="B503" s="13"/>
      <c r="C503" s="13"/>
      <c r="D503" s="13"/>
      <c r="E503" s="13"/>
      <c r="F503" s="13"/>
      <c r="G503" s="13"/>
      <c r="H503" s="13"/>
      <c r="I503" s="116"/>
      <c r="J503" s="12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spans="1:34" ht="14.25" customHeight="1">
      <c r="A504" s="13"/>
      <c r="B504" s="13"/>
      <c r="C504" s="13"/>
      <c r="D504" s="13"/>
      <c r="E504" s="13"/>
      <c r="F504" s="13"/>
      <c r="G504" s="13"/>
      <c r="H504" s="13"/>
      <c r="I504" s="116"/>
      <c r="J504" s="12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spans="1:34" ht="14.25" customHeight="1">
      <c r="A505" s="13"/>
      <c r="B505" s="13"/>
      <c r="C505" s="13"/>
      <c r="D505" s="13"/>
      <c r="E505" s="13"/>
      <c r="F505" s="13"/>
      <c r="G505" s="13"/>
      <c r="H505" s="13"/>
      <c r="I505" s="116"/>
      <c r="J505" s="12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spans="1:34" ht="14.25" customHeight="1">
      <c r="A506" s="13"/>
      <c r="B506" s="13"/>
      <c r="C506" s="13"/>
      <c r="D506" s="13"/>
      <c r="E506" s="13"/>
      <c r="F506" s="13"/>
      <c r="G506" s="13"/>
      <c r="H506" s="13"/>
      <c r="I506" s="116"/>
      <c r="J506" s="12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spans="1:34" ht="14.25" customHeight="1">
      <c r="A507" s="13"/>
      <c r="B507" s="13"/>
      <c r="C507" s="13"/>
      <c r="D507" s="13"/>
      <c r="E507" s="13"/>
      <c r="F507" s="13"/>
      <c r="G507" s="13"/>
      <c r="H507" s="13"/>
      <c r="I507" s="116"/>
      <c r="J507" s="12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spans="1:34" ht="14.25" customHeight="1">
      <c r="A508" s="13"/>
      <c r="B508" s="13"/>
      <c r="C508" s="13"/>
      <c r="D508" s="13"/>
      <c r="E508" s="13"/>
      <c r="F508" s="13"/>
      <c r="G508" s="13"/>
      <c r="H508" s="13"/>
      <c r="I508" s="116"/>
      <c r="J508" s="12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spans="1:34" ht="14.25" customHeight="1">
      <c r="A509" s="13"/>
      <c r="B509" s="13"/>
      <c r="C509" s="13"/>
      <c r="D509" s="13"/>
      <c r="E509" s="13"/>
      <c r="F509" s="13"/>
      <c r="G509" s="13"/>
      <c r="H509" s="13"/>
      <c r="I509" s="116"/>
      <c r="J509" s="12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spans="1:34" ht="14.25" customHeight="1">
      <c r="A510" s="13"/>
      <c r="B510" s="13"/>
      <c r="C510" s="13"/>
      <c r="D510" s="13"/>
      <c r="E510" s="13"/>
      <c r="F510" s="13"/>
      <c r="G510" s="13"/>
      <c r="H510" s="13"/>
      <c r="I510" s="116"/>
      <c r="J510" s="12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spans="1:34" ht="14.25" customHeight="1">
      <c r="A511" s="13"/>
      <c r="B511" s="13"/>
      <c r="C511" s="13"/>
      <c r="D511" s="13"/>
      <c r="E511" s="13"/>
      <c r="F511" s="13"/>
      <c r="G511" s="13"/>
      <c r="H511" s="13"/>
      <c r="I511" s="116"/>
      <c r="J511" s="12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spans="1:34" ht="14.25" customHeight="1">
      <c r="A512" s="13"/>
      <c r="B512" s="13"/>
      <c r="C512" s="13"/>
      <c r="D512" s="13"/>
      <c r="E512" s="13"/>
      <c r="F512" s="13"/>
      <c r="G512" s="13"/>
      <c r="H512" s="13"/>
      <c r="I512" s="116"/>
      <c r="J512" s="12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spans="1:34" ht="14.25" customHeight="1">
      <c r="A513" s="13"/>
      <c r="B513" s="13"/>
      <c r="C513" s="13"/>
      <c r="D513" s="13"/>
      <c r="E513" s="13"/>
      <c r="F513" s="13"/>
      <c r="G513" s="13"/>
      <c r="H513" s="13"/>
      <c r="I513" s="116"/>
      <c r="J513" s="12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spans="1:34" ht="14.25" customHeight="1">
      <c r="A514" s="13"/>
      <c r="B514" s="13"/>
      <c r="C514" s="13"/>
      <c r="D514" s="13"/>
      <c r="E514" s="13"/>
      <c r="F514" s="13"/>
      <c r="G514" s="13"/>
      <c r="H514" s="13"/>
      <c r="I514" s="116"/>
      <c r="J514" s="12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spans="1:34" ht="14.25" customHeight="1">
      <c r="A515" s="13"/>
      <c r="B515" s="13"/>
      <c r="C515" s="13"/>
      <c r="D515" s="13"/>
      <c r="E515" s="13"/>
      <c r="F515" s="13"/>
      <c r="G515" s="13"/>
      <c r="H515" s="13"/>
      <c r="I515" s="116"/>
      <c r="J515" s="12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spans="1:34" ht="14.25" customHeight="1">
      <c r="A516" s="13"/>
      <c r="B516" s="13"/>
      <c r="C516" s="13"/>
      <c r="D516" s="13"/>
      <c r="E516" s="13"/>
      <c r="F516" s="13"/>
      <c r="G516" s="13"/>
      <c r="H516" s="13"/>
      <c r="I516" s="116"/>
      <c r="J516" s="12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spans="1:34" ht="14.25" customHeight="1">
      <c r="A517" s="13"/>
      <c r="B517" s="13"/>
      <c r="C517" s="13"/>
      <c r="D517" s="13"/>
      <c r="E517" s="13"/>
      <c r="F517" s="13"/>
      <c r="G517" s="13"/>
      <c r="H517" s="13"/>
      <c r="I517" s="116"/>
      <c r="J517" s="12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spans="1:34" ht="14.25" customHeight="1">
      <c r="A518" s="13"/>
      <c r="B518" s="13"/>
      <c r="C518" s="13"/>
      <c r="D518" s="13"/>
      <c r="E518" s="13"/>
      <c r="F518" s="13"/>
      <c r="G518" s="13"/>
      <c r="H518" s="13"/>
      <c r="I518" s="116"/>
      <c r="J518" s="12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spans="1:34" ht="14.25" customHeight="1">
      <c r="A519" s="13"/>
      <c r="B519" s="13"/>
      <c r="C519" s="13"/>
      <c r="D519" s="13"/>
      <c r="E519" s="13"/>
      <c r="F519" s="13"/>
      <c r="G519" s="13"/>
      <c r="H519" s="13"/>
      <c r="I519" s="116"/>
      <c r="J519" s="12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spans="1:34" ht="14.25" customHeight="1">
      <c r="A520" s="13"/>
      <c r="B520" s="13"/>
      <c r="C520" s="13"/>
      <c r="D520" s="13"/>
      <c r="E520" s="13"/>
      <c r="F520" s="13"/>
      <c r="G520" s="13"/>
      <c r="H520" s="13"/>
      <c r="I520" s="116"/>
      <c r="J520" s="12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spans="1:34" ht="14.25" customHeight="1">
      <c r="A521" s="13"/>
      <c r="B521" s="13"/>
      <c r="C521" s="13"/>
      <c r="D521" s="13"/>
      <c r="E521" s="13"/>
      <c r="F521" s="13"/>
      <c r="G521" s="13"/>
      <c r="H521" s="13"/>
      <c r="I521" s="116"/>
      <c r="J521" s="12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spans="1:34" ht="14.25" customHeight="1">
      <c r="A522" s="13"/>
      <c r="B522" s="13"/>
      <c r="C522" s="13"/>
      <c r="D522" s="13"/>
      <c r="E522" s="13"/>
      <c r="F522" s="13"/>
      <c r="G522" s="13"/>
      <c r="H522" s="13"/>
      <c r="I522" s="116"/>
      <c r="J522" s="12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spans="1:34" ht="14.25" customHeight="1">
      <c r="A523" s="13"/>
      <c r="B523" s="13"/>
      <c r="C523" s="13"/>
      <c r="D523" s="13"/>
      <c r="E523" s="13"/>
      <c r="F523" s="13"/>
      <c r="G523" s="13"/>
      <c r="H523" s="13"/>
      <c r="I523" s="116"/>
      <c r="J523" s="12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spans="1:34" ht="14.25" customHeight="1">
      <c r="A524" s="13"/>
      <c r="B524" s="13"/>
      <c r="C524" s="13"/>
      <c r="D524" s="13"/>
      <c r="E524" s="13"/>
      <c r="F524" s="13"/>
      <c r="G524" s="13"/>
      <c r="H524" s="13"/>
      <c r="I524" s="116"/>
      <c r="J524" s="12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spans="1:34" ht="14.25" customHeight="1">
      <c r="A525" s="13"/>
      <c r="B525" s="13"/>
      <c r="C525" s="13"/>
      <c r="D525" s="13"/>
      <c r="E525" s="13"/>
      <c r="F525" s="13"/>
      <c r="G525" s="13"/>
      <c r="H525" s="13"/>
      <c r="I525" s="116"/>
      <c r="J525" s="12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spans="1:34" ht="14.25" customHeight="1">
      <c r="A526" s="13"/>
      <c r="B526" s="13"/>
      <c r="C526" s="13"/>
      <c r="D526" s="13"/>
      <c r="E526" s="13"/>
      <c r="F526" s="13"/>
      <c r="G526" s="13"/>
      <c r="H526" s="13"/>
      <c r="I526" s="116"/>
      <c r="J526" s="12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spans="1:34" ht="14.25" customHeight="1">
      <c r="A527" s="13"/>
      <c r="B527" s="13"/>
      <c r="C527" s="13"/>
      <c r="D527" s="13"/>
      <c r="E527" s="13"/>
      <c r="F527" s="13"/>
      <c r="G527" s="13"/>
      <c r="H527" s="13"/>
      <c r="I527" s="116"/>
      <c r="J527" s="12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spans="1:34" ht="14.25" customHeight="1">
      <c r="A528" s="13"/>
      <c r="B528" s="13"/>
      <c r="C528" s="13"/>
      <c r="D528" s="13"/>
      <c r="E528" s="13"/>
      <c r="F528" s="13"/>
      <c r="G528" s="13"/>
      <c r="H528" s="13"/>
      <c r="I528" s="116"/>
      <c r="J528" s="12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spans="1:34" ht="14.25" customHeight="1">
      <c r="A529" s="13"/>
      <c r="B529" s="13"/>
      <c r="C529" s="13"/>
      <c r="D529" s="13"/>
      <c r="E529" s="13"/>
      <c r="F529" s="13"/>
      <c r="G529" s="13"/>
      <c r="H529" s="13"/>
      <c r="I529" s="116"/>
      <c r="J529" s="12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spans="1:34" ht="14.25" customHeight="1">
      <c r="A530" s="13"/>
      <c r="B530" s="13"/>
      <c r="C530" s="13"/>
      <c r="D530" s="13"/>
      <c r="E530" s="13"/>
      <c r="F530" s="13"/>
      <c r="G530" s="13"/>
      <c r="H530" s="13"/>
      <c r="I530" s="116"/>
      <c r="J530" s="12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spans="1:34" ht="14.25" customHeight="1">
      <c r="A531" s="13"/>
      <c r="B531" s="13"/>
      <c r="C531" s="13"/>
      <c r="D531" s="13"/>
      <c r="E531" s="13"/>
      <c r="F531" s="13"/>
      <c r="G531" s="13"/>
      <c r="H531" s="13"/>
      <c r="I531" s="116"/>
      <c r="J531" s="12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spans="1:34" ht="14.25" customHeight="1">
      <c r="A532" s="13"/>
      <c r="B532" s="13"/>
      <c r="C532" s="13"/>
      <c r="D532" s="13"/>
      <c r="E532" s="13"/>
      <c r="F532" s="13"/>
      <c r="G532" s="13"/>
      <c r="H532" s="13"/>
      <c r="I532" s="116"/>
      <c r="J532" s="12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spans="1:34" ht="14.25" customHeight="1">
      <c r="A533" s="13"/>
      <c r="B533" s="13"/>
      <c r="C533" s="13"/>
      <c r="D533" s="13"/>
      <c r="E533" s="13"/>
      <c r="F533" s="13"/>
      <c r="G533" s="13"/>
      <c r="H533" s="13"/>
      <c r="I533" s="116"/>
      <c r="J533" s="12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spans="1:34" ht="14.25" customHeight="1">
      <c r="A534" s="13"/>
      <c r="B534" s="13"/>
      <c r="C534" s="13"/>
      <c r="D534" s="13"/>
      <c r="E534" s="13"/>
      <c r="F534" s="13"/>
      <c r="G534" s="13"/>
      <c r="H534" s="13"/>
      <c r="I534" s="116"/>
      <c r="J534" s="12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spans="1:34" ht="14.25" customHeight="1">
      <c r="A535" s="13"/>
      <c r="B535" s="13"/>
      <c r="C535" s="13"/>
      <c r="D535" s="13"/>
      <c r="E535" s="13"/>
      <c r="F535" s="13"/>
      <c r="G535" s="13"/>
      <c r="H535" s="13"/>
      <c r="I535" s="116"/>
      <c r="J535" s="12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spans="1:34" ht="14.25" customHeight="1">
      <c r="A536" s="13"/>
      <c r="B536" s="13"/>
      <c r="C536" s="13"/>
      <c r="D536" s="13"/>
      <c r="E536" s="13"/>
      <c r="F536" s="13"/>
      <c r="G536" s="13"/>
      <c r="H536" s="13"/>
      <c r="I536" s="116"/>
      <c r="J536" s="12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spans="1:34" ht="14.25" customHeight="1">
      <c r="A537" s="13"/>
      <c r="B537" s="13"/>
      <c r="C537" s="13"/>
      <c r="D537" s="13"/>
      <c r="E537" s="13"/>
      <c r="F537" s="13"/>
      <c r="G537" s="13"/>
      <c r="H537" s="13"/>
      <c r="I537" s="116"/>
      <c r="J537" s="12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spans="1:34" ht="14.25" customHeight="1">
      <c r="A538" s="13"/>
      <c r="B538" s="13"/>
      <c r="C538" s="13"/>
      <c r="D538" s="13"/>
      <c r="E538" s="13"/>
      <c r="F538" s="13"/>
      <c r="G538" s="13"/>
      <c r="H538" s="13"/>
      <c r="I538" s="116"/>
      <c r="J538" s="12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spans="1:34" ht="14.25" customHeight="1">
      <c r="A539" s="13"/>
      <c r="B539" s="13"/>
      <c r="C539" s="13"/>
      <c r="D539" s="13"/>
      <c r="E539" s="13"/>
      <c r="F539" s="13"/>
      <c r="G539" s="13"/>
      <c r="H539" s="13"/>
      <c r="I539" s="116"/>
      <c r="J539" s="12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spans="1:34" ht="14.25" customHeight="1">
      <c r="A540" s="13"/>
      <c r="B540" s="13"/>
      <c r="C540" s="13"/>
      <c r="D540" s="13"/>
      <c r="E540" s="13"/>
      <c r="F540" s="13"/>
      <c r="G540" s="13"/>
      <c r="H540" s="13"/>
      <c r="I540" s="116"/>
      <c r="J540" s="12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spans="1:34" ht="14.25" customHeight="1">
      <c r="A541" s="13"/>
      <c r="B541" s="13"/>
      <c r="C541" s="13"/>
      <c r="D541" s="13"/>
      <c r="E541" s="13"/>
      <c r="F541" s="13"/>
      <c r="G541" s="13"/>
      <c r="H541" s="13"/>
      <c r="I541" s="116"/>
      <c r="J541" s="12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spans="1:34" ht="14.25" customHeight="1">
      <c r="A542" s="13"/>
      <c r="B542" s="13"/>
      <c r="C542" s="13"/>
      <c r="D542" s="13"/>
      <c r="E542" s="13"/>
      <c r="F542" s="13"/>
      <c r="G542" s="13"/>
      <c r="H542" s="13"/>
      <c r="I542" s="116"/>
      <c r="J542" s="12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spans="1:34" ht="14.25" customHeight="1">
      <c r="A543" s="13"/>
      <c r="B543" s="13"/>
      <c r="C543" s="13"/>
      <c r="D543" s="13"/>
      <c r="E543" s="13"/>
      <c r="F543" s="13"/>
      <c r="G543" s="13"/>
      <c r="H543" s="13"/>
      <c r="I543" s="116"/>
      <c r="J543" s="12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spans="1:34" ht="14.25" customHeight="1">
      <c r="A544" s="13"/>
      <c r="B544" s="13"/>
      <c r="C544" s="13"/>
      <c r="D544" s="13"/>
      <c r="E544" s="13"/>
      <c r="F544" s="13"/>
      <c r="G544" s="13"/>
      <c r="H544" s="13"/>
      <c r="I544" s="116"/>
      <c r="J544" s="12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spans="1:34" ht="14.25" customHeight="1">
      <c r="A545" s="13"/>
      <c r="B545" s="13"/>
      <c r="C545" s="13"/>
      <c r="D545" s="13"/>
      <c r="E545" s="13"/>
      <c r="F545" s="13"/>
      <c r="G545" s="13"/>
      <c r="H545" s="13"/>
      <c r="I545" s="116"/>
      <c r="J545" s="12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spans="1:34" ht="14.25" customHeight="1">
      <c r="A546" s="13"/>
      <c r="B546" s="13"/>
      <c r="C546" s="13"/>
      <c r="D546" s="13"/>
      <c r="E546" s="13"/>
      <c r="F546" s="13"/>
      <c r="G546" s="13"/>
      <c r="H546" s="13"/>
      <c r="I546" s="116"/>
      <c r="J546" s="12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spans="1:34" ht="14.25" customHeight="1">
      <c r="A547" s="13"/>
      <c r="B547" s="13"/>
      <c r="C547" s="13"/>
      <c r="D547" s="13"/>
      <c r="E547" s="13"/>
      <c r="F547" s="13"/>
      <c r="G547" s="13"/>
      <c r="H547" s="13"/>
      <c r="I547" s="116"/>
      <c r="J547" s="12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spans="1:34" ht="14.25" customHeight="1">
      <c r="A548" s="13"/>
      <c r="B548" s="13"/>
      <c r="C548" s="13"/>
      <c r="D548" s="13"/>
      <c r="E548" s="13"/>
      <c r="F548" s="13"/>
      <c r="G548" s="13"/>
      <c r="H548" s="13"/>
      <c r="I548" s="116"/>
      <c r="J548" s="12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spans="1:34" ht="14.25" customHeight="1">
      <c r="A549" s="13"/>
      <c r="B549" s="13"/>
      <c r="C549" s="13"/>
      <c r="D549" s="13"/>
      <c r="E549" s="13"/>
      <c r="F549" s="13"/>
      <c r="G549" s="13"/>
      <c r="H549" s="13"/>
      <c r="I549" s="116"/>
      <c r="J549" s="12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spans="1:34" ht="14.25" customHeight="1">
      <c r="A550" s="13"/>
      <c r="B550" s="13"/>
      <c r="C550" s="13"/>
      <c r="D550" s="13"/>
      <c r="E550" s="13"/>
      <c r="F550" s="13"/>
      <c r="G550" s="13"/>
      <c r="H550" s="13"/>
      <c r="I550" s="116"/>
      <c r="J550" s="12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spans="1:34" ht="14.25" customHeight="1">
      <c r="A551" s="13"/>
      <c r="B551" s="13"/>
      <c r="C551" s="13"/>
      <c r="D551" s="13"/>
      <c r="E551" s="13"/>
      <c r="F551" s="13"/>
      <c r="G551" s="13"/>
      <c r="H551" s="13"/>
      <c r="I551" s="116"/>
      <c r="J551" s="12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spans="1:34" ht="14.25" customHeight="1">
      <c r="A552" s="13"/>
      <c r="B552" s="13"/>
      <c r="C552" s="13"/>
      <c r="D552" s="13"/>
      <c r="E552" s="13"/>
      <c r="F552" s="13"/>
      <c r="G552" s="13"/>
      <c r="H552" s="13"/>
      <c r="I552" s="116"/>
      <c r="J552" s="12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spans="1:34" ht="14.25" customHeight="1">
      <c r="A553" s="13"/>
      <c r="B553" s="13"/>
      <c r="C553" s="13"/>
      <c r="D553" s="13"/>
      <c r="E553" s="13"/>
      <c r="F553" s="13"/>
      <c r="G553" s="13"/>
      <c r="H553" s="13"/>
      <c r="I553" s="116"/>
      <c r="J553" s="12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spans="1:34" ht="14.25" customHeight="1">
      <c r="A554" s="13"/>
      <c r="B554" s="13"/>
      <c r="C554" s="13"/>
      <c r="D554" s="13"/>
      <c r="E554" s="13"/>
      <c r="F554" s="13"/>
      <c r="G554" s="13"/>
      <c r="H554" s="13"/>
      <c r="I554" s="116"/>
      <c r="J554" s="12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spans="1:34" ht="14.25" customHeight="1">
      <c r="A555" s="13"/>
      <c r="B555" s="13"/>
      <c r="C555" s="13"/>
      <c r="D555" s="13"/>
      <c r="E555" s="13"/>
      <c r="F555" s="13"/>
      <c r="G555" s="13"/>
      <c r="H555" s="13"/>
      <c r="I555" s="116"/>
      <c r="J555" s="12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spans="1:34" ht="14.25" customHeight="1">
      <c r="A556" s="13"/>
      <c r="B556" s="13"/>
      <c r="C556" s="13"/>
      <c r="D556" s="13"/>
      <c r="E556" s="13"/>
      <c r="F556" s="13"/>
      <c r="G556" s="13"/>
      <c r="H556" s="13"/>
      <c r="I556" s="116"/>
      <c r="J556" s="12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spans="1:34" ht="14.25" customHeight="1">
      <c r="A557" s="13"/>
      <c r="B557" s="13"/>
      <c r="C557" s="13"/>
      <c r="D557" s="13"/>
      <c r="E557" s="13"/>
      <c r="F557" s="13"/>
      <c r="G557" s="13"/>
      <c r="H557" s="13"/>
      <c r="I557" s="116"/>
      <c r="J557" s="12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spans="1:34" ht="14.25" customHeight="1">
      <c r="A558" s="13"/>
      <c r="B558" s="13"/>
      <c r="C558" s="13"/>
      <c r="D558" s="13"/>
      <c r="E558" s="13"/>
      <c r="F558" s="13"/>
      <c r="G558" s="13"/>
      <c r="H558" s="13"/>
      <c r="I558" s="116"/>
      <c r="J558" s="12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spans="1:34" ht="14.25" customHeight="1">
      <c r="A559" s="13"/>
      <c r="B559" s="13"/>
      <c r="C559" s="13"/>
      <c r="D559" s="13"/>
      <c r="E559" s="13"/>
      <c r="F559" s="13"/>
      <c r="G559" s="13"/>
      <c r="H559" s="13"/>
      <c r="I559" s="116"/>
      <c r="J559" s="12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spans="1:34" ht="14.25" customHeight="1">
      <c r="A560" s="13"/>
      <c r="B560" s="13"/>
      <c r="C560" s="13"/>
      <c r="D560" s="13"/>
      <c r="E560" s="13"/>
      <c r="F560" s="13"/>
      <c r="G560" s="13"/>
      <c r="H560" s="13"/>
      <c r="I560" s="116"/>
      <c r="J560" s="12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spans="1:34" ht="14.25" customHeight="1">
      <c r="A561" s="13"/>
      <c r="B561" s="13"/>
      <c r="C561" s="13"/>
      <c r="D561" s="13"/>
      <c r="E561" s="13"/>
      <c r="F561" s="13"/>
      <c r="G561" s="13"/>
      <c r="H561" s="13"/>
      <c r="I561" s="116"/>
      <c r="J561" s="12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spans="1:34" ht="14.25" customHeight="1">
      <c r="A562" s="13"/>
      <c r="B562" s="13"/>
      <c r="C562" s="13"/>
      <c r="D562" s="13"/>
      <c r="E562" s="13"/>
      <c r="F562" s="13"/>
      <c r="G562" s="13"/>
      <c r="H562" s="13"/>
      <c r="I562" s="116"/>
      <c r="J562" s="12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spans="1:34" ht="14.25" customHeight="1">
      <c r="A563" s="13"/>
      <c r="B563" s="13"/>
      <c r="C563" s="13"/>
      <c r="D563" s="13"/>
      <c r="E563" s="13"/>
      <c r="F563" s="13"/>
      <c r="G563" s="13"/>
      <c r="H563" s="13"/>
      <c r="I563" s="116"/>
      <c r="J563" s="12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spans="1:34" ht="14.25" customHeight="1">
      <c r="A564" s="13"/>
      <c r="B564" s="13"/>
      <c r="C564" s="13"/>
      <c r="D564" s="13"/>
      <c r="E564" s="13"/>
      <c r="F564" s="13"/>
      <c r="G564" s="13"/>
      <c r="H564" s="13"/>
      <c r="I564" s="116"/>
      <c r="J564" s="12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spans="1:34" ht="14.25" customHeight="1">
      <c r="A565" s="13"/>
      <c r="B565" s="13"/>
      <c r="C565" s="13"/>
      <c r="D565" s="13"/>
      <c r="E565" s="13"/>
      <c r="F565" s="13"/>
      <c r="G565" s="13"/>
      <c r="H565" s="13"/>
      <c r="I565" s="116"/>
      <c r="J565" s="12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spans="1:34" ht="14.25" customHeight="1">
      <c r="A566" s="13"/>
      <c r="B566" s="13"/>
      <c r="C566" s="13"/>
      <c r="D566" s="13"/>
      <c r="E566" s="13"/>
      <c r="F566" s="13"/>
      <c r="G566" s="13"/>
      <c r="H566" s="13"/>
      <c r="I566" s="116"/>
      <c r="J566" s="12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spans="1:34" ht="14.25" customHeight="1">
      <c r="A567" s="13"/>
      <c r="B567" s="13"/>
      <c r="C567" s="13"/>
      <c r="D567" s="13"/>
      <c r="E567" s="13"/>
      <c r="F567" s="13"/>
      <c r="G567" s="13"/>
      <c r="H567" s="13"/>
      <c r="I567" s="116"/>
      <c r="J567" s="12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spans="1:34" ht="14.25" customHeight="1">
      <c r="A568" s="13"/>
      <c r="B568" s="13"/>
      <c r="C568" s="13"/>
      <c r="D568" s="13"/>
      <c r="E568" s="13"/>
      <c r="F568" s="13"/>
      <c r="G568" s="13"/>
      <c r="H568" s="13"/>
      <c r="I568" s="116"/>
      <c r="J568" s="12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spans="1:34" ht="14.25" customHeight="1">
      <c r="A569" s="13"/>
      <c r="B569" s="13"/>
      <c r="C569" s="13"/>
      <c r="D569" s="13"/>
      <c r="E569" s="13"/>
      <c r="F569" s="13"/>
      <c r="G569" s="13"/>
      <c r="H569" s="13"/>
      <c r="I569" s="116"/>
      <c r="J569" s="12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spans="1:34" ht="14.25" customHeight="1">
      <c r="A570" s="13"/>
      <c r="B570" s="13"/>
      <c r="C570" s="13"/>
      <c r="D570" s="13"/>
      <c r="E570" s="13"/>
      <c r="F570" s="13"/>
      <c r="G570" s="13"/>
      <c r="H570" s="13"/>
      <c r="I570" s="116"/>
      <c r="J570" s="12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spans="1:34" ht="14.25" customHeight="1">
      <c r="A571" s="13"/>
      <c r="B571" s="13"/>
      <c r="C571" s="13"/>
      <c r="D571" s="13"/>
      <c r="E571" s="13"/>
      <c r="F571" s="13"/>
      <c r="G571" s="13"/>
      <c r="H571" s="13"/>
      <c r="I571" s="116"/>
      <c r="J571" s="12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spans="1:34" ht="14.25" customHeight="1">
      <c r="A572" s="13"/>
      <c r="B572" s="13"/>
      <c r="C572" s="13"/>
      <c r="D572" s="13"/>
      <c r="E572" s="13"/>
      <c r="F572" s="13"/>
      <c r="G572" s="13"/>
      <c r="H572" s="13"/>
      <c r="I572" s="116"/>
      <c r="J572" s="12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spans="1:34" ht="14.25" customHeight="1">
      <c r="A573" s="13"/>
      <c r="B573" s="13"/>
      <c r="C573" s="13"/>
      <c r="D573" s="13"/>
      <c r="E573" s="13"/>
      <c r="F573" s="13"/>
      <c r="G573" s="13"/>
      <c r="H573" s="13"/>
      <c r="I573" s="116"/>
      <c r="J573" s="12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spans="1:34" ht="14.25" customHeight="1">
      <c r="A574" s="13"/>
      <c r="B574" s="13"/>
      <c r="C574" s="13"/>
      <c r="D574" s="13"/>
      <c r="E574" s="13"/>
      <c r="F574" s="13"/>
      <c r="G574" s="13"/>
      <c r="H574" s="13"/>
      <c r="I574" s="116"/>
      <c r="J574" s="12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spans="1:34" ht="14.25" customHeight="1">
      <c r="A575" s="13"/>
      <c r="B575" s="13"/>
      <c r="C575" s="13"/>
      <c r="D575" s="13"/>
      <c r="E575" s="13"/>
      <c r="F575" s="13"/>
      <c r="G575" s="13"/>
      <c r="H575" s="13"/>
      <c r="I575" s="116"/>
      <c r="J575" s="12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spans="1:34" ht="14.25" customHeight="1">
      <c r="A576" s="13"/>
      <c r="B576" s="13"/>
      <c r="C576" s="13"/>
      <c r="D576" s="13"/>
      <c r="E576" s="13"/>
      <c r="F576" s="13"/>
      <c r="G576" s="13"/>
      <c r="H576" s="13"/>
      <c r="I576" s="116"/>
      <c r="J576" s="12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spans="1:34" ht="14.25" customHeight="1">
      <c r="A577" s="13"/>
      <c r="B577" s="13"/>
      <c r="C577" s="13"/>
      <c r="D577" s="13"/>
      <c r="E577" s="13"/>
      <c r="F577" s="13"/>
      <c r="G577" s="13"/>
      <c r="H577" s="13"/>
      <c r="I577" s="116"/>
      <c r="J577" s="12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spans="1:34" ht="14.25" customHeight="1">
      <c r="A578" s="13"/>
      <c r="B578" s="13"/>
      <c r="C578" s="13"/>
      <c r="D578" s="13"/>
      <c r="E578" s="13"/>
      <c r="F578" s="13"/>
      <c r="G578" s="13"/>
      <c r="H578" s="13"/>
      <c r="I578" s="116"/>
      <c r="J578" s="12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spans="1:34" ht="14.25" customHeight="1">
      <c r="A579" s="13"/>
      <c r="B579" s="13"/>
      <c r="C579" s="13"/>
      <c r="D579" s="13"/>
      <c r="E579" s="13"/>
      <c r="F579" s="13"/>
      <c r="G579" s="13"/>
      <c r="H579" s="13"/>
      <c r="I579" s="116"/>
      <c r="J579" s="12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spans="1:34" ht="14.25" customHeight="1">
      <c r="A580" s="13"/>
      <c r="B580" s="13"/>
      <c r="C580" s="13"/>
      <c r="D580" s="13"/>
      <c r="E580" s="13"/>
      <c r="F580" s="13"/>
      <c r="G580" s="13"/>
      <c r="H580" s="13"/>
      <c r="I580" s="116"/>
      <c r="J580" s="12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spans="1:34" ht="14.25" customHeight="1">
      <c r="A581" s="13"/>
      <c r="B581" s="13"/>
      <c r="C581" s="13"/>
      <c r="D581" s="13"/>
      <c r="E581" s="13"/>
      <c r="F581" s="13"/>
      <c r="G581" s="13"/>
      <c r="H581" s="13"/>
      <c r="I581" s="116"/>
      <c r="J581" s="12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spans="1:34" ht="14.25" customHeight="1">
      <c r="A582" s="13"/>
      <c r="B582" s="13"/>
      <c r="C582" s="13"/>
      <c r="D582" s="13"/>
      <c r="E582" s="13"/>
      <c r="F582" s="13"/>
      <c r="G582" s="13"/>
      <c r="H582" s="13"/>
      <c r="I582" s="116"/>
      <c r="J582" s="12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spans="1:34" ht="14.25" customHeight="1">
      <c r="A583" s="13"/>
      <c r="B583" s="13"/>
      <c r="C583" s="13"/>
      <c r="D583" s="13"/>
      <c r="E583" s="13"/>
      <c r="F583" s="13"/>
      <c r="G583" s="13"/>
      <c r="H583" s="13"/>
      <c r="I583" s="116"/>
      <c r="J583" s="12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spans="1:34" ht="14.25" customHeight="1">
      <c r="A584" s="13"/>
      <c r="B584" s="13"/>
      <c r="C584" s="13"/>
      <c r="D584" s="13"/>
      <c r="E584" s="13"/>
      <c r="F584" s="13"/>
      <c r="G584" s="13"/>
      <c r="H584" s="13"/>
      <c r="I584" s="116"/>
      <c r="J584" s="12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spans="1:34" ht="14.25" customHeight="1">
      <c r="A585" s="13"/>
      <c r="B585" s="13"/>
      <c r="C585" s="13"/>
      <c r="D585" s="13"/>
      <c r="E585" s="13"/>
      <c r="F585" s="13"/>
      <c r="G585" s="13"/>
      <c r="H585" s="13"/>
      <c r="I585" s="116"/>
      <c r="J585" s="12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spans="1:34" ht="14.25" customHeight="1">
      <c r="A586" s="13"/>
      <c r="B586" s="13"/>
      <c r="C586" s="13"/>
      <c r="D586" s="13"/>
      <c r="E586" s="13"/>
      <c r="F586" s="13"/>
      <c r="G586" s="13"/>
      <c r="H586" s="13"/>
      <c r="I586" s="116"/>
      <c r="J586" s="12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spans="1:34" ht="14.25" customHeight="1">
      <c r="A587" s="13"/>
      <c r="B587" s="13"/>
      <c r="C587" s="13"/>
      <c r="D587" s="13"/>
      <c r="E587" s="13"/>
      <c r="F587" s="13"/>
      <c r="G587" s="13"/>
      <c r="H587" s="13"/>
      <c r="I587" s="116"/>
      <c r="J587" s="12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spans="1:34" ht="14.25" customHeight="1">
      <c r="A588" s="13"/>
      <c r="B588" s="13"/>
      <c r="C588" s="13"/>
      <c r="D588" s="13"/>
      <c r="E588" s="13"/>
      <c r="F588" s="13"/>
      <c r="G588" s="13"/>
      <c r="H588" s="13"/>
      <c r="I588" s="116"/>
      <c r="J588" s="12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spans="1:34" ht="14.25" customHeight="1">
      <c r="A589" s="13"/>
      <c r="B589" s="13"/>
      <c r="C589" s="13"/>
      <c r="D589" s="13"/>
      <c r="E589" s="13"/>
      <c r="F589" s="13"/>
      <c r="G589" s="13"/>
      <c r="H589" s="13"/>
      <c r="I589" s="116"/>
      <c r="J589" s="12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spans="1:34" ht="14.25" customHeight="1">
      <c r="A590" s="13"/>
      <c r="B590" s="13"/>
      <c r="C590" s="13"/>
      <c r="D590" s="13"/>
      <c r="E590" s="13"/>
      <c r="F590" s="13"/>
      <c r="G590" s="13"/>
      <c r="H590" s="13"/>
      <c r="I590" s="116"/>
      <c r="J590" s="12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spans="1:34" ht="14.25" customHeight="1">
      <c r="A591" s="13"/>
      <c r="B591" s="13"/>
      <c r="C591" s="13"/>
      <c r="D591" s="13"/>
      <c r="E591" s="13"/>
      <c r="F591" s="13"/>
      <c r="G591" s="13"/>
      <c r="H591" s="13"/>
      <c r="I591" s="116"/>
      <c r="J591" s="12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spans="1:34" ht="14.25" customHeight="1">
      <c r="A592" s="13"/>
      <c r="B592" s="13"/>
      <c r="C592" s="13"/>
      <c r="D592" s="13"/>
      <c r="E592" s="13"/>
      <c r="F592" s="13"/>
      <c r="G592" s="13"/>
      <c r="H592" s="13"/>
      <c r="I592" s="116"/>
      <c r="J592" s="12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spans="1:34" ht="14.25" customHeight="1">
      <c r="A593" s="13"/>
      <c r="B593" s="13"/>
      <c r="C593" s="13"/>
      <c r="D593" s="13"/>
      <c r="E593" s="13"/>
      <c r="F593" s="13"/>
      <c r="G593" s="13"/>
      <c r="H593" s="13"/>
      <c r="I593" s="116"/>
      <c r="J593" s="12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spans="1:34" ht="14.25" customHeight="1">
      <c r="A594" s="13"/>
      <c r="B594" s="13"/>
      <c r="C594" s="13"/>
      <c r="D594" s="13"/>
      <c r="E594" s="13"/>
      <c r="F594" s="13"/>
      <c r="G594" s="13"/>
      <c r="H594" s="13"/>
      <c r="I594" s="116"/>
      <c r="J594" s="12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spans="1:34" ht="14.25" customHeight="1">
      <c r="A595" s="13"/>
      <c r="B595" s="13"/>
      <c r="C595" s="13"/>
      <c r="D595" s="13"/>
      <c r="E595" s="13"/>
      <c r="F595" s="13"/>
      <c r="G595" s="13"/>
      <c r="H595" s="13"/>
      <c r="I595" s="116"/>
      <c r="J595" s="12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spans="1:34" ht="14.25" customHeight="1">
      <c r="A596" s="13"/>
      <c r="B596" s="13"/>
      <c r="C596" s="13"/>
      <c r="D596" s="13"/>
      <c r="E596" s="13"/>
      <c r="F596" s="13"/>
      <c r="G596" s="13"/>
      <c r="H596" s="13"/>
      <c r="I596" s="116"/>
      <c r="J596" s="12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 spans="1:34" ht="14.25" customHeight="1">
      <c r="A597" s="13"/>
      <c r="B597" s="13"/>
      <c r="C597" s="13"/>
      <c r="D597" s="13"/>
      <c r="E597" s="13"/>
      <c r="F597" s="13"/>
      <c r="G597" s="13"/>
      <c r="H597" s="13"/>
      <c r="I597" s="116"/>
      <c r="J597" s="12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 spans="1:34" ht="14.25" customHeight="1">
      <c r="A598" s="13"/>
      <c r="B598" s="13"/>
      <c r="C598" s="13"/>
      <c r="D598" s="13"/>
      <c r="E598" s="13"/>
      <c r="F598" s="13"/>
      <c r="G598" s="13"/>
      <c r="H598" s="13"/>
      <c r="I598" s="116"/>
      <c r="J598" s="12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 spans="1:34" ht="14.25" customHeight="1">
      <c r="A599" s="13"/>
      <c r="B599" s="13"/>
      <c r="C599" s="13"/>
      <c r="D599" s="13"/>
      <c r="E599" s="13"/>
      <c r="F599" s="13"/>
      <c r="G599" s="13"/>
      <c r="H599" s="13"/>
      <c r="I599" s="116"/>
      <c r="J599" s="12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 spans="1:34" ht="14.25" customHeight="1">
      <c r="A600" s="13"/>
      <c r="B600" s="13"/>
      <c r="C600" s="13"/>
      <c r="D600" s="13"/>
      <c r="E600" s="13"/>
      <c r="F600" s="13"/>
      <c r="G600" s="13"/>
      <c r="H600" s="13"/>
      <c r="I600" s="116"/>
      <c r="J600" s="12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 spans="1:34" ht="14.25" customHeight="1">
      <c r="A601" s="13"/>
      <c r="B601" s="13"/>
      <c r="C601" s="13"/>
      <c r="D601" s="13"/>
      <c r="E601" s="13"/>
      <c r="F601" s="13"/>
      <c r="G601" s="13"/>
      <c r="H601" s="13"/>
      <c r="I601" s="116"/>
      <c r="J601" s="12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 spans="1:34" ht="14.25" customHeight="1">
      <c r="A602" s="13"/>
      <c r="B602" s="13"/>
      <c r="C602" s="13"/>
      <c r="D602" s="13"/>
      <c r="E602" s="13"/>
      <c r="F602" s="13"/>
      <c r="G602" s="13"/>
      <c r="H602" s="13"/>
      <c r="I602" s="116"/>
      <c r="J602" s="12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 spans="1:34" ht="14.25" customHeight="1">
      <c r="A603" s="13"/>
      <c r="B603" s="13"/>
      <c r="C603" s="13"/>
      <c r="D603" s="13"/>
      <c r="E603" s="13"/>
      <c r="F603" s="13"/>
      <c r="G603" s="13"/>
      <c r="H603" s="13"/>
      <c r="I603" s="116"/>
      <c r="J603" s="12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 spans="1:34" ht="14.25" customHeight="1">
      <c r="A604" s="13"/>
      <c r="B604" s="13"/>
      <c r="C604" s="13"/>
      <c r="D604" s="13"/>
      <c r="E604" s="13"/>
      <c r="F604" s="13"/>
      <c r="G604" s="13"/>
      <c r="H604" s="13"/>
      <c r="I604" s="116"/>
      <c r="J604" s="12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 spans="1:34" ht="14.25" customHeight="1">
      <c r="A605" s="13"/>
      <c r="B605" s="13"/>
      <c r="C605" s="13"/>
      <c r="D605" s="13"/>
      <c r="E605" s="13"/>
      <c r="F605" s="13"/>
      <c r="G605" s="13"/>
      <c r="H605" s="13"/>
      <c r="I605" s="116"/>
      <c r="J605" s="12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 spans="1:34" ht="14.25" customHeight="1">
      <c r="A606" s="13"/>
      <c r="B606" s="13"/>
      <c r="C606" s="13"/>
      <c r="D606" s="13"/>
      <c r="E606" s="13"/>
      <c r="F606" s="13"/>
      <c r="G606" s="13"/>
      <c r="H606" s="13"/>
      <c r="I606" s="116"/>
      <c r="J606" s="12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spans="1:34" ht="14.25" customHeight="1">
      <c r="A607" s="13"/>
      <c r="B607" s="13"/>
      <c r="C607" s="13"/>
      <c r="D607" s="13"/>
      <c r="E607" s="13"/>
      <c r="F607" s="13"/>
      <c r="G607" s="13"/>
      <c r="H607" s="13"/>
      <c r="I607" s="116"/>
      <c r="J607" s="12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 spans="1:34" ht="14.25" customHeight="1">
      <c r="A608" s="13"/>
      <c r="B608" s="13"/>
      <c r="C608" s="13"/>
      <c r="D608" s="13"/>
      <c r="E608" s="13"/>
      <c r="F608" s="13"/>
      <c r="G608" s="13"/>
      <c r="H608" s="13"/>
      <c r="I608" s="116"/>
      <c r="J608" s="12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 spans="1:34" ht="14.25" customHeight="1">
      <c r="A609" s="13"/>
      <c r="B609" s="13"/>
      <c r="C609" s="13"/>
      <c r="D609" s="13"/>
      <c r="E609" s="13"/>
      <c r="F609" s="13"/>
      <c r="G609" s="13"/>
      <c r="H609" s="13"/>
      <c r="I609" s="116"/>
      <c r="J609" s="12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 spans="1:34" ht="14.25" customHeight="1">
      <c r="A610" s="13"/>
      <c r="B610" s="13"/>
      <c r="C610" s="13"/>
      <c r="D610" s="13"/>
      <c r="E610" s="13"/>
      <c r="F610" s="13"/>
      <c r="G610" s="13"/>
      <c r="H610" s="13"/>
      <c r="I610" s="116"/>
      <c r="J610" s="12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 spans="1:34" ht="14.25" customHeight="1">
      <c r="A611" s="13"/>
      <c r="B611" s="13"/>
      <c r="C611" s="13"/>
      <c r="D611" s="13"/>
      <c r="E611" s="13"/>
      <c r="F611" s="13"/>
      <c r="G611" s="13"/>
      <c r="H611" s="13"/>
      <c r="I611" s="116"/>
      <c r="J611" s="12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 spans="1:34" ht="14.25" customHeight="1">
      <c r="A612" s="13"/>
      <c r="B612" s="13"/>
      <c r="C612" s="13"/>
      <c r="D612" s="13"/>
      <c r="E612" s="13"/>
      <c r="F612" s="13"/>
      <c r="G612" s="13"/>
      <c r="H612" s="13"/>
      <c r="I612" s="116"/>
      <c r="J612" s="12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 spans="1:34" ht="14.25" customHeight="1">
      <c r="A613" s="13"/>
      <c r="B613" s="13"/>
      <c r="C613" s="13"/>
      <c r="D613" s="13"/>
      <c r="E613" s="13"/>
      <c r="F613" s="13"/>
      <c r="G613" s="13"/>
      <c r="H613" s="13"/>
      <c r="I613" s="116"/>
      <c r="J613" s="12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 spans="1:34" ht="14.25" customHeight="1">
      <c r="A614" s="13"/>
      <c r="B614" s="13"/>
      <c r="C614" s="13"/>
      <c r="D614" s="13"/>
      <c r="E614" s="13"/>
      <c r="F614" s="13"/>
      <c r="G614" s="13"/>
      <c r="H614" s="13"/>
      <c r="I614" s="116"/>
      <c r="J614" s="12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 spans="1:34" ht="14.25" customHeight="1">
      <c r="A615" s="13"/>
      <c r="B615" s="13"/>
      <c r="C615" s="13"/>
      <c r="D615" s="13"/>
      <c r="E615" s="13"/>
      <c r="F615" s="13"/>
      <c r="G615" s="13"/>
      <c r="H615" s="13"/>
      <c r="I615" s="116"/>
      <c r="J615" s="12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 spans="1:34" ht="14.25" customHeight="1">
      <c r="A616" s="13"/>
      <c r="B616" s="13"/>
      <c r="C616" s="13"/>
      <c r="D616" s="13"/>
      <c r="E616" s="13"/>
      <c r="F616" s="13"/>
      <c r="G616" s="13"/>
      <c r="H616" s="13"/>
      <c r="I616" s="116"/>
      <c r="J616" s="12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 spans="1:34" ht="14.25" customHeight="1">
      <c r="A617" s="13"/>
      <c r="B617" s="13"/>
      <c r="C617" s="13"/>
      <c r="D617" s="13"/>
      <c r="E617" s="13"/>
      <c r="F617" s="13"/>
      <c r="G617" s="13"/>
      <c r="H617" s="13"/>
      <c r="I617" s="116"/>
      <c r="J617" s="12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 spans="1:34" ht="14.25" customHeight="1">
      <c r="A618" s="13"/>
      <c r="B618" s="13"/>
      <c r="C618" s="13"/>
      <c r="D618" s="13"/>
      <c r="E618" s="13"/>
      <c r="F618" s="13"/>
      <c r="G618" s="13"/>
      <c r="H618" s="13"/>
      <c r="I618" s="116"/>
      <c r="J618" s="12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 spans="1:34" ht="14.25" customHeight="1">
      <c r="A619" s="13"/>
      <c r="B619" s="13"/>
      <c r="C619" s="13"/>
      <c r="D619" s="13"/>
      <c r="E619" s="13"/>
      <c r="F619" s="13"/>
      <c r="G619" s="13"/>
      <c r="H619" s="13"/>
      <c r="I619" s="116"/>
      <c r="J619" s="12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 spans="1:34" ht="14.25" customHeight="1">
      <c r="A620" s="13"/>
      <c r="B620" s="13"/>
      <c r="C620" s="13"/>
      <c r="D620" s="13"/>
      <c r="E620" s="13"/>
      <c r="F620" s="13"/>
      <c r="G620" s="13"/>
      <c r="H620" s="13"/>
      <c r="I620" s="116"/>
      <c r="J620" s="12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 spans="1:34" ht="14.25" customHeight="1">
      <c r="A621" s="13"/>
      <c r="B621" s="13"/>
      <c r="C621" s="13"/>
      <c r="D621" s="13"/>
      <c r="E621" s="13"/>
      <c r="F621" s="13"/>
      <c r="G621" s="13"/>
      <c r="H621" s="13"/>
      <c r="I621" s="116"/>
      <c r="J621" s="12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 spans="1:34" ht="14.25" customHeight="1">
      <c r="A622" s="13"/>
      <c r="B622" s="13"/>
      <c r="C622" s="13"/>
      <c r="D622" s="13"/>
      <c r="E622" s="13"/>
      <c r="F622" s="13"/>
      <c r="G622" s="13"/>
      <c r="H622" s="13"/>
      <c r="I622" s="116"/>
      <c r="J622" s="12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 spans="1:34" ht="14.25" customHeight="1">
      <c r="A623" s="13"/>
      <c r="B623" s="13"/>
      <c r="C623" s="13"/>
      <c r="D623" s="13"/>
      <c r="E623" s="13"/>
      <c r="F623" s="13"/>
      <c r="G623" s="13"/>
      <c r="H623" s="13"/>
      <c r="I623" s="116"/>
      <c r="J623" s="12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 spans="1:34" ht="14.25" customHeight="1">
      <c r="A624" s="13"/>
      <c r="B624" s="13"/>
      <c r="C624" s="13"/>
      <c r="D624" s="13"/>
      <c r="E624" s="13"/>
      <c r="F624" s="13"/>
      <c r="G624" s="13"/>
      <c r="H624" s="13"/>
      <c r="I624" s="116"/>
      <c r="J624" s="12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 spans="1:34" ht="14.25" customHeight="1">
      <c r="A625" s="13"/>
      <c r="B625" s="13"/>
      <c r="C625" s="13"/>
      <c r="D625" s="13"/>
      <c r="E625" s="13"/>
      <c r="F625" s="13"/>
      <c r="G625" s="13"/>
      <c r="H625" s="13"/>
      <c r="I625" s="116"/>
      <c r="J625" s="12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 spans="1:34" ht="14.25" customHeight="1">
      <c r="A626" s="13"/>
      <c r="B626" s="13"/>
      <c r="C626" s="13"/>
      <c r="D626" s="13"/>
      <c r="E626" s="13"/>
      <c r="F626" s="13"/>
      <c r="G626" s="13"/>
      <c r="H626" s="13"/>
      <c r="I626" s="116"/>
      <c r="J626" s="12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 spans="1:34" ht="14.25" customHeight="1">
      <c r="A627" s="13"/>
      <c r="B627" s="13"/>
      <c r="C627" s="13"/>
      <c r="D627" s="13"/>
      <c r="E627" s="13"/>
      <c r="F627" s="13"/>
      <c r="G627" s="13"/>
      <c r="H627" s="13"/>
      <c r="I627" s="116"/>
      <c r="J627" s="12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spans="1:34" ht="14.25" customHeight="1">
      <c r="A628" s="13"/>
      <c r="B628" s="13"/>
      <c r="C628" s="13"/>
      <c r="D628" s="13"/>
      <c r="E628" s="13"/>
      <c r="F628" s="13"/>
      <c r="G628" s="13"/>
      <c r="H628" s="13"/>
      <c r="I628" s="116"/>
      <c r="J628" s="12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 spans="1:34" ht="14.25" customHeight="1">
      <c r="A629" s="13"/>
      <c r="B629" s="13"/>
      <c r="C629" s="13"/>
      <c r="D629" s="13"/>
      <c r="E629" s="13"/>
      <c r="F629" s="13"/>
      <c r="G629" s="13"/>
      <c r="H629" s="13"/>
      <c r="I629" s="116"/>
      <c r="J629" s="12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 spans="1:34" ht="14.25" customHeight="1">
      <c r="A630" s="13"/>
      <c r="B630" s="13"/>
      <c r="C630" s="13"/>
      <c r="D630" s="13"/>
      <c r="E630" s="13"/>
      <c r="F630" s="13"/>
      <c r="G630" s="13"/>
      <c r="H630" s="13"/>
      <c r="I630" s="116"/>
      <c r="J630" s="12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 spans="1:34" ht="14.25" customHeight="1">
      <c r="A631" s="13"/>
      <c r="B631" s="13"/>
      <c r="C631" s="13"/>
      <c r="D631" s="13"/>
      <c r="E631" s="13"/>
      <c r="F631" s="13"/>
      <c r="G631" s="13"/>
      <c r="H631" s="13"/>
      <c r="I631" s="116"/>
      <c r="J631" s="12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 spans="1:34" ht="14.25" customHeight="1">
      <c r="A632" s="13"/>
      <c r="B632" s="13"/>
      <c r="C632" s="13"/>
      <c r="D632" s="13"/>
      <c r="E632" s="13"/>
      <c r="F632" s="13"/>
      <c r="G632" s="13"/>
      <c r="H632" s="13"/>
      <c r="I632" s="116"/>
      <c r="J632" s="12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 spans="1:34" ht="14.25" customHeight="1">
      <c r="A633" s="13"/>
      <c r="B633" s="13"/>
      <c r="C633" s="13"/>
      <c r="D633" s="13"/>
      <c r="E633" s="13"/>
      <c r="F633" s="13"/>
      <c r="G633" s="13"/>
      <c r="H633" s="13"/>
      <c r="I633" s="116"/>
      <c r="J633" s="12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 spans="1:34" ht="14.25" customHeight="1">
      <c r="A634" s="13"/>
      <c r="B634" s="13"/>
      <c r="C634" s="13"/>
      <c r="D634" s="13"/>
      <c r="E634" s="13"/>
      <c r="F634" s="13"/>
      <c r="G634" s="13"/>
      <c r="H634" s="13"/>
      <c r="I634" s="116"/>
      <c r="J634" s="12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 spans="1:34" ht="14.25" customHeight="1">
      <c r="A635" s="13"/>
      <c r="B635" s="13"/>
      <c r="C635" s="13"/>
      <c r="D635" s="13"/>
      <c r="E635" s="13"/>
      <c r="F635" s="13"/>
      <c r="G635" s="13"/>
      <c r="H635" s="13"/>
      <c r="I635" s="116"/>
      <c r="J635" s="12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 spans="1:34" ht="14.25" customHeight="1">
      <c r="A636" s="13"/>
      <c r="B636" s="13"/>
      <c r="C636" s="13"/>
      <c r="D636" s="13"/>
      <c r="E636" s="13"/>
      <c r="F636" s="13"/>
      <c r="G636" s="13"/>
      <c r="H636" s="13"/>
      <c r="I636" s="116"/>
      <c r="J636" s="12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 spans="1:34" ht="14.25" customHeight="1">
      <c r="A637" s="13"/>
      <c r="B637" s="13"/>
      <c r="C637" s="13"/>
      <c r="D637" s="13"/>
      <c r="E637" s="13"/>
      <c r="F637" s="13"/>
      <c r="G637" s="13"/>
      <c r="H637" s="13"/>
      <c r="I637" s="116"/>
      <c r="J637" s="12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 spans="1:34" ht="14.25" customHeight="1">
      <c r="A638" s="13"/>
      <c r="B638" s="13"/>
      <c r="C638" s="13"/>
      <c r="D638" s="13"/>
      <c r="E638" s="13"/>
      <c r="F638" s="13"/>
      <c r="G638" s="13"/>
      <c r="H638" s="13"/>
      <c r="I638" s="116"/>
      <c r="J638" s="12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 spans="1:34" ht="14.25" customHeight="1">
      <c r="A639" s="13"/>
      <c r="B639" s="13"/>
      <c r="C639" s="13"/>
      <c r="D639" s="13"/>
      <c r="E639" s="13"/>
      <c r="F639" s="13"/>
      <c r="G639" s="13"/>
      <c r="H639" s="13"/>
      <c r="I639" s="116"/>
      <c r="J639" s="12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 spans="1:34" ht="14.25" customHeight="1">
      <c r="A640" s="13"/>
      <c r="B640" s="13"/>
      <c r="C640" s="13"/>
      <c r="D640" s="13"/>
      <c r="E640" s="13"/>
      <c r="F640" s="13"/>
      <c r="G640" s="13"/>
      <c r="H640" s="13"/>
      <c r="I640" s="116"/>
      <c r="J640" s="12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 spans="1:34" ht="14.25" customHeight="1">
      <c r="A641" s="13"/>
      <c r="B641" s="13"/>
      <c r="C641" s="13"/>
      <c r="D641" s="13"/>
      <c r="E641" s="13"/>
      <c r="F641" s="13"/>
      <c r="G641" s="13"/>
      <c r="H641" s="13"/>
      <c r="I641" s="116"/>
      <c r="J641" s="12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 spans="1:34" ht="14.25" customHeight="1">
      <c r="A642" s="13"/>
      <c r="B642" s="13"/>
      <c r="C642" s="13"/>
      <c r="D642" s="13"/>
      <c r="E642" s="13"/>
      <c r="F642" s="13"/>
      <c r="G642" s="13"/>
      <c r="H642" s="13"/>
      <c r="I642" s="116"/>
      <c r="J642" s="12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 spans="1:34" ht="14.25" customHeight="1">
      <c r="A643" s="13"/>
      <c r="B643" s="13"/>
      <c r="C643" s="13"/>
      <c r="D643" s="13"/>
      <c r="E643" s="13"/>
      <c r="F643" s="13"/>
      <c r="G643" s="13"/>
      <c r="H643" s="13"/>
      <c r="I643" s="116"/>
      <c r="J643" s="12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 spans="1:34" ht="14.25" customHeight="1">
      <c r="A644" s="13"/>
      <c r="B644" s="13"/>
      <c r="C644" s="13"/>
      <c r="D644" s="13"/>
      <c r="E644" s="13"/>
      <c r="F644" s="13"/>
      <c r="G644" s="13"/>
      <c r="H644" s="13"/>
      <c r="I644" s="116"/>
      <c r="J644" s="12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 spans="1:34" ht="14.25" customHeight="1">
      <c r="A645" s="13"/>
      <c r="B645" s="13"/>
      <c r="C645" s="13"/>
      <c r="D645" s="13"/>
      <c r="E645" s="13"/>
      <c r="F645" s="13"/>
      <c r="G645" s="13"/>
      <c r="H645" s="13"/>
      <c r="I645" s="116"/>
      <c r="J645" s="12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 spans="1:34" ht="14.25" customHeight="1">
      <c r="A646" s="13"/>
      <c r="B646" s="13"/>
      <c r="C646" s="13"/>
      <c r="D646" s="13"/>
      <c r="E646" s="13"/>
      <c r="F646" s="13"/>
      <c r="G646" s="13"/>
      <c r="H646" s="13"/>
      <c r="I646" s="116"/>
      <c r="J646" s="12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 spans="1:34" ht="14.25" customHeight="1">
      <c r="A647" s="13"/>
      <c r="B647" s="13"/>
      <c r="C647" s="13"/>
      <c r="D647" s="13"/>
      <c r="E647" s="13"/>
      <c r="F647" s="13"/>
      <c r="G647" s="13"/>
      <c r="H647" s="13"/>
      <c r="I647" s="116"/>
      <c r="J647" s="12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 spans="1:34" ht="14.25" customHeight="1">
      <c r="A648" s="13"/>
      <c r="B648" s="13"/>
      <c r="C648" s="13"/>
      <c r="D648" s="13"/>
      <c r="E648" s="13"/>
      <c r="F648" s="13"/>
      <c r="G648" s="13"/>
      <c r="H648" s="13"/>
      <c r="I648" s="116"/>
      <c r="J648" s="12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 spans="1:34" ht="14.25" customHeight="1">
      <c r="A649" s="13"/>
      <c r="B649" s="13"/>
      <c r="C649" s="13"/>
      <c r="D649" s="13"/>
      <c r="E649" s="13"/>
      <c r="F649" s="13"/>
      <c r="G649" s="13"/>
      <c r="H649" s="13"/>
      <c r="I649" s="116"/>
      <c r="J649" s="12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 spans="1:34" ht="14.25" customHeight="1">
      <c r="A650" s="13"/>
      <c r="B650" s="13"/>
      <c r="C650" s="13"/>
      <c r="D650" s="13"/>
      <c r="E650" s="13"/>
      <c r="F650" s="13"/>
      <c r="G650" s="13"/>
      <c r="H650" s="13"/>
      <c r="I650" s="116"/>
      <c r="J650" s="12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spans="1:34" ht="14.25" customHeight="1">
      <c r="A651" s="13"/>
      <c r="B651" s="13"/>
      <c r="C651" s="13"/>
      <c r="D651" s="13"/>
      <c r="E651" s="13"/>
      <c r="F651" s="13"/>
      <c r="G651" s="13"/>
      <c r="H651" s="13"/>
      <c r="I651" s="116"/>
      <c r="J651" s="12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 spans="1:34" ht="14.25" customHeight="1">
      <c r="A652" s="13"/>
      <c r="B652" s="13"/>
      <c r="C652" s="13"/>
      <c r="D652" s="13"/>
      <c r="E652" s="13"/>
      <c r="F652" s="13"/>
      <c r="G652" s="13"/>
      <c r="H652" s="13"/>
      <c r="I652" s="116"/>
      <c r="J652" s="12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 spans="1:34" ht="14.25" customHeight="1">
      <c r="A653" s="13"/>
      <c r="B653" s="13"/>
      <c r="C653" s="13"/>
      <c r="D653" s="13"/>
      <c r="E653" s="13"/>
      <c r="F653" s="13"/>
      <c r="G653" s="13"/>
      <c r="H653" s="13"/>
      <c r="I653" s="116"/>
      <c r="J653" s="12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 spans="1:34" ht="14.25" customHeight="1">
      <c r="A654" s="13"/>
      <c r="B654" s="13"/>
      <c r="C654" s="13"/>
      <c r="D654" s="13"/>
      <c r="E654" s="13"/>
      <c r="F654" s="13"/>
      <c r="G654" s="13"/>
      <c r="H654" s="13"/>
      <c r="I654" s="116"/>
      <c r="J654" s="12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 spans="1:34" ht="14.25" customHeight="1">
      <c r="A655" s="13"/>
      <c r="B655" s="13"/>
      <c r="C655" s="13"/>
      <c r="D655" s="13"/>
      <c r="E655" s="13"/>
      <c r="F655" s="13"/>
      <c r="G655" s="13"/>
      <c r="H655" s="13"/>
      <c r="I655" s="116"/>
      <c r="J655" s="12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 spans="1:34" ht="14.25" customHeight="1">
      <c r="A656" s="13"/>
      <c r="B656" s="13"/>
      <c r="C656" s="13"/>
      <c r="D656" s="13"/>
      <c r="E656" s="13"/>
      <c r="F656" s="13"/>
      <c r="G656" s="13"/>
      <c r="H656" s="13"/>
      <c r="I656" s="116"/>
      <c r="J656" s="12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 spans="1:34" ht="14.25" customHeight="1">
      <c r="A657" s="13"/>
      <c r="B657" s="13"/>
      <c r="C657" s="13"/>
      <c r="D657" s="13"/>
      <c r="E657" s="13"/>
      <c r="F657" s="13"/>
      <c r="G657" s="13"/>
      <c r="H657" s="13"/>
      <c r="I657" s="116"/>
      <c r="J657" s="12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 spans="1:34" ht="14.25" customHeight="1">
      <c r="A658" s="13"/>
      <c r="B658" s="13"/>
      <c r="C658" s="13"/>
      <c r="D658" s="13"/>
      <c r="E658" s="13"/>
      <c r="F658" s="13"/>
      <c r="G658" s="13"/>
      <c r="H658" s="13"/>
      <c r="I658" s="116"/>
      <c r="J658" s="12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spans="1:34" ht="14.25" customHeight="1">
      <c r="A659" s="13"/>
      <c r="B659" s="13"/>
      <c r="C659" s="13"/>
      <c r="D659" s="13"/>
      <c r="E659" s="13"/>
      <c r="F659" s="13"/>
      <c r="G659" s="13"/>
      <c r="H659" s="13"/>
      <c r="I659" s="116"/>
      <c r="J659" s="12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 spans="1:34" ht="14.25" customHeight="1">
      <c r="A660" s="13"/>
      <c r="B660" s="13"/>
      <c r="C660" s="13"/>
      <c r="D660" s="13"/>
      <c r="E660" s="13"/>
      <c r="F660" s="13"/>
      <c r="G660" s="13"/>
      <c r="H660" s="13"/>
      <c r="I660" s="116"/>
      <c r="J660" s="12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 spans="1:34" ht="14.25" customHeight="1">
      <c r="A661" s="13"/>
      <c r="B661" s="13"/>
      <c r="C661" s="13"/>
      <c r="D661" s="13"/>
      <c r="E661" s="13"/>
      <c r="F661" s="13"/>
      <c r="G661" s="13"/>
      <c r="H661" s="13"/>
      <c r="I661" s="116"/>
      <c r="J661" s="12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 spans="1:34" ht="14.25" customHeight="1">
      <c r="A662" s="13"/>
      <c r="B662" s="13"/>
      <c r="C662" s="13"/>
      <c r="D662" s="13"/>
      <c r="E662" s="13"/>
      <c r="F662" s="13"/>
      <c r="G662" s="13"/>
      <c r="H662" s="13"/>
      <c r="I662" s="116"/>
      <c r="J662" s="12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 spans="1:34" ht="14.25" customHeight="1">
      <c r="A663" s="13"/>
      <c r="B663" s="13"/>
      <c r="C663" s="13"/>
      <c r="D663" s="13"/>
      <c r="E663" s="13"/>
      <c r="F663" s="13"/>
      <c r="G663" s="13"/>
      <c r="H663" s="13"/>
      <c r="I663" s="116"/>
      <c r="J663" s="12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 spans="1:34" ht="14.25" customHeight="1">
      <c r="A664" s="13"/>
      <c r="B664" s="13"/>
      <c r="C664" s="13"/>
      <c r="D664" s="13"/>
      <c r="E664" s="13"/>
      <c r="F664" s="13"/>
      <c r="G664" s="13"/>
      <c r="H664" s="13"/>
      <c r="I664" s="116"/>
      <c r="J664" s="12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spans="1:34" ht="14.25" customHeight="1">
      <c r="A665" s="13"/>
      <c r="B665" s="13"/>
      <c r="C665" s="13"/>
      <c r="D665" s="13"/>
      <c r="E665" s="13"/>
      <c r="F665" s="13"/>
      <c r="G665" s="13"/>
      <c r="H665" s="13"/>
      <c r="I665" s="116"/>
      <c r="J665" s="12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 spans="1:34" ht="14.25" customHeight="1">
      <c r="A666" s="13"/>
      <c r="B666" s="13"/>
      <c r="C666" s="13"/>
      <c r="D666" s="13"/>
      <c r="E666" s="13"/>
      <c r="F666" s="13"/>
      <c r="G666" s="13"/>
      <c r="H666" s="13"/>
      <c r="I666" s="116"/>
      <c r="J666" s="12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 spans="1:34" ht="14.25" customHeight="1">
      <c r="A667" s="13"/>
      <c r="B667" s="13"/>
      <c r="C667" s="13"/>
      <c r="D667" s="13"/>
      <c r="E667" s="13"/>
      <c r="F667" s="13"/>
      <c r="G667" s="13"/>
      <c r="H667" s="13"/>
      <c r="I667" s="116"/>
      <c r="J667" s="12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 spans="1:34" ht="14.25" customHeight="1">
      <c r="A668" s="13"/>
      <c r="B668" s="13"/>
      <c r="C668" s="13"/>
      <c r="D668" s="13"/>
      <c r="E668" s="13"/>
      <c r="F668" s="13"/>
      <c r="G668" s="13"/>
      <c r="H668" s="13"/>
      <c r="I668" s="116"/>
      <c r="J668" s="12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 spans="1:34" ht="14.25" customHeight="1">
      <c r="A669" s="13"/>
      <c r="B669" s="13"/>
      <c r="C669" s="13"/>
      <c r="D669" s="13"/>
      <c r="E669" s="13"/>
      <c r="F669" s="13"/>
      <c r="G669" s="13"/>
      <c r="H669" s="13"/>
      <c r="I669" s="116"/>
      <c r="J669" s="12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 spans="1:34" ht="14.25" customHeight="1">
      <c r="A670" s="13"/>
      <c r="B670" s="13"/>
      <c r="C670" s="13"/>
      <c r="D670" s="13"/>
      <c r="E670" s="13"/>
      <c r="F670" s="13"/>
      <c r="G670" s="13"/>
      <c r="H670" s="13"/>
      <c r="I670" s="116"/>
      <c r="J670" s="12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spans="1:34" ht="14.25" customHeight="1">
      <c r="A671" s="13"/>
      <c r="B671" s="13"/>
      <c r="C671" s="13"/>
      <c r="D671" s="13"/>
      <c r="E671" s="13"/>
      <c r="F671" s="13"/>
      <c r="G671" s="13"/>
      <c r="H671" s="13"/>
      <c r="I671" s="116"/>
      <c r="J671" s="12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 spans="1:34" ht="14.25" customHeight="1">
      <c r="A672" s="13"/>
      <c r="B672" s="13"/>
      <c r="C672" s="13"/>
      <c r="D672" s="13"/>
      <c r="E672" s="13"/>
      <c r="F672" s="13"/>
      <c r="G672" s="13"/>
      <c r="H672" s="13"/>
      <c r="I672" s="116"/>
      <c r="J672" s="12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 spans="1:34" ht="14.25" customHeight="1">
      <c r="A673" s="13"/>
      <c r="B673" s="13"/>
      <c r="C673" s="13"/>
      <c r="D673" s="13"/>
      <c r="E673" s="13"/>
      <c r="F673" s="13"/>
      <c r="G673" s="13"/>
      <c r="H673" s="13"/>
      <c r="I673" s="116"/>
      <c r="J673" s="12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 spans="1:34" ht="14.25" customHeight="1">
      <c r="A674" s="13"/>
      <c r="B674" s="13"/>
      <c r="C674" s="13"/>
      <c r="D674" s="13"/>
      <c r="E674" s="13"/>
      <c r="F674" s="13"/>
      <c r="G674" s="13"/>
      <c r="H674" s="13"/>
      <c r="I674" s="116"/>
      <c r="J674" s="12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 spans="1:34" ht="14.25" customHeight="1">
      <c r="A675" s="13"/>
      <c r="B675" s="13"/>
      <c r="C675" s="13"/>
      <c r="D675" s="13"/>
      <c r="E675" s="13"/>
      <c r="F675" s="13"/>
      <c r="G675" s="13"/>
      <c r="H675" s="13"/>
      <c r="I675" s="116"/>
      <c r="J675" s="12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 spans="1:34" ht="14.25" customHeight="1">
      <c r="A676" s="13"/>
      <c r="B676" s="13"/>
      <c r="C676" s="13"/>
      <c r="D676" s="13"/>
      <c r="E676" s="13"/>
      <c r="F676" s="13"/>
      <c r="G676" s="13"/>
      <c r="H676" s="13"/>
      <c r="I676" s="116"/>
      <c r="J676" s="12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 spans="1:34" ht="14.25" customHeight="1">
      <c r="A677" s="13"/>
      <c r="B677" s="13"/>
      <c r="C677" s="13"/>
      <c r="D677" s="13"/>
      <c r="E677" s="13"/>
      <c r="F677" s="13"/>
      <c r="G677" s="13"/>
      <c r="H677" s="13"/>
      <c r="I677" s="116"/>
      <c r="J677" s="12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 spans="1:34" ht="14.25" customHeight="1">
      <c r="A678" s="13"/>
      <c r="B678" s="13"/>
      <c r="C678" s="13"/>
      <c r="D678" s="13"/>
      <c r="E678" s="13"/>
      <c r="F678" s="13"/>
      <c r="G678" s="13"/>
      <c r="H678" s="13"/>
      <c r="I678" s="116"/>
      <c r="J678" s="12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 spans="1:34" ht="14.25" customHeight="1">
      <c r="A679" s="13"/>
      <c r="B679" s="13"/>
      <c r="C679" s="13"/>
      <c r="D679" s="13"/>
      <c r="E679" s="13"/>
      <c r="F679" s="13"/>
      <c r="G679" s="13"/>
      <c r="H679" s="13"/>
      <c r="I679" s="116"/>
      <c r="J679" s="12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 spans="1:34" ht="14.25" customHeight="1">
      <c r="A680" s="13"/>
      <c r="B680" s="13"/>
      <c r="C680" s="13"/>
      <c r="D680" s="13"/>
      <c r="E680" s="13"/>
      <c r="F680" s="13"/>
      <c r="G680" s="13"/>
      <c r="H680" s="13"/>
      <c r="I680" s="116"/>
      <c r="J680" s="12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 spans="1:34" ht="14.25" customHeight="1">
      <c r="A681" s="13"/>
      <c r="B681" s="13"/>
      <c r="C681" s="13"/>
      <c r="D681" s="13"/>
      <c r="E681" s="13"/>
      <c r="F681" s="13"/>
      <c r="G681" s="13"/>
      <c r="H681" s="13"/>
      <c r="I681" s="116"/>
      <c r="J681" s="12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 spans="1:34" ht="14.25" customHeight="1">
      <c r="A682" s="13"/>
      <c r="B682" s="13"/>
      <c r="C682" s="13"/>
      <c r="D682" s="13"/>
      <c r="E682" s="13"/>
      <c r="F682" s="13"/>
      <c r="G682" s="13"/>
      <c r="H682" s="13"/>
      <c r="I682" s="116"/>
      <c r="J682" s="12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 spans="1:34" ht="14.25" customHeight="1">
      <c r="A683" s="13"/>
      <c r="B683" s="13"/>
      <c r="C683" s="13"/>
      <c r="D683" s="13"/>
      <c r="E683" s="13"/>
      <c r="F683" s="13"/>
      <c r="G683" s="13"/>
      <c r="H683" s="13"/>
      <c r="I683" s="116"/>
      <c r="J683" s="12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 spans="1:34" ht="14.25" customHeight="1">
      <c r="A684" s="13"/>
      <c r="B684" s="13"/>
      <c r="C684" s="13"/>
      <c r="D684" s="13"/>
      <c r="E684" s="13"/>
      <c r="F684" s="13"/>
      <c r="G684" s="13"/>
      <c r="H684" s="13"/>
      <c r="I684" s="116"/>
      <c r="J684" s="12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 spans="1:34" ht="14.25" customHeight="1">
      <c r="A685" s="13"/>
      <c r="B685" s="13"/>
      <c r="C685" s="13"/>
      <c r="D685" s="13"/>
      <c r="E685" s="13"/>
      <c r="F685" s="13"/>
      <c r="G685" s="13"/>
      <c r="H685" s="13"/>
      <c r="I685" s="116"/>
      <c r="J685" s="12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 spans="1:34" ht="14.25" customHeight="1">
      <c r="A686" s="13"/>
      <c r="B686" s="13"/>
      <c r="C686" s="13"/>
      <c r="D686" s="13"/>
      <c r="E686" s="13"/>
      <c r="F686" s="13"/>
      <c r="G686" s="13"/>
      <c r="H686" s="13"/>
      <c r="I686" s="116"/>
      <c r="J686" s="12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 spans="1:34" ht="14.25" customHeight="1">
      <c r="A687" s="13"/>
      <c r="B687" s="13"/>
      <c r="C687" s="13"/>
      <c r="D687" s="13"/>
      <c r="E687" s="13"/>
      <c r="F687" s="13"/>
      <c r="G687" s="13"/>
      <c r="H687" s="13"/>
      <c r="I687" s="116"/>
      <c r="J687" s="12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 spans="1:34" ht="14.25" customHeight="1">
      <c r="A688" s="13"/>
      <c r="B688" s="13"/>
      <c r="C688" s="13"/>
      <c r="D688" s="13"/>
      <c r="E688" s="13"/>
      <c r="F688" s="13"/>
      <c r="G688" s="13"/>
      <c r="H688" s="13"/>
      <c r="I688" s="116"/>
      <c r="J688" s="12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 spans="1:34" ht="14.25" customHeight="1">
      <c r="A689" s="13"/>
      <c r="B689" s="13"/>
      <c r="C689" s="13"/>
      <c r="D689" s="13"/>
      <c r="E689" s="13"/>
      <c r="F689" s="13"/>
      <c r="G689" s="13"/>
      <c r="H689" s="13"/>
      <c r="I689" s="116"/>
      <c r="J689" s="12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 spans="1:34" ht="14.25" customHeight="1">
      <c r="A690" s="13"/>
      <c r="B690" s="13"/>
      <c r="C690" s="13"/>
      <c r="D690" s="13"/>
      <c r="E690" s="13"/>
      <c r="F690" s="13"/>
      <c r="G690" s="13"/>
      <c r="H690" s="13"/>
      <c r="I690" s="116"/>
      <c r="J690" s="12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spans="1:34" ht="14.25" customHeight="1">
      <c r="A691" s="13"/>
      <c r="B691" s="13"/>
      <c r="C691" s="13"/>
      <c r="D691" s="13"/>
      <c r="E691" s="13"/>
      <c r="F691" s="13"/>
      <c r="G691" s="13"/>
      <c r="H691" s="13"/>
      <c r="I691" s="116"/>
      <c r="J691" s="12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 spans="1:34" ht="14.25" customHeight="1">
      <c r="A692" s="13"/>
      <c r="B692" s="13"/>
      <c r="C692" s="13"/>
      <c r="D692" s="13"/>
      <c r="E692" s="13"/>
      <c r="F692" s="13"/>
      <c r="G692" s="13"/>
      <c r="H692" s="13"/>
      <c r="I692" s="116"/>
      <c r="J692" s="12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 spans="1:34" ht="14.25" customHeight="1">
      <c r="A693" s="13"/>
      <c r="B693" s="13"/>
      <c r="C693" s="13"/>
      <c r="D693" s="13"/>
      <c r="E693" s="13"/>
      <c r="F693" s="13"/>
      <c r="G693" s="13"/>
      <c r="H693" s="13"/>
      <c r="I693" s="116"/>
      <c r="J693" s="12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 spans="1:34" ht="14.25" customHeight="1">
      <c r="A694" s="13"/>
      <c r="B694" s="13"/>
      <c r="C694" s="13"/>
      <c r="D694" s="13"/>
      <c r="E694" s="13"/>
      <c r="F694" s="13"/>
      <c r="G694" s="13"/>
      <c r="H694" s="13"/>
      <c r="I694" s="116"/>
      <c r="J694" s="12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 spans="1:34" ht="14.25" customHeight="1">
      <c r="A695" s="13"/>
      <c r="B695" s="13"/>
      <c r="C695" s="13"/>
      <c r="D695" s="13"/>
      <c r="E695" s="13"/>
      <c r="F695" s="13"/>
      <c r="G695" s="13"/>
      <c r="H695" s="13"/>
      <c r="I695" s="116"/>
      <c r="J695" s="12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 spans="1:34" ht="14.25" customHeight="1">
      <c r="A696" s="13"/>
      <c r="B696" s="13"/>
      <c r="C696" s="13"/>
      <c r="D696" s="13"/>
      <c r="E696" s="13"/>
      <c r="F696" s="13"/>
      <c r="G696" s="13"/>
      <c r="H696" s="13"/>
      <c r="I696" s="116"/>
      <c r="J696" s="12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 spans="1:34" ht="14.25" customHeight="1">
      <c r="A697" s="13"/>
      <c r="B697" s="13"/>
      <c r="C697" s="13"/>
      <c r="D697" s="13"/>
      <c r="E697" s="13"/>
      <c r="F697" s="13"/>
      <c r="G697" s="13"/>
      <c r="H697" s="13"/>
      <c r="I697" s="116"/>
      <c r="J697" s="12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 spans="1:34" ht="14.25" customHeight="1">
      <c r="A698" s="13"/>
      <c r="B698" s="13"/>
      <c r="C698" s="13"/>
      <c r="D698" s="13"/>
      <c r="E698" s="13"/>
      <c r="F698" s="13"/>
      <c r="G698" s="13"/>
      <c r="H698" s="13"/>
      <c r="I698" s="116"/>
      <c r="J698" s="12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 spans="1:34" ht="14.25" customHeight="1">
      <c r="A699" s="13"/>
      <c r="B699" s="13"/>
      <c r="C699" s="13"/>
      <c r="D699" s="13"/>
      <c r="E699" s="13"/>
      <c r="F699" s="13"/>
      <c r="G699" s="13"/>
      <c r="H699" s="13"/>
      <c r="I699" s="116"/>
      <c r="J699" s="12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 spans="1:34" ht="14.25" customHeight="1">
      <c r="A700" s="13"/>
      <c r="B700" s="13"/>
      <c r="C700" s="13"/>
      <c r="D700" s="13"/>
      <c r="E700" s="13"/>
      <c r="F700" s="13"/>
      <c r="G700" s="13"/>
      <c r="H700" s="13"/>
      <c r="I700" s="116"/>
      <c r="J700" s="12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 spans="1:34" ht="14.25" customHeight="1">
      <c r="A701" s="13"/>
      <c r="B701" s="13"/>
      <c r="C701" s="13"/>
      <c r="D701" s="13"/>
      <c r="E701" s="13"/>
      <c r="F701" s="13"/>
      <c r="G701" s="13"/>
      <c r="H701" s="13"/>
      <c r="I701" s="116"/>
      <c r="J701" s="12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 spans="1:34" ht="14.25" customHeight="1">
      <c r="A702" s="13"/>
      <c r="B702" s="13"/>
      <c r="C702" s="13"/>
      <c r="D702" s="13"/>
      <c r="E702" s="13"/>
      <c r="F702" s="13"/>
      <c r="G702" s="13"/>
      <c r="H702" s="13"/>
      <c r="I702" s="116"/>
      <c r="J702" s="12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 spans="1:34" ht="14.25" customHeight="1">
      <c r="A703" s="13"/>
      <c r="B703" s="13"/>
      <c r="C703" s="13"/>
      <c r="D703" s="13"/>
      <c r="E703" s="13"/>
      <c r="F703" s="13"/>
      <c r="G703" s="13"/>
      <c r="H703" s="13"/>
      <c r="I703" s="116"/>
      <c r="J703" s="12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 spans="1:34" ht="14.25" customHeight="1">
      <c r="A704" s="13"/>
      <c r="B704" s="13"/>
      <c r="C704" s="13"/>
      <c r="D704" s="13"/>
      <c r="E704" s="13"/>
      <c r="F704" s="13"/>
      <c r="G704" s="13"/>
      <c r="H704" s="13"/>
      <c r="I704" s="116"/>
      <c r="J704" s="12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 spans="1:34" ht="14.25" customHeight="1">
      <c r="A705" s="13"/>
      <c r="B705" s="13"/>
      <c r="C705" s="13"/>
      <c r="D705" s="13"/>
      <c r="E705" s="13"/>
      <c r="F705" s="13"/>
      <c r="G705" s="13"/>
      <c r="H705" s="13"/>
      <c r="I705" s="116"/>
      <c r="J705" s="12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 spans="1:34" ht="14.25" customHeight="1">
      <c r="A706" s="13"/>
      <c r="B706" s="13"/>
      <c r="C706" s="13"/>
      <c r="D706" s="13"/>
      <c r="E706" s="13"/>
      <c r="F706" s="13"/>
      <c r="G706" s="13"/>
      <c r="H706" s="13"/>
      <c r="I706" s="116"/>
      <c r="J706" s="12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 spans="1:34" ht="14.25" customHeight="1">
      <c r="A707" s="13"/>
      <c r="B707" s="13"/>
      <c r="C707" s="13"/>
      <c r="D707" s="13"/>
      <c r="E707" s="13"/>
      <c r="F707" s="13"/>
      <c r="G707" s="13"/>
      <c r="H707" s="13"/>
      <c r="I707" s="116"/>
      <c r="J707" s="12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 spans="1:34" ht="14.25" customHeight="1">
      <c r="A708" s="13"/>
      <c r="B708" s="13"/>
      <c r="C708" s="13"/>
      <c r="D708" s="13"/>
      <c r="E708" s="13"/>
      <c r="F708" s="13"/>
      <c r="G708" s="13"/>
      <c r="H708" s="13"/>
      <c r="I708" s="116"/>
      <c r="J708" s="12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 spans="1:34" ht="14.25" customHeight="1">
      <c r="A709" s="13"/>
      <c r="B709" s="13"/>
      <c r="C709" s="13"/>
      <c r="D709" s="13"/>
      <c r="E709" s="13"/>
      <c r="F709" s="13"/>
      <c r="G709" s="13"/>
      <c r="H709" s="13"/>
      <c r="I709" s="116"/>
      <c r="J709" s="12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spans="1:34" ht="14.25" customHeight="1">
      <c r="A710" s="13"/>
      <c r="B710" s="13"/>
      <c r="C710" s="13"/>
      <c r="D710" s="13"/>
      <c r="E710" s="13"/>
      <c r="F710" s="13"/>
      <c r="G710" s="13"/>
      <c r="H710" s="13"/>
      <c r="I710" s="116"/>
      <c r="J710" s="12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 spans="1:34" ht="14.25" customHeight="1">
      <c r="A711" s="13"/>
      <c r="B711" s="13"/>
      <c r="C711" s="13"/>
      <c r="D711" s="13"/>
      <c r="E711" s="13"/>
      <c r="F711" s="13"/>
      <c r="G711" s="13"/>
      <c r="H711" s="13"/>
      <c r="I711" s="116"/>
      <c r="J711" s="12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 spans="1:34" ht="14.25" customHeight="1">
      <c r="A712" s="13"/>
      <c r="B712" s="13"/>
      <c r="C712" s="13"/>
      <c r="D712" s="13"/>
      <c r="E712" s="13"/>
      <c r="F712" s="13"/>
      <c r="G712" s="13"/>
      <c r="H712" s="13"/>
      <c r="I712" s="116"/>
      <c r="J712" s="12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 spans="1:34" ht="14.25" customHeight="1">
      <c r="A713" s="13"/>
      <c r="B713" s="13"/>
      <c r="C713" s="13"/>
      <c r="D713" s="13"/>
      <c r="E713" s="13"/>
      <c r="F713" s="13"/>
      <c r="G713" s="13"/>
      <c r="H713" s="13"/>
      <c r="I713" s="116"/>
      <c r="J713" s="12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 spans="1:34" ht="14.25" customHeight="1">
      <c r="A714" s="13"/>
      <c r="B714" s="13"/>
      <c r="C714" s="13"/>
      <c r="D714" s="13"/>
      <c r="E714" s="13"/>
      <c r="F714" s="13"/>
      <c r="G714" s="13"/>
      <c r="H714" s="13"/>
      <c r="I714" s="116"/>
      <c r="J714" s="12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 spans="1:34" ht="14.25" customHeight="1">
      <c r="A715" s="13"/>
      <c r="B715" s="13"/>
      <c r="C715" s="13"/>
      <c r="D715" s="13"/>
      <c r="E715" s="13"/>
      <c r="F715" s="13"/>
      <c r="G715" s="13"/>
      <c r="H715" s="13"/>
      <c r="I715" s="116"/>
      <c r="J715" s="12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 spans="1:34" ht="14.25" customHeight="1">
      <c r="A716" s="13"/>
      <c r="B716" s="13"/>
      <c r="C716" s="13"/>
      <c r="D716" s="13"/>
      <c r="E716" s="13"/>
      <c r="F716" s="13"/>
      <c r="G716" s="13"/>
      <c r="H716" s="13"/>
      <c r="I716" s="116"/>
      <c r="J716" s="12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 spans="1:34" ht="14.25" customHeight="1">
      <c r="A717" s="13"/>
      <c r="B717" s="13"/>
      <c r="C717" s="13"/>
      <c r="D717" s="13"/>
      <c r="E717" s="13"/>
      <c r="F717" s="13"/>
      <c r="G717" s="13"/>
      <c r="H717" s="13"/>
      <c r="I717" s="116"/>
      <c r="J717" s="12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 spans="1:34" ht="14.25" customHeight="1">
      <c r="A718" s="13"/>
      <c r="B718" s="13"/>
      <c r="C718" s="13"/>
      <c r="D718" s="13"/>
      <c r="E718" s="13"/>
      <c r="F718" s="13"/>
      <c r="G718" s="13"/>
      <c r="H718" s="13"/>
      <c r="I718" s="116"/>
      <c r="J718" s="12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 spans="1:34" ht="14.25" customHeight="1">
      <c r="A719" s="13"/>
      <c r="B719" s="13"/>
      <c r="C719" s="13"/>
      <c r="D719" s="13"/>
      <c r="E719" s="13"/>
      <c r="F719" s="13"/>
      <c r="G719" s="13"/>
      <c r="H719" s="13"/>
      <c r="I719" s="116"/>
      <c r="J719" s="12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 spans="1:34" ht="14.25" customHeight="1">
      <c r="A720" s="13"/>
      <c r="B720" s="13"/>
      <c r="C720" s="13"/>
      <c r="D720" s="13"/>
      <c r="E720" s="13"/>
      <c r="F720" s="13"/>
      <c r="G720" s="13"/>
      <c r="H720" s="13"/>
      <c r="I720" s="116"/>
      <c r="J720" s="12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 spans="1:34" ht="14.25" customHeight="1">
      <c r="A721" s="13"/>
      <c r="B721" s="13"/>
      <c r="C721" s="13"/>
      <c r="D721" s="13"/>
      <c r="E721" s="13"/>
      <c r="F721" s="13"/>
      <c r="G721" s="13"/>
      <c r="H721" s="13"/>
      <c r="I721" s="116"/>
      <c r="J721" s="12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 spans="1:34" ht="14.25" customHeight="1">
      <c r="A722" s="13"/>
      <c r="B722" s="13"/>
      <c r="C722" s="13"/>
      <c r="D722" s="13"/>
      <c r="E722" s="13"/>
      <c r="F722" s="13"/>
      <c r="G722" s="13"/>
      <c r="H722" s="13"/>
      <c r="I722" s="116"/>
      <c r="J722" s="12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 spans="1:34" ht="14.25" customHeight="1">
      <c r="A723" s="13"/>
      <c r="B723" s="13"/>
      <c r="C723" s="13"/>
      <c r="D723" s="13"/>
      <c r="E723" s="13"/>
      <c r="F723" s="13"/>
      <c r="G723" s="13"/>
      <c r="H723" s="13"/>
      <c r="I723" s="116"/>
      <c r="J723" s="12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 spans="1:34" ht="14.25" customHeight="1">
      <c r="A724" s="13"/>
      <c r="B724" s="13"/>
      <c r="C724" s="13"/>
      <c r="D724" s="13"/>
      <c r="E724" s="13"/>
      <c r="F724" s="13"/>
      <c r="G724" s="13"/>
      <c r="H724" s="13"/>
      <c r="I724" s="116"/>
      <c r="J724" s="12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 spans="1:34" ht="14.25" customHeight="1">
      <c r="A725" s="13"/>
      <c r="B725" s="13"/>
      <c r="C725" s="13"/>
      <c r="D725" s="13"/>
      <c r="E725" s="13"/>
      <c r="F725" s="13"/>
      <c r="G725" s="13"/>
      <c r="H725" s="13"/>
      <c r="I725" s="116"/>
      <c r="J725" s="12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 spans="1:34" ht="14.25" customHeight="1">
      <c r="A726" s="13"/>
      <c r="B726" s="13"/>
      <c r="C726" s="13"/>
      <c r="D726" s="13"/>
      <c r="E726" s="13"/>
      <c r="F726" s="13"/>
      <c r="G726" s="13"/>
      <c r="H726" s="13"/>
      <c r="I726" s="116"/>
      <c r="J726" s="12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 spans="1:34" ht="14.25" customHeight="1">
      <c r="A727" s="13"/>
      <c r="B727" s="13"/>
      <c r="C727" s="13"/>
      <c r="D727" s="13"/>
      <c r="E727" s="13"/>
      <c r="F727" s="13"/>
      <c r="G727" s="13"/>
      <c r="H727" s="13"/>
      <c r="I727" s="116"/>
      <c r="J727" s="12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 spans="1:34" ht="14.25" customHeight="1">
      <c r="A728" s="13"/>
      <c r="B728" s="13"/>
      <c r="C728" s="13"/>
      <c r="D728" s="13"/>
      <c r="E728" s="13"/>
      <c r="F728" s="13"/>
      <c r="G728" s="13"/>
      <c r="H728" s="13"/>
      <c r="I728" s="116"/>
      <c r="J728" s="12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 spans="1:34" ht="14.25" customHeight="1">
      <c r="A729" s="13"/>
      <c r="B729" s="13"/>
      <c r="C729" s="13"/>
      <c r="D729" s="13"/>
      <c r="E729" s="13"/>
      <c r="F729" s="13"/>
      <c r="G729" s="13"/>
      <c r="H729" s="13"/>
      <c r="I729" s="116"/>
      <c r="J729" s="12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 spans="1:34" ht="14.25" customHeight="1">
      <c r="A730" s="13"/>
      <c r="B730" s="13"/>
      <c r="C730" s="13"/>
      <c r="D730" s="13"/>
      <c r="E730" s="13"/>
      <c r="F730" s="13"/>
      <c r="G730" s="13"/>
      <c r="H730" s="13"/>
      <c r="I730" s="116"/>
      <c r="J730" s="12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 spans="1:34" ht="14.25" customHeight="1">
      <c r="A731" s="13"/>
      <c r="B731" s="13"/>
      <c r="C731" s="13"/>
      <c r="D731" s="13"/>
      <c r="E731" s="13"/>
      <c r="F731" s="13"/>
      <c r="G731" s="13"/>
      <c r="H731" s="13"/>
      <c r="I731" s="116"/>
      <c r="J731" s="12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 spans="1:34" ht="14.25" customHeight="1">
      <c r="A732" s="13"/>
      <c r="B732" s="13"/>
      <c r="C732" s="13"/>
      <c r="D732" s="13"/>
      <c r="E732" s="13"/>
      <c r="F732" s="13"/>
      <c r="G732" s="13"/>
      <c r="H732" s="13"/>
      <c r="I732" s="116"/>
      <c r="J732" s="12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 spans="1:34" ht="14.25" customHeight="1">
      <c r="A733" s="13"/>
      <c r="B733" s="13"/>
      <c r="C733" s="13"/>
      <c r="D733" s="13"/>
      <c r="E733" s="13"/>
      <c r="F733" s="13"/>
      <c r="G733" s="13"/>
      <c r="H733" s="13"/>
      <c r="I733" s="116"/>
      <c r="J733" s="12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 spans="1:34" ht="14.25" customHeight="1">
      <c r="A734" s="13"/>
      <c r="B734" s="13"/>
      <c r="C734" s="13"/>
      <c r="D734" s="13"/>
      <c r="E734" s="13"/>
      <c r="F734" s="13"/>
      <c r="G734" s="13"/>
      <c r="H734" s="13"/>
      <c r="I734" s="116"/>
      <c r="J734" s="12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 spans="1:34" ht="14.25" customHeight="1">
      <c r="A735" s="13"/>
      <c r="B735" s="13"/>
      <c r="C735" s="13"/>
      <c r="D735" s="13"/>
      <c r="E735" s="13"/>
      <c r="F735" s="13"/>
      <c r="G735" s="13"/>
      <c r="H735" s="13"/>
      <c r="I735" s="116"/>
      <c r="J735" s="12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 spans="1:34" ht="14.25" customHeight="1">
      <c r="A736" s="13"/>
      <c r="B736" s="13"/>
      <c r="C736" s="13"/>
      <c r="D736" s="13"/>
      <c r="E736" s="13"/>
      <c r="F736" s="13"/>
      <c r="G736" s="13"/>
      <c r="H736" s="13"/>
      <c r="I736" s="116"/>
      <c r="J736" s="12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 spans="1:34" ht="14.25" customHeight="1">
      <c r="A737" s="13"/>
      <c r="B737" s="13"/>
      <c r="C737" s="13"/>
      <c r="D737" s="13"/>
      <c r="E737" s="13"/>
      <c r="F737" s="13"/>
      <c r="G737" s="13"/>
      <c r="H737" s="13"/>
      <c r="I737" s="116"/>
      <c r="J737" s="12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 spans="1:34" ht="14.25" customHeight="1">
      <c r="A738" s="13"/>
      <c r="B738" s="13"/>
      <c r="C738" s="13"/>
      <c r="D738" s="13"/>
      <c r="E738" s="13"/>
      <c r="F738" s="13"/>
      <c r="G738" s="13"/>
      <c r="H738" s="13"/>
      <c r="I738" s="116"/>
      <c r="J738" s="12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 spans="1:34" ht="14.25" customHeight="1">
      <c r="A739" s="13"/>
      <c r="B739" s="13"/>
      <c r="C739" s="13"/>
      <c r="D739" s="13"/>
      <c r="E739" s="13"/>
      <c r="F739" s="13"/>
      <c r="G739" s="13"/>
      <c r="H739" s="13"/>
      <c r="I739" s="116"/>
      <c r="J739" s="12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 spans="1:34" ht="14.25" customHeight="1">
      <c r="A740" s="13"/>
      <c r="B740" s="13"/>
      <c r="C740" s="13"/>
      <c r="D740" s="13"/>
      <c r="E740" s="13"/>
      <c r="F740" s="13"/>
      <c r="G740" s="13"/>
      <c r="H740" s="13"/>
      <c r="I740" s="116"/>
      <c r="J740" s="12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 spans="1:34" ht="14.25" customHeight="1">
      <c r="A741" s="13"/>
      <c r="B741" s="13"/>
      <c r="C741" s="13"/>
      <c r="D741" s="13"/>
      <c r="E741" s="13"/>
      <c r="F741" s="13"/>
      <c r="G741" s="13"/>
      <c r="H741" s="13"/>
      <c r="I741" s="116"/>
      <c r="J741" s="12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 spans="1:34" ht="14.25" customHeight="1">
      <c r="A742" s="13"/>
      <c r="B742" s="13"/>
      <c r="C742" s="13"/>
      <c r="D742" s="13"/>
      <c r="E742" s="13"/>
      <c r="F742" s="13"/>
      <c r="G742" s="13"/>
      <c r="H742" s="13"/>
      <c r="I742" s="116"/>
      <c r="J742" s="12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 spans="1:34" ht="14.25" customHeight="1">
      <c r="A743" s="13"/>
      <c r="B743" s="13"/>
      <c r="C743" s="13"/>
      <c r="D743" s="13"/>
      <c r="E743" s="13"/>
      <c r="F743" s="13"/>
      <c r="G743" s="13"/>
      <c r="H743" s="13"/>
      <c r="I743" s="116"/>
      <c r="J743" s="12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 spans="1:34" ht="14.25" customHeight="1">
      <c r="A744" s="13"/>
      <c r="B744" s="13"/>
      <c r="C744" s="13"/>
      <c r="D744" s="13"/>
      <c r="E744" s="13"/>
      <c r="F744" s="13"/>
      <c r="G744" s="13"/>
      <c r="H744" s="13"/>
      <c r="I744" s="116"/>
      <c r="J744" s="12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 spans="1:34" ht="14.25" customHeight="1">
      <c r="A745" s="13"/>
      <c r="B745" s="13"/>
      <c r="C745" s="13"/>
      <c r="D745" s="13"/>
      <c r="E745" s="13"/>
      <c r="F745" s="13"/>
      <c r="G745" s="13"/>
      <c r="H745" s="13"/>
      <c r="I745" s="116"/>
      <c r="J745" s="12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 spans="1:34" ht="14.25" customHeight="1">
      <c r="A746" s="13"/>
      <c r="B746" s="13"/>
      <c r="C746" s="13"/>
      <c r="D746" s="13"/>
      <c r="E746" s="13"/>
      <c r="F746" s="13"/>
      <c r="G746" s="13"/>
      <c r="H746" s="13"/>
      <c r="I746" s="116"/>
      <c r="J746" s="12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 spans="1:34" ht="14.25" customHeight="1">
      <c r="A747" s="13"/>
      <c r="B747" s="13"/>
      <c r="C747" s="13"/>
      <c r="D747" s="13"/>
      <c r="E747" s="13"/>
      <c r="F747" s="13"/>
      <c r="G747" s="13"/>
      <c r="H747" s="13"/>
      <c r="I747" s="116"/>
      <c r="J747" s="12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 spans="1:34" ht="14.25" customHeight="1">
      <c r="A748" s="13"/>
      <c r="B748" s="13"/>
      <c r="C748" s="13"/>
      <c r="D748" s="13"/>
      <c r="E748" s="13"/>
      <c r="F748" s="13"/>
      <c r="G748" s="13"/>
      <c r="H748" s="13"/>
      <c r="I748" s="116"/>
      <c r="J748" s="12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 spans="1:34" ht="14.25" customHeight="1">
      <c r="A749" s="13"/>
      <c r="B749" s="13"/>
      <c r="C749" s="13"/>
      <c r="D749" s="13"/>
      <c r="E749" s="13"/>
      <c r="F749" s="13"/>
      <c r="G749" s="13"/>
      <c r="H749" s="13"/>
      <c r="I749" s="116"/>
      <c r="J749" s="12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 spans="1:34" ht="14.25" customHeight="1">
      <c r="A750" s="13"/>
      <c r="B750" s="13"/>
      <c r="C750" s="13"/>
      <c r="D750" s="13"/>
      <c r="E750" s="13"/>
      <c r="F750" s="13"/>
      <c r="G750" s="13"/>
      <c r="H750" s="13"/>
      <c r="I750" s="116"/>
      <c r="J750" s="12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 spans="1:34" ht="14.25" customHeight="1">
      <c r="A751" s="13"/>
      <c r="B751" s="13"/>
      <c r="C751" s="13"/>
      <c r="D751" s="13"/>
      <c r="E751" s="13"/>
      <c r="F751" s="13"/>
      <c r="G751" s="13"/>
      <c r="H751" s="13"/>
      <c r="I751" s="116"/>
      <c r="J751" s="12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 spans="1:34" ht="14.25" customHeight="1">
      <c r="A752" s="13"/>
      <c r="B752" s="13"/>
      <c r="C752" s="13"/>
      <c r="D752" s="13"/>
      <c r="E752" s="13"/>
      <c r="F752" s="13"/>
      <c r="G752" s="13"/>
      <c r="H752" s="13"/>
      <c r="I752" s="116"/>
      <c r="J752" s="12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 spans="1:34" ht="14.25" customHeight="1">
      <c r="A753" s="13"/>
      <c r="B753" s="13"/>
      <c r="C753" s="13"/>
      <c r="D753" s="13"/>
      <c r="E753" s="13"/>
      <c r="F753" s="13"/>
      <c r="G753" s="13"/>
      <c r="H753" s="13"/>
      <c r="I753" s="116"/>
      <c r="J753" s="12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spans="1:34" ht="14.25" customHeight="1">
      <c r="A754" s="13"/>
      <c r="B754" s="13"/>
      <c r="C754" s="13"/>
      <c r="D754" s="13"/>
      <c r="E754" s="13"/>
      <c r="F754" s="13"/>
      <c r="G754" s="13"/>
      <c r="H754" s="13"/>
      <c r="I754" s="116"/>
      <c r="J754" s="12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 spans="1:34" ht="14.25" customHeight="1">
      <c r="A755" s="13"/>
      <c r="B755" s="13"/>
      <c r="C755" s="13"/>
      <c r="D755" s="13"/>
      <c r="E755" s="13"/>
      <c r="F755" s="13"/>
      <c r="G755" s="13"/>
      <c r="H755" s="13"/>
      <c r="I755" s="116"/>
      <c r="J755" s="12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 spans="1:34" ht="14.25" customHeight="1">
      <c r="A756" s="13"/>
      <c r="B756" s="13"/>
      <c r="C756" s="13"/>
      <c r="D756" s="13"/>
      <c r="E756" s="13"/>
      <c r="F756" s="13"/>
      <c r="G756" s="13"/>
      <c r="H756" s="13"/>
      <c r="I756" s="116"/>
      <c r="J756" s="12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 spans="1:34" ht="14.25" customHeight="1">
      <c r="A757" s="13"/>
      <c r="B757" s="13"/>
      <c r="C757" s="13"/>
      <c r="D757" s="13"/>
      <c r="E757" s="13"/>
      <c r="F757" s="13"/>
      <c r="G757" s="13"/>
      <c r="H757" s="13"/>
      <c r="I757" s="116"/>
      <c r="J757" s="12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 spans="1:34" ht="14.25" customHeight="1">
      <c r="A758" s="13"/>
      <c r="B758" s="13"/>
      <c r="C758" s="13"/>
      <c r="D758" s="13"/>
      <c r="E758" s="13"/>
      <c r="F758" s="13"/>
      <c r="G758" s="13"/>
      <c r="H758" s="13"/>
      <c r="I758" s="116"/>
      <c r="J758" s="12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 spans="1:34" ht="14.25" customHeight="1">
      <c r="A759" s="13"/>
      <c r="B759" s="13"/>
      <c r="C759" s="13"/>
      <c r="D759" s="13"/>
      <c r="E759" s="13"/>
      <c r="F759" s="13"/>
      <c r="G759" s="13"/>
      <c r="H759" s="13"/>
      <c r="I759" s="116"/>
      <c r="J759" s="12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 spans="1:34" ht="14.25" customHeight="1">
      <c r="A760" s="13"/>
      <c r="B760" s="13"/>
      <c r="C760" s="13"/>
      <c r="D760" s="13"/>
      <c r="E760" s="13"/>
      <c r="F760" s="13"/>
      <c r="G760" s="13"/>
      <c r="H760" s="13"/>
      <c r="I760" s="116"/>
      <c r="J760" s="12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 spans="1:34" ht="14.25" customHeight="1">
      <c r="A761" s="13"/>
      <c r="B761" s="13"/>
      <c r="C761" s="13"/>
      <c r="D761" s="13"/>
      <c r="E761" s="13"/>
      <c r="F761" s="13"/>
      <c r="G761" s="13"/>
      <c r="H761" s="13"/>
      <c r="I761" s="116"/>
      <c r="J761" s="12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 spans="1:34" ht="14.25" customHeight="1">
      <c r="A762" s="13"/>
      <c r="B762" s="13"/>
      <c r="C762" s="13"/>
      <c r="D762" s="13"/>
      <c r="E762" s="13"/>
      <c r="F762" s="13"/>
      <c r="G762" s="13"/>
      <c r="H762" s="13"/>
      <c r="I762" s="116"/>
      <c r="J762" s="12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 spans="1:34" ht="14.25" customHeight="1">
      <c r="A763" s="13"/>
      <c r="B763" s="13"/>
      <c r="C763" s="13"/>
      <c r="D763" s="13"/>
      <c r="E763" s="13"/>
      <c r="F763" s="13"/>
      <c r="G763" s="13"/>
      <c r="H763" s="13"/>
      <c r="I763" s="116"/>
      <c r="J763" s="12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 spans="1:34" ht="14.25" customHeight="1">
      <c r="A764" s="13"/>
      <c r="B764" s="13"/>
      <c r="C764" s="13"/>
      <c r="D764" s="13"/>
      <c r="E764" s="13"/>
      <c r="F764" s="13"/>
      <c r="G764" s="13"/>
      <c r="H764" s="13"/>
      <c r="I764" s="116"/>
      <c r="J764" s="12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 spans="1:34" ht="14.25" customHeight="1">
      <c r="A765" s="13"/>
      <c r="B765" s="13"/>
      <c r="C765" s="13"/>
      <c r="D765" s="13"/>
      <c r="E765" s="13"/>
      <c r="F765" s="13"/>
      <c r="G765" s="13"/>
      <c r="H765" s="13"/>
      <c r="I765" s="116"/>
      <c r="J765" s="12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 spans="1:34" ht="14.25" customHeight="1">
      <c r="A766" s="13"/>
      <c r="B766" s="13"/>
      <c r="C766" s="13"/>
      <c r="D766" s="13"/>
      <c r="E766" s="13"/>
      <c r="F766" s="13"/>
      <c r="G766" s="13"/>
      <c r="H766" s="13"/>
      <c r="I766" s="116"/>
      <c r="J766" s="12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 spans="1:34" ht="14.25" customHeight="1">
      <c r="A767" s="13"/>
      <c r="B767" s="13"/>
      <c r="C767" s="13"/>
      <c r="D767" s="13"/>
      <c r="E767" s="13"/>
      <c r="F767" s="13"/>
      <c r="G767" s="13"/>
      <c r="H767" s="13"/>
      <c r="I767" s="116"/>
      <c r="J767" s="12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 spans="1:34" ht="14.25" customHeight="1">
      <c r="A768" s="13"/>
      <c r="B768" s="13"/>
      <c r="C768" s="13"/>
      <c r="D768" s="13"/>
      <c r="E768" s="13"/>
      <c r="F768" s="13"/>
      <c r="G768" s="13"/>
      <c r="H768" s="13"/>
      <c r="I768" s="116"/>
      <c r="J768" s="12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 spans="1:34" ht="14.25" customHeight="1">
      <c r="A769" s="13"/>
      <c r="B769" s="13"/>
      <c r="C769" s="13"/>
      <c r="D769" s="13"/>
      <c r="E769" s="13"/>
      <c r="F769" s="13"/>
      <c r="G769" s="13"/>
      <c r="H769" s="13"/>
      <c r="I769" s="116"/>
      <c r="J769" s="12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 spans="1:34" ht="14.25" customHeight="1">
      <c r="A770" s="13"/>
      <c r="B770" s="13"/>
      <c r="C770" s="13"/>
      <c r="D770" s="13"/>
      <c r="E770" s="13"/>
      <c r="F770" s="13"/>
      <c r="G770" s="13"/>
      <c r="H770" s="13"/>
      <c r="I770" s="116"/>
      <c r="J770" s="12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 spans="1:34" ht="14.25" customHeight="1">
      <c r="A771" s="13"/>
      <c r="B771" s="13"/>
      <c r="C771" s="13"/>
      <c r="D771" s="13"/>
      <c r="E771" s="13"/>
      <c r="F771" s="13"/>
      <c r="G771" s="13"/>
      <c r="H771" s="13"/>
      <c r="I771" s="116"/>
      <c r="J771" s="12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 spans="1:34" ht="14.25" customHeight="1">
      <c r="A772" s="13"/>
      <c r="B772" s="13"/>
      <c r="C772" s="13"/>
      <c r="D772" s="13"/>
      <c r="E772" s="13"/>
      <c r="F772" s="13"/>
      <c r="G772" s="13"/>
      <c r="H772" s="13"/>
      <c r="I772" s="116"/>
      <c r="J772" s="12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 spans="1:34" ht="14.25" customHeight="1">
      <c r="A773" s="13"/>
      <c r="B773" s="13"/>
      <c r="C773" s="13"/>
      <c r="D773" s="13"/>
      <c r="E773" s="13"/>
      <c r="F773" s="13"/>
      <c r="G773" s="13"/>
      <c r="H773" s="13"/>
      <c r="I773" s="116"/>
      <c r="J773" s="12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spans="1:34" ht="14.25" customHeight="1">
      <c r="A774" s="13"/>
      <c r="B774" s="13"/>
      <c r="C774" s="13"/>
      <c r="D774" s="13"/>
      <c r="E774" s="13"/>
      <c r="F774" s="13"/>
      <c r="G774" s="13"/>
      <c r="H774" s="13"/>
      <c r="I774" s="116"/>
      <c r="J774" s="12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 spans="1:34" ht="14.25" customHeight="1">
      <c r="A775" s="13"/>
      <c r="B775" s="13"/>
      <c r="C775" s="13"/>
      <c r="D775" s="13"/>
      <c r="E775" s="13"/>
      <c r="F775" s="13"/>
      <c r="G775" s="13"/>
      <c r="H775" s="13"/>
      <c r="I775" s="116"/>
      <c r="J775" s="12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 spans="1:34" ht="14.25" customHeight="1">
      <c r="A776" s="13"/>
      <c r="B776" s="13"/>
      <c r="C776" s="13"/>
      <c r="D776" s="13"/>
      <c r="E776" s="13"/>
      <c r="F776" s="13"/>
      <c r="G776" s="13"/>
      <c r="H776" s="13"/>
      <c r="I776" s="116"/>
      <c r="J776" s="12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 spans="1:34" ht="14.25" customHeight="1">
      <c r="A777" s="13"/>
      <c r="B777" s="13"/>
      <c r="C777" s="13"/>
      <c r="D777" s="13"/>
      <c r="E777" s="13"/>
      <c r="F777" s="13"/>
      <c r="G777" s="13"/>
      <c r="H777" s="13"/>
      <c r="I777" s="116"/>
      <c r="J777" s="12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 spans="1:34" ht="14.25" customHeight="1">
      <c r="A778" s="13"/>
      <c r="B778" s="13"/>
      <c r="C778" s="13"/>
      <c r="D778" s="13"/>
      <c r="E778" s="13"/>
      <c r="F778" s="13"/>
      <c r="G778" s="13"/>
      <c r="H778" s="13"/>
      <c r="I778" s="116"/>
      <c r="J778" s="12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 spans="1:34" ht="14.25" customHeight="1">
      <c r="A779" s="13"/>
      <c r="B779" s="13"/>
      <c r="C779" s="13"/>
      <c r="D779" s="13"/>
      <c r="E779" s="13"/>
      <c r="F779" s="13"/>
      <c r="G779" s="13"/>
      <c r="H779" s="13"/>
      <c r="I779" s="116"/>
      <c r="J779" s="12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 spans="1:34" ht="14.25" customHeight="1">
      <c r="A780" s="13"/>
      <c r="B780" s="13"/>
      <c r="C780" s="13"/>
      <c r="D780" s="13"/>
      <c r="E780" s="13"/>
      <c r="F780" s="13"/>
      <c r="G780" s="13"/>
      <c r="H780" s="13"/>
      <c r="I780" s="116"/>
      <c r="J780" s="12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 spans="1:34" ht="14.25" customHeight="1">
      <c r="A781" s="13"/>
      <c r="B781" s="13"/>
      <c r="C781" s="13"/>
      <c r="D781" s="13"/>
      <c r="E781" s="13"/>
      <c r="F781" s="13"/>
      <c r="G781" s="13"/>
      <c r="H781" s="13"/>
      <c r="I781" s="116"/>
      <c r="J781" s="12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 spans="1:34" ht="14.25" customHeight="1">
      <c r="A782" s="13"/>
      <c r="B782" s="13"/>
      <c r="C782" s="13"/>
      <c r="D782" s="13"/>
      <c r="E782" s="13"/>
      <c r="F782" s="13"/>
      <c r="G782" s="13"/>
      <c r="H782" s="13"/>
      <c r="I782" s="116"/>
      <c r="J782" s="12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 spans="1:34" ht="14.25" customHeight="1">
      <c r="A783" s="13"/>
      <c r="B783" s="13"/>
      <c r="C783" s="13"/>
      <c r="D783" s="13"/>
      <c r="E783" s="13"/>
      <c r="F783" s="13"/>
      <c r="G783" s="13"/>
      <c r="H783" s="13"/>
      <c r="I783" s="116"/>
      <c r="J783" s="12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 spans="1:34" ht="14.25" customHeight="1">
      <c r="A784" s="13"/>
      <c r="B784" s="13"/>
      <c r="C784" s="13"/>
      <c r="D784" s="13"/>
      <c r="E784" s="13"/>
      <c r="F784" s="13"/>
      <c r="G784" s="13"/>
      <c r="H784" s="13"/>
      <c r="I784" s="116"/>
      <c r="J784" s="12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 spans="1:34" ht="14.25" customHeight="1">
      <c r="A785" s="13"/>
      <c r="B785" s="13"/>
      <c r="C785" s="13"/>
      <c r="D785" s="13"/>
      <c r="E785" s="13"/>
      <c r="F785" s="13"/>
      <c r="G785" s="13"/>
      <c r="H785" s="13"/>
      <c r="I785" s="116"/>
      <c r="J785" s="12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 spans="1:34" ht="14.25" customHeight="1">
      <c r="A786" s="13"/>
      <c r="B786" s="13"/>
      <c r="C786" s="13"/>
      <c r="D786" s="13"/>
      <c r="E786" s="13"/>
      <c r="F786" s="13"/>
      <c r="G786" s="13"/>
      <c r="H786" s="13"/>
      <c r="I786" s="116"/>
      <c r="J786" s="12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 spans="1:34" ht="14.25" customHeight="1">
      <c r="A787" s="13"/>
      <c r="B787" s="13"/>
      <c r="C787" s="13"/>
      <c r="D787" s="13"/>
      <c r="E787" s="13"/>
      <c r="F787" s="13"/>
      <c r="G787" s="13"/>
      <c r="H787" s="13"/>
      <c r="I787" s="116"/>
      <c r="J787" s="12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 spans="1:34" ht="14.25" customHeight="1">
      <c r="A788" s="13"/>
      <c r="B788" s="13"/>
      <c r="C788" s="13"/>
      <c r="D788" s="13"/>
      <c r="E788" s="13"/>
      <c r="F788" s="13"/>
      <c r="G788" s="13"/>
      <c r="H788" s="13"/>
      <c r="I788" s="116"/>
      <c r="J788" s="12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 spans="1:34" ht="14.25" customHeight="1">
      <c r="A789" s="13"/>
      <c r="B789" s="13"/>
      <c r="C789" s="13"/>
      <c r="D789" s="13"/>
      <c r="E789" s="13"/>
      <c r="F789" s="13"/>
      <c r="G789" s="13"/>
      <c r="H789" s="13"/>
      <c r="I789" s="116"/>
      <c r="J789" s="12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 spans="1:34" ht="14.25" customHeight="1">
      <c r="A790" s="13"/>
      <c r="B790" s="13"/>
      <c r="C790" s="13"/>
      <c r="D790" s="13"/>
      <c r="E790" s="13"/>
      <c r="F790" s="13"/>
      <c r="G790" s="13"/>
      <c r="H790" s="13"/>
      <c r="I790" s="116"/>
      <c r="J790" s="12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 spans="1:34" ht="14.25" customHeight="1">
      <c r="A791" s="13"/>
      <c r="B791" s="13"/>
      <c r="C791" s="13"/>
      <c r="D791" s="13"/>
      <c r="E791" s="13"/>
      <c r="F791" s="13"/>
      <c r="G791" s="13"/>
      <c r="H791" s="13"/>
      <c r="I791" s="116"/>
      <c r="J791" s="12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 spans="1:34" ht="14.25" customHeight="1">
      <c r="A792" s="13"/>
      <c r="B792" s="13"/>
      <c r="C792" s="13"/>
      <c r="D792" s="13"/>
      <c r="E792" s="13"/>
      <c r="F792" s="13"/>
      <c r="G792" s="13"/>
      <c r="H792" s="13"/>
      <c r="I792" s="116"/>
      <c r="J792" s="12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 spans="1:34" ht="14.25" customHeight="1">
      <c r="A793" s="13"/>
      <c r="B793" s="13"/>
      <c r="C793" s="13"/>
      <c r="D793" s="13"/>
      <c r="E793" s="13"/>
      <c r="F793" s="13"/>
      <c r="G793" s="13"/>
      <c r="H793" s="13"/>
      <c r="I793" s="116"/>
      <c r="J793" s="12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 spans="1:34" ht="14.25" customHeight="1">
      <c r="A794" s="13"/>
      <c r="B794" s="13"/>
      <c r="C794" s="13"/>
      <c r="D794" s="13"/>
      <c r="E794" s="13"/>
      <c r="F794" s="13"/>
      <c r="G794" s="13"/>
      <c r="H794" s="13"/>
      <c r="I794" s="116"/>
      <c r="J794" s="12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 spans="1:34" ht="14.25" customHeight="1">
      <c r="A795" s="13"/>
      <c r="B795" s="13"/>
      <c r="C795" s="13"/>
      <c r="D795" s="13"/>
      <c r="E795" s="13"/>
      <c r="F795" s="13"/>
      <c r="G795" s="13"/>
      <c r="H795" s="13"/>
      <c r="I795" s="116"/>
      <c r="J795" s="12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 spans="1:34" ht="14.25" customHeight="1">
      <c r="A796" s="13"/>
      <c r="B796" s="13"/>
      <c r="C796" s="13"/>
      <c r="D796" s="13"/>
      <c r="E796" s="13"/>
      <c r="F796" s="13"/>
      <c r="G796" s="13"/>
      <c r="H796" s="13"/>
      <c r="I796" s="116"/>
      <c r="J796" s="12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 spans="1:34" ht="14.25" customHeight="1">
      <c r="A797" s="13"/>
      <c r="B797" s="13"/>
      <c r="C797" s="13"/>
      <c r="D797" s="13"/>
      <c r="E797" s="13"/>
      <c r="F797" s="13"/>
      <c r="G797" s="13"/>
      <c r="H797" s="13"/>
      <c r="I797" s="116"/>
      <c r="J797" s="12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 spans="1:34" ht="14.25" customHeight="1">
      <c r="A798" s="13"/>
      <c r="B798" s="13"/>
      <c r="C798" s="13"/>
      <c r="D798" s="13"/>
      <c r="E798" s="13"/>
      <c r="F798" s="13"/>
      <c r="G798" s="13"/>
      <c r="H798" s="13"/>
      <c r="I798" s="116"/>
      <c r="J798" s="12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 spans="1:34" ht="14.25" customHeight="1">
      <c r="A799" s="13"/>
      <c r="B799" s="13"/>
      <c r="C799" s="13"/>
      <c r="D799" s="13"/>
      <c r="E799" s="13"/>
      <c r="F799" s="13"/>
      <c r="G799" s="13"/>
      <c r="H799" s="13"/>
      <c r="I799" s="116"/>
      <c r="J799" s="12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 spans="1:34" ht="14.25" customHeight="1">
      <c r="A800" s="13"/>
      <c r="B800" s="13"/>
      <c r="C800" s="13"/>
      <c r="D800" s="13"/>
      <c r="E800" s="13"/>
      <c r="F800" s="13"/>
      <c r="G800" s="13"/>
      <c r="H800" s="13"/>
      <c r="I800" s="116"/>
      <c r="J800" s="12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 spans="1:34" ht="14.25" customHeight="1">
      <c r="A801" s="13"/>
      <c r="B801" s="13"/>
      <c r="C801" s="13"/>
      <c r="D801" s="13"/>
      <c r="E801" s="13"/>
      <c r="F801" s="13"/>
      <c r="G801" s="13"/>
      <c r="H801" s="13"/>
      <c r="I801" s="116"/>
      <c r="J801" s="12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 spans="1:34" ht="14.25" customHeight="1">
      <c r="A802" s="13"/>
      <c r="B802" s="13"/>
      <c r="C802" s="13"/>
      <c r="D802" s="13"/>
      <c r="E802" s="13"/>
      <c r="F802" s="13"/>
      <c r="G802" s="13"/>
      <c r="H802" s="13"/>
      <c r="I802" s="116"/>
      <c r="J802" s="12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 spans="1:34" ht="14.25" customHeight="1">
      <c r="A803" s="13"/>
      <c r="B803" s="13"/>
      <c r="C803" s="13"/>
      <c r="D803" s="13"/>
      <c r="E803" s="13"/>
      <c r="F803" s="13"/>
      <c r="G803" s="13"/>
      <c r="H803" s="13"/>
      <c r="I803" s="116"/>
      <c r="J803" s="12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 spans="1:34" ht="14.25" customHeight="1">
      <c r="A804" s="13"/>
      <c r="B804" s="13"/>
      <c r="C804" s="13"/>
      <c r="D804" s="13"/>
      <c r="E804" s="13"/>
      <c r="F804" s="13"/>
      <c r="G804" s="13"/>
      <c r="H804" s="13"/>
      <c r="I804" s="116"/>
      <c r="J804" s="12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 spans="1:34" ht="14.25" customHeight="1">
      <c r="A805" s="13"/>
      <c r="B805" s="13"/>
      <c r="C805" s="13"/>
      <c r="D805" s="13"/>
      <c r="E805" s="13"/>
      <c r="F805" s="13"/>
      <c r="G805" s="13"/>
      <c r="H805" s="13"/>
      <c r="I805" s="116"/>
      <c r="J805" s="12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 spans="1:34" ht="14.25" customHeight="1">
      <c r="A806" s="13"/>
      <c r="B806" s="13"/>
      <c r="C806" s="13"/>
      <c r="D806" s="13"/>
      <c r="E806" s="13"/>
      <c r="F806" s="13"/>
      <c r="G806" s="13"/>
      <c r="H806" s="13"/>
      <c r="I806" s="116"/>
      <c r="J806" s="12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 spans="1:34" ht="14.25" customHeight="1">
      <c r="A807" s="13"/>
      <c r="B807" s="13"/>
      <c r="C807" s="13"/>
      <c r="D807" s="13"/>
      <c r="E807" s="13"/>
      <c r="F807" s="13"/>
      <c r="G807" s="13"/>
      <c r="H807" s="13"/>
      <c r="I807" s="116"/>
      <c r="J807" s="12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 spans="1:34" ht="14.25" customHeight="1">
      <c r="A808" s="13"/>
      <c r="B808" s="13"/>
      <c r="C808" s="13"/>
      <c r="D808" s="13"/>
      <c r="E808" s="13"/>
      <c r="F808" s="13"/>
      <c r="G808" s="13"/>
      <c r="H808" s="13"/>
      <c r="I808" s="116"/>
      <c r="J808" s="12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 spans="1:34" ht="14.25" customHeight="1">
      <c r="A809" s="13"/>
      <c r="B809" s="13"/>
      <c r="C809" s="13"/>
      <c r="D809" s="13"/>
      <c r="E809" s="13"/>
      <c r="F809" s="13"/>
      <c r="G809" s="13"/>
      <c r="H809" s="13"/>
      <c r="I809" s="116"/>
      <c r="J809" s="12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 spans="1:34" ht="14.25" customHeight="1">
      <c r="A810" s="13"/>
      <c r="B810" s="13"/>
      <c r="C810" s="13"/>
      <c r="D810" s="13"/>
      <c r="E810" s="13"/>
      <c r="F810" s="13"/>
      <c r="G810" s="13"/>
      <c r="H810" s="13"/>
      <c r="I810" s="116"/>
      <c r="J810" s="12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 spans="1:34" ht="14.25" customHeight="1">
      <c r="A811" s="13"/>
      <c r="B811" s="13"/>
      <c r="C811" s="13"/>
      <c r="D811" s="13"/>
      <c r="E811" s="13"/>
      <c r="F811" s="13"/>
      <c r="G811" s="13"/>
      <c r="H811" s="13"/>
      <c r="I811" s="116"/>
      <c r="J811" s="12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 spans="1:34" ht="14.25" customHeight="1">
      <c r="A812" s="13"/>
      <c r="B812" s="13"/>
      <c r="C812" s="13"/>
      <c r="D812" s="13"/>
      <c r="E812" s="13"/>
      <c r="F812" s="13"/>
      <c r="G812" s="13"/>
      <c r="H812" s="13"/>
      <c r="I812" s="116"/>
      <c r="J812" s="12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 spans="1:34" ht="14.25" customHeight="1">
      <c r="A813" s="13"/>
      <c r="B813" s="13"/>
      <c r="C813" s="13"/>
      <c r="D813" s="13"/>
      <c r="E813" s="13"/>
      <c r="F813" s="13"/>
      <c r="G813" s="13"/>
      <c r="H813" s="13"/>
      <c r="I813" s="116"/>
      <c r="J813" s="12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 spans="1:34" ht="14.25" customHeight="1">
      <c r="A814" s="13"/>
      <c r="B814" s="13"/>
      <c r="C814" s="13"/>
      <c r="D814" s="13"/>
      <c r="E814" s="13"/>
      <c r="F814" s="13"/>
      <c r="G814" s="13"/>
      <c r="H814" s="13"/>
      <c r="I814" s="116"/>
      <c r="J814" s="12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 spans="1:34" ht="14.25" customHeight="1">
      <c r="A815" s="13"/>
      <c r="B815" s="13"/>
      <c r="C815" s="13"/>
      <c r="D815" s="13"/>
      <c r="E815" s="13"/>
      <c r="F815" s="13"/>
      <c r="G815" s="13"/>
      <c r="H815" s="13"/>
      <c r="I815" s="116"/>
      <c r="J815" s="12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 spans="1:34" ht="14.25" customHeight="1">
      <c r="A816" s="13"/>
      <c r="B816" s="13"/>
      <c r="C816" s="13"/>
      <c r="D816" s="13"/>
      <c r="E816" s="13"/>
      <c r="F816" s="13"/>
      <c r="G816" s="13"/>
      <c r="H816" s="13"/>
      <c r="I816" s="116"/>
      <c r="J816" s="12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 spans="1:34" ht="14.25" customHeight="1">
      <c r="A817" s="13"/>
      <c r="B817" s="13"/>
      <c r="C817" s="13"/>
      <c r="D817" s="13"/>
      <c r="E817" s="13"/>
      <c r="F817" s="13"/>
      <c r="G817" s="13"/>
      <c r="H817" s="13"/>
      <c r="I817" s="116"/>
      <c r="J817" s="12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spans="1:34" ht="14.25" customHeight="1">
      <c r="A818" s="13"/>
      <c r="B818" s="13"/>
      <c r="C818" s="13"/>
      <c r="D818" s="13"/>
      <c r="E818" s="13"/>
      <c r="F818" s="13"/>
      <c r="G818" s="13"/>
      <c r="H818" s="13"/>
      <c r="I818" s="116"/>
      <c r="J818" s="12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 spans="1:34" ht="14.25" customHeight="1">
      <c r="A819" s="13"/>
      <c r="B819" s="13"/>
      <c r="C819" s="13"/>
      <c r="D819" s="13"/>
      <c r="E819" s="13"/>
      <c r="F819" s="13"/>
      <c r="G819" s="13"/>
      <c r="H819" s="13"/>
      <c r="I819" s="116"/>
      <c r="J819" s="12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 spans="1:34" ht="14.25" customHeight="1">
      <c r="A820" s="13"/>
      <c r="B820" s="13"/>
      <c r="C820" s="13"/>
      <c r="D820" s="13"/>
      <c r="E820" s="13"/>
      <c r="F820" s="13"/>
      <c r="G820" s="13"/>
      <c r="H820" s="13"/>
      <c r="I820" s="116"/>
      <c r="J820" s="12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 spans="1:34" ht="14.25" customHeight="1">
      <c r="A821" s="13"/>
      <c r="B821" s="13"/>
      <c r="C821" s="13"/>
      <c r="D821" s="13"/>
      <c r="E821" s="13"/>
      <c r="F821" s="13"/>
      <c r="G821" s="13"/>
      <c r="H821" s="13"/>
      <c r="I821" s="116"/>
      <c r="J821" s="12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 spans="1:34" ht="14.25" customHeight="1">
      <c r="A822" s="13"/>
      <c r="B822" s="13"/>
      <c r="C822" s="13"/>
      <c r="D822" s="13"/>
      <c r="E822" s="13"/>
      <c r="F822" s="13"/>
      <c r="G822" s="13"/>
      <c r="H822" s="13"/>
      <c r="I822" s="116"/>
      <c r="J822" s="12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 spans="1:34" ht="14.25" customHeight="1">
      <c r="A823" s="13"/>
      <c r="B823" s="13"/>
      <c r="C823" s="13"/>
      <c r="D823" s="13"/>
      <c r="E823" s="13"/>
      <c r="F823" s="13"/>
      <c r="G823" s="13"/>
      <c r="H823" s="13"/>
      <c r="I823" s="116"/>
      <c r="J823" s="12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 spans="1:34" ht="14.25" customHeight="1">
      <c r="A824" s="13"/>
      <c r="B824" s="13"/>
      <c r="C824" s="13"/>
      <c r="D824" s="13"/>
      <c r="E824" s="13"/>
      <c r="F824" s="13"/>
      <c r="G824" s="13"/>
      <c r="H824" s="13"/>
      <c r="I824" s="116"/>
      <c r="J824" s="12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 spans="1:34" ht="14.25" customHeight="1">
      <c r="A825" s="13"/>
      <c r="B825" s="13"/>
      <c r="C825" s="13"/>
      <c r="D825" s="13"/>
      <c r="E825" s="13"/>
      <c r="F825" s="13"/>
      <c r="G825" s="13"/>
      <c r="H825" s="13"/>
      <c r="I825" s="116"/>
      <c r="J825" s="12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 spans="1:34" ht="14.25" customHeight="1">
      <c r="A826" s="13"/>
      <c r="B826" s="13"/>
      <c r="C826" s="13"/>
      <c r="D826" s="13"/>
      <c r="E826" s="13"/>
      <c r="F826" s="13"/>
      <c r="G826" s="13"/>
      <c r="H826" s="13"/>
      <c r="I826" s="116"/>
      <c r="J826" s="12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 spans="1:34" ht="14.25" customHeight="1">
      <c r="A827" s="13"/>
      <c r="B827" s="13"/>
      <c r="C827" s="13"/>
      <c r="D827" s="13"/>
      <c r="E827" s="13"/>
      <c r="F827" s="13"/>
      <c r="G827" s="13"/>
      <c r="H827" s="13"/>
      <c r="I827" s="116"/>
      <c r="J827" s="12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 spans="1:34" ht="14.25" customHeight="1">
      <c r="A828" s="13"/>
      <c r="B828" s="13"/>
      <c r="C828" s="13"/>
      <c r="D828" s="13"/>
      <c r="E828" s="13"/>
      <c r="F828" s="13"/>
      <c r="G828" s="13"/>
      <c r="H828" s="13"/>
      <c r="I828" s="116"/>
      <c r="J828" s="12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 spans="1:34" ht="14.25" customHeight="1">
      <c r="A829" s="13"/>
      <c r="B829" s="13"/>
      <c r="C829" s="13"/>
      <c r="D829" s="13"/>
      <c r="E829" s="13"/>
      <c r="F829" s="13"/>
      <c r="G829" s="13"/>
      <c r="H829" s="13"/>
      <c r="I829" s="116"/>
      <c r="J829" s="12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 spans="1:34" ht="14.25" customHeight="1">
      <c r="A830" s="13"/>
      <c r="B830" s="13"/>
      <c r="C830" s="13"/>
      <c r="D830" s="13"/>
      <c r="E830" s="13"/>
      <c r="F830" s="13"/>
      <c r="G830" s="13"/>
      <c r="H830" s="13"/>
      <c r="I830" s="116"/>
      <c r="J830" s="12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 spans="1:34" ht="14.25" customHeight="1">
      <c r="A831" s="13"/>
      <c r="B831" s="13"/>
      <c r="C831" s="13"/>
      <c r="D831" s="13"/>
      <c r="E831" s="13"/>
      <c r="F831" s="13"/>
      <c r="G831" s="13"/>
      <c r="H831" s="13"/>
      <c r="I831" s="116"/>
      <c r="J831" s="12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 spans="1:34" ht="14.25" customHeight="1">
      <c r="A832" s="13"/>
      <c r="B832" s="13"/>
      <c r="C832" s="13"/>
      <c r="D832" s="13"/>
      <c r="E832" s="13"/>
      <c r="F832" s="13"/>
      <c r="G832" s="13"/>
      <c r="H832" s="13"/>
      <c r="I832" s="116"/>
      <c r="J832" s="12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 spans="1:34" ht="14.25" customHeight="1">
      <c r="A833" s="13"/>
      <c r="B833" s="13"/>
      <c r="C833" s="13"/>
      <c r="D833" s="13"/>
      <c r="E833" s="13"/>
      <c r="F833" s="13"/>
      <c r="G833" s="13"/>
      <c r="H833" s="13"/>
      <c r="I833" s="116"/>
      <c r="J833" s="12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 spans="1:34" ht="14.25" customHeight="1">
      <c r="A834" s="13"/>
      <c r="B834" s="13"/>
      <c r="C834" s="13"/>
      <c r="D834" s="13"/>
      <c r="E834" s="13"/>
      <c r="F834" s="13"/>
      <c r="G834" s="13"/>
      <c r="H834" s="13"/>
      <c r="I834" s="116"/>
      <c r="J834" s="12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 spans="1:34" ht="14.25" customHeight="1">
      <c r="A835" s="13"/>
      <c r="B835" s="13"/>
      <c r="C835" s="13"/>
      <c r="D835" s="13"/>
      <c r="E835" s="13"/>
      <c r="F835" s="13"/>
      <c r="G835" s="13"/>
      <c r="H835" s="13"/>
      <c r="I835" s="116"/>
      <c r="J835" s="12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 spans="1:34" ht="14.25" customHeight="1">
      <c r="A836" s="13"/>
      <c r="B836" s="13"/>
      <c r="C836" s="13"/>
      <c r="D836" s="13"/>
      <c r="E836" s="13"/>
      <c r="F836" s="13"/>
      <c r="G836" s="13"/>
      <c r="H836" s="13"/>
      <c r="I836" s="116"/>
      <c r="J836" s="12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 spans="1:34" ht="14.25" customHeight="1">
      <c r="A837" s="13"/>
      <c r="B837" s="13"/>
      <c r="C837" s="13"/>
      <c r="D837" s="13"/>
      <c r="E837" s="13"/>
      <c r="F837" s="13"/>
      <c r="G837" s="13"/>
      <c r="H837" s="13"/>
      <c r="I837" s="116"/>
      <c r="J837" s="12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 spans="1:34" ht="14.25" customHeight="1">
      <c r="A838" s="13"/>
      <c r="B838" s="13"/>
      <c r="C838" s="13"/>
      <c r="D838" s="13"/>
      <c r="E838" s="13"/>
      <c r="F838" s="13"/>
      <c r="G838" s="13"/>
      <c r="H838" s="13"/>
      <c r="I838" s="116"/>
      <c r="J838" s="12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 spans="1:34" ht="14.25" customHeight="1">
      <c r="A839" s="13"/>
      <c r="B839" s="13"/>
      <c r="C839" s="13"/>
      <c r="D839" s="13"/>
      <c r="E839" s="13"/>
      <c r="F839" s="13"/>
      <c r="G839" s="13"/>
      <c r="H839" s="13"/>
      <c r="I839" s="116"/>
      <c r="J839" s="12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 spans="1:34" ht="14.25" customHeight="1">
      <c r="A840" s="13"/>
      <c r="B840" s="13"/>
      <c r="C840" s="13"/>
      <c r="D840" s="13"/>
      <c r="E840" s="13"/>
      <c r="F840" s="13"/>
      <c r="G840" s="13"/>
      <c r="H840" s="13"/>
      <c r="I840" s="116"/>
      <c r="J840" s="12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 spans="1:34" ht="14.25" customHeight="1">
      <c r="A841" s="13"/>
      <c r="B841" s="13"/>
      <c r="C841" s="13"/>
      <c r="D841" s="13"/>
      <c r="E841" s="13"/>
      <c r="F841" s="13"/>
      <c r="G841" s="13"/>
      <c r="H841" s="13"/>
      <c r="I841" s="116"/>
      <c r="J841" s="12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 spans="1:34" ht="14.25" customHeight="1">
      <c r="A842" s="13"/>
      <c r="B842" s="13"/>
      <c r="C842" s="13"/>
      <c r="D842" s="13"/>
      <c r="E842" s="13"/>
      <c r="F842" s="13"/>
      <c r="G842" s="13"/>
      <c r="H842" s="13"/>
      <c r="I842" s="116"/>
      <c r="J842" s="12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 spans="1:34" ht="14.25" customHeight="1">
      <c r="A843" s="13"/>
      <c r="B843" s="13"/>
      <c r="C843" s="13"/>
      <c r="D843" s="13"/>
      <c r="E843" s="13"/>
      <c r="F843" s="13"/>
      <c r="G843" s="13"/>
      <c r="H843" s="13"/>
      <c r="I843" s="116"/>
      <c r="J843" s="12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 spans="1:34" ht="14.25" customHeight="1">
      <c r="A844" s="13"/>
      <c r="B844" s="13"/>
      <c r="C844" s="13"/>
      <c r="D844" s="13"/>
      <c r="E844" s="13"/>
      <c r="F844" s="13"/>
      <c r="G844" s="13"/>
      <c r="H844" s="13"/>
      <c r="I844" s="116"/>
      <c r="J844" s="12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 spans="1:34" ht="14.25" customHeight="1">
      <c r="A845" s="13"/>
      <c r="B845" s="13"/>
      <c r="C845" s="13"/>
      <c r="D845" s="13"/>
      <c r="E845" s="13"/>
      <c r="F845" s="13"/>
      <c r="G845" s="13"/>
      <c r="H845" s="13"/>
      <c r="I845" s="116"/>
      <c r="J845" s="12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 spans="1:34" ht="14.25" customHeight="1">
      <c r="A846" s="13"/>
      <c r="B846" s="13"/>
      <c r="C846" s="13"/>
      <c r="D846" s="13"/>
      <c r="E846" s="13"/>
      <c r="F846" s="13"/>
      <c r="G846" s="13"/>
      <c r="H846" s="13"/>
      <c r="I846" s="116"/>
      <c r="J846" s="12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 spans="1:34" ht="14.25" customHeight="1">
      <c r="A847" s="13"/>
      <c r="B847" s="13"/>
      <c r="C847" s="13"/>
      <c r="D847" s="13"/>
      <c r="E847" s="13"/>
      <c r="F847" s="13"/>
      <c r="G847" s="13"/>
      <c r="H847" s="13"/>
      <c r="I847" s="116"/>
      <c r="J847" s="12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 spans="1:34" ht="14.25" customHeight="1">
      <c r="A848" s="13"/>
      <c r="B848" s="13"/>
      <c r="C848" s="13"/>
      <c r="D848" s="13"/>
      <c r="E848" s="13"/>
      <c r="F848" s="13"/>
      <c r="G848" s="13"/>
      <c r="H848" s="13"/>
      <c r="I848" s="116"/>
      <c r="J848" s="12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 spans="1:34" ht="14.25" customHeight="1">
      <c r="A849" s="13"/>
      <c r="B849" s="13"/>
      <c r="C849" s="13"/>
      <c r="D849" s="13"/>
      <c r="E849" s="13"/>
      <c r="F849" s="13"/>
      <c r="G849" s="13"/>
      <c r="H849" s="13"/>
      <c r="I849" s="116"/>
      <c r="J849" s="12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 spans="1:34" ht="14.25" customHeight="1">
      <c r="A850" s="13"/>
      <c r="B850" s="13"/>
      <c r="C850" s="13"/>
      <c r="D850" s="13"/>
      <c r="E850" s="13"/>
      <c r="F850" s="13"/>
      <c r="G850" s="13"/>
      <c r="H850" s="13"/>
      <c r="I850" s="116"/>
      <c r="J850" s="12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 spans="1:34" ht="14.25" customHeight="1">
      <c r="A851" s="13"/>
      <c r="B851" s="13"/>
      <c r="C851" s="13"/>
      <c r="D851" s="13"/>
      <c r="E851" s="13"/>
      <c r="F851" s="13"/>
      <c r="G851" s="13"/>
      <c r="H851" s="13"/>
      <c r="I851" s="116"/>
      <c r="J851" s="12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 spans="1:34" ht="14.25" customHeight="1">
      <c r="A852" s="13"/>
      <c r="B852" s="13"/>
      <c r="C852" s="13"/>
      <c r="D852" s="13"/>
      <c r="E852" s="13"/>
      <c r="F852" s="13"/>
      <c r="G852" s="13"/>
      <c r="H852" s="13"/>
      <c r="I852" s="116"/>
      <c r="J852" s="12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 spans="1:34" ht="14.25" customHeight="1">
      <c r="A853" s="13"/>
      <c r="B853" s="13"/>
      <c r="C853" s="13"/>
      <c r="D853" s="13"/>
      <c r="E853" s="13"/>
      <c r="F853" s="13"/>
      <c r="G853" s="13"/>
      <c r="H853" s="13"/>
      <c r="I853" s="116"/>
      <c r="J853" s="12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 spans="1:34" ht="14.25" customHeight="1">
      <c r="A854" s="13"/>
      <c r="B854" s="13"/>
      <c r="C854" s="13"/>
      <c r="D854" s="13"/>
      <c r="E854" s="13"/>
      <c r="F854" s="13"/>
      <c r="G854" s="13"/>
      <c r="H854" s="13"/>
      <c r="I854" s="116"/>
      <c r="J854" s="12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 spans="1:34" ht="14.25" customHeight="1">
      <c r="A855" s="13"/>
      <c r="B855" s="13"/>
      <c r="C855" s="13"/>
      <c r="D855" s="13"/>
      <c r="E855" s="13"/>
      <c r="F855" s="13"/>
      <c r="G855" s="13"/>
      <c r="H855" s="13"/>
      <c r="I855" s="116"/>
      <c r="J855" s="12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 spans="1:34" ht="14.25" customHeight="1">
      <c r="A856" s="13"/>
      <c r="B856" s="13"/>
      <c r="C856" s="13"/>
      <c r="D856" s="13"/>
      <c r="E856" s="13"/>
      <c r="F856" s="13"/>
      <c r="G856" s="13"/>
      <c r="H856" s="13"/>
      <c r="I856" s="116"/>
      <c r="J856" s="12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 spans="1:34" ht="14.25" customHeight="1">
      <c r="A857" s="13"/>
      <c r="B857" s="13"/>
      <c r="C857" s="13"/>
      <c r="D857" s="13"/>
      <c r="E857" s="13"/>
      <c r="F857" s="13"/>
      <c r="G857" s="13"/>
      <c r="H857" s="13"/>
      <c r="I857" s="116"/>
      <c r="J857" s="12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spans="1:34" ht="14.25" customHeight="1">
      <c r="A858" s="13"/>
      <c r="B858" s="13"/>
      <c r="C858" s="13"/>
      <c r="D858" s="13"/>
      <c r="E858" s="13"/>
      <c r="F858" s="13"/>
      <c r="G858" s="13"/>
      <c r="H858" s="13"/>
      <c r="I858" s="116"/>
      <c r="J858" s="12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 spans="1:34" ht="14.25" customHeight="1">
      <c r="A859" s="13"/>
      <c r="B859" s="13"/>
      <c r="C859" s="13"/>
      <c r="D859" s="13"/>
      <c r="E859" s="13"/>
      <c r="F859" s="13"/>
      <c r="G859" s="13"/>
      <c r="H859" s="13"/>
      <c r="I859" s="116"/>
      <c r="J859" s="12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 spans="1:34" ht="14.25" customHeight="1">
      <c r="A860" s="13"/>
      <c r="B860" s="13"/>
      <c r="C860" s="13"/>
      <c r="D860" s="13"/>
      <c r="E860" s="13"/>
      <c r="F860" s="13"/>
      <c r="G860" s="13"/>
      <c r="H860" s="13"/>
      <c r="I860" s="116"/>
      <c r="J860" s="12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 spans="1:34" ht="14.25" customHeight="1">
      <c r="A861" s="13"/>
      <c r="B861" s="13"/>
      <c r="C861" s="13"/>
      <c r="D861" s="13"/>
      <c r="E861" s="13"/>
      <c r="F861" s="13"/>
      <c r="G861" s="13"/>
      <c r="H861" s="13"/>
      <c r="I861" s="116"/>
      <c r="J861" s="12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 spans="1:34" ht="14.25" customHeight="1">
      <c r="A862" s="13"/>
      <c r="B862" s="13"/>
      <c r="C862" s="13"/>
      <c r="D862" s="13"/>
      <c r="E862" s="13"/>
      <c r="F862" s="13"/>
      <c r="G862" s="13"/>
      <c r="H862" s="13"/>
      <c r="I862" s="116"/>
      <c r="J862" s="12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 spans="1:34" ht="14.25" customHeight="1">
      <c r="A863" s="13"/>
      <c r="B863" s="13"/>
      <c r="C863" s="13"/>
      <c r="D863" s="13"/>
      <c r="E863" s="13"/>
      <c r="F863" s="13"/>
      <c r="G863" s="13"/>
      <c r="H863" s="13"/>
      <c r="I863" s="116"/>
      <c r="J863" s="12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 spans="1:34" ht="14.25" customHeight="1">
      <c r="A864" s="13"/>
      <c r="B864" s="13"/>
      <c r="C864" s="13"/>
      <c r="D864" s="13"/>
      <c r="E864" s="13"/>
      <c r="F864" s="13"/>
      <c r="G864" s="13"/>
      <c r="H864" s="13"/>
      <c r="I864" s="116"/>
      <c r="J864" s="12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 spans="1:34" ht="14.25" customHeight="1">
      <c r="A865" s="13"/>
      <c r="B865" s="13"/>
      <c r="C865" s="13"/>
      <c r="D865" s="13"/>
      <c r="E865" s="13"/>
      <c r="F865" s="13"/>
      <c r="G865" s="13"/>
      <c r="H865" s="13"/>
      <c r="I865" s="116"/>
      <c r="J865" s="12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 spans="1:34" ht="14.25" customHeight="1">
      <c r="A866" s="13"/>
      <c r="B866" s="13"/>
      <c r="C866" s="13"/>
      <c r="D866" s="13"/>
      <c r="E866" s="13"/>
      <c r="F866" s="13"/>
      <c r="G866" s="13"/>
      <c r="H866" s="13"/>
      <c r="I866" s="116"/>
      <c r="J866" s="12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 spans="1:34" ht="14.25" customHeight="1">
      <c r="A867" s="13"/>
      <c r="B867" s="13"/>
      <c r="C867" s="13"/>
      <c r="D867" s="13"/>
      <c r="E867" s="13"/>
      <c r="F867" s="13"/>
      <c r="G867" s="13"/>
      <c r="H867" s="13"/>
      <c r="I867" s="116"/>
      <c r="J867" s="12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 spans="1:34" ht="14.25" customHeight="1">
      <c r="A868" s="13"/>
      <c r="B868" s="13"/>
      <c r="C868" s="13"/>
      <c r="D868" s="13"/>
      <c r="E868" s="13"/>
      <c r="F868" s="13"/>
      <c r="G868" s="13"/>
      <c r="H868" s="13"/>
      <c r="I868" s="116"/>
      <c r="J868" s="12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 spans="1:34" ht="14.25" customHeight="1">
      <c r="A869" s="13"/>
      <c r="B869" s="13"/>
      <c r="C869" s="13"/>
      <c r="D869" s="13"/>
      <c r="E869" s="13"/>
      <c r="F869" s="13"/>
      <c r="G869" s="13"/>
      <c r="H869" s="13"/>
      <c r="I869" s="116"/>
      <c r="J869" s="12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 spans="1:34" ht="14.25" customHeight="1">
      <c r="A870" s="13"/>
      <c r="B870" s="13"/>
      <c r="C870" s="13"/>
      <c r="D870" s="13"/>
      <c r="E870" s="13"/>
      <c r="F870" s="13"/>
      <c r="G870" s="13"/>
      <c r="H870" s="13"/>
      <c r="I870" s="116"/>
      <c r="J870" s="12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 spans="1:34" ht="14.25" customHeight="1">
      <c r="A871" s="13"/>
      <c r="B871" s="13"/>
      <c r="C871" s="13"/>
      <c r="D871" s="13"/>
      <c r="E871" s="13"/>
      <c r="F871" s="13"/>
      <c r="G871" s="13"/>
      <c r="H871" s="13"/>
      <c r="I871" s="116"/>
      <c r="J871" s="12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 spans="1:34" ht="14.25" customHeight="1">
      <c r="A872" s="13"/>
      <c r="B872" s="13"/>
      <c r="C872" s="13"/>
      <c r="D872" s="13"/>
      <c r="E872" s="13"/>
      <c r="F872" s="13"/>
      <c r="G872" s="13"/>
      <c r="H872" s="13"/>
      <c r="I872" s="116"/>
      <c r="J872" s="12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 spans="1:34" ht="14.25" customHeight="1">
      <c r="A873" s="13"/>
      <c r="B873" s="13"/>
      <c r="C873" s="13"/>
      <c r="D873" s="13"/>
      <c r="E873" s="13"/>
      <c r="F873" s="13"/>
      <c r="G873" s="13"/>
      <c r="H873" s="13"/>
      <c r="I873" s="116"/>
      <c r="J873" s="12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 spans="1:34" ht="14.25" customHeight="1">
      <c r="A874" s="13"/>
      <c r="B874" s="13"/>
      <c r="C874" s="13"/>
      <c r="D874" s="13"/>
      <c r="E874" s="13"/>
      <c r="F874" s="13"/>
      <c r="G874" s="13"/>
      <c r="H874" s="13"/>
      <c r="I874" s="116"/>
      <c r="J874" s="12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 spans="1:34" ht="14.25" customHeight="1">
      <c r="A875" s="13"/>
      <c r="B875" s="13"/>
      <c r="C875" s="13"/>
      <c r="D875" s="13"/>
      <c r="E875" s="13"/>
      <c r="F875" s="13"/>
      <c r="G875" s="13"/>
      <c r="H875" s="13"/>
      <c r="I875" s="116"/>
      <c r="J875" s="12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 spans="1:34" ht="14.25" customHeight="1">
      <c r="A876" s="13"/>
      <c r="B876" s="13"/>
      <c r="C876" s="13"/>
      <c r="D876" s="13"/>
      <c r="E876" s="13"/>
      <c r="F876" s="13"/>
      <c r="G876" s="13"/>
      <c r="H876" s="13"/>
      <c r="I876" s="116"/>
      <c r="J876" s="12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 spans="1:34" ht="14.25" customHeight="1">
      <c r="A877" s="13"/>
      <c r="B877" s="13"/>
      <c r="C877" s="13"/>
      <c r="D877" s="13"/>
      <c r="E877" s="13"/>
      <c r="F877" s="13"/>
      <c r="G877" s="13"/>
      <c r="H877" s="13"/>
      <c r="I877" s="116"/>
      <c r="J877" s="12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 spans="1:34" ht="14.25" customHeight="1">
      <c r="A878" s="13"/>
      <c r="B878" s="13"/>
      <c r="C878" s="13"/>
      <c r="D878" s="13"/>
      <c r="E878" s="13"/>
      <c r="F878" s="13"/>
      <c r="G878" s="13"/>
      <c r="H878" s="13"/>
      <c r="I878" s="116"/>
      <c r="J878" s="12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 spans="1:34" ht="14.25" customHeight="1">
      <c r="A879" s="13"/>
      <c r="B879" s="13"/>
      <c r="C879" s="13"/>
      <c r="D879" s="13"/>
      <c r="E879" s="13"/>
      <c r="F879" s="13"/>
      <c r="G879" s="13"/>
      <c r="H879" s="13"/>
      <c r="I879" s="116"/>
      <c r="J879" s="12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 spans="1:34" ht="14.25" customHeight="1">
      <c r="A880" s="13"/>
      <c r="B880" s="13"/>
      <c r="C880" s="13"/>
      <c r="D880" s="13"/>
      <c r="E880" s="13"/>
      <c r="F880" s="13"/>
      <c r="G880" s="13"/>
      <c r="H880" s="13"/>
      <c r="I880" s="116"/>
      <c r="J880" s="12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 spans="1:34" ht="14.25" customHeight="1">
      <c r="A881" s="13"/>
      <c r="B881" s="13"/>
      <c r="C881" s="13"/>
      <c r="D881" s="13"/>
      <c r="E881" s="13"/>
      <c r="F881" s="13"/>
      <c r="G881" s="13"/>
      <c r="H881" s="13"/>
      <c r="I881" s="116"/>
      <c r="J881" s="12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 spans="1:34" ht="14.25" customHeight="1">
      <c r="A882" s="13"/>
      <c r="B882" s="13"/>
      <c r="C882" s="13"/>
      <c r="D882" s="13"/>
      <c r="E882" s="13"/>
      <c r="F882" s="13"/>
      <c r="G882" s="13"/>
      <c r="H882" s="13"/>
      <c r="I882" s="116"/>
      <c r="J882" s="12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 spans="1:34" ht="14.25" customHeight="1">
      <c r="A883" s="13"/>
      <c r="B883" s="13"/>
      <c r="C883" s="13"/>
      <c r="D883" s="13"/>
      <c r="E883" s="13"/>
      <c r="F883" s="13"/>
      <c r="G883" s="13"/>
      <c r="H883" s="13"/>
      <c r="I883" s="116"/>
      <c r="J883" s="12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 spans="1:34" ht="14.25" customHeight="1">
      <c r="A884" s="13"/>
      <c r="B884" s="13"/>
      <c r="C884" s="13"/>
      <c r="D884" s="13"/>
      <c r="E884" s="13"/>
      <c r="F884" s="13"/>
      <c r="G884" s="13"/>
      <c r="H884" s="13"/>
      <c r="I884" s="116"/>
      <c r="J884" s="12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 spans="1:34" ht="14.25" customHeight="1">
      <c r="A885" s="13"/>
      <c r="B885" s="13"/>
      <c r="C885" s="13"/>
      <c r="D885" s="13"/>
      <c r="E885" s="13"/>
      <c r="F885" s="13"/>
      <c r="G885" s="13"/>
      <c r="H885" s="13"/>
      <c r="I885" s="116"/>
      <c r="J885" s="12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 spans="1:34" ht="14.25" customHeight="1">
      <c r="A886" s="13"/>
      <c r="B886" s="13"/>
      <c r="C886" s="13"/>
      <c r="D886" s="13"/>
      <c r="E886" s="13"/>
      <c r="F886" s="13"/>
      <c r="G886" s="13"/>
      <c r="H886" s="13"/>
      <c r="I886" s="116"/>
      <c r="J886" s="12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 spans="1:34" ht="14.25" customHeight="1">
      <c r="A887" s="13"/>
      <c r="B887" s="13"/>
      <c r="C887" s="13"/>
      <c r="D887" s="13"/>
      <c r="E887" s="13"/>
      <c r="F887" s="13"/>
      <c r="G887" s="13"/>
      <c r="H887" s="13"/>
      <c r="I887" s="116"/>
      <c r="J887" s="12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 spans="1:34" ht="14.25" customHeight="1">
      <c r="A888" s="13"/>
      <c r="B888" s="13"/>
      <c r="C888" s="13"/>
      <c r="D888" s="13"/>
      <c r="E888" s="13"/>
      <c r="F888" s="13"/>
      <c r="G888" s="13"/>
      <c r="H888" s="13"/>
      <c r="I888" s="116"/>
      <c r="J888" s="12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 spans="1:34" ht="14.25" customHeight="1">
      <c r="A889" s="13"/>
      <c r="B889" s="13"/>
      <c r="C889" s="13"/>
      <c r="D889" s="13"/>
      <c r="E889" s="13"/>
      <c r="F889" s="13"/>
      <c r="G889" s="13"/>
      <c r="H889" s="13"/>
      <c r="I889" s="116"/>
      <c r="J889" s="12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 spans="1:34" ht="14.25" customHeight="1">
      <c r="A890" s="13"/>
      <c r="B890" s="13"/>
      <c r="C890" s="13"/>
      <c r="D890" s="13"/>
      <c r="E890" s="13"/>
      <c r="F890" s="13"/>
      <c r="G890" s="13"/>
      <c r="H890" s="13"/>
      <c r="I890" s="116"/>
      <c r="J890" s="12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 spans="1:34" ht="14.25" customHeight="1">
      <c r="A891" s="13"/>
      <c r="B891" s="13"/>
      <c r="C891" s="13"/>
      <c r="D891" s="13"/>
      <c r="E891" s="13"/>
      <c r="F891" s="13"/>
      <c r="G891" s="13"/>
      <c r="H891" s="13"/>
      <c r="I891" s="116"/>
      <c r="J891" s="12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 spans="1:34" ht="14.25" customHeight="1">
      <c r="A892" s="13"/>
      <c r="B892" s="13"/>
      <c r="C892" s="13"/>
      <c r="D892" s="13"/>
      <c r="E892" s="13"/>
      <c r="F892" s="13"/>
      <c r="G892" s="13"/>
      <c r="H892" s="13"/>
      <c r="I892" s="116"/>
      <c r="J892" s="12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 spans="1:34" ht="14.25" customHeight="1">
      <c r="A893" s="13"/>
      <c r="B893" s="13"/>
      <c r="C893" s="13"/>
      <c r="D893" s="13"/>
      <c r="E893" s="13"/>
      <c r="F893" s="13"/>
      <c r="G893" s="13"/>
      <c r="H893" s="13"/>
      <c r="I893" s="116"/>
      <c r="J893" s="12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 spans="1:34" ht="14.25" customHeight="1">
      <c r="A894" s="13"/>
      <c r="B894" s="13"/>
      <c r="C894" s="13"/>
      <c r="D894" s="13"/>
      <c r="E894" s="13"/>
      <c r="F894" s="13"/>
      <c r="G894" s="13"/>
      <c r="H894" s="13"/>
      <c r="I894" s="116"/>
      <c r="J894" s="12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 spans="1:34" ht="14.25" customHeight="1">
      <c r="A895" s="13"/>
      <c r="B895" s="13"/>
      <c r="C895" s="13"/>
      <c r="D895" s="13"/>
      <c r="E895" s="13"/>
      <c r="F895" s="13"/>
      <c r="G895" s="13"/>
      <c r="H895" s="13"/>
      <c r="I895" s="116"/>
      <c r="J895" s="12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 spans="1:34" ht="14.25" customHeight="1">
      <c r="A896" s="13"/>
      <c r="B896" s="13"/>
      <c r="C896" s="13"/>
      <c r="D896" s="13"/>
      <c r="E896" s="13"/>
      <c r="F896" s="13"/>
      <c r="G896" s="13"/>
      <c r="H896" s="13"/>
      <c r="I896" s="116"/>
      <c r="J896" s="12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 spans="1:34" ht="14.25" customHeight="1">
      <c r="A897" s="13"/>
      <c r="B897" s="13"/>
      <c r="C897" s="13"/>
      <c r="D897" s="13"/>
      <c r="E897" s="13"/>
      <c r="F897" s="13"/>
      <c r="G897" s="13"/>
      <c r="H897" s="13"/>
      <c r="I897" s="116"/>
      <c r="J897" s="12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 spans="1:34" ht="14.25" customHeight="1">
      <c r="A898" s="13"/>
      <c r="B898" s="13"/>
      <c r="C898" s="13"/>
      <c r="D898" s="13"/>
      <c r="E898" s="13"/>
      <c r="F898" s="13"/>
      <c r="G898" s="13"/>
      <c r="H898" s="13"/>
      <c r="I898" s="116"/>
      <c r="J898" s="12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spans="1:34" ht="14.25" customHeight="1">
      <c r="A899" s="13"/>
      <c r="B899" s="13"/>
      <c r="C899" s="13"/>
      <c r="D899" s="13"/>
      <c r="E899" s="13"/>
      <c r="F899" s="13"/>
      <c r="G899" s="13"/>
      <c r="H899" s="13"/>
      <c r="I899" s="116"/>
      <c r="J899" s="12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 spans="1:34" ht="14.25" customHeight="1">
      <c r="A900" s="13"/>
      <c r="B900" s="13"/>
      <c r="C900" s="13"/>
      <c r="D900" s="13"/>
      <c r="E900" s="13"/>
      <c r="F900" s="13"/>
      <c r="G900" s="13"/>
      <c r="H900" s="13"/>
      <c r="I900" s="116"/>
      <c r="J900" s="12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 spans="1:34" ht="14.25" customHeight="1">
      <c r="A901" s="13"/>
      <c r="B901" s="13"/>
      <c r="C901" s="13"/>
      <c r="D901" s="13"/>
      <c r="E901" s="13"/>
      <c r="F901" s="13"/>
      <c r="G901" s="13"/>
      <c r="H901" s="13"/>
      <c r="I901" s="116"/>
      <c r="J901" s="12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 spans="1:34" ht="14.25" customHeight="1">
      <c r="A902" s="13"/>
      <c r="B902" s="13"/>
      <c r="C902" s="13"/>
      <c r="D902" s="13"/>
      <c r="E902" s="13"/>
      <c r="F902" s="13"/>
      <c r="G902" s="13"/>
      <c r="H902" s="13"/>
      <c r="I902" s="116"/>
      <c r="J902" s="12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 spans="1:34" ht="14.25" customHeight="1">
      <c r="A903" s="13"/>
      <c r="B903" s="13"/>
      <c r="C903" s="13"/>
      <c r="D903" s="13"/>
      <c r="E903" s="13"/>
      <c r="F903" s="13"/>
      <c r="G903" s="13"/>
      <c r="H903" s="13"/>
      <c r="I903" s="116"/>
      <c r="J903" s="12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 spans="1:34" ht="14.25" customHeight="1">
      <c r="A904" s="13"/>
      <c r="B904" s="13"/>
      <c r="C904" s="13"/>
      <c r="D904" s="13"/>
      <c r="E904" s="13"/>
      <c r="F904" s="13"/>
      <c r="G904" s="13"/>
      <c r="H904" s="13"/>
      <c r="I904" s="116"/>
      <c r="J904" s="12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 spans="1:34" ht="14.25" customHeight="1">
      <c r="A905" s="13"/>
      <c r="B905" s="13"/>
      <c r="C905" s="13"/>
      <c r="D905" s="13"/>
      <c r="E905" s="13"/>
      <c r="F905" s="13"/>
      <c r="G905" s="13"/>
      <c r="H905" s="13"/>
      <c r="I905" s="116"/>
      <c r="J905" s="12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 spans="1:34" ht="14.25" customHeight="1">
      <c r="A906" s="13"/>
      <c r="B906" s="13"/>
      <c r="C906" s="13"/>
      <c r="D906" s="13"/>
      <c r="E906" s="13"/>
      <c r="F906" s="13"/>
      <c r="G906" s="13"/>
      <c r="H906" s="13"/>
      <c r="I906" s="116"/>
      <c r="J906" s="12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 spans="1:34" ht="14.25" customHeight="1">
      <c r="A907" s="13"/>
      <c r="B907" s="13"/>
      <c r="C907" s="13"/>
      <c r="D907" s="13"/>
      <c r="E907" s="13"/>
      <c r="F907" s="13"/>
      <c r="G907" s="13"/>
      <c r="H907" s="13"/>
      <c r="I907" s="116"/>
      <c r="J907" s="12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 spans="1:34" ht="14.25" customHeight="1">
      <c r="A908" s="13"/>
      <c r="B908" s="13"/>
      <c r="C908" s="13"/>
      <c r="D908" s="13"/>
      <c r="E908" s="13"/>
      <c r="F908" s="13"/>
      <c r="G908" s="13"/>
      <c r="H908" s="13"/>
      <c r="I908" s="116"/>
      <c r="J908" s="12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 spans="1:34" ht="14.25" customHeight="1">
      <c r="A909" s="13"/>
      <c r="B909" s="13"/>
      <c r="C909" s="13"/>
      <c r="D909" s="13"/>
      <c r="E909" s="13"/>
      <c r="F909" s="13"/>
      <c r="G909" s="13"/>
      <c r="H909" s="13"/>
      <c r="I909" s="116"/>
      <c r="J909" s="12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 spans="1:34" ht="14.25" customHeight="1">
      <c r="A910" s="13"/>
      <c r="B910" s="13"/>
      <c r="C910" s="13"/>
      <c r="D910" s="13"/>
      <c r="E910" s="13"/>
      <c r="F910" s="13"/>
      <c r="G910" s="13"/>
      <c r="H910" s="13"/>
      <c r="I910" s="116"/>
      <c r="J910" s="12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 spans="1:34" ht="14.25" customHeight="1">
      <c r="A911" s="13"/>
      <c r="B911" s="13"/>
      <c r="C911" s="13"/>
      <c r="D911" s="13"/>
      <c r="E911" s="13"/>
      <c r="F911" s="13"/>
      <c r="G911" s="13"/>
      <c r="H911" s="13"/>
      <c r="I911" s="116"/>
      <c r="J911" s="12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 spans="1:34" ht="14.25" customHeight="1">
      <c r="A912" s="13"/>
      <c r="B912" s="13"/>
      <c r="C912" s="13"/>
      <c r="D912" s="13"/>
      <c r="E912" s="13"/>
      <c r="F912" s="13"/>
      <c r="G912" s="13"/>
      <c r="H912" s="13"/>
      <c r="I912" s="116"/>
      <c r="J912" s="12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 spans="1:34" ht="14.25" customHeight="1">
      <c r="A913" s="13"/>
      <c r="B913" s="13"/>
      <c r="C913" s="13"/>
      <c r="D913" s="13"/>
      <c r="E913" s="13"/>
      <c r="F913" s="13"/>
      <c r="G913" s="13"/>
      <c r="H913" s="13"/>
      <c r="I913" s="116"/>
      <c r="J913" s="12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 spans="1:34" ht="14.25" customHeight="1">
      <c r="A914" s="13"/>
      <c r="B914" s="13"/>
      <c r="C914" s="13"/>
      <c r="D914" s="13"/>
      <c r="E914" s="13"/>
      <c r="F914" s="13"/>
      <c r="G914" s="13"/>
      <c r="H914" s="13"/>
      <c r="I914" s="116"/>
      <c r="J914" s="12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 spans="1:34" ht="14.25" customHeight="1">
      <c r="A915" s="13"/>
      <c r="B915" s="13"/>
      <c r="C915" s="13"/>
      <c r="D915" s="13"/>
      <c r="E915" s="13"/>
      <c r="F915" s="13"/>
      <c r="G915" s="13"/>
      <c r="H915" s="13"/>
      <c r="I915" s="116"/>
      <c r="J915" s="12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 spans="1:34" ht="14.25" customHeight="1">
      <c r="A916" s="13"/>
      <c r="B916" s="13"/>
      <c r="C916" s="13"/>
      <c r="D916" s="13"/>
      <c r="E916" s="13"/>
      <c r="F916" s="13"/>
      <c r="G916" s="13"/>
      <c r="H916" s="13"/>
      <c r="I916" s="116"/>
      <c r="J916" s="12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 spans="1:34" ht="14.25" customHeight="1">
      <c r="A917" s="13"/>
      <c r="B917" s="13"/>
      <c r="C917" s="13"/>
      <c r="D917" s="13"/>
      <c r="E917" s="13"/>
      <c r="F917" s="13"/>
      <c r="G917" s="13"/>
      <c r="H917" s="13"/>
      <c r="I917" s="116"/>
      <c r="J917" s="12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 spans="1:34" ht="14.25" customHeight="1">
      <c r="A918" s="13"/>
      <c r="B918" s="13"/>
      <c r="C918" s="13"/>
      <c r="D918" s="13"/>
      <c r="E918" s="13"/>
      <c r="F918" s="13"/>
      <c r="G918" s="13"/>
      <c r="H918" s="13"/>
      <c r="I918" s="116"/>
      <c r="J918" s="12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 spans="1:34" ht="14.25" customHeight="1">
      <c r="A919" s="13"/>
      <c r="B919" s="13"/>
      <c r="C919" s="13"/>
      <c r="D919" s="13"/>
      <c r="E919" s="13"/>
      <c r="F919" s="13"/>
      <c r="G919" s="13"/>
      <c r="H919" s="13"/>
      <c r="I919" s="116"/>
      <c r="J919" s="12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 spans="1:34" ht="14.25" customHeight="1">
      <c r="A920" s="13"/>
      <c r="B920" s="13"/>
      <c r="C920" s="13"/>
      <c r="D920" s="13"/>
      <c r="E920" s="13"/>
      <c r="F920" s="13"/>
      <c r="G920" s="13"/>
      <c r="H920" s="13"/>
      <c r="I920" s="116"/>
      <c r="J920" s="12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 spans="1:34" ht="14.25" customHeight="1">
      <c r="A921" s="13"/>
      <c r="B921" s="13"/>
      <c r="C921" s="13"/>
      <c r="D921" s="13"/>
      <c r="E921" s="13"/>
      <c r="F921" s="13"/>
      <c r="G921" s="13"/>
      <c r="H921" s="13"/>
      <c r="I921" s="116"/>
      <c r="J921" s="12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spans="1:34" ht="14.25" customHeight="1">
      <c r="A922" s="13"/>
      <c r="B922" s="13"/>
      <c r="C922" s="13"/>
      <c r="D922" s="13"/>
      <c r="E922" s="13"/>
      <c r="F922" s="13"/>
      <c r="G922" s="13"/>
      <c r="H922" s="13"/>
      <c r="I922" s="116"/>
      <c r="J922" s="12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 spans="1:34" ht="14.25" customHeight="1">
      <c r="A923" s="13"/>
      <c r="B923" s="13"/>
      <c r="C923" s="13"/>
      <c r="D923" s="13"/>
      <c r="E923" s="13"/>
      <c r="F923" s="13"/>
      <c r="G923" s="13"/>
      <c r="H923" s="13"/>
      <c r="I923" s="116"/>
      <c r="J923" s="12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 spans="1:34" ht="14.25" customHeight="1">
      <c r="A924" s="13"/>
      <c r="B924" s="13"/>
      <c r="C924" s="13"/>
      <c r="D924" s="13"/>
      <c r="E924" s="13"/>
      <c r="F924" s="13"/>
      <c r="G924" s="13"/>
      <c r="H924" s="13"/>
      <c r="I924" s="116"/>
      <c r="J924" s="12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 spans="1:34" ht="14.25" customHeight="1">
      <c r="A925" s="13"/>
      <c r="B925" s="13"/>
      <c r="C925" s="13"/>
      <c r="D925" s="13"/>
      <c r="E925" s="13"/>
      <c r="F925" s="13"/>
      <c r="G925" s="13"/>
      <c r="H925" s="13"/>
      <c r="I925" s="116"/>
      <c r="J925" s="12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 spans="1:34" ht="14.25" customHeight="1">
      <c r="A926" s="13"/>
      <c r="B926" s="13"/>
      <c r="C926" s="13"/>
      <c r="D926" s="13"/>
      <c r="E926" s="13"/>
      <c r="F926" s="13"/>
      <c r="G926" s="13"/>
      <c r="H926" s="13"/>
      <c r="I926" s="116"/>
      <c r="J926" s="12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 spans="1:34" ht="14.25" customHeight="1">
      <c r="A927" s="13"/>
      <c r="B927" s="13"/>
      <c r="C927" s="13"/>
      <c r="D927" s="13"/>
      <c r="E927" s="13"/>
      <c r="F927" s="13"/>
      <c r="G927" s="13"/>
      <c r="H927" s="13"/>
      <c r="I927" s="116"/>
      <c r="J927" s="12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 spans="1:34" ht="14.25" customHeight="1">
      <c r="A928" s="13"/>
      <c r="B928" s="13"/>
      <c r="C928" s="13"/>
      <c r="D928" s="13"/>
      <c r="E928" s="13"/>
      <c r="F928" s="13"/>
      <c r="G928" s="13"/>
      <c r="H928" s="13"/>
      <c r="I928" s="116"/>
      <c r="J928" s="12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 spans="1:34" ht="14.25" customHeight="1">
      <c r="A929" s="13"/>
      <c r="B929" s="13"/>
      <c r="C929" s="13"/>
      <c r="D929" s="13"/>
      <c r="E929" s="13"/>
      <c r="F929" s="13"/>
      <c r="G929" s="13"/>
      <c r="H929" s="13"/>
      <c r="I929" s="116"/>
      <c r="J929" s="12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 spans="1:34" ht="14.25" customHeight="1">
      <c r="A930" s="13"/>
      <c r="B930" s="13"/>
      <c r="C930" s="13"/>
      <c r="D930" s="13"/>
      <c r="E930" s="13"/>
      <c r="F930" s="13"/>
      <c r="G930" s="13"/>
      <c r="H930" s="13"/>
      <c r="I930" s="116"/>
      <c r="J930" s="12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 spans="1:34" ht="14.25" customHeight="1">
      <c r="A931" s="13"/>
      <c r="B931" s="13"/>
      <c r="C931" s="13"/>
      <c r="D931" s="13"/>
      <c r="E931" s="13"/>
      <c r="F931" s="13"/>
      <c r="G931" s="13"/>
      <c r="H931" s="13"/>
      <c r="I931" s="116"/>
      <c r="J931" s="12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 spans="1:34" ht="14.25" customHeight="1">
      <c r="A932" s="13"/>
      <c r="B932" s="13"/>
      <c r="C932" s="13"/>
      <c r="D932" s="13"/>
      <c r="E932" s="13"/>
      <c r="F932" s="13"/>
      <c r="G932" s="13"/>
      <c r="H932" s="13"/>
      <c r="I932" s="116"/>
      <c r="J932" s="12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 spans="1:34" ht="14.25" customHeight="1">
      <c r="A933" s="13"/>
      <c r="B933" s="13"/>
      <c r="C933" s="13"/>
      <c r="D933" s="13"/>
      <c r="E933" s="13"/>
      <c r="F933" s="13"/>
      <c r="G933" s="13"/>
      <c r="H933" s="13"/>
      <c r="I933" s="116"/>
      <c r="J933" s="12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 spans="1:34" ht="14.25" customHeight="1">
      <c r="A934" s="13"/>
      <c r="B934" s="13"/>
      <c r="C934" s="13"/>
      <c r="D934" s="13"/>
      <c r="E934" s="13"/>
      <c r="F934" s="13"/>
      <c r="G934" s="13"/>
      <c r="H934" s="13"/>
      <c r="I934" s="116"/>
      <c r="J934" s="12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 spans="1:34" ht="14.25" customHeight="1">
      <c r="A935" s="13"/>
      <c r="B935" s="13"/>
      <c r="C935" s="13"/>
      <c r="D935" s="13"/>
      <c r="E935" s="13"/>
      <c r="F935" s="13"/>
      <c r="G935" s="13"/>
      <c r="H935" s="13"/>
      <c r="I935" s="116"/>
      <c r="J935" s="12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 spans="1:34" ht="14.25" customHeight="1">
      <c r="A936" s="13"/>
      <c r="B936" s="13"/>
      <c r="C936" s="13"/>
      <c r="D936" s="13"/>
      <c r="E936" s="13"/>
      <c r="F936" s="13"/>
      <c r="G936" s="13"/>
      <c r="H936" s="13"/>
      <c r="I936" s="116"/>
      <c r="J936" s="12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 spans="1:34" ht="14.25" customHeight="1">
      <c r="A937" s="13"/>
      <c r="B937" s="13"/>
      <c r="C937" s="13"/>
      <c r="D937" s="13"/>
      <c r="E937" s="13"/>
      <c r="F937" s="13"/>
      <c r="G937" s="13"/>
      <c r="H937" s="13"/>
      <c r="I937" s="116"/>
      <c r="J937" s="12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spans="1:34" ht="14.25" customHeight="1">
      <c r="A938" s="13"/>
      <c r="B938" s="13"/>
      <c r="C938" s="13"/>
      <c r="D938" s="13"/>
      <c r="E938" s="13"/>
      <c r="F938" s="13"/>
      <c r="G938" s="13"/>
      <c r="H938" s="13"/>
      <c r="I938" s="116"/>
      <c r="J938" s="12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 spans="1:34" ht="14.25" customHeight="1">
      <c r="A939" s="13"/>
      <c r="B939" s="13"/>
      <c r="C939" s="13"/>
      <c r="D939" s="13"/>
      <c r="E939" s="13"/>
      <c r="F939" s="13"/>
      <c r="G939" s="13"/>
      <c r="H939" s="13"/>
      <c r="I939" s="116"/>
      <c r="J939" s="12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 spans="1:34" ht="14.25" customHeight="1">
      <c r="A940" s="13"/>
      <c r="B940" s="13"/>
      <c r="C940" s="13"/>
      <c r="D940" s="13"/>
      <c r="E940" s="13"/>
      <c r="F940" s="13"/>
      <c r="G940" s="13"/>
      <c r="H940" s="13"/>
      <c r="I940" s="116"/>
      <c r="J940" s="12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 spans="1:34" ht="14.25" customHeight="1">
      <c r="A941" s="13"/>
      <c r="B941" s="13"/>
      <c r="C941" s="13"/>
      <c r="D941" s="13"/>
      <c r="E941" s="13"/>
      <c r="F941" s="13"/>
      <c r="G941" s="13"/>
      <c r="H941" s="13"/>
      <c r="I941" s="116"/>
      <c r="J941" s="12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spans="1:34" ht="14.25" customHeight="1">
      <c r="A942" s="13"/>
      <c r="B942" s="13"/>
      <c r="C942" s="13"/>
      <c r="D942" s="13"/>
      <c r="E942" s="13"/>
      <c r="F942" s="13"/>
      <c r="G942" s="13"/>
      <c r="H942" s="13"/>
      <c r="I942" s="116"/>
      <c r="J942" s="12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 spans="1:34" ht="14.25" customHeight="1">
      <c r="A943" s="13"/>
      <c r="B943" s="13"/>
      <c r="C943" s="13"/>
      <c r="D943" s="13"/>
      <c r="E943" s="13"/>
      <c r="F943" s="13"/>
      <c r="G943" s="13"/>
      <c r="H943" s="13"/>
      <c r="I943" s="116"/>
      <c r="J943" s="12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 spans="1:34" ht="14.25" customHeight="1">
      <c r="A944" s="13"/>
      <c r="B944" s="13"/>
      <c r="C944" s="13"/>
      <c r="D944" s="13"/>
      <c r="E944" s="13"/>
      <c r="F944" s="13"/>
      <c r="G944" s="13"/>
      <c r="H944" s="13"/>
      <c r="I944" s="116"/>
      <c r="J944" s="12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 spans="1:34" ht="14.25" customHeight="1">
      <c r="A945" s="13"/>
      <c r="B945" s="13"/>
      <c r="C945" s="13"/>
      <c r="D945" s="13"/>
      <c r="E945" s="13"/>
      <c r="F945" s="13"/>
      <c r="G945" s="13"/>
      <c r="H945" s="13"/>
      <c r="I945" s="116"/>
      <c r="J945" s="12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 spans="1:34" ht="14.25" customHeight="1">
      <c r="A946" s="13"/>
      <c r="B946" s="13"/>
      <c r="C946" s="13"/>
      <c r="D946" s="13"/>
      <c r="E946" s="13"/>
      <c r="F946" s="13"/>
      <c r="G946" s="13"/>
      <c r="H946" s="13"/>
      <c r="I946" s="116"/>
      <c r="J946" s="12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 spans="1:34" ht="14.25" customHeight="1">
      <c r="A947" s="13"/>
      <c r="B947" s="13"/>
      <c r="C947" s="13"/>
      <c r="D947" s="13"/>
      <c r="E947" s="13"/>
      <c r="F947" s="13"/>
      <c r="G947" s="13"/>
      <c r="H947" s="13"/>
      <c r="I947" s="116"/>
      <c r="J947" s="12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 spans="1:34" ht="14.25" customHeight="1">
      <c r="A948" s="13"/>
      <c r="B948" s="13"/>
      <c r="C948" s="13"/>
      <c r="D948" s="13"/>
      <c r="E948" s="13"/>
      <c r="F948" s="13"/>
      <c r="G948" s="13"/>
      <c r="H948" s="13"/>
      <c r="I948" s="116"/>
      <c r="J948" s="12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 spans="1:34" ht="14.25" customHeight="1">
      <c r="A949" s="13"/>
      <c r="B949" s="13"/>
      <c r="C949" s="13"/>
      <c r="D949" s="13"/>
      <c r="E949" s="13"/>
      <c r="F949" s="13"/>
      <c r="G949" s="13"/>
      <c r="H949" s="13"/>
      <c r="I949" s="116"/>
      <c r="J949" s="12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 spans="1:34" ht="14.25" customHeight="1">
      <c r="A950" s="13"/>
      <c r="B950" s="13"/>
      <c r="C950" s="13"/>
      <c r="D950" s="13"/>
      <c r="E950" s="13"/>
      <c r="F950" s="13"/>
      <c r="G950" s="13"/>
      <c r="H950" s="13"/>
      <c r="I950" s="116"/>
      <c r="J950" s="12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 spans="1:34" ht="14.25" customHeight="1">
      <c r="A951" s="13"/>
      <c r="B951" s="13"/>
      <c r="C951" s="13"/>
      <c r="D951" s="13"/>
      <c r="E951" s="13"/>
      <c r="F951" s="13"/>
      <c r="G951" s="13"/>
      <c r="H951" s="13"/>
      <c r="I951" s="116"/>
      <c r="J951" s="12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 spans="1:34" ht="14.25" customHeight="1">
      <c r="A952" s="13"/>
      <c r="B952" s="13"/>
      <c r="C952" s="13"/>
      <c r="D952" s="13"/>
      <c r="E952" s="13"/>
      <c r="F952" s="13"/>
      <c r="G952" s="13"/>
      <c r="H952" s="13"/>
      <c r="I952" s="116"/>
      <c r="J952" s="12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 spans="1:34" ht="14.25" customHeight="1">
      <c r="A953" s="13"/>
      <c r="B953" s="13"/>
      <c r="C953" s="13"/>
      <c r="D953" s="13"/>
      <c r="E953" s="13"/>
      <c r="F953" s="13"/>
      <c r="G953" s="13"/>
      <c r="H953" s="13"/>
      <c r="I953" s="116"/>
      <c r="J953" s="12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 spans="1:34" ht="14.25" customHeight="1">
      <c r="A954" s="13"/>
      <c r="B954" s="13"/>
      <c r="C954" s="13"/>
      <c r="D954" s="13"/>
      <c r="E954" s="13"/>
      <c r="F954" s="13"/>
      <c r="G954" s="13"/>
      <c r="H954" s="13"/>
      <c r="I954" s="116"/>
      <c r="J954" s="12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 spans="1:34" ht="14.25" customHeight="1">
      <c r="A955" s="13"/>
      <c r="B955" s="13"/>
      <c r="C955" s="13"/>
      <c r="D955" s="13"/>
      <c r="E955" s="13"/>
      <c r="F955" s="13"/>
      <c r="G955" s="13"/>
      <c r="H955" s="13"/>
      <c r="I955" s="116"/>
      <c r="J955" s="12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 spans="1:34" ht="14.25" customHeight="1">
      <c r="A956" s="13"/>
      <c r="B956" s="13"/>
      <c r="C956" s="13"/>
      <c r="D956" s="13"/>
      <c r="E956" s="13"/>
      <c r="F956" s="13"/>
      <c r="G956" s="13"/>
      <c r="H956" s="13"/>
      <c r="I956" s="116"/>
      <c r="J956" s="12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 spans="1:34" ht="14.25" customHeight="1">
      <c r="A957" s="13"/>
      <c r="B957" s="13"/>
      <c r="C957" s="13"/>
      <c r="D957" s="13"/>
      <c r="E957" s="13"/>
      <c r="F957" s="13"/>
      <c r="G957" s="13"/>
      <c r="H957" s="13"/>
      <c r="I957" s="116"/>
      <c r="J957" s="12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 spans="1:34" ht="14.25" customHeight="1">
      <c r="A958" s="13"/>
      <c r="B958" s="13"/>
      <c r="C958" s="13"/>
      <c r="D958" s="13"/>
      <c r="E958" s="13"/>
      <c r="F958" s="13"/>
      <c r="G958" s="13"/>
      <c r="H958" s="13"/>
      <c r="I958" s="116"/>
      <c r="J958" s="12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spans="1:34" ht="14.25" customHeight="1">
      <c r="A959" s="13"/>
      <c r="B959" s="13"/>
      <c r="C959" s="13"/>
      <c r="D959" s="13"/>
      <c r="E959" s="13"/>
      <c r="F959" s="13"/>
      <c r="G959" s="13"/>
      <c r="H959" s="13"/>
      <c r="I959" s="116"/>
      <c r="J959" s="12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 spans="1:34" ht="14.25" customHeight="1">
      <c r="A960" s="13"/>
      <c r="B960" s="13"/>
      <c r="C960" s="13"/>
      <c r="D960" s="13"/>
      <c r="E960" s="13"/>
      <c r="F960" s="13"/>
      <c r="G960" s="13"/>
      <c r="H960" s="13"/>
      <c r="I960" s="116"/>
      <c r="J960" s="12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 spans="1:34" ht="14.25" customHeight="1">
      <c r="A961" s="13"/>
      <c r="B961" s="13"/>
      <c r="C961" s="13"/>
      <c r="D961" s="13"/>
      <c r="E961" s="13"/>
      <c r="F961" s="13"/>
      <c r="G961" s="13"/>
      <c r="H961" s="13"/>
      <c r="I961" s="116"/>
      <c r="J961" s="12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 spans="1:34" ht="14.25" customHeight="1">
      <c r="A962" s="13"/>
      <c r="B962" s="13"/>
      <c r="C962" s="13"/>
      <c r="D962" s="13"/>
      <c r="E962" s="13"/>
      <c r="F962" s="13"/>
      <c r="G962" s="13"/>
      <c r="H962" s="13"/>
      <c r="I962" s="116"/>
      <c r="J962" s="12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 spans="1:34" ht="14.25" customHeight="1">
      <c r="A963" s="13"/>
      <c r="B963" s="13"/>
      <c r="C963" s="13"/>
      <c r="D963" s="13"/>
      <c r="E963" s="13"/>
      <c r="F963" s="13"/>
      <c r="G963" s="13"/>
      <c r="H963" s="13"/>
      <c r="I963" s="116"/>
      <c r="J963" s="12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 spans="1:34" ht="14.25" customHeight="1">
      <c r="A964" s="13"/>
      <c r="B964" s="13"/>
      <c r="C964" s="13"/>
      <c r="D964" s="13"/>
      <c r="E964" s="13"/>
      <c r="F964" s="13"/>
      <c r="G964" s="13"/>
      <c r="H964" s="13"/>
      <c r="I964" s="116"/>
      <c r="J964" s="12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 spans="1:34" ht="14.25" customHeight="1">
      <c r="A965" s="13"/>
      <c r="B965" s="13"/>
      <c r="C965" s="13"/>
      <c r="D965" s="13"/>
      <c r="E965" s="13"/>
      <c r="F965" s="13"/>
      <c r="G965" s="13"/>
      <c r="H965" s="13"/>
      <c r="I965" s="116"/>
      <c r="J965" s="12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 spans="1:34" ht="14.25" customHeight="1">
      <c r="A966" s="13"/>
      <c r="B966" s="13"/>
      <c r="C966" s="13"/>
      <c r="D966" s="13"/>
      <c r="E966" s="13"/>
      <c r="F966" s="13"/>
      <c r="G966" s="13"/>
      <c r="H966" s="13"/>
      <c r="I966" s="116"/>
      <c r="J966" s="12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 spans="1:34" ht="14.25" customHeight="1">
      <c r="A967" s="13"/>
      <c r="B967" s="13"/>
      <c r="C967" s="13"/>
      <c r="D967" s="13"/>
      <c r="E967" s="13"/>
      <c r="F967" s="13"/>
      <c r="G967" s="13"/>
      <c r="H967" s="13"/>
      <c r="I967" s="116"/>
      <c r="J967" s="12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 spans="1:34" ht="14.25" customHeight="1">
      <c r="A968" s="13"/>
      <c r="B968" s="13"/>
      <c r="C968" s="13"/>
      <c r="D968" s="13"/>
      <c r="E968" s="13"/>
      <c r="F968" s="13"/>
      <c r="G968" s="13"/>
      <c r="H968" s="13"/>
      <c r="I968" s="116"/>
      <c r="J968" s="12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 spans="1:34" ht="14.25" customHeight="1">
      <c r="A969" s="13"/>
      <c r="B969" s="13"/>
      <c r="C969" s="13"/>
      <c r="D969" s="13"/>
      <c r="E969" s="13"/>
      <c r="F969" s="13"/>
      <c r="G969" s="13"/>
      <c r="H969" s="13"/>
      <c r="I969" s="116"/>
      <c r="J969" s="12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 spans="1:34" ht="14.25" customHeight="1">
      <c r="A970" s="13"/>
      <c r="B970" s="13"/>
      <c r="C970" s="13"/>
      <c r="D970" s="13"/>
      <c r="E970" s="13"/>
      <c r="F970" s="13"/>
      <c r="G970" s="13"/>
      <c r="H970" s="13"/>
      <c r="I970" s="116"/>
      <c r="J970" s="12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 spans="1:34" ht="14.25" customHeight="1">
      <c r="A971" s="13"/>
      <c r="B971" s="13"/>
      <c r="C971" s="13"/>
      <c r="D971" s="13"/>
      <c r="E971" s="13"/>
      <c r="F971" s="13"/>
      <c r="G971" s="13"/>
      <c r="H971" s="13"/>
      <c r="I971" s="116"/>
      <c r="J971" s="12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 spans="1:34" ht="14.25" customHeight="1">
      <c r="A972" s="13"/>
      <c r="B972" s="13"/>
      <c r="C972" s="13"/>
      <c r="D972" s="13"/>
      <c r="E972" s="13"/>
      <c r="F972" s="13"/>
      <c r="G972" s="13"/>
      <c r="H972" s="13"/>
      <c r="I972" s="116"/>
      <c r="J972" s="12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 spans="1:34" ht="14.25" customHeight="1">
      <c r="A973" s="13"/>
      <c r="B973" s="13"/>
      <c r="C973" s="13"/>
      <c r="D973" s="13"/>
      <c r="E973" s="13"/>
      <c r="F973" s="13"/>
      <c r="G973" s="13"/>
      <c r="H973" s="13"/>
      <c r="I973" s="116"/>
      <c r="J973" s="12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spans="1:34" ht="14.25" customHeight="1">
      <c r="A974" s="13"/>
      <c r="B974" s="13"/>
      <c r="C974" s="13"/>
      <c r="D974" s="13"/>
      <c r="E974" s="13"/>
      <c r="F974" s="13"/>
      <c r="G974" s="13"/>
      <c r="H974" s="13"/>
      <c r="I974" s="116"/>
      <c r="J974" s="12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 spans="1:34" ht="14.25" customHeight="1">
      <c r="A975" s="13"/>
      <c r="B975" s="13"/>
      <c r="C975" s="13"/>
      <c r="D975" s="13"/>
      <c r="E975" s="13"/>
      <c r="F975" s="13"/>
      <c r="G975" s="13"/>
      <c r="H975" s="13"/>
      <c r="I975" s="116"/>
      <c r="J975" s="12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 spans="1:34" ht="14.25" customHeight="1">
      <c r="A976" s="13"/>
      <c r="B976" s="13"/>
      <c r="C976" s="13"/>
      <c r="D976" s="13"/>
      <c r="E976" s="13"/>
      <c r="F976" s="13"/>
      <c r="G976" s="13"/>
      <c r="H976" s="13"/>
      <c r="I976" s="116"/>
      <c r="J976" s="12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 spans="1:34" ht="14.25" customHeight="1">
      <c r="A977" s="13"/>
      <c r="B977" s="13"/>
      <c r="C977" s="13"/>
      <c r="D977" s="13"/>
      <c r="E977" s="13"/>
      <c r="F977" s="13"/>
      <c r="G977" s="13"/>
      <c r="H977" s="13"/>
      <c r="I977" s="116"/>
      <c r="J977" s="12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 spans="1:34" ht="14.25" customHeight="1">
      <c r="A978" s="13"/>
      <c r="B978" s="13"/>
      <c r="C978" s="13"/>
      <c r="D978" s="13"/>
      <c r="E978" s="13"/>
      <c r="F978" s="13"/>
      <c r="G978" s="13"/>
      <c r="H978" s="13"/>
      <c r="I978" s="116"/>
      <c r="J978" s="12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 spans="1:34" ht="14.25" customHeight="1">
      <c r="A979" s="13"/>
      <c r="B979" s="13"/>
      <c r="C979" s="13"/>
      <c r="D979" s="13"/>
      <c r="E979" s="13"/>
      <c r="F979" s="13"/>
      <c r="G979" s="13"/>
      <c r="H979" s="13"/>
      <c r="I979" s="116"/>
      <c r="J979" s="12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 spans="1:34" ht="14.25" customHeight="1">
      <c r="A980" s="13"/>
      <c r="B980" s="13"/>
      <c r="C980" s="13"/>
      <c r="D980" s="13"/>
      <c r="E980" s="13"/>
      <c r="F980" s="13"/>
      <c r="G980" s="13"/>
      <c r="H980" s="13"/>
      <c r="I980" s="116"/>
      <c r="J980" s="12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 spans="1:34" ht="14.25" customHeight="1">
      <c r="A981" s="13"/>
      <c r="B981" s="13"/>
      <c r="C981" s="13"/>
      <c r="D981" s="13"/>
      <c r="E981" s="13"/>
      <c r="F981" s="13"/>
      <c r="G981" s="13"/>
      <c r="H981" s="13"/>
      <c r="I981" s="116"/>
      <c r="J981" s="12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 spans="1:34" ht="14.25" customHeight="1">
      <c r="A982" s="13"/>
      <c r="B982" s="13"/>
      <c r="C982" s="13"/>
      <c r="D982" s="13"/>
      <c r="E982" s="13"/>
      <c r="F982" s="13"/>
      <c r="G982" s="13"/>
      <c r="H982" s="13"/>
      <c r="I982" s="116"/>
      <c r="J982" s="12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 spans="1:34" ht="14.25" customHeight="1">
      <c r="A983" s="13"/>
      <c r="B983" s="13"/>
      <c r="C983" s="13"/>
      <c r="D983" s="13"/>
      <c r="E983" s="13"/>
      <c r="F983" s="13"/>
      <c r="G983" s="13"/>
      <c r="H983" s="13"/>
      <c r="I983" s="116"/>
      <c r="J983" s="12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spans="1:34" ht="14.25" customHeight="1">
      <c r="A984" s="13"/>
      <c r="B984" s="13"/>
      <c r="C984" s="13"/>
      <c r="D984" s="13"/>
      <c r="E984" s="13"/>
      <c r="F984" s="13"/>
      <c r="G984" s="13"/>
      <c r="H984" s="13"/>
      <c r="I984" s="116"/>
      <c r="J984" s="12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 spans="1:34" ht="14.25" customHeight="1">
      <c r="A985" s="13"/>
      <c r="B985" s="13"/>
      <c r="C985" s="13"/>
      <c r="D985" s="13"/>
      <c r="E985" s="13"/>
      <c r="F985" s="13"/>
      <c r="G985" s="13"/>
      <c r="H985" s="13"/>
      <c r="I985" s="116"/>
      <c r="J985" s="12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 spans="1:34" ht="14.25" customHeight="1">
      <c r="A986" s="13"/>
      <c r="B986" s="13"/>
      <c r="C986" s="13"/>
      <c r="D986" s="13"/>
      <c r="E986" s="13"/>
      <c r="F986" s="13"/>
      <c r="G986" s="13"/>
      <c r="H986" s="13"/>
      <c r="I986" s="116"/>
      <c r="J986" s="12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 spans="1:34" ht="14.25" customHeight="1">
      <c r="A987" s="13"/>
      <c r="B987" s="13"/>
      <c r="C987" s="13"/>
      <c r="D987" s="13"/>
      <c r="E987" s="13"/>
      <c r="F987" s="13"/>
      <c r="G987" s="13"/>
      <c r="H987" s="13"/>
      <c r="I987" s="116"/>
      <c r="J987" s="12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 spans="1:34" ht="14.25" customHeight="1">
      <c r="A988" s="13"/>
      <c r="B988" s="13"/>
      <c r="C988" s="13"/>
      <c r="D988" s="13"/>
      <c r="E988" s="13"/>
      <c r="F988" s="13"/>
      <c r="G988" s="13"/>
      <c r="H988" s="13"/>
      <c r="I988" s="116"/>
      <c r="J988" s="12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 spans="1:34" ht="14.25" customHeight="1">
      <c r="A989" s="13"/>
      <c r="B989" s="13"/>
      <c r="C989" s="13"/>
      <c r="D989" s="13"/>
      <c r="E989" s="13"/>
      <c r="F989" s="13"/>
      <c r="G989" s="13"/>
      <c r="H989" s="13"/>
      <c r="I989" s="116"/>
      <c r="J989" s="12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 spans="1:34" ht="14.25" customHeight="1">
      <c r="A990" s="13"/>
      <c r="B990" s="13"/>
      <c r="C990" s="13"/>
      <c r="D990" s="13"/>
      <c r="E990" s="13"/>
      <c r="F990" s="13"/>
      <c r="G990" s="13"/>
      <c r="H990" s="13"/>
      <c r="I990" s="116"/>
      <c r="J990" s="12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 spans="1:34" ht="14.25" customHeight="1">
      <c r="A991" s="13"/>
      <c r="B991" s="13"/>
      <c r="C991" s="13"/>
      <c r="D991" s="13"/>
      <c r="E991" s="13"/>
      <c r="F991" s="13"/>
      <c r="G991" s="13"/>
      <c r="H991" s="13"/>
      <c r="I991" s="116"/>
      <c r="J991" s="12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 spans="1:34" ht="14.25" customHeight="1">
      <c r="A992" s="13"/>
      <c r="B992" s="13"/>
      <c r="C992" s="13"/>
      <c r="D992" s="13"/>
      <c r="E992" s="13"/>
      <c r="F992" s="13"/>
      <c r="G992" s="13"/>
      <c r="H992" s="13"/>
      <c r="I992" s="116"/>
      <c r="J992" s="12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 spans="1:34" ht="14.25" customHeight="1">
      <c r="A993" s="13"/>
      <c r="B993" s="13"/>
      <c r="C993" s="13"/>
      <c r="D993" s="13"/>
      <c r="E993" s="13"/>
      <c r="F993" s="13"/>
      <c r="G993" s="13"/>
      <c r="H993" s="13"/>
      <c r="I993" s="116"/>
      <c r="J993" s="12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 spans="1:34" ht="14.25" customHeight="1">
      <c r="A994" s="13"/>
      <c r="B994" s="13"/>
      <c r="C994" s="13"/>
      <c r="D994" s="13"/>
      <c r="E994" s="13"/>
      <c r="F994" s="13"/>
      <c r="G994" s="13"/>
      <c r="H994" s="13"/>
      <c r="I994" s="116"/>
      <c r="J994" s="12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spans="1:34" ht="14.25" customHeight="1">
      <c r="A995" s="13"/>
      <c r="B995" s="13"/>
      <c r="C995" s="13"/>
      <c r="D995" s="13"/>
      <c r="E995" s="13"/>
      <c r="F995" s="13"/>
      <c r="G995" s="13"/>
      <c r="H995" s="13"/>
      <c r="I995" s="116"/>
      <c r="J995" s="12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 spans="1:34" ht="14.25" customHeight="1">
      <c r="A996" s="13"/>
      <c r="B996" s="13"/>
      <c r="C996" s="13"/>
      <c r="D996" s="13"/>
      <c r="E996" s="13"/>
      <c r="F996" s="13"/>
      <c r="G996" s="13"/>
      <c r="H996" s="13"/>
      <c r="I996" s="116"/>
      <c r="J996" s="12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 spans="1:34" ht="14.25" customHeight="1">
      <c r="A997" s="13"/>
      <c r="B997" s="13"/>
      <c r="C997" s="13"/>
      <c r="D997" s="13"/>
      <c r="E997" s="13"/>
      <c r="F997" s="13"/>
      <c r="G997" s="13"/>
      <c r="H997" s="13"/>
      <c r="I997" s="116"/>
      <c r="J997" s="12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 spans="1:34" ht="14.25" customHeight="1">
      <c r="A998" s="13"/>
      <c r="B998" s="13"/>
      <c r="C998" s="13"/>
      <c r="D998" s="13"/>
      <c r="E998" s="13"/>
      <c r="F998" s="13"/>
      <c r="G998" s="13"/>
      <c r="H998" s="13"/>
      <c r="I998" s="116"/>
      <c r="J998" s="12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</row>
    <row r="999" spans="1:34" ht="14.25" customHeight="1">
      <c r="A999" s="13"/>
      <c r="B999" s="13"/>
      <c r="C999" s="13"/>
      <c r="D999" s="13"/>
      <c r="E999" s="13"/>
      <c r="F999" s="13"/>
      <c r="G999" s="13"/>
      <c r="H999" s="13"/>
      <c r="I999" s="116"/>
      <c r="J999" s="12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</row>
    <row r="1000" spans="1:34" ht="14.25" customHeight="1">
      <c r="A1000" s="13"/>
      <c r="B1000" s="13"/>
      <c r="C1000" s="13"/>
      <c r="D1000" s="13"/>
      <c r="E1000" s="13"/>
      <c r="F1000" s="13"/>
      <c r="G1000" s="13"/>
      <c r="H1000" s="13"/>
      <c r="I1000" s="116"/>
      <c r="J1000" s="12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</row>
  </sheetData>
  <autoFilter ref="A2:J361" xr:uid="{00000000-0009-0000-0000-000004000000}"/>
  <mergeCells count="1">
    <mergeCell ref="A1:H1"/>
  </mergeCells>
  <dataValidations count="1">
    <dataValidation type="list" allowBlank="1" showErrorMessage="1" sqref="F3:F361" xr:uid="{00000000-0002-0000-0400-000000000000}">
      <formula1>"Кировский,Пушкинский,Московский,Приморский,Калининский,Фрунзенский,Колпинский,Невский,Петроградский,Василеостровский,Выборгский,Центральный,Адмиралтейский,Курортный,Красногвардейский,Комитет,Красносельский,Петродворцовый,Кронштадский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workbookViewId="0"/>
  </sheetViews>
  <sheetFormatPr defaultColWidth="12.5703125" defaultRowHeight="15" customHeight="1"/>
  <cols>
    <col min="1" max="1" width="5.5703125" customWidth="1"/>
    <col min="2" max="2" width="6.7109375" customWidth="1"/>
    <col min="3" max="3" width="11.42578125" customWidth="1"/>
    <col min="4" max="4" width="12.42578125" customWidth="1"/>
    <col min="5" max="5" width="10.85546875" customWidth="1"/>
    <col min="6" max="6" width="16.85546875" customWidth="1"/>
    <col min="7" max="7" width="11.42578125" customWidth="1"/>
    <col min="8" max="8" width="15.85546875" customWidth="1"/>
    <col min="9" max="9" width="24.42578125" customWidth="1"/>
    <col min="10" max="10" width="18.85546875" customWidth="1"/>
    <col min="11" max="11" width="13.140625" customWidth="1"/>
    <col min="12" max="29" width="11.5703125" customWidth="1"/>
  </cols>
  <sheetData>
    <row r="1" spans="1:29" ht="14.25" customHeight="1">
      <c r="A1" s="179" t="s">
        <v>395</v>
      </c>
      <c r="B1" s="180"/>
      <c r="C1" s="180"/>
      <c r="D1" s="180"/>
      <c r="E1" s="180"/>
      <c r="F1" s="180"/>
      <c r="G1" s="180"/>
      <c r="H1" s="181"/>
      <c r="I1" s="143"/>
      <c r="J1" s="144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ht="14.25" customHeight="1">
      <c r="A2" s="16" t="s">
        <v>11</v>
      </c>
      <c r="B2" s="16" t="s">
        <v>13</v>
      </c>
      <c r="C2" s="16" t="s">
        <v>14</v>
      </c>
      <c r="D2" s="16" t="s">
        <v>15</v>
      </c>
      <c r="E2" s="16" t="s">
        <v>16</v>
      </c>
      <c r="F2" s="16" t="s">
        <v>17</v>
      </c>
      <c r="G2" s="16" t="s">
        <v>18</v>
      </c>
      <c r="H2" s="145" t="s">
        <v>9</v>
      </c>
      <c r="I2" s="117" t="s">
        <v>19</v>
      </c>
      <c r="J2" s="19" t="s">
        <v>24</v>
      </c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</row>
    <row r="3" spans="1:29" ht="14.25" customHeight="1">
      <c r="A3" s="23">
        <v>1</v>
      </c>
      <c r="B3" s="23" t="s">
        <v>399</v>
      </c>
      <c r="C3" s="23">
        <v>1</v>
      </c>
      <c r="D3" s="25">
        <v>12.7</v>
      </c>
      <c r="E3" s="25">
        <v>10.7</v>
      </c>
      <c r="F3" s="25" t="s">
        <v>112</v>
      </c>
      <c r="G3" s="111" t="s">
        <v>104</v>
      </c>
      <c r="H3" s="128"/>
      <c r="I3" s="127"/>
      <c r="J3" s="128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ht="14.25" customHeight="1">
      <c r="A4" s="23">
        <v>2</v>
      </c>
      <c r="B4" s="23" t="s">
        <v>399</v>
      </c>
      <c r="C4" s="23">
        <v>2</v>
      </c>
      <c r="D4" s="25">
        <v>16.7</v>
      </c>
      <c r="E4" s="25" t="s">
        <v>61</v>
      </c>
      <c r="F4" s="25" t="s">
        <v>118</v>
      </c>
      <c r="G4" s="74"/>
      <c r="H4" s="128"/>
      <c r="I4" s="127"/>
      <c r="J4" s="128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ht="14.25" customHeight="1">
      <c r="A5" s="23">
        <v>3</v>
      </c>
      <c r="B5" s="23" t="s">
        <v>399</v>
      </c>
      <c r="C5" s="23">
        <v>3</v>
      </c>
      <c r="D5" s="25">
        <v>17.100000000000001</v>
      </c>
      <c r="E5" s="25">
        <v>10.9</v>
      </c>
      <c r="F5" s="25" t="s">
        <v>47</v>
      </c>
      <c r="G5" s="111" t="s">
        <v>104</v>
      </c>
      <c r="H5" s="128"/>
      <c r="I5" s="127"/>
      <c r="J5" s="128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ht="14.25" customHeight="1">
      <c r="A6" s="23">
        <v>4</v>
      </c>
      <c r="B6" s="23" t="s">
        <v>401</v>
      </c>
      <c r="C6" s="23">
        <v>1</v>
      </c>
      <c r="D6" s="25">
        <v>13.2</v>
      </c>
      <c r="E6" s="25">
        <v>10.4</v>
      </c>
      <c r="F6" s="25" t="s">
        <v>77</v>
      </c>
      <c r="G6" s="147" t="s">
        <v>54</v>
      </c>
      <c r="H6" s="128"/>
      <c r="I6" s="127"/>
      <c r="J6" s="128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ht="14.25" customHeight="1">
      <c r="A7" s="23">
        <v>5</v>
      </c>
      <c r="B7" s="23" t="s">
        <v>401</v>
      </c>
      <c r="C7" s="23">
        <v>2</v>
      </c>
      <c r="D7" s="25">
        <v>16.100000000000001</v>
      </c>
      <c r="E7" s="25" t="s">
        <v>61</v>
      </c>
      <c r="F7" s="25" t="s">
        <v>55</v>
      </c>
      <c r="G7" s="111" t="s">
        <v>104</v>
      </c>
      <c r="H7" s="128"/>
      <c r="I7" s="127"/>
      <c r="J7" s="128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ht="14.25" customHeight="1">
      <c r="A8" s="23">
        <v>6</v>
      </c>
      <c r="B8" s="23" t="s">
        <v>401</v>
      </c>
      <c r="C8" s="23">
        <v>3</v>
      </c>
      <c r="D8" s="25">
        <v>15.5</v>
      </c>
      <c r="E8" s="25">
        <v>10</v>
      </c>
      <c r="F8" s="25" t="s">
        <v>55</v>
      </c>
      <c r="G8" s="111" t="s">
        <v>104</v>
      </c>
      <c r="H8" s="128"/>
      <c r="I8" s="127"/>
      <c r="J8" s="128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ht="14.25" customHeight="1">
      <c r="A9" s="23">
        <v>7</v>
      </c>
      <c r="B9" s="23" t="s">
        <v>404</v>
      </c>
      <c r="C9" s="23">
        <v>1</v>
      </c>
      <c r="D9" s="25">
        <v>12.6</v>
      </c>
      <c r="E9" s="25">
        <v>10.4</v>
      </c>
      <c r="F9" s="25" t="s">
        <v>88</v>
      </c>
      <c r="G9" s="111" t="s">
        <v>104</v>
      </c>
      <c r="H9" s="128"/>
      <c r="I9" s="127"/>
      <c r="J9" s="128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ht="14.25" customHeight="1">
      <c r="A10" s="23">
        <v>8</v>
      </c>
      <c r="B10" s="23" t="s">
        <v>404</v>
      </c>
      <c r="C10" s="23">
        <v>2</v>
      </c>
      <c r="D10" s="25">
        <v>16.600000000000001</v>
      </c>
      <c r="E10" s="25" t="s">
        <v>61</v>
      </c>
      <c r="F10" s="25" t="s">
        <v>55</v>
      </c>
      <c r="G10" s="111" t="s">
        <v>104</v>
      </c>
      <c r="H10" s="128"/>
      <c r="I10" s="127"/>
      <c r="J10" s="128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ht="14.25" customHeight="1">
      <c r="A11" s="23">
        <v>9</v>
      </c>
      <c r="B11" s="23" t="s">
        <v>404</v>
      </c>
      <c r="C11" s="23">
        <v>3</v>
      </c>
      <c r="D11" s="25">
        <v>16.899999999999999</v>
      </c>
      <c r="E11" s="25">
        <v>10.199999999999999</v>
      </c>
      <c r="F11" s="25" t="s">
        <v>55</v>
      </c>
      <c r="G11" s="111" t="s">
        <v>104</v>
      </c>
      <c r="H11" s="128"/>
      <c r="I11" s="127"/>
      <c r="J11" s="128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ht="14.25" customHeight="1">
      <c r="A12" s="23">
        <v>10</v>
      </c>
      <c r="B12" s="23" t="s">
        <v>406</v>
      </c>
      <c r="C12" s="23">
        <v>1</v>
      </c>
      <c r="D12" s="25">
        <v>16.899999999999999</v>
      </c>
      <c r="E12" s="25">
        <v>11</v>
      </c>
      <c r="F12" s="25" t="s">
        <v>118</v>
      </c>
      <c r="G12" s="147" t="s">
        <v>54</v>
      </c>
      <c r="H12" s="128"/>
      <c r="I12" s="127"/>
      <c r="J12" s="128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ht="14.25" customHeight="1">
      <c r="A13" s="23">
        <v>11</v>
      </c>
      <c r="B13" s="23" t="s">
        <v>406</v>
      </c>
      <c r="C13" s="23">
        <v>2</v>
      </c>
      <c r="D13" s="25">
        <v>17</v>
      </c>
      <c r="E13" s="25" t="s">
        <v>61</v>
      </c>
      <c r="F13" s="25" t="s">
        <v>118</v>
      </c>
      <c r="G13" s="147" t="s">
        <v>54</v>
      </c>
      <c r="H13" s="128"/>
      <c r="I13" s="127"/>
      <c r="J13" s="128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ht="14.25" customHeight="1">
      <c r="A14" s="23">
        <v>12</v>
      </c>
      <c r="B14" s="23" t="s">
        <v>406</v>
      </c>
      <c r="C14" s="23">
        <v>3</v>
      </c>
      <c r="D14" s="25">
        <v>12.8</v>
      </c>
      <c r="E14" s="25">
        <v>10.9</v>
      </c>
      <c r="F14" s="25" t="s">
        <v>55</v>
      </c>
      <c r="G14" s="111" t="s">
        <v>104</v>
      </c>
      <c r="H14" s="128"/>
      <c r="I14" s="127"/>
      <c r="J14" s="128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ht="14.25" customHeight="1">
      <c r="A15" s="23">
        <v>13</v>
      </c>
      <c r="B15" s="23" t="s">
        <v>408</v>
      </c>
      <c r="C15" s="23">
        <v>1</v>
      </c>
      <c r="D15" s="25">
        <v>16.5</v>
      </c>
      <c r="E15" s="25">
        <v>10.8</v>
      </c>
      <c r="F15" s="25" t="s">
        <v>89</v>
      </c>
      <c r="G15" s="111" t="s">
        <v>104</v>
      </c>
      <c r="H15" s="128"/>
      <c r="I15" s="127"/>
      <c r="J15" s="128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 ht="14.25" customHeight="1">
      <c r="A16" s="23">
        <v>14</v>
      </c>
      <c r="B16" s="23" t="s">
        <v>408</v>
      </c>
      <c r="C16" s="23">
        <v>2</v>
      </c>
      <c r="D16" s="25">
        <v>15.9</v>
      </c>
      <c r="E16" s="25" t="s">
        <v>61</v>
      </c>
      <c r="F16" s="25" t="s">
        <v>89</v>
      </c>
      <c r="G16" s="111" t="s">
        <v>104</v>
      </c>
      <c r="H16" s="128"/>
      <c r="I16" s="127"/>
      <c r="J16" s="128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 ht="14.25" customHeight="1">
      <c r="A17" s="23">
        <v>15</v>
      </c>
      <c r="B17" s="23" t="s">
        <v>408</v>
      </c>
      <c r="C17" s="23">
        <v>3</v>
      </c>
      <c r="D17" s="25">
        <v>12.8</v>
      </c>
      <c r="E17" s="25">
        <v>10.7</v>
      </c>
      <c r="F17" s="25" t="s">
        <v>69</v>
      </c>
      <c r="G17" s="41" t="s">
        <v>104</v>
      </c>
      <c r="H17" s="128"/>
      <c r="I17" s="127"/>
      <c r="J17" s="128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 ht="14.25" customHeight="1">
      <c r="A18" s="23">
        <v>16</v>
      </c>
      <c r="B18" s="23" t="s">
        <v>411</v>
      </c>
      <c r="C18" s="23">
        <v>1</v>
      </c>
      <c r="D18" s="25">
        <v>16.399999999999999</v>
      </c>
      <c r="E18" s="25">
        <v>10.6</v>
      </c>
      <c r="F18" s="25" t="s">
        <v>164</v>
      </c>
      <c r="G18" s="25"/>
      <c r="H18" s="150" t="s">
        <v>413</v>
      </c>
      <c r="I18" s="127"/>
      <c r="J18" s="128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ht="14.25" customHeight="1">
      <c r="A19" s="23">
        <v>17</v>
      </c>
      <c r="B19" s="23" t="s">
        <v>411</v>
      </c>
      <c r="C19" s="23">
        <v>2</v>
      </c>
      <c r="D19" s="25">
        <v>16.899999999999999</v>
      </c>
      <c r="E19" s="25" t="s">
        <v>61</v>
      </c>
      <c r="F19" s="25" t="s">
        <v>62</v>
      </c>
      <c r="G19" s="147" t="s">
        <v>54</v>
      </c>
      <c r="H19" s="128"/>
      <c r="I19" s="127"/>
      <c r="J19" s="128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 ht="14.25" customHeight="1">
      <c r="A20" s="23">
        <v>18</v>
      </c>
      <c r="B20" s="23" t="s">
        <v>411</v>
      </c>
      <c r="C20" s="23">
        <v>3</v>
      </c>
      <c r="D20" s="25">
        <v>13.5</v>
      </c>
      <c r="E20" s="25">
        <v>10.8</v>
      </c>
      <c r="F20" s="25" t="s">
        <v>36</v>
      </c>
      <c r="G20" s="111" t="s">
        <v>104</v>
      </c>
      <c r="H20" s="128"/>
      <c r="I20" s="127"/>
      <c r="J20" s="128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 ht="14.25" customHeight="1">
      <c r="A21" s="23">
        <v>19</v>
      </c>
      <c r="B21" s="23" t="s">
        <v>416</v>
      </c>
      <c r="C21" s="23">
        <v>1</v>
      </c>
      <c r="D21" s="25">
        <v>11.4</v>
      </c>
      <c r="E21" s="25">
        <v>10.7</v>
      </c>
      <c r="F21" s="25" t="s">
        <v>69</v>
      </c>
      <c r="G21" s="41" t="s">
        <v>104</v>
      </c>
      <c r="H21" s="128"/>
      <c r="I21" s="127"/>
      <c r="J21" s="128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ht="14.25" customHeight="1">
      <c r="A22" s="23">
        <v>20</v>
      </c>
      <c r="B22" s="23" t="s">
        <v>416</v>
      </c>
      <c r="C22" s="23">
        <v>2</v>
      </c>
      <c r="D22" s="25">
        <v>16.2</v>
      </c>
      <c r="E22" s="25" t="s">
        <v>61</v>
      </c>
      <c r="F22" s="25" t="s">
        <v>89</v>
      </c>
      <c r="G22" s="111" t="s">
        <v>104</v>
      </c>
      <c r="H22" s="128"/>
      <c r="I22" s="127"/>
      <c r="J22" s="128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 ht="14.25" customHeight="1">
      <c r="A23" s="23">
        <v>21</v>
      </c>
      <c r="B23" s="23" t="s">
        <v>416</v>
      </c>
      <c r="C23" s="23">
        <v>3</v>
      </c>
      <c r="D23" s="25">
        <v>16.399999999999999</v>
      </c>
      <c r="E23" s="25">
        <v>10.7</v>
      </c>
      <c r="F23" s="25" t="s">
        <v>89</v>
      </c>
      <c r="G23" s="111" t="s">
        <v>104</v>
      </c>
      <c r="H23" s="128"/>
      <c r="I23" s="127"/>
      <c r="J23" s="128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ht="14.25" customHeight="1">
      <c r="A24" s="23">
        <v>22</v>
      </c>
      <c r="B24" s="23" t="s">
        <v>419</v>
      </c>
      <c r="C24" s="23">
        <v>1</v>
      </c>
      <c r="D24" s="25">
        <v>17.100000000000001</v>
      </c>
      <c r="E24" s="25">
        <v>10.4</v>
      </c>
      <c r="F24" s="25" t="s">
        <v>55</v>
      </c>
      <c r="G24" s="111" t="s">
        <v>104</v>
      </c>
      <c r="H24" s="128"/>
      <c r="I24" s="127"/>
      <c r="J24" s="128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ht="14.25" customHeight="1">
      <c r="A25" s="23">
        <v>23</v>
      </c>
      <c r="B25" s="23" t="s">
        <v>419</v>
      </c>
      <c r="C25" s="23">
        <v>2</v>
      </c>
      <c r="D25" s="25">
        <v>16.8</v>
      </c>
      <c r="E25" s="25" t="s">
        <v>61</v>
      </c>
      <c r="F25" s="41" t="s">
        <v>112</v>
      </c>
      <c r="G25" s="111" t="s">
        <v>104</v>
      </c>
      <c r="H25" s="128"/>
      <c r="I25" s="122" t="s">
        <v>422</v>
      </c>
      <c r="J25" s="128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ht="14.25" customHeight="1">
      <c r="A26" s="23">
        <v>24</v>
      </c>
      <c r="B26" s="23" t="s">
        <v>419</v>
      </c>
      <c r="C26" s="23">
        <v>3</v>
      </c>
      <c r="D26" s="25">
        <v>12.8</v>
      </c>
      <c r="E26" s="25">
        <v>10.4</v>
      </c>
      <c r="F26" s="25" t="s">
        <v>62</v>
      </c>
      <c r="G26" s="147" t="s">
        <v>54</v>
      </c>
      <c r="H26" s="128"/>
      <c r="I26" s="127"/>
      <c r="J26" s="128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 ht="14.25" customHeight="1">
      <c r="A27" s="23">
        <v>25</v>
      </c>
      <c r="B27" s="23" t="s">
        <v>424</v>
      </c>
      <c r="C27" s="23">
        <v>1</v>
      </c>
      <c r="D27" s="25">
        <v>16.3</v>
      </c>
      <c r="E27" s="25">
        <v>10.5</v>
      </c>
      <c r="F27" s="25" t="s">
        <v>55</v>
      </c>
      <c r="G27" s="111" t="s">
        <v>104</v>
      </c>
      <c r="H27" s="128"/>
      <c r="I27" s="127"/>
      <c r="J27" s="128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 ht="14.25" customHeight="1">
      <c r="A28" s="23">
        <v>26</v>
      </c>
      <c r="B28" s="23" t="s">
        <v>424</v>
      </c>
      <c r="C28" s="23">
        <v>2</v>
      </c>
      <c r="D28" s="25">
        <v>16.100000000000001</v>
      </c>
      <c r="E28" s="25" t="s">
        <v>61</v>
      </c>
      <c r="F28" s="25" t="s">
        <v>55</v>
      </c>
      <c r="G28" s="111" t="s">
        <v>104</v>
      </c>
      <c r="H28" s="128"/>
      <c r="I28" s="127"/>
      <c r="J28" s="128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ht="14.25" customHeight="1">
      <c r="A29" s="23">
        <v>27</v>
      </c>
      <c r="B29" s="23" t="s">
        <v>424</v>
      </c>
      <c r="C29" s="23">
        <v>3</v>
      </c>
      <c r="D29" s="25">
        <v>13.2</v>
      </c>
      <c r="E29" s="25">
        <v>10.4</v>
      </c>
      <c r="F29" s="25" t="s">
        <v>47</v>
      </c>
      <c r="G29" s="111" t="s">
        <v>104</v>
      </c>
      <c r="H29" s="128"/>
      <c r="I29" s="127"/>
      <c r="J29" s="128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14.25" customHeight="1">
      <c r="A30" s="23">
        <v>28</v>
      </c>
      <c r="B30" s="23" t="s">
        <v>428</v>
      </c>
      <c r="C30" s="23">
        <v>1</v>
      </c>
      <c r="D30" s="25">
        <v>16.600000000000001</v>
      </c>
      <c r="E30" s="25">
        <v>10.7</v>
      </c>
      <c r="F30" s="25" t="s">
        <v>69</v>
      </c>
      <c r="G30" s="74"/>
      <c r="H30" s="128"/>
      <c r="I30" s="127"/>
      <c r="J30" s="128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ht="14.25" customHeight="1">
      <c r="A31" s="23">
        <v>29</v>
      </c>
      <c r="B31" s="23" t="s">
        <v>428</v>
      </c>
      <c r="C31" s="23">
        <v>2</v>
      </c>
      <c r="D31" s="25">
        <v>16.600000000000001</v>
      </c>
      <c r="E31" s="25" t="s">
        <v>61</v>
      </c>
      <c r="F31" s="25" t="s">
        <v>69</v>
      </c>
      <c r="G31" s="41" t="s">
        <v>104</v>
      </c>
      <c r="H31" s="128"/>
      <c r="I31" s="127"/>
      <c r="J31" s="128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ht="14.25" customHeight="1">
      <c r="A32" s="23">
        <v>30</v>
      </c>
      <c r="B32" s="23" t="s">
        <v>428</v>
      </c>
      <c r="C32" s="23">
        <v>3</v>
      </c>
      <c r="D32" s="25">
        <v>12.5</v>
      </c>
      <c r="E32" s="25">
        <v>10.8</v>
      </c>
      <c r="F32" s="25" t="s">
        <v>69</v>
      </c>
      <c r="G32" s="41" t="s">
        <v>104</v>
      </c>
      <c r="H32" s="128"/>
      <c r="I32" s="127"/>
      <c r="J32" s="128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14.25" customHeight="1">
      <c r="A33" s="23">
        <v>31</v>
      </c>
      <c r="B33" s="23" t="s">
        <v>432</v>
      </c>
      <c r="C33" s="23">
        <v>1</v>
      </c>
      <c r="D33" s="25">
        <v>16.8</v>
      </c>
      <c r="E33" s="25">
        <v>10.9</v>
      </c>
      <c r="F33" s="25" t="s">
        <v>55</v>
      </c>
      <c r="G33" s="111" t="s">
        <v>104</v>
      </c>
      <c r="H33" s="128"/>
      <c r="I33" s="127"/>
      <c r="J33" s="128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 ht="14.25" customHeight="1">
      <c r="A34" s="23">
        <v>32</v>
      </c>
      <c r="B34" s="23" t="s">
        <v>432</v>
      </c>
      <c r="C34" s="23">
        <v>2</v>
      </c>
      <c r="D34" s="25">
        <v>15.9</v>
      </c>
      <c r="E34" s="25" t="s">
        <v>61</v>
      </c>
      <c r="F34" s="129" t="s">
        <v>62</v>
      </c>
      <c r="G34" s="147" t="s">
        <v>54</v>
      </c>
      <c r="H34" s="128"/>
      <c r="I34" s="127"/>
      <c r="J34" s="128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 ht="14.25" customHeight="1">
      <c r="A35" s="23">
        <v>33</v>
      </c>
      <c r="B35" s="23" t="s">
        <v>432</v>
      </c>
      <c r="C35" s="23">
        <v>3</v>
      </c>
      <c r="D35" s="25">
        <v>13.5</v>
      </c>
      <c r="E35" s="25">
        <v>10.7</v>
      </c>
      <c r="F35" s="25" t="s">
        <v>112</v>
      </c>
      <c r="G35" s="111" t="s">
        <v>104</v>
      </c>
      <c r="H35" s="128"/>
      <c r="I35" s="127"/>
      <c r="J35" s="128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1:29" ht="14.25" customHeight="1">
      <c r="A36" s="23">
        <v>34</v>
      </c>
      <c r="B36" s="23" t="s">
        <v>436</v>
      </c>
      <c r="C36" s="23">
        <v>1</v>
      </c>
      <c r="D36" s="25">
        <v>17</v>
      </c>
      <c r="E36" s="25">
        <v>10.7</v>
      </c>
      <c r="F36" s="25" t="s">
        <v>150</v>
      </c>
      <c r="G36" s="111" t="s">
        <v>104</v>
      </c>
      <c r="H36" s="128"/>
      <c r="I36" s="127"/>
      <c r="J36" s="128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1:29" ht="14.25" customHeight="1">
      <c r="A37" s="23">
        <v>35</v>
      </c>
      <c r="B37" s="23" t="s">
        <v>436</v>
      </c>
      <c r="C37" s="23">
        <v>2</v>
      </c>
      <c r="D37" s="25">
        <v>17.100000000000001</v>
      </c>
      <c r="E37" s="25" t="s">
        <v>61</v>
      </c>
      <c r="F37" s="25" t="s">
        <v>112</v>
      </c>
      <c r="G37" s="111" t="s">
        <v>104</v>
      </c>
      <c r="H37" s="128"/>
      <c r="I37" s="127"/>
      <c r="J37" s="128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ht="14.25" customHeight="1">
      <c r="A38" s="23">
        <v>36</v>
      </c>
      <c r="B38" s="23" t="s">
        <v>436</v>
      </c>
      <c r="C38" s="23">
        <v>3</v>
      </c>
      <c r="D38" s="25">
        <v>13.4</v>
      </c>
      <c r="E38" s="25">
        <v>10.6</v>
      </c>
      <c r="F38" s="25" t="s">
        <v>112</v>
      </c>
      <c r="G38" s="111" t="s">
        <v>104</v>
      </c>
      <c r="H38" s="128"/>
      <c r="I38" s="127"/>
      <c r="J38" s="128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 ht="14.25" customHeight="1">
      <c r="A39" s="23">
        <v>37</v>
      </c>
      <c r="B39" s="23" t="s">
        <v>440</v>
      </c>
      <c r="C39" s="23">
        <v>1</v>
      </c>
      <c r="D39" s="25">
        <v>16.399999999999999</v>
      </c>
      <c r="E39" s="25">
        <v>10.5</v>
      </c>
      <c r="F39" s="25" t="s">
        <v>89</v>
      </c>
      <c r="G39" s="111" t="s">
        <v>104</v>
      </c>
      <c r="H39" s="128"/>
      <c r="I39" s="127"/>
      <c r="J39" s="128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 ht="14.25" customHeight="1">
      <c r="A40" s="23">
        <v>38</v>
      </c>
      <c r="B40" s="23" t="s">
        <v>440</v>
      </c>
      <c r="C40" s="23">
        <v>2</v>
      </c>
      <c r="D40" s="25">
        <v>16.7</v>
      </c>
      <c r="E40" s="25" t="s">
        <v>61</v>
      </c>
      <c r="F40" s="25" t="s">
        <v>89</v>
      </c>
      <c r="G40" s="111" t="s">
        <v>104</v>
      </c>
      <c r="H40" s="128"/>
      <c r="I40" s="127"/>
      <c r="J40" s="128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29" ht="14.25" customHeight="1">
      <c r="A41" s="23">
        <v>39</v>
      </c>
      <c r="B41" s="23" t="s">
        <v>440</v>
      </c>
      <c r="C41" s="23">
        <v>3</v>
      </c>
      <c r="D41" s="25">
        <v>12.1</v>
      </c>
      <c r="E41" s="25">
        <v>10.1</v>
      </c>
      <c r="F41" s="25" t="s">
        <v>89</v>
      </c>
      <c r="G41" s="111" t="s">
        <v>104</v>
      </c>
      <c r="H41" s="128"/>
      <c r="I41" s="127"/>
      <c r="J41" s="128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spans="1:29" ht="14.25" customHeight="1">
      <c r="A42" s="23">
        <v>40</v>
      </c>
      <c r="B42" s="23" t="s">
        <v>445</v>
      </c>
      <c r="C42" s="23">
        <v>1</v>
      </c>
      <c r="D42" s="25">
        <v>12.7</v>
      </c>
      <c r="E42" s="25">
        <v>10.8</v>
      </c>
      <c r="F42" s="25" t="s">
        <v>77</v>
      </c>
      <c r="G42" s="147" t="s">
        <v>54</v>
      </c>
      <c r="H42" s="128"/>
      <c r="I42" s="127"/>
      <c r="J42" s="128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spans="1:29" ht="14.25" customHeight="1">
      <c r="A43" s="23">
        <v>41</v>
      </c>
      <c r="B43" s="23" t="s">
        <v>445</v>
      </c>
      <c r="C43" s="23">
        <v>2</v>
      </c>
      <c r="D43" s="25">
        <v>16</v>
      </c>
      <c r="E43" s="25" t="s">
        <v>61</v>
      </c>
      <c r="F43" s="25" t="s">
        <v>62</v>
      </c>
      <c r="G43" s="111"/>
      <c r="H43" s="141" t="s">
        <v>205</v>
      </c>
      <c r="I43" s="127"/>
      <c r="J43" s="128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spans="1:29" ht="14.25" customHeight="1">
      <c r="A44" s="23">
        <v>42</v>
      </c>
      <c r="B44" s="23" t="s">
        <v>445</v>
      </c>
      <c r="C44" s="23">
        <v>3</v>
      </c>
      <c r="D44" s="25">
        <v>16.899999999999999</v>
      </c>
      <c r="E44" s="25">
        <v>10.8</v>
      </c>
      <c r="F44" s="25" t="s">
        <v>62</v>
      </c>
      <c r="G44" s="111"/>
      <c r="H44" s="141" t="s">
        <v>205</v>
      </c>
      <c r="I44" s="127"/>
      <c r="J44" s="128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 spans="1:29" ht="14.25" customHeight="1">
      <c r="A45" s="23">
        <v>43</v>
      </c>
      <c r="B45" s="23" t="s">
        <v>449</v>
      </c>
      <c r="C45" s="23">
        <v>1</v>
      </c>
      <c r="D45" s="25">
        <v>15.6</v>
      </c>
      <c r="E45" s="25">
        <v>10.8</v>
      </c>
      <c r="F45" s="25" t="s">
        <v>77</v>
      </c>
      <c r="G45" s="147" t="s">
        <v>54</v>
      </c>
      <c r="H45" s="128"/>
      <c r="I45" s="127"/>
      <c r="J45" s="128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 spans="1:29" ht="14.25" customHeight="1">
      <c r="A46" s="23">
        <v>44</v>
      </c>
      <c r="B46" s="23" t="s">
        <v>449</v>
      </c>
      <c r="C46" s="23">
        <v>2</v>
      </c>
      <c r="D46" s="25">
        <v>16.600000000000001</v>
      </c>
      <c r="E46" s="25" t="s">
        <v>61</v>
      </c>
      <c r="F46" s="25" t="s">
        <v>77</v>
      </c>
      <c r="G46" s="147" t="s">
        <v>54</v>
      </c>
      <c r="H46" s="128"/>
      <c r="I46" s="127"/>
      <c r="J46" s="128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spans="1:29" ht="14.25" customHeight="1">
      <c r="A47" s="23">
        <v>45</v>
      </c>
      <c r="B47" s="23" t="s">
        <v>449</v>
      </c>
      <c r="C47" s="23">
        <v>3</v>
      </c>
      <c r="D47" s="25">
        <v>12.3</v>
      </c>
      <c r="E47" s="25">
        <v>10.7</v>
      </c>
      <c r="F47" s="25" t="s">
        <v>47</v>
      </c>
      <c r="G47" s="111" t="s">
        <v>104</v>
      </c>
      <c r="H47" s="128"/>
      <c r="I47" s="127"/>
      <c r="J47" s="128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spans="1:29" ht="14.25" customHeight="1">
      <c r="A48" s="23">
        <v>46</v>
      </c>
      <c r="B48" s="23" t="s">
        <v>454</v>
      </c>
      <c r="C48" s="23">
        <v>1</v>
      </c>
      <c r="D48" s="25">
        <v>16.7</v>
      </c>
      <c r="E48" s="25">
        <v>10.8</v>
      </c>
      <c r="F48" s="25" t="s">
        <v>124</v>
      </c>
      <c r="G48" s="26" t="s">
        <v>104</v>
      </c>
      <c r="H48" s="128"/>
      <c r="I48" s="127"/>
      <c r="J48" s="128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spans="1:29" ht="14.25" customHeight="1">
      <c r="A49" s="23">
        <v>47</v>
      </c>
      <c r="B49" s="23" t="s">
        <v>454</v>
      </c>
      <c r="C49" s="23">
        <v>2</v>
      </c>
      <c r="D49" s="25">
        <v>16.600000000000001</v>
      </c>
      <c r="E49" s="25" t="s">
        <v>61</v>
      </c>
      <c r="F49" s="25" t="s">
        <v>124</v>
      </c>
      <c r="G49" s="26" t="s">
        <v>104</v>
      </c>
      <c r="H49" s="128"/>
      <c r="I49" s="127"/>
      <c r="J49" s="128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1:29" ht="14.25" customHeight="1">
      <c r="A50" s="23">
        <v>48</v>
      </c>
      <c r="B50" s="23" t="s">
        <v>454</v>
      </c>
      <c r="C50" s="23">
        <v>3</v>
      </c>
      <c r="D50" s="25">
        <v>12.7</v>
      </c>
      <c r="E50" s="25">
        <v>10.1</v>
      </c>
      <c r="F50" s="25" t="s">
        <v>124</v>
      </c>
      <c r="G50" s="26" t="s">
        <v>104</v>
      </c>
      <c r="H50" s="128"/>
      <c r="I50" s="127"/>
      <c r="J50" s="128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spans="1:29" ht="14.25" customHeight="1">
      <c r="A51" s="23">
        <v>49</v>
      </c>
      <c r="B51" s="23" t="s">
        <v>458</v>
      </c>
      <c r="C51" s="23">
        <v>1</v>
      </c>
      <c r="D51" s="25">
        <v>16.899999999999999</v>
      </c>
      <c r="E51" s="25">
        <v>11.1</v>
      </c>
      <c r="F51" s="25" t="s">
        <v>124</v>
      </c>
      <c r="G51" s="26" t="s">
        <v>104</v>
      </c>
      <c r="H51" s="128"/>
      <c r="I51" s="127"/>
      <c r="J51" s="128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29" ht="14.25" customHeight="1">
      <c r="A52" s="23">
        <v>50</v>
      </c>
      <c r="B52" s="23" t="s">
        <v>458</v>
      </c>
      <c r="C52" s="23">
        <v>2</v>
      </c>
      <c r="D52" s="25">
        <v>14.9</v>
      </c>
      <c r="E52" s="25" t="s">
        <v>61</v>
      </c>
      <c r="F52" s="25" t="s">
        <v>124</v>
      </c>
      <c r="G52" s="26" t="s">
        <v>104</v>
      </c>
      <c r="H52" s="128"/>
      <c r="I52" s="127"/>
      <c r="J52" s="128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1:29" ht="14.25" customHeight="1">
      <c r="A53" s="23">
        <v>51</v>
      </c>
      <c r="B53" s="23" t="s">
        <v>458</v>
      </c>
      <c r="C53" s="23">
        <v>3</v>
      </c>
      <c r="D53" s="25">
        <v>11.7</v>
      </c>
      <c r="E53" s="25">
        <v>10.199999999999999</v>
      </c>
      <c r="F53" s="25" t="s">
        <v>89</v>
      </c>
      <c r="G53" s="111" t="s">
        <v>104</v>
      </c>
      <c r="H53" s="128"/>
      <c r="I53" s="127"/>
      <c r="J53" s="128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1:29" ht="14.25" customHeight="1">
      <c r="A54" s="23">
        <v>52</v>
      </c>
      <c r="B54" s="23" t="s">
        <v>461</v>
      </c>
      <c r="C54" s="23">
        <v>1</v>
      </c>
      <c r="D54" s="25">
        <v>17.399999999999999</v>
      </c>
      <c r="E54" s="25">
        <v>10.4</v>
      </c>
      <c r="F54" s="25" t="s">
        <v>47</v>
      </c>
      <c r="G54" s="111" t="s">
        <v>104</v>
      </c>
      <c r="H54" s="128"/>
      <c r="I54" s="127"/>
      <c r="J54" s="128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spans="1:29" ht="14.25" customHeight="1">
      <c r="A55" s="23">
        <v>53</v>
      </c>
      <c r="B55" s="23" t="s">
        <v>461</v>
      </c>
      <c r="C55" s="23">
        <v>2</v>
      </c>
      <c r="D55" s="25">
        <v>16.5</v>
      </c>
      <c r="E55" s="25" t="s">
        <v>61</v>
      </c>
      <c r="F55" s="25" t="s">
        <v>62</v>
      </c>
      <c r="G55" s="147" t="s">
        <v>54</v>
      </c>
      <c r="H55" s="128"/>
      <c r="I55" s="127"/>
      <c r="J55" s="128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1:29" ht="14.25" customHeight="1">
      <c r="A56" s="23">
        <v>54</v>
      </c>
      <c r="B56" s="23" t="s">
        <v>461</v>
      </c>
      <c r="C56" s="23">
        <v>3</v>
      </c>
      <c r="D56" s="25">
        <v>12.8</v>
      </c>
      <c r="E56" s="25">
        <v>10.8</v>
      </c>
      <c r="F56" s="25" t="s">
        <v>77</v>
      </c>
      <c r="G56" s="147" t="s">
        <v>54</v>
      </c>
      <c r="H56" s="128"/>
      <c r="I56" s="127"/>
      <c r="J56" s="128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spans="1:29" ht="14.25" customHeight="1">
      <c r="A57" s="23">
        <v>55</v>
      </c>
      <c r="B57" s="23" t="s">
        <v>465</v>
      </c>
      <c r="C57" s="23">
        <v>1</v>
      </c>
      <c r="D57" s="25">
        <v>16.899999999999999</v>
      </c>
      <c r="E57" s="25">
        <v>11.2</v>
      </c>
      <c r="F57" s="25" t="s">
        <v>118</v>
      </c>
      <c r="G57" s="147" t="s">
        <v>54</v>
      </c>
      <c r="H57" s="128"/>
      <c r="I57" s="127"/>
      <c r="J57" s="128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29" ht="14.25" customHeight="1">
      <c r="A58" s="23">
        <v>56</v>
      </c>
      <c r="B58" s="23" t="s">
        <v>465</v>
      </c>
      <c r="C58" s="23">
        <v>2</v>
      </c>
      <c r="D58" s="25">
        <v>15.6</v>
      </c>
      <c r="E58" s="25" t="s">
        <v>61</v>
      </c>
      <c r="F58" s="25" t="s">
        <v>47</v>
      </c>
      <c r="G58" s="111" t="s">
        <v>104</v>
      </c>
      <c r="H58" s="128"/>
      <c r="I58" s="127"/>
      <c r="J58" s="128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29" ht="14.25" customHeight="1">
      <c r="A59" s="23">
        <v>57</v>
      </c>
      <c r="B59" s="23" t="s">
        <v>465</v>
      </c>
      <c r="C59" s="23">
        <v>3</v>
      </c>
      <c r="D59" s="25">
        <v>13.4</v>
      </c>
      <c r="E59" s="25">
        <v>10.4</v>
      </c>
      <c r="F59" s="25" t="s">
        <v>12</v>
      </c>
      <c r="G59" s="111"/>
      <c r="H59" s="128"/>
      <c r="I59" s="127" t="s">
        <v>468</v>
      </c>
      <c r="J59" s="128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29" ht="14.25" customHeight="1">
      <c r="A60" s="23">
        <v>58</v>
      </c>
      <c r="B60" s="23" t="s">
        <v>469</v>
      </c>
      <c r="C60" s="23">
        <v>1</v>
      </c>
      <c r="D60" s="25">
        <v>16.8</v>
      </c>
      <c r="E60" s="25">
        <v>10.8</v>
      </c>
      <c r="F60" s="25" t="s">
        <v>118</v>
      </c>
      <c r="G60" s="147" t="s">
        <v>54</v>
      </c>
      <c r="H60" s="128"/>
      <c r="I60" s="127"/>
      <c r="J60" s="128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ht="14.25" customHeight="1">
      <c r="A61" s="23">
        <v>59</v>
      </c>
      <c r="B61" s="23" t="s">
        <v>469</v>
      </c>
      <c r="C61" s="23">
        <v>2</v>
      </c>
      <c r="D61" s="25">
        <v>16</v>
      </c>
      <c r="E61" s="25" t="s">
        <v>61</v>
      </c>
      <c r="F61" s="25" t="s">
        <v>118</v>
      </c>
      <c r="G61" s="147" t="s">
        <v>54</v>
      </c>
      <c r="H61" s="128"/>
      <c r="I61" s="127"/>
      <c r="J61" s="128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 ht="14.25" customHeight="1">
      <c r="A62" s="23">
        <v>60</v>
      </c>
      <c r="B62" s="23" t="s">
        <v>469</v>
      </c>
      <c r="C62" s="23">
        <v>3</v>
      </c>
      <c r="D62" s="25">
        <v>13</v>
      </c>
      <c r="E62" s="25">
        <v>10.8</v>
      </c>
      <c r="F62" s="25" t="s">
        <v>118</v>
      </c>
      <c r="G62" s="147" t="s">
        <v>54</v>
      </c>
      <c r="H62" s="128"/>
      <c r="I62" s="127"/>
      <c r="J62" s="128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 ht="14.25" customHeight="1">
      <c r="A63" s="23">
        <v>61</v>
      </c>
      <c r="B63" s="23" t="s">
        <v>473</v>
      </c>
      <c r="C63" s="23">
        <v>1</v>
      </c>
      <c r="D63" s="25">
        <v>16.600000000000001</v>
      </c>
      <c r="E63" s="25">
        <v>11</v>
      </c>
      <c r="F63" s="25" t="s">
        <v>55</v>
      </c>
      <c r="G63" s="111" t="s">
        <v>104</v>
      </c>
      <c r="H63" s="128"/>
      <c r="I63" s="127"/>
      <c r="J63" s="128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 ht="14.25" customHeight="1">
      <c r="A64" s="23">
        <v>62</v>
      </c>
      <c r="B64" s="23" t="s">
        <v>473</v>
      </c>
      <c r="C64" s="23">
        <v>2</v>
      </c>
      <c r="D64" s="25">
        <v>16.2</v>
      </c>
      <c r="E64" s="25" t="s">
        <v>61</v>
      </c>
      <c r="F64" s="25" t="s">
        <v>89</v>
      </c>
      <c r="G64" s="111" t="s">
        <v>104</v>
      </c>
      <c r="H64" s="128"/>
      <c r="I64" s="127"/>
      <c r="J64" s="128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spans="1:29" ht="14.25" customHeight="1">
      <c r="A65" s="23">
        <v>63</v>
      </c>
      <c r="B65" s="23" t="s">
        <v>473</v>
      </c>
      <c r="C65" s="23">
        <v>3</v>
      </c>
      <c r="D65" s="25">
        <v>12.7</v>
      </c>
      <c r="E65" s="25">
        <v>11.1</v>
      </c>
      <c r="F65" s="25" t="s">
        <v>51</v>
      </c>
      <c r="G65" s="74"/>
      <c r="H65" s="128"/>
      <c r="I65" s="127"/>
      <c r="J65" s="128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 ht="14.25" customHeight="1">
      <c r="A66" s="23">
        <v>64</v>
      </c>
      <c r="B66" s="23" t="s">
        <v>476</v>
      </c>
      <c r="C66" s="23">
        <v>1</v>
      </c>
      <c r="D66" s="25">
        <v>16.8</v>
      </c>
      <c r="E66" s="25">
        <v>10.5</v>
      </c>
      <c r="F66" s="25" t="s">
        <v>47</v>
      </c>
      <c r="G66" s="111" t="s">
        <v>104</v>
      </c>
      <c r="H66" s="128"/>
      <c r="I66" s="127"/>
      <c r="J66" s="128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spans="1:29" ht="14.25" customHeight="1">
      <c r="A67" s="23">
        <v>65</v>
      </c>
      <c r="B67" s="23" t="s">
        <v>476</v>
      </c>
      <c r="C67" s="23">
        <v>2</v>
      </c>
      <c r="D67" s="25">
        <v>16.7</v>
      </c>
      <c r="E67" s="25" t="s">
        <v>61</v>
      </c>
      <c r="F67" s="25" t="s">
        <v>47</v>
      </c>
      <c r="G67" s="111" t="s">
        <v>104</v>
      </c>
      <c r="H67" s="128"/>
      <c r="I67" s="127"/>
      <c r="J67" s="128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spans="1:29" ht="14.25" customHeight="1">
      <c r="A68" s="23">
        <v>66</v>
      </c>
      <c r="B68" s="23" t="s">
        <v>476</v>
      </c>
      <c r="C68" s="23">
        <v>3</v>
      </c>
      <c r="D68" s="25">
        <v>13.4</v>
      </c>
      <c r="E68" s="25">
        <v>10.4</v>
      </c>
      <c r="F68" s="25" t="s">
        <v>47</v>
      </c>
      <c r="G68" s="111" t="s">
        <v>104</v>
      </c>
      <c r="H68" s="128"/>
      <c r="I68" s="127"/>
      <c r="J68" s="128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spans="1:29" ht="14.25" customHeight="1">
      <c r="A69" s="23">
        <v>67</v>
      </c>
      <c r="B69" s="23" t="s">
        <v>482</v>
      </c>
      <c r="C69" s="23">
        <v>1</v>
      </c>
      <c r="D69" s="25">
        <v>16.2</v>
      </c>
      <c r="E69" s="25">
        <v>11</v>
      </c>
      <c r="F69" s="25" t="s">
        <v>88</v>
      </c>
      <c r="G69" s="111" t="s">
        <v>104</v>
      </c>
      <c r="H69" s="128"/>
      <c r="I69" s="127"/>
      <c r="J69" s="128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spans="1:29" ht="14.25" customHeight="1">
      <c r="A70" s="23">
        <v>68</v>
      </c>
      <c r="B70" s="23" t="s">
        <v>482</v>
      </c>
      <c r="C70" s="23">
        <v>2</v>
      </c>
      <c r="D70" s="25">
        <v>16.5</v>
      </c>
      <c r="E70" s="25" t="s">
        <v>61</v>
      </c>
      <c r="F70" s="25" t="s">
        <v>55</v>
      </c>
      <c r="G70" s="111" t="s">
        <v>104</v>
      </c>
      <c r="H70" s="128"/>
      <c r="I70" s="127"/>
      <c r="J70" s="128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1:29" ht="14.25" customHeight="1">
      <c r="A71" s="23">
        <v>69</v>
      </c>
      <c r="B71" s="23" t="s">
        <v>482</v>
      </c>
      <c r="C71" s="23">
        <v>3</v>
      </c>
      <c r="D71" s="25">
        <v>13.4</v>
      </c>
      <c r="E71" s="25">
        <v>11</v>
      </c>
      <c r="F71" s="25" t="s">
        <v>47</v>
      </c>
      <c r="G71" s="111" t="s">
        <v>104</v>
      </c>
      <c r="H71" s="128"/>
      <c r="I71" s="127"/>
      <c r="J71" s="128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 ht="14.25" customHeight="1">
      <c r="A72" s="23">
        <v>70</v>
      </c>
      <c r="B72" s="23" t="s">
        <v>486</v>
      </c>
      <c r="C72" s="23">
        <v>1</v>
      </c>
      <c r="D72" s="25">
        <v>16.7</v>
      </c>
      <c r="E72" s="25">
        <v>10.6</v>
      </c>
      <c r="F72" s="25" t="s">
        <v>88</v>
      </c>
      <c r="G72" s="111" t="s">
        <v>104</v>
      </c>
      <c r="H72" s="128"/>
      <c r="I72" s="127"/>
      <c r="J72" s="128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spans="1:29" ht="14.25" customHeight="1">
      <c r="A73" s="23">
        <v>71</v>
      </c>
      <c r="B73" s="23" t="s">
        <v>486</v>
      </c>
      <c r="C73" s="23">
        <v>2</v>
      </c>
      <c r="D73" s="25">
        <v>17.100000000000001</v>
      </c>
      <c r="E73" s="25" t="s">
        <v>61</v>
      </c>
      <c r="F73" s="25" t="s">
        <v>88</v>
      </c>
      <c r="G73" s="111" t="s">
        <v>104</v>
      </c>
      <c r="H73" s="128"/>
      <c r="I73" s="127"/>
      <c r="J73" s="128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 ht="14.25" customHeight="1">
      <c r="A74" s="23">
        <v>72</v>
      </c>
      <c r="B74" s="23" t="s">
        <v>486</v>
      </c>
      <c r="C74" s="23">
        <v>3</v>
      </c>
      <c r="D74" s="25">
        <v>12.8</v>
      </c>
      <c r="E74" s="25">
        <v>10.5</v>
      </c>
      <c r="F74" s="25" t="s">
        <v>88</v>
      </c>
      <c r="G74" s="111" t="s">
        <v>104</v>
      </c>
      <c r="H74" s="128"/>
      <c r="I74" s="127"/>
      <c r="J74" s="128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spans="1:29" ht="14.25" customHeight="1">
      <c r="A75" s="23">
        <v>73</v>
      </c>
      <c r="B75" s="23" t="s">
        <v>493</v>
      </c>
      <c r="C75" s="23">
        <v>1</v>
      </c>
      <c r="D75" s="25">
        <v>17</v>
      </c>
      <c r="E75" s="25">
        <v>10.7</v>
      </c>
      <c r="F75" s="25" t="s">
        <v>55</v>
      </c>
      <c r="G75" s="111" t="s">
        <v>104</v>
      </c>
      <c r="H75" s="128"/>
      <c r="I75" s="127"/>
      <c r="J75" s="128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 ht="14.25" customHeight="1">
      <c r="A76" s="23">
        <v>74</v>
      </c>
      <c r="B76" s="23" t="s">
        <v>493</v>
      </c>
      <c r="C76" s="23">
        <v>2</v>
      </c>
      <c r="D76" s="25">
        <v>16.600000000000001</v>
      </c>
      <c r="E76" s="25" t="s">
        <v>61</v>
      </c>
      <c r="F76" s="25" t="s">
        <v>47</v>
      </c>
      <c r="G76" s="111" t="s">
        <v>104</v>
      </c>
      <c r="H76" s="128"/>
      <c r="I76" s="127"/>
      <c r="J76" s="128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spans="1:29" ht="14.25" customHeight="1">
      <c r="A77" s="23">
        <v>75</v>
      </c>
      <c r="B77" s="23" t="s">
        <v>493</v>
      </c>
      <c r="C77" s="23">
        <v>3</v>
      </c>
      <c r="D77" s="25">
        <v>12.6</v>
      </c>
      <c r="E77" s="25">
        <v>10.9</v>
      </c>
      <c r="F77" s="25" t="s">
        <v>47</v>
      </c>
      <c r="G77" s="111" t="s">
        <v>104</v>
      </c>
      <c r="H77" s="128"/>
      <c r="I77" s="127"/>
      <c r="J77" s="128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 ht="14.25" customHeight="1">
      <c r="A78" s="23">
        <v>76</v>
      </c>
      <c r="B78" s="23" t="s">
        <v>497</v>
      </c>
      <c r="C78" s="23">
        <v>1</v>
      </c>
      <c r="D78" s="25">
        <v>16.7</v>
      </c>
      <c r="E78" s="25">
        <v>10.3</v>
      </c>
      <c r="F78" s="25" t="s">
        <v>47</v>
      </c>
      <c r="G78" s="111" t="s">
        <v>104</v>
      </c>
      <c r="H78" s="128"/>
      <c r="I78" s="127"/>
      <c r="J78" s="128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spans="1:29" ht="14.25" customHeight="1">
      <c r="A79" s="23">
        <v>77</v>
      </c>
      <c r="B79" s="23" t="s">
        <v>497</v>
      </c>
      <c r="C79" s="23">
        <v>2</v>
      </c>
      <c r="D79" s="25">
        <v>15.8</v>
      </c>
      <c r="E79" s="25" t="s">
        <v>61</v>
      </c>
      <c r="F79" s="25" t="s">
        <v>47</v>
      </c>
      <c r="G79" s="111"/>
      <c r="H79" s="128"/>
      <c r="I79" s="127"/>
      <c r="J79" s="128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spans="1:29" ht="14.25" customHeight="1">
      <c r="A80" s="23">
        <v>78</v>
      </c>
      <c r="B80" s="23" t="s">
        <v>497</v>
      </c>
      <c r="C80" s="23">
        <v>3</v>
      </c>
      <c r="D80" s="25">
        <v>12.5</v>
      </c>
      <c r="E80" s="25">
        <v>10.4</v>
      </c>
      <c r="F80" s="25" t="s">
        <v>47</v>
      </c>
      <c r="G80" s="111" t="s">
        <v>104</v>
      </c>
      <c r="H80" s="128"/>
      <c r="I80" s="127"/>
      <c r="J80" s="128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spans="1:29" ht="14.25" customHeight="1">
      <c r="A81" s="23">
        <v>79</v>
      </c>
      <c r="B81" s="23" t="s">
        <v>503</v>
      </c>
      <c r="C81" s="23">
        <v>1</v>
      </c>
      <c r="D81" s="25">
        <v>15.9</v>
      </c>
      <c r="E81" s="25">
        <v>10.4</v>
      </c>
      <c r="F81" s="25" t="s">
        <v>12</v>
      </c>
      <c r="G81" s="74"/>
      <c r="H81" s="128"/>
      <c r="I81" s="127"/>
      <c r="J81" s="128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spans="1:29" ht="14.25" customHeight="1">
      <c r="A82" s="23">
        <v>80</v>
      </c>
      <c r="B82" s="23" t="s">
        <v>503</v>
      </c>
      <c r="C82" s="23">
        <v>2</v>
      </c>
      <c r="D82" s="25">
        <v>16.3</v>
      </c>
      <c r="E82" s="25" t="s">
        <v>61</v>
      </c>
      <c r="F82" s="25" t="s">
        <v>12</v>
      </c>
      <c r="G82" s="74"/>
      <c r="H82" s="128"/>
      <c r="I82" s="127"/>
      <c r="J82" s="128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spans="1:29" ht="14.25" customHeight="1">
      <c r="A83" s="23">
        <v>81</v>
      </c>
      <c r="B83" s="23" t="s">
        <v>503</v>
      </c>
      <c r="C83" s="23">
        <v>3</v>
      </c>
      <c r="D83" s="25">
        <v>12.8</v>
      </c>
      <c r="E83" s="25">
        <v>10.4</v>
      </c>
      <c r="F83" s="25" t="s">
        <v>77</v>
      </c>
      <c r="G83" s="147" t="s">
        <v>54</v>
      </c>
      <c r="H83" s="128"/>
      <c r="I83" s="127"/>
      <c r="J83" s="128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spans="1:29" ht="14.25" customHeight="1">
      <c r="A84" s="23">
        <v>82</v>
      </c>
      <c r="B84" s="23" t="s">
        <v>506</v>
      </c>
      <c r="C84" s="23">
        <v>1</v>
      </c>
      <c r="D84" s="25">
        <v>16.5</v>
      </c>
      <c r="E84" s="25">
        <v>10.199999999999999</v>
      </c>
      <c r="F84" s="25" t="s">
        <v>150</v>
      </c>
      <c r="G84" s="111" t="s">
        <v>104</v>
      </c>
      <c r="H84" s="128"/>
      <c r="I84" s="127"/>
      <c r="J84" s="128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spans="1:29" ht="14.25" customHeight="1">
      <c r="A85" s="23">
        <v>83</v>
      </c>
      <c r="B85" s="23" t="s">
        <v>506</v>
      </c>
      <c r="C85" s="23">
        <v>2</v>
      </c>
      <c r="D85" s="25">
        <v>16.5</v>
      </c>
      <c r="E85" s="25" t="s">
        <v>61</v>
      </c>
      <c r="F85" s="25" t="s">
        <v>77</v>
      </c>
      <c r="G85" s="147" t="s">
        <v>54</v>
      </c>
      <c r="H85" s="128"/>
      <c r="I85" s="127"/>
      <c r="J85" s="128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spans="1:29" ht="14.25" customHeight="1">
      <c r="A86" s="23">
        <v>84</v>
      </c>
      <c r="B86" s="23" t="s">
        <v>506</v>
      </c>
      <c r="C86" s="23">
        <v>3</v>
      </c>
      <c r="D86" s="25">
        <v>12.2</v>
      </c>
      <c r="E86" s="25">
        <v>10.4</v>
      </c>
      <c r="F86" s="25" t="s">
        <v>88</v>
      </c>
      <c r="G86" s="111" t="s">
        <v>104</v>
      </c>
      <c r="H86" s="128"/>
      <c r="I86" s="127"/>
      <c r="J86" s="128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1:29" ht="14.25" customHeight="1">
      <c r="A87" s="23">
        <v>85</v>
      </c>
      <c r="B87" s="23" t="s">
        <v>511</v>
      </c>
      <c r="C87" s="23">
        <v>1</v>
      </c>
      <c r="D87" s="25">
        <v>17</v>
      </c>
      <c r="E87" s="25">
        <v>10.8</v>
      </c>
      <c r="F87" s="25" t="s">
        <v>88</v>
      </c>
      <c r="G87" s="111" t="s">
        <v>104</v>
      </c>
      <c r="H87" s="128"/>
      <c r="I87" s="127"/>
      <c r="J87" s="128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spans="1:29" ht="14.25" customHeight="1">
      <c r="A88" s="23">
        <v>86</v>
      </c>
      <c r="B88" s="23" t="s">
        <v>511</v>
      </c>
      <c r="C88" s="23">
        <v>2</v>
      </c>
      <c r="D88" s="25">
        <v>16.399999999999999</v>
      </c>
      <c r="E88" s="25" t="s">
        <v>61</v>
      </c>
      <c r="F88" s="25" t="s">
        <v>55</v>
      </c>
      <c r="G88" s="111" t="s">
        <v>104</v>
      </c>
      <c r="H88" s="128"/>
      <c r="I88" s="127"/>
      <c r="J88" s="128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spans="1:29" ht="14.25" customHeight="1">
      <c r="A89" s="23">
        <v>87</v>
      </c>
      <c r="B89" s="23" t="s">
        <v>511</v>
      </c>
      <c r="C89" s="23">
        <v>3</v>
      </c>
      <c r="D89" s="25">
        <v>12.4</v>
      </c>
      <c r="E89" s="25">
        <v>10.8</v>
      </c>
      <c r="F89" s="25" t="s">
        <v>36</v>
      </c>
      <c r="G89" s="111" t="s">
        <v>104</v>
      </c>
      <c r="H89" s="128"/>
      <c r="I89" s="127"/>
      <c r="J89" s="128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spans="1:29" ht="14.25" customHeight="1">
      <c r="A90" s="23">
        <v>88</v>
      </c>
      <c r="B90" s="23" t="s">
        <v>514</v>
      </c>
      <c r="C90" s="23">
        <v>1</v>
      </c>
      <c r="D90" s="25">
        <v>15</v>
      </c>
      <c r="E90" s="25">
        <v>11.3</v>
      </c>
      <c r="F90" s="25" t="s">
        <v>112</v>
      </c>
      <c r="G90" s="111" t="s">
        <v>104</v>
      </c>
      <c r="H90" s="128"/>
      <c r="I90" s="127"/>
      <c r="J90" s="128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spans="1:29" ht="14.25" customHeight="1">
      <c r="A91" s="23">
        <v>89</v>
      </c>
      <c r="B91" s="23" t="s">
        <v>514</v>
      </c>
      <c r="C91" s="23">
        <v>2</v>
      </c>
      <c r="D91" s="25">
        <v>15.4</v>
      </c>
      <c r="E91" s="25" t="s">
        <v>61</v>
      </c>
      <c r="F91" s="25" t="s">
        <v>77</v>
      </c>
      <c r="G91" s="147" t="s">
        <v>54</v>
      </c>
      <c r="H91" s="128"/>
      <c r="I91" s="127"/>
      <c r="J91" s="128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spans="1:29" ht="14.25" customHeight="1">
      <c r="A92" s="23">
        <v>90</v>
      </c>
      <c r="B92" s="23" t="s">
        <v>514</v>
      </c>
      <c r="C92" s="23">
        <v>3</v>
      </c>
      <c r="D92" s="25">
        <v>14.1</v>
      </c>
      <c r="E92" s="25">
        <v>10.9</v>
      </c>
      <c r="F92" s="25" t="s">
        <v>77</v>
      </c>
      <c r="G92" s="147" t="s">
        <v>54</v>
      </c>
      <c r="H92" s="128"/>
      <c r="I92" s="127"/>
      <c r="J92" s="128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spans="1:29" ht="14.25" customHeight="1">
      <c r="A93" s="23">
        <v>91</v>
      </c>
      <c r="B93" s="23" t="s">
        <v>516</v>
      </c>
      <c r="C93" s="23">
        <v>1</v>
      </c>
      <c r="D93" s="25">
        <v>16.600000000000001</v>
      </c>
      <c r="E93" s="25">
        <v>11</v>
      </c>
      <c r="F93" s="25" t="s">
        <v>36</v>
      </c>
      <c r="G93" s="147" t="s">
        <v>54</v>
      </c>
      <c r="H93" s="128"/>
      <c r="I93" s="127"/>
      <c r="J93" s="128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spans="1:29" ht="14.25" customHeight="1">
      <c r="A94" s="23">
        <v>92</v>
      </c>
      <c r="B94" s="23" t="s">
        <v>516</v>
      </c>
      <c r="C94" s="23">
        <v>2</v>
      </c>
      <c r="D94" s="25">
        <v>16.8</v>
      </c>
      <c r="E94" s="25" t="s">
        <v>61</v>
      </c>
      <c r="F94" s="41" t="s">
        <v>36</v>
      </c>
      <c r="G94" s="147" t="s">
        <v>54</v>
      </c>
      <c r="H94" s="128"/>
      <c r="I94" s="122" t="s">
        <v>446</v>
      </c>
      <c r="J94" s="128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spans="1:29" ht="14.25" customHeight="1">
      <c r="A95" s="23">
        <v>93</v>
      </c>
      <c r="B95" s="23" t="s">
        <v>516</v>
      </c>
      <c r="C95" s="23">
        <v>3</v>
      </c>
      <c r="D95" s="25">
        <v>12.6</v>
      </c>
      <c r="E95" s="25">
        <v>10.7</v>
      </c>
      <c r="F95" s="25" t="s">
        <v>79</v>
      </c>
      <c r="G95" s="111" t="s">
        <v>104</v>
      </c>
      <c r="H95" s="128"/>
      <c r="I95" s="127"/>
      <c r="J95" s="128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spans="1:29" ht="14.25" customHeight="1">
      <c r="A96" s="23">
        <v>94</v>
      </c>
      <c r="B96" s="23" t="s">
        <v>520</v>
      </c>
      <c r="C96" s="23">
        <v>1</v>
      </c>
      <c r="D96" s="25">
        <v>17</v>
      </c>
      <c r="E96" s="25">
        <v>10.5</v>
      </c>
      <c r="F96" s="25" t="s">
        <v>36</v>
      </c>
      <c r="G96" s="111" t="s">
        <v>104</v>
      </c>
      <c r="H96" s="128"/>
      <c r="I96" s="127"/>
      <c r="J96" s="128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spans="1:29" ht="14.25" customHeight="1">
      <c r="A97" s="23">
        <v>95</v>
      </c>
      <c r="B97" s="23" t="s">
        <v>520</v>
      </c>
      <c r="C97" s="23">
        <v>2</v>
      </c>
      <c r="D97" s="25">
        <v>16.600000000000001</v>
      </c>
      <c r="E97" s="25" t="s">
        <v>61</v>
      </c>
      <c r="F97" s="41" t="s">
        <v>96</v>
      </c>
      <c r="G97" s="111" t="s">
        <v>104</v>
      </c>
      <c r="H97" s="128"/>
      <c r="I97" s="122" t="s">
        <v>524</v>
      </c>
      <c r="J97" s="128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spans="1:29" ht="14.25" customHeight="1">
      <c r="A98" s="23">
        <v>96</v>
      </c>
      <c r="B98" s="23" t="s">
        <v>520</v>
      </c>
      <c r="C98" s="23">
        <v>3</v>
      </c>
      <c r="D98" s="25">
        <v>12.5</v>
      </c>
      <c r="E98" s="25">
        <v>10.4</v>
      </c>
      <c r="F98" s="25" t="s">
        <v>96</v>
      </c>
      <c r="G98" s="111" t="s">
        <v>104</v>
      </c>
      <c r="H98" s="128"/>
      <c r="I98" s="127"/>
      <c r="J98" s="128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spans="1:29" ht="14.25" customHeight="1">
      <c r="A99" s="23">
        <v>97</v>
      </c>
      <c r="B99" s="23" t="s">
        <v>526</v>
      </c>
      <c r="C99" s="23">
        <v>1</v>
      </c>
      <c r="D99" s="25">
        <v>16.899999999999999</v>
      </c>
      <c r="E99" s="25">
        <v>10.6</v>
      </c>
      <c r="F99" s="25" t="s">
        <v>36</v>
      </c>
      <c r="G99" s="111" t="s">
        <v>104</v>
      </c>
      <c r="H99" s="128"/>
      <c r="I99" s="127"/>
      <c r="J99" s="128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spans="1:29" ht="14.25" customHeight="1">
      <c r="A100" s="23">
        <v>98</v>
      </c>
      <c r="B100" s="23" t="s">
        <v>526</v>
      </c>
      <c r="C100" s="23">
        <v>2</v>
      </c>
      <c r="D100" s="25">
        <v>16.8</v>
      </c>
      <c r="E100" s="25" t="s">
        <v>61</v>
      </c>
      <c r="F100" s="25" t="s">
        <v>36</v>
      </c>
      <c r="G100" s="111" t="s">
        <v>104</v>
      </c>
      <c r="H100" s="128"/>
      <c r="I100" s="127"/>
      <c r="J100" s="128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spans="1:29" ht="14.25" customHeight="1">
      <c r="A101" s="23">
        <v>99</v>
      </c>
      <c r="B101" s="23" t="s">
        <v>526</v>
      </c>
      <c r="C101" s="23">
        <v>3</v>
      </c>
      <c r="D101" s="25">
        <v>13.2</v>
      </c>
      <c r="E101" s="25">
        <v>10.6</v>
      </c>
      <c r="F101" s="25" t="s">
        <v>88</v>
      </c>
      <c r="G101" s="111" t="s">
        <v>104</v>
      </c>
      <c r="H101" s="128"/>
      <c r="I101" s="127"/>
      <c r="J101" s="128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spans="1:29" ht="14.25" customHeight="1">
      <c r="A102" s="23">
        <v>100</v>
      </c>
      <c r="B102" s="23" t="s">
        <v>529</v>
      </c>
      <c r="C102" s="23">
        <v>1</v>
      </c>
      <c r="D102" s="25">
        <v>16.600000000000001</v>
      </c>
      <c r="E102" s="25">
        <v>10.7</v>
      </c>
      <c r="F102" s="25" t="s">
        <v>124</v>
      </c>
      <c r="G102" s="26" t="s">
        <v>104</v>
      </c>
      <c r="H102" s="128"/>
      <c r="I102" s="127"/>
      <c r="J102" s="128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spans="1:29" ht="14.25" customHeight="1">
      <c r="A103" s="23">
        <v>101</v>
      </c>
      <c r="B103" s="23" t="s">
        <v>529</v>
      </c>
      <c r="C103" s="23">
        <v>2</v>
      </c>
      <c r="D103" s="25">
        <v>16.600000000000001</v>
      </c>
      <c r="E103" s="25" t="s">
        <v>61</v>
      </c>
      <c r="F103" s="25" t="s">
        <v>124</v>
      </c>
      <c r="G103" s="26" t="s">
        <v>104</v>
      </c>
      <c r="H103" s="128"/>
      <c r="I103" s="127"/>
      <c r="J103" s="128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spans="1:29" ht="14.25" customHeight="1">
      <c r="A104" s="23">
        <v>102</v>
      </c>
      <c r="B104" s="23" t="s">
        <v>529</v>
      </c>
      <c r="C104" s="23">
        <v>3</v>
      </c>
      <c r="D104" s="25">
        <v>12.3</v>
      </c>
      <c r="E104" s="25">
        <v>10.6</v>
      </c>
      <c r="F104" s="25" t="s">
        <v>62</v>
      </c>
      <c r="G104" s="147" t="s">
        <v>54</v>
      </c>
      <c r="H104" s="128"/>
      <c r="I104" s="127"/>
      <c r="J104" s="128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spans="1:29" ht="14.25" customHeight="1">
      <c r="A105" s="23">
        <v>103</v>
      </c>
      <c r="B105" s="23" t="s">
        <v>533</v>
      </c>
      <c r="C105" s="23">
        <v>1</v>
      </c>
      <c r="D105" s="25">
        <v>16.8</v>
      </c>
      <c r="E105" s="25">
        <v>10.1</v>
      </c>
      <c r="F105" s="25" t="s">
        <v>55</v>
      </c>
      <c r="G105" s="111" t="s">
        <v>104</v>
      </c>
      <c r="H105" s="128"/>
      <c r="I105" s="127"/>
      <c r="J105" s="128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spans="1:29" ht="14.25" customHeight="1">
      <c r="A106" s="23">
        <v>104</v>
      </c>
      <c r="B106" s="23" t="s">
        <v>533</v>
      </c>
      <c r="C106" s="23">
        <v>2</v>
      </c>
      <c r="D106" s="25">
        <v>16.2</v>
      </c>
      <c r="E106" s="25" t="s">
        <v>61</v>
      </c>
      <c r="F106" s="25" t="s">
        <v>150</v>
      </c>
      <c r="G106" s="111" t="s">
        <v>104</v>
      </c>
      <c r="H106" s="128"/>
      <c r="I106" s="127"/>
      <c r="J106" s="128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spans="1:29" ht="14.25" customHeight="1">
      <c r="A107" s="23">
        <v>105</v>
      </c>
      <c r="B107" s="23" t="s">
        <v>533</v>
      </c>
      <c r="C107" s="23">
        <v>3</v>
      </c>
      <c r="D107" s="25">
        <v>12.8</v>
      </c>
      <c r="E107" s="25">
        <v>10.3</v>
      </c>
      <c r="F107" s="25" t="s">
        <v>150</v>
      </c>
      <c r="G107" s="111" t="s">
        <v>104</v>
      </c>
      <c r="H107" s="128"/>
      <c r="I107" s="127"/>
      <c r="J107" s="128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spans="1:29" ht="14.25" customHeight="1">
      <c r="A108" s="23">
        <v>106</v>
      </c>
      <c r="B108" s="23" t="s">
        <v>536</v>
      </c>
      <c r="C108" s="23">
        <v>1</v>
      </c>
      <c r="D108" s="25">
        <v>16.100000000000001</v>
      </c>
      <c r="E108" s="25">
        <v>10.199999999999999</v>
      </c>
      <c r="F108" s="25" t="s">
        <v>88</v>
      </c>
      <c r="G108" s="111" t="s">
        <v>104</v>
      </c>
      <c r="H108" s="128"/>
      <c r="I108" s="127"/>
      <c r="J108" s="128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spans="1:29" ht="14.25" customHeight="1">
      <c r="A109" s="23">
        <v>107</v>
      </c>
      <c r="B109" s="23" t="s">
        <v>536</v>
      </c>
      <c r="C109" s="23">
        <v>2</v>
      </c>
      <c r="D109" s="25">
        <v>16.899999999999999</v>
      </c>
      <c r="E109" s="25" t="s">
        <v>61</v>
      </c>
      <c r="F109" s="25" t="s">
        <v>88</v>
      </c>
      <c r="G109" s="111" t="s">
        <v>104</v>
      </c>
      <c r="H109" s="128"/>
      <c r="I109" s="127"/>
      <c r="J109" s="128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spans="1:29" ht="14.25" customHeight="1">
      <c r="A110" s="23">
        <v>108</v>
      </c>
      <c r="B110" s="23" t="s">
        <v>536</v>
      </c>
      <c r="C110" s="23">
        <v>3</v>
      </c>
      <c r="D110" s="25">
        <v>12.6</v>
      </c>
      <c r="E110" s="25">
        <v>10.3</v>
      </c>
      <c r="F110" s="25" t="s">
        <v>77</v>
      </c>
      <c r="G110" s="147" t="s">
        <v>54</v>
      </c>
      <c r="H110" s="128"/>
      <c r="I110" s="127"/>
      <c r="J110" s="128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spans="1:29" ht="14.25" customHeight="1">
      <c r="A111" s="23">
        <v>109</v>
      </c>
      <c r="B111" s="23" t="s">
        <v>541</v>
      </c>
      <c r="C111" s="23">
        <v>1</v>
      </c>
      <c r="D111" s="25">
        <v>16.399999999999999</v>
      </c>
      <c r="E111" s="25">
        <v>10.8</v>
      </c>
      <c r="F111" s="25" t="s">
        <v>47</v>
      </c>
      <c r="G111" s="111" t="s">
        <v>104</v>
      </c>
      <c r="H111" s="128"/>
      <c r="I111" s="127"/>
      <c r="J111" s="128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spans="1:29" ht="14.25" customHeight="1">
      <c r="A112" s="23">
        <v>110</v>
      </c>
      <c r="B112" s="23" t="s">
        <v>541</v>
      </c>
      <c r="C112" s="23">
        <v>2</v>
      </c>
      <c r="D112" s="25">
        <v>15.9</v>
      </c>
      <c r="E112" s="25" t="s">
        <v>61</v>
      </c>
      <c r="F112" s="25" t="s">
        <v>47</v>
      </c>
      <c r="G112" s="111" t="s">
        <v>104</v>
      </c>
      <c r="H112" s="128"/>
      <c r="I112" s="127"/>
      <c r="J112" s="128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spans="1:29" ht="14.25" customHeight="1">
      <c r="A113" s="23">
        <v>111</v>
      </c>
      <c r="B113" s="23" t="s">
        <v>541</v>
      </c>
      <c r="C113" s="23">
        <v>3</v>
      </c>
      <c r="D113" s="25">
        <v>13.2</v>
      </c>
      <c r="E113" s="25">
        <v>11</v>
      </c>
      <c r="F113" s="25" t="s">
        <v>62</v>
      </c>
      <c r="G113" s="147" t="s">
        <v>54</v>
      </c>
      <c r="H113" s="128"/>
      <c r="I113" s="127"/>
      <c r="J113" s="128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spans="1:29" ht="14.25" customHeight="1">
      <c r="A114" s="23">
        <v>112</v>
      </c>
      <c r="B114" s="23" t="s">
        <v>544</v>
      </c>
      <c r="C114" s="23">
        <v>1</v>
      </c>
      <c r="D114" s="25">
        <v>16.899999999999999</v>
      </c>
      <c r="E114" s="25">
        <v>11.4</v>
      </c>
      <c r="F114" s="25" t="s">
        <v>77</v>
      </c>
      <c r="G114" s="147" t="s">
        <v>54</v>
      </c>
      <c r="H114" s="128"/>
      <c r="I114" s="127"/>
      <c r="J114" s="128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spans="1:29" ht="14.25" customHeight="1">
      <c r="A115" s="23">
        <v>113</v>
      </c>
      <c r="B115" s="23" t="s">
        <v>544</v>
      </c>
      <c r="C115" s="23">
        <v>2</v>
      </c>
      <c r="D115" s="25">
        <v>17.3</v>
      </c>
      <c r="E115" s="25" t="s">
        <v>61</v>
      </c>
      <c r="F115" s="25" t="s">
        <v>77</v>
      </c>
      <c r="G115" s="147" t="s">
        <v>54</v>
      </c>
      <c r="H115" s="128"/>
      <c r="I115" s="127"/>
      <c r="J115" s="128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spans="1:29" ht="14.25" customHeight="1">
      <c r="A116" s="23">
        <v>114</v>
      </c>
      <c r="B116" s="23" t="s">
        <v>544</v>
      </c>
      <c r="C116" s="23">
        <v>3</v>
      </c>
      <c r="D116" s="25">
        <v>13</v>
      </c>
      <c r="E116" s="25">
        <v>11.2</v>
      </c>
      <c r="F116" s="25" t="s">
        <v>77</v>
      </c>
      <c r="G116" s="147" t="s">
        <v>54</v>
      </c>
      <c r="H116" s="128"/>
      <c r="I116" s="127"/>
      <c r="J116" s="128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spans="1:29" ht="14.25" customHeight="1">
      <c r="A117" s="23">
        <v>115</v>
      </c>
      <c r="B117" s="23" t="s">
        <v>548</v>
      </c>
      <c r="C117" s="23">
        <v>1</v>
      </c>
      <c r="D117" s="25">
        <v>16.5</v>
      </c>
      <c r="E117" s="25">
        <v>10.8</v>
      </c>
      <c r="F117" s="25" t="s">
        <v>124</v>
      </c>
      <c r="G117" s="26" t="s">
        <v>104</v>
      </c>
      <c r="H117" s="128"/>
      <c r="I117" s="127"/>
      <c r="J117" s="128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spans="1:29" ht="14.25" customHeight="1">
      <c r="A118" s="23">
        <v>116</v>
      </c>
      <c r="B118" s="23" t="s">
        <v>548</v>
      </c>
      <c r="C118" s="23">
        <v>2</v>
      </c>
      <c r="D118" s="25">
        <v>16</v>
      </c>
      <c r="E118" s="25" t="s">
        <v>61</v>
      </c>
      <c r="F118" s="25" t="s">
        <v>55</v>
      </c>
      <c r="G118" s="111" t="s">
        <v>104</v>
      </c>
      <c r="H118" s="128"/>
      <c r="I118" s="127"/>
      <c r="J118" s="128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spans="1:29" ht="14.25" customHeight="1">
      <c r="A119" s="23">
        <v>117</v>
      </c>
      <c r="B119" s="23" t="s">
        <v>548</v>
      </c>
      <c r="C119" s="23">
        <v>3</v>
      </c>
      <c r="D119" s="25">
        <v>13.3</v>
      </c>
      <c r="E119" s="25">
        <v>10.6</v>
      </c>
      <c r="F119" s="25" t="s">
        <v>55</v>
      </c>
      <c r="G119" s="111" t="s">
        <v>104</v>
      </c>
      <c r="H119" s="128"/>
      <c r="I119" s="127"/>
      <c r="J119" s="128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spans="1:29" ht="14.25" customHeight="1">
      <c r="A120" s="23">
        <v>118</v>
      </c>
      <c r="B120" s="23" t="s">
        <v>552</v>
      </c>
      <c r="C120" s="23">
        <v>1</v>
      </c>
      <c r="D120" s="25">
        <v>15.7</v>
      </c>
      <c r="E120" s="25">
        <v>10.6</v>
      </c>
      <c r="F120" s="25" t="s">
        <v>62</v>
      </c>
      <c r="G120" s="147" t="s">
        <v>54</v>
      </c>
      <c r="H120" s="128"/>
      <c r="I120" s="127"/>
      <c r="J120" s="128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spans="1:29" ht="14.25" customHeight="1">
      <c r="A121" s="23">
        <v>119</v>
      </c>
      <c r="B121" s="23" t="s">
        <v>552</v>
      </c>
      <c r="C121" s="23">
        <v>2</v>
      </c>
      <c r="D121" s="25">
        <v>16.600000000000001</v>
      </c>
      <c r="E121" s="25" t="s">
        <v>61</v>
      </c>
      <c r="F121" s="25" t="s">
        <v>55</v>
      </c>
      <c r="G121" s="111" t="s">
        <v>104</v>
      </c>
      <c r="H121" s="128"/>
      <c r="I121" s="127"/>
      <c r="J121" s="128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spans="1:29" ht="14.25" customHeight="1">
      <c r="A122" s="23">
        <v>120</v>
      </c>
      <c r="B122" s="23" t="s">
        <v>552</v>
      </c>
      <c r="C122" s="23">
        <v>3</v>
      </c>
      <c r="D122" s="25">
        <v>13.7</v>
      </c>
      <c r="E122" s="25">
        <v>10.9</v>
      </c>
      <c r="F122" s="25" t="s">
        <v>112</v>
      </c>
      <c r="G122" s="111" t="s">
        <v>104</v>
      </c>
      <c r="H122" s="128"/>
      <c r="I122" s="127"/>
      <c r="J122" s="128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spans="1:29" ht="14.25" customHeight="1">
      <c r="A123" s="23">
        <v>121</v>
      </c>
      <c r="B123" s="23" t="s">
        <v>555</v>
      </c>
      <c r="C123" s="23">
        <v>1</v>
      </c>
      <c r="D123" s="25">
        <v>16.2</v>
      </c>
      <c r="E123" s="25">
        <v>10.4</v>
      </c>
      <c r="F123" s="25" t="s">
        <v>89</v>
      </c>
      <c r="G123" s="111" t="s">
        <v>104</v>
      </c>
      <c r="H123" s="128"/>
      <c r="I123" s="127"/>
      <c r="J123" s="128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spans="1:29" ht="14.25" customHeight="1">
      <c r="A124" s="23">
        <v>122</v>
      </c>
      <c r="B124" s="23" t="s">
        <v>555</v>
      </c>
      <c r="C124" s="23">
        <v>2</v>
      </c>
      <c r="D124" s="25">
        <v>16.3</v>
      </c>
      <c r="E124" s="25" t="s">
        <v>61</v>
      </c>
      <c r="F124" s="25" t="s">
        <v>88</v>
      </c>
      <c r="G124" s="74"/>
      <c r="H124" s="128"/>
      <c r="I124" s="127"/>
      <c r="J124" s="128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spans="1:29" ht="14.25" customHeight="1">
      <c r="A125" s="23">
        <v>123</v>
      </c>
      <c r="B125" s="23" t="s">
        <v>555</v>
      </c>
      <c r="C125" s="23">
        <v>3</v>
      </c>
      <c r="D125" s="25">
        <v>12.8</v>
      </c>
      <c r="E125" s="25">
        <v>10.4</v>
      </c>
      <c r="F125" s="25" t="s">
        <v>88</v>
      </c>
      <c r="G125" s="111" t="s">
        <v>104</v>
      </c>
      <c r="H125" s="128"/>
      <c r="I125" s="127"/>
      <c r="J125" s="128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spans="1:29" ht="14.25" customHeight="1">
      <c r="A126" s="23">
        <v>124</v>
      </c>
      <c r="B126" s="23" t="s">
        <v>558</v>
      </c>
      <c r="C126" s="23">
        <v>1</v>
      </c>
      <c r="D126" s="25">
        <v>12.5</v>
      </c>
      <c r="E126" s="25">
        <v>10.6</v>
      </c>
      <c r="F126" s="25" t="s">
        <v>55</v>
      </c>
      <c r="G126" s="111" t="s">
        <v>104</v>
      </c>
      <c r="H126" s="128"/>
      <c r="I126" s="127"/>
      <c r="J126" s="128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1:29" ht="14.25" customHeight="1">
      <c r="A127" s="23">
        <v>125</v>
      </c>
      <c r="B127" s="23" t="s">
        <v>558</v>
      </c>
      <c r="C127" s="23">
        <v>2</v>
      </c>
      <c r="D127" s="25">
        <v>16.5</v>
      </c>
      <c r="E127" s="25" t="s">
        <v>61</v>
      </c>
      <c r="F127" s="25" t="s">
        <v>55</v>
      </c>
      <c r="G127" s="111" t="s">
        <v>104</v>
      </c>
      <c r="H127" s="128"/>
      <c r="I127" s="127"/>
      <c r="J127" s="128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spans="1:29" ht="14.25" customHeight="1">
      <c r="A128" s="23">
        <v>126</v>
      </c>
      <c r="B128" s="23" t="s">
        <v>558</v>
      </c>
      <c r="C128" s="23">
        <v>3</v>
      </c>
      <c r="D128" s="25">
        <v>16.600000000000001</v>
      </c>
      <c r="E128" s="25">
        <v>10.9</v>
      </c>
      <c r="F128" s="25" t="s">
        <v>55</v>
      </c>
      <c r="G128" s="111" t="s">
        <v>104</v>
      </c>
      <c r="H128" s="128"/>
      <c r="I128" s="127"/>
      <c r="J128" s="128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spans="1:29" ht="14.25" customHeight="1">
      <c r="A129" s="23">
        <v>127</v>
      </c>
      <c r="B129" s="23" t="s">
        <v>561</v>
      </c>
      <c r="C129" s="23">
        <v>1</v>
      </c>
      <c r="D129" s="25">
        <v>12.7</v>
      </c>
      <c r="E129" s="25">
        <v>10.199999999999999</v>
      </c>
      <c r="F129" s="25" t="s">
        <v>79</v>
      </c>
      <c r="G129" s="111" t="s">
        <v>104</v>
      </c>
      <c r="H129" s="128"/>
      <c r="I129" s="127"/>
      <c r="J129" s="128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spans="1:29" ht="14.25" customHeight="1">
      <c r="A130" s="23">
        <v>128</v>
      </c>
      <c r="B130" s="23" t="s">
        <v>561</v>
      </c>
      <c r="C130" s="23">
        <v>2</v>
      </c>
      <c r="D130" s="25">
        <v>15.8</v>
      </c>
      <c r="E130" s="25" t="s">
        <v>61</v>
      </c>
      <c r="F130" s="25" t="s">
        <v>55</v>
      </c>
      <c r="G130" s="111" t="s">
        <v>104</v>
      </c>
      <c r="H130" s="128"/>
      <c r="I130" s="127"/>
      <c r="J130" s="128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spans="1:29" ht="14.25" customHeight="1">
      <c r="A131" s="23">
        <v>129</v>
      </c>
      <c r="B131" s="23" t="s">
        <v>561</v>
      </c>
      <c r="C131" s="23">
        <v>3</v>
      </c>
      <c r="D131" s="25">
        <v>16.3</v>
      </c>
      <c r="E131" s="25">
        <v>10.3</v>
      </c>
      <c r="F131" s="25" t="s">
        <v>62</v>
      </c>
      <c r="G131" s="147" t="s">
        <v>54</v>
      </c>
      <c r="H131" s="128"/>
      <c r="I131" s="127"/>
      <c r="J131" s="128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spans="1:29" ht="14.25" customHeight="1">
      <c r="A132" s="23">
        <v>130</v>
      </c>
      <c r="B132" s="23" t="s">
        <v>565</v>
      </c>
      <c r="C132" s="23">
        <v>1</v>
      </c>
      <c r="D132" s="25">
        <v>16.600000000000001</v>
      </c>
      <c r="E132" s="25">
        <v>11.3</v>
      </c>
      <c r="F132" s="25" t="s">
        <v>118</v>
      </c>
      <c r="G132" s="147" t="s">
        <v>54</v>
      </c>
      <c r="H132" s="128"/>
      <c r="I132" s="127"/>
      <c r="J132" s="128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spans="1:29" ht="14.25" customHeight="1">
      <c r="A133" s="23">
        <v>131</v>
      </c>
      <c r="B133" s="23" t="s">
        <v>565</v>
      </c>
      <c r="C133" s="23">
        <v>2</v>
      </c>
      <c r="D133" s="25">
        <v>17.3</v>
      </c>
      <c r="E133" s="25" t="s">
        <v>61</v>
      </c>
      <c r="F133" s="25" t="s">
        <v>77</v>
      </c>
      <c r="G133" s="147" t="s">
        <v>54</v>
      </c>
      <c r="H133" s="128"/>
      <c r="I133" s="127"/>
      <c r="J133" s="128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spans="1:29" ht="14.25" customHeight="1">
      <c r="A134" s="23">
        <v>132</v>
      </c>
      <c r="B134" s="23" t="s">
        <v>565</v>
      </c>
      <c r="C134" s="23">
        <v>3</v>
      </c>
      <c r="D134" s="25">
        <v>13.2</v>
      </c>
      <c r="E134" s="25">
        <v>11.3</v>
      </c>
      <c r="F134" s="25" t="s">
        <v>36</v>
      </c>
      <c r="G134" s="147" t="s">
        <v>54</v>
      </c>
      <c r="H134" s="128"/>
      <c r="I134" s="127"/>
      <c r="J134" s="128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spans="1:29" ht="14.25" customHeight="1">
      <c r="A135" s="23">
        <v>133</v>
      </c>
      <c r="B135" s="23" t="s">
        <v>569</v>
      </c>
      <c r="C135" s="23">
        <v>1</v>
      </c>
      <c r="D135" s="25">
        <v>16.5</v>
      </c>
      <c r="E135" s="25">
        <v>10.9</v>
      </c>
      <c r="F135" s="25" t="s">
        <v>118</v>
      </c>
      <c r="G135" s="147" t="s">
        <v>54</v>
      </c>
      <c r="H135" s="128"/>
      <c r="I135" s="127"/>
      <c r="J135" s="128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spans="1:29" ht="14.25" customHeight="1">
      <c r="A136" s="23">
        <v>134</v>
      </c>
      <c r="B136" s="23" t="s">
        <v>569</v>
      </c>
      <c r="C136" s="23">
        <v>2</v>
      </c>
      <c r="D136" s="25">
        <v>16.399999999999999</v>
      </c>
      <c r="E136" s="25" t="s">
        <v>61</v>
      </c>
      <c r="F136" s="25" t="s">
        <v>55</v>
      </c>
      <c r="G136" s="111" t="s">
        <v>104</v>
      </c>
      <c r="H136" s="128"/>
      <c r="I136" s="127"/>
      <c r="J136" s="128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spans="1:29" ht="14.25" customHeight="1">
      <c r="A137" s="23">
        <v>135</v>
      </c>
      <c r="B137" s="23" t="s">
        <v>569</v>
      </c>
      <c r="C137" s="23">
        <v>3</v>
      </c>
      <c r="D137" s="25">
        <v>12.5</v>
      </c>
      <c r="E137" s="25">
        <v>10.8</v>
      </c>
      <c r="F137" s="25" t="s">
        <v>88</v>
      </c>
      <c r="G137" s="111" t="s">
        <v>104</v>
      </c>
      <c r="H137" s="128"/>
      <c r="I137" s="127"/>
      <c r="J137" s="128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spans="1:29" ht="14.25" customHeight="1">
      <c r="A138" s="23">
        <v>136</v>
      </c>
      <c r="B138" s="23" t="s">
        <v>573</v>
      </c>
      <c r="C138" s="23">
        <v>1</v>
      </c>
      <c r="D138" s="25">
        <v>16.8</v>
      </c>
      <c r="E138" s="25">
        <v>10.9</v>
      </c>
      <c r="F138" s="25" t="s">
        <v>150</v>
      </c>
      <c r="G138" s="111" t="s">
        <v>104</v>
      </c>
      <c r="H138" s="128"/>
      <c r="I138" s="127"/>
      <c r="J138" s="128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spans="1:29" ht="14.25" customHeight="1">
      <c r="A139" s="23">
        <v>137</v>
      </c>
      <c r="B139" s="23" t="s">
        <v>573</v>
      </c>
      <c r="C139" s="23">
        <v>2</v>
      </c>
      <c r="D139" s="25">
        <v>16.899999999999999</v>
      </c>
      <c r="E139" s="25" t="s">
        <v>61</v>
      </c>
      <c r="F139" s="25" t="s">
        <v>150</v>
      </c>
      <c r="G139" s="111" t="s">
        <v>104</v>
      </c>
      <c r="H139" s="128"/>
      <c r="I139" s="127"/>
      <c r="J139" s="128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spans="1:29" ht="14.25" customHeight="1">
      <c r="A140" s="23">
        <v>138</v>
      </c>
      <c r="B140" s="23" t="s">
        <v>573</v>
      </c>
      <c r="C140" s="23">
        <v>3</v>
      </c>
      <c r="D140" s="25">
        <v>12.5</v>
      </c>
      <c r="E140" s="25">
        <v>10.4</v>
      </c>
      <c r="F140" s="25" t="s">
        <v>118</v>
      </c>
      <c r="G140" s="147" t="s">
        <v>54</v>
      </c>
      <c r="H140" s="128"/>
      <c r="I140" s="127"/>
      <c r="J140" s="128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spans="1:29" ht="14.25" customHeight="1">
      <c r="A141" s="23">
        <v>139</v>
      </c>
      <c r="B141" s="23" t="s">
        <v>575</v>
      </c>
      <c r="C141" s="23">
        <v>1</v>
      </c>
      <c r="D141" s="25">
        <v>17</v>
      </c>
      <c r="E141" s="25">
        <v>10.6</v>
      </c>
      <c r="F141" s="25" t="s">
        <v>47</v>
      </c>
      <c r="G141" s="111" t="s">
        <v>104</v>
      </c>
      <c r="H141" s="128"/>
      <c r="I141" s="127"/>
      <c r="J141" s="128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spans="1:29" ht="14.25" customHeight="1">
      <c r="A142" s="23">
        <v>140</v>
      </c>
      <c r="B142" s="23" t="s">
        <v>575</v>
      </c>
      <c r="C142" s="23">
        <v>2</v>
      </c>
      <c r="D142" s="25">
        <v>16.399999999999999</v>
      </c>
      <c r="E142" s="25" t="s">
        <v>61</v>
      </c>
      <c r="F142" s="25" t="s">
        <v>79</v>
      </c>
      <c r="G142" s="111" t="s">
        <v>104</v>
      </c>
      <c r="H142" s="128"/>
      <c r="I142" s="127"/>
      <c r="J142" s="128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spans="1:29" ht="14.25" customHeight="1">
      <c r="A143" s="23">
        <v>141</v>
      </c>
      <c r="B143" s="23" t="s">
        <v>575</v>
      </c>
      <c r="C143" s="23">
        <v>3</v>
      </c>
      <c r="D143" s="25">
        <v>13.4</v>
      </c>
      <c r="E143" s="25">
        <v>10.4</v>
      </c>
      <c r="F143" s="25" t="s">
        <v>47</v>
      </c>
      <c r="G143" s="111" t="s">
        <v>104</v>
      </c>
      <c r="H143" s="128"/>
      <c r="I143" s="127"/>
      <c r="J143" s="128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spans="1:29" ht="14.25" customHeight="1">
      <c r="A144" s="23">
        <v>142</v>
      </c>
      <c r="B144" s="23" t="s">
        <v>577</v>
      </c>
      <c r="C144" s="23">
        <v>1</v>
      </c>
      <c r="D144" s="25">
        <v>12.3</v>
      </c>
      <c r="E144" s="25">
        <v>10.6</v>
      </c>
      <c r="F144" s="25" t="s">
        <v>118</v>
      </c>
      <c r="G144" s="147" t="s">
        <v>54</v>
      </c>
      <c r="H144" s="128"/>
      <c r="I144" s="127"/>
      <c r="J144" s="128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spans="1:29" ht="14.25" customHeight="1">
      <c r="A145" s="23">
        <v>143</v>
      </c>
      <c r="B145" s="23" t="s">
        <v>577</v>
      </c>
      <c r="C145" s="23">
        <v>2</v>
      </c>
      <c r="D145" s="25">
        <v>17.399999999999999</v>
      </c>
      <c r="E145" s="25" t="s">
        <v>61</v>
      </c>
      <c r="F145" s="25" t="s">
        <v>55</v>
      </c>
      <c r="G145" s="111" t="s">
        <v>104</v>
      </c>
      <c r="H145" s="128"/>
      <c r="I145" s="127"/>
      <c r="J145" s="128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spans="1:29" ht="14.25" customHeight="1">
      <c r="A146" s="23">
        <v>144</v>
      </c>
      <c r="B146" s="23" t="s">
        <v>577</v>
      </c>
      <c r="C146" s="23">
        <v>3</v>
      </c>
      <c r="D146" s="25">
        <v>16.8</v>
      </c>
      <c r="E146" s="25">
        <v>10.6</v>
      </c>
      <c r="F146" s="25" t="s">
        <v>118</v>
      </c>
      <c r="G146" s="147" t="s">
        <v>54</v>
      </c>
      <c r="H146" s="128"/>
      <c r="I146" s="127"/>
      <c r="J146" s="128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spans="1:29" ht="14.25" customHeight="1">
      <c r="A147" s="23">
        <v>145</v>
      </c>
      <c r="B147" s="23" t="s">
        <v>579</v>
      </c>
      <c r="C147" s="23">
        <v>1</v>
      </c>
      <c r="D147" s="25">
        <v>16.600000000000001</v>
      </c>
      <c r="E147" s="25">
        <v>11.4</v>
      </c>
      <c r="F147" s="25" t="s">
        <v>150</v>
      </c>
      <c r="G147" s="111" t="s">
        <v>580</v>
      </c>
      <c r="H147" s="128"/>
      <c r="I147" s="127"/>
      <c r="J147" s="128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spans="1:29" ht="14.25" customHeight="1">
      <c r="A148" s="23">
        <v>146</v>
      </c>
      <c r="B148" s="23" t="s">
        <v>579</v>
      </c>
      <c r="C148" s="23">
        <v>2</v>
      </c>
      <c r="D148" s="25">
        <v>15.6</v>
      </c>
      <c r="E148" s="25" t="s">
        <v>61</v>
      </c>
      <c r="F148" s="25" t="s">
        <v>150</v>
      </c>
      <c r="G148" s="111" t="s">
        <v>582</v>
      </c>
      <c r="H148" s="128"/>
      <c r="I148" s="127"/>
      <c r="J148" s="128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spans="1:29" ht="14.25" customHeight="1">
      <c r="A149" s="23">
        <v>147</v>
      </c>
      <c r="B149" s="23" t="s">
        <v>579</v>
      </c>
      <c r="C149" s="23">
        <v>3</v>
      </c>
      <c r="D149" s="25">
        <v>12.1</v>
      </c>
      <c r="E149" s="25">
        <v>10.5</v>
      </c>
      <c r="F149" s="25" t="s">
        <v>55</v>
      </c>
      <c r="G149" s="111" t="s">
        <v>104</v>
      </c>
      <c r="H149" s="128"/>
      <c r="I149" s="127"/>
      <c r="J149" s="128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spans="1:29" ht="14.25" customHeight="1">
      <c r="A150" s="23">
        <v>148</v>
      </c>
      <c r="B150" s="23" t="s">
        <v>583</v>
      </c>
      <c r="C150" s="23">
        <v>1</v>
      </c>
      <c r="D150" s="25">
        <v>16</v>
      </c>
      <c r="E150" s="25">
        <v>11</v>
      </c>
      <c r="F150" s="25" t="s">
        <v>118</v>
      </c>
      <c r="G150" s="147" t="s">
        <v>54</v>
      </c>
      <c r="H150" s="128"/>
      <c r="I150" s="127"/>
      <c r="J150" s="128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spans="1:29" ht="14.25" customHeight="1">
      <c r="A151" s="23">
        <v>149</v>
      </c>
      <c r="B151" s="23" t="s">
        <v>583</v>
      </c>
      <c r="C151" s="23">
        <v>2</v>
      </c>
      <c r="D151" s="25">
        <v>15.9</v>
      </c>
      <c r="E151" s="25" t="s">
        <v>61</v>
      </c>
      <c r="F151" s="25" t="s">
        <v>77</v>
      </c>
      <c r="G151" s="147" t="s">
        <v>54</v>
      </c>
      <c r="H151" s="128"/>
      <c r="I151" s="127"/>
      <c r="J151" s="128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spans="1:29" ht="14.25" customHeight="1">
      <c r="A152" s="23">
        <v>150</v>
      </c>
      <c r="B152" s="23" t="s">
        <v>583</v>
      </c>
      <c r="C152" s="23">
        <v>3</v>
      </c>
      <c r="D152" s="25">
        <v>12.7</v>
      </c>
      <c r="E152" s="25">
        <v>10.5</v>
      </c>
      <c r="F152" s="25" t="s">
        <v>12</v>
      </c>
      <c r="G152" s="74"/>
      <c r="H152" s="128"/>
      <c r="I152" s="127"/>
      <c r="J152" s="128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spans="1:29" ht="14.25" customHeight="1">
      <c r="A153" s="23">
        <v>151</v>
      </c>
      <c r="B153" s="23" t="s">
        <v>584</v>
      </c>
      <c r="C153" s="23">
        <v>1</v>
      </c>
      <c r="D153" s="25">
        <v>16.899999999999999</v>
      </c>
      <c r="E153" s="25">
        <v>11</v>
      </c>
      <c r="F153" s="25" t="s">
        <v>62</v>
      </c>
      <c r="G153" s="147" t="s">
        <v>54</v>
      </c>
      <c r="H153" s="128"/>
      <c r="I153" s="127"/>
      <c r="J153" s="128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spans="1:29" ht="14.25" customHeight="1">
      <c r="A154" s="23">
        <v>152</v>
      </c>
      <c r="B154" s="23" t="s">
        <v>584</v>
      </c>
      <c r="C154" s="23">
        <v>2</v>
      </c>
      <c r="D154" s="25">
        <v>17.3</v>
      </c>
      <c r="E154" s="25" t="s">
        <v>61</v>
      </c>
      <c r="F154" s="25" t="s">
        <v>89</v>
      </c>
      <c r="G154" s="111" t="s">
        <v>104</v>
      </c>
      <c r="H154" s="128"/>
      <c r="I154" s="127"/>
      <c r="J154" s="128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spans="1:29" ht="14.25" customHeight="1">
      <c r="A155" s="23">
        <v>153</v>
      </c>
      <c r="B155" s="23" t="s">
        <v>584</v>
      </c>
      <c r="C155" s="23">
        <v>3</v>
      </c>
      <c r="D155" s="25">
        <v>13.4</v>
      </c>
      <c r="E155" s="25">
        <v>11.1</v>
      </c>
      <c r="F155" s="25" t="s">
        <v>88</v>
      </c>
      <c r="G155" s="111" t="s">
        <v>104</v>
      </c>
      <c r="H155" s="128"/>
      <c r="I155" s="127"/>
      <c r="J155" s="128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spans="1:29" ht="14.25" customHeight="1">
      <c r="A156" s="23">
        <v>154</v>
      </c>
      <c r="B156" s="23" t="s">
        <v>585</v>
      </c>
      <c r="C156" s="23">
        <v>1</v>
      </c>
      <c r="D156" s="25">
        <v>16.600000000000001</v>
      </c>
      <c r="E156" s="25">
        <v>10.6</v>
      </c>
      <c r="F156" s="25" t="s">
        <v>79</v>
      </c>
      <c r="G156" s="111" t="s">
        <v>104</v>
      </c>
      <c r="H156" s="128"/>
      <c r="I156" s="127"/>
      <c r="J156" s="128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spans="1:29" ht="14.25" customHeight="1">
      <c r="A157" s="23">
        <v>155</v>
      </c>
      <c r="B157" s="23" t="s">
        <v>585</v>
      </c>
      <c r="C157" s="23">
        <v>2</v>
      </c>
      <c r="D157" s="25">
        <v>16</v>
      </c>
      <c r="E157" s="25" t="s">
        <v>61</v>
      </c>
      <c r="F157" s="25" t="s">
        <v>77</v>
      </c>
      <c r="G157" s="147" t="s">
        <v>54</v>
      </c>
      <c r="H157" s="128"/>
      <c r="I157" s="127"/>
      <c r="J157" s="128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spans="1:29" ht="14.25" customHeight="1">
      <c r="A158" s="23">
        <v>156</v>
      </c>
      <c r="B158" s="23" t="s">
        <v>585</v>
      </c>
      <c r="C158" s="23">
        <v>3</v>
      </c>
      <c r="D158" s="25">
        <v>13.2</v>
      </c>
      <c r="E158" s="25">
        <v>10.5</v>
      </c>
      <c r="F158" s="25" t="s">
        <v>77</v>
      </c>
      <c r="G158" s="147" t="s">
        <v>54</v>
      </c>
      <c r="H158" s="128"/>
      <c r="I158" s="127"/>
      <c r="J158" s="128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spans="1:29" ht="14.25" customHeight="1">
      <c r="A159" s="23">
        <v>157</v>
      </c>
      <c r="B159" s="23" t="s">
        <v>586</v>
      </c>
      <c r="C159" s="23">
        <v>1</v>
      </c>
      <c r="D159" s="25">
        <v>16.399999999999999</v>
      </c>
      <c r="E159" s="25">
        <v>10.7</v>
      </c>
      <c r="F159" s="25" t="s">
        <v>51</v>
      </c>
      <c r="G159" s="74"/>
      <c r="H159" s="128"/>
      <c r="I159" s="127"/>
      <c r="J159" s="128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spans="1:29" ht="14.25" customHeight="1">
      <c r="A160" s="23">
        <v>158</v>
      </c>
      <c r="B160" s="23" t="s">
        <v>586</v>
      </c>
      <c r="C160" s="23">
        <v>2</v>
      </c>
      <c r="D160" s="25">
        <v>16.899999999999999</v>
      </c>
      <c r="E160" s="25" t="s">
        <v>61</v>
      </c>
      <c r="F160" s="25" t="s">
        <v>89</v>
      </c>
      <c r="G160" s="111" t="s">
        <v>104</v>
      </c>
      <c r="H160" s="128"/>
      <c r="I160" s="127"/>
      <c r="J160" s="128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spans="1:29" ht="14.25" customHeight="1">
      <c r="A161" s="23">
        <v>159</v>
      </c>
      <c r="B161" s="23" t="s">
        <v>586</v>
      </c>
      <c r="C161" s="23">
        <v>3</v>
      </c>
      <c r="D161" s="25">
        <v>12.1</v>
      </c>
      <c r="E161" s="25">
        <v>10.6</v>
      </c>
      <c r="F161" s="25" t="s">
        <v>47</v>
      </c>
      <c r="G161" s="111" t="s">
        <v>104</v>
      </c>
      <c r="H161" s="128"/>
      <c r="I161" s="127"/>
      <c r="J161" s="128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spans="1:29" ht="14.25" customHeight="1">
      <c r="A162" s="23">
        <v>160</v>
      </c>
      <c r="B162" s="23" t="s">
        <v>587</v>
      </c>
      <c r="C162" s="23">
        <v>1</v>
      </c>
      <c r="D162" s="25">
        <v>16</v>
      </c>
      <c r="E162" s="25">
        <v>10.4</v>
      </c>
      <c r="F162" s="25" t="s">
        <v>55</v>
      </c>
      <c r="G162" s="111" t="s">
        <v>104</v>
      </c>
      <c r="H162" s="128"/>
      <c r="I162" s="127"/>
      <c r="J162" s="128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spans="1:29" ht="14.25" customHeight="1">
      <c r="A163" s="23">
        <v>161</v>
      </c>
      <c r="B163" s="23" t="s">
        <v>587</v>
      </c>
      <c r="C163" s="23">
        <v>2</v>
      </c>
      <c r="D163" s="25">
        <v>16.8</v>
      </c>
      <c r="E163" s="25" t="s">
        <v>61</v>
      </c>
      <c r="F163" s="25" t="s">
        <v>55</v>
      </c>
      <c r="G163" s="111" t="s">
        <v>104</v>
      </c>
      <c r="H163" s="128"/>
      <c r="I163" s="127"/>
      <c r="J163" s="128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spans="1:29" ht="14.25" customHeight="1">
      <c r="A164" s="23">
        <v>162</v>
      </c>
      <c r="B164" s="23" t="s">
        <v>587</v>
      </c>
      <c r="C164" s="23">
        <v>3</v>
      </c>
      <c r="D164" s="25">
        <v>12.7</v>
      </c>
      <c r="E164" s="25">
        <v>10.4</v>
      </c>
      <c r="F164" s="25" t="s">
        <v>55</v>
      </c>
      <c r="G164" s="111" t="s">
        <v>104</v>
      </c>
      <c r="H164" s="128"/>
      <c r="I164" s="127"/>
      <c r="J164" s="128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spans="1:29" ht="14.25" customHeight="1">
      <c r="A165" s="23">
        <v>163</v>
      </c>
      <c r="B165" s="23" t="s">
        <v>588</v>
      </c>
      <c r="C165" s="23">
        <v>1</v>
      </c>
      <c r="D165" s="25">
        <v>16.100000000000001</v>
      </c>
      <c r="E165" s="25">
        <v>10.4</v>
      </c>
      <c r="F165" s="25" t="s">
        <v>55</v>
      </c>
      <c r="G165" s="111" t="s">
        <v>104</v>
      </c>
      <c r="H165" s="128"/>
      <c r="I165" s="127"/>
      <c r="J165" s="128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spans="1:29" ht="14.25" customHeight="1">
      <c r="A166" s="23">
        <v>164</v>
      </c>
      <c r="B166" s="23" t="s">
        <v>588</v>
      </c>
      <c r="C166" s="23">
        <v>2</v>
      </c>
      <c r="D166" s="25">
        <v>16</v>
      </c>
      <c r="E166" s="25" t="s">
        <v>61</v>
      </c>
      <c r="F166" s="25" t="s">
        <v>55</v>
      </c>
      <c r="G166" s="111" t="s">
        <v>104</v>
      </c>
      <c r="H166" s="128"/>
      <c r="I166" s="127"/>
      <c r="J166" s="128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spans="1:29" ht="14.25" customHeight="1">
      <c r="A167" s="23">
        <v>165</v>
      </c>
      <c r="B167" s="23" t="s">
        <v>588</v>
      </c>
      <c r="C167" s="23">
        <v>3</v>
      </c>
      <c r="D167" s="25">
        <v>13</v>
      </c>
      <c r="E167" s="25">
        <v>10.3</v>
      </c>
      <c r="F167" s="25" t="s">
        <v>55</v>
      </c>
      <c r="G167" s="111" t="s">
        <v>104</v>
      </c>
      <c r="H167" s="128"/>
      <c r="I167" s="127"/>
      <c r="J167" s="128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 spans="1:29" ht="14.25" customHeight="1">
      <c r="A168" s="23">
        <v>166</v>
      </c>
      <c r="B168" s="23" t="s">
        <v>589</v>
      </c>
      <c r="C168" s="23">
        <v>1</v>
      </c>
      <c r="D168" s="25">
        <v>17.5</v>
      </c>
      <c r="E168" s="25">
        <v>10.9</v>
      </c>
      <c r="F168" s="25" t="s">
        <v>150</v>
      </c>
      <c r="G168" s="111" t="s">
        <v>178</v>
      </c>
      <c r="H168" s="128"/>
      <c r="I168" s="127"/>
      <c r="J168" s="128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 spans="1:29" ht="14.25" customHeight="1">
      <c r="A169" s="23">
        <v>167</v>
      </c>
      <c r="B169" s="23" t="s">
        <v>589</v>
      </c>
      <c r="C169" s="23">
        <v>2</v>
      </c>
      <c r="D169" s="25">
        <v>18</v>
      </c>
      <c r="E169" s="25" t="s">
        <v>61</v>
      </c>
      <c r="F169" s="25" t="s">
        <v>112</v>
      </c>
      <c r="G169" s="111" t="s">
        <v>104</v>
      </c>
      <c r="H169" s="128"/>
      <c r="I169" s="127"/>
      <c r="J169" s="128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spans="1:29" ht="14.25" customHeight="1">
      <c r="A170" s="23">
        <v>168</v>
      </c>
      <c r="B170" s="23" t="s">
        <v>589</v>
      </c>
      <c r="C170" s="23">
        <v>3</v>
      </c>
      <c r="D170" s="25">
        <v>13.7</v>
      </c>
      <c r="E170" s="25">
        <v>10.9</v>
      </c>
      <c r="F170" s="25" t="s">
        <v>89</v>
      </c>
      <c r="G170" s="111" t="s">
        <v>104</v>
      </c>
      <c r="H170" s="128"/>
      <c r="I170" s="127"/>
      <c r="J170" s="128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 spans="1:29" ht="14.25" customHeight="1">
      <c r="A171" s="23">
        <v>169</v>
      </c>
      <c r="B171" s="23" t="s">
        <v>590</v>
      </c>
      <c r="C171" s="23">
        <v>1</v>
      </c>
      <c r="D171" s="25">
        <v>16.8</v>
      </c>
      <c r="E171" s="25">
        <v>10.7</v>
      </c>
      <c r="F171" s="25" t="s">
        <v>55</v>
      </c>
      <c r="G171" s="111" t="s">
        <v>104</v>
      </c>
      <c r="H171" s="128"/>
      <c r="I171" s="127"/>
      <c r="J171" s="128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spans="1:29" ht="14.25" customHeight="1">
      <c r="A172" s="23">
        <v>170</v>
      </c>
      <c r="B172" s="23" t="s">
        <v>590</v>
      </c>
      <c r="C172" s="23">
        <v>2</v>
      </c>
      <c r="D172" s="25">
        <v>16.7</v>
      </c>
      <c r="E172" s="25" t="s">
        <v>61</v>
      </c>
      <c r="F172" s="25" t="s">
        <v>118</v>
      </c>
      <c r="G172" s="147" t="s">
        <v>54</v>
      </c>
      <c r="H172" s="128"/>
      <c r="I172" s="127"/>
      <c r="J172" s="128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 spans="1:29" ht="14.25" customHeight="1">
      <c r="A173" s="23">
        <v>171</v>
      </c>
      <c r="B173" s="23" t="s">
        <v>590</v>
      </c>
      <c r="C173" s="23">
        <v>3</v>
      </c>
      <c r="D173" s="25">
        <v>12.3</v>
      </c>
      <c r="E173" s="25">
        <v>10.6</v>
      </c>
      <c r="F173" s="25" t="s">
        <v>118</v>
      </c>
      <c r="G173" s="147" t="s">
        <v>54</v>
      </c>
      <c r="H173" s="128"/>
      <c r="I173" s="127"/>
      <c r="J173" s="128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 spans="1:29" ht="14.25" customHeight="1">
      <c r="A174" s="23">
        <v>172</v>
      </c>
      <c r="B174" s="23" t="s">
        <v>591</v>
      </c>
      <c r="C174" s="23">
        <v>1</v>
      </c>
      <c r="D174" s="25">
        <v>17.399999999999999</v>
      </c>
      <c r="E174" s="25">
        <v>10.9</v>
      </c>
      <c r="F174" s="25" t="s">
        <v>69</v>
      </c>
      <c r="G174" s="41" t="s">
        <v>104</v>
      </c>
      <c r="H174" s="128"/>
      <c r="I174" s="127"/>
      <c r="J174" s="128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 spans="1:29" ht="14.25" customHeight="1">
      <c r="A175" s="23">
        <v>173</v>
      </c>
      <c r="B175" s="23" t="s">
        <v>591</v>
      </c>
      <c r="C175" s="23">
        <v>2</v>
      </c>
      <c r="D175" s="25">
        <v>18.600000000000001</v>
      </c>
      <c r="E175" s="25" t="s">
        <v>61</v>
      </c>
      <c r="F175" s="25" t="s">
        <v>124</v>
      </c>
      <c r="G175" s="26" t="s">
        <v>104</v>
      </c>
      <c r="H175" s="128"/>
      <c r="I175" s="127"/>
      <c r="J175" s="128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 spans="1:29" ht="14.25" customHeight="1">
      <c r="A176" s="23">
        <v>174</v>
      </c>
      <c r="B176" s="23" t="s">
        <v>591</v>
      </c>
      <c r="C176" s="23">
        <v>3</v>
      </c>
      <c r="D176" s="25">
        <v>12.1</v>
      </c>
      <c r="E176" s="25">
        <v>10.9</v>
      </c>
      <c r="F176" s="25" t="s">
        <v>124</v>
      </c>
      <c r="G176" s="26" t="s">
        <v>104</v>
      </c>
      <c r="H176" s="128"/>
      <c r="I176" s="127"/>
      <c r="J176" s="128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 spans="1:29" ht="14.25" customHeight="1">
      <c r="A177" s="23">
        <v>175</v>
      </c>
      <c r="B177" s="23" t="s">
        <v>592</v>
      </c>
      <c r="C177" s="23">
        <v>1</v>
      </c>
      <c r="D177" s="25">
        <v>16.7</v>
      </c>
      <c r="E177" s="25">
        <v>11.2</v>
      </c>
      <c r="F177" s="25" t="s">
        <v>118</v>
      </c>
      <c r="G177" s="147" t="s">
        <v>54</v>
      </c>
      <c r="H177" s="128"/>
      <c r="I177" s="127"/>
      <c r="J177" s="128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spans="1:29" ht="14.25" customHeight="1">
      <c r="A178" s="23">
        <v>176</v>
      </c>
      <c r="B178" s="23" t="s">
        <v>592</v>
      </c>
      <c r="C178" s="23">
        <v>2</v>
      </c>
      <c r="D178" s="25">
        <v>17.8</v>
      </c>
      <c r="E178" s="25" t="s">
        <v>61</v>
      </c>
      <c r="F178" s="25" t="s">
        <v>118</v>
      </c>
      <c r="G178" s="147" t="s">
        <v>54</v>
      </c>
      <c r="H178" s="128"/>
      <c r="I178" s="127"/>
      <c r="J178" s="128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 spans="1:29" ht="14.25" customHeight="1">
      <c r="A179" s="23">
        <v>177</v>
      </c>
      <c r="B179" s="23" t="s">
        <v>592</v>
      </c>
      <c r="C179" s="23">
        <v>3</v>
      </c>
      <c r="D179" s="25">
        <v>12.5</v>
      </c>
      <c r="E179" s="25">
        <v>11.2</v>
      </c>
      <c r="F179" s="25" t="s">
        <v>118</v>
      </c>
      <c r="G179" s="147" t="s">
        <v>54</v>
      </c>
      <c r="H179" s="128"/>
      <c r="I179" s="127"/>
      <c r="J179" s="128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 spans="1:29" ht="14.25" customHeight="1">
      <c r="A180" s="23">
        <v>178</v>
      </c>
      <c r="B180" s="23" t="s">
        <v>593</v>
      </c>
      <c r="C180" s="23">
        <v>1</v>
      </c>
      <c r="D180" s="25">
        <v>16.600000000000001</v>
      </c>
      <c r="E180" s="25">
        <v>10.8</v>
      </c>
      <c r="F180" s="25" t="s">
        <v>55</v>
      </c>
      <c r="G180" s="111" t="s">
        <v>104</v>
      </c>
      <c r="H180" s="128"/>
      <c r="I180" s="127"/>
      <c r="J180" s="128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spans="1:29" ht="14.25" customHeight="1">
      <c r="A181" s="23">
        <v>179</v>
      </c>
      <c r="B181" s="23" t="s">
        <v>593</v>
      </c>
      <c r="C181" s="23">
        <v>2</v>
      </c>
      <c r="D181" s="25">
        <v>16.7</v>
      </c>
      <c r="E181" s="25" t="s">
        <v>61</v>
      </c>
      <c r="F181" s="25" t="s">
        <v>55</v>
      </c>
      <c r="G181" s="111" t="s">
        <v>104</v>
      </c>
      <c r="H181" s="128"/>
      <c r="I181" s="127"/>
      <c r="J181" s="128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spans="1:29" ht="14.25" customHeight="1">
      <c r="A182" s="23">
        <v>180</v>
      </c>
      <c r="B182" s="23" t="s">
        <v>593</v>
      </c>
      <c r="C182" s="23">
        <v>3</v>
      </c>
      <c r="D182" s="25">
        <v>12.6</v>
      </c>
      <c r="E182" s="25">
        <v>10.8</v>
      </c>
      <c r="F182" s="25" t="s">
        <v>55</v>
      </c>
      <c r="G182" s="111" t="s">
        <v>104</v>
      </c>
      <c r="H182" s="128"/>
      <c r="I182" s="127"/>
      <c r="J182" s="128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spans="1:29" ht="14.25" customHeight="1">
      <c r="A183" s="23">
        <v>181</v>
      </c>
      <c r="B183" s="23" t="s">
        <v>594</v>
      </c>
      <c r="C183" s="23">
        <v>1</v>
      </c>
      <c r="D183" s="25">
        <v>11.8</v>
      </c>
      <c r="E183" s="25">
        <v>10.5</v>
      </c>
      <c r="F183" s="25" t="s">
        <v>79</v>
      </c>
      <c r="G183" s="111" t="s">
        <v>104</v>
      </c>
      <c r="H183" s="128"/>
      <c r="I183" s="127"/>
      <c r="J183" s="128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spans="1:29" ht="14.25" customHeight="1">
      <c r="A184" s="23">
        <v>182</v>
      </c>
      <c r="B184" s="23" t="s">
        <v>594</v>
      </c>
      <c r="C184" s="23">
        <v>2</v>
      </c>
      <c r="D184" s="25">
        <v>17.3</v>
      </c>
      <c r="E184" s="25" t="s">
        <v>61</v>
      </c>
      <c r="F184" s="25" t="s">
        <v>79</v>
      </c>
      <c r="G184" s="111" t="s">
        <v>104</v>
      </c>
      <c r="H184" s="128"/>
      <c r="I184" s="127"/>
      <c r="J184" s="128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spans="1:29" ht="14.25" customHeight="1">
      <c r="A185" s="23">
        <v>183</v>
      </c>
      <c r="B185" s="23" t="s">
        <v>594</v>
      </c>
      <c r="C185" s="23">
        <v>3</v>
      </c>
      <c r="D185" s="25">
        <v>16.899999999999999</v>
      </c>
      <c r="E185" s="25">
        <v>10.5</v>
      </c>
      <c r="F185" s="25" t="s">
        <v>79</v>
      </c>
      <c r="G185" s="111" t="s">
        <v>104</v>
      </c>
      <c r="H185" s="128"/>
      <c r="I185" s="127"/>
      <c r="J185" s="128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spans="1:29" ht="14.25" customHeight="1">
      <c r="A186" s="23">
        <v>184</v>
      </c>
      <c r="B186" s="23" t="s">
        <v>595</v>
      </c>
      <c r="C186" s="23">
        <v>1</v>
      </c>
      <c r="D186" s="25">
        <v>15.5</v>
      </c>
      <c r="E186" s="25">
        <v>10.199999999999999</v>
      </c>
      <c r="F186" s="25" t="s">
        <v>36</v>
      </c>
      <c r="G186" s="111" t="s">
        <v>104</v>
      </c>
      <c r="H186" s="128"/>
      <c r="I186" s="127"/>
      <c r="J186" s="128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spans="1:29" ht="14.25" customHeight="1">
      <c r="A187" s="23">
        <v>185</v>
      </c>
      <c r="B187" s="23" t="s">
        <v>595</v>
      </c>
      <c r="C187" s="23">
        <v>2</v>
      </c>
      <c r="D187" s="25">
        <v>17.399999999999999</v>
      </c>
      <c r="E187" s="25" t="s">
        <v>61</v>
      </c>
      <c r="F187" s="25" t="s">
        <v>36</v>
      </c>
      <c r="G187" s="111" t="s">
        <v>104</v>
      </c>
      <c r="H187" s="128"/>
      <c r="I187" s="127"/>
      <c r="J187" s="128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spans="1:29" ht="14.25" customHeight="1">
      <c r="A188" s="23">
        <v>186</v>
      </c>
      <c r="B188" s="23" t="s">
        <v>595</v>
      </c>
      <c r="C188" s="23">
        <v>3</v>
      </c>
      <c r="D188" s="25">
        <v>11.9</v>
      </c>
      <c r="E188" s="25">
        <v>10.7</v>
      </c>
      <c r="F188" s="41" t="s">
        <v>36</v>
      </c>
      <c r="G188" s="147" t="s">
        <v>54</v>
      </c>
      <c r="H188" s="128"/>
      <c r="I188" s="122" t="s">
        <v>596</v>
      </c>
      <c r="J188" s="128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spans="1:29" ht="14.25" customHeight="1">
      <c r="A189" s="23">
        <v>187</v>
      </c>
      <c r="B189" s="23" t="s">
        <v>597</v>
      </c>
      <c r="C189" s="23">
        <v>1</v>
      </c>
      <c r="D189" s="25">
        <v>15.6</v>
      </c>
      <c r="E189" s="25">
        <v>11</v>
      </c>
      <c r="F189" s="25" t="s">
        <v>118</v>
      </c>
      <c r="G189" s="147" t="s">
        <v>54</v>
      </c>
      <c r="H189" s="128"/>
      <c r="I189" s="127"/>
      <c r="J189" s="128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spans="1:29" ht="14.25" customHeight="1">
      <c r="A190" s="23">
        <v>188</v>
      </c>
      <c r="B190" s="23" t="s">
        <v>597</v>
      </c>
      <c r="C190" s="23">
        <v>2</v>
      </c>
      <c r="D190" s="25">
        <v>16.5</v>
      </c>
      <c r="E190" s="25" t="s">
        <v>61</v>
      </c>
      <c r="F190" s="25" t="s">
        <v>12</v>
      </c>
      <c r="G190" s="74"/>
      <c r="H190" s="128"/>
      <c r="I190" s="127"/>
      <c r="J190" s="128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spans="1:29" ht="14.25" customHeight="1">
      <c r="A191" s="23">
        <v>189</v>
      </c>
      <c r="B191" s="23" t="s">
        <v>597</v>
      </c>
      <c r="C191" s="23">
        <v>3</v>
      </c>
      <c r="D191" s="25">
        <v>12.2</v>
      </c>
      <c r="E191" s="25">
        <v>11.1</v>
      </c>
      <c r="F191" s="25" t="s">
        <v>47</v>
      </c>
      <c r="G191" s="111" t="s">
        <v>104</v>
      </c>
      <c r="H191" s="128"/>
      <c r="I191" s="127"/>
      <c r="J191" s="128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spans="1:29" ht="14.25" customHeight="1">
      <c r="A192" s="23">
        <v>190</v>
      </c>
      <c r="B192" s="23" t="s">
        <v>598</v>
      </c>
      <c r="C192" s="23">
        <v>1</v>
      </c>
      <c r="D192" s="25">
        <v>16.8</v>
      </c>
      <c r="E192" s="25">
        <v>11.1</v>
      </c>
      <c r="F192" s="25" t="s">
        <v>77</v>
      </c>
      <c r="G192" s="147" t="s">
        <v>54</v>
      </c>
      <c r="H192" s="128"/>
      <c r="I192" s="127"/>
      <c r="J192" s="128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spans="1:29" ht="14.25" customHeight="1">
      <c r="A193" s="23">
        <v>191</v>
      </c>
      <c r="B193" s="23" t="s">
        <v>598</v>
      </c>
      <c r="C193" s="23">
        <v>2</v>
      </c>
      <c r="D193" s="25">
        <v>16.2</v>
      </c>
      <c r="E193" s="25" t="s">
        <v>61</v>
      </c>
      <c r="F193" s="25" t="s">
        <v>89</v>
      </c>
      <c r="G193" s="111" t="s">
        <v>104</v>
      </c>
      <c r="H193" s="128"/>
      <c r="I193" s="127"/>
      <c r="J193" s="128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 spans="1:29" ht="14.25" customHeight="1">
      <c r="A194" s="23">
        <v>192</v>
      </c>
      <c r="B194" s="23" t="s">
        <v>598</v>
      </c>
      <c r="C194" s="23">
        <v>3</v>
      </c>
      <c r="D194" s="25">
        <v>12.5</v>
      </c>
      <c r="E194" s="25">
        <v>11.1</v>
      </c>
      <c r="F194" s="25" t="s">
        <v>89</v>
      </c>
      <c r="G194" s="111" t="s">
        <v>104</v>
      </c>
      <c r="H194" s="128"/>
      <c r="I194" s="127"/>
      <c r="J194" s="128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spans="1:29" ht="14.25" customHeight="1">
      <c r="A195" s="23">
        <v>193</v>
      </c>
      <c r="B195" s="23" t="s">
        <v>599</v>
      </c>
      <c r="C195" s="23">
        <v>1</v>
      </c>
      <c r="D195" s="25">
        <v>16.7</v>
      </c>
      <c r="E195" s="25">
        <v>10.5</v>
      </c>
      <c r="F195" s="25" t="s">
        <v>118</v>
      </c>
      <c r="G195" s="147" t="s">
        <v>54</v>
      </c>
      <c r="H195" s="128"/>
      <c r="I195" s="127"/>
      <c r="J195" s="128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 spans="1:29" ht="14.25" customHeight="1">
      <c r="A196" s="23">
        <v>194</v>
      </c>
      <c r="B196" s="23" t="s">
        <v>599</v>
      </c>
      <c r="C196" s="23">
        <v>2</v>
      </c>
      <c r="D196" s="25">
        <v>16.600000000000001</v>
      </c>
      <c r="E196" s="25" t="s">
        <v>61</v>
      </c>
      <c r="F196" s="41" t="s">
        <v>118</v>
      </c>
      <c r="G196" s="147" t="s">
        <v>54</v>
      </c>
      <c r="H196" s="128"/>
      <c r="I196" s="122" t="s">
        <v>600</v>
      </c>
      <c r="J196" s="128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spans="1:29" ht="14.25" customHeight="1">
      <c r="A197" s="23">
        <v>195</v>
      </c>
      <c r="B197" s="23" t="s">
        <v>599</v>
      </c>
      <c r="C197" s="23">
        <v>3</v>
      </c>
      <c r="D197" s="25">
        <v>12.1</v>
      </c>
      <c r="E197" s="25">
        <v>10.7</v>
      </c>
      <c r="F197" s="25" t="s">
        <v>62</v>
      </c>
      <c r="G197" s="147" t="s">
        <v>54</v>
      </c>
      <c r="H197" s="128"/>
      <c r="I197" s="127"/>
      <c r="J197" s="128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spans="1:29" ht="14.25" customHeight="1">
      <c r="A198" s="23">
        <v>196</v>
      </c>
      <c r="B198" s="23" t="s">
        <v>601</v>
      </c>
      <c r="C198" s="23">
        <v>1</v>
      </c>
      <c r="D198" s="25">
        <v>16.5</v>
      </c>
      <c r="E198" s="25">
        <v>10.5</v>
      </c>
      <c r="F198" s="25" t="s">
        <v>62</v>
      </c>
      <c r="G198" s="147" t="s">
        <v>54</v>
      </c>
      <c r="H198" s="128"/>
      <c r="I198" s="127"/>
      <c r="J198" s="128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spans="1:29" ht="14.25" customHeight="1">
      <c r="A199" s="23">
        <v>197</v>
      </c>
      <c r="B199" s="23" t="s">
        <v>601</v>
      </c>
      <c r="C199" s="23">
        <v>2</v>
      </c>
      <c r="D199" s="25">
        <v>15.5</v>
      </c>
      <c r="E199" s="25" t="s">
        <v>61</v>
      </c>
      <c r="F199" s="25" t="s">
        <v>77</v>
      </c>
      <c r="G199" s="147" t="s">
        <v>54</v>
      </c>
      <c r="H199" s="128"/>
      <c r="I199" s="127"/>
      <c r="J199" s="128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spans="1:29" ht="14.25" customHeight="1">
      <c r="A200" s="23">
        <v>198</v>
      </c>
      <c r="B200" s="23" t="s">
        <v>601</v>
      </c>
      <c r="C200" s="23">
        <v>3</v>
      </c>
      <c r="D200" s="25">
        <v>13</v>
      </c>
      <c r="E200" s="25">
        <v>10.6</v>
      </c>
      <c r="F200" s="25" t="s">
        <v>77</v>
      </c>
      <c r="G200" s="147" t="s">
        <v>54</v>
      </c>
      <c r="H200" s="128"/>
      <c r="I200" s="127"/>
      <c r="J200" s="128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spans="1:29" ht="14.25" customHeight="1">
      <c r="A201" s="23">
        <v>199</v>
      </c>
      <c r="B201" s="23" t="s">
        <v>602</v>
      </c>
      <c r="C201" s="23">
        <v>1</v>
      </c>
      <c r="D201" s="25">
        <v>11</v>
      </c>
      <c r="E201" s="25">
        <v>11</v>
      </c>
      <c r="F201" s="25" t="s">
        <v>79</v>
      </c>
      <c r="G201" s="111" t="s">
        <v>104</v>
      </c>
      <c r="H201" s="128"/>
      <c r="I201" s="127"/>
      <c r="J201" s="128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spans="1:29" ht="14.25" customHeight="1">
      <c r="A202" s="23">
        <v>200</v>
      </c>
      <c r="B202" s="23" t="s">
        <v>602</v>
      </c>
      <c r="C202" s="23">
        <v>2</v>
      </c>
      <c r="D202" s="25">
        <v>18.2</v>
      </c>
      <c r="E202" s="25">
        <v>11</v>
      </c>
      <c r="F202" s="25" t="s">
        <v>36</v>
      </c>
      <c r="G202" s="111" t="s">
        <v>104</v>
      </c>
      <c r="H202" s="128"/>
      <c r="I202" s="127"/>
      <c r="J202" s="128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spans="1:29" ht="14.25" customHeight="1">
      <c r="A203" s="23">
        <v>201</v>
      </c>
      <c r="B203" s="23" t="s">
        <v>602</v>
      </c>
      <c r="C203" s="23">
        <v>3</v>
      </c>
      <c r="D203" s="25">
        <v>18</v>
      </c>
      <c r="E203" s="25" t="s">
        <v>61</v>
      </c>
      <c r="F203" s="25" t="s">
        <v>55</v>
      </c>
      <c r="G203" s="111" t="s">
        <v>104</v>
      </c>
      <c r="H203" s="128"/>
      <c r="I203" s="127"/>
      <c r="J203" s="128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 spans="1:29" ht="14.25" customHeight="1">
      <c r="A204" s="23">
        <v>202</v>
      </c>
      <c r="B204" s="23" t="s">
        <v>603</v>
      </c>
      <c r="C204" s="23">
        <v>1</v>
      </c>
      <c r="D204" s="25">
        <v>16.7</v>
      </c>
      <c r="E204" s="25">
        <v>11.1</v>
      </c>
      <c r="F204" s="25" t="s">
        <v>77</v>
      </c>
      <c r="G204" s="147" t="s">
        <v>54</v>
      </c>
      <c r="H204" s="128"/>
      <c r="I204" s="127"/>
      <c r="J204" s="128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spans="1:29" ht="14.25" customHeight="1">
      <c r="A205" s="23">
        <v>203</v>
      </c>
      <c r="B205" s="23" t="s">
        <v>603</v>
      </c>
      <c r="C205" s="23">
        <v>2</v>
      </c>
      <c r="D205" s="25">
        <v>16.5</v>
      </c>
      <c r="E205" s="25" t="s">
        <v>61</v>
      </c>
      <c r="F205" s="25" t="s">
        <v>47</v>
      </c>
      <c r="G205" s="111" t="s">
        <v>104</v>
      </c>
      <c r="H205" s="128"/>
      <c r="I205" s="127"/>
      <c r="J205" s="128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spans="1:29" ht="14.25" customHeight="1">
      <c r="A206" s="23">
        <v>204</v>
      </c>
      <c r="B206" s="23" t="s">
        <v>603</v>
      </c>
      <c r="C206" s="23">
        <v>3</v>
      </c>
      <c r="D206" s="25">
        <v>13.1</v>
      </c>
      <c r="E206" s="25">
        <v>11</v>
      </c>
      <c r="F206" s="25" t="s">
        <v>77</v>
      </c>
      <c r="G206" s="147" t="s">
        <v>54</v>
      </c>
      <c r="H206" s="128"/>
      <c r="I206" s="127"/>
      <c r="J206" s="128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spans="1:29" ht="14.25" customHeight="1">
      <c r="A207" s="23">
        <v>205</v>
      </c>
      <c r="B207" s="23" t="s">
        <v>604</v>
      </c>
      <c r="C207" s="23">
        <v>1</v>
      </c>
      <c r="D207" s="25">
        <v>17.2</v>
      </c>
      <c r="E207" s="25">
        <v>10.8</v>
      </c>
      <c r="F207" s="25" t="s">
        <v>118</v>
      </c>
      <c r="G207" s="147" t="s">
        <v>54</v>
      </c>
      <c r="H207" s="128"/>
      <c r="I207" s="127"/>
      <c r="J207" s="128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spans="1:29" ht="14.25" customHeight="1">
      <c r="A208" s="23">
        <v>206</v>
      </c>
      <c r="B208" s="23" t="s">
        <v>604</v>
      </c>
      <c r="C208" s="23">
        <v>2</v>
      </c>
      <c r="D208" s="25">
        <v>17.5</v>
      </c>
      <c r="E208" s="25" t="s">
        <v>61</v>
      </c>
      <c r="F208" s="25" t="s">
        <v>79</v>
      </c>
      <c r="G208" s="111" t="s">
        <v>104</v>
      </c>
      <c r="H208" s="128"/>
      <c r="I208" s="127"/>
      <c r="J208" s="128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spans="1:29" ht="14.25" customHeight="1">
      <c r="A209" s="23">
        <v>207</v>
      </c>
      <c r="B209" s="23" t="s">
        <v>604</v>
      </c>
      <c r="C209" s="23">
        <v>3</v>
      </c>
      <c r="D209" s="25">
        <v>12.2</v>
      </c>
      <c r="E209" s="25">
        <v>11.1</v>
      </c>
      <c r="F209" s="25" t="s">
        <v>51</v>
      </c>
      <c r="G209" s="74"/>
      <c r="H209" s="128"/>
      <c r="I209" s="127"/>
      <c r="J209" s="128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spans="1:29" ht="14.25" customHeight="1">
      <c r="A210" s="23">
        <v>208</v>
      </c>
      <c r="B210" s="23" t="s">
        <v>605</v>
      </c>
      <c r="C210" s="23">
        <v>1</v>
      </c>
      <c r="D210" s="25">
        <v>16.899999999999999</v>
      </c>
      <c r="E210" s="25">
        <v>10.9</v>
      </c>
      <c r="F210" s="25" t="s">
        <v>150</v>
      </c>
      <c r="G210" s="111" t="s">
        <v>104</v>
      </c>
      <c r="H210" s="128"/>
      <c r="I210" s="127"/>
      <c r="J210" s="128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spans="1:29" ht="14.25" customHeight="1">
      <c r="A211" s="23">
        <v>209</v>
      </c>
      <c r="B211" s="23" t="s">
        <v>605</v>
      </c>
      <c r="C211" s="23">
        <v>2</v>
      </c>
      <c r="D211" s="25">
        <v>16.3</v>
      </c>
      <c r="E211" s="25" t="s">
        <v>61</v>
      </c>
      <c r="F211" s="25" t="s">
        <v>89</v>
      </c>
      <c r="G211" s="111" t="s">
        <v>104</v>
      </c>
      <c r="H211" s="128"/>
      <c r="I211" s="127"/>
      <c r="J211" s="128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spans="1:29" ht="14.25" customHeight="1">
      <c r="A212" s="23">
        <v>210</v>
      </c>
      <c r="B212" s="23" t="s">
        <v>605</v>
      </c>
      <c r="C212" s="23">
        <v>3</v>
      </c>
      <c r="D212" s="25">
        <v>11.7</v>
      </c>
      <c r="E212" s="25">
        <v>10.6</v>
      </c>
      <c r="F212" s="25" t="s">
        <v>150</v>
      </c>
      <c r="G212" s="111" t="s">
        <v>178</v>
      </c>
      <c r="H212" s="128"/>
      <c r="I212" s="127"/>
      <c r="J212" s="128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spans="1:29" ht="14.25" customHeight="1">
      <c r="A213" s="23">
        <v>211</v>
      </c>
      <c r="B213" s="23" t="s">
        <v>606</v>
      </c>
      <c r="C213" s="23">
        <v>1</v>
      </c>
      <c r="D213" s="25">
        <v>16.600000000000001</v>
      </c>
      <c r="E213" s="25">
        <v>10.7</v>
      </c>
      <c r="F213" s="25" t="s">
        <v>112</v>
      </c>
      <c r="G213" s="111" t="s">
        <v>104</v>
      </c>
      <c r="H213" s="128"/>
      <c r="I213" s="127" t="s">
        <v>397</v>
      </c>
      <c r="J213" s="128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spans="1:29" ht="14.25" customHeight="1">
      <c r="A214" s="23">
        <v>212</v>
      </c>
      <c r="B214" s="23" t="s">
        <v>606</v>
      </c>
      <c r="C214" s="23">
        <v>2</v>
      </c>
      <c r="D214" s="25">
        <v>16.5</v>
      </c>
      <c r="E214" s="25" t="s">
        <v>61</v>
      </c>
      <c r="F214" s="25" t="s">
        <v>77</v>
      </c>
      <c r="G214" s="147" t="s">
        <v>54</v>
      </c>
      <c r="H214" s="128"/>
      <c r="I214" s="127"/>
      <c r="J214" s="128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spans="1:29" ht="14.25" customHeight="1">
      <c r="A215" s="23">
        <v>213</v>
      </c>
      <c r="B215" s="23" t="s">
        <v>606</v>
      </c>
      <c r="C215" s="23">
        <v>3</v>
      </c>
      <c r="D215" s="25">
        <v>12.5</v>
      </c>
      <c r="E215" s="25">
        <v>10.8</v>
      </c>
      <c r="F215" s="25" t="s">
        <v>77</v>
      </c>
      <c r="G215" s="147" t="s">
        <v>54</v>
      </c>
      <c r="H215" s="128"/>
      <c r="I215" s="127"/>
      <c r="J215" s="128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spans="1:29" ht="14.25" customHeight="1">
      <c r="A216" s="23">
        <v>214</v>
      </c>
      <c r="B216" s="23" t="s">
        <v>607</v>
      </c>
      <c r="C216" s="23">
        <v>1</v>
      </c>
      <c r="D216" s="25">
        <v>16.7</v>
      </c>
      <c r="E216" s="25">
        <v>10.9</v>
      </c>
      <c r="F216" s="25" t="s">
        <v>79</v>
      </c>
      <c r="G216" s="111" t="s">
        <v>104</v>
      </c>
      <c r="H216" s="128"/>
      <c r="I216" s="127"/>
      <c r="J216" s="128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spans="1:29" ht="14.25" customHeight="1">
      <c r="A217" s="23">
        <v>215</v>
      </c>
      <c r="B217" s="23" t="s">
        <v>607</v>
      </c>
      <c r="C217" s="23">
        <v>2</v>
      </c>
      <c r="D217" s="25">
        <v>16.899999999999999</v>
      </c>
      <c r="E217" s="25" t="s">
        <v>61</v>
      </c>
      <c r="F217" s="25" t="s">
        <v>55</v>
      </c>
      <c r="G217" s="111" t="s">
        <v>104</v>
      </c>
      <c r="H217" s="128"/>
      <c r="I217" s="127"/>
      <c r="J217" s="128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spans="1:29" ht="14.25" customHeight="1">
      <c r="A218" s="23">
        <v>216</v>
      </c>
      <c r="B218" s="23" t="s">
        <v>607</v>
      </c>
      <c r="C218" s="23">
        <v>3</v>
      </c>
      <c r="D218" s="25">
        <v>12.8</v>
      </c>
      <c r="E218" s="25">
        <v>10.6</v>
      </c>
      <c r="F218" s="25" t="s">
        <v>77</v>
      </c>
      <c r="G218" s="147" t="s">
        <v>54</v>
      </c>
      <c r="H218" s="128"/>
      <c r="I218" s="127" t="s">
        <v>608</v>
      </c>
      <c r="J218" s="128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spans="1:29" ht="14.25" customHeight="1">
      <c r="A219" s="23">
        <v>217</v>
      </c>
      <c r="B219" s="23" t="s">
        <v>609</v>
      </c>
      <c r="C219" s="23">
        <v>1</v>
      </c>
      <c r="D219" s="25">
        <v>16.2</v>
      </c>
      <c r="E219" s="25">
        <v>10</v>
      </c>
      <c r="F219" s="25" t="s">
        <v>79</v>
      </c>
      <c r="G219" s="111" t="s">
        <v>104</v>
      </c>
      <c r="H219" s="128"/>
      <c r="I219" s="127"/>
      <c r="J219" s="128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spans="1:29" ht="14.25" customHeight="1">
      <c r="A220" s="23">
        <v>218</v>
      </c>
      <c r="B220" s="23" t="s">
        <v>609</v>
      </c>
      <c r="C220" s="23">
        <v>2</v>
      </c>
      <c r="D220" s="25">
        <v>16.100000000000001</v>
      </c>
      <c r="E220" s="25" t="s">
        <v>61</v>
      </c>
      <c r="F220" s="25" t="s">
        <v>79</v>
      </c>
      <c r="G220" s="111" t="s">
        <v>104</v>
      </c>
      <c r="H220" s="128"/>
      <c r="I220" s="127"/>
      <c r="J220" s="128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spans="1:29" ht="14.25" customHeight="1">
      <c r="A221" s="23">
        <v>219</v>
      </c>
      <c r="B221" s="23" t="s">
        <v>609</v>
      </c>
      <c r="C221" s="23">
        <v>3</v>
      </c>
      <c r="D221" s="25">
        <v>13.3</v>
      </c>
      <c r="E221" s="25">
        <v>10.7</v>
      </c>
      <c r="F221" s="25" t="s">
        <v>79</v>
      </c>
      <c r="G221" s="111" t="s">
        <v>104</v>
      </c>
      <c r="H221" s="128"/>
      <c r="I221" s="127"/>
      <c r="J221" s="128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spans="1:29" ht="14.25" customHeight="1">
      <c r="A222" s="23">
        <v>220</v>
      </c>
      <c r="B222" s="23" t="s">
        <v>610</v>
      </c>
      <c r="C222" s="23">
        <v>1</v>
      </c>
      <c r="D222" s="25">
        <v>17.399999999999999</v>
      </c>
      <c r="E222" s="25">
        <v>11.7</v>
      </c>
      <c r="F222" s="25" t="s">
        <v>55</v>
      </c>
      <c r="G222" s="111" t="s">
        <v>104</v>
      </c>
      <c r="H222" s="128"/>
      <c r="I222" s="127"/>
      <c r="J222" s="128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spans="1:29" ht="14.25" customHeight="1">
      <c r="A223" s="23">
        <v>221</v>
      </c>
      <c r="B223" s="23" t="s">
        <v>610</v>
      </c>
      <c r="C223" s="23">
        <v>2</v>
      </c>
      <c r="D223" s="25">
        <v>18</v>
      </c>
      <c r="E223" s="25" t="s">
        <v>61</v>
      </c>
      <c r="F223" s="25" t="s">
        <v>55</v>
      </c>
      <c r="G223" s="111" t="s">
        <v>104</v>
      </c>
      <c r="H223" s="128"/>
      <c r="I223" s="127"/>
      <c r="J223" s="128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spans="1:29" ht="14.25" customHeight="1">
      <c r="A224" s="23">
        <v>222</v>
      </c>
      <c r="B224" s="23" t="s">
        <v>610</v>
      </c>
      <c r="C224" s="23">
        <v>3</v>
      </c>
      <c r="D224" s="25">
        <v>13.8</v>
      </c>
      <c r="E224" s="25">
        <v>11.6</v>
      </c>
      <c r="F224" s="25" t="s">
        <v>55</v>
      </c>
      <c r="G224" s="111" t="s">
        <v>104</v>
      </c>
      <c r="H224" s="128"/>
      <c r="I224" s="127"/>
      <c r="J224" s="128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spans="1:29" ht="14.25" customHeight="1">
      <c r="A225" s="23">
        <v>223</v>
      </c>
      <c r="B225" s="23" t="s">
        <v>611</v>
      </c>
      <c r="C225" s="23">
        <v>1</v>
      </c>
      <c r="D225" s="25">
        <v>16.600000000000001</v>
      </c>
      <c r="E225" s="25" t="s">
        <v>61</v>
      </c>
      <c r="F225" s="25" t="s">
        <v>77</v>
      </c>
      <c r="G225" s="147" t="s">
        <v>54</v>
      </c>
      <c r="H225" s="128"/>
      <c r="I225" s="127"/>
      <c r="J225" s="128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spans="1:29" ht="14.25" customHeight="1">
      <c r="A226" s="23">
        <v>224</v>
      </c>
      <c r="B226" s="23" t="s">
        <v>611</v>
      </c>
      <c r="C226" s="23">
        <v>2</v>
      </c>
      <c r="D226" s="25">
        <v>17.2</v>
      </c>
      <c r="E226" s="25">
        <v>10.8</v>
      </c>
      <c r="F226" s="41" t="s">
        <v>150</v>
      </c>
      <c r="G226" s="147" t="s">
        <v>54</v>
      </c>
      <c r="H226" s="128"/>
      <c r="I226" s="122" t="s">
        <v>612</v>
      </c>
      <c r="J226" s="128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spans="1:29" ht="14.25" customHeight="1">
      <c r="A227" s="23">
        <v>225</v>
      </c>
      <c r="B227" s="23" t="s">
        <v>611</v>
      </c>
      <c r="C227" s="23">
        <v>3</v>
      </c>
      <c r="D227" s="25">
        <v>12.3</v>
      </c>
      <c r="E227" s="25">
        <v>10.9</v>
      </c>
      <c r="F227" s="25" t="s">
        <v>150</v>
      </c>
      <c r="G227" s="111" t="s">
        <v>178</v>
      </c>
      <c r="H227" s="128"/>
      <c r="I227" s="127"/>
      <c r="J227" s="128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spans="1:29" ht="14.25" customHeight="1">
      <c r="A228" s="23">
        <v>226</v>
      </c>
      <c r="B228" s="23" t="s">
        <v>613</v>
      </c>
      <c r="C228" s="23">
        <v>1</v>
      </c>
      <c r="D228" s="25">
        <v>16.7</v>
      </c>
      <c r="E228" s="25">
        <v>10.9</v>
      </c>
      <c r="F228" s="25" t="s">
        <v>150</v>
      </c>
      <c r="G228" s="111" t="s">
        <v>178</v>
      </c>
      <c r="H228" s="128"/>
      <c r="I228" s="127"/>
      <c r="J228" s="128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spans="1:29" ht="14.25" customHeight="1">
      <c r="A229" s="23">
        <v>227</v>
      </c>
      <c r="B229" s="23" t="s">
        <v>613</v>
      </c>
      <c r="C229" s="23">
        <v>2</v>
      </c>
      <c r="D229" s="25">
        <v>16.7</v>
      </c>
      <c r="E229" s="25" t="s">
        <v>61</v>
      </c>
      <c r="F229" s="25" t="s">
        <v>118</v>
      </c>
      <c r="G229" s="147" t="s">
        <v>54</v>
      </c>
      <c r="H229" s="128"/>
      <c r="I229" s="127"/>
      <c r="J229" s="128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spans="1:29" ht="14.25" customHeight="1">
      <c r="A230" s="23">
        <v>228</v>
      </c>
      <c r="B230" s="23" t="s">
        <v>613</v>
      </c>
      <c r="C230" s="23">
        <v>3</v>
      </c>
      <c r="D230" s="25">
        <v>12.9</v>
      </c>
      <c r="E230" s="25">
        <v>11</v>
      </c>
      <c r="F230" s="25" t="s">
        <v>118</v>
      </c>
      <c r="G230" s="147" t="s">
        <v>54</v>
      </c>
      <c r="H230" s="128"/>
      <c r="I230" s="127"/>
      <c r="J230" s="128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spans="1:29" ht="14.25" customHeight="1">
      <c r="A231" s="23">
        <v>229</v>
      </c>
      <c r="B231" s="23" t="s">
        <v>614</v>
      </c>
      <c r="C231" s="23">
        <v>1</v>
      </c>
      <c r="D231" s="25">
        <v>16.899999999999999</v>
      </c>
      <c r="E231" s="25">
        <v>10.8</v>
      </c>
      <c r="F231" s="25" t="s">
        <v>36</v>
      </c>
      <c r="G231" s="111" t="s">
        <v>104</v>
      </c>
      <c r="H231" s="128"/>
      <c r="I231" s="127"/>
      <c r="J231" s="128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spans="1:29" ht="14.25" customHeight="1">
      <c r="A232" s="23">
        <v>230</v>
      </c>
      <c r="B232" s="23" t="s">
        <v>614</v>
      </c>
      <c r="C232" s="23">
        <v>2</v>
      </c>
      <c r="D232" s="25">
        <v>17.100000000000001</v>
      </c>
      <c r="E232" s="25" t="s">
        <v>61</v>
      </c>
      <c r="F232" s="25" t="s">
        <v>12</v>
      </c>
      <c r="G232" s="111"/>
      <c r="H232" s="128"/>
      <c r="I232" s="127"/>
      <c r="J232" s="128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spans="1:29" ht="14.25" customHeight="1">
      <c r="A233" s="23">
        <v>231</v>
      </c>
      <c r="B233" s="23" t="s">
        <v>614</v>
      </c>
      <c r="C233" s="23">
        <v>3</v>
      </c>
      <c r="D233" s="25">
        <v>12.7</v>
      </c>
      <c r="E233" s="25">
        <v>11</v>
      </c>
      <c r="F233" s="25" t="s">
        <v>12</v>
      </c>
      <c r="G233" s="111"/>
      <c r="H233" s="128"/>
      <c r="I233" s="127"/>
      <c r="J233" s="128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spans="1:29" ht="14.25" customHeight="1">
      <c r="A234" s="23">
        <v>232</v>
      </c>
      <c r="B234" s="23" t="s">
        <v>615</v>
      </c>
      <c r="C234" s="23">
        <v>1</v>
      </c>
      <c r="D234" s="25">
        <v>16.2</v>
      </c>
      <c r="E234" s="25">
        <v>10.6</v>
      </c>
      <c r="F234" s="25" t="s">
        <v>55</v>
      </c>
      <c r="G234" s="111" t="s">
        <v>104</v>
      </c>
      <c r="H234" s="128"/>
      <c r="I234" s="127"/>
      <c r="J234" s="128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spans="1:29" ht="14.25" customHeight="1">
      <c r="A235" s="23">
        <v>233</v>
      </c>
      <c r="B235" s="23" t="s">
        <v>615</v>
      </c>
      <c r="C235" s="23">
        <v>2</v>
      </c>
      <c r="D235" s="25">
        <v>16.399999999999999</v>
      </c>
      <c r="E235" s="25" t="s">
        <v>61</v>
      </c>
      <c r="F235" s="25" t="s">
        <v>55</v>
      </c>
      <c r="G235" s="111" t="s">
        <v>104</v>
      </c>
      <c r="H235" s="128"/>
      <c r="I235" s="127"/>
      <c r="J235" s="128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spans="1:29" ht="14.25" customHeight="1">
      <c r="A236" s="23">
        <v>234</v>
      </c>
      <c r="B236" s="23" t="s">
        <v>615</v>
      </c>
      <c r="C236" s="23">
        <v>3</v>
      </c>
      <c r="D236" s="25">
        <v>12.5</v>
      </c>
      <c r="E236" s="25">
        <v>10.4</v>
      </c>
      <c r="F236" s="25" t="s">
        <v>55</v>
      </c>
      <c r="G236" s="111" t="s">
        <v>104</v>
      </c>
      <c r="H236" s="128"/>
      <c r="I236" s="127"/>
      <c r="J236" s="128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spans="1:29" ht="14.25" customHeight="1">
      <c r="A237" s="23">
        <v>235</v>
      </c>
      <c r="B237" s="23" t="s">
        <v>616</v>
      </c>
      <c r="C237" s="23">
        <v>1</v>
      </c>
      <c r="D237" s="25">
        <v>16.2</v>
      </c>
      <c r="E237" s="25">
        <v>10.9</v>
      </c>
      <c r="F237" s="25" t="s">
        <v>150</v>
      </c>
      <c r="G237" s="111" t="s">
        <v>178</v>
      </c>
      <c r="H237" s="128"/>
      <c r="I237" s="127"/>
      <c r="J237" s="128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spans="1:29" ht="14.25" customHeight="1">
      <c r="A238" s="23">
        <v>236</v>
      </c>
      <c r="B238" s="23" t="s">
        <v>616</v>
      </c>
      <c r="C238" s="23">
        <v>2</v>
      </c>
      <c r="D238" s="25">
        <v>15.7</v>
      </c>
      <c r="E238" s="25" t="s">
        <v>61</v>
      </c>
      <c r="F238" s="25" t="s">
        <v>47</v>
      </c>
      <c r="G238" s="111" t="s">
        <v>104</v>
      </c>
      <c r="H238" s="128"/>
      <c r="I238" s="127"/>
      <c r="J238" s="128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spans="1:29" ht="14.25" customHeight="1">
      <c r="A239" s="23">
        <v>237</v>
      </c>
      <c r="B239" s="23" t="s">
        <v>616</v>
      </c>
      <c r="C239" s="23">
        <v>3</v>
      </c>
      <c r="D239" s="25">
        <v>13.6</v>
      </c>
      <c r="E239" s="25">
        <v>10.6</v>
      </c>
      <c r="F239" s="25" t="s">
        <v>47</v>
      </c>
      <c r="G239" s="111" t="s">
        <v>104</v>
      </c>
      <c r="H239" s="128"/>
      <c r="I239" s="127"/>
      <c r="J239" s="128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spans="1:29" ht="14.25" customHeight="1">
      <c r="A240" s="23">
        <v>238</v>
      </c>
      <c r="B240" s="23" t="s">
        <v>617</v>
      </c>
      <c r="C240" s="23">
        <v>1</v>
      </c>
      <c r="D240" s="25">
        <v>16.600000000000001</v>
      </c>
      <c r="E240" s="25">
        <v>10.9</v>
      </c>
      <c r="F240" s="25" t="s">
        <v>79</v>
      </c>
      <c r="G240" s="111" t="s">
        <v>104</v>
      </c>
      <c r="H240" s="128"/>
      <c r="I240" s="127"/>
      <c r="J240" s="128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spans="1:29" ht="14.25" customHeight="1">
      <c r="A241" s="23">
        <v>239</v>
      </c>
      <c r="B241" s="23" t="s">
        <v>617</v>
      </c>
      <c r="C241" s="23">
        <v>2</v>
      </c>
      <c r="D241" s="25">
        <v>16.5</v>
      </c>
      <c r="E241" s="25" t="s">
        <v>61</v>
      </c>
      <c r="F241" s="25" t="s">
        <v>79</v>
      </c>
      <c r="G241" s="111" t="s">
        <v>104</v>
      </c>
      <c r="H241" s="128"/>
      <c r="I241" s="127"/>
      <c r="J241" s="128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spans="1:29" ht="14.25" customHeight="1">
      <c r="A242" s="23">
        <v>240</v>
      </c>
      <c r="B242" s="23" t="s">
        <v>617</v>
      </c>
      <c r="C242" s="23">
        <v>3</v>
      </c>
      <c r="D242" s="25">
        <v>13.1</v>
      </c>
      <c r="E242" s="25">
        <v>11.1</v>
      </c>
      <c r="F242" s="25" t="s">
        <v>62</v>
      </c>
      <c r="G242" s="147" t="s">
        <v>54</v>
      </c>
      <c r="H242" s="128"/>
      <c r="I242" s="127"/>
      <c r="J242" s="128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spans="1:29" ht="14.25" customHeight="1">
      <c r="A243" s="23">
        <v>241</v>
      </c>
      <c r="B243" s="23" t="s">
        <v>618</v>
      </c>
      <c r="C243" s="23">
        <v>1</v>
      </c>
      <c r="D243" s="25">
        <v>17.899999999999999</v>
      </c>
      <c r="E243" s="25">
        <v>10.8</v>
      </c>
      <c r="F243" s="25" t="s">
        <v>112</v>
      </c>
      <c r="G243" s="111" t="s">
        <v>104</v>
      </c>
      <c r="H243" s="128"/>
      <c r="I243" s="127"/>
      <c r="J243" s="128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spans="1:29" ht="14.25" customHeight="1">
      <c r="A244" s="23">
        <v>242</v>
      </c>
      <c r="B244" s="23" t="s">
        <v>618</v>
      </c>
      <c r="C244" s="23">
        <v>2</v>
      </c>
      <c r="D244" s="25">
        <v>16.100000000000001</v>
      </c>
      <c r="E244" s="25" t="s">
        <v>61</v>
      </c>
      <c r="F244" s="25" t="s">
        <v>79</v>
      </c>
      <c r="G244" s="111" t="s">
        <v>104</v>
      </c>
      <c r="H244" s="128"/>
      <c r="I244" s="127"/>
      <c r="J244" s="128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spans="1:29" ht="14.25" customHeight="1">
      <c r="A245" s="23">
        <v>243</v>
      </c>
      <c r="B245" s="23" t="s">
        <v>618</v>
      </c>
      <c r="C245" s="23">
        <v>3</v>
      </c>
      <c r="D245" s="25">
        <v>12.9</v>
      </c>
      <c r="E245" s="25">
        <v>10.8</v>
      </c>
      <c r="F245" s="25" t="s">
        <v>79</v>
      </c>
      <c r="G245" s="111" t="s">
        <v>104</v>
      </c>
      <c r="H245" s="128"/>
      <c r="I245" s="127"/>
      <c r="J245" s="128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spans="1:29" ht="14.25" customHeight="1">
      <c r="A246" s="23">
        <v>244</v>
      </c>
      <c r="B246" s="23" t="s">
        <v>619</v>
      </c>
      <c r="C246" s="23">
        <v>1</v>
      </c>
      <c r="D246" s="25">
        <v>16.899999999999999</v>
      </c>
      <c r="E246" s="25">
        <v>11.1</v>
      </c>
      <c r="F246" s="25" t="s">
        <v>77</v>
      </c>
      <c r="G246" s="147" t="s">
        <v>54</v>
      </c>
      <c r="H246" s="128"/>
      <c r="I246" s="127"/>
      <c r="J246" s="128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spans="1:29" ht="14.25" customHeight="1">
      <c r="A247" s="23">
        <v>245</v>
      </c>
      <c r="B247" s="23" t="s">
        <v>619</v>
      </c>
      <c r="C247" s="23">
        <v>2</v>
      </c>
      <c r="D247" s="25">
        <v>16.600000000000001</v>
      </c>
      <c r="E247" s="25" t="s">
        <v>61</v>
      </c>
      <c r="F247" s="25" t="s">
        <v>77</v>
      </c>
      <c r="G247" s="147" t="s">
        <v>54</v>
      </c>
      <c r="H247" s="128"/>
      <c r="I247" s="127"/>
      <c r="J247" s="128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spans="1:29" ht="14.25" customHeight="1">
      <c r="A248" s="23">
        <v>246</v>
      </c>
      <c r="B248" s="23" t="s">
        <v>619</v>
      </c>
      <c r="C248" s="23">
        <v>3</v>
      </c>
      <c r="D248" s="25">
        <v>13.4</v>
      </c>
      <c r="E248" s="25">
        <v>10.7</v>
      </c>
      <c r="F248" s="25" t="s">
        <v>89</v>
      </c>
      <c r="G248" s="111" t="s">
        <v>104</v>
      </c>
      <c r="H248" s="128"/>
      <c r="I248" s="127"/>
      <c r="J248" s="128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spans="1:29" ht="14.25" customHeight="1">
      <c r="A249" s="23">
        <v>247</v>
      </c>
      <c r="B249" s="23" t="s">
        <v>620</v>
      </c>
      <c r="C249" s="23">
        <v>1</v>
      </c>
      <c r="D249" s="25">
        <v>17.8</v>
      </c>
      <c r="E249" s="25">
        <v>10.9</v>
      </c>
      <c r="F249" s="25" t="s">
        <v>55</v>
      </c>
      <c r="G249" s="111" t="s">
        <v>104</v>
      </c>
      <c r="H249" s="128"/>
      <c r="I249" s="127"/>
      <c r="J249" s="128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spans="1:29" ht="14.25" customHeight="1">
      <c r="A250" s="23">
        <v>248</v>
      </c>
      <c r="B250" s="23" t="s">
        <v>620</v>
      </c>
      <c r="C250" s="23">
        <v>2</v>
      </c>
      <c r="D250" s="25">
        <v>16.899999999999999</v>
      </c>
      <c r="E250" s="25" t="s">
        <v>61</v>
      </c>
      <c r="F250" s="25" t="s">
        <v>55</v>
      </c>
      <c r="G250" s="111" t="s">
        <v>104</v>
      </c>
      <c r="H250" s="128"/>
      <c r="I250" s="127"/>
      <c r="J250" s="128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spans="1:29" ht="14.25" customHeight="1">
      <c r="A251" s="23">
        <v>249</v>
      </c>
      <c r="B251" s="23" t="s">
        <v>620</v>
      </c>
      <c r="C251" s="23">
        <v>3</v>
      </c>
      <c r="D251" s="25">
        <v>12.6</v>
      </c>
      <c r="E251" s="25">
        <v>10.7</v>
      </c>
      <c r="F251" s="25" t="s">
        <v>55</v>
      </c>
      <c r="G251" s="111" t="s">
        <v>104</v>
      </c>
      <c r="H251" s="128"/>
      <c r="I251" s="127"/>
      <c r="J251" s="128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spans="1:29" ht="14.25" customHeight="1">
      <c r="A252" s="23">
        <v>250</v>
      </c>
      <c r="B252" s="23" t="s">
        <v>621</v>
      </c>
      <c r="C252" s="23">
        <v>1</v>
      </c>
      <c r="D252" s="25">
        <v>16.5</v>
      </c>
      <c r="E252" s="25">
        <v>11</v>
      </c>
      <c r="F252" s="25" t="s">
        <v>55</v>
      </c>
      <c r="G252" s="111" t="s">
        <v>104</v>
      </c>
      <c r="H252" s="128"/>
      <c r="I252" s="127"/>
      <c r="J252" s="128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spans="1:29" ht="14.25" customHeight="1">
      <c r="A253" s="23">
        <v>251</v>
      </c>
      <c r="B253" s="23" t="s">
        <v>621</v>
      </c>
      <c r="C253" s="23">
        <v>2</v>
      </c>
      <c r="D253" s="25">
        <v>16.899999999999999</v>
      </c>
      <c r="E253" s="25" t="s">
        <v>61</v>
      </c>
      <c r="F253" s="25" t="s">
        <v>55</v>
      </c>
      <c r="G253" s="111" t="s">
        <v>104</v>
      </c>
      <c r="H253" s="128"/>
      <c r="I253" s="127"/>
      <c r="J253" s="128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spans="1:29" ht="14.25" customHeight="1">
      <c r="A254" s="23">
        <v>252</v>
      </c>
      <c r="B254" s="23" t="s">
        <v>621</v>
      </c>
      <c r="C254" s="23">
        <v>3</v>
      </c>
      <c r="D254" s="25">
        <v>12.7</v>
      </c>
      <c r="E254" s="25">
        <v>11</v>
      </c>
      <c r="F254" s="25" t="s">
        <v>118</v>
      </c>
      <c r="G254" s="147" t="s">
        <v>54</v>
      </c>
      <c r="H254" s="128"/>
      <c r="I254" s="127"/>
      <c r="J254" s="128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spans="1:29" ht="14.25" customHeight="1">
      <c r="A255" s="23">
        <v>253</v>
      </c>
      <c r="B255" s="23" t="s">
        <v>622</v>
      </c>
      <c r="C255" s="23">
        <v>1</v>
      </c>
      <c r="D255" s="25">
        <v>17</v>
      </c>
      <c r="E255" s="25">
        <v>10.8</v>
      </c>
      <c r="F255" s="25" t="s">
        <v>88</v>
      </c>
      <c r="G255" s="111" t="s">
        <v>104</v>
      </c>
      <c r="H255" s="128"/>
      <c r="I255" s="127"/>
      <c r="J255" s="128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spans="1:29" ht="14.25" customHeight="1">
      <c r="A256" s="23">
        <v>254</v>
      </c>
      <c r="B256" s="23" t="s">
        <v>622</v>
      </c>
      <c r="C256" s="23">
        <v>2</v>
      </c>
      <c r="D256" s="25">
        <v>16.100000000000001</v>
      </c>
      <c r="E256" s="25" t="s">
        <v>61</v>
      </c>
      <c r="F256" s="25" t="s">
        <v>88</v>
      </c>
      <c r="G256" s="111" t="s">
        <v>104</v>
      </c>
      <c r="H256" s="128"/>
      <c r="I256" s="127"/>
      <c r="J256" s="128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spans="1:29" ht="14.25" customHeight="1">
      <c r="A257" s="23">
        <v>255</v>
      </c>
      <c r="B257" s="23" t="s">
        <v>622</v>
      </c>
      <c r="C257" s="23">
        <v>3</v>
      </c>
      <c r="D257" s="25">
        <v>12.9</v>
      </c>
      <c r="E257" s="25">
        <v>10.8</v>
      </c>
      <c r="F257" s="25" t="s">
        <v>88</v>
      </c>
      <c r="G257" s="62" t="s">
        <v>104</v>
      </c>
      <c r="H257" s="128"/>
      <c r="I257" s="127"/>
      <c r="J257" s="128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spans="1:29" ht="14.25" customHeight="1">
      <c r="A258" s="23">
        <v>256</v>
      </c>
      <c r="B258" s="23" t="s">
        <v>623</v>
      </c>
      <c r="C258" s="23">
        <v>1</v>
      </c>
      <c r="D258" s="25">
        <v>16.2</v>
      </c>
      <c r="E258" s="25">
        <v>10.8</v>
      </c>
      <c r="F258" s="25" t="s">
        <v>55</v>
      </c>
      <c r="G258" s="111" t="s">
        <v>104</v>
      </c>
      <c r="H258" s="128"/>
      <c r="I258" s="127"/>
      <c r="J258" s="128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spans="1:29" ht="14.25" customHeight="1">
      <c r="A259" s="23">
        <v>257</v>
      </c>
      <c r="B259" s="23" t="s">
        <v>623</v>
      </c>
      <c r="C259" s="23">
        <v>2</v>
      </c>
      <c r="D259" s="25">
        <v>16.2</v>
      </c>
      <c r="E259" s="25" t="s">
        <v>61</v>
      </c>
      <c r="F259" s="25" t="s">
        <v>55</v>
      </c>
      <c r="G259" s="111" t="s">
        <v>104</v>
      </c>
      <c r="H259" s="128"/>
      <c r="I259" s="127"/>
      <c r="J259" s="128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spans="1:29" ht="14.25" customHeight="1">
      <c r="A260" s="23">
        <v>258</v>
      </c>
      <c r="B260" s="23" t="s">
        <v>623</v>
      </c>
      <c r="C260" s="23">
        <v>3</v>
      </c>
      <c r="D260" s="25">
        <v>13.1</v>
      </c>
      <c r="E260" s="25">
        <v>10.8</v>
      </c>
      <c r="F260" s="25" t="s">
        <v>77</v>
      </c>
      <c r="G260" s="147" t="s">
        <v>54</v>
      </c>
      <c r="H260" s="128"/>
      <c r="I260" s="127"/>
      <c r="J260" s="128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spans="1:29" ht="14.25" customHeight="1">
      <c r="A261" s="23">
        <v>259</v>
      </c>
      <c r="B261" s="23" t="s">
        <v>624</v>
      </c>
      <c r="C261" s="23">
        <v>1</v>
      </c>
      <c r="D261" s="25">
        <v>17.399999999999999</v>
      </c>
      <c r="E261" s="25">
        <v>11.7</v>
      </c>
      <c r="F261" s="41" t="s">
        <v>112</v>
      </c>
      <c r="G261" s="111" t="s">
        <v>104</v>
      </c>
      <c r="H261" s="128"/>
      <c r="I261" s="122" t="s">
        <v>608</v>
      </c>
      <c r="J261" s="128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spans="1:29" ht="14.25" customHeight="1">
      <c r="A262" s="23">
        <v>260</v>
      </c>
      <c r="B262" s="23" t="s">
        <v>624</v>
      </c>
      <c r="C262" s="23">
        <v>2</v>
      </c>
      <c r="D262" s="25">
        <v>18</v>
      </c>
      <c r="E262" s="25" t="s">
        <v>61</v>
      </c>
      <c r="F262" s="25" t="s">
        <v>112</v>
      </c>
      <c r="G262" s="111" t="s">
        <v>104</v>
      </c>
      <c r="H262" s="128"/>
      <c r="I262" s="127"/>
      <c r="J262" s="128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spans="1:29" ht="14.25" customHeight="1">
      <c r="A263" s="23">
        <v>261</v>
      </c>
      <c r="B263" s="23" t="s">
        <v>624</v>
      </c>
      <c r="C263" s="23">
        <v>3</v>
      </c>
      <c r="D263" s="25">
        <v>13.8</v>
      </c>
      <c r="E263" s="25">
        <v>11.6</v>
      </c>
      <c r="F263" s="25" t="s">
        <v>89</v>
      </c>
      <c r="G263" s="111" t="s">
        <v>104</v>
      </c>
      <c r="H263" s="128"/>
      <c r="I263" s="127"/>
      <c r="J263" s="128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spans="1:29" ht="14.25" customHeight="1">
      <c r="A264" s="23">
        <v>262</v>
      </c>
      <c r="B264" s="23" t="s">
        <v>625</v>
      </c>
      <c r="C264" s="23">
        <v>1</v>
      </c>
      <c r="D264" s="25">
        <v>17.2</v>
      </c>
      <c r="E264" s="25">
        <v>10.4</v>
      </c>
      <c r="F264" s="25" t="s">
        <v>77</v>
      </c>
      <c r="G264" s="147" t="s">
        <v>54</v>
      </c>
      <c r="H264" s="128"/>
      <c r="I264" s="127"/>
      <c r="J264" s="128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spans="1:29" ht="14.25" customHeight="1">
      <c r="A265" s="23">
        <v>263</v>
      </c>
      <c r="B265" s="23" t="s">
        <v>625</v>
      </c>
      <c r="C265" s="23">
        <v>2</v>
      </c>
      <c r="D265" s="25">
        <v>17</v>
      </c>
      <c r="E265" s="25" t="s">
        <v>61</v>
      </c>
      <c r="F265" s="25" t="s">
        <v>79</v>
      </c>
      <c r="G265" s="111" t="s">
        <v>104</v>
      </c>
      <c r="H265" s="128"/>
      <c r="I265" s="127"/>
      <c r="J265" s="128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spans="1:29" ht="14.25" customHeight="1">
      <c r="A266" s="23">
        <v>264</v>
      </c>
      <c r="B266" s="23" t="s">
        <v>625</v>
      </c>
      <c r="C266" s="23">
        <v>3</v>
      </c>
      <c r="D266" s="25">
        <v>12.7</v>
      </c>
      <c r="E266" s="25">
        <v>10.199999999999999</v>
      </c>
      <c r="F266" s="25" t="s">
        <v>55</v>
      </c>
      <c r="G266" s="111" t="s">
        <v>104</v>
      </c>
      <c r="H266" s="128"/>
      <c r="I266" s="127"/>
      <c r="J266" s="128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spans="1:29" ht="14.25" customHeight="1">
      <c r="A267" s="23">
        <v>265</v>
      </c>
      <c r="B267" s="23" t="s">
        <v>626</v>
      </c>
      <c r="C267" s="23">
        <v>1</v>
      </c>
      <c r="D267" s="25">
        <v>17.100000000000001</v>
      </c>
      <c r="E267" s="25">
        <v>10.8</v>
      </c>
      <c r="F267" s="25" t="s">
        <v>47</v>
      </c>
      <c r="G267" s="111" t="s">
        <v>104</v>
      </c>
      <c r="H267" s="128"/>
      <c r="I267" s="127"/>
      <c r="J267" s="128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spans="1:29" ht="14.25" customHeight="1">
      <c r="A268" s="23">
        <v>266</v>
      </c>
      <c r="B268" s="23" t="s">
        <v>626</v>
      </c>
      <c r="C268" s="23">
        <v>2</v>
      </c>
      <c r="D268" s="25">
        <v>16.399999999999999</v>
      </c>
      <c r="E268" s="25" t="s">
        <v>61</v>
      </c>
      <c r="F268" s="25" t="s">
        <v>89</v>
      </c>
      <c r="G268" s="111" t="s">
        <v>104</v>
      </c>
      <c r="H268" s="128"/>
      <c r="I268" s="127"/>
      <c r="J268" s="128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spans="1:29" ht="14.25" customHeight="1">
      <c r="A269" s="23">
        <v>267</v>
      </c>
      <c r="B269" s="23" t="s">
        <v>626</v>
      </c>
      <c r="C269" s="23">
        <v>3</v>
      </c>
      <c r="D269" s="25">
        <v>12.7</v>
      </c>
      <c r="E269" s="25">
        <v>10.8</v>
      </c>
      <c r="F269" s="25" t="s">
        <v>89</v>
      </c>
      <c r="G269" s="111" t="s">
        <v>104</v>
      </c>
      <c r="H269" s="128"/>
      <c r="I269" s="127"/>
      <c r="J269" s="128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spans="1:29" ht="14.25" customHeight="1">
      <c r="A270" s="23">
        <v>268</v>
      </c>
      <c r="B270" s="23" t="s">
        <v>627</v>
      </c>
      <c r="C270" s="23">
        <v>1</v>
      </c>
      <c r="D270" s="25">
        <v>16.899999999999999</v>
      </c>
      <c r="E270" s="25">
        <v>10.6</v>
      </c>
      <c r="F270" s="25" t="s">
        <v>79</v>
      </c>
      <c r="G270" s="111" t="s">
        <v>104</v>
      </c>
      <c r="H270" s="128"/>
      <c r="I270" s="127"/>
      <c r="J270" s="128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spans="1:29" ht="14.25" customHeight="1">
      <c r="A271" s="23">
        <v>269</v>
      </c>
      <c r="B271" s="23" t="s">
        <v>627</v>
      </c>
      <c r="C271" s="23">
        <v>2</v>
      </c>
      <c r="D271" s="25">
        <v>17.100000000000001</v>
      </c>
      <c r="E271" s="25" t="s">
        <v>61</v>
      </c>
      <c r="F271" s="25" t="s">
        <v>150</v>
      </c>
      <c r="G271" s="111" t="s">
        <v>178</v>
      </c>
      <c r="H271" s="128"/>
      <c r="I271" s="127"/>
      <c r="J271" s="128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spans="1:29" ht="14.25" customHeight="1">
      <c r="A272" s="23">
        <v>270</v>
      </c>
      <c r="B272" s="23" t="s">
        <v>627</v>
      </c>
      <c r="C272" s="23">
        <v>3</v>
      </c>
      <c r="D272" s="25">
        <v>12.8</v>
      </c>
      <c r="E272" s="25">
        <v>10.8</v>
      </c>
      <c r="F272" s="25" t="s">
        <v>150</v>
      </c>
      <c r="G272" s="111" t="s">
        <v>178</v>
      </c>
      <c r="H272" s="128"/>
      <c r="I272" s="127"/>
      <c r="J272" s="128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spans="1:29" ht="14.25" customHeight="1">
      <c r="A273" s="23">
        <v>271</v>
      </c>
      <c r="B273" s="23" t="s">
        <v>628</v>
      </c>
      <c r="C273" s="23">
        <v>1</v>
      </c>
      <c r="D273" s="25">
        <v>16.7</v>
      </c>
      <c r="E273" s="25">
        <v>11.2</v>
      </c>
      <c r="F273" s="25" t="s">
        <v>12</v>
      </c>
      <c r="G273" s="74"/>
      <c r="H273" s="128"/>
      <c r="I273" s="127"/>
      <c r="J273" s="128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spans="1:29" ht="14.25" customHeight="1">
      <c r="A274" s="23">
        <v>272</v>
      </c>
      <c r="B274" s="23" t="s">
        <v>628</v>
      </c>
      <c r="C274" s="23">
        <v>2</v>
      </c>
      <c r="D274" s="25">
        <v>16.7</v>
      </c>
      <c r="E274" s="25" t="s">
        <v>61</v>
      </c>
      <c r="F274" s="25" t="s">
        <v>12</v>
      </c>
      <c r="G274" s="74"/>
      <c r="H274" s="128"/>
      <c r="I274" s="127"/>
      <c r="J274" s="128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spans="1:29" ht="14.25" customHeight="1">
      <c r="A275" s="23">
        <v>273</v>
      </c>
      <c r="B275" s="23" t="s">
        <v>628</v>
      </c>
      <c r="C275" s="23">
        <v>3</v>
      </c>
      <c r="D275" s="25">
        <v>13.1</v>
      </c>
      <c r="E275" s="25">
        <v>10.6</v>
      </c>
      <c r="F275" s="25" t="s">
        <v>77</v>
      </c>
      <c r="G275" s="147" t="s">
        <v>54</v>
      </c>
      <c r="H275" s="128"/>
      <c r="I275" s="127"/>
      <c r="J275" s="128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spans="1:29" ht="14.25" customHeight="1">
      <c r="A276" s="23">
        <v>274</v>
      </c>
      <c r="B276" s="23" t="s">
        <v>629</v>
      </c>
      <c r="C276" s="23">
        <v>1</v>
      </c>
      <c r="D276" s="25">
        <v>16.100000000000001</v>
      </c>
      <c r="E276" s="25">
        <v>10.4</v>
      </c>
      <c r="F276" s="25" t="s">
        <v>124</v>
      </c>
      <c r="G276" s="26" t="s">
        <v>104</v>
      </c>
      <c r="H276" s="128"/>
      <c r="I276" s="127"/>
      <c r="J276" s="128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spans="1:29" ht="14.25" customHeight="1">
      <c r="A277" s="23">
        <v>275</v>
      </c>
      <c r="B277" s="23" t="s">
        <v>629</v>
      </c>
      <c r="C277" s="23">
        <v>2</v>
      </c>
      <c r="D277" s="25">
        <v>16.3</v>
      </c>
      <c r="E277" s="25" t="s">
        <v>61</v>
      </c>
      <c r="F277" s="25" t="s">
        <v>124</v>
      </c>
      <c r="G277" s="26" t="s">
        <v>104</v>
      </c>
      <c r="H277" s="128"/>
      <c r="I277" s="127"/>
      <c r="J277" s="128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spans="1:29" ht="14.25" customHeight="1">
      <c r="A278" s="23">
        <v>276</v>
      </c>
      <c r="B278" s="126" t="s">
        <v>629</v>
      </c>
      <c r="C278" s="126">
        <v>3</v>
      </c>
      <c r="D278" s="129">
        <v>12.6</v>
      </c>
      <c r="E278" s="129">
        <v>10.7</v>
      </c>
      <c r="F278" s="129" t="s">
        <v>124</v>
      </c>
      <c r="G278" s="26" t="s">
        <v>104</v>
      </c>
      <c r="H278" s="157"/>
      <c r="I278" s="127"/>
      <c r="J278" s="128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spans="1:29" ht="14.25" customHeight="1">
      <c r="A279" s="23">
        <v>277</v>
      </c>
      <c r="B279" s="126" t="s">
        <v>630</v>
      </c>
      <c r="C279" s="126">
        <v>1</v>
      </c>
      <c r="D279" s="129">
        <v>16.399999999999999</v>
      </c>
      <c r="E279" s="129">
        <v>11</v>
      </c>
      <c r="F279" s="129" t="s">
        <v>112</v>
      </c>
      <c r="G279" s="158" t="s">
        <v>104</v>
      </c>
      <c r="H279" s="157"/>
      <c r="I279" s="127"/>
      <c r="J279" s="157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spans="1:29" ht="14.25" customHeight="1">
      <c r="A280" s="23">
        <v>278</v>
      </c>
      <c r="B280" s="126" t="s">
        <v>630</v>
      </c>
      <c r="C280" s="126">
        <v>2</v>
      </c>
      <c r="D280" s="129">
        <v>16.3</v>
      </c>
      <c r="E280" s="129" t="s">
        <v>61</v>
      </c>
      <c r="F280" s="129" t="s">
        <v>112</v>
      </c>
      <c r="G280" s="158" t="s">
        <v>104</v>
      </c>
      <c r="H280" s="157"/>
      <c r="I280" s="127"/>
      <c r="J280" s="157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spans="1:29" ht="14.25" customHeight="1">
      <c r="A281" s="23">
        <v>279</v>
      </c>
      <c r="B281" s="23" t="s">
        <v>630</v>
      </c>
      <c r="C281" s="23">
        <v>3</v>
      </c>
      <c r="D281" s="25">
        <v>12.9</v>
      </c>
      <c r="E281" s="25">
        <v>10.8</v>
      </c>
      <c r="F281" s="41" t="s">
        <v>112</v>
      </c>
      <c r="G281" s="111" t="s">
        <v>104</v>
      </c>
      <c r="H281" s="128"/>
      <c r="I281" s="122" t="s">
        <v>314</v>
      </c>
      <c r="J281" s="128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spans="1:29" ht="14.25" customHeight="1">
      <c r="A282" s="23">
        <v>280</v>
      </c>
      <c r="B282" s="23" t="s">
        <v>631</v>
      </c>
      <c r="C282" s="23">
        <v>1</v>
      </c>
      <c r="D282" s="25">
        <v>17.100000000000001</v>
      </c>
      <c r="E282" s="25">
        <v>10.8</v>
      </c>
      <c r="F282" s="25" t="s">
        <v>118</v>
      </c>
      <c r="G282" s="147" t="s">
        <v>54</v>
      </c>
      <c r="H282" s="128"/>
      <c r="I282" s="127"/>
      <c r="J282" s="128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spans="1:29" ht="14.25" customHeight="1">
      <c r="A283" s="23">
        <v>281</v>
      </c>
      <c r="B283" s="23" t="s">
        <v>631</v>
      </c>
      <c r="C283" s="23">
        <v>2</v>
      </c>
      <c r="D283" s="25">
        <v>16.899999999999999</v>
      </c>
      <c r="E283" s="25" t="s">
        <v>61</v>
      </c>
      <c r="F283" s="25" t="s">
        <v>118</v>
      </c>
      <c r="G283" s="147" t="s">
        <v>54</v>
      </c>
      <c r="H283" s="128"/>
      <c r="I283" s="127"/>
      <c r="J283" s="128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spans="1:29" ht="14.25" customHeight="1">
      <c r="A284" s="23">
        <v>282</v>
      </c>
      <c r="B284" s="23" t="s">
        <v>631</v>
      </c>
      <c r="C284" s="23">
        <v>3</v>
      </c>
      <c r="D284" s="25">
        <v>12.8</v>
      </c>
      <c r="E284" s="25">
        <v>10.8</v>
      </c>
      <c r="F284" s="25" t="s">
        <v>118</v>
      </c>
      <c r="G284" s="147" t="s">
        <v>54</v>
      </c>
      <c r="H284" s="128"/>
      <c r="I284" s="127"/>
      <c r="J284" s="128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spans="1:29" ht="14.25" customHeight="1">
      <c r="A285" s="23">
        <v>283</v>
      </c>
      <c r="B285" s="23" t="s">
        <v>632</v>
      </c>
      <c r="C285" s="23">
        <v>1</v>
      </c>
      <c r="D285" s="25">
        <v>15.5</v>
      </c>
      <c r="E285" s="25">
        <v>10.8</v>
      </c>
      <c r="F285" s="25" t="s">
        <v>55</v>
      </c>
      <c r="G285" s="111" t="s">
        <v>104</v>
      </c>
      <c r="H285" s="128"/>
      <c r="I285" s="127"/>
      <c r="J285" s="128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spans="1:29" ht="14.25" customHeight="1">
      <c r="A286" s="23">
        <v>284</v>
      </c>
      <c r="B286" s="23" t="s">
        <v>632</v>
      </c>
      <c r="C286" s="23">
        <v>2</v>
      </c>
      <c r="D286" s="25">
        <v>15.9</v>
      </c>
      <c r="E286" s="25" t="s">
        <v>61</v>
      </c>
      <c r="F286" s="25" t="s">
        <v>12</v>
      </c>
      <c r="G286" s="74"/>
      <c r="H286" s="128"/>
      <c r="I286" s="127"/>
      <c r="J286" s="128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spans="1:29" ht="14.25" customHeight="1">
      <c r="A287" s="23">
        <v>285</v>
      </c>
      <c r="B287" s="23" t="s">
        <v>632</v>
      </c>
      <c r="C287" s="23">
        <v>3</v>
      </c>
      <c r="D287" s="25">
        <v>12.5</v>
      </c>
      <c r="E287" s="25">
        <v>10.5</v>
      </c>
      <c r="F287" s="25" t="s">
        <v>12</v>
      </c>
      <c r="G287" s="74"/>
      <c r="H287" s="128"/>
      <c r="I287" s="127"/>
      <c r="J287" s="128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spans="1:29" ht="14.25" customHeight="1">
      <c r="A288" s="23">
        <v>286</v>
      </c>
      <c r="B288" s="23" t="s">
        <v>633</v>
      </c>
      <c r="C288" s="23">
        <v>1</v>
      </c>
      <c r="D288" s="25">
        <v>17.100000000000001</v>
      </c>
      <c r="E288" s="25">
        <v>11</v>
      </c>
      <c r="F288" s="25" t="s">
        <v>55</v>
      </c>
      <c r="G288" s="111" t="s">
        <v>104</v>
      </c>
      <c r="H288" s="128"/>
      <c r="I288" s="127"/>
      <c r="J288" s="128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spans="1:29" ht="14.25" customHeight="1">
      <c r="A289" s="23">
        <v>287</v>
      </c>
      <c r="B289" s="23" t="s">
        <v>633</v>
      </c>
      <c r="C289" s="23">
        <v>2</v>
      </c>
      <c r="D289" s="25">
        <v>16.5</v>
      </c>
      <c r="E289" s="25" t="s">
        <v>61</v>
      </c>
      <c r="F289" s="25" t="s">
        <v>55</v>
      </c>
      <c r="G289" s="111" t="s">
        <v>104</v>
      </c>
      <c r="H289" s="128"/>
      <c r="I289" s="127"/>
      <c r="J289" s="128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spans="1:29" ht="14.25" customHeight="1">
      <c r="A290" s="23">
        <v>288</v>
      </c>
      <c r="B290" s="23" t="s">
        <v>633</v>
      </c>
      <c r="C290" s="23">
        <v>3</v>
      </c>
      <c r="D290" s="25">
        <v>13.1</v>
      </c>
      <c r="E290" s="25">
        <v>10.9</v>
      </c>
      <c r="F290" s="25" t="s">
        <v>55</v>
      </c>
      <c r="G290" s="111" t="s">
        <v>104</v>
      </c>
      <c r="H290" s="128"/>
      <c r="I290" s="127"/>
      <c r="J290" s="128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spans="1:29" ht="14.25" customHeight="1">
      <c r="A291" s="23">
        <v>289</v>
      </c>
      <c r="B291" s="23" t="s">
        <v>634</v>
      </c>
      <c r="C291" s="23">
        <v>1</v>
      </c>
      <c r="D291" s="25">
        <v>16.899999999999999</v>
      </c>
      <c r="E291" s="25">
        <v>11.4</v>
      </c>
      <c r="F291" s="25" t="s">
        <v>55</v>
      </c>
      <c r="G291" s="111" t="s">
        <v>104</v>
      </c>
      <c r="H291" s="128"/>
      <c r="I291" s="127"/>
      <c r="J291" s="128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spans="1:29" ht="14.25" customHeight="1">
      <c r="A292" s="23">
        <v>290</v>
      </c>
      <c r="B292" s="23" t="s">
        <v>634</v>
      </c>
      <c r="C292" s="23">
        <v>2</v>
      </c>
      <c r="D292" s="25">
        <v>16.899999999999999</v>
      </c>
      <c r="E292" s="25" t="s">
        <v>61</v>
      </c>
      <c r="F292" s="25" t="s">
        <v>55</v>
      </c>
      <c r="G292" s="111" t="s">
        <v>104</v>
      </c>
      <c r="H292" s="128"/>
      <c r="I292" s="127"/>
      <c r="J292" s="128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spans="1:29" ht="14.25" customHeight="1">
      <c r="A293" s="23">
        <v>291</v>
      </c>
      <c r="B293" s="23" t="s">
        <v>634</v>
      </c>
      <c r="C293" s="23">
        <v>3</v>
      </c>
      <c r="D293" s="25">
        <v>14.4</v>
      </c>
      <c r="E293" s="25">
        <v>11.4</v>
      </c>
      <c r="F293" s="25" t="s">
        <v>55</v>
      </c>
      <c r="G293" s="111" t="s">
        <v>104</v>
      </c>
      <c r="H293" s="128"/>
      <c r="I293" s="127"/>
      <c r="J293" s="128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spans="1:29" ht="14.25" customHeight="1">
      <c r="A294" s="23">
        <v>292</v>
      </c>
      <c r="B294" s="23" t="s">
        <v>635</v>
      </c>
      <c r="C294" s="23">
        <v>1</v>
      </c>
      <c r="D294" s="25">
        <v>17.3</v>
      </c>
      <c r="E294" s="25">
        <v>11.4</v>
      </c>
      <c r="F294" s="25" t="s">
        <v>118</v>
      </c>
      <c r="G294" s="147" t="s">
        <v>54</v>
      </c>
      <c r="H294" s="128"/>
      <c r="I294" s="127"/>
      <c r="J294" s="128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spans="1:29" ht="14.25" customHeight="1">
      <c r="A295" s="23">
        <v>293</v>
      </c>
      <c r="B295" s="23" t="s">
        <v>635</v>
      </c>
      <c r="C295" s="23">
        <v>2</v>
      </c>
      <c r="D295" s="25">
        <v>17.7</v>
      </c>
      <c r="E295" s="25" t="s">
        <v>61</v>
      </c>
      <c r="F295" s="25" t="s">
        <v>118</v>
      </c>
      <c r="G295" s="147" t="s">
        <v>54</v>
      </c>
      <c r="H295" s="128"/>
      <c r="I295" s="127"/>
      <c r="J295" s="128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spans="1:29" ht="14.25" customHeight="1">
      <c r="A296" s="23">
        <v>294</v>
      </c>
      <c r="B296" s="23" t="s">
        <v>635</v>
      </c>
      <c r="C296" s="23">
        <v>3</v>
      </c>
      <c r="D296" s="25">
        <v>14</v>
      </c>
      <c r="E296" s="25">
        <v>11.4</v>
      </c>
      <c r="F296" s="25" t="s">
        <v>118</v>
      </c>
      <c r="G296" s="147" t="s">
        <v>54</v>
      </c>
      <c r="H296" s="128"/>
      <c r="I296" s="127"/>
      <c r="J296" s="128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spans="1:29" ht="14.25" customHeight="1">
      <c r="A297" s="23">
        <v>295</v>
      </c>
      <c r="B297" s="23" t="s">
        <v>636</v>
      </c>
      <c r="C297" s="23">
        <v>1</v>
      </c>
      <c r="D297" s="25">
        <v>16.100000000000001</v>
      </c>
      <c r="E297" s="25">
        <v>10.7</v>
      </c>
      <c r="F297" s="25" t="s">
        <v>118</v>
      </c>
      <c r="G297" s="147" t="s">
        <v>54</v>
      </c>
      <c r="H297" s="128"/>
      <c r="I297" s="127"/>
      <c r="J297" s="128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spans="1:29" ht="14.25" customHeight="1">
      <c r="A298" s="23">
        <v>296</v>
      </c>
      <c r="B298" s="23" t="s">
        <v>636</v>
      </c>
      <c r="C298" s="23">
        <v>2</v>
      </c>
      <c r="D298" s="25">
        <v>16.600000000000001</v>
      </c>
      <c r="E298" s="25" t="s">
        <v>61</v>
      </c>
      <c r="F298" s="25" t="s">
        <v>79</v>
      </c>
      <c r="G298" s="74"/>
      <c r="H298" s="128"/>
      <c r="I298" s="127"/>
      <c r="J298" s="128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spans="1:29" ht="14.25" customHeight="1">
      <c r="A299" s="23">
        <v>297</v>
      </c>
      <c r="B299" s="23" t="s">
        <v>636</v>
      </c>
      <c r="C299" s="23">
        <v>3</v>
      </c>
      <c r="D299" s="25">
        <v>13.5</v>
      </c>
      <c r="E299" s="25">
        <v>10.7</v>
      </c>
      <c r="F299" s="25" t="s">
        <v>112</v>
      </c>
      <c r="G299" s="111" t="s">
        <v>104</v>
      </c>
      <c r="H299" s="128"/>
      <c r="I299" s="127"/>
      <c r="J299" s="128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spans="1:29" ht="14.25" customHeight="1">
      <c r="A300" s="23">
        <v>298</v>
      </c>
      <c r="B300" s="23" t="s">
        <v>637</v>
      </c>
      <c r="C300" s="23">
        <v>1</v>
      </c>
      <c r="D300" s="25">
        <v>17.2</v>
      </c>
      <c r="E300" s="25">
        <v>11.6</v>
      </c>
      <c r="F300" s="25" t="s">
        <v>55</v>
      </c>
      <c r="G300" s="111" t="s">
        <v>104</v>
      </c>
      <c r="H300" s="128"/>
      <c r="I300" s="127"/>
      <c r="J300" s="128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spans="1:29" ht="14.25" customHeight="1">
      <c r="A301" s="23">
        <v>299</v>
      </c>
      <c r="B301" s="23" t="s">
        <v>637</v>
      </c>
      <c r="C301" s="23">
        <v>2</v>
      </c>
      <c r="D301" s="25">
        <v>17.600000000000001</v>
      </c>
      <c r="E301" s="25" t="s">
        <v>61</v>
      </c>
      <c r="F301" s="25" t="s">
        <v>55</v>
      </c>
      <c r="G301" s="111" t="s">
        <v>104</v>
      </c>
      <c r="H301" s="128"/>
      <c r="I301" s="127"/>
      <c r="J301" s="128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spans="1:29" ht="14.25" customHeight="1">
      <c r="A302" s="23">
        <v>300</v>
      </c>
      <c r="B302" s="23" t="s">
        <v>637</v>
      </c>
      <c r="C302" s="23">
        <v>3</v>
      </c>
      <c r="D302" s="25">
        <v>13.8</v>
      </c>
      <c r="E302" s="25">
        <v>11.6</v>
      </c>
      <c r="F302" s="25" t="s">
        <v>150</v>
      </c>
      <c r="G302" s="111" t="s">
        <v>178</v>
      </c>
      <c r="H302" s="128"/>
      <c r="I302" s="127"/>
      <c r="J302" s="128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spans="1:29" ht="14.25" customHeight="1">
      <c r="A303" s="23">
        <v>301</v>
      </c>
      <c r="B303" s="23" t="s">
        <v>638</v>
      </c>
      <c r="C303" s="23">
        <v>1</v>
      </c>
      <c r="D303" s="25">
        <v>16.3</v>
      </c>
      <c r="E303" s="25">
        <v>11.1</v>
      </c>
      <c r="F303" s="25" t="s">
        <v>77</v>
      </c>
      <c r="G303" s="147" t="s">
        <v>54</v>
      </c>
      <c r="H303" s="128"/>
      <c r="I303" s="127"/>
      <c r="J303" s="128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spans="1:29" ht="14.25" customHeight="1">
      <c r="A304" s="23">
        <v>302</v>
      </c>
      <c r="B304" s="23" t="s">
        <v>638</v>
      </c>
      <c r="C304" s="23">
        <v>2</v>
      </c>
      <c r="D304" s="25">
        <v>15.5</v>
      </c>
      <c r="E304" s="25" t="s">
        <v>61</v>
      </c>
      <c r="F304" s="25" t="s">
        <v>150</v>
      </c>
      <c r="G304" s="111" t="s">
        <v>178</v>
      </c>
      <c r="H304" s="128"/>
      <c r="I304" s="127"/>
      <c r="J304" s="128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spans="1:29" ht="14.25" customHeight="1">
      <c r="A305" s="126">
        <v>303</v>
      </c>
      <c r="B305" s="126" t="s">
        <v>638</v>
      </c>
      <c r="C305" s="126">
        <v>3</v>
      </c>
      <c r="D305" s="129">
        <v>12.8</v>
      </c>
      <c r="E305" s="129">
        <v>10.5</v>
      </c>
      <c r="F305" s="159" t="s">
        <v>77</v>
      </c>
      <c r="G305" s="147" t="s">
        <v>54</v>
      </c>
      <c r="H305" s="128"/>
      <c r="I305" s="122" t="s">
        <v>477</v>
      </c>
      <c r="J305" s="128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spans="1:29" ht="14.25" customHeight="1">
      <c r="A306" s="23">
        <v>304</v>
      </c>
      <c r="B306" s="23" t="s">
        <v>639</v>
      </c>
      <c r="C306" s="23">
        <v>1</v>
      </c>
      <c r="D306" s="25">
        <v>17.899999999999999</v>
      </c>
      <c r="E306" s="25">
        <v>11.8</v>
      </c>
      <c r="F306" s="25" t="s">
        <v>150</v>
      </c>
      <c r="G306" s="111" t="s">
        <v>178</v>
      </c>
      <c r="H306" s="128"/>
      <c r="I306" s="127"/>
      <c r="J306" s="128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spans="1:29" ht="14.25" customHeight="1">
      <c r="A307" s="23">
        <v>305</v>
      </c>
      <c r="B307" s="23" t="s">
        <v>639</v>
      </c>
      <c r="C307" s="23">
        <v>2</v>
      </c>
      <c r="D307" s="25">
        <v>17.600000000000001</v>
      </c>
      <c r="E307" s="25" t="s">
        <v>61</v>
      </c>
      <c r="F307" s="25" t="s">
        <v>150</v>
      </c>
      <c r="G307" s="111" t="s">
        <v>178</v>
      </c>
      <c r="H307" s="128"/>
      <c r="I307" s="127"/>
      <c r="J307" s="128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spans="1:29" ht="14.25" customHeight="1">
      <c r="A308" s="23">
        <v>306</v>
      </c>
      <c r="B308" s="23" t="s">
        <v>639</v>
      </c>
      <c r="C308" s="23">
        <v>3</v>
      </c>
      <c r="D308" s="25">
        <v>13.1</v>
      </c>
      <c r="E308" s="25">
        <v>11.8</v>
      </c>
      <c r="F308" s="25" t="s">
        <v>150</v>
      </c>
      <c r="G308" s="111" t="s">
        <v>178</v>
      </c>
      <c r="H308" s="128"/>
      <c r="I308" s="127"/>
      <c r="J308" s="128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spans="1:29" ht="14.25" customHeight="1">
      <c r="A309" s="23">
        <v>307</v>
      </c>
      <c r="B309" s="23" t="s">
        <v>640</v>
      </c>
      <c r="C309" s="23">
        <v>1</v>
      </c>
      <c r="D309" s="25">
        <v>16.100000000000001</v>
      </c>
      <c r="E309" s="25">
        <v>10.6</v>
      </c>
      <c r="F309" s="25" t="s">
        <v>118</v>
      </c>
      <c r="G309" s="147" t="s">
        <v>54</v>
      </c>
      <c r="H309" s="128"/>
      <c r="I309" s="127"/>
      <c r="J309" s="128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spans="1:29" ht="14.25" customHeight="1">
      <c r="A310" s="23">
        <v>308</v>
      </c>
      <c r="B310" s="23" t="s">
        <v>640</v>
      </c>
      <c r="C310" s="23">
        <v>2</v>
      </c>
      <c r="D310" s="25">
        <v>16.5</v>
      </c>
      <c r="E310" s="25" t="s">
        <v>61</v>
      </c>
      <c r="F310" s="25" t="s">
        <v>118</v>
      </c>
      <c r="G310" s="147" t="s">
        <v>54</v>
      </c>
      <c r="H310" s="128"/>
      <c r="I310" s="127"/>
      <c r="J310" s="128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 spans="1:29" ht="14.25" customHeight="1">
      <c r="A311" s="23">
        <v>309</v>
      </c>
      <c r="B311" s="23" t="s">
        <v>640</v>
      </c>
      <c r="C311" s="23">
        <v>3</v>
      </c>
      <c r="D311" s="25">
        <v>12.3</v>
      </c>
      <c r="E311" s="25">
        <v>10.4</v>
      </c>
      <c r="F311" s="25" t="s">
        <v>118</v>
      </c>
      <c r="G311" s="147" t="s">
        <v>54</v>
      </c>
      <c r="H311" s="128"/>
      <c r="I311" s="127"/>
      <c r="J311" s="128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 spans="1:29" ht="14.25" customHeight="1">
      <c r="A312" s="23">
        <v>310</v>
      </c>
      <c r="B312" s="23" t="s">
        <v>641</v>
      </c>
      <c r="C312" s="23">
        <v>1</v>
      </c>
      <c r="D312" s="25">
        <v>16.600000000000001</v>
      </c>
      <c r="E312" s="25">
        <v>10.5</v>
      </c>
      <c r="F312" s="25" t="s">
        <v>62</v>
      </c>
      <c r="G312" s="147" t="s">
        <v>54</v>
      </c>
      <c r="H312" s="128"/>
      <c r="I312" s="127"/>
      <c r="J312" s="128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 spans="1:29" ht="14.25" customHeight="1">
      <c r="A313" s="23">
        <v>311</v>
      </c>
      <c r="B313" s="23" t="s">
        <v>641</v>
      </c>
      <c r="C313" s="23">
        <v>2</v>
      </c>
      <c r="D313" s="25">
        <v>17.100000000000001</v>
      </c>
      <c r="E313" s="25" t="s">
        <v>61</v>
      </c>
      <c r="F313" s="25" t="s">
        <v>62</v>
      </c>
      <c r="G313" s="147" t="s">
        <v>54</v>
      </c>
      <c r="H313" s="128"/>
      <c r="I313" s="127"/>
      <c r="J313" s="128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 spans="1:29" ht="14.25" customHeight="1">
      <c r="A314" s="23">
        <v>312</v>
      </c>
      <c r="B314" s="23" t="s">
        <v>641</v>
      </c>
      <c r="C314" s="23">
        <v>3</v>
      </c>
      <c r="D314" s="25">
        <v>12.4</v>
      </c>
      <c r="E314" s="25">
        <v>10.5</v>
      </c>
      <c r="F314" s="25" t="s">
        <v>55</v>
      </c>
      <c r="G314" s="111" t="s">
        <v>104</v>
      </c>
      <c r="H314" s="128"/>
      <c r="I314" s="127"/>
      <c r="J314" s="128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 spans="1:29" ht="14.25" customHeight="1">
      <c r="A315" s="23">
        <v>313</v>
      </c>
      <c r="B315" s="23" t="s">
        <v>642</v>
      </c>
      <c r="C315" s="23">
        <v>1</v>
      </c>
      <c r="D315" s="25">
        <v>17.100000000000001</v>
      </c>
      <c r="E315" s="25">
        <v>11.8</v>
      </c>
      <c r="F315" s="25" t="s">
        <v>36</v>
      </c>
      <c r="G315" s="111" t="s">
        <v>104</v>
      </c>
      <c r="H315" s="128"/>
      <c r="I315" s="127"/>
      <c r="J315" s="128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 spans="1:29" ht="14.25" customHeight="1">
      <c r="A316" s="23">
        <v>314</v>
      </c>
      <c r="B316" s="23" t="s">
        <v>642</v>
      </c>
      <c r="C316" s="23">
        <v>2</v>
      </c>
      <c r="D316" s="25">
        <v>17.899999999999999</v>
      </c>
      <c r="E316" s="25" t="s">
        <v>61</v>
      </c>
      <c r="F316" s="25" t="s">
        <v>88</v>
      </c>
      <c r="G316" s="74"/>
      <c r="H316" s="128"/>
      <c r="I316" s="127"/>
      <c r="J316" s="128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spans="1:29" ht="14.25" customHeight="1">
      <c r="A317" s="23">
        <v>315</v>
      </c>
      <c r="B317" s="23" t="s">
        <v>642</v>
      </c>
      <c r="C317" s="23">
        <v>3</v>
      </c>
      <c r="D317" s="25">
        <v>13.7</v>
      </c>
      <c r="E317" s="25">
        <v>11.8</v>
      </c>
      <c r="F317" s="25" t="s">
        <v>79</v>
      </c>
      <c r="G317" s="111" t="s">
        <v>104</v>
      </c>
      <c r="H317" s="128"/>
      <c r="I317" s="127"/>
      <c r="J317" s="128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 spans="1:29" ht="14.25" customHeight="1">
      <c r="A318" s="23">
        <v>316</v>
      </c>
      <c r="B318" s="23" t="s">
        <v>643</v>
      </c>
      <c r="C318" s="23">
        <v>1</v>
      </c>
      <c r="D318" s="25">
        <v>16.2</v>
      </c>
      <c r="E318" s="25">
        <v>10.7</v>
      </c>
      <c r="F318" s="25" t="s">
        <v>88</v>
      </c>
      <c r="G318" s="111" t="s">
        <v>104</v>
      </c>
      <c r="H318" s="128"/>
      <c r="I318" s="127"/>
      <c r="J318" s="128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 spans="1:29" ht="14.25" customHeight="1">
      <c r="A319" s="23">
        <v>317</v>
      </c>
      <c r="B319" s="23" t="s">
        <v>643</v>
      </c>
      <c r="C319" s="23">
        <v>2</v>
      </c>
      <c r="D319" s="25">
        <v>16.899999999999999</v>
      </c>
      <c r="E319" s="25" t="s">
        <v>61</v>
      </c>
      <c r="F319" s="25" t="s">
        <v>36</v>
      </c>
      <c r="G319" s="111" t="s">
        <v>104</v>
      </c>
      <c r="H319" s="128"/>
      <c r="I319" s="127"/>
      <c r="J319" s="128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 spans="1:29" ht="14.25" customHeight="1">
      <c r="A320" s="23">
        <v>318</v>
      </c>
      <c r="B320" s="23" t="s">
        <v>643</v>
      </c>
      <c r="C320" s="23">
        <v>3</v>
      </c>
      <c r="D320" s="25">
        <v>13.1</v>
      </c>
      <c r="E320" s="25">
        <v>10.6</v>
      </c>
      <c r="F320" s="25" t="s">
        <v>36</v>
      </c>
      <c r="G320" s="111" t="s">
        <v>104</v>
      </c>
      <c r="H320" s="128"/>
      <c r="I320" s="127"/>
      <c r="J320" s="128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 spans="1:29" ht="14.25" customHeight="1">
      <c r="A321" s="23">
        <v>319</v>
      </c>
      <c r="B321" s="23" t="s">
        <v>644</v>
      </c>
      <c r="C321" s="23">
        <v>1</v>
      </c>
      <c r="D321" s="25">
        <v>16.3</v>
      </c>
      <c r="E321" s="25">
        <v>10.5</v>
      </c>
      <c r="F321" s="25" t="s">
        <v>118</v>
      </c>
      <c r="G321" s="74"/>
      <c r="H321" s="128"/>
      <c r="I321" s="127"/>
      <c r="J321" s="128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 spans="1:29" ht="14.25" customHeight="1">
      <c r="A322" s="23">
        <v>320</v>
      </c>
      <c r="B322" s="23" t="s">
        <v>644</v>
      </c>
      <c r="C322" s="23">
        <v>2</v>
      </c>
      <c r="D322" s="25">
        <v>16.7</v>
      </c>
      <c r="E322" s="25" t="s">
        <v>61</v>
      </c>
      <c r="F322" s="25" t="s">
        <v>55</v>
      </c>
      <c r="G322" s="111" t="s">
        <v>104</v>
      </c>
      <c r="H322" s="128"/>
      <c r="I322" s="127"/>
      <c r="J322" s="128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 spans="1:29" ht="14.25" customHeight="1">
      <c r="A323" s="23">
        <v>321</v>
      </c>
      <c r="B323" s="23" t="s">
        <v>644</v>
      </c>
      <c r="C323" s="23">
        <v>3</v>
      </c>
      <c r="D323" s="25">
        <v>13.2</v>
      </c>
      <c r="E323" s="25">
        <v>10.7</v>
      </c>
      <c r="F323" s="25" t="s">
        <v>55</v>
      </c>
      <c r="G323" s="111" t="s">
        <v>104</v>
      </c>
      <c r="H323" s="128"/>
      <c r="I323" s="127"/>
      <c r="J323" s="128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 spans="1:29" ht="14.25" customHeight="1">
      <c r="A324" s="23">
        <v>322</v>
      </c>
      <c r="B324" s="23" t="s">
        <v>645</v>
      </c>
      <c r="C324" s="23">
        <v>1</v>
      </c>
      <c r="D324" s="25">
        <v>16.2</v>
      </c>
      <c r="E324" s="25">
        <v>11.3</v>
      </c>
      <c r="F324" s="25" t="s">
        <v>12</v>
      </c>
      <c r="G324" s="74"/>
      <c r="H324" s="128"/>
      <c r="I324" s="127"/>
      <c r="J324" s="128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 spans="1:29" ht="14.25" customHeight="1">
      <c r="A325" s="23">
        <v>323</v>
      </c>
      <c r="B325" s="23" t="s">
        <v>645</v>
      </c>
      <c r="C325" s="23">
        <v>2</v>
      </c>
      <c r="D325" s="25">
        <v>16.5</v>
      </c>
      <c r="E325" s="25" t="s">
        <v>61</v>
      </c>
      <c r="F325" s="25" t="s">
        <v>12</v>
      </c>
      <c r="G325" s="74"/>
      <c r="H325" s="128"/>
      <c r="I325" s="127"/>
      <c r="J325" s="128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 spans="1:29" ht="14.25" customHeight="1">
      <c r="A326" s="23">
        <v>324</v>
      </c>
      <c r="B326" s="23" t="s">
        <v>645</v>
      </c>
      <c r="C326" s="23">
        <v>3</v>
      </c>
      <c r="D326" s="25">
        <v>12.8</v>
      </c>
      <c r="E326" s="25">
        <v>10.5</v>
      </c>
      <c r="F326" s="25" t="s">
        <v>79</v>
      </c>
      <c r="G326" s="111" t="s">
        <v>104</v>
      </c>
      <c r="H326" s="128"/>
      <c r="I326" s="127"/>
      <c r="J326" s="128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 spans="1:29" ht="14.25" customHeight="1">
      <c r="A327" s="23">
        <v>325</v>
      </c>
      <c r="B327" s="23" t="s">
        <v>646</v>
      </c>
      <c r="C327" s="23">
        <v>1</v>
      </c>
      <c r="D327" s="25">
        <v>15.9</v>
      </c>
      <c r="E327" s="25">
        <v>10.7</v>
      </c>
      <c r="F327" s="25" t="s">
        <v>47</v>
      </c>
      <c r="G327" s="111" t="s">
        <v>104</v>
      </c>
      <c r="H327" s="128"/>
      <c r="I327" s="127"/>
      <c r="J327" s="128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 spans="1:29" ht="14.25" customHeight="1">
      <c r="A328" s="23">
        <v>326</v>
      </c>
      <c r="B328" s="23" t="s">
        <v>646</v>
      </c>
      <c r="C328" s="23">
        <v>2</v>
      </c>
      <c r="D328" s="25">
        <v>17.600000000000001</v>
      </c>
      <c r="E328" s="25" t="s">
        <v>61</v>
      </c>
      <c r="F328" s="25" t="s">
        <v>88</v>
      </c>
      <c r="G328" s="62" t="s">
        <v>104</v>
      </c>
      <c r="H328" s="128"/>
      <c r="I328" s="127"/>
      <c r="J328" s="128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 spans="1:29" ht="14.25" customHeight="1">
      <c r="A329" s="23">
        <v>327</v>
      </c>
      <c r="B329" s="23" t="s">
        <v>646</v>
      </c>
      <c r="C329" s="23">
        <v>3</v>
      </c>
      <c r="D329" s="25">
        <v>12.1</v>
      </c>
      <c r="E329" s="25">
        <v>10.5</v>
      </c>
      <c r="F329" s="25" t="s">
        <v>88</v>
      </c>
      <c r="G329" s="62" t="s">
        <v>104</v>
      </c>
      <c r="H329" s="128"/>
      <c r="I329" s="127"/>
      <c r="J329" s="128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 spans="1:29" ht="14.25" customHeight="1">
      <c r="A330" s="23">
        <v>328</v>
      </c>
      <c r="B330" s="23" t="s">
        <v>647</v>
      </c>
      <c r="C330" s="23">
        <v>1</v>
      </c>
      <c r="D330" s="25">
        <v>16.100000000000001</v>
      </c>
      <c r="E330" s="25">
        <v>10.7</v>
      </c>
      <c r="F330" s="25" t="s">
        <v>118</v>
      </c>
      <c r="G330" s="147" t="s">
        <v>54</v>
      </c>
      <c r="H330" s="128"/>
      <c r="I330" s="127"/>
      <c r="J330" s="128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 spans="1:29" ht="14.25" customHeight="1">
      <c r="A331" s="23">
        <v>329</v>
      </c>
      <c r="B331" s="23" t="s">
        <v>647</v>
      </c>
      <c r="C331" s="23">
        <v>2</v>
      </c>
      <c r="D331" s="25">
        <v>15.6</v>
      </c>
      <c r="E331" s="25" t="s">
        <v>61</v>
      </c>
      <c r="F331" s="25" t="s">
        <v>88</v>
      </c>
      <c r="G331" s="111" t="s">
        <v>104</v>
      </c>
      <c r="H331" s="128"/>
      <c r="I331" s="127"/>
      <c r="J331" s="128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 spans="1:29" ht="14.25" customHeight="1">
      <c r="A332" s="23">
        <v>330</v>
      </c>
      <c r="B332" s="23" t="s">
        <v>647</v>
      </c>
      <c r="C332" s="23">
        <v>3</v>
      </c>
      <c r="D332" s="25">
        <v>12.8</v>
      </c>
      <c r="E332" s="25">
        <v>10.9</v>
      </c>
      <c r="F332" s="25" t="s">
        <v>88</v>
      </c>
      <c r="G332" s="111" t="s">
        <v>104</v>
      </c>
      <c r="H332" s="128"/>
      <c r="I332" s="127"/>
      <c r="J332" s="128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 spans="1:29" ht="14.25" customHeight="1">
      <c r="A333" s="23">
        <v>331</v>
      </c>
      <c r="B333" s="23" t="s">
        <v>648</v>
      </c>
      <c r="C333" s="23">
        <v>1</v>
      </c>
      <c r="D333" s="25">
        <v>17.8</v>
      </c>
      <c r="E333" s="25">
        <v>11.8</v>
      </c>
      <c r="F333" s="25" t="s">
        <v>118</v>
      </c>
      <c r="G333" s="147" t="s">
        <v>54</v>
      </c>
      <c r="H333" s="128"/>
      <c r="I333" s="127"/>
      <c r="J333" s="128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 spans="1:29" ht="14.25" customHeight="1">
      <c r="A334" s="23">
        <v>332</v>
      </c>
      <c r="B334" s="23" t="s">
        <v>648</v>
      </c>
      <c r="C334" s="23">
        <v>2</v>
      </c>
      <c r="D334" s="25">
        <v>16.5</v>
      </c>
      <c r="E334" s="25" t="s">
        <v>61</v>
      </c>
      <c r="F334" s="25" t="s">
        <v>118</v>
      </c>
      <c r="G334" s="147" t="s">
        <v>54</v>
      </c>
      <c r="H334" s="128"/>
      <c r="I334" s="127"/>
      <c r="J334" s="128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 spans="1:29" ht="14.25" customHeight="1">
      <c r="A335" s="126">
        <v>333</v>
      </c>
      <c r="B335" s="126" t="s">
        <v>648</v>
      </c>
      <c r="C335" s="126">
        <v>3</v>
      </c>
      <c r="D335" s="129">
        <v>13.9</v>
      </c>
      <c r="E335" s="129">
        <v>11.8</v>
      </c>
      <c r="F335" s="129" t="s">
        <v>55</v>
      </c>
      <c r="G335" s="111" t="s">
        <v>104</v>
      </c>
      <c r="H335" s="157"/>
      <c r="I335" s="127"/>
      <c r="J335" s="128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 spans="1:29" ht="14.25" customHeight="1">
      <c r="A336" s="23">
        <v>334</v>
      </c>
      <c r="B336" s="23" t="s">
        <v>649</v>
      </c>
      <c r="C336" s="23">
        <v>1</v>
      </c>
      <c r="D336" s="25">
        <v>16.899999999999999</v>
      </c>
      <c r="E336" s="25" t="s">
        <v>61</v>
      </c>
      <c r="F336" s="25" t="s">
        <v>77</v>
      </c>
      <c r="G336" s="147" t="s">
        <v>54</v>
      </c>
      <c r="H336" s="128"/>
      <c r="I336" s="127"/>
      <c r="J336" s="128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 spans="1:29" ht="14.25" customHeight="1">
      <c r="A337" s="23">
        <v>335</v>
      </c>
      <c r="B337" s="23" t="s">
        <v>649</v>
      </c>
      <c r="C337" s="23">
        <v>2</v>
      </c>
      <c r="D337" s="25">
        <v>17.7</v>
      </c>
      <c r="E337" s="25">
        <v>11</v>
      </c>
      <c r="F337" s="25" t="s">
        <v>88</v>
      </c>
      <c r="G337" s="147" t="s">
        <v>54</v>
      </c>
      <c r="H337" s="128"/>
      <c r="I337" s="127"/>
      <c r="J337" s="128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 spans="1:29" ht="14.25" customHeight="1">
      <c r="A338" s="23">
        <v>336</v>
      </c>
      <c r="B338" s="23" t="s">
        <v>649</v>
      </c>
      <c r="C338" s="23">
        <v>3</v>
      </c>
      <c r="D338" s="25">
        <v>11.6</v>
      </c>
      <c r="E338" s="25">
        <v>10.9</v>
      </c>
      <c r="F338" s="25" t="s">
        <v>79</v>
      </c>
      <c r="G338" s="111" t="s">
        <v>104</v>
      </c>
      <c r="H338" s="128"/>
      <c r="I338" s="127"/>
      <c r="J338" s="128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 spans="1:29" ht="14.25" customHeight="1">
      <c r="A339" s="23">
        <v>337</v>
      </c>
      <c r="B339" s="23" t="s">
        <v>650</v>
      </c>
      <c r="C339" s="23">
        <v>1</v>
      </c>
      <c r="D339" s="25">
        <v>17.7</v>
      </c>
      <c r="E339" s="25">
        <v>10.5</v>
      </c>
      <c r="F339" s="25" t="s">
        <v>118</v>
      </c>
      <c r="G339" s="147" t="s">
        <v>54</v>
      </c>
      <c r="H339" s="128"/>
      <c r="I339" s="127"/>
      <c r="J339" s="128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 spans="1:29" ht="14.25" customHeight="1">
      <c r="A340" s="23">
        <v>338</v>
      </c>
      <c r="B340" s="23" t="s">
        <v>650</v>
      </c>
      <c r="C340" s="23">
        <v>2</v>
      </c>
      <c r="D340" s="25">
        <v>17</v>
      </c>
      <c r="E340" s="25" t="s">
        <v>61</v>
      </c>
      <c r="F340" s="25" t="s">
        <v>77</v>
      </c>
      <c r="G340" s="147" t="s">
        <v>54</v>
      </c>
      <c r="H340" s="128"/>
      <c r="I340" s="127"/>
      <c r="J340" s="128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 spans="1:29" ht="14.25" customHeight="1">
      <c r="A341" s="23">
        <v>339</v>
      </c>
      <c r="B341" s="23" t="s">
        <v>650</v>
      </c>
      <c r="C341" s="23">
        <v>3</v>
      </c>
      <c r="D341" s="25">
        <v>15.1</v>
      </c>
      <c r="E341" s="25">
        <v>10.7</v>
      </c>
      <c r="F341" s="25" t="s">
        <v>36</v>
      </c>
      <c r="G341" s="147" t="s">
        <v>54</v>
      </c>
      <c r="H341" s="128"/>
      <c r="I341" s="127"/>
      <c r="J341" s="128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 spans="1:29" ht="14.25" customHeight="1">
      <c r="A342" s="23">
        <v>340</v>
      </c>
      <c r="B342" s="23" t="s">
        <v>651</v>
      </c>
      <c r="C342" s="23">
        <v>1</v>
      </c>
      <c r="D342" s="25">
        <v>12.5</v>
      </c>
      <c r="E342" s="25">
        <v>10.9</v>
      </c>
      <c r="F342" s="25" t="s">
        <v>62</v>
      </c>
      <c r="G342" s="147" t="s">
        <v>54</v>
      </c>
      <c r="H342" s="128"/>
      <c r="I342" s="127"/>
      <c r="J342" s="128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 spans="1:29" ht="14.25" customHeight="1">
      <c r="A343" s="23">
        <v>341</v>
      </c>
      <c r="B343" s="23" t="s">
        <v>651</v>
      </c>
      <c r="C343" s="23">
        <v>2</v>
      </c>
      <c r="D343" s="25">
        <v>15.7</v>
      </c>
      <c r="E343" s="25" t="s">
        <v>61</v>
      </c>
      <c r="F343" s="25" t="s">
        <v>89</v>
      </c>
      <c r="G343" s="111" t="s">
        <v>104</v>
      </c>
      <c r="H343" s="128"/>
      <c r="I343" s="127"/>
      <c r="J343" s="128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 spans="1:29" ht="14.25" customHeight="1">
      <c r="A344" s="23">
        <v>342</v>
      </c>
      <c r="B344" s="23" t="s">
        <v>651</v>
      </c>
      <c r="C344" s="23">
        <v>3</v>
      </c>
      <c r="D344" s="25">
        <v>16.2</v>
      </c>
      <c r="E344" s="25">
        <v>10.9</v>
      </c>
      <c r="F344" s="25" t="s">
        <v>89</v>
      </c>
      <c r="G344" s="111" t="s">
        <v>104</v>
      </c>
      <c r="H344" s="128"/>
      <c r="I344" s="127"/>
      <c r="J344" s="128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 spans="1:29" ht="14.25" customHeight="1">
      <c r="A345" s="23">
        <v>343</v>
      </c>
      <c r="B345" s="23" t="s">
        <v>652</v>
      </c>
      <c r="C345" s="23">
        <v>1</v>
      </c>
      <c r="D345" s="25">
        <v>16.899999999999999</v>
      </c>
      <c r="E345" s="25">
        <v>10.8</v>
      </c>
      <c r="F345" s="25" t="s">
        <v>62</v>
      </c>
      <c r="G345" s="147" t="s">
        <v>54</v>
      </c>
      <c r="H345" s="128"/>
      <c r="I345" s="127"/>
      <c r="J345" s="128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 spans="1:29" ht="14.25" customHeight="1">
      <c r="A346" s="23">
        <v>344</v>
      </c>
      <c r="B346" s="23" t="s">
        <v>652</v>
      </c>
      <c r="C346" s="23">
        <v>2</v>
      </c>
      <c r="D346" s="25">
        <v>16.899999999999999</v>
      </c>
      <c r="E346" s="25" t="s">
        <v>61</v>
      </c>
      <c r="F346" s="25" t="s">
        <v>51</v>
      </c>
      <c r="G346" s="74"/>
      <c r="H346" s="128"/>
      <c r="I346" s="127"/>
      <c r="J346" s="128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 spans="1:29" ht="14.25" customHeight="1">
      <c r="A347" s="23">
        <v>345</v>
      </c>
      <c r="B347" s="23" t="s">
        <v>652</v>
      </c>
      <c r="C347" s="23">
        <v>3</v>
      </c>
      <c r="D347" s="25">
        <v>13.5</v>
      </c>
      <c r="E347" s="25">
        <v>10.5</v>
      </c>
      <c r="F347" s="25" t="s">
        <v>118</v>
      </c>
      <c r="G347" s="147" t="s">
        <v>54</v>
      </c>
      <c r="H347" s="128"/>
      <c r="I347" s="127"/>
      <c r="J347" s="128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 spans="1:29" ht="14.25" customHeight="1">
      <c r="A348" s="23">
        <v>346</v>
      </c>
      <c r="B348" s="23" t="s">
        <v>653</v>
      </c>
      <c r="C348" s="23">
        <v>1</v>
      </c>
      <c r="D348" s="25">
        <v>12.7</v>
      </c>
      <c r="E348" s="25">
        <v>11.3</v>
      </c>
      <c r="F348" s="25" t="s">
        <v>55</v>
      </c>
      <c r="G348" s="111" t="s">
        <v>104</v>
      </c>
      <c r="H348" s="128"/>
      <c r="I348" s="127"/>
      <c r="J348" s="128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 spans="1:29" ht="14.25" customHeight="1">
      <c r="A349" s="23">
        <v>347</v>
      </c>
      <c r="B349" s="23" t="s">
        <v>653</v>
      </c>
      <c r="C349" s="23">
        <v>2</v>
      </c>
      <c r="D349" s="25">
        <v>16</v>
      </c>
      <c r="E349" s="25" t="s">
        <v>61</v>
      </c>
      <c r="F349" s="25" t="s">
        <v>55</v>
      </c>
      <c r="G349" s="111" t="s">
        <v>104</v>
      </c>
      <c r="H349" s="128"/>
      <c r="I349" s="127"/>
      <c r="J349" s="128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 spans="1:29" ht="14.25" customHeight="1">
      <c r="A350" s="23">
        <v>348</v>
      </c>
      <c r="B350" s="23" t="s">
        <v>653</v>
      </c>
      <c r="C350" s="23">
        <v>3</v>
      </c>
      <c r="D350" s="25">
        <v>16.2</v>
      </c>
      <c r="E350" s="25">
        <v>11.1</v>
      </c>
      <c r="F350" s="25" t="s">
        <v>55</v>
      </c>
      <c r="G350" s="111" t="s">
        <v>104</v>
      </c>
      <c r="H350" s="128"/>
      <c r="I350" s="127"/>
      <c r="J350" s="128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 spans="1:29" ht="14.25" customHeight="1">
      <c r="A351" s="23">
        <v>349</v>
      </c>
      <c r="B351" s="23" t="s">
        <v>654</v>
      </c>
      <c r="C351" s="23">
        <v>1</v>
      </c>
      <c r="D351" s="25">
        <v>15.5</v>
      </c>
      <c r="E351" s="25">
        <v>10.7</v>
      </c>
      <c r="F351" s="25" t="s">
        <v>12</v>
      </c>
      <c r="G351" s="74"/>
      <c r="H351" s="128"/>
      <c r="I351" s="127"/>
      <c r="J351" s="128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 spans="1:29" ht="14.25" customHeight="1">
      <c r="A352" s="23">
        <v>350</v>
      </c>
      <c r="B352" s="23" t="s">
        <v>654</v>
      </c>
      <c r="C352" s="23">
        <v>2</v>
      </c>
      <c r="D352" s="25">
        <v>15.9</v>
      </c>
      <c r="E352" s="25" t="s">
        <v>61</v>
      </c>
      <c r="F352" s="25" t="s">
        <v>55</v>
      </c>
      <c r="G352" s="111" t="s">
        <v>104</v>
      </c>
      <c r="H352" s="128"/>
      <c r="I352" s="127"/>
      <c r="J352" s="128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 spans="1:29" ht="14.25" customHeight="1">
      <c r="A353" s="23">
        <v>351</v>
      </c>
      <c r="B353" s="23" t="s">
        <v>654</v>
      </c>
      <c r="C353" s="23">
        <v>3</v>
      </c>
      <c r="D353" s="25">
        <v>14.8</v>
      </c>
      <c r="E353" s="25">
        <v>10.5</v>
      </c>
      <c r="F353" s="41" t="s">
        <v>55</v>
      </c>
      <c r="G353" s="111" t="s">
        <v>104</v>
      </c>
      <c r="H353" s="128"/>
      <c r="I353" s="122" t="s">
        <v>468</v>
      </c>
      <c r="J353" s="128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spans="1:29" ht="14.25" customHeight="1">
      <c r="A354" s="23">
        <v>352</v>
      </c>
      <c r="B354" s="23" t="s">
        <v>655</v>
      </c>
      <c r="C354" s="23">
        <v>1</v>
      </c>
      <c r="D354" s="25">
        <v>15.7</v>
      </c>
      <c r="E354" s="25">
        <v>10.7</v>
      </c>
      <c r="F354" s="25" t="s">
        <v>112</v>
      </c>
      <c r="G354" s="111" t="s">
        <v>104</v>
      </c>
      <c r="H354" s="128"/>
      <c r="I354" s="127"/>
      <c r="J354" s="128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 spans="1:29" ht="14.25" customHeight="1">
      <c r="A355" s="23">
        <v>353</v>
      </c>
      <c r="B355" s="23" t="s">
        <v>655</v>
      </c>
      <c r="C355" s="23">
        <v>2</v>
      </c>
      <c r="D355" s="25">
        <v>17</v>
      </c>
      <c r="E355" s="25" t="s">
        <v>61</v>
      </c>
      <c r="F355" s="25" t="s">
        <v>112</v>
      </c>
      <c r="G355" s="111" t="s">
        <v>104</v>
      </c>
      <c r="H355" s="128"/>
      <c r="I355" s="127"/>
      <c r="J355" s="128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 spans="1:29" ht="14.25" customHeight="1">
      <c r="A356" s="23">
        <v>354</v>
      </c>
      <c r="B356" s="23" t="s">
        <v>655</v>
      </c>
      <c r="C356" s="23">
        <v>3</v>
      </c>
      <c r="D356" s="25">
        <v>13.7</v>
      </c>
      <c r="E356" s="25">
        <v>10.7</v>
      </c>
      <c r="F356" s="25" t="s">
        <v>112</v>
      </c>
      <c r="G356" s="111" t="s">
        <v>104</v>
      </c>
      <c r="H356" s="128"/>
      <c r="I356" s="127"/>
      <c r="J356" s="128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 spans="1:29" ht="14.25" customHeight="1">
      <c r="A357" s="23">
        <v>355</v>
      </c>
      <c r="B357" s="23" t="s">
        <v>656</v>
      </c>
      <c r="C357" s="23">
        <v>1</v>
      </c>
      <c r="D357" s="25">
        <v>16.100000000000001</v>
      </c>
      <c r="E357" s="25">
        <v>10.5</v>
      </c>
      <c r="F357" s="25" t="s">
        <v>118</v>
      </c>
      <c r="G357" s="147" t="s">
        <v>54</v>
      </c>
      <c r="H357" s="128"/>
      <c r="I357" s="127"/>
      <c r="J357" s="128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 spans="1:29" ht="14.25" customHeight="1">
      <c r="A358" s="23">
        <v>356</v>
      </c>
      <c r="B358" s="23" t="s">
        <v>656</v>
      </c>
      <c r="C358" s="23">
        <v>2</v>
      </c>
      <c r="D358" s="25">
        <v>17.399999999999999</v>
      </c>
      <c r="E358" s="25" t="s">
        <v>61</v>
      </c>
      <c r="F358" s="25" t="s">
        <v>124</v>
      </c>
      <c r="G358" s="26" t="s">
        <v>104</v>
      </c>
      <c r="H358" s="128"/>
      <c r="I358" s="127"/>
      <c r="J358" s="128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 spans="1:29" ht="14.25" customHeight="1">
      <c r="A359" s="23">
        <v>357</v>
      </c>
      <c r="B359" s="23" t="s">
        <v>656</v>
      </c>
      <c r="C359" s="23">
        <v>3</v>
      </c>
      <c r="D359" s="25">
        <v>13</v>
      </c>
      <c r="E359" s="25">
        <v>10.6</v>
      </c>
      <c r="F359" s="25" t="s">
        <v>112</v>
      </c>
      <c r="G359" s="111" t="s">
        <v>104</v>
      </c>
      <c r="H359" s="128"/>
      <c r="I359" s="127"/>
      <c r="J359" s="128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 spans="1:29" ht="14.25" customHeight="1">
      <c r="A360" s="23">
        <v>358</v>
      </c>
      <c r="B360" s="23" t="s">
        <v>657</v>
      </c>
      <c r="C360" s="23">
        <v>1</v>
      </c>
      <c r="D360" s="25">
        <v>17.100000000000001</v>
      </c>
      <c r="E360" s="25">
        <v>11</v>
      </c>
      <c r="F360" s="25" t="s">
        <v>118</v>
      </c>
      <c r="G360" s="147" t="s">
        <v>54</v>
      </c>
      <c r="H360" s="128"/>
      <c r="I360" s="127"/>
      <c r="J360" s="128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 spans="1:29" ht="14.25" customHeight="1">
      <c r="A361" s="23">
        <v>359</v>
      </c>
      <c r="B361" s="23" t="s">
        <v>657</v>
      </c>
      <c r="C361" s="23">
        <v>2</v>
      </c>
      <c r="D361" s="25">
        <v>16.7</v>
      </c>
      <c r="E361" s="25" t="s">
        <v>61</v>
      </c>
      <c r="F361" s="25" t="s">
        <v>118</v>
      </c>
      <c r="G361" s="147" t="s">
        <v>54</v>
      </c>
      <c r="H361" s="128"/>
      <c r="I361" s="127"/>
      <c r="J361" s="128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 spans="1:29" ht="14.25" customHeight="1">
      <c r="A362" s="23">
        <v>360</v>
      </c>
      <c r="B362" s="23" t="s">
        <v>657</v>
      </c>
      <c r="C362" s="23">
        <v>3</v>
      </c>
      <c r="D362" s="25">
        <v>12.8</v>
      </c>
      <c r="E362" s="25">
        <v>11.2</v>
      </c>
      <c r="F362" s="25" t="s">
        <v>118</v>
      </c>
      <c r="G362" s="147" t="s">
        <v>54</v>
      </c>
      <c r="H362" s="128"/>
      <c r="I362" s="127"/>
      <c r="J362" s="128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 spans="1:29" ht="14.25" customHeight="1">
      <c r="A363" s="23">
        <v>361</v>
      </c>
      <c r="B363" s="23" t="s">
        <v>658</v>
      </c>
      <c r="C363" s="23">
        <v>1</v>
      </c>
      <c r="D363" s="25">
        <v>16.8</v>
      </c>
      <c r="E363" s="25">
        <v>10.6</v>
      </c>
      <c r="F363" s="25" t="s">
        <v>88</v>
      </c>
      <c r="G363" s="111" t="s">
        <v>104</v>
      </c>
      <c r="H363" s="128"/>
      <c r="I363" s="127"/>
      <c r="J363" s="128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 spans="1:29" ht="14.25" customHeight="1">
      <c r="A364" s="23">
        <v>362</v>
      </c>
      <c r="B364" s="23" t="s">
        <v>658</v>
      </c>
      <c r="C364" s="23">
        <v>2</v>
      </c>
      <c r="D364" s="25">
        <v>16.2</v>
      </c>
      <c r="E364" s="25" t="s">
        <v>61</v>
      </c>
      <c r="F364" s="25" t="s">
        <v>112</v>
      </c>
      <c r="G364" s="111" t="s">
        <v>104</v>
      </c>
      <c r="H364" s="128"/>
      <c r="I364" s="127"/>
      <c r="J364" s="128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 spans="1:29" ht="14.25" customHeight="1">
      <c r="A365" s="23">
        <v>363</v>
      </c>
      <c r="B365" s="23" t="s">
        <v>658</v>
      </c>
      <c r="C365" s="23">
        <v>3</v>
      </c>
      <c r="D365" s="25">
        <v>12.6</v>
      </c>
      <c r="E365" s="25">
        <v>10.7</v>
      </c>
      <c r="F365" s="25" t="s">
        <v>89</v>
      </c>
      <c r="G365" s="111" t="s">
        <v>104</v>
      </c>
      <c r="H365" s="128"/>
      <c r="I365" s="127"/>
      <c r="J365" s="128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 spans="1:29" ht="14.25" customHeight="1">
      <c r="A366" s="23">
        <v>364</v>
      </c>
      <c r="B366" s="23" t="s">
        <v>659</v>
      </c>
      <c r="C366" s="23">
        <v>1</v>
      </c>
      <c r="D366" s="25">
        <v>16.2</v>
      </c>
      <c r="E366" s="25">
        <v>10.6</v>
      </c>
      <c r="F366" s="25" t="s">
        <v>12</v>
      </c>
      <c r="G366" s="74"/>
      <c r="H366" s="128"/>
      <c r="I366" s="127"/>
      <c r="J366" s="128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 spans="1:29" ht="14.25" customHeight="1">
      <c r="A367" s="23">
        <v>365</v>
      </c>
      <c r="B367" s="23" t="s">
        <v>659</v>
      </c>
      <c r="C367" s="23">
        <v>2</v>
      </c>
      <c r="D367" s="25">
        <v>15.8</v>
      </c>
      <c r="E367" s="25" t="s">
        <v>61</v>
      </c>
      <c r="F367" s="25" t="s">
        <v>112</v>
      </c>
      <c r="G367" s="111" t="s">
        <v>104</v>
      </c>
      <c r="H367" s="128"/>
      <c r="I367" s="127"/>
      <c r="J367" s="128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spans="1:29" ht="14.25" customHeight="1">
      <c r="A368" s="23">
        <v>366</v>
      </c>
      <c r="B368" s="23" t="s">
        <v>659</v>
      </c>
      <c r="C368" s="23">
        <v>3</v>
      </c>
      <c r="D368" s="25">
        <v>13.2</v>
      </c>
      <c r="E368" s="25">
        <v>10.6</v>
      </c>
      <c r="F368" s="25" t="s">
        <v>112</v>
      </c>
      <c r="G368" s="111" t="s">
        <v>104</v>
      </c>
      <c r="H368" s="128"/>
      <c r="I368" s="127"/>
      <c r="J368" s="128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 spans="1:29" ht="14.25" customHeight="1">
      <c r="A369" s="23">
        <v>367</v>
      </c>
      <c r="B369" s="23" t="s">
        <v>660</v>
      </c>
      <c r="C369" s="23">
        <v>1</v>
      </c>
      <c r="D369" s="25">
        <v>16.7</v>
      </c>
      <c r="E369" s="25">
        <v>10.7</v>
      </c>
      <c r="F369" s="25" t="s">
        <v>77</v>
      </c>
      <c r="G369" s="147" t="s">
        <v>54</v>
      </c>
      <c r="H369" s="128"/>
      <c r="I369" s="127"/>
      <c r="J369" s="128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 spans="1:29" ht="14.25" customHeight="1">
      <c r="A370" s="23">
        <v>368</v>
      </c>
      <c r="B370" s="23" t="s">
        <v>660</v>
      </c>
      <c r="C370" s="23">
        <v>2</v>
      </c>
      <c r="D370" s="25">
        <v>16.600000000000001</v>
      </c>
      <c r="E370" s="25" t="s">
        <v>61</v>
      </c>
      <c r="F370" s="25" t="s">
        <v>77</v>
      </c>
      <c r="G370" s="147" t="s">
        <v>54</v>
      </c>
      <c r="H370" s="128"/>
      <c r="I370" s="127"/>
      <c r="J370" s="128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 spans="1:29" ht="14.25" customHeight="1">
      <c r="A371" s="23">
        <v>369</v>
      </c>
      <c r="B371" s="23" t="s">
        <v>661</v>
      </c>
      <c r="C371" s="23">
        <v>1</v>
      </c>
      <c r="D371" s="25">
        <v>16.899999999999999</v>
      </c>
      <c r="E371" s="25">
        <v>11</v>
      </c>
      <c r="F371" s="25" t="s">
        <v>88</v>
      </c>
      <c r="G371" s="111" t="s">
        <v>104</v>
      </c>
      <c r="H371" s="128"/>
      <c r="I371" s="127"/>
      <c r="J371" s="128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 spans="1:29" ht="14.25" customHeight="1">
      <c r="A372" s="23">
        <v>370</v>
      </c>
      <c r="B372" s="23" t="s">
        <v>661</v>
      </c>
      <c r="C372" s="23">
        <v>2</v>
      </c>
      <c r="D372" s="25">
        <v>15.9</v>
      </c>
      <c r="E372" s="25" t="s">
        <v>61</v>
      </c>
      <c r="F372" s="25" t="s">
        <v>118</v>
      </c>
      <c r="G372" s="147" t="s">
        <v>54</v>
      </c>
      <c r="H372" s="128"/>
      <c r="I372" s="127"/>
      <c r="J372" s="128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 spans="1:29" ht="14.25" customHeight="1">
      <c r="A373" s="23">
        <v>371</v>
      </c>
      <c r="B373" s="23" t="s">
        <v>661</v>
      </c>
      <c r="C373" s="23">
        <v>3</v>
      </c>
      <c r="D373" s="25">
        <v>13.3</v>
      </c>
      <c r="E373" s="25">
        <v>11</v>
      </c>
      <c r="F373" s="25" t="s">
        <v>150</v>
      </c>
      <c r="G373" s="111" t="s">
        <v>178</v>
      </c>
      <c r="H373" s="128"/>
      <c r="I373" s="127"/>
      <c r="J373" s="128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 spans="1:29" ht="14.25" customHeight="1">
      <c r="A374" s="23">
        <v>372</v>
      </c>
      <c r="B374" s="23" t="s">
        <v>662</v>
      </c>
      <c r="C374" s="23">
        <v>1</v>
      </c>
      <c r="D374" s="25">
        <v>16.2</v>
      </c>
      <c r="E374" s="25">
        <v>10.7</v>
      </c>
      <c r="F374" s="25" t="s">
        <v>88</v>
      </c>
      <c r="G374" s="62" t="s">
        <v>104</v>
      </c>
      <c r="H374" s="128"/>
      <c r="I374" s="127"/>
      <c r="J374" s="128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 spans="1:29" ht="14.25" customHeight="1">
      <c r="A375" s="23">
        <v>373</v>
      </c>
      <c r="B375" s="23" t="s">
        <v>662</v>
      </c>
      <c r="C375" s="23">
        <v>2</v>
      </c>
      <c r="D375" s="25">
        <v>16</v>
      </c>
      <c r="E375" s="25" t="s">
        <v>61</v>
      </c>
      <c r="F375" s="41" t="s">
        <v>150</v>
      </c>
      <c r="G375" s="111" t="s">
        <v>178</v>
      </c>
      <c r="H375" s="128"/>
      <c r="I375" s="122" t="s">
        <v>180</v>
      </c>
      <c r="J375" s="128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 spans="1:29" ht="14.25" customHeight="1">
      <c r="A376" s="23">
        <v>374</v>
      </c>
      <c r="B376" s="23" t="s">
        <v>662</v>
      </c>
      <c r="C376" s="23">
        <v>3</v>
      </c>
      <c r="D376" s="25">
        <v>12.3</v>
      </c>
      <c r="E376" s="25">
        <v>11</v>
      </c>
      <c r="F376" s="25" t="s">
        <v>150</v>
      </c>
      <c r="G376" s="111" t="s">
        <v>178</v>
      </c>
      <c r="H376" s="128"/>
      <c r="I376" s="127"/>
      <c r="J376" s="128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 spans="1:29" ht="14.25" customHeight="1">
      <c r="A377" s="23">
        <v>375</v>
      </c>
      <c r="B377" s="23" t="s">
        <v>663</v>
      </c>
      <c r="C377" s="23">
        <v>1</v>
      </c>
      <c r="D377" s="25">
        <v>12.4</v>
      </c>
      <c r="E377" s="25">
        <v>10.8</v>
      </c>
      <c r="F377" s="25" t="s">
        <v>88</v>
      </c>
      <c r="G377" s="111" t="s">
        <v>178</v>
      </c>
      <c r="H377" s="128"/>
      <c r="I377" s="127"/>
      <c r="J377" s="128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 spans="1:29" ht="14.25" customHeight="1">
      <c r="A378" s="23">
        <v>376</v>
      </c>
      <c r="B378" s="23" t="s">
        <v>663</v>
      </c>
      <c r="C378" s="23">
        <v>2</v>
      </c>
      <c r="D378" s="25">
        <v>16.600000000000001</v>
      </c>
      <c r="E378" s="25" t="s">
        <v>61</v>
      </c>
      <c r="F378" s="25" t="s">
        <v>79</v>
      </c>
      <c r="G378" s="111" t="s">
        <v>104</v>
      </c>
      <c r="H378" s="128"/>
      <c r="I378" s="127"/>
      <c r="J378" s="128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 spans="1:29" ht="14.25" customHeight="1">
      <c r="A379" s="23">
        <v>377</v>
      </c>
      <c r="B379" s="23" t="s">
        <v>663</v>
      </c>
      <c r="C379" s="23">
        <v>3</v>
      </c>
      <c r="D379" s="25">
        <v>16.5</v>
      </c>
      <c r="E379" s="25">
        <v>10.7</v>
      </c>
      <c r="F379" s="25" t="s">
        <v>150</v>
      </c>
      <c r="G379" s="111" t="s">
        <v>178</v>
      </c>
      <c r="H379" s="128"/>
      <c r="I379" s="127"/>
      <c r="J379" s="128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 spans="1:29" ht="14.25" customHeight="1">
      <c r="A380" s="23">
        <v>378</v>
      </c>
      <c r="B380" s="23" t="s">
        <v>664</v>
      </c>
      <c r="C380" s="23">
        <v>1</v>
      </c>
      <c r="D380" s="25">
        <v>9.1999999999999993</v>
      </c>
      <c r="E380" s="25">
        <v>9.3000000000000007</v>
      </c>
      <c r="F380" s="25" t="s">
        <v>150</v>
      </c>
      <c r="G380" s="111" t="s">
        <v>178</v>
      </c>
      <c r="H380" s="128"/>
      <c r="I380" s="127"/>
      <c r="J380" s="128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 spans="1:29" ht="14.25" customHeight="1">
      <c r="A381" s="23">
        <v>379</v>
      </c>
      <c r="B381" s="23" t="s">
        <v>664</v>
      </c>
      <c r="C381" s="23">
        <v>2</v>
      </c>
      <c r="D381" s="25">
        <v>13.4</v>
      </c>
      <c r="E381" s="25" t="s">
        <v>61</v>
      </c>
      <c r="F381" s="25" t="s">
        <v>77</v>
      </c>
      <c r="G381" s="147" t="s">
        <v>54</v>
      </c>
      <c r="H381" s="128"/>
      <c r="I381" s="127"/>
      <c r="J381" s="128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 spans="1:29" ht="14.25" customHeight="1">
      <c r="A382" s="23">
        <v>380</v>
      </c>
      <c r="B382" s="23" t="s">
        <v>664</v>
      </c>
      <c r="C382" s="23">
        <v>3</v>
      </c>
      <c r="D382" s="25">
        <v>12.2</v>
      </c>
      <c r="E382" s="25">
        <v>9.1999999999999993</v>
      </c>
      <c r="F382" s="25" t="s">
        <v>112</v>
      </c>
      <c r="G382" s="111" t="s">
        <v>104</v>
      </c>
      <c r="H382" s="128"/>
      <c r="I382" s="127"/>
      <c r="J382" s="128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 spans="1:29" ht="14.25" customHeight="1">
      <c r="A383" s="23">
        <v>381</v>
      </c>
      <c r="B383" s="23" t="s">
        <v>665</v>
      </c>
      <c r="C383" s="23">
        <v>1</v>
      </c>
      <c r="D383" s="25">
        <v>9.8000000000000007</v>
      </c>
      <c r="E383" s="25">
        <v>9.3000000000000007</v>
      </c>
      <c r="F383" s="25" t="s">
        <v>79</v>
      </c>
      <c r="G383" s="111" t="s">
        <v>104</v>
      </c>
      <c r="H383" s="128"/>
      <c r="I383" s="127"/>
      <c r="J383" s="128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 spans="1:29" ht="14.25" customHeight="1">
      <c r="A384" s="23">
        <v>382</v>
      </c>
      <c r="B384" s="23" t="s">
        <v>665</v>
      </c>
      <c r="C384" s="23">
        <v>2</v>
      </c>
      <c r="D384" s="25">
        <v>13.1</v>
      </c>
      <c r="E384" s="25" t="s">
        <v>61</v>
      </c>
      <c r="F384" s="25" t="s">
        <v>79</v>
      </c>
      <c r="G384" s="111" t="s">
        <v>104</v>
      </c>
      <c r="H384" s="128"/>
      <c r="I384" s="127"/>
      <c r="J384" s="128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 spans="1:29" ht="14.25" customHeight="1">
      <c r="A385" s="23">
        <v>383</v>
      </c>
      <c r="B385" s="23" t="s">
        <v>665</v>
      </c>
      <c r="C385" s="23">
        <v>3</v>
      </c>
      <c r="D385" s="25">
        <v>12.3</v>
      </c>
      <c r="E385" s="25">
        <v>9.1999999999999993</v>
      </c>
      <c r="F385" s="25" t="s">
        <v>79</v>
      </c>
      <c r="G385" s="111" t="s">
        <v>104</v>
      </c>
      <c r="H385" s="128"/>
      <c r="I385" s="127"/>
      <c r="J385" s="128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 spans="1:29" ht="14.25" customHeight="1">
      <c r="A386" s="23">
        <v>384</v>
      </c>
      <c r="B386" s="23" t="s">
        <v>666</v>
      </c>
      <c r="C386" s="23">
        <v>1</v>
      </c>
      <c r="D386" s="25">
        <v>15.9</v>
      </c>
      <c r="E386" s="25">
        <v>10.7</v>
      </c>
      <c r="F386" s="25" t="s">
        <v>62</v>
      </c>
      <c r="G386" s="147" t="s">
        <v>54</v>
      </c>
      <c r="H386" s="128"/>
      <c r="I386" s="127"/>
      <c r="J386" s="128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 spans="1:29" ht="14.25" customHeight="1">
      <c r="A387" s="23">
        <v>385</v>
      </c>
      <c r="B387" s="23" t="s">
        <v>666</v>
      </c>
      <c r="C387" s="23">
        <v>2</v>
      </c>
      <c r="D387" s="25">
        <v>16.3</v>
      </c>
      <c r="E387" s="25" t="s">
        <v>61</v>
      </c>
      <c r="F387" s="25" t="s">
        <v>79</v>
      </c>
      <c r="G387" s="111" t="s">
        <v>104</v>
      </c>
      <c r="H387" s="128"/>
      <c r="I387" s="127"/>
      <c r="J387" s="128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 spans="1:29" ht="14.25" customHeight="1">
      <c r="A388" s="23">
        <v>386</v>
      </c>
      <c r="B388" s="23" t="s">
        <v>666</v>
      </c>
      <c r="C388" s="23">
        <v>3</v>
      </c>
      <c r="D388" s="25">
        <v>12.8</v>
      </c>
      <c r="E388" s="25">
        <v>10.6</v>
      </c>
      <c r="F388" s="25" t="s">
        <v>79</v>
      </c>
      <c r="G388" s="111" t="s">
        <v>104</v>
      </c>
      <c r="H388" s="128"/>
      <c r="I388" s="127"/>
      <c r="J388" s="128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 spans="1:29" ht="14.25" customHeight="1">
      <c r="A389" s="23">
        <v>387</v>
      </c>
      <c r="B389" s="23" t="s">
        <v>667</v>
      </c>
      <c r="C389" s="23">
        <v>1</v>
      </c>
      <c r="D389" s="25">
        <v>14.8</v>
      </c>
      <c r="E389" s="25">
        <v>10.8</v>
      </c>
      <c r="F389" s="25" t="s">
        <v>55</v>
      </c>
      <c r="G389" s="111" t="s">
        <v>104</v>
      </c>
      <c r="H389" s="128"/>
      <c r="I389" s="127"/>
      <c r="J389" s="128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 spans="1:29" ht="14.25" customHeight="1">
      <c r="A390" s="23">
        <v>388</v>
      </c>
      <c r="B390" s="23" t="s">
        <v>667</v>
      </c>
      <c r="C390" s="23">
        <v>2</v>
      </c>
      <c r="D390" s="25">
        <v>15.8</v>
      </c>
      <c r="E390" s="25" t="s">
        <v>61</v>
      </c>
      <c r="F390" s="25" t="s">
        <v>69</v>
      </c>
      <c r="G390" s="41" t="s">
        <v>104</v>
      </c>
      <c r="H390" s="128"/>
      <c r="I390" s="127"/>
      <c r="J390" s="128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spans="1:29" ht="14.25" customHeight="1">
      <c r="A391" s="23">
        <v>389</v>
      </c>
      <c r="B391" s="23" t="s">
        <v>667</v>
      </c>
      <c r="C391" s="23">
        <v>3</v>
      </c>
      <c r="D391" s="25">
        <v>12.7</v>
      </c>
      <c r="E391" s="25">
        <v>10.8</v>
      </c>
      <c r="F391" s="25" t="s">
        <v>118</v>
      </c>
      <c r="G391" s="147" t="s">
        <v>54</v>
      </c>
      <c r="H391" s="128"/>
      <c r="I391" s="127"/>
      <c r="J391" s="128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 spans="1:29" ht="14.25" customHeight="1">
      <c r="A392" s="23">
        <v>390</v>
      </c>
      <c r="B392" s="23" t="s">
        <v>668</v>
      </c>
      <c r="C392" s="23">
        <v>1</v>
      </c>
      <c r="D392" s="25">
        <v>16</v>
      </c>
      <c r="E392" s="25">
        <v>10.6</v>
      </c>
      <c r="F392" s="25" t="s">
        <v>77</v>
      </c>
      <c r="G392" s="147" t="s">
        <v>54</v>
      </c>
      <c r="H392" s="128"/>
      <c r="I392" s="127"/>
      <c r="J392" s="128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 spans="1:29" ht="14.25" customHeight="1">
      <c r="A393" s="23">
        <v>391</v>
      </c>
      <c r="B393" s="23" t="s">
        <v>668</v>
      </c>
      <c r="C393" s="23">
        <v>2</v>
      </c>
      <c r="D393" s="25">
        <v>15.6</v>
      </c>
      <c r="E393" s="25" t="s">
        <v>61</v>
      </c>
      <c r="F393" s="25" t="s">
        <v>77</v>
      </c>
      <c r="G393" s="147" t="s">
        <v>54</v>
      </c>
      <c r="H393" s="128"/>
      <c r="I393" s="127"/>
      <c r="J393" s="128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 spans="1:29" ht="14.25" customHeight="1">
      <c r="A394" s="23">
        <v>392</v>
      </c>
      <c r="B394" s="23" t="s">
        <v>668</v>
      </c>
      <c r="C394" s="23">
        <v>3</v>
      </c>
      <c r="D394" s="25">
        <v>13.1</v>
      </c>
      <c r="E394" s="25">
        <v>10.6</v>
      </c>
      <c r="F394" s="25" t="s">
        <v>77</v>
      </c>
      <c r="G394" s="147" t="s">
        <v>54</v>
      </c>
      <c r="H394" s="128"/>
      <c r="I394" s="127"/>
      <c r="J394" s="128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 spans="1:29" ht="14.25" customHeight="1">
      <c r="A395" s="23">
        <v>393</v>
      </c>
      <c r="B395" s="23" t="s">
        <v>669</v>
      </c>
      <c r="C395" s="23">
        <v>1</v>
      </c>
      <c r="D395" s="25">
        <v>16</v>
      </c>
      <c r="E395" s="25">
        <v>10.6</v>
      </c>
      <c r="F395" s="25" t="s">
        <v>118</v>
      </c>
      <c r="G395" s="147" t="s">
        <v>54</v>
      </c>
      <c r="H395" s="128"/>
      <c r="I395" s="127"/>
      <c r="J395" s="128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 spans="1:29" ht="14.25" customHeight="1">
      <c r="A396" s="23">
        <v>394</v>
      </c>
      <c r="B396" s="23" t="s">
        <v>669</v>
      </c>
      <c r="C396" s="23">
        <v>2</v>
      </c>
      <c r="D396" s="25">
        <v>16.7</v>
      </c>
      <c r="E396" s="25" t="s">
        <v>61</v>
      </c>
      <c r="F396" s="25" t="s">
        <v>89</v>
      </c>
      <c r="G396" s="111"/>
      <c r="H396" s="128"/>
      <c r="I396" s="127"/>
      <c r="J396" s="128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 spans="1:29" ht="14.25" customHeight="1">
      <c r="A397" s="23">
        <v>395</v>
      </c>
      <c r="B397" s="23" t="s">
        <v>669</v>
      </c>
      <c r="C397" s="23">
        <v>3</v>
      </c>
      <c r="D397" s="25">
        <v>11.9</v>
      </c>
      <c r="E397" s="25">
        <v>10.8</v>
      </c>
      <c r="F397" s="25" t="s">
        <v>36</v>
      </c>
      <c r="G397" s="111" t="s">
        <v>104</v>
      </c>
      <c r="H397" s="128"/>
      <c r="I397" s="127"/>
      <c r="J397" s="128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 spans="1:29" ht="14.25" customHeight="1">
      <c r="A398" s="23">
        <v>396</v>
      </c>
      <c r="B398" s="23" t="s">
        <v>670</v>
      </c>
      <c r="C398" s="23">
        <v>1</v>
      </c>
      <c r="D398" s="25">
        <v>12.8</v>
      </c>
      <c r="E398" s="25">
        <v>10.8</v>
      </c>
      <c r="F398" s="25" t="s">
        <v>89</v>
      </c>
      <c r="G398" s="111" t="s">
        <v>104</v>
      </c>
      <c r="H398" s="128"/>
      <c r="I398" s="127"/>
      <c r="J398" s="128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 spans="1:29" ht="14.25" customHeight="1">
      <c r="A399" s="23">
        <v>397</v>
      </c>
      <c r="B399" s="23" t="s">
        <v>670</v>
      </c>
      <c r="C399" s="23">
        <v>2</v>
      </c>
      <c r="D399" s="25">
        <v>17</v>
      </c>
      <c r="E399" s="25" t="s">
        <v>61</v>
      </c>
      <c r="F399" s="25" t="s">
        <v>118</v>
      </c>
      <c r="G399" s="147" t="s">
        <v>54</v>
      </c>
      <c r="H399" s="128"/>
      <c r="I399" s="127"/>
      <c r="J399" s="128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 spans="1:29" ht="14.25" customHeight="1">
      <c r="A400" s="23">
        <v>398</v>
      </c>
      <c r="B400" s="23" t="s">
        <v>670</v>
      </c>
      <c r="C400" s="23">
        <v>3</v>
      </c>
      <c r="D400" s="25">
        <v>16</v>
      </c>
      <c r="E400" s="25">
        <v>10.9</v>
      </c>
      <c r="F400" s="25" t="s">
        <v>150</v>
      </c>
      <c r="G400" s="111" t="s">
        <v>178</v>
      </c>
      <c r="H400" s="128"/>
      <c r="I400" s="127"/>
      <c r="J400" s="128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 spans="1:29" ht="14.25" customHeight="1">
      <c r="A401" s="23">
        <v>399</v>
      </c>
      <c r="B401" s="23" t="s">
        <v>671</v>
      </c>
      <c r="C401" s="23">
        <v>1</v>
      </c>
      <c r="D401" s="25">
        <v>16.100000000000001</v>
      </c>
      <c r="E401" s="25">
        <v>11</v>
      </c>
      <c r="F401" s="25" t="s">
        <v>112</v>
      </c>
      <c r="G401" s="111" t="s">
        <v>104</v>
      </c>
      <c r="H401" s="128"/>
      <c r="I401" s="127"/>
      <c r="J401" s="128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 spans="1:29" ht="14.25" customHeight="1">
      <c r="A402" s="23">
        <v>400</v>
      </c>
      <c r="B402" s="23" t="s">
        <v>671</v>
      </c>
      <c r="C402" s="23">
        <v>2</v>
      </c>
      <c r="D402" s="25">
        <v>16.5</v>
      </c>
      <c r="E402" s="25" t="s">
        <v>61</v>
      </c>
      <c r="F402" s="25" t="s">
        <v>62</v>
      </c>
      <c r="G402" s="147" t="s">
        <v>54</v>
      </c>
      <c r="H402" s="128"/>
      <c r="I402" s="127"/>
      <c r="J402" s="128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 spans="1:29" ht="14.25" customHeight="1">
      <c r="A403" s="23">
        <v>401</v>
      </c>
      <c r="B403" s="23" t="s">
        <v>671</v>
      </c>
      <c r="C403" s="23">
        <v>3</v>
      </c>
      <c r="D403" s="25">
        <v>12.4</v>
      </c>
      <c r="E403" s="25">
        <v>10.9</v>
      </c>
      <c r="F403" s="25" t="s">
        <v>51</v>
      </c>
      <c r="G403" s="74"/>
      <c r="H403" s="128"/>
      <c r="I403" s="127"/>
      <c r="J403" s="128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 spans="1:29" ht="14.25" customHeight="1">
      <c r="A404" s="23">
        <v>402</v>
      </c>
      <c r="B404" s="23" t="s">
        <v>672</v>
      </c>
      <c r="C404" s="23">
        <v>1</v>
      </c>
      <c r="D404" s="25">
        <v>16.899999999999999</v>
      </c>
      <c r="E404" s="25">
        <v>10.6</v>
      </c>
      <c r="F404" s="25" t="s">
        <v>79</v>
      </c>
      <c r="G404" s="111" t="s">
        <v>104</v>
      </c>
      <c r="H404" s="128"/>
      <c r="I404" s="127"/>
      <c r="J404" s="128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spans="1:29" ht="14.25" customHeight="1">
      <c r="A405" s="23">
        <v>403</v>
      </c>
      <c r="B405" s="23" t="s">
        <v>672</v>
      </c>
      <c r="C405" s="23">
        <v>2</v>
      </c>
      <c r="D405" s="25">
        <v>15.9</v>
      </c>
      <c r="E405" s="25" t="s">
        <v>61</v>
      </c>
      <c r="F405" s="25" t="s">
        <v>79</v>
      </c>
      <c r="G405" s="111" t="s">
        <v>104</v>
      </c>
      <c r="H405" s="128"/>
      <c r="I405" s="127"/>
      <c r="J405" s="128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 spans="1:29" ht="14.25" customHeight="1">
      <c r="A406" s="23">
        <v>404</v>
      </c>
      <c r="B406" s="23" t="s">
        <v>672</v>
      </c>
      <c r="C406" s="23">
        <v>3</v>
      </c>
      <c r="D406" s="25">
        <v>12.2</v>
      </c>
      <c r="E406" s="25">
        <v>10.5</v>
      </c>
      <c r="F406" s="25" t="s">
        <v>118</v>
      </c>
      <c r="G406" s="147" t="s">
        <v>54</v>
      </c>
      <c r="H406" s="128"/>
      <c r="I406" s="127"/>
      <c r="J406" s="128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 spans="1:29" ht="14.25" customHeight="1">
      <c r="A407" s="23">
        <v>405</v>
      </c>
      <c r="B407" s="23" t="s">
        <v>673</v>
      </c>
      <c r="C407" s="23">
        <v>1</v>
      </c>
      <c r="D407" s="25">
        <v>17.399999999999999</v>
      </c>
      <c r="E407" s="25">
        <v>11.2</v>
      </c>
      <c r="F407" s="25" t="s">
        <v>88</v>
      </c>
      <c r="G407" s="111" t="s">
        <v>104</v>
      </c>
      <c r="H407" s="128"/>
      <c r="I407" s="127"/>
      <c r="J407" s="128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 spans="1:29" ht="14.25" customHeight="1">
      <c r="A408" s="23">
        <v>406</v>
      </c>
      <c r="B408" s="23" t="s">
        <v>673</v>
      </c>
      <c r="C408" s="23">
        <v>2</v>
      </c>
      <c r="D408" s="25">
        <v>17</v>
      </c>
      <c r="E408" s="25" t="s">
        <v>61</v>
      </c>
      <c r="F408" s="25" t="s">
        <v>88</v>
      </c>
      <c r="G408" s="111" t="s">
        <v>104</v>
      </c>
      <c r="H408" s="128"/>
      <c r="I408" s="127"/>
      <c r="J408" s="128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 spans="1:29" ht="14.25" customHeight="1">
      <c r="A409" s="23">
        <v>407</v>
      </c>
      <c r="B409" s="23" t="s">
        <v>673</v>
      </c>
      <c r="C409" s="23">
        <v>3</v>
      </c>
      <c r="D409" s="25">
        <v>12.8</v>
      </c>
      <c r="E409" s="25">
        <v>11.2</v>
      </c>
      <c r="F409" s="25" t="s">
        <v>47</v>
      </c>
      <c r="G409" s="74"/>
      <c r="H409" s="128"/>
      <c r="I409" s="127"/>
      <c r="J409" s="128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 spans="1:29" ht="14.25" customHeight="1">
      <c r="A410" s="23">
        <v>408</v>
      </c>
      <c r="B410" s="23" t="s">
        <v>674</v>
      </c>
      <c r="C410" s="23">
        <v>1</v>
      </c>
      <c r="D410" s="25">
        <v>12.6</v>
      </c>
      <c r="E410" s="25">
        <v>8.6</v>
      </c>
      <c r="F410" s="25" t="s">
        <v>150</v>
      </c>
      <c r="G410" s="111" t="s">
        <v>178</v>
      </c>
      <c r="H410" s="128"/>
      <c r="I410" s="127"/>
      <c r="J410" s="128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 spans="1:29" ht="14.25" customHeight="1">
      <c r="A411" s="23">
        <v>409</v>
      </c>
      <c r="B411" s="23" t="s">
        <v>674</v>
      </c>
      <c r="C411" s="23">
        <v>2</v>
      </c>
      <c r="D411" s="25">
        <v>13.6</v>
      </c>
      <c r="E411" s="25">
        <v>8.5</v>
      </c>
      <c r="F411" s="25" t="s">
        <v>106</v>
      </c>
      <c r="G411" s="41" t="s">
        <v>104</v>
      </c>
      <c r="H411" s="128"/>
      <c r="I411" s="127"/>
      <c r="J411" s="128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 spans="1:29" ht="14.25" customHeight="1">
      <c r="A412" s="23">
        <v>410</v>
      </c>
      <c r="B412" s="23" t="s">
        <v>674</v>
      </c>
      <c r="C412" s="23">
        <v>3</v>
      </c>
      <c r="D412" s="25">
        <v>10.199999999999999</v>
      </c>
      <c r="E412" s="25" t="s">
        <v>61</v>
      </c>
      <c r="F412" s="25" t="s">
        <v>150</v>
      </c>
      <c r="G412" s="111" t="s">
        <v>178</v>
      </c>
      <c r="H412" s="128"/>
      <c r="I412" s="127"/>
      <c r="J412" s="128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 spans="1:29" ht="14.25" customHeight="1">
      <c r="A413" s="23">
        <v>411</v>
      </c>
      <c r="B413" s="23" t="s">
        <v>675</v>
      </c>
      <c r="C413" s="23">
        <v>1</v>
      </c>
      <c r="D413" s="25">
        <v>12.7</v>
      </c>
      <c r="E413" s="25">
        <v>11</v>
      </c>
      <c r="F413" s="25" t="s">
        <v>55</v>
      </c>
      <c r="G413" s="111" t="s">
        <v>104</v>
      </c>
      <c r="H413" s="128"/>
      <c r="I413" s="127"/>
      <c r="J413" s="128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 spans="1:29" ht="14.25" customHeight="1">
      <c r="A414" s="23">
        <v>412</v>
      </c>
      <c r="B414" s="23" t="s">
        <v>675</v>
      </c>
      <c r="C414" s="23">
        <v>2</v>
      </c>
      <c r="D414" s="25">
        <v>17.100000000000001</v>
      </c>
      <c r="E414" s="25" t="s">
        <v>61</v>
      </c>
      <c r="F414" s="25" t="s">
        <v>55</v>
      </c>
      <c r="G414" s="111" t="s">
        <v>104</v>
      </c>
      <c r="H414" s="128"/>
      <c r="I414" s="127"/>
      <c r="J414" s="128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 spans="1:29" ht="14.25" customHeight="1">
      <c r="A415" s="23">
        <v>413</v>
      </c>
      <c r="B415" s="23" t="s">
        <v>675</v>
      </c>
      <c r="C415" s="23">
        <v>3</v>
      </c>
      <c r="D415" s="25">
        <v>16.5</v>
      </c>
      <c r="E415" s="25">
        <v>11</v>
      </c>
      <c r="F415" s="25" t="s">
        <v>62</v>
      </c>
      <c r="G415" s="147" t="s">
        <v>54</v>
      </c>
      <c r="H415" s="128"/>
      <c r="I415" s="127"/>
      <c r="J415" s="128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 spans="1:29" ht="14.25" customHeight="1">
      <c r="A416" s="23">
        <v>414</v>
      </c>
      <c r="B416" s="23" t="s">
        <v>676</v>
      </c>
      <c r="C416" s="23">
        <v>1</v>
      </c>
      <c r="D416" s="25">
        <v>16.899999999999999</v>
      </c>
      <c r="E416" s="25">
        <v>11</v>
      </c>
      <c r="F416" s="25" t="s">
        <v>112</v>
      </c>
      <c r="G416" s="111" t="s">
        <v>104</v>
      </c>
      <c r="H416" s="128"/>
      <c r="I416" s="127"/>
      <c r="J416" s="128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 spans="1:29" ht="14.25" customHeight="1">
      <c r="A417" s="23">
        <v>415</v>
      </c>
      <c r="B417" s="23" t="s">
        <v>676</v>
      </c>
      <c r="C417" s="23">
        <v>2</v>
      </c>
      <c r="D417" s="25">
        <v>16</v>
      </c>
      <c r="E417" s="25" t="s">
        <v>61</v>
      </c>
      <c r="F417" s="25" t="s">
        <v>112</v>
      </c>
      <c r="G417" s="111" t="s">
        <v>104</v>
      </c>
      <c r="H417" s="128"/>
      <c r="I417" s="127"/>
      <c r="J417" s="128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 spans="1:29" ht="14.25" customHeight="1">
      <c r="A418" s="23">
        <v>416</v>
      </c>
      <c r="B418" s="23" t="s">
        <v>676</v>
      </c>
      <c r="C418" s="23">
        <v>3</v>
      </c>
      <c r="D418" s="25">
        <v>12.9</v>
      </c>
      <c r="E418" s="25">
        <v>11.2</v>
      </c>
      <c r="F418" s="25" t="s">
        <v>55</v>
      </c>
      <c r="G418" s="111" t="s">
        <v>104</v>
      </c>
      <c r="H418" s="128"/>
      <c r="I418" s="127"/>
      <c r="J418" s="128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 spans="1:29" ht="14.25" customHeight="1">
      <c r="A419" s="23">
        <v>417</v>
      </c>
      <c r="B419" s="23" t="s">
        <v>677</v>
      </c>
      <c r="C419" s="23">
        <v>1</v>
      </c>
      <c r="D419" s="25">
        <v>16.100000000000001</v>
      </c>
      <c r="E419" s="25">
        <v>11.6</v>
      </c>
      <c r="F419" s="25" t="s">
        <v>55</v>
      </c>
      <c r="G419" s="111" t="s">
        <v>104</v>
      </c>
      <c r="H419" s="128"/>
      <c r="I419" s="127"/>
      <c r="J419" s="128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 spans="1:29" ht="14.25" customHeight="1">
      <c r="A420" s="23">
        <v>418</v>
      </c>
      <c r="B420" s="23" t="s">
        <v>677</v>
      </c>
      <c r="C420" s="23">
        <v>2</v>
      </c>
      <c r="D420" s="25">
        <v>16.3</v>
      </c>
      <c r="E420" s="25" t="s">
        <v>61</v>
      </c>
      <c r="F420" s="25" t="s">
        <v>55</v>
      </c>
      <c r="G420" s="111" t="s">
        <v>104</v>
      </c>
      <c r="H420" s="128"/>
      <c r="I420" s="127"/>
      <c r="J420" s="128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 spans="1:29" ht="14.25" customHeight="1">
      <c r="A421" s="23">
        <v>419</v>
      </c>
      <c r="B421" s="23" t="s">
        <v>677</v>
      </c>
      <c r="C421" s="23">
        <v>3</v>
      </c>
      <c r="D421" s="25">
        <v>12.4</v>
      </c>
      <c r="E421" s="25">
        <v>10.7</v>
      </c>
      <c r="F421" s="25" t="s">
        <v>55</v>
      </c>
      <c r="G421" s="111" t="s">
        <v>104</v>
      </c>
      <c r="H421" s="128"/>
      <c r="I421" s="127"/>
      <c r="J421" s="128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 spans="1:29" ht="14.25" customHeight="1">
      <c r="A422" s="23">
        <v>420</v>
      </c>
      <c r="B422" s="23" t="s">
        <v>678</v>
      </c>
      <c r="C422" s="23">
        <v>1</v>
      </c>
      <c r="D422" s="25">
        <v>16.7</v>
      </c>
      <c r="E422" s="25">
        <v>11</v>
      </c>
      <c r="F422" s="25" t="s">
        <v>88</v>
      </c>
      <c r="G422" s="111" t="s">
        <v>104</v>
      </c>
      <c r="H422" s="128"/>
      <c r="I422" s="127"/>
      <c r="J422" s="128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 spans="1:29" ht="14.25" customHeight="1">
      <c r="A423" s="23">
        <v>421</v>
      </c>
      <c r="B423" s="23" t="s">
        <v>678</v>
      </c>
      <c r="C423" s="23">
        <v>2</v>
      </c>
      <c r="D423" s="25">
        <v>16.8</v>
      </c>
      <c r="E423" s="25" t="s">
        <v>61</v>
      </c>
      <c r="F423" s="25" t="s">
        <v>88</v>
      </c>
      <c r="G423" s="111" t="s">
        <v>104</v>
      </c>
      <c r="H423" s="128"/>
      <c r="I423" s="127"/>
      <c r="J423" s="141" t="s">
        <v>679</v>
      </c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 spans="1:29" ht="14.25" customHeight="1">
      <c r="A424" s="23">
        <v>422</v>
      </c>
      <c r="B424" s="23" t="s">
        <v>678</v>
      </c>
      <c r="C424" s="23">
        <v>3</v>
      </c>
      <c r="D424" s="25">
        <v>12.2</v>
      </c>
      <c r="E424" s="25">
        <v>11</v>
      </c>
      <c r="F424" s="25" t="s">
        <v>89</v>
      </c>
      <c r="G424" s="111" t="s">
        <v>104</v>
      </c>
      <c r="H424" s="128"/>
      <c r="I424" s="127"/>
      <c r="J424" s="128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 spans="1:29" ht="14.25" customHeight="1">
      <c r="A425" s="23">
        <v>423</v>
      </c>
      <c r="B425" s="23" t="s">
        <v>680</v>
      </c>
      <c r="C425" s="23">
        <v>1</v>
      </c>
      <c r="D425" s="25">
        <v>16.899999999999999</v>
      </c>
      <c r="E425" s="25">
        <v>11</v>
      </c>
      <c r="F425" s="25" t="s">
        <v>47</v>
      </c>
      <c r="G425" s="111" t="s">
        <v>104</v>
      </c>
      <c r="H425" s="128"/>
      <c r="I425" s="127"/>
      <c r="J425" s="128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 spans="1:29" ht="14.25" customHeight="1">
      <c r="A426" s="23">
        <v>424</v>
      </c>
      <c r="B426" s="23" t="s">
        <v>680</v>
      </c>
      <c r="C426" s="23">
        <v>2</v>
      </c>
      <c r="D426" s="25">
        <v>17.399999999999999</v>
      </c>
      <c r="E426" s="25" t="s">
        <v>61</v>
      </c>
      <c r="F426" s="25" t="s">
        <v>79</v>
      </c>
      <c r="G426" s="74"/>
      <c r="H426" s="128"/>
      <c r="I426" s="127"/>
      <c r="J426" s="128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 spans="1:29" ht="14.25" customHeight="1">
      <c r="A427" s="23">
        <v>425</v>
      </c>
      <c r="B427" s="23" t="s">
        <v>680</v>
      </c>
      <c r="C427" s="23">
        <v>3</v>
      </c>
      <c r="D427" s="25">
        <v>12.1</v>
      </c>
      <c r="E427" s="25">
        <v>10.9</v>
      </c>
      <c r="F427" s="25" t="s">
        <v>79</v>
      </c>
      <c r="G427" s="111" t="s">
        <v>104</v>
      </c>
      <c r="H427" s="128"/>
      <c r="I427" s="127"/>
      <c r="J427" s="128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 spans="1:29" ht="14.25" customHeight="1">
      <c r="A428" s="23">
        <v>426</v>
      </c>
      <c r="B428" s="23" t="s">
        <v>682</v>
      </c>
      <c r="C428" s="23">
        <v>1</v>
      </c>
      <c r="D428" s="25">
        <v>16.5</v>
      </c>
      <c r="E428" s="25">
        <v>11</v>
      </c>
      <c r="F428" s="25" t="s">
        <v>47</v>
      </c>
      <c r="G428" s="111" t="s">
        <v>104</v>
      </c>
      <c r="H428" s="128"/>
      <c r="I428" s="127"/>
      <c r="J428" s="128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 spans="1:29" ht="14.25" customHeight="1">
      <c r="A429" s="23">
        <v>427</v>
      </c>
      <c r="B429" s="23" t="s">
        <v>682</v>
      </c>
      <c r="C429" s="23">
        <v>2</v>
      </c>
      <c r="D429" s="25">
        <v>16.7</v>
      </c>
      <c r="E429" s="25" t="s">
        <v>61</v>
      </c>
      <c r="F429" s="25" t="s">
        <v>47</v>
      </c>
      <c r="G429" s="111" t="s">
        <v>104</v>
      </c>
      <c r="H429" s="128"/>
      <c r="I429" s="127"/>
      <c r="J429" s="128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 spans="1:29" ht="14.25" customHeight="1">
      <c r="A430" s="23">
        <v>428</v>
      </c>
      <c r="B430" s="23" t="s">
        <v>682</v>
      </c>
      <c r="C430" s="23">
        <v>3</v>
      </c>
      <c r="D430" s="25">
        <v>12.2</v>
      </c>
      <c r="E430" s="25">
        <v>10.6</v>
      </c>
      <c r="F430" s="25" t="s">
        <v>47</v>
      </c>
      <c r="G430" s="111" t="s">
        <v>104</v>
      </c>
      <c r="H430" s="128"/>
      <c r="I430" s="127"/>
      <c r="J430" s="128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 spans="1:29" ht="14.25" customHeight="1">
      <c r="A431" s="23">
        <v>429</v>
      </c>
      <c r="B431" s="23" t="s">
        <v>683</v>
      </c>
      <c r="C431" s="23">
        <v>1</v>
      </c>
      <c r="D431" s="25">
        <v>16</v>
      </c>
      <c r="E431" s="25">
        <v>11</v>
      </c>
      <c r="F431" s="25" t="s">
        <v>47</v>
      </c>
      <c r="G431" s="111" t="s">
        <v>104</v>
      </c>
      <c r="H431" s="128"/>
      <c r="I431" s="127"/>
      <c r="J431" s="128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 spans="1:29" ht="14.25" customHeight="1">
      <c r="A432" s="23">
        <v>430</v>
      </c>
      <c r="B432" s="23" t="s">
        <v>683</v>
      </c>
      <c r="C432" s="23">
        <v>2</v>
      </c>
      <c r="D432" s="25">
        <v>16</v>
      </c>
      <c r="E432" s="25" t="s">
        <v>61</v>
      </c>
      <c r="F432" s="25" t="s">
        <v>47</v>
      </c>
      <c r="G432" s="111" t="s">
        <v>104</v>
      </c>
      <c r="H432" s="128"/>
      <c r="I432" s="127"/>
      <c r="J432" s="128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 spans="1:29" ht="14.25" customHeight="1">
      <c r="A433" s="23">
        <v>431</v>
      </c>
      <c r="B433" s="23" t="s">
        <v>683</v>
      </c>
      <c r="C433" s="23">
        <v>3</v>
      </c>
      <c r="D433" s="25">
        <v>12.7</v>
      </c>
      <c r="E433" s="25">
        <v>10.7</v>
      </c>
      <c r="F433" s="25" t="s">
        <v>88</v>
      </c>
      <c r="G433" s="111" t="s">
        <v>104</v>
      </c>
      <c r="H433" s="128"/>
      <c r="I433" s="127"/>
      <c r="J433" s="128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 spans="1:29" ht="14.25" customHeight="1">
      <c r="A434" s="23">
        <v>432</v>
      </c>
      <c r="B434" s="23" t="s">
        <v>685</v>
      </c>
      <c r="C434" s="23">
        <v>1</v>
      </c>
      <c r="D434" s="25">
        <v>16.5</v>
      </c>
      <c r="E434" s="25">
        <v>11.1</v>
      </c>
      <c r="F434" s="25" t="s">
        <v>88</v>
      </c>
      <c r="G434" s="111" t="s">
        <v>104</v>
      </c>
      <c r="H434" s="128"/>
      <c r="I434" s="127"/>
      <c r="J434" s="128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 spans="1:29" ht="14.25" customHeight="1">
      <c r="A435" s="23">
        <v>433</v>
      </c>
      <c r="B435" s="23" t="s">
        <v>685</v>
      </c>
      <c r="C435" s="23">
        <v>2</v>
      </c>
      <c r="D435" s="25">
        <v>16</v>
      </c>
      <c r="E435" s="25" t="s">
        <v>61</v>
      </c>
      <c r="F435" s="25" t="s">
        <v>47</v>
      </c>
      <c r="G435" s="111" t="s">
        <v>104</v>
      </c>
      <c r="H435" s="128"/>
      <c r="I435" s="127"/>
      <c r="J435" s="128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 spans="1:29" ht="14.25" customHeight="1">
      <c r="A436" s="23">
        <v>434</v>
      </c>
      <c r="B436" s="23" t="s">
        <v>685</v>
      </c>
      <c r="C436" s="23">
        <v>3</v>
      </c>
      <c r="D436" s="25">
        <v>13.5</v>
      </c>
      <c r="E436" s="25">
        <v>11.1</v>
      </c>
      <c r="F436" s="25" t="s">
        <v>47</v>
      </c>
      <c r="G436" s="111" t="s">
        <v>104</v>
      </c>
      <c r="H436" s="128"/>
      <c r="I436" s="127"/>
      <c r="J436" s="128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 spans="1:29" ht="14.25" customHeight="1">
      <c r="A437" s="23">
        <v>435</v>
      </c>
      <c r="B437" s="23" t="s">
        <v>687</v>
      </c>
      <c r="C437" s="23">
        <v>1</v>
      </c>
      <c r="D437" s="25">
        <v>16.3</v>
      </c>
      <c r="E437" s="25">
        <v>10.7</v>
      </c>
      <c r="F437" s="25" t="s">
        <v>79</v>
      </c>
      <c r="G437" s="111" t="s">
        <v>104</v>
      </c>
      <c r="H437" s="128"/>
      <c r="I437" s="127"/>
      <c r="J437" s="128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 spans="1:29" ht="14.25" customHeight="1">
      <c r="A438" s="23">
        <v>436</v>
      </c>
      <c r="B438" s="23" t="s">
        <v>687</v>
      </c>
      <c r="C438" s="23">
        <v>2</v>
      </c>
      <c r="D438" s="25">
        <v>16</v>
      </c>
      <c r="E438" s="25" t="s">
        <v>61</v>
      </c>
      <c r="F438" s="25" t="s">
        <v>79</v>
      </c>
      <c r="G438" s="111" t="s">
        <v>104</v>
      </c>
      <c r="H438" s="128"/>
      <c r="I438" s="127"/>
      <c r="J438" s="128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 spans="1:29" ht="14.25" customHeight="1">
      <c r="A439" s="23">
        <v>437</v>
      </c>
      <c r="B439" s="23" t="s">
        <v>687</v>
      </c>
      <c r="C439" s="23">
        <v>3</v>
      </c>
      <c r="D439" s="25">
        <v>12.8</v>
      </c>
      <c r="E439" s="25">
        <v>10.5</v>
      </c>
      <c r="F439" s="25" t="s">
        <v>79</v>
      </c>
      <c r="G439" s="111" t="s">
        <v>104</v>
      </c>
      <c r="H439" s="128"/>
      <c r="I439" s="127"/>
      <c r="J439" s="128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 spans="1:29" ht="14.25" customHeight="1">
      <c r="A440" s="23">
        <v>438</v>
      </c>
      <c r="B440" s="23" t="s">
        <v>690</v>
      </c>
      <c r="C440" s="23">
        <v>1</v>
      </c>
      <c r="D440" s="25">
        <v>13.1</v>
      </c>
      <c r="E440" s="25">
        <v>10.4</v>
      </c>
      <c r="F440" s="25" t="s">
        <v>112</v>
      </c>
      <c r="G440" s="111" t="s">
        <v>104</v>
      </c>
      <c r="H440" s="128"/>
      <c r="I440" s="127"/>
      <c r="J440" s="128" t="s">
        <v>691</v>
      </c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 spans="1:29" ht="14.25" customHeight="1">
      <c r="A441" s="23">
        <v>439</v>
      </c>
      <c r="B441" s="23" t="s">
        <v>690</v>
      </c>
      <c r="C441" s="23">
        <v>2</v>
      </c>
      <c r="D441" s="25">
        <v>16.899999999999999</v>
      </c>
      <c r="E441" s="25" t="s">
        <v>61</v>
      </c>
      <c r="F441" s="25" t="s">
        <v>112</v>
      </c>
      <c r="G441" s="111" t="s">
        <v>104</v>
      </c>
      <c r="H441" s="128"/>
      <c r="I441" s="127"/>
      <c r="J441" s="128" t="s">
        <v>691</v>
      </c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 spans="1:29" ht="14.25" customHeight="1">
      <c r="A442" s="23">
        <v>440</v>
      </c>
      <c r="B442" s="23" t="s">
        <v>690</v>
      </c>
      <c r="C442" s="23">
        <v>3</v>
      </c>
      <c r="D442" s="25">
        <v>16.8</v>
      </c>
      <c r="E442" s="25">
        <v>10.4</v>
      </c>
      <c r="F442" s="41" t="s">
        <v>112</v>
      </c>
      <c r="G442" s="111" t="s">
        <v>104</v>
      </c>
      <c r="H442" s="128"/>
      <c r="I442" s="122" t="s">
        <v>422</v>
      </c>
      <c r="J442" s="128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 spans="1:29" ht="14.25" customHeight="1">
      <c r="A443" s="23">
        <v>441</v>
      </c>
      <c r="B443" s="23" t="s">
        <v>694</v>
      </c>
      <c r="C443" s="23">
        <v>1</v>
      </c>
      <c r="D443" s="25">
        <v>16.399999999999999</v>
      </c>
      <c r="E443" s="25">
        <v>10.7</v>
      </c>
      <c r="F443" s="25" t="s">
        <v>79</v>
      </c>
      <c r="G443" s="111" t="s">
        <v>104</v>
      </c>
      <c r="H443" s="128"/>
      <c r="I443" s="127"/>
      <c r="J443" s="128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 spans="1:29" ht="14.25" customHeight="1">
      <c r="A444" s="23">
        <v>442</v>
      </c>
      <c r="B444" s="23" t="s">
        <v>694</v>
      </c>
      <c r="C444" s="23">
        <v>2</v>
      </c>
      <c r="D444" s="25">
        <v>16.8</v>
      </c>
      <c r="E444" s="25" t="s">
        <v>61</v>
      </c>
      <c r="F444" s="25" t="s">
        <v>79</v>
      </c>
      <c r="G444" s="111" t="s">
        <v>104</v>
      </c>
      <c r="H444" s="128"/>
      <c r="I444" s="127"/>
      <c r="J444" s="128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 spans="1:29" ht="14.25" customHeight="1">
      <c r="A445" s="23">
        <v>443</v>
      </c>
      <c r="B445" s="23" t="s">
        <v>694</v>
      </c>
      <c r="C445" s="23">
        <v>3</v>
      </c>
      <c r="D445" s="25">
        <v>13</v>
      </c>
      <c r="E445" s="25">
        <v>10.7</v>
      </c>
      <c r="F445" s="25" t="s">
        <v>79</v>
      </c>
      <c r="G445" s="111" t="s">
        <v>104</v>
      </c>
      <c r="H445" s="128"/>
      <c r="I445" s="127"/>
      <c r="J445" s="128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 spans="1:29" ht="14.25" customHeight="1">
      <c r="A446" s="23">
        <v>444</v>
      </c>
      <c r="B446" s="23" t="s">
        <v>698</v>
      </c>
      <c r="C446" s="23">
        <v>1</v>
      </c>
      <c r="D446" s="25">
        <v>10.3</v>
      </c>
      <c r="E446" s="25">
        <v>9.1999999999999993</v>
      </c>
      <c r="F446" s="25" t="s">
        <v>47</v>
      </c>
      <c r="G446" s="111" t="s">
        <v>104</v>
      </c>
      <c r="H446" s="128"/>
      <c r="I446" s="127"/>
      <c r="J446" s="128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 spans="1:29" ht="14.25" customHeight="1">
      <c r="A447" s="23">
        <v>445</v>
      </c>
      <c r="B447" s="23" t="s">
        <v>698</v>
      </c>
      <c r="C447" s="23">
        <v>2</v>
      </c>
      <c r="D447" s="25">
        <v>13.2</v>
      </c>
      <c r="E447" s="25" t="s">
        <v>61</v>
      </c>
      <c r="F447" s="25" t="s">
        <v>12</v>
      </c>
      <c r="G447" s="74"/>
      <c r="H447" s="128"/>
      <c r="I447" s="127"/>
      <c r="J447" s="128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 spans="1:29" ht="14.25" customHeight="1">
      <c r="A448" s="23">
        <v>446</v>
      </c>
      <c r="B448" s="23" t="s">
        <v>698</v>
      </c>
      <c r="C448" s="23">
        <v>3</v>
      </c>
      <c r="D448" s="25">
        <v>12.2</v>
      </c>
      <c r="E448" s="25">
        <v>9.1999999999999993</v>
      </c>
      <c r="F448" s="25" t="s">
        <v>12</v>
      </c>
      <c r="G448" s="74"/>
      <c r="H448" s="128"/>
      <c r="I448" s="127"/>
      <c r="J448" s="128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 spans="1:29" ht="14.25" customHeight="1">
      <c r="A449" s="23">
        <v>447</v>
      </c>
      <c r="B449" s="23" t="s">
        <v>701</v>
      </c>
      <c r="C449" s="23">
        <v>1</v>
      </c>
      <c r="D449" s="25">
        <v>12.1</v>
      </c>
      <c r="E449" s="25">
        <v>10.8</v>
      </c>
      <c r="F449" s="25" t="s">
        <v>77</v>
      </c>
      <c r="G449" s="147" t="s">
        <v>54</v>
      </c>
      <c r="H449" s="128"/>
      <c r="I449" s="127"/>
      <c r="J449" s="128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 spans="1:29" ht="14.25" customHeight="1">
      <c r="A450" s="23">
        <v>448</v>
      </c>
      <c r="B450" s="23" t="s">
        <v>701</v>
      </c>
      <c r="C450" s="23">
        <v>2</v>
      </c>
      <c r="D450" s="25">
        <v>16.2</v>
      </c>
      <c r="E450" s="25" t="s">
        <v>61</v>
      </c>
      <c r="F450" s="41" t="s">
        <v>77</v>
      </c>
      <c r="G450" s="147" t="s">
        <v>54</v>
      </c>
      <c r="H450" s="128"/>
      <c r="I450" s="122" t="s">
        <v>180</v>
      </c>
      <c r="J450" s="141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 spans="1:29" ht="14.25" customHeight="1">
      <c r="A451" s="23">
        <v>449</v>
      </c>
      <c r="B451" s="23" t="s">
        <v>701</v>
      </c>
      <c r="C451" s="23">
        <v>3</v>
      </c>
      <c r="D451" s="25">
        <v>12.4</v>
      </c>
      <c r="E451" s="25">
        <v>10.8</v>
      </c>
      <c r="F451" s="25" t="s">
        <v>77</v>
      </c>
      <c r="G451" s="147" t="s">
        <v>54</v>
      </c>
      <c r="H451" s="128"/>
      <c r="I451" s="127"/>
      <c r="J451" s="128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 spans="1:29" ht="14.25" customHeight="1">
      <c r="A452" s="23">
        <v>450</v>
      </c>
      <c r="B452" s="23" t="s">
        <v>702</v>
      </c>
      <c r="C452" s="23">
        <v>1</v>
      </c>
      <c r="D452" s="25">
        <v>15.7</v>
      </c>
      <c r="E452" s="25">
        <v>10.7</v>
      </c>
      <c r="F452" s="25" t="s">
        <v>36</v>
      </c>
      <c r="G452" s="147" t="s">
        <v>54</v>
      </c>
      <c r="H452" s="128"/>
      <c r="I452" s="127"/>
      <c r="J452" s="128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 spans="1:29" ht="14.25" customHeight="1">
      <c r="A453" s="23">
        <v>451</v>
      </c>
      <c r="B453" s="23" t="s">
        <v>702</v>
      </c>
      <c r="C453" s="23">
        <v>2</v>
      </c>
      <c r="D453" s="25">
        <v>15.8</v>
      </c>
      <c r="E453" s="25" t="s">
        <v>61</v>
      </c>
      <c r="F453" s="25" t="s">
        <v>77</v>
      </c>
      <c r="G453" s="147" t="s">
        <v>54</v>
      </c>
      <c r="H453" s="128"/>
      <c r="I453" s="127"/>
      <c r="J453" s="128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 spans="1:29" ht="14.25" customHeight="1">
      <c r="A454" s="23">
        <v>452</v>
      </c>
      <c r="B454" s="23" t="s">
        <v>702</v>
      </c>
      <c r="C454" s="23">
        <v>3</v>
      </c>
      <c r="D454" s="25">
        <v>13.1</v>
      </c>
      <c r="E454" s="25">
        <v>10.6</v>
      </c>
      <c r="F454" s="25" t="s">
        <v>150</v>
      </c>
      <c r="G454" s="111" t="s">
        <v>178</v>
      </c>
      <c r="H454" s="128"/>
      <c r="I454" s="127"/>
      <c r="J454" s="128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 spans="1:29" ht="14.25" customHeight="1">
      <c r="A455" s="23">
        <v>453</v>
      </c>
      <c r="B455" s="23" t="s">
        <v>703</v>
      </c>
      <c r="C455" s="23">
        <v>1</v>
      </c>
      <c r="D455" s="25">
        <v>16</v>
      </c>
      <c r="E455" s="25">
        <v>10.8</v>
      </c>
      <c r="F455" s="25" t="s">
        <v>118</v>
      </c>
      <c r="G455" s="147" t="s">
        <v>54</v>
      </c>
      <c r="H455" s="128"/>
      <c r="I455" s="127"/>
      <c r="J455" s="128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 spans="1:29" ht="14.25" customHeight="1">
      <c r="A456" s="23">
        <v>454</v>
      </c>
      <c r="B456" s="23" t="s">
        <v>703</v>
      </c>
      <c r="C456" s="23">
        <v>2</v>
      </c>
      <c r="D456" s="25">
        <v>15.8</v>
      </c>
      <c r="E456" s="25" t="s">
        <v>61</v>
      </c>
      <c r="F456" s="25" t="s">
        <v>150</v>
      </c>
      <c r="G456" s="111" t="s">
        <v>178</v>
      </c>
      <c r="H456" s="128"/>
      <c r="I456" s="127"/>
      <c r="J456" s="128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 spans="1:29" ht="14.25" customHeight="1">
      <c r="A457" s="23">
        <v>455</v>
      </c>
      <c r="B457" s="23" t="s">
        <v>703</v>
      </c>
      <c r="C457" s="23">
        <v>3</v>
      </c>
      <c r="D457" s="25">
        <v>13</v>
      </c>
      <c r="E457" s="25">
        <v>10.8</v>
      </c>
      <c r="F457" s="25" t="s">
        <v>150</v>
      </c>
      <c r="G457" s="111" t="s">
        <v>178</v>
      </c>
      <c r="H457" s="128"/>
      <c r="I457" s="127"/>
      <c r="J457" s="128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 spans="1:29" ht="14.25" customHeight="1">
      <c r="A458" s="23">
        <v>456</v>
      </c>
      <c r="B458" s="23" t="s">
        <v>704</v>
      </c>
      <c r="C458" s="23">
        <v>1</v>
      </c>
      <c r="D458" s="25">
        <v>16</v>
      </c>
      <c r="E458" s="25">
        <v>11</v>
      </c>
      <c r="F458" s="25" t="s">
        <v>69</v>
      </c>
      <c r="G458" s="41" t="s">
        <v>104</v>
      </c>
      <c r="H458" s="128"/>
      <c r="I458" s="127"/>
      <c r="J458" s="128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 spans="1:29" ht="14.25" customHeight="1">
      <c r="A459" s="23">
        <v>457</v>
      </c>
      <c r="B459" s="23" t="s">
        <v>704</v>
      </c>
      <c r="C459" s="23">
        <v>2</v>
      </c>
      <c r="D459" s="25">
        <v>16.399999999999999</v>
      </c>
      <c r="E459" s="25" t="s">
        <v>61</v>
      </c>
      <c r="F459" s="25" t="s">
        <v>69</v>
      </c>
      <c r="G459" s="41" t="s">
        <v>104</v>
      </c>
      <c r="H459" s="128"/>
      <c r="I459" s="127"/>
      <c r="J459" s="128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 spans="1:29" ht="14.25" customHeight="1">
      <c r="A460" s="23">
        <v>458</v>
      </c>
      <c r="B460" s="23" t="s">
        <v>704</v>
      </c>
      <c r="C460" s="23">
        <v>3</v>
      </c>
      <c r="D460" s="25">
        <v>12.5</v>
      </c>
      <c r="E460" s="25">
        <v>10.8</v>
      </c>
      <c r="F460" s="25" t="s">
        <v>89</v>
      </c>
      <c r="G460" s="111" t="s">
        <v>104</v>
      </c>
      <c r="H460" s="128"/>
      <c r="I460" s="127"/>
      <c r="J460" s="128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 spans="1:29" ht="14.25" customHeight="1">
      <c r="A461" s="23">
        <v>459</v>
      </c>
      <c r="B461" s="23" t="s">
        <v>705</v>
      </c>
      <c r="C461" s="23">
        <v>1</v>
      </c>
      <c r="D461" s="25">
        <v>16.2</v>
      </c>
      <c r="E461" s="25">
        <v>10.8</v>
      </c>
      <c r="F461" s="25" t="s">
        <v>79</v>
      </c>
      <c r="G461" s="111" t="s">
        <v>104</v>
      </c>
      <c r="H461" s="128"/>
      <c r="I461" s="127"/>
      <c r="J461" s="128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 spans="1:29" ht="14.25" customHeight="1">
      <c r="A462" s="23">
        <v>460</v>
      </c>
      <c r="B462" s="23" t="s">
        <v>705</v>
      </c>
      <c r="C462" s="23">
        <v>2</v>
      </c>
      <c r="D462" s="25">
        <v>16.600000000000001</v>
      </c>
      <c r="E462" s="25" t="s">
        <v>61</v>
      </c>
      <c r="F462" s="25" t="s">
        <v>79</v>
      </c>
      <c r="G462" s="111" t="s">
        <v>104</v>
      </c>
      <c r="H462" s="128"/>
      <c r="I462" s="127"/>
      <c r="J462" s="128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 spans="1:29" ht="14.25" customHeight="1">
      <c r="A463" s="23">
        <v>461</v>
      </c>
      <c r="B463" s="23" t="s">
        <v>705</v>
      </c>
      <c r="C463" s="23">
        <v>3</v>
      </c>
      <c r="D463" s="25">
        <v>12.7</v>
      </c>
      <c r="E463" s="25">
        <v>10.8</v>
      </c>
      <c r="F463" s="25" t="s">
        <v>12</v>
      </c>
      <c r="G463" s="74"/>
      <c r="H463" s="128"/>
      <c r="I463" s="127"/>
      <c r="J463" s="128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 spans="1:29" ht="14.25" customHeight="1">
      <c r="A464" s="23">
        <v>462</v>
      </c>
      <c r="B464" s="23" t="s">
        <v>706</v>
      </c>
      <c r="C464" s="23">
        <v>1</v>
      </c>
      <c r="D464" s="25">
        <v>15</v>
      </c>
      <c r="E464" s="25">
        <v>10.7</v>
      </c>
      <c r="F464" s="25" t="s">
        <v>79</v>
      </c>
      <c r="G464" s="111" t="s">
        <v>104</v>
      </c>
      <c r="H464" s="128"/>
      <c r="I464" s="127"/>
      <c r="J464" s="128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 spans="1:29" ht="14.25" customHeight="1">
      <c r="A465" s="23">
        <v>463</v>
      </c>
      <c r="B465" s="23" t="s">
        <v>706</v>
      </c>
      <c r="C465" s="23">
        <v>2</v>
      </c>
      <c r="D465" s="25">
        <v>15</v>
      </c>
      <c r="E465" s="25" t="s">
        <v>61</v>
      </c>
      <c r="F465" s="25" t="s">
        <v>79</v>
      </c>
      <c r="G465" s="111" t="s">
        <v>104</v>
      </c>
      <c r="H465" s="128"/>
      <c r="I465" s="127"/>
      <c r="J465" s="128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 spans="1:29" ht="14.25" customHeight="1">
      <c r="A466" s="23">
        <v>464</v>
      </c>
      <c r="B466" s="23" t="s">
        <v>706</v>
      </c>
      <c r="C466" s="23">
        <v>3</v>
      </c>
      <c r="D466" s="25">
        <v>13.2</v>
      </c>
      <c r="E466" s="25">
        <v>10.5</v>
      </c>
      <c r="F466" s="25" t="s">
        <v>12</v>
      </c>
      <c r="G466" s="74"/>
      <c r="H466" s="128"/>
      <c r="I466" s="127"/>
      <c r="J466" s="128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 spans="1:29" ht="14.25" customHeight="1">
      <c r="A467" s="23">
        <v>465</v>
      </c>
      <c r="B467" s="23" t="s">
        <v>707</v>
      </c>
      <c r="C467" s="23">
        <v>1</v>
      </c>
      <c r="D467" s="25">
        <v>17.7</v>
      </c>
      <c r="E467" s="25">
        <v>10.7</v>
      </c>
      <c r="F467" s="25" t="s">
        <v>62</v>
      </c>
      <c r="G467" s="111"/>
      <c r="H467" s="128"/>
      <c r="I467" s="127"/>
      <c r="J467" s="128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 spans="1:29" ht="14.25" customHeight="1">
      <c r="A468" s="23">
        <v>466</v>
      </c>
      <c r="B468" s="23" t="s">
        <v>707</v>
      </c>
      <c r="C468" s="23">
        <v>2</v>
      </c>
      <c r="D468" s="25">
        <v>16.600000000000001</v>
      </c>
      <c r="E468" s="25" t="s">
        <v>61</v>
      </c>
      <c r="F468" s="25" t="s">
        <v>62</v>
      </c>
      <c r="G468" s="111"/>
      <c r="H468" s="128"/>
      <c r="I468" s="127"/>
      <c r="J468" s="128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 spans="1:29" ht="14.25" customHeight="1">
      <c r="A469" s="23">
        <v>467</v>
      </c>
      <c r="B469" s="23" t="s">
        <v>707</v>
      </c>
      <c r="C469" s="23">
        <v>3</v>
      </c>
      <c r="D469" s="25">
        <v>12.8</v>
      </c>
      <c r="E469" s="25">
        <v>11</v>
      </c>
      <c r="F469" s="25" t="s">
        <v>112</v>
      </c>
      <c r="G469" s="111" t="s">
        <v>104</v>
      </c>
      <c r="H469" s="128"/>
      <c r="I469" s="127"/>
      <c r="J469" s="128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 spans="1:29" ht="14.25" customHeight="1">
      <c r="A470" s="23">
        <v>468</v>
      </c>
      <c r="B470" s="23" t="s">
        <v>708</v>
      </c>
      <c r="C470" s="23">
        <v>1</v>
      </c>
      <c r="D470" s="25">
        <v>15.4</v>
      </c>
      <c r="E470" s="25">
        <v>10.8</v>
      </c>
      <c r="F470" s="25" t="s">
        <v>124</v>
      </c>
      <c r="G470" s="26" t="s">
        <v>104</v>
      </c>
      <c r="H470" s="128"/>
      <c r="I470" s="127"/>
      <c r="J470" s="128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 spans="1:29" ht="14.25" customHeight="1">
      <c r="A471" s="23">
        <v>469</v>
      </c>
      <c r="B471" s="23" t="s">
        <v>708</v>
      </c>
      <c r="C471" s="23">
        <v>2</v>
      </c>
      <c r="D471" s="25">
        <v>13.9</v>
      </c>
      <c r="E471" s="25" t="s">
        <v>61</v>
      </c>
      <c r="F471" s="25" t="s">
        <v>55</v>
      </c>
      <c r="G471" s="111" t="s">
        <v>104</v>
      </c>
      <c r="H471" s="128"/>
      <c r="I471" s="127"/>
      <c r="J471" s="128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 spans="1:29" ht="14.25" customHeight="1">
      <c r="A472" s="23">
        <v>470</v>
      </c>
      <c r="B472" s="23" t="s">
        <v>708</v>
      </c>
      <c r="C472" s="23">
        <v>3</v>
      </c>
      <c r="D472" s="25">
        <v>13.7</v>
      </c>
      <c r="E472" s="25">
        <v>10.5</v>
      </c>
      <c r="F472" s="25" t="s">
        <v>79</v>
      </c>
      <c r="G472" s="111" t="s">
        <v>104</v>
      </c>
      <c r="H472" s="128"/>
      <c r="I472" s="127"/>
      <c r="J472" s="128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 spans="1:29" ht="14.25" customHeight="1">
      <c r="A473" s="23">
        <v>471</v>
      </c>
      <c r="B473" s="23" t="s">
        <v>709</v>
      </c>
      <c r="C473" s="23">
        <v>1</v>
      </c>
      <c r="D473" s="25">
        <v>17.399999999999999</v>
      </c>
      <c r="E473" s="25">
        <v>11</v>
      </c>
      <c r="F473" s="25" t="s">
        <v>150</v>
      </c>
      <c r="G473" s="111" t="s">
        <v>178</v>
      </c>
      <c r="H473" s="128"/>
      <c r="I473" s="127"/>
      <c r="J473" s="128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 spans="1:29" ht="14.25" customHeight="1">
      <c r="A474" s="23">
        <v>472</v>
      </c>
      <c r="B474" s="23" t="s">
        <v>709</v>
      </c>
      <c r="C474" s="23">
        <v>2</v>
      </c>
      <c r="D474" s="25">
        <v>14.5</v>
      </c>
      <c r="E474" s="25" t="s">
        <v>61</v>
      </c>
      <c r="F474" s="25" t="s">
        <v>12</v>
      </c>
      <c r="G474" s="74"/>
      <c r="H474" s="128"/>
      <c r="I474" s="127"/>
      <c r="J474" s="128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 spans="1:29" ht="14.25" customHeight="1">
      <c r="A475" s="23">
        <v>473</v>
      </c>
      <c r="B475" s="23" t="s">
        <v>709</v>
      </c>
      <c r="C475" s="23">
        <v>3</v>
      </c>
      <c r="D475" s="25">
        <v>12.4</v>
      </c>
      <c r="E475" s="25">
        <v>10.6</v>
      </c>
      <c r="F475" s="25" t="s">
        <v>124</v>
      </c>
      <c r="G475" s="26" t="s">
        <v>104</v>
      </c>
      <c r="H475" s="128"/>
      <c r="I475" s="127"/>
      <c r="J475" s="128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 spans="1:29" ht="14.25" customHeight="1">
      <c r="A476" s="23">
        <v>474</v>
      </c>
      <c r="B476" s="23" t="s">
        <v>710</v>
      </c>
      <c r="C476" s="23">
        <v>1</v>
      </c>
      <c r="D476" s="25">
        <v>17.899999999999999</v>
      </c>
      <c r="E476" s="25">
        <v>10.4</v>
      </c>
      <c r="F476" s="25" t="s">
        <v>89</v>
      </c>
      <c r="G476" s="111" t="s">
        <v>104</v>
      </c>
      <c r="H476" s="128"/>
      <c r="I476" s="127"/>
      <c r="J476" s="128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spans="1:29" ht="14.25" customHeight="1">
      <c r="A477" s="23">
        <v>475</v>
      </c>
      <c r="B477" s="23" t="s">
        <v>710</v>
      </c>
      <c r="C477" s="23">
        <v>2</v>
      </c>
      <c r="D477" s="25">
        <v>17</v>
      </c>
      <c r="E477" s="25" t="s">
        <v>61</v>
      </c>
      <c r="F477" s="25" t="s">
        <v>47</v>
      </c>
      <c r="G477" s="111" t="s">
        <v>104</v>
      </c>
      <c r="H477" s="128"/>
      <c r="I477" s="127"/>
      <c r="J477" s="128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 spans="1:29" ht="14.25" customHeight="1">
      <c r="A478" s="23">
        <v>476</v>
      </c>
      <c r="B478" s="23" t="s">
        <v>710</v>
      </c>
      <c r="C478" s="23">
        <v>3</v>
      </c>
      <c r="D478" s="25">
        <v>13.3</v>
      </c>
      <c r="E478" s="25">
        <v>10.4</v>
      </c>
      <c r="F478" s="23" t="s">
        <v>47</v>
      </c>
      <c r="G478" s="111" t="s">
        <v>104</v>
      </c>
      <c r="H478" s="128"/>
      <c r="I478" s="127"/>
      <c r="J478" s="128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 spans="1:29" ht="14.25" customHeight="1">
      <c r="A479" s="23">
        <v>477</v>
      </c>
      <c r="B479" s="23" t="s">
        <v>711</v>
      </c>
      <c r="C479" s="23">
        <v>1</v>
      </c>
      <c r="D479" s="25">
        <v>12.9</v>
      </c>
      <c r="E479" s="25">
        <v>11.1</v>
      </c>
      <c r="F479" s="23" t="s">
        <v>12</v>
      </c>
      <c r="G479" s="74"/>
      <c r="H479" s="128"/>
      <c r="I479" s="127"/>
      <c r="J479" s="128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 spans="1:29" ht="14.25" customHeight="1">
      <c r="A480" s="23">
        <v>478</v>
      </c>
      <c r="B480" s="23" t="s">
        <v>711</v>
      </c>
      <c r="C480" s="23">
        <v>2</v>
      </c>
      <c r="D480" s="25">
        <v>17.2</v>
      </c>
      <c r="E480" s="25" t="s">
        <v>61</v>
      </c>
      <c r="F480" s="23" t="s">
        <v>69</v>
      </c>
      <c r="G480" s="41" t="s">
        <v>104</v>
      </c>
      <c r="H480" s="128"/>
      <c r="I480" s="127"/>
      <c r="J480" s="128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 spans="1:29" ht="14.25" customHeight="1">
      <c r="A481" s="23">
        <v>479</v>
      </c>
      <c r="B481" s="23" t="s">
        <v>711</v>
      </c>
      <c r="C481" s="23">
        <v>3</v>
      </c>
      <c r="D481" s="25">
        <v>16.8</v>
      </c>
      <c r="E481" s="25">
        <v>11</v>
      </c>
      <c r="F481" s="23" t="s">
        <v>69</v>
      </c>
      <c r="G481" s="41" t="s">
        <v>104</v>
      </c>
      <c r="H481" s="128"/>
      <c r="I481" s="127"/>
      <c r="J481" s="128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 spans="1:29" ht="14.25" customHeight="1">
      <c r="A482" s="23">
        <v>480</v>
      </c>
      <c r="B482" s="23" t="s">
        <v>712</v>
      </c>
      <c r="C482" s="23">
        <v>1</v>
      </c>
      <c r="D482" s="25">
        <v>15.7</v>
      </c>
      <c r="E482" s="25">
        <v>11.2</v>
      </c>
      <c r="F482" s="23" t="s">
        <v>55</v>
      </c>
      <c r="G482" s="111" t="s">
        <v>104</v>
      </c>
      <c r="H482" s="128"/>
      <c r="I482" s="127"/>
      <c r="J482" s="128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spans="1:29" ht="14.25" customHeight="1">
      <c r="A483" s="23">
        <v>481</v>
      </c>
      <c r="B483" s="23" t="s">
        <v>712</v>
      </c>
      <c r="C483" s="23">
        <v>2</v>
      </c>
      <c r="D483" s="25">
        <v>14.7</v>
      </c>
      <c r="E483" s="25" t="s">
        <v>61</v>
      </c>
      <c r="F483" s="23" t="s">
        <v>124</v>
      </c>
      <c r="G483" s="26" t="s">
        <v>104</v>
      </c>
      <c r="H483" s="128"/>
      <c r="I483" s="127"/>
      <c r="J483" s="128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 spans="1:29" ht="14.25" customHeight="1">
      <c r="A484" s="23">
        <v>482</v>
      </c>
      <c r="B484" s="23" t="s">
        <v>712</v>
      </c>
      <c r="C484" s="23">
        <v>3</v>
      </c>
      <c r="D484" s="25">
        <v>13.8</v>
      </c>
      <c r="E484" s="25">
        <v>11.2</v>
      </c>
      <c r="F484" s="23" t="s">
        <v>118</v>
      </c>
      <c r="G484" s="147" t="s">
        <v>54</v>
      </c>
      <c r="H484" s="128"/>
      <c r="I484" s="127"/>
      <c r="J484" s="128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 spans="1:29" ht="14.25" customHeight="1">
      <c r="A485" s="23">
        <v>483</v>
      </c>
      <c r="B485" s="23" t="s">
        <v>713</v>
      </c>
      <c r="C485" s="23">
        <v>1</v>
      </c>
      <c r="D485" s="25">
        <v>18</v>
      </c>
      <c r="E485" s="25">
        <v>11.6</v>
      </c>
      <c r="F485" s="23" t="s">
        <v>77</v>
      </c>
      <c r="G485" s="147" t="s">
        <v>54</v>
      </c>
      <c r="H485" s="128"/>
      <c r="I485" s="127"/>
      <c r="J485" s="128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spans="1:29" ht="14.25" customHeight="1">
      <c r="A486" s="23">
        <v>484</v>
      </c>
      <c r="B486" s="23" t="s">
        <v>713</v>
      </c>
      <c r="C486" s="23">
        <v>2</v>
      </c>
      <c r="D486" s="25">
        <v>16.2</v>
      </c>
      <c r="E486" s="25" t="s">
        <v>61</v>
      </c>
      <c r="F486" s="23" t="s">
        <v>77</v>
      </c>
      <c r="G486" s="147" t="s">
        <v>54</v>
      </c>
      <c r="H486" s="128"/>
      <c r="I486" s="127"/>
      <c r="J486" s="128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 spans="1:29" ht="14.25" customHeight="1">
      <c r="A487" s="23">
        <v>485</v>
      </c>
      <c r="B487" s="23" t="s">
        <v>713</v>
      </c>
      <c r="C487" s="23">
        <v>3</v>
      </c>
      <c r="D487" s="25">
        <v>12.9</v>
      </c>
      <c r="E487" s="25">
        <v>10.8</v>
      </c>
      <c r="F487" s="23" t="s">
        <v>118</v>
      </c>
      <c r="G487" s="147" t="s">
        <v>54</v>
      </c>
      <c r="H487" s="128"/>
      <c r="I487" s="127"/>
      <c r="J487" s="128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 spans="1:29" ht="14.25" customHeight="1">
      <c r="A488" s="23">
        <v>486</v>
      </c>
      <c r="B488" s="23" t="s">
        <v>714</v>
      </c>
      <c r="C488" s="23">
        <v>1</v>
      </c>
      <c r="D488" s="25">
        <v>15</v>
      </c>
      <c r="E488" s="25">
        <v>10.5</v>
      </c>
      <c r="F488" s="23" t="s">
        <v>89</v>
      </c>
      <c r="G488" s="111" t="s">
        <v>104</v>
      </c>
      <c r="H488" s="128"/>
      <c r="I488" s="127"/>
      <c r="J488" s="128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 spans="1:29" ht="14.25" customHeight="1">
      <c r="A489" s="23">
        <v>487</v>
      </c>
      <c r="B489" s="23" t="s">
        <v>714</v>
      </c>
      <c r="C489" s="23">
        <v>2</v>
      </c>
      <c r="D489" s="25">
        <v>16.899999999999999</v>
      </c>
      <c r="E489" s="25">
        <v>11.3</v>
      </c>
      <c r="F489" s="23" t="s">
        <v>118</v>
      </c>
      <c r="G489" s="147" t="s">
        <v>54</v>
      </c>
      <c r="H489" s="128"/>
      <c r="I489" s="127"/>
      <c r="J489" s="128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spans="1:29" ht="14.25" customHeight="1">
      <c r="A490" s="23">
        <v>488</v>
      </c>
      <c r="B490" s="23" t="s">
        <v>714</v>
      </c>
      <c r="C490" s="23">
        <v>3</v>
      </c>
      <c r="D490" s="25">
        <v>12.7</v>
      </c>
      <c r="E490" s="25">
        <v>11.2</v>
      </c>
      <c r="F490" s="23" t="s">
        <v>89</v>
      </c>
      <c r="G490" s="111" t="s">
        <v>104</v>
      </c>
      <c r="H490" s="128"/>
      <c r="I490" s="127"/>
      <c r="J490" s="128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 spans="1:29" ht="14.25" customHeight="1">
      <c r="A491" s="23">
        <v>489</v>
      </c>
      <c r="B491" s="23" t="s">
        <v>715</v>
      </c>
      <c r="C491" s="23">
        <v>1</v>
      </c>
      <c r="D491" s="25">
        <v>16.399999999999999</v>
      </c>
      <c r="E491" s="25">
        <v>10.8</v>
      </c>
      <c r="F491" s="23" t="s">
        <v>112</v>
      </c>
      <c r="G491" s="111" t="s">
        <v>104</v>
      </c>
      <c r="H491" s="128"/>
      <c r="I491" s="127"/>
      <c r="J491" s="128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 spans="1:29" ht="14.25" customHeight="1">
      <c r="A492" s="23">
        <v>490</v>
      </c>
      <c r="B492" s="23" t="s">
        <v>715</v>
      </c>
      <c r="C492" s="23">
        <v>2</v>
      </c>
      <c r="D492" s="25">
        <v>16.899999999999999</v>
      </c>
      <c r="E492" s="25" t="s">
        <v>61</v>
      </c>
      <c r="F492" s="23" t="s">
        <v>55</v>
      </c>
      <c r="G492" s="111" t="s">
        <v>104</v>
      </c>
      <c r="H492" s="128"/>
      <c r="I492" s="127"/>
      <c r="J492" s="128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 spans="1:29" ht="14.25" customHeight="1">
      <c r="A493" s="23">
        <v>491</v>
      </c>
      <c r="B493" s="23" t="s">
        <v>715</v>
      </c>
      <c r="C493" s="23">
        <v>3</v>
      </c>
      <c r="D493" s="25">
        <v>13.3</v>
      </c>
      <c r="E493" s="25">
        <v>10.7</v>
      </c>
      <c r="F493" s="23" t="s">
        <v>55</v>
      </c>
      <c r="G493" s="111" t="s">
        <v>104</v>
      </c>
      <c r="H493" s="128"/>
      <c r="I493" s="127"/>
      <c r="J493" s="128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 spans="1:29" ht="14.25" customHeight="1">
      <c r="A494" s="23">
        <v>492</v>
      </c>
      <c r="B494" s="23" t="s">
        <v>716</v>
      </c>
      <c r="C494" s="23">
        <v>1</v>
      </c>
      <c r="D494" s="25">
        <v>16.600000000000001</v>
      </c>
      <c r="E494" s="25">
        <v>10.9</v>
      </c>
      <c r="F494" s="23" t="s">
        <v>118</v>
      </c>
      <c r="G494" s="147" t="s">
        <v>54</v>
      </c>
      <c r="H494" s="128"/>
      <c r="I494" s="127"/>
      <c r="J494" s="128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 spans="1:29" ht="14.25" customHeight="1">
      <c r="A495" s="23">
        <v>493</v>
      </c>
      <c r="B495" s="23" t="s">
        <v>716</v>
      </c>
      <c r="C495" s="23">
        <v>2</v>
      </c>
      <c r="D495" s="25">
        <v>16.7</v>
      </c>
      <c r="E495" s="25" t="s">
        <v>61</v>
      </c>
      <c r="F495" s="23" t="s">
        <v>118</v>
      </c>
      <c r="G495" s="147" t="s">
        <v>54</v>
      </c>
      <c r="H495" s="128"/>
      <c r="I495" s="127"/>
      <c r="J495" s="128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 spans="1:29" ht="14.25" customHeight="1">
      <c r="A496" s="23">
        <v>494</v>
      </c>
      <c r="B496" s="23" t="s">
        <v>716</v>
      </c>
      <c r="C496" s="23">
        <v>3</v>
      </c>
      <c r="D496" s="25">
        <v>12.8</v>
      </c>
      <c r="E496" s="25">
        <v>10.8</v>
      </c>
      <c r="F496" s="23" t="s">
        <v>118</v>
      </c>
      <c r="G496" s="147" t="s">
        <v>54</v>
      </c>
      <c r="H496" s="128"/>
      <c r="I496" s="127"/>
      <c r="J496" s="128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 spans="1:29" ht="14.25" customHeight="1">
      <c r="A497" s="23">
        <v>495</v>
      </c>
      <c r="B497" s="23" t="s">
        <v>717</v>
      </c>
      <c r="C497" s="23">
        <v>1</v>
      </c>
      <c r="D497" s="25">
        <v>16.8</v>
      </c>
      <c r="E497" s="25">
        <v>11.3</v>
      </c>
      <c r="F497" s="23" t="s">
        <v>47</v>
      </c>
      <c r="G497" s="111" t="s">
        <v>104</v>
      </c>
      <c r="H497" s="128"/>
      <c r="I497" s="127"/>
      <c r="J497" s="128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 spans="1:29" ht="14.25" customHeight="1">
      <c r="A498" s="23">
        <v>496</v>
      </c>
      <c r="B498" s="23" t="s">
        <v>717</v>
      </c>
      <c r="C498" s="23">
        <v>2</v>
      </c>
      <c r="D498" s="25">
        <v>16.399999999999999</v>
      </c>
      <c r="E498" s="25" t="s">
        <v>61</v>
      </c>
      <c r="F498" s="23" t="s">
        <v>55</v>
      </c>
      <c r="G498" s="111" t="s">
        <v>104</v>
      </c>
      <c r="H498" s="128"/>
      <c r="I498" s="127"/>
      <c r="J498" s="128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 spans="1:29" ht="14.25" customHeight="1">
      <c r="A499" s="23">
        <v>497</v>
      </c>
      <c r="B499" s="23" t="s">
        <v>717</v>
      </c>
      <c r="C499" s="23">
        <v>3</v>
      </c>
      <c r="D499" s="25">
        <v>13.1</v>
      </c>
      <c r="E499" s="25">
        <v>11</v>
      </c>
      <c r="F499" s="23" t="s">
        <v>112</v>
      </c>
      <c r="G499" s="111" t="s">
        <v>104</v>
      </c>
      <c r="H499" s="128"/>
      <c r="I499" s="127"/>
      <c r="J499" s="128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 spans="1:29" ht="14.25" customHeight="1">
      <c r="A500" s="23">
        <v>498</v>
      </c>
      <c r="B500" s="23" t="s">
        <v>718</v>
      </c>
      <c r="C500" s="23">
        <v>1</v>
      </c>
      <c r="D500" s="25">
        <v>17.7</v>
      </c>
      <c r="E500" s="25">
        <v>10.199999999999999</v>
      </c>
      <c r="F500" s="23" t="s">
        <v>118</v>
      </c>
      <c r="G500" s="147" t="s">
        <v>54</v>
      </c>
      <c r="H500" s="128"/>
      <c r="I500" s="127"/>
      <c r="J500" s="128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 spans="1:29" ht="14.25" customHeight="1">
      <c r="A501" s="23">
        <v>499</v>
      </c>
      <c r="B501" s="23" t="s">
        <v>718</v>
      </c>
      <c r="C501" s="23">
        <v>2</v>
      </c>
      <c r="D501" s="25">
        <v>17.5</v>
      </c>
      <c r="E501" s="25" t="s">
        <v>61</v>
      </c>
      <c r="F501" s="23" t="s">
        <v>118</v>
      </c>
      <c r="G501" s="147" t="s">
        <v>54</v>
      </c>
      <c r="H501" s="128"/>
      <c r="I501" s="127"/>
      <c r="J501" s="128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 spans="1:29" ht="14.25" customHeight="1">
      <c r="A502" s="23">
        <v>500</v>
      </c>
      <c r="B502" s="23" t="s">
        <v>718</v>
      </c>
      <c r="C502" s="23">
        <v>3</v>
      </c>
      <c r="D502" s="25">
        <v>11.9</v>
      </c>
      <c r="E502" s="25">
        <v>10.4</v>
      </c>
      <c r="F502" s="23" t="s">
        <v>79</v>
      </c>
      <c r="G502" s="111" t="s">
        <v>104</v>
      </c>
      <c r="H502" s="128"/>
      <c r="I502" s="127"/>
      <c r="J502" s="128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 spans="1:29" ht="14.25" customHeight="1">
      <c r="A503" s="23">
        <v>501</v>
      </c>
      <c r="B503" s="23" t="s">
        <v>719</v>
      </c>
      <c r="C503" s="23">
        <v>1</v>
      </c>
      <c r="D503" s="25">
        <v>16.899999999999999</v>
      </c>
      <c r="E503" s="25">
        <v>11.1</v>
      </c>
      <c r="F503" s="23" t="s">
        <v>79</v>
      </c>
      <c r="G503" s="111" t="s">
        <v>104</v>
      </c>
      <c r="H503" s="128"/>
      <c r="I503" s="127"/>
      <c r="J503" s="128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spans="1:29" ht="14.25" customHeight="1">
      <c r="A504" s="23">
        <v>502</v>
      </c>
      <c r="B504" s="23" t="s">
        <v>719</v>
      </c>
      <c r="C504" s="23">
        <v>2</v>
      </c>
      <c r="D504" s="25">
        <v>15.9</v>
      </c>
      <c r="E504" s="25" t="s">
        <v>61</v>
      </c>
      <c r="F504" s="23" t="s">
        <v>79</v>
      </c>
      <c r="G504" s="111" t="s">
        <v>104</v>
      </c>
      <c r="H504" s="128"/>
      <c r="I504" s="127"/>
      <c r="J504" s="128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 spans="1:29" ht="14.25" customHeight="1">
      <c r="A505" s="23">
        <v>503</v>
      </c>
      <c r="B505" s="23" t="s">
        <v>719</v>
      </c>
      <c r="C505" s="23">
        <v>3</v>
      </c>
      <c r="D505" s="25">
        <v>13.9</v>
      </c>
      <c r="E505" s="25">
        <v>11</v>
      </c>
      <c r="F505" s="23" t="s">
        <v>79</v>
      </c>
      <c r="G505" s="111" t="s">
        <v>104</v>
      </c>
      <c r="H505" s="128"/>
      <c r="I505" s="127"/>
      <c r="J505" s="128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 spans="1:29" ht="14.25" customHeight="1">
      <c r="A506" s="23">
        <v>504</v>
      </c>
      <c r="B506" s="23" t="s">
        <v>720</v>
      </c>
      <c r="C506" s="23">
        <v>1</v>
      </c>
      <c r="D506" s="25">
        <v>16.5</v>
      </c>
      <c r="E506" s="25">
        <v>10.6</v>
      </c>
      <c r="F506" s="23" t="s">
        <v>77</v>
      </c>
      <c r="G506" s="147" t="s">
        <v>54</v>
      </c>
      <c r="H506" s="128"/>
      <c r="I506" s="127"/>
      <c r="J506" s="128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 spans="1:29" ht="14.25" customHeight="1">
      <c r="A507" s="23">
        <v>505</v>
      </c>
      <c r="B507" s="23" t="s">
        <v>720</v>
      </c>
      <c r="C507" s="23">
        <v>2</v>
      </c>
      <c r="D507" s="25">
        <v>17</v>
      </c>
      <c r="E507" s="25" t="s">
        <v>61</v>
      </c>
      <c r="F507" s="23" t="s">
        <v>77</v>
      </c>
      <c r="G507" s="147" t="s">
        <v>54</v>
      </c>
      <c r="H507" s="128"/>
      <c r="I507" s="127"/>
      <c r="J507" s="128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 spans="1:29" ht="14.25" customHeight="1">
      <c r="A508" s="23">
        <v>506</v>
      </c>
      <c r="B508" s="23" t="s">
        <v>720</v>
      </c>
      <c r="C508" s="23">
        <v>3</v>
      </c>
      <c r="D508" s="25">
        <v>12.4</v>
      </c>
      <c r="E508" s="25">
        <v>10.8</v>
      </c>
      <c r="F508" s="23" t="s">
        <v>79</v>
      </c>
      <c r="G508" s="111" t="s">
        <v>104</v>
      </c>
      <c r="H508" s="128"/>
      <c r="I508" s="127"/>
      <c r="J508" s="128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 spans="1:29" ht="14.25" customHeight="1">
      <c r="A509" s="23">
        <v>507</v>
      </c>
      <c r="B509" s="23" t="s">
        <v>721</v>
      </c>
      <c r="C509" s="23">
        <v>1</v>
      </c>
      <c r="D509" s="25">
        <v>16.100000000000001</v>
      </c>
      <c r="E509" s="25">
        <v>10.6</v>
      </c>
      <c r="F509" s="23" t="s">
        <v>36</v>
      </c>
      <c r="G509" s="111" t="s">
        <v>104</v>
      </c>
      <c r="H509" s="128"/>
      <c r="I509" s="127"/>
      <c r="J509" s="128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 spans="1:29" ht="14.25" customHeight="1">
      <c r="A510" s="23">
        <v>508</v>
      </c>
      <c r="B510" s="23" t="s">
        <v>721</v>
      </c>
      <c r="C510" s="23">
        <v>2</v>
      </c>
      <c r="D510" s="25">
        <v>16.399999999999999</v>
      </c>
      <c r="E510" s="25" t="s">
        <v>61</v>
      </c>
      <c r="F510" s="23" t="s">
        <v>36</v>
      </c>
      <c r="G510" s="111" t="s">
        <v>104</v>
      </c>
      <c r="H510" s="128"/>
      <c r="I510" s="127"/>
      <c r="J510" s="128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 spans="1:29" ht="14.25" customHeight="1">
      <c r="A511" s="23">
        <v>509</v>
      </c>
      <c r="B511" s="23" t="s">
        <v>721</v>
      </c>
      <c r="C511" s="23">
        <v>3</v>
      </c>
      <c r="D511" s="25">
        <v>12.4</v>
      </c>
      <c r="E511" s="25">
        <v>10.7</v>
      </c>
      <c r="F511" s="23" t="s">
        <v>55</v>
      </c>
      <c r="G511" s="111" t="s">
        <v>104</v>
      </c>
      <c r="H511" s="128"/>
      <c r="I511" s="127"/>
      <c r="J511" s="128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 spans="1:29" ht="14.25" customHeight="1">
      <c r="A512" s="23">
        <v>510</v>
      </c>
      <c r="B512" s="23" t="s">
        <v>722</v>
      </c>
      <c r="C512" s="23">
        <v>1</v>
      </c>
      <c r="D512" s="25">
        <v>16.899999999999999</v>
      </c>
      <c r="E512" s="25">
        <v>11.3</v>
      </c>
      <c r="F512" s="23" t="s">
        <v>12</v>
      </c>
      <c r="G512" s="74"/>
      <c r="H512" s="128"/>
      <c r="I512" s="127"/>
      <c r="J512" s="128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 spans="1:29" ht="14.25" customHeight="1">
      <c r="A513" s="23">
        <v>511</v>
      </c>
      <c r="B513" s="23" t="s">
        <v>722</v>
      </c>
      <c r="C513" s="23">
        <v>2</v>
      </c>
      <c r="D513" s="25">
        <v>16.399999999999999</v>
      </c>
      <c r="E513" s="25" t="s">
        <v>61</v>
      </c>
      <c r="F513" s="23" t="s">
        <v>112</v>
      </c>
      <c r="G513" s="111" t="s">
        <v>104</v>
      </c>
      <c r="H513" s="128"/>
      <c r="I513" s="127"/>
      <c r="J513" s="128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 spans="1:29" ht="14.25" customHeight="1">
      <c r="A514" s="23">
        <v>512</v>
      </c>
      <c r="B514" s="23" t="s">
        <v>722</v>
      </c>
      <c r="C514" s="23">
        <v>3</v>
      </c>
      <c r="D514" s="25">
        <v>13.2</v>
      </c>
      <c r="E514" s="25">
        <v>11.1</v>
      </c>
      <c r="F514" s="23" t="s">
        <v>112</v>
      </c>
      <c r="G514" s="111" t="s">
        <v>104</v>
      </c>
      <c r="H514" s="128"/>
      <c r="I514" s="127"/>
      <c r="J514" s="128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 spans="1:29" ht="14.25" customHeight="1">
      <c r="A515" s="23">
        <v>513</v>
      </c>
      <c r="B515" s="23" t="s">
        <v>723</v>
      </c>
      <c r="C515" s="23">
        <v>1</v>
      </c>
      <c r="D515" s="25">
        <v>17</v>
      </c>
      <c r="E515" s="25">
        <v>10.9</v>
      </c>
      <c r="F515" s="23" t="s">
        <v>150</v>
      </c>
      <c r="G515" s="111" t="s">
        <v>178</v>
      </c>
      <c r="H515" s="128"/>
      <c r="I515" s="127"/>
      <c r="J515" s="128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 spans="1:29" ht="14.25" customHeight="1">
      <c r="A516" s="23">
        <v>514</v>
      </c>
      <c r="B516" s="23" t="s">
        <v>723</v>
      </c>
      <c r="C516" s="23">
        <v>2</v>
      </c>
      <c r="D516" s="25">
        <v>16.8</v>
      </c>
      <c r="E516" s="25" t="s">
        <v>61</v>
      </c>
      <c r="F516" s="23" t="s">
        <v>150</v>
      </c>
      <c r="G516" s="111" t="s">
        <v>178</v>
      </c>
      <c r="H516" s="128"/>
      <c r="I516" s="127"/>
      <c r="J516" s="128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 spans="1:29" ht="14.25" customHeight="1">
      <c r="A517" s="23">
        <v>515</v>
      </c>
      <c r="B517" s="23" t="s">
        <v>723</v>
      </c>
      <c r="C517" s="23">
        <v>3</v>
      </c>
      <c r="D517" s="25">
        <v>13.4</v>
      </c>
      <c r="E517" s="25">
        <v>10.8</v>
      </c>
      <c r="F517" s="23" t="s">
        <v>150</v>
      </c>
      <c r="G517" s="111" t="s">
        <v>178</v>
      </c>
      <c r="H517" s="128"/>
      <c r="I517" s="127"/>
      <c r="J517" s="128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 spans="1:29" ht="14.25" customHeight="1">
      <c r="A518" s="23">
        <v>516</v>
      </c>
      <c r="B518" s="23" t="s">
        <v>724</v>
      </c>
      <c r="C518" s="23">
        <v>1</v>
      </c>
      <c r="D518" s="25">
        <v>17</v>
      </c>
      <c r="E518" s="25">
        <v>11</v>
      </c>
      <c r="F518" s="23" t="s">
        <v>55</v>
      </c>
      <c r="G518" s="111" t="s">
        <v>104</v>
      </c>
      <c r="H518" s="128"/>
      <c r="I518" s="127"/>
      <c r="J518" s="128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 spans="1:29" ht="14.25" customHeight="1">
      <c r="A519" s="23">
        <v>517</v>
      </c>
      <c r="B519" s="23" t="s">
        <v>724</v>
      </c>
      <c r="C519" s="23">
        <v>2</v>
      </c>
      <c r="D519" s="25">
        <v>17</v>
      </c>
      <c r="E519" s="25" t="s">
        <v>61</v>
      </c>
      <c r="F519" s="23" t="s">
        <v>55</v>
      </c>
      <c r="G519" s="111" t="s">
        <v>104</v>
      </c>
      <c r="H519" s="128"/>
      <c r="I519" s="127"/>
      <c r="J519" s="128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 spans="1:29" ht="14.25" customHeight="1">
      <c r="A520" s="23">
        <v>518</v>
      </c>
      <c r="B520" s="23" t="s">
        <v>724</v>
      </c>
      <c r="C520" s="23">
        <v>3</v>
      </c>
      <c r="D520" s="25">
        <v>12.6</v>
      </c>
      <c r="E520" s="25">
        <v>10</v>
      </c>
      <c r="F520" s="23" t="s">
        <v>62</v>
      </c>
      <c r="G520" s="147" t="s">
        <v>54</v>
      </c>
      <c r="H520" s="128"/>
      <c r="I520" s="127"/>
      <c r="J520" s="128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 spans="1:29" ht="14.25" customHeight="1">
      <c r="A521" s="23">
        <v>519</v>
      </c>
      <c r="B521" s="23" t="s">
        <v>726</v>
      </c>
      <c r="C521" s="23">
        <v>1</v>
      </c>
      <c r="D521" s="25">
        <v>17.600000000000001</v>
      </c>
      <c r="E521" s="25">
        <v>11</v>
      </c>
      <c r="F521" s="26" t="s">
        <v>150</v>
      </c>
      <c r="G521" s="111" t="s">
        <v>178</v>
      </c>
      <c r="H521" s="141" t="s">
        <v>727</v>
      </c>
      <c r="I521" s="127"/>
      <c r="J521" s="128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 spans="1:29" ht="14.25" customHeight="1">
      <c r="A522" s="23">
        <v>520</v>
      </c>
      <c r="B522" s="23" t="s">
        <v>726</v>
      </c>
      <c r="C522" s="23">
        <v>2</v>
      </c>
      <c r="D522" s="25">
        <v>16.899999999999999</v>
      </c>
      <c r="E522" s="25" t="s">
        <v>61</v>
      </c>
      <c r="F522" s="23" t="s">
        <v>36</v>
      </c>
      <c r="G522" s="74"/>
      <c r="H522" s="128"/>
      <c r="I522" s="127"/>
      <c r="J522" s="128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 spans="1:29" ht="14.25" customHeight="1">
      <c r="A523" s="23">
        <v>521</v>
      </c>
      <c r="B523" s="23" t="s">
        <v>726</v>
      </c>
      <c r="C523" s="23">
        <v>3</v>
      </c>
      <c r="D523" s="25">
        <v>12.1</v>
      </c>
      <c r="E523" s="25">
        <v>11</v>
      </c>
      <c r="F523" s="23" t="s">
        <v>89</v>
      </c>
      <c r="G523" s="111" t="s">
        <v>104</v>
      </c>
      <c r="H523" s="128"/>
      <c r="I523" s="127"/>
      <c r="J523" s="128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 spans="1:29" ht="14.25" customHeight="1">
      <c r="A524" s="23">
        <v>522</v>
      </c>
      <c r="B524" s="23" t="s">
        <v>729</v>
      </c>
      <c r="C524" s="23">
        <v>1</v>
      </c>
      <c r="D524" s="25">
        <v>17.2</v>
      </c>
      <c r="E524" s="25">
        <v>11</v>
      </c>
      <c r="F524" s="23" t="s">
        <v>77</v>
      </c>
      <c r="G524" s="147" t="s">
        <v>54</v>
      </c>
      <c r="H524" s="128"/>
      <c r="I524" s="127"/>
      <c r="J524" s="128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 spans="1:29" ht="14.25" customHeight="1">
      <c r="A525" s="23">
        <v>523</v>
      </c>
      <c r="B525" s="23" t="s">
        <v>729</v>
      </c>
      <c r="C525" s="23">
        <v>2</v>
      </c>
      <c r="D525" s="25">
        <v>16.5</v>
      </c>
      <c r="E525" s="25" t="s">
        <v>61</v>
      </c>
      <c r="F525" s="23" t="s">
        <v>77</v>
      </c>
      <c r="G525" s="147" t="s">
        <v>54</v>
      </c>
      <c r="H525" s="128"/>
      <c r="I525" s="127"/>
      <c r="J525" s="128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 spans="1:29" ht="14.25" customHeight="1">
      <c r="A526" s="23">
        <v>524</v>
      </c>
      <c r="B526" s="23" t="s">
        <v>729</v>
      </c>
      <c r="C526" s="23">
        <v>3</v>
      </c>
      <c r="D526" s="25">
        <v>12.1</v>
      </c>
      <c r="E526" s="25">
        <v>10.8</v>
      </c>
      <c r="F526" s="23" t="s">
        <v>62</v>
      </c>
      <c r="G526" s="147" t="s">
        <v>54</v>
      </c>
      <c r="H526" s="128"/>
      <c r="I526" s="127"/>
      <c r="J526" s="128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 spans="1:29" ht="14.25" customHeight="1">
      <c r="A527" s="23">
        <v>525</v>
      </c>
      <c r="B527" s="23" t="s">
        <v>731</v>
      </c>
      <c r="C527" s="23">
        <v>1</v>
      </c>
      <c r="D527" s="25">
        <v>16.600000000000001</v>
      </c>
      <c r="E527" s="25">
        <v>11</v>
      </c>
      <c r="F527" s="23" t="s">
        <v>118</v>
      </c>
      <c r="G527" s="147" t="s">
        <v>54</v>
      </c>
      <c r="H527" s="128"/>
      <c r="I527" s="127"/>
      <c r="J527" s="128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 spans="1:29" ht="14.25" customHeight="1">
      <c r="A528" s="23">
        <v>526</v>
      </c>
      <c r="B528" s="23" t="s">
        <v>731</v>
      </c>
      <c r="C528" s="23">
        <v>2</v>
      </c>
      <c r="D528" s="25">
        <v>16.8</v>
      </c>
      <c r="E528" s="25" t="s">
        <v>61</v>
      </c>
      <c r="F528" s="23" t="s">
        <v>118</v>
      </c>
      <c r="G528" s="147" t="s">
        <v>54</v>
      </c>
      <c r="H528" s="128"/>
      <c r="I528" s="127"/>
      <c r="J528" s="128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 spans="1:29" ht="14.25" customHeight="1">
      <c r="A529" s="23">
        <v>527</v>
      </c>
      <c r="B529" s="23" t="s">
        <v>731</v>
      </c>
      <c r="C529" s="23">
        <v>3</v>
      </c>
      <c r="D529" s="25">
        <v>12.4</v>
      </c>
      <c r="E529" s="25">
        <v>11</v>
      </c>
      <c r="F529" s="23" t="s">
        <v>118</v>
      </c>
      <c r="G529" s="147" t="s">
        <v>54</v>
      </c>
      <c r="H529" s="128"/>
      <c r="I529" s="127"/>
      <c r="J529" s="128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 spans="1:29" ht="14.25" customHeight="1">
      <c r="A530" s="23">
        <v>528</v>
      </c>
      <c r="B530" s="23" t="s">
        <v>735</v>
      </c>
      <c r="C530" s="23">
        <v>1</v>
      </c>
      <c r="D530" s="25">
        <v>16.899999999999999</v>
      </c>
      <c r="E530" s="25">
        <v>11</v>
      </c>
      <c r="F530" s="23" t="s">
        <v>77</v>
      </c>
      <c r="G530" s="147" t="s">
        <v>54</v>
      </c>
      <c r="H530" s="128"/>
      <c r="I530" s="127"/>
      <c r="J530" s="128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 spans="1:29" ht="14.25" customHeight="1">
      <c r="A531" s="23">
        <v>529</v>
      </c>
      <c r="B531" s="23" t="s">
        <v>735</v>
      </c>
      <c r="C531" s="23">
        <v>2</v>
      </c>
      <c r="D531" s="25">
        <v>16.600000000000001</v>
      </c>
      <c r="E531" s="25" t="s">
        <v>61</v>
      </c>
      <c r="F531" s="23" t="s">
        <v>55</v>
      </c>
      <c r="G531" s="111" t="s">
        <v>104</v>
      </c>
      <c r="H531" s="128"/>
      <c r="I531" s="127"/>
      <c r="J531" s="128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 spans="1:29" ht="14.25" customHeight="1">
      <c r="A532" s="23">
        <v>530</v>
      </c>
      <c r="B532" s="23" t="s">
        <v>735</v>
      </c>
      <c r="C532" s="23">
        <v>3</v>
      </c>
      <c r="D532" s="25">
        <v>12.6</v>
      </c>
      <c r="E532" s="25">
        <v>10.6</v>
      </c>
      <c r="F532" s="23" t="s">
        <v>62</v>
      </c>
      <c r="G532" s="147" t="s">
        <v>54</v>
      </c>
      <c r="H532" s="128"/>
      <c r="I532" s="127" t="s">
        <v>596</v>
      </c>
      <c r="J532" s="128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 spans="1:29" ht="14.25" customHeight="1">
      <c r="A533" s="23">
        <v>531</v>
      </c>
      <c r="B533" s="23" t="s">
        <v>736</v>
      </c>
      <c r="C533" s="23">
        <v>1</v>
      </c>
      <c r="D533" s="25">
        <v>17.100000000000001</v>
      </c>
      <c r="E533" s="25" t="s">
        <v>61</v>
      </c>
      <c r="F533" s="23" t="s">
        <v>150</v>
      </c>
      <c r="G533" s="111" t="s">
        <v>178</v>
      </c>
      <c r="H533" s="128"/>
      <c r="I533" s="127"/>
      <c r="J533" s="128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 spans="1:29" ht="14.25" customHeight="1">
      <c r="A534" s="23">
        <v>532</v>
      </c>
      <c r="B534" s="23" t="s">
        <v>736</v>
      </c>
      <c r="C534" s="23">
        <v>2</v>
      </c>
      <c r="D534" s="25">
        <v>16.399999999999999</v>
      </c>
      <c r="E534" s="25">
        <v>11.2</v>
      </c>
      <c r="F534" s="23" t="s">
        <v>124</v>
      </c>
      <c r="G534" s="26" t="s">
        <v>104</v>
      </c>
      <c r="H534" s="128"/>
      <c r="I534" s="127"/>
      <c r="J534" s="128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 spans="1:29" ht="14.25" customHeight="1">
      <c r="A535" s="23">
        <v>533</v>
      </c>
      <c r="B535" s="23" t="s">
        <v>736</v>
      </c>
      <c r="C535" s="23">
        <v>3</v>
      </c>
      <c r="D535" s="25">
        <v>12.2</v>
      </c>
      <c r="E535" s="25">
        <v>11.1</v>
      </c>
      <c r="F535" s="23" t="s">
        <v>150</v>
      </c>
      <c r="G535" s="111" t="s">
        <v>178</v>
      </c>
      <c r="H535" s="128"/>
      <c r="I535" s="127"/>
      <c r="J535" s="128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 spans="1:29" ht="14.25" customHeight="1">
      <c r="A536" s="23">
        <v>534</v>
      </c>
      <c r="B536" s="23" t="s">
        <v>739</v>
      </c>
      <c r="C536" s="23">
        <v>1</v>
      </c>
      <c r="D536" s="25">
        <v>17.399999999999999</v>
      </c>
      <c r="E536" s="25">
        <v>10.8</v>
      </c>
      <c r="F536" s="23" t="s">
        <v>36</v>
      </c>
      <c r="G536" s="111" t="s">
        <v>178</v>
      </c>
      <c r="H536" s="128"/>
      <c r="I536" s="127"/>
      <c r="J536" s="128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 spans="1:29" ht="14.25" customHeight="1">
      <c r="A537" s="23">
        <v>535</v>
      </c>
      <c r="B537" s="23" t="s">
        <v>739</v>
      </c>
      <c r="C537" s="23">
        <v>2</v>
      </c>
      <c r="D537" s="25">
        <v>16.3</v>
      </c>
      <c r="E537" s="25" t="s">
        <v>61</v>
      </c>
      <c r="F537" s="23" t="s">
        <v>89</v>
      </c>
      <c r="G537" s="111" t="s">
        <v>104</v>
      </c>
      <c r="H537" s="128"/>
      <c r="I537" s="127"/>
      <c r="J537" s="128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 spans="1:29" ht="14.25" customHeight="1">
      <c r="A538" s="23">
        <v>536</v>
      </c>
      <c r="B538" s="23" t="s">
        <v>739</v>
      </c>
      <c r="C538" s="23">
        <v>3</v>
      </c>
      <c r="D538" s="25">
        <v>13.2</v>
      </c>
      <c r="E538" s="25">
        <v>10.9</v>
      </c>
      <c r="F538" s="23" t="s">
        <v>89</v>
      </c>
      <c r="G538" s="111" t="s">
        <v>104</v>
      </c>
      <c r="H538" s="128"/>
      <c r="I538" s="127"/>
      <c r="J538" s="128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 spans="1:29" ht="14.25" customHeight="1">
      <c r="A539" s="23">
        <v>537</v>
      </c>
      <c r="B539" s="23" t="s">
        <v>741</v>
      </c>
      <c r="C539" s="23">
        <v>1</v>
      </c>
      <c r="D539" s="25">
        <v>16.899999999999999</v>
      </c>
      <c r="E539" s="25">
        <v>11</v>
      </c>
      <c r="F539" s="23" t="s">
        <v>55</v>
      </c>
      <c r="G539" s="111" t="s">
        <v>104</v>
      </c>
      <c r="H539" s="128"/>
      <c r="I539" s="127"/>
      <c r="J539" s="128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 spans="1:29" ht="14.25" customHeight="1">
      <c r="A540" s="23">
        <v>538</v>
      </c>
      <c r="B540" s="23" t="s">
        <v>741</v>
      </c>
      <c r="C540" s="23">
        <v>2</v>
      </c>
      <c r="D540" s="25">
        <v>16.100000000000001</v>
      </c>
      <c r="E540" s="25" t="s">
        <v>61</v>
      </c>
      <c r="F540" s="23" t="s">
        <v>62</v>
      </c>
      <c r="G540" s="147" t="s">
        <v>54</v>
      </c>
      <c r="H540" s="128"/>
      <c r="I540" s="127"/>
      <c r="J540" s="128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 spans="1:29" ht="14.25" customHeight="1">
      <c r="A541" s="23">
        <v>539</v>
      </c>
      <c r="B541" s="23" t="s">
        <v>741</v>
      </c>
      <c r="C541" s="23">
        <v>3</v>
      </c>
      <c r="D541" s="25">
        <v>12.3</v>
      </c>
      <c r="E541" s="25">
        <v>10.4</v>
      </c>
      <c r="F541" s="23" t="s">
        <v>62</v>
      </c>
      <c r="G541" s="147" t="s">
        <v>54</v>
      </c>
      <c r="H541" s="128"/>
      <c r="I541" s="127"/>
      <c r="J541" s="128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 spans="1:29" ht="14.25" customHeight="1">
      <c r="A542" s="23">
        <v>540</v>
      </c>
      <c r="B542" s="23" t="s">
        <v>744</v>
      </c>
      <c r="C542" s="23">
        <v>1</v>
      </c>
      <c r="D542" s="25">
        <v>16</v>
      </c>
      <c r="E542" s="25">
        <v>11.3</v>
      </c>
      <c r="F542" s="23" t="s">
        <v>112</v>
      </c>
      <c r="G542" s="111" t="s">
        <v>104</v>
      </c>
      <c r="H542" s="128"/>
      <c r="I542" s="127"/>
      <c r="J542" s="128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 spans="1:29" ht="14.25" customHeight="1">
      <c r="A543" s="23">
        <v>541</v>
      </c>
      <c r="B543" s="23" t="s">
        <v>744</v>
      </c>
      <c r="C543" s="23">
        <v>2</v>
      </c>
      <c r="D543" s="25">
        <v>15.7</v>
      </c>
      <c r="E543" s="25" t="s">
        <v>61</v>
      </c>
      <c r="F543" s="23" t="s">
        <v>112</v>
      </c>
      <c r="G543" s="111" t="s">
        <v>104</v>
      </c>
      <c r="H543" s="128"/>
      <c r="I543" s="127"/>
      <c r="J543" s="128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 spans="1:29" ht="14.25" customHeight="1">
      <c r="A544" s="23">
        <v>542</v>
      </c>
      <c r="B544" s="23" t="s">
        <v>744</v>
      </c>
      <c r="C544" s="23">
        <v>3</v>
      </c>
      <c r="D544" s="25">
        <v>13.2</v>
      </c>
      <c r="E544" s="25">
        <v>11.1</v>
      </c>
      <c r="F544" s="26" t="s">
        <v>112</v>
      </c>
      <c r="G544" s="111" t="s">
        <v>104</v>
      </c>
      <c r="H544" s="128"/>
      <c r="I544" s="122" t="s">
        <v>746</v>
      </c>
      <c r="J544" s="128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 spans="1:29" ht="14.25" customHeight="1">
      <c r="A545" s="23">
        <v>543</v>
      </c>
      <c r="B545" s="23" t="s">
        <v>748</v>
      </c>
      <c r="C545" s="23">
        <v>1</v>
      </c>
      <c r="D545" s="25">
        <v>17.100000000000001</v>
      </c>
      <c r="E545" s="25">
        <v>11.1</v>
      </c>
      <c r="F545" s="23" t="s">
        <v>47</v>
      </c>
      <c r="G545" s="111" t="s">
        <v>104</v>
      </c>
      <c r="H545" s="128"/>
      <c r="I545" s="127"/>
      <c r="J545" s="128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 spans="1:29" ht="14.25" customHeight="1">
      <c r="A546" s="23">
        <v>544</v>
      </c>
      <c r="B546" s="23" t="s">
        <v>748</v>
      </c>
      <c r="C546" s="23">
        <v>2</v>
      </c>
      <c r="D546" s="25">
        <v>16.399999999999999</v>
      </c>
      <c r="E546" s="25" t="s">
        <v>61</v>
      </c>
      <c r="F546" s="23" t="s">
        <v>47</v>
      </c>
      <c r="G546" s="111" t="s">
        <v>104</v>
      </c>
      <c r="H546" s="128"/>
      <c r="I546" s="127"/>
      <c r="J546" s="128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 spans="1:29" ht="14.25" customHeight="1">
      <c r="A547" s="23">
        <v>545</v>
      </c>
      <c r="B547" s="23" t="s">
        <v>748</v>
      </c>
      <c r="C547" s="23">
        <v>3</v>
      </c>
      <c r="D547" s="25">
        <v>12.1</v>
      </c>
      <c r="E547" s="25">
        <v>11.1</v>
      </c>
      <c r="F547" s="23" t="s">
        <v>77</v>
      </c>
      <c r="G547" s="147" t="s">
        <v>54</v>
      </c>
      <c r="H547" s="128"/>
      <c r="I547" s="127"/>
      <c r="J547" s="128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 spans="1:29" ht="14.25" customHeight="1">
      <c r="A548" s="23">
        <v>546</v>
      </c>
      <c r="B548" s="23" t="s">
        <v>750</v>
      </c>
      <c r="C548" s="23">
        <v>1</v>
      </c>
      <c r="D548" s="25">
        <v>16.899999999999999</v>
      </c>
      <c r="E548" s="25">
        <v>10.8</v>
      </c>
      <c r="F548" s="23" t="s">
        <v>118</v>
      </c>
      <c r="G548" s="147" t="s">
        <v>54</v>
      </c>
      <c r="H548" s="128"/>
      <c r="I548" s="127"/>
      <c r="J548" s="128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 spans="1:29" ht="14.25" customHeight="1">
      <c r="A549" s="23">
        <v>547</v>
      </c>
      <c r="B549" s="23" t="s">
        <v>750</v>
      </c>
      <c r="C549" s="23">
        <v>2</v>
      </c>
      <c r="D549" s="25">
        <v>16.3</v>
      </c>
      <c r="E549" s="25" t="s">
        <v>61</v>
      </c>
      <c r="F549" s="23" t="s">
        <v>118</v>
      </c>
      <c r="G549" s="147" t="s">
        <v>54</v>
      </c>
      <c r="H549" s="128"/>
      <c r="I549" s="127"/>
      <c r="J549" s="128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 spans="1:29" ht="14.25" customHeight="1">
      <c r="A550" s="23">
        <v>548</v>
      </c>
      <c r="B550" s="23" t="s">
        <v>750</v>
      </c>
      <c r="C550" s="23">
        <v>3</v>
      </c>
      <c r="D550" s="25">
        <v>12.8</v>
      </c>
      <c r="E550" s="25">
        <v>11</v>
      </c>
      <c r="F550" s="23" t="s">
        <v>55</v>
      </c>
      <c r="G550" s="111" t="s">
        <v>104</v>
      </c>
      <c r="H550" s="128"/>
      <c r="I550" s="127"/>
      <c r="J550" s="128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 spans="1:29" ht="14.25" customHeight="1">
      <c r="A551" s="23">
        <v>549</v>
      </c>
      <c r="B551" s="23" t="s">
        <v>754</v>
      </c>
      <c r="C551" s="23">
        <v>1</v>
      </c>
      <c r="D551" s="25">
        <v>16.7</v>
      </c>
      <c r="E551" s="25">
        <v>10.8</v>
      </c>
      <c r="F551" s="23" t="s">
        <v>55</v>
      </c>
      <c r="G551" s="111" t="s">
        <v>104</v>
      </c>
      <c r="H551" s="128"/>
      <c r="I551" s="127"/>
      <c r="J551" s="128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 spans="1:29" ht="14.25" customHeight="1">
      <c r="A552" s="23">
        <v>550</v>
      </c>
      <c r="B552" s="23" t="s">
        <v>754</v>
      </c>
      <c r="C552" s="23">
        <v>2</v>
      </c>
      <c r="D552" s="25">
        <v>16</v>
      </c>
      <c r="E552" s="25" t="s">
        <v>61</v>
      </c>
      <c r="F552" s="23" t="s">
        <v>79</v>
      </c>
      <c r="G552" s="111" t="s">
        <v>580</v>
      </c>
      <c r="H552" s="128"/>
      <c r="I552" s="127"/>
      <c r="J552" s="128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 spans="1:29" ht="14.25" customHeight="1">
      <c r="A553" s="23">
        <v>551</v>
      </c>
      <c r="B553" s="23" t="s">
        <v>754</v>
      </c>
      <c r="C553" s="23">
        <v>3</v>
      </c>
      <c r="D553" s="25">
        <v>13.5</v>
      </c>
      <c r="E553" s="25">
        <v>10.8</v>
      </c>
      <c r="F553" s="23" t="s">
        <v>51</v>
      </c>
      <c r="G553" s="74"/>
      <c r="H553" s="128"/>
      <c r="I553" s="127"/>
      <c r="J553" s="128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 spans="1:29" ht="14.25" customHeight="1">
      <c r="A554" s="23">
        <v>552</v>
      </c>
      <c r="B554" s="23" t="s">
        <v>757</v>
      </c>
      <c r="C554" s="23">
        <v>1</v>
      </c>
      <c r="D554" s="25">
        <v>16.3</v>
      </c>
      <c r="E554" s="25">
        <v>10.9</v>
      </c>
      <c r="F554" s="23" t="s">
        <v>150</v>
      </c>
      <c r="G554" s="111" t="s">
        <v>178</v>
      </c>
      <c r="H554" s="128"/>
      <c r="I554" s="127"/>
      <c r="J554" s="128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spans="1:29" ht="14.25" customHeight="1">
      <c r="A555" s="23">
        <v>553</v>
      </c>
      <c r="B555" s="23" t="s">
        <v>757</v>
      </c>
      <c r="C555" s="23">
        <v>2</v>
      </c>
      <c r="D555" s="25">
        <v>17.2</v>
      </c>
      <c r="E555" s="25" t="s">
        <v>61</v>
      </c>
      <c r="F555" s="23" t="s">
        <v>150</v>
      </c>
      <c r="G555" s="111" t="s">
        <v>178</v>
      </c>
      <c r="H555" s="128"/>
      <c r="I555" s="127"/>
      <c r="J555" s="128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 spans="1:29" ht="14.25" customHeight="1">
      <c r="A556" s="23">
        <v>554</v>
      </c>
      <c r="B556" s="23" t="s">
        <v>757</v>
      </c>
      <c r="C556" s="23">
        <v>3</v>
      </c>
      <c r="D556" s="25">
        <v>12.5</v>
      </c>
      <c r="E556" s="25">
        <v>11</v>
      </c>
      <c r="F556" s="23" t="s">
        <v>150</v>
      </c>
      <c r="G556" s="111" t="s">
        <v>178</v>
      </c>
      <c r="H556" s="128"/>
      <c r="I556" s="127"/>
      <c r="J556" s="128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 spans="1:29" ht="14.25" customHeight="1">
      <c r="A557" s="23">
        <v>555</v>
      </c>
      <c r="B557" s="23" t="s">
        <v>761</v>
      </c>
      <c r="C557" s="23">
        <v>1</v>
      </c>
      <c r="D557" s="25">
        <v>16.5</v>
      </c>
      <c r="E557" s="25">
        <v>10.9</v>
      </c>
      <c r="F557" s="23" t="s">
        <v>12</v>
      </c>
      <c r="G557" s="74"/>
      <c r="H557" s="128"/>
      <c r="I557" s="127"/>
      <c r="J557" s="128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 spans="1:29" ht="14.25" customHeight="1">
      <c r="A558" s="23">
        <v>556</v>
      </c>
      <c r="B558" s="23" t="s">
        <v>761</v>
      </c>
      <c r="C558" s="23">
        <v>2</v>
      </c>
      <c r="D558" s="25">
        <v>16.899999999999999</v>
      </c>
      <c r="E558" s="25" t="s">
        <v>61</v>
      </c>
      <c r="F558" s="26" t="s">
        <v>12</v>
      </c>
      <c r="G558" s="111" t="s">
        <v>104</v>
      </c>
      <c r="H558" s="128"/>
      <c r="I558" s="122" t="s">
        <v>180</v>
      </c>
      <c r="J558" s="128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 spans="1:29" ht="14.25" customHeight="1">
      <c r="A559" s="23">
        <v>557</v>
      </c>
      <c r="B559" s="23" t="s">
        <v>761</v>
      </c>
      <c r="C559" s="23">
        <v>3</v>
      </c>
      <c r="D559" s="25">
        <v>12.5</v>
      </c>
      <c r="E559" s="25">
        <v>11</v>
      </c>
      <c r="F559" s="23" t="s">
        <v>88</v>
      </c>
      <c r="G559" s="74"/>
      <c r="H559" s="128"/>
      <c r="I559" s="127"/>
      <c r="J559" s="128" t="s">
        <v>764</v>
      </c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 spans="1:29" ht="14.25" customHeight="1">
      <c r="A560" s="23">
        <v>558</v>
      </c>
      <c r="B560" s="23" t="s">
        <v>765</v>
      </c>
      <c r="C560" s="23">
        <v>1</v>
      </c>
      <c r="D560" s="25">
        <v>16.3</v>
      </c>
      <c r="E560" s="25">
        <v>10.9</v>
      </c>
      <c r="F560" s="23" t="s">
        <v>150</v>
      </c>
      <c r="G560" s="111" t="s">
        <v>178</v>
      </c>
      <c r="H560" s="128"/>
      <c r="I560" s="127"/>
      <c r="J560" s="128" t="s">
        <v>764</v>
      </c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 spans="1:29" ht="14.25" customHeight="1">
      <c r="A561" s="23">
        <v>559</v>
      </c>
      <c r="B561" s="23" t="s">
        <v>765</v>
      </c>
      <c r="C561" s="23">
        <v>2</v>
      </c>
      <c r="D561" s="25">
        <v>16.100000000000001</v>
      </c>
      <c r="E561" s="25" t="s">
        <v>61</v>
      </c>
      <c r="F561" s="23" t="s">
        <v>150</v>
      </c>
      <c r="G561" s="111" t="s">
        <v>178</v>
      </c>
      <c r="H561" s="128"/>
      <c r="I561" s="127"/>
      <c r="J561" s="128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 spans="1:29" ht="14.25" customHeight="1">
      <c r="A562" s="23">
        <v>560</v>
      </c>
      <c r="B562" s="23" t="s">
        <v>765</v>
      </c>
      <c r="C562" s="23">
        <v>3</v>
      </c>
      <c r="D562" s="25">
        <v>12.3</v>
      </c>
      <c r="E562" s="25">
        <v>11</v>
      </c>
      <c r="F562" s="23" t="s">
        <v>118</v>
      </c>
      <c r="G562" s="147" t="s">
        <v>54</v>
      </c>
      <c r="H562" s="128"/>
      <c r="I562" s="127"/>
      <c r="J562" s="128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 spans="1:29" ht="14.25" customHeight="1">
      <c r="A563" s="23">
        <v>561</v>
      </c>
      <c r="B563" s="23" t="s">
        <v>768</v>
      </c>
      <c r="C563" s="23">
        <v>1</v>
      </c>
      <c r="D563" s="25">
        <v>16.3</v>
      </c>
      <c r="E563" s="25">
        <v>11.2</v>
      </c>
      <c r="F563" s="23" t="s">
        <v>55</v>
      </c>
      <c r="G563" s="111" t="s">
        <v>104</v>
      </c>
      <c r="H563" s="128"/>
      <c r="I563" s="127"/>
      <c r="J563" s="128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 spans="1:29" ht="14.25" customHeight="1">
      <c r="A564" s="23">
        <v>562</v>
      </c>
      <c r="B564" s="23" t="s">
        <v>768</v>
      </c>
      <c r="C564" s="23">
        <v>2</v>
      </c>
      <c r="D564" s="25">
        <v>16.8</v>
      </c>
      <c r="E564" s="25" t="s">
        <v>61</v>
      </c>
      <c r="F564" s="26" t="s">
        <v>150</v>
      </c>
      <c r="G564" s="111" t="s">
        <v>104</v>
      </c>
      <c r="H564" s="128"/>
      <c r="I564" s="122" t="s">
        <v>180</v>
      </c>
      <c r="J564" s="128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 spans="1:29" ht="14.25" customHeight="1">
      <c r="A565" s="23">
        <v>563</v>
      </c>
      <c r="B565" s="23" t="s">
        <v>768</v>
      </c>
      <c r="C565" s="23">
        <v>3</v>
      </c>
      <c r="D565" s="25">
        <v>13.3</v>
      </c>
      <c r="E565" s="25">
        <v>11.2</v>
      </c>
      <c r="F565" s="23" t="s">
        <v>150</v>
      </c>
      <c r="G565" s="111" t="s">
        <v>104</v>
      </c>
      <c r="H565" s="128"/>
      <c r="I565" s="127"/>
      <c r="J565" s="128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 spans="1:29" ht="14.25" customHeight="1">
      <c r="A566" s="23">
        <v>564</v>
      </c>
      <c r="B566" s="23" t="s">
        <v>769</v>
      </c>
      <c r="C566" s="23">
        <v>1</v>
      </c>
      <c r="D566" s="25">
        <v>16.8</v>
      </c>
      <c r="E566" s="25">
        <v>11.1</v>
      </c>
      <c r="F566" s="23" t="s">
        <v>150</v>
      </c>
      <c r="G566" s="111" t="s">
        <v>178</v>
      </c>
      <c r="H566" s="128"/>
      <c r="I566" s="127"/>
      <c r="J566" s="128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 spans="1:29" ht="14.25" customHeight="1">
      <c r="A567" s="23">
        <v>565</v>
      </c>
      <c r="B567" s="23" t="s">
        <v>769</v>
      </c>
      <c r="C567" s="23">
        <v>2</v>
      </c>
      <c r="D567" s="25">
        <v>17.3</v>
      </c>
      <c r="E567" s="25" t="s">
        <v>61</v>
      </c>
      <c r="F567" s="23" t="s">
        <v>47</v>
      </c>
      <c r="G567" s="111" t="s">
        <v>104</v>
      </c>
      <c r="H567" s="128"/>
      <c r="I567" s="127"/>
      <c r="J567" s="128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spans="1:29" ht="14.25" customHeight="1">
      <c r="A568" s="23">
        <v>566</v>
      </c>
      <c r="B568" s="23" t="s">
        <v>769</v>
      </c>
      <c r="C568" s="23">
        <v>3</v>
      </c>
      <c r="D568" s="25">
        <v>13.7</v>
      </c>
      <c r="E568" s="25">
        <v>11.2</v>
      </c>
      <c r="F568" s="23" t="s">
        <v>118</v>
      </c>
      <c r="G568" s="147" t="s">
        <v>54</v>
      </c>
      <c r="H568" s="128"/>
      <c r="I568" s="127"/>
      <c r="J568" s="128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 spans="1:29" ht="14.25" customHeight="1">
      <c r="A569" s="23">
        <v>567</v>
      </c>
      <c r="B569" s="23" t="s">
        <v>771</v>
      </c>
      <c r="C569" s="23">
        <v>1</v>
      </c>
      <c r="D569" s="25">
        <v>17.100000000000001</v>
      </c>
      <c r="E569" s="25">
        <v>11</v>
      </c>
      <c r="F569" s="23" t="s">
        <v>77</v>
      </c>
      <c r="G569" s="147" t="s">
        <v>54</v>
      </c>
      <c r="H569" s="128"/>
      <c r="I569" s="127"/>
      <c r="J569" s="128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 spans="1:29" ht="14.25" customHeight="1">
      <c r="A570" s="23">
        <v>568</v>
      </c>
      <c r="B570" s="23" t="s">
        <v>771</v>
      </c>
      <c r="C570" s="23">
        <v>2</v>
      </c>
      <c r="D570" s="25">
        <v>16.8</v>
      </c>
      <c r="E570" s="25" t="s">
        <v>61</v>
      </c>
      <c r="F570" s="23" t="s">
        <v>89</v>
      </c>
      <c r="G570" s="111" t="s">
        <v>104</v>
      </c>
      <c r="H570" s="128"/>
      <c r="I570" s="127"/>
      <c r="J570" s="128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 spans="1:29" ht="14.25" customHeight="1">
      <c r="A571" s="23">
        <v>569</v>
      </c>
      <c r="B571" s="23" t="s">
        <v>771</v>
      </c>
      <c r="C571" s="23">
        <v>3</v>
      </c>
      <c r="D571" s="25">
        <v>13</v>
      </c>
      <c r="E571" s="25">
        <v>11</v>
      </c>
      <c r="F571" s="23" t="s">
        <v>89</v>
      </c>
      <c r="G571" s="111" t="s">
        <v>104</v>
      </c>
      <c r="H571" s="128"/>
      <c r="I571" s="127"/>
      <c r="J571" s="128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 spans="1:29" ht="14.25" customHeight="1">
      <c r="A572" s="23">
        <v>570</v>
      </c>
      <c r="B572" s="23" t="s">
        <v>772</v>
      </c>
      <c r="C572" s="23">
        <v>1</v>
      </c>
      <c r="D572" s="25">
        <v>16.399999999999999</v>
      </c>
      <c r="E572" s="25">
        <v>10.9</v>
      </c>
      <c r="F572" s="23" t="s">
        <v>77</v>
      </c>
      <c r="G572" s="147" t="s">
        <v>54</v>
      </c>
      <c r="H572" s="128"/>
      <c r="I572" s="127"/>
      <c r="J572" s="128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 spans="1:29" ht="14.25" customHeight="1">
      <c r="A573" s="23">
        <v>571</v>
      </c>
      <c r="B573" s="23" t="s">
        <v>772</v>
      </c>
      <c r="C573" s="23">
        <v>2</v>
      </c>
      <c r="D573" s="25">
        <v>16.7</v>
      </c>
      <c r="E573" s="25" t="s">
        <v>61</v>
      </c>
      <c r="F573" s="23" t="s">
        <v>77</v>
      </c>
      <c r="G573" s="147" t="s">
        <v>54</v>
      </c>
      <c r="H573" s="128"/>
      <c r="I573" s="127"/>
      <c r="J573" s="128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 spans="1:29" ht="14.25" customHeight="1">
      <c r="A574" s="23">
        <v>572</v>
      </c>
      <c r="B574" s="23" t="s">
        <v>772</v>
      </c>
      <c r="C574" s="23">
        <v>3</v>
      </c>
      <c r="D574" s="25">
        <v>12.8</v>
      </c>
      <c r="E574" s="25">
        <v>10.8</v>
      </c>
      <c r="F574" s="23" t="s">
        <v>77</v>
      </c>
      <c r="G574" s="147" t="s">
        <v>54</v>
      </c>
      <c r="H574" s="128"/>
      <c r="I574" s="127"/>
      <c r="J574" s="128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 spans="1:29" ht="14.25" customHeight="1">
      <c r="A575" s="23">
        <v>573</v>
      </c>
      <c r="B575" s="23" t="s">
        <v>774</v>
      </c>
      <c r="C575" s="23">
        <v>1</v>
      </c>
      <c r="D575" s="25">
        <v>13.1</v>
      </c>
      <c r="E575" s="25">
        <v>10.9</v>
      </c>
      <c r="F575" s="23" t="s">
        <v>89</v>
      </c>
      <c r="G575" s="111" t="s">
        <v>104</v>
      </c>
      <c r="H575" s="128"/>
      <c r="I575" s="127"/>
      <c r="J575" s="128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 spans="1:29" ht="14.25" customHeight="1">
      <c r="A576" s="23">
        <v>574</v>
      </c>
      <c r="B576" s="23" t="s">
        <v>774</v>
      </c>
      <c r="C576" s="23">
        <v>2</v>
      </c>
      <c r="D576" s="25">
        <v>16.5</v>
      </c>
      <c r="E576" s="25" t="s">
        <v>61</v>
      </c>
      <c r="F576" s="23" t="s">
        <v>88</v>
      </c>
      <c r="G576" s="111" t="s">
        <v>104</v>
      </c>
      <c r="H576" s="128"/>
      <c r="I576" s="127"/>
      <c r="J576" s="128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 spans="1:29" ht="14.25" customHeight="1">
      <c r="A577" s="23">
        <v>575</v>
      </c>
      <c r="B577" s="23" t="s">
        <v>774</v>
      </c>
      <c r="C577" s="23">
        <v>3</v>
      </c>
      <c r="D577" s="25">
        <v>15.9</v>
      </c>
      <c r="E577" s="25">
        <v>10.7</v>
      </c>
      <c r="F577" s="23" t="s">
        <v>88</v>
      </c>
      <c r="G577" s="111" t="s">
        <v>104</v>
      </c>
      <c r="H577" s="128"/>
      <c r="I577" s="127"/>
      <c r="J577" s="128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 spans="1:29" ht="14.25" customHeight="1">
      <c r="A578" s="23">
        <v>576</v>
      </c>
      <c r="B578" s="23" t="s">
        <v>777</v>
      </c>
      <c r="C578" s="23">
        <v>1</v>
      </c>
      <c r="D578" s="25">
        <v>16.600000000000001</v>
      </c>
      <c r="E578" s="25">
        <v>10.4</v>
      </c>
      <c r="F578" s="23" t="s">
        <v>47</v>
      </c>
      <c r="G578" s="111" t="s">
        <v>104</v>
      </c>
      <c r="H578" s="128"/>
      <c r="I578" s="127"/>
      <c r="J578" s="128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 spans="1:29" ht="14.25" customHeight="1">
      <c r="A579" s="23">
        <v>577</v>
      </c>
      <c r="B579" s="23" t="s">
        <v>777</v>
      </c>
      <c r="C579" s="23">
        <v>2</v>
      </c>
      <c r="D579" s="25">
        <v>17</v>
      </c>
      <c r="E579" s="25" t="s">
        <v>61</v>
      </c>
      <c r="F579" s="23" t="s">
        <v>47</v>
      </c>
      <c r="G579" s="111" t="s">
        <v>104</v>
      </c>
      <c r="H579" s="128"/>
      <c r="I579" s="127"/>
      <c r="J579" s="128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 spans="1:29" ht="14.25" customHeight="1">
      <c r="A580" s="23">
        <v>578</v>
      </c>
      <c r="B580" s="23" t="s">
        <v>777</v>
      </c>
      <c r="C580" s="23">
        <v>3</v>
      </c>
      <c r="D580" s="25">
        <v>13.2</v>
      </c>
      <c r="E580" s="25">
        <v>10.8</v>
      </c>
      <c r="F580" s="23" t="s">
        <v>112</v>
      </c>
      <c r="G580" s="111" t="s">
        <v>104</v>
      </c>
      <c r="H580" s="128"/>
      <c r="I580" s="127"/>
      <c r="J580" s="128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 spans="1:29" ht="14.25" customHeight="1">
      <c r="A581" s="23">
        <v>579</v>
      </c>
      <c r="B581" s="23" t="s">
        <v>782</v>
      </c>
      <c r="C581" s="23">
        <v>1</v>
      </c>
      <c r="D581" s="25">
        <v>16.3</v>
      </c>
      <c r="E581" s="25">
        <v>11.1</v>
      </c>
      <c r="F581" s="23" t="s">
        <v>62</v>
      </c>
      <c r="G581" s="147" t="s">
        <v>54</v>
      </c>
      <c r="H581" s="128"/>
      <c r="I581" s="127"/>
      <c r="J581" s="128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 spans="1:29" ht="14.25" customHeight="1">
      <c r="A582" s="23">
        <v>580</v>
      </c>
      <c r="B582" s="23" t="s">
        <v>782</v>
      </c>
      <c r="C582" s="23">
        <v>2</v>
      </c>
      <c r="D582" s="25">
        <v>16.8</v>
      </c>
      <c r="E582" s="25" t="s">
        <v>61</v>
      </c>
      <c r="F582" s="23" t="s">
        <v>62</v>
      </c>
      <c r="G582" s="147" t="s">
        <v>54</v>
      </c>
      <c r="H582" s="128"/>
      <c r="I582" s="127"/>
      <c r="J582" s="128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 spans="1:29" ht="14.25" customHeight="1">
      <c r="A583" s="23">
        <v>581</v>
      </c>
      <c r="B583" s="23" t="s">
        <v>782</v>
      </c>
      <c r="C583" s="23">
        <v>3</v>
      </c>
      <c r="D583" s="25">
        <v>12.7</v>
      </c>
      <c r="E583" s="25">
        <v>11</v>
      </c>
      <c r="F583" s="23" t="s">
        <v>118</v>
      </c>
      <c r="G583" s="147" t="s">
        <v>54</v>
      </c>
      <c r="H583" s="128"/>
      <c r="I583" s="127"/>
      <c r="J583" s="128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 spans="1:29" ht="14.25" customHeight="1">
      <c r="A584" s="23">
        <v>582</v>
      </c>
      <c r="B584" s="23" t="s">
        <v>785</v>
      </c>
      <c r="C584" s="23">
        <v>1</v>
      </c>
      <c r="D584" s="25">
        <v>16.7</v>
      </c>
      <c r="E584" s="25">
        <v>10.4</v>
      </c>
      <c r="F584" s="23" t="s">
        <v>62</v>
      </c>
      <c r="G584" s="147" t="s">
        <v>54</v>
      </c>
      <c r="H584" s="128"/>
      <c r="I584" s="127"/>
      <c r="J584" s="128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 spans="1:29" ht="14.25" customHeight="1">
      <c r="A585" s="23">
        <v>583</v>
      </c>
      <c r="B585" s="23" t="s">
        <v>785</v>
      </c>
      <c r="C585" s="23">
        <v>2</v>
      </c>
      <c r="D585" s="25">
        <v>17.100000000000001</v>
      </c>
      <c r="E585" s="25" t="s">
        <v>61</v>
      </c>
      <c r="F585" s="23" t="s">
        <v>62</v>
      </c>
      <c r="G585" s="147" t="s">
        <v>54</v>
      </c>
      <c r="H585" s="128"/>
      <c r="I585" s="127"/>
      <c r="J585" s="128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 spans="1:29" ht="14.25" customHeight="1">
      <c r="A586" s="126">
        <v>584</v>
      </c>
      <c r="B586" s="126" t="s">
        <v>785</v>
      </c>
      <c r="C586" s="126">
        <v>3</v>
      </c>
      <c r="D586" s="129">
        <v>12.2</v>
      </c>
      <c r="E586" s="129">
        <v>10.5</v>
      </c>
      <c r="F586" s="126" t="s">
        <v>62</v>
      </c>
      <c r="G586" s="111"/>
      <c r="H586" s="172" t="s">
        <v>205</v>
      </c>
      <c r="I586" s="127"/>
      <c r="J586" s="128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 spans="1:29" ht="14.25" customHeight="1">
      <c r="A587" s="23">
        <v>585</v>
      </c>
      <c r="B587" s="23" t="s">
        <v>788</v>
      </c>
      <c r="C587" s="23">
        <v>1</v>
      </c>
      <c r="D587" s="25">
        <v>13.1</v>
      </c>
      <c r="E587" s="25">
        <v>10.9</v>
      </c>
      <c r="F587" s="23" t="s">
        <v>77</v>
      </c>
      <c r="G587" s="147" t="s">
        <v>54</v>
      </c>
      <c r="H587" s="128"/>
      <c r="I587" s="127"/>
      <c r="J587" s="128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 spans="1:29" ht="14.25" customHeight="1">
      <c r="A588" s="23">
        <v>586</v>
      </c>
      <c r="B588" s="23" t="s">
        <v>788</v>
      </c>
      <c r="C588" s="23">
        <v>2</v>
      </c>
      <c r="D588" s="25">
        <v>16.899999999999999</v>
      </c>
      <c r="E588" s="25" t="s">
        <v>61</v>
      </c>
      <c r="F588" s="23" t="s">
        <v>88</v>
      </c>
      <c r="G588" s="111" t="s">
        <v>104</v>
      </c>
      <c r="H588" s="128"/>
      <c r="I588" s="127"/>
      <c r="J588" s="128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 spans="1:29" ht="14.25" customHeight="1">
      <c r="A589" s="23">
        <v>587</v>
      </c>
      <c r="B589" s="23" t="s">
        <v>788</v>
      </c>
      <c r="C589" s="23">
        <v>3</v>
      </c>
      <c r="D589" s="25">
        <v>17.100000000000001</v>
      </c>
      <c r="E589" s="25">
        <v>10.9</v>
      </c>
      <c r="F589" s="23" t="s">
        <v>47</v>
      </c>
      <c r="G589" s="111" t="s">
        <v>104</v>
      </c>
      <c r="H589" s="128"/>
      <c r="I589" s="127"/>
      <c r="J589" s="128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 spans="1:29" ht="14.25" customHeight="1">
      <c r="A590" s="23">
        <v>588</v>
      </c>
      <c r="B590" s="23" t="s">
        <v>790</v>
      </c>
      <c r="C590" s="23">
        <v>1</v>
      </c>
      <c r="D590" s="25">
        <v>16.399999999999999</v>
      </c>
      <c r="E590" s="25">
        <v>10.8</v>
      </c>
      <c r="F590" s="23" t="s">
        <v>89</v>
      </c>
      <c r="G590" s="111" t="s">
        <v>104</v>
      </c>
      <c r="H590" s="128"/>
      <c r="I590" s="127"/>
      <c r="J590" s="128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 spans="1:29" ht="14.25" customHeight="1">
      <c r="A591" s="23">
        <v>589</v>
      </c>
      <c r="B591" s="23" t="s">
        <v>790</v>
      </c>
      <c r="C591" s="23">
        <v>2</v>
      </c>
      <c r="D591" s="25">
        <v>16.7</v>
      </c>
      <c r="E591" s="25" t="s">
        <v>61</v>
      </c>
      <c r="F591" s="23" t="s">
        <v>124</v>
      </c>
      <c r="G591" s="26" t="s">
        <v>104</v>
      </c>
      <c r="H591" s="128"/>
      <c r="I591" s="127"/>
      <c r="J591" s="128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 spans="1:29" ht="14.25" customHeight="1">
      <c r="A592" s="23">
        <v>590</v>
      </c>
      <c r="B592" s="23" t="s">
        <v>790</v>
      </c>
      <c r="C592" s="23">
        <v>3</v>
      </c>
      <c r="D592" s="25">
        <v>13</v>
      </c>
      <c r="E592" s="25">
        <v>10.9</v>
      </c>
      <c r="F592" s="23" t="s">
        <v>124</v>
      </c>
      <c r="G592" s="26" t="s">
        <v>104</v>
      </c>
      <c r="H592" s="128"/>
      <c r="I592" s="127"/>
      <c r="J592" s="128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 spans="1:29" ht="14.25" customHeight="1">
      <c r="A593" s="23">
        <v>591</v>
      </c>
      <c r="B593" s="23" t="s">
        <v>793</v>
      </c>
      <c r="C593" s="23">
        <v>1</v>
      </c>
      <c r="D593" s="25">
        <v>17.100000000000001</v>
      </c>
      <c r="E593" s="25">
        <v>11</v>
      </c>
      <c r="F593" s="23" t="s">
        <v>150</v>
      </c>
      <c r="G593" s="111" t="s">
        <v>178</v>
      </c>
      <c r="H593" s="128"/>
      <c r="I593" s="127"/>
      <c r="J593" s="128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 spans="1:29" ht="14.25" customHeight="1">
      <c r="A594" s="23">
        <v>592</v>
      </c>
      <c r="B594" s="23" t="s">
        <v>793</v>
      </c>
      <c r="C594" s="23">
        <v>2</v>
      </c>
      <c r="D594" s="25">
        <v>15.5</v>
      </c>
      <c r="E594" s="25" t="s">
        <v>61</v>
      </c>
      <c r="F594" s="23" t="s">
        <v>55</v>
      </c>
      <c r="G594" s="111" t="s">
        <v>104</v>
      </c>
      <c r="H594" s="128"/>
      <c r="I594" s="127"/>
      <c r="J594" s="128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 spans="1:29" ht="14.25" customHeight="1">
      <c r="A595" s="23">
        <v>593</v>
      </c>
      <c r="B595" s="23" t="s">
        <v>793</v>
      </c>
      <c r="C595" s="23">
        <v>3</v>
      </c>
      <c r="D595" s="25">
        <v>13.5</v>
      </c>
      <c r="E595" s="25">
        <v>11</v>
      </c>
      <c r="F595" s="23" t="s">
        <v>55</v>
      </c>
      <c r="G595" s="111" t="s">
        <v>104</v>
      </c>
      <c r="H595" s="128"/>
      <c r="I595" s="127"/>
      <c r="J595" s="128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 spans="1:29" ht="14.25" customHeight="1">
      <c r="A596" s="23">
        <v>594</v>
      </c>
      <c r="B596" s="23" t="s">
        <v>795</v>
      </c>
      <c r="C596" s="23">
        <v>1</v>
      </c>
      <c r="D596" s="25">
        <v>16.600000000000001</v>
      </c>
      <c r="E596" s="25">
        <v>10.9</v>
      </c>
      <c r="F596" s="23" t="s">
        <v>47</v>
      </c>
      <c r="G596" s="111" t="s">
        <v>104</v>
      </c>
      <c r="H596" s="128"/>
      <c r="I596" s="127"/>
      <c r="J596" s="128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 spans="1:29" ht="14.25" customHeight="1">
      <c r="A597" s="23">
        <v>595</v>
      </c>
      <c r="B597" s="23" t="s">
        <v>795</v>
      </c>
      <c r="C597" s="23">
        <v>2</v>
      </c>
      <c r="D597" s="25">
        <v>16.600000000000001</v>
      </c>
      <c r="E597" s="25" t="s">
        <v>61</v>
      </c>
      <c r="F597" s="23" t="s">
        <v>47</v>
      </c>
      <c r="G597" s="111" t="s">
        <v>104</v>
      </c>
      <c r="H597" s="128"/>
      <c r="I597" s="127"/>
      <c r="J597" s="128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 spans="1:29" ht="14.25" customHeight="1">
      <c r="A598" s="23">
        <v>596</v>
      </c>
      <c r="B598" s="23" t="s">
        <v>795</v>
      </c>
      <c r="C598" s="23">
        <v>3</v>
      </c>
      <c r="D598" s="25">
        <v>12.6</v>
      </c>
      <c r="E598" s="25">
        <v>10.9</v>
      </c>
      <c r="F598" s="23" t="s">
        <v>62</v>
      </c>
      <c r="G598" s="147" t="s">
        <v>54</v>
      </c>
      <c r="H598" s="128"/>
      <c r="I598" s="127"/>
      <c r="J598" s="128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 spans="1:29" ht="14.25" customHeight="1">
      <c r="A599" s="23">
        <v>597</v>
      </c>
      <c r="B599" s="23" t="s">
        <v>797</v>
      </c>
      <c r="C599" s="23">
        <v>1</v>
      </c>
      <c r="D599" s="25">
        <v>12.7</v>
      </c>
      <c r="E599" s="25">
        <v>10.9</v>
      </c>
      <c r="F599" s="23" t="s">
        <v>62</v>
      </c>
      <c r="G599" s="147" t="s">
        <v>54</v>
      </c>
      <c r="H599" s="128"/>
      <c r="I599" s="127"/>
      <c r="J599" s="128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 spans="1:29" ht="14.25" customHeight="1">
      <c r="A600" s="23">
        <v>598</v>
      </c>
      <c r="B600" s="23" t="s">
        <v>797</v>
      </c>
      <c r="C600" s="23">
        <v>2</v>
      </c>
      <c r="D600" s="25">
        <v>16.600000000000001</v>
      </c>
      <c r="E600" s="25" t="s">
        <v>61</v>
      </c>
      <c r="F600" s="23" t="s">
        <v>12</v>
      </c>
      <c r="G600" s="74"/>
      <c r="H600" s="128"/>
      <c r="I600" s="127"/>
      <c r="J600" s="128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 spans="1:29" ht="14.25" customHeight="1">
      <c r="A601" s="23">
        <v>599</v>
      </c>
      <c r="B601" s="23" t="s">
        <v>797</v>
      </c>
      <c r="C601" s="23">
        <v>3</v>
      </c>
      <c r="D601" s="25">
        <v>16.5</v>
      </c>
      <c r="E601" s="25">
        <v>10.9</v>
      </c>
      <c r="F601" s="23" t="s">
        <v>112</v>
      </c>
      <c r="G601" s="111" t="s">
        <v>104</v>
      </c>
      <c r="H601" s="128"/>
      <c r="I601" s="127"/>
      <c r="J601" s="128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 spans="1:29" ht="14.25" customHeight="1">
      <c r="A602" s="23">
        <v>600</v>
      </c>
      <c r="B602" s="23" t="s">
        <v>798</v>
      </c>
      <c r="C602" s="23">
        <v>1</v>
      </c>
      <c r="D602" s="25">
        <v>17.399999999999999</v>
      </c>
      <c r="E602" s="25">
        <v>10.8</v>
      </c>
      <c r="F602" s="23" t="s">
        <v>55</v>
      </c>
      <c r="G602" s="111" t="s">
        <v>104</v>
      </c>
      <c r="H602" s="128"/>
      <c r="I602" s="127"/>
      <c r="J602" s="128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 spans="1:29" ht="14.25" customHeight="1">
      <c r="A603" s="23">
        <v>601</v>
      </c>
      <c r="B603" s="23" t="s">
        <v>798</v>
      </c>
      <c r="C603" s="23">
        <v>2</v>
      </c>
      <c r="D603" s="25">
        <v>16.3</v>
      </c>
      <c r="E603" s="25" t="s">
        <v>61</v>
      </c>
      <c r="F603" s="23" t="s">
        <v>55</v>
      </c>
      <c r="G603" s="111" t="s">
        <v>104</v>
      </c>
      <c r="H603" s="128"/>
      <c r="I603" s="127"/>
      <c r="J603" s="128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 spans="1:29" ht="14.25" customHeight="1">
      <c r="A604" s="23">
        <v>602</v>
      </c>
      <c r="B604" s="23" t="s">
        <v>798</v>
      </c>
      <c r="C604" s="23">
        <v>3</v>
      </c>
      <c r="D604" s="25">
        <v>13.4</v>
      </c>
      <c r="E604" s="25">
        <v>10.6</v>
      </c>
      <c r="F604" s="23" t="s">
        <v>55</v>
      </c>
      <c r="G604" s="111" t="s">
        <v>104</v>
      </c>
      <c r="H604" s="128"/>
      <c r="I604" s="127"/>
      <c r="J604" s="128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 spans="1:29" ht="14.25" customHeight="1">
      <c r="A605" s="23">
        <v>603</v>
      </c>
      <c r="B605" s="23" t="s">
        <v>799</v>
      </c>
      <c r="C605" s="23">
        <v>1</v>
      </c>
      <c r="D605" s="25">
        <v>16.8</v>
      </c>
      <c r="E605" s="25">
        <v>10.8</v>
      </c>
      <c r="F605" s="23" t="s">
        <v>79</v>
      </c>
      <c r="G605" s="111" t="s">
        <v>104</v>
      </c>
      <c r="H605" s="128"/>
      <c r="I605" s="127"/>
      <c r="J605" s="128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 spans="1:29" ht="14.25" customHeight="1">
      <c r="A606" s="23">
        <v>604</v>
      </c>
      <c r="B606" s="23" t="s">
        <v>799</v>
      </c>
      <c r="C606" s="23">
        <v>2</v>
      </c>
      <c r="D606" s="25">
        <v>16.399999999999999</v>
      </c>
      <c r="E606" s="25" t="s">
        <v>61</v>
      </c>
      <c r="F606" s="23" t="s">
        <v>55</v>
      </c>
      <c r="G606" s="111" t="s">
        <v>104</v>
      </c>
      <c r="H606" s="128"/>
      <c r="I606" s="127"/>
      <c r="J606" s="128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 spans="1:29" ht="14.25" customHeight="1">
      <c r="A607" s="23">
        <v>605</v>
      </c>
      <c r="B607" s="23" t="s">
        <v>799</v>
      </c>
      <c r="C607" s="23">
        <v>3</v>
      </c>
      <c r="D607" s="25">
        <v>12.4</v>
      </c>
      <c r="E607" s="25">
        <v>11.2</v>
      </c>
      <c r="F607" s="23" t="s">
        <v>112</v>
      </c>
      <c r="G607" s="111" t="s">
        <v>104</v>
      </c>
      <c r="H607" s="128"/>
      <c r="I607" s="127"/>
      <c r="J607" s="128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 spans="1:29" ht="14.25" customHeight="1">
      <c r="A608" s="23">
        <v>606</v>
      </c>
      <c r="B608" s="23" t="s">
        <v>800</v>
      </c>
      <c r="C608" s="23">
        <v>1</v>
      </c>
      <c r="D608" s="25">
        <v>15</v>
      </c>
      <c r="E608" s="25">
        <v>10.4</v>
      </c>
      <c r="F608" s="23" t="s">
        <v>77</v>
      </c>
      <c r="G608" s="147" t="s">
        <v>54</v>
      </c>
      <c r="H608" s="128"/>
      <c r="I608" s="127"/>
      <c r="J608" s="128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 spans="1:29" ht="14.25" customHeight="1">
      <c r="A609" s="23">
        <v>607</v>
      </c>
      <c r="B609" s="23" t="s">
        <v>800</v>
      </c>
      <c r="C609" s="23">
        <v>2</v>
      </c>
      <c r="D609" s="25">
        <v>15.8</v>
      </c>
      <c r="E609" s="25" t="s">
        <v>61</v>
      </c>
      <c r="F609" s="23" t="s">
        <v>77</v>
      </c>
      <c r="G609" s="147" t="s">
        <v>54</v>
      </c>
      <c r="H609" s="128"/>
      <c r="I609" s="127"/>
      <c r="J609" s="128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 spans="1:29" ht="14.25" customHeight="1">
      <c r="A610" s="23">
        <v>608</v>
      </c>
      <c r="B610" s="23" t="s">
        <v>800</v>
      </c>
      <c r="C610" s="23">
        <v>3</v>
      </c>
      <c r="D610" s="25">
        <v>13</v>
      </c>
      <c r="E610" s="25">
        <v>10.4</v>
      </c>
      <c r="F610" s="23" t="s">
        <v>118</v>
      </c>
      <c r="G610" s="147" t="s">
        <v>54</v>
      </c>
      <c r="H610" s="128"/>
      <c r="I610" s="127"/>
      <c r="J610" s="128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 spans="1:29" ht="14.25" customHeight="1">
      <c r="A611" s="23">
        <v>609</v>
      </c>
      <c r="B611" s="23" t="s">
        <v>801</v>
      </c>
      <c r="C611" s="23">
        <v>1</v>
      </c>
      <c r="D611" s="25">
        <v>16.7</v>
      </c>
      <c r="E611" s="25">
        <v>10.6</v>
      </c>
      <c r="F611" s="23" t="s">
        <v>77</v>
      </c>
      <c r="G611" s="147" t="s">
        <v>54</v>
      </c>
      <c r="H611" s="128"/>
      <c r="I611" s="127"/>
      <c r="J611" s="128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 spans="1:29" ht="14.25" customHeight="1">
      <c r="A612" s="23">
        <v>610</v>
      </c>
      <c r="B612" s="23" t="s">
        <v>801</v>
      </c>
      <c r="C612" s="23">
        <v>2</v>
      </c>
      <c r="D612" s="25">
        <v>17.100000000000001</v>
      </c>
      <c r="E612" s="25" t="s">
        <v>61</v>
      </c>
      <c r="F612" s="23" t="s">
        <v>69</v>
      </c>
      <c r="G612" s="74"/>
      <c r="H612" s="128"/>
      <c r="I612" s="127"/>
      <c r="J612" s="128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 spans="1:29" ht="14.25" customHeight="1">
      <c r="A613" s="23">
        <v>611</v>
      </c>
      <c r="B613" s="23" t="s">
        <v>801</v>
      </c>
      <c r="C613" s="23">
        <v>3</v>
      </c>
      <c r="D613" s="25">
        <v>12.4</v>
      </c>
      <c r="E613" s="25">
        <v>10.6</v>
      </c>
      <c r="F613" s="23" t="s">
        <v>69</v>
      </c>
      <c r="G613" s="41" t="s">
        <v>104</v>
      </c>
      <c r="H613" s="128"/>
      <c r="I613" s="127"/>
      <c r="J613" s="128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 spans="1:29" ht="14.25" customHeight="1">
      <c r="A614" s="23">
        <v>612</v>
      </c>
      <c r="B614" s="23" t="s">
        <v>802</v>
      </c>
      <c r="C614" s="23">
        <v>1</v>
      </c>
      <c r="D614" s="25">
        <v>16</v>
      </c>
      <c r="E614" s="25">
        <v>10.9</v>
      </c>
      <c r="F614" s="23" t="s">
        <v>88</v>
      </c>
      <c r="G614" s="111" t="s">
        <v>104</v>
      </c>
      <c r="H614" s="128"/>
      <c r="I614" s="127"/>
      <c r="J614" s="128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 spans="1:29" ht="14.25" customHeight="1">
      <c r="A615" s="23">
        <v>613</v>
      </c>
      <c r="B615" s="23" t="s">
        <v>802</v>
      </c>
      <c r="C615" s="23">
        <v>2</v>
      </c>
      <c r="D615" s="25">
        <v>15.8</v>
      </c>
      <c r="E615" s="25" t="s">
        <v>61</v>
      </c>
      <c r="F615" s="23" t="s">
        <v>88</v>
      </c>
      <c r="G615" s="111" t="s">
        <v>104</v>
      </c>
      <c r="H615" s="128"/>
      <c r="I615" s="127"/>
      <c r="J615" s="128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 spans="1:29" ht="14.25" customHeight="1">
      <c r="A616" s="23">
        <v>614</v>
      </c>
      <c r="B616" s="23" t="s">
        <v>802</v>
      </c>
      <c r="C616" s="23">
        <v>3</v>
      </c>
      <c r="D616" s="25">
        <v>13.3</v>
      </c>
      <c r="E616" s="25">
        <v>10.9</v>
      </c>
      <c r="F616" s="23" t="s">
        <v>150</v>
      </c>
      <c r="G616" s="111" t="s">
        <v>178</v>
      </c>
      <c r="H616" s="128"/>
      <c r="I616" s="127"/>
      <c r="J616" s="128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 spans="1:29" ht="14.25" customHeight="1">
      <c r="A617" s="23">
        <v>615</v>
      </c>
      <c r="B617" s="23" t="s">
        <v>803</v>
      </c>
      <c r="C617" s="23">
        <v>1</v>
      </c>
      <c r="D617" s="25">
        <v>16.899999999999999</v>
      </c>
      <c r="E617" s="25">
        <v>10.8</v>
      </c>
      <c r="F617" s="23" t="s">
        <v>118</v>
      </c>
      <c r="G617" s="147" t="s">
        <v>54</v>
      </c>
      <c r="H617" s="128"/>
      <c r="I617" s="127"/>
      <c r="J617" s="128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 spans="1:29" ht="14.25" customHeight="1">
      <c r="A618" s="23">
        <v>616</v>
      </c>
      <c r="B618" s="23" t="s">
        <v>803</v>
      </c>
      <c r="C618" s="23">
        <v>2</v>
      </c>
      <c r="D618" s="25">
        <v>16.3</v>
      </c>
      <c r="E618" s="25" t="s">
        <v>61</v>
      </c>
      <c r="F618" s="26" t="s">
        <v>47</v>
      </c>
      <c r="G618" s="147" t="s">
        <v>54</v>
      </c>
      <c r="H618" s="128"/>
      <c r="I618" s="122" t="s">
        <v>612</v>
      </c>
      <c r="J618" s="128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 spans="1:29" ht="14.25" customHeight="1">
      <c r="A619" s="23">
        <v>617</v>
      </c>
      <c r="B619" s="23" t="s">
        <v>803</v>
      </c>
      <c r="C619" s="23">
        <v>3</v>
      </c>
      <c r="D619" s="25">
        <v>13.1</v>
      </c>
      <c r="E619" s="25">
        <v>10.8</v>
      </c>
      <c r="F619" s="26" t="s">
        <v>47</v>
      </c>
      <c r="G619" s="147" t="s">
        <v>54</v>
      </c>
      <c r="H619" s="128"/>
      <c r="I619" s="122" t="s">
        <v>612</v>
      </c>
      <c r="J619" s="128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 spans="1:29" ht="14.25" customHeight="1">
      <c r="A620" s="23">
        <v>618</v>
      </c>
      <c r="B620" s="23" t="s">
        <v>804</v>
      </c>
      <c r="C620" s="23">
        <v>1</v>
      </c>
      <c r="D620" s="25">
        <v>17.3</v>
      </c>
      <c r="E620" s="25">
        <v>10.199999999999999</v>
      </c>
      <c r="F620" s="23" t="s">
        <v>79</v>
      </c>
      <c r="G620" s="111" t="s">
        <v>104</v>
      </c>
      <c r="H620" s="128"/>
      <c r="I620" s="127"/>
      <c r="J620" s="128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 spans="1:29" ht="14.25" customHeight="1">
      <c r="A621" s="23">
        <v>619</v>
      </c>
      <c r="B621" s="23" t="s">
        <v>804</v>
      </c>
      <c r="C621" s="23">
        <v>2</v>
      </c>
      <c r="D621" s="25">
        <v>15.5</v>
      </c>
      <c r="E621" s="25" t="s">
        <v>61</v>
      </c>
      <c r="F621" s="23" t="s">
        <v>79</v>
      </c>
      <c r="G621" s="111" t="s">
        <v>104</v>
      </c>
      <c r="H621" s="128"/>
      <c r="I621" s="127"/>
      <c r="J621" s="128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 spans="1:29" ht="14.25" customHeight="1">
      <c r="A622" s="23">
        <v>620</v>
      </c>
      <c r="B622" s="23" t="s">
        <v>804</v>
      </c>
      <c r="C622" s="23">
        <v>3</v>
      </c>
      <c r="D622" s="25">
        <v>11.3</v>
      </c>
      <c r="E622" s="25">
        <v>10.199999999999999</v>
      </c>
      <c r="F622" s="23" t="s">
        <v>118</v>
      </c>
      <c r="G622" s="147" t="s">
        <v>54</v>
      </c>
      <c r="H622" s="128"/>
      <c r="I622" s="127"/>
      <c r="J622" s="128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 spans="1:29" ht="14.25" customHeight="1">
      <c r="A623" s="23">
        <v>621</v>
      </c>
      <c r="B623" s="23" t="s">
        <v>805</v>
      </c>
      <c r="C623" s="23">
        <v>1</v>
      </c>
      <c r="D623" s="25">
        <v>12.5</v>
      </c>
      <c r="E623" s="25">
        <v>10.5</v>
      </c>
      <c r="F623" s="23" t="s">
        <v>36</v>
      </c>
      <c r="G623" s="147" t="s">
        <v>54</v>
      </c>
      <c r="H623" s="128"/>
      <c r="I623" s="127"/>
      <c r="J623" s="128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 spans="1:29" ht="14.25" customHeight="1">
      <c r="A624" s="23">
        <v>622</v>
      </c>
      <c r="B624" s="23" t="s">
        <v>805</v>
      </c>
      <c r="C624" s="23">
        <v>2</v>
      </c>
      <c r="D624" s="25">
        <v>15.8</v>
      </c>
      <c r="E624" s="25" t="s">
        <v>61</v>
      </c>
      <c r="F624" s="23" t="s">
        <v>77</v>
      </c>
      <c r="G624" s="147" t="s">
        <v>54</v>
      </c>
      <c r="H624" s="128"/>
      <c r="I624" s="127"/>
      <c r="J624" s="128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 spans="1:29" ht="14.25" customHeight="1">
      <c r="A625" s="23">
        <v>623</v>
      </c>
      <c r="B625" s="23" t="s">
        <v>805</v>
      </c>
      <c r="C625" s="23">
        <v>3</v>
      </c>
      <c r="D625" s="25">
        <v>14.9</v>
      </c>
      <c r="E625" s="25">
        <v>10.7</v>
      </c>
      <c r="F625" s="23" t="s">
        <v>150</v>
      </c>
      <c r="G625" s="111" t="s">
        <v>178</v>
      </c>
      <c r="H625" s="128"/>
      <c r="I625" s="127"/>
      <c r="J625" s="128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 spans="1:29" ht="14.25" customHeight="1">
      <c r="A626" s="23">
        <v>624</v>
      </c>
      <c r="B626" s="23" t="s">
        <v>806</v>
      </c>
      <c r="C626" s="23">
        <v>1</v>
      </c>
      <c r="D626" s="25">
        <v>12.9</v>
      </c>
      <c r="E626" s="25">
        <v>10.4</v>
      </c>
      <c r="F626" s="23" t="s">
        <v>12</v>
      </c>
      <c r="G626" s="74"/>
      <c r="H626" s="128"/>
      <c r="I626" s="127"/>
      <c r="J626" s="128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 spans="1:29" ht="14.25" customHeight="1">
      <c r="A627" s="23">
        <v>625</v>
      </c>
      <c r="B627" s="23" t="s">
        <v>806</v>
      </c>
      <c r="C627" s="23">
        <v>2</v>
      </c>
      <c r="D627" s="25">
        <v>15.9</v>
      </c>
      <c r="E627" s="25" t="s">
        <v>61</v>
      </c>
      <c r="F627" s="23" t="s">
        <v>12</v>
      </c>
      <c r="G627" s="74"/>
      <c r="H627" s="128"/>
      <c r="I627" s="127"/>
      <c r="J627" s="128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 spans="1:29" ht="14.25" customHeight="1">
      <c r="A628" s="23">
        <v>626</v>
      </c>
      <c r="B628" s="23" t="s">
        <v>806</v>
      </c>
      <c r="C628" s="23">
        <v>3</v>
      </c>
      <c r="D628" s="25">
        <v>16.3</v>
      </c>
      <c r="E628" s="25">
        <v>10.4</v>
      </c>
      <c r="F628" s="23" t="s">
        <v>62</v>
      </c>
      <c r="G628" s="147" t="s">
        <v>54</v>
      </c>
      <c r="H628" s="128"/>
      <c r="I628" s="127"/>
      <c r="J628" s="128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 spans="1:29" ht="14.25" customHeight="1">
      <c r="A629" s="23">
        <v>627</v>
      </c>
      <c r="B629" s="23" t="s">
        <v>807</v>
      </c>
      <c r="C629" s="23">
        <v>1</v>
      </c>
      <c r="D629" s="25">
        <v>17</v>
      </c>
      <c r="E629" s="25">
        <v>10.8</v>
      </c>
      <c r="F629" s="23" t="s">
        <v>62</v>
      </c>
      <c r="G629" s="147" t="s">
        <v>54</v>
      </c>
      <c r="H629" s="128"/>
      <c r="I629" s="127"/>
      <c r="J629" s="128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 spans="1:29" ht="14.25" customHeight="1">
      <c r="A630" s="23">
        <v>628</v>
      </c>
      <c r="B630" s="23" t="s">
        <v>807</v>
      </c>
      <c r="C630" s="23">
        <v>2</v>
      </c>
      <c r="D630" s="25">
        <v>16.100000000000001</v>
      </c>
      <c r="E630" s="25" t="s">
        <v>61</v>
      </c>
      <c r="F630" s="23" t="s">
        <v>89</v>
      </c>
      <c r="G630" s="111" t="s">
        <v>104</v>
      </c>
      <c r="H630" s="128"/>
      <c r="I630" s="127"/>
      <c r="J630" s="128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 spans="1:29" ht="14.25" customHeight="1">
      <c r="A631" s="23">
        <v>629</v>
      </c>
      <c r="B631" s="23" t="s">
        <v>807</v>
      </c>
      <c r="C631" s="23">
        <v>3</v>
      </c>
      <c r="D631" s="25">
        <v>13</v>
      </c>
      <c r="E631" s="25">
        <v>10.9</v>
      </c>
      <c r="F631" s="23" t="s">
        <v>89</v>
      </c>
      <c r="G631" s="111" t="s">
        <v>104</v>
      </c>
      <c r="H631" s="128"/>
      <c r="I631" s="127"/>
      <c r="J631" s="128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 spans="1:29" ht="14.25" customHeight="1">
      <c r="A632" s="23">
        <v>630</v>
      </c>
      <c r="B632" s="23" t="s">
        <v>808</v>
      </c>
      <c r="C632" s="23">
        <v>1</v>
      </c>
      <c r="D632" s="25">
        <v>16.600000000000001</v>
      </c>
      <c r="E632" s="25">
        <v>10.4</v>
      </c>
      <c r="F632" s="23" t="s">
        <v>62</v>
      </c>
      <c r="G632" s="147" t="s">
        <v>54</v>
      </c>
      <c r="H632" s="128"/>
      <c r="I632" s="127"/>
      <c r="J632" s="128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 spans="1:29" ht="14.25" customHeight="1">
      <c r="A633" s="23">
        <v>631</v>
      </c>
      <c r="B633" s="23" t="s">
        <v>808</v>
      </c>
      <c r="C633" s="23">
        <v>2</v>
      </c>
      <c r="D633" s="25">
        <v>17.100000000000001</v>
      </c>
      <c r="E633" s="25" t="s">
        <v>61</v>
      </c>
      <c r="F633" s="23" t="s">
        <v>88</v>
      </c>
      <c r="G633" s="111" t="s">
        <v>104</v>
      </c>
      <c r="H633" s="128"/>
      <c r="I633" s="127"/>
      <c r="J633" s="128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 spans="1:29" ht="14.25" customHeight="1">
      <c r="A634" s="23">
        <v>632</v>
      </c>
      <c r="B634" s="23" t="s">
        <v>808</v>
      </c>
      <c r="C634" s="23">
        <v>3</v>
      </c>
      <c r="D634" s="25">
        <v>11.5</v>
      </c>
      <c r="E634" s="25">
        <v>10.4</v>
      </c>
      <c r="F634" s="23" t="s">
        <v>88</v>
      </c>
      <c r="G634" s="111" t="s">
        <v>104</v>
      </c>
      <c r="H634" s="128"/>
      <c r="I634" s="127"/>
      <c r="J634" s="128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 spans="1:29" ht="14.25" customHeight="1">
      <c r="A635" s="23">
        <v>633</v>
      </c>
      <c r="B635" s="23" t="s">
        <v>809</v>
      </c>
      <c r="C635" s="23">
        <v>1</v>
      </c>
      <c r="D635" s="25">
        <v>16.3</v>
      </c>
      <c r="E635" s="25">
        <v>10.5</v>
      </c>
      <c r="F635" s="23" t="s">
        <v>47</v>
      </c>
      <c r="G635" s="111" t="s">
        <v>104</v>
      </c>
      <c r="H635" s="128"/>
      <c r="I635" s="127"/>
      <c r="J635" s="128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 spans="1:29" ht="14.25" customHeight="1">
      <c r="A636" s="23">
        <v>634</v>
      </c>
      <c r="B636" s="23" t="s">
        <v>809</v>
      </c>
      <c r="C636" s="23">
        <v>2</v>
      </c>
      <c r="D636" s="25">
        <v>16.3</v>
      </c>
      <c r="E636" s="25" t="s">
        <v>61</v>
      </c>
      <c r="F636" s="23" t="s">
        <v>47</v>
      </c>
      <c r="G636" s="111" t="s">
        <v>104</v>
      </c>
      <c r="H636" s="128"/>
      <c r="I636" s="127"/>
      <c r="J636" s="128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 spans="1:29" ht="14.25" customHeight="1">
      <c r="A637" s="23">
        <v>635</v>
      </c>
      <c r="B637" s="23" t="s">
        <v>809</v>
      </c>
      <c r="C637" s="23">
        <v>3</v>
      </c>
      <c r="D637" s="25">
        <v>12.6</v>
      </c>
      <c r="E637" s="25">
        <v>10.6</v>
      </c>
      <c r="F637" s="23" t="s">
        <v>47</v>
      </c>
      <c r="G637" s="111" t="s">
        <v>104</v>
      </c>
      <c r="H637" s="128"/>
      <c r="I637" s="127"/>
      <c r="J637" s="128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 spans="1:29" ht="14.25" customHeight="1">
      <c r="A638" s="23">
        <v>636</v>
      </c>
      <c r="B638" s="23" t="s">
        <v>810</v>
      </c>
      <c r="C638" s="23">
        <v>1</v>
      </c>
      <c r="D638" s="25">
        <v>12.1</v>
      </c>
      <c r="E638" s="25">
        <v>10.6</v>
      </c>
      <c r="F638" s="23" t="s">
        <v>150</v>
      </c>
      <c r="G638" s="111" t="s">
        <v>178</v>
      </c>
      <c r="H638" s="128"/>
      <c r="I638" s="127"/>
      <c r="J638" s="128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 spans="1:29" ht="14.25" customHeight="1">
      <c r="A639" s="23">
        <v>637</v>
      </c>
      <c r="B639" s="23" t="s">
        <v>810</v>
      </c>
      <c r="C639" s="23">
        <v>2</v>
      </c>
      <c r="D639" s="25">
        <v>14.9</v>
      </c>
      <c r="E639" s="25" t="s">
        <v>61</v>
      </c>
      <c r="F639" s="23" t="s">
        <v>12</v>
      </c>
      <c r="G639" s="74"/>
      <c r="H639" s="128"/>
      <c r="I639" s="127"/>
      <c r="J639" s="128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 spans="1:29" ht="14.25" customHeight="1">
      <c r="A640" s="23">
        <v>638</v>
      </c>
      <c r="B640" s="23" t="s">
        <v>810</v>
      </c>
      <c r="C640" s="23">
        <v>3</v>
      </c>
      <c r="D640" s="25">
        <v>15.5</v>
      </c>
      <c r="E640" s="25">
        <v>10.5</v>
      </c>
      <c r="F640" s="23" t="s">
        <v>77</v>
      </c>
      <c r="G640" s="147" t="s">
        <v>54</v>
      </c>
      <c r="H640" s="128"/>
      <c r="I640" s="127"/>
      <c r="J640" s="128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 spans="1:29" ht="14.25" customHeight="1">
      <c r="A641" s="23">
        <v>639</v>
      </c>
      <c r="B641" s="23" t="s">
        <v>811</v>
      </c>
      <c r="C641" s="23">
        <v>1</v>
      </c>
      <c r="D641" s="25">
        <v>16</v>
      </c>
      <c r="E641" s="25">
        <v>10.4</v>
      </c>
      <c r="F641" s="23" t="s">
        <v>62</v>
      </c>
      <c r="G641" s="147" t="s">
        <v>54</v>
      </c>
      <c r="H641" s="128"/>
      <c r="I641" s="127"/>
      <c r="J641" s="128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 spans="1:29" ht="14.25" customHeight="1">
      <c r="A642" s="23">
        <v>640</v>
      </c>
      <c r="B642" s="23" t="s">
        <v>811</v>
      </c>
      <c r="C642" s="23">
        <v>2</v>
      </c>
      <c r="D642" s="25">
        <v>15.8</v>
      </c>
      <c r="E642" s="25" t="s">
        <v>61</v>
      </c>
      <c r="F642" s="23" t="s">
        <v>62</v>
      </c>
      <c r="G642" s="147" t="s">
        <v>54</v>
      </c>
      <c r="H642" s="128"/>
      <c r="I642" s="127"/>
      <c r="J642" s="128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 spans="1:29" ht="14.25" customHeight="1">
      <c r="A643" s="23">
        <v>641</v>
      </c>
      <c r="B643" s="23" t="s">
        <v>811</v>
      </c>
      <c r="C643" s="23">
        <v>3</v>
      </c>
      <c r="D643" s="25">
        <v>13.1</v>
      </c>
      <c r="E643" s="25">
        <v>10.7</v>
      </c>
      <c r="F643" s="23" t="s">
        <v>150</v>
      </c>
      <c r="G643" s="111" t="s">
        <v>178</v>
      </c>
      <c r="H643" s="128"/>
      <c r="I643" s="127"/>
      <c r="J643" s="128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 spans="1:29" ht="14.25" customHeight="1">
      <c r="A644" s="23">
        <v>642</v>
      </c>
      <c r="B644" s="23" t="s">
        <v>812</v>
      </c>
      <c r="C644" s="23">
        <v>1</v>
      </c>
      <c r="D644" s="25">
        <v>16.8</v>
      </c>
      <c r="E644" s="25">
        <v>10.5</v>
      </c>
      <c r="F644" s="23" t="s">
        <v>47</v>
      </c>
      <c r="G644" s="111" t="s">
        <v>104</v>
      </c>
      <c r="H644" s="128"/>
      <c r="I644" s="127"/>
      <c r="J644" s="128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 spans="1:29" ht="14.25" customHeight="1">
      <c r="A645" s="23">
        <v>643</v>
      </c>
      <c r="B645" s="23" t="s">
        <v>812</v>
      </c>
      <c r="C645" s="23">
        <v>2</v>
      </c>
      <c r="D645" s="25">
        <v>16</v>
      </c>
      <c r="E645" s="25" t="s">
        <v>61</v>
      </c>
      <c r="F645" s="23" t="s">
        <v>47</v>
      </c>
      <c r="G645" s="111" t="s">
        <v>104</v>
      </c>
      <c r="H645" s="128"/>
      <c r="I645" s="127"/>
      <c r="J645" s="128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 spans="1:29" ht="14.25" customHeight="1">
      <c r="A646" s="23">
        <v>644</v>
      </c>
      <c r="B646" s="23" t="s">
        <v>812</v>
      </c>
      <c r="C646" s="23">
        <v>3</v>
      </c>
      <c r="D646" s="25">
        <v>13</v>
      </c>
      <c r="E646" s="25">
        <v>10.7</v>
      </c>
      <c r="F646" s="23" t="s">
        <v>47</v>
      </c>
      <c r="G646" s="111" t="s">
        <v>104</v>
      </c>
      <c r="H646" s="128"/>
      <c r="I646" s="127"/>
      <c r="J646" s="128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 spans="1:29" ht="14.25" customHeight="1">
      <c r="A647" s="23">
        <v>645</v>
      </c>
      <c r="B647" s="23" t="s">
        <v>813</v>
      </c>
      <c r="C647" s="23">
        <v>1</v>
      </c>
      <c r="D647" s="25">
        <v>17.8</v>
      </c>
      <c r="E647" s="25">
        <v>10.8</v>
      </c>
      <c r="F647" s="23" t="s">
        <v>62</v>
      </c>
      <c r="G647" s="147" t="s">
        <v>54</v>
      </c>
      <c r="H647" s="128"/>
      <c r="I647" s="127"/>
      <c r="J647" s="128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 spans="1:29" ht="14.25" customHeight="1">
      <c r="A648" s="23">
        <v>646</v>
      </c>
      <c r="B648" s="23" t="s">
        <v>813</v>
      </c>
      <c r="C648" s="23">
        <v>2</v>
      </c>
      <c r="D648" s="25">
        <v>16.7</v>
      </c>
      <c r="E648" s="25" t="s">
        <v>61</v>
      </c>
      <c r="F648" s="26" t="s">
        <v>62</v>
      </c>
      <c r="G648" s="147" t="s">
        <v>54</v>
      </c>
      <c r="H648" s="128"/>
      <c r="I648" s="122" t="s">
        <v>180</v>
      </c>
      <c r="J648" s="128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 spans="1:29" ht="14.25" customHeight="1">
      <c r="A649" s="23">
        <v>647</v>
      </c>
      <c r="B649" s="23" t="s">
        <v>813</v>
      </c>
      <c r="C649" s="23">
        <v>3</v>
      </c>
      <c r="D649" s="25">
        <v>12.6</v>
      </c>
      <c r="E649" s="25">
        <v>10.7</v>
      </c>
      <c r="F649" s="23" t="s">
        <v>62</v>
      </c>
      <c r="G649" s="147" t="s">
        <v>54</v>
      </c>
      <c r="H649" s="128"/>
      <c r="I649" s="122" t="s">
        <v>180</v>
      </c>
      <c r="J649" s="128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 spans="1:29" ht="14.25" customHeight="1">
      <c r="A650" s="23">
        <v>648</v>
      </c>
      <c r="B650" s="23" t="s">
        <v>814</v>
      </c>
      <c r="C650" s="23">
        <v>1</v>
      </c>
      <c r="D650" s="25">
        <v>17.2</v>
      </c>
      <c r="E650" s="25">
        <v>10.9</v>
      </c>
      <c r="F650" s="23" t="s">
        <v>77</v>
      </c>
      <c r="G650" s="147" t="s">
        <v>54</v>
      </c>
      <c r="H650" s="128"/>
      <c r="I650" s="127"/>
      <c r="J650" s="128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 spans="1:29" ht="14.25" customHeight="1">
      <c r="A651" s="23">
        <v>649</v>
      </c>
      <c r="B651" s="23" t="s">
        <v>814</v>
      </c>
      <c r="C651" s="23">
        <v>2</v>
      </c>
      <c r="D651" s="25">
        <v>16.600000000000001</v>
      </c>
      <c r="E651" s="25" t="s">
        <v>61</v>
      </c>
      <c r="F651" s="23" t="s">
        <v>36</v>
      </c>
      <c r="G651" s="147" t="s">
        <v>54</v>
      </c>
      <c r="H651" s="128"/>
      <c r="I651" s="127"/>
      <c r="J651" s="128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 spans="1:29" ht="14.25" customHeight="1">
      <c r="A652" s="23">
        <v>650</v>
      </c>
      <c r="B652" s="23" t="s">
        <v>814</v>
      </c>
      <c r="C652" s="23">
        <v>3</v>
      </c>
      <c r="D652" s="25">
        <v>12.8</v>
      </c>
      <c r="E652" s="25">
        <v>10.9</v>
      </c>
      <c r="F652" s="23" t="s">
        <v>36</v>
      </c>
      <c r="G652" s="147" t="s">
        <v>54</v>
      </c>
      <c r="H652" s="128"/>
      <c r="I652" s="127"/>
      <c r="J652" s="128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 spans="1:29" ht="14.25" customHeight="1">
      <c r="A653" s="23">
        <v>651</v>
      </c>
      <c r="B653" s="23" t="s">
        <v>815</v>
      </c>
      <c r="C653" s="23">
        <v>1</v>
      </c>
      <c r="D653" s="25">
        <v>12.4</v>
      </c>
      <c r="E653" s="25">
        <v>10.8</v>
      </c>
      <c r="F653" s="23" t="s">
        <v>150</v>
      </c>
      <c r="G653" s="111" t="s">
        <v>178</v>
      </c>
      <c r="H653" s="128"/>
      <c r="I653" s="127"/>
      <c r="J653" s="128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 spans="1:29" ht="14.25" customHeight="1">
      <c r="A654" s="23">
        <v>652</v>
      </c>
      <c r="B654" s="23" t="s">
        <v>815</v>
      </c>
      <c r="C654" s="23">
        <v>2</v>
      </c>
      <c r="D654" s="25">
        <v>17.2</v>
      </c>
      <c r="E654" s="25" t="s">
        <v>61</v>
      </c>
      <c r="F654" s="23" t="s">
        <v>47</v>
      </c>
      <c r="G654" s="111"/>
      <c r="H654" s="128"/>
      <c r="I654" s="127"/>
      <c r="J654" s="128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 spans="1:29" ht="14.25" customHeight="1">
      <c r="A655" s="23">
        <v>653</v>
      </c>
      <c r="B655" s="23" t="s">
        <v>815</v>
      </c>
      <c r="C655" s="23">
        <v>3</v>
      </c>
      <c r="D655" s="25">
        <v>16.7</v>
      </c>
      <c r="E655" s="25">
        <v>10.6</v>
      </c>
      <c r="F655" s="23" t="s">
        <v>36</v>
      </c>
      <c r="G655" s="111" t="s">
        <v>104</v>
      </c>
      <c r="H655" s="128"/>
      <c r="I655" s="127"/>
      <c r="J655" s="128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 spans="1:29" ht="14.25" customHeight="1">
      <c r="A656" s="23">
        <v>654</v>
      </c>
      <c r="B656" s="23" t="s">
        <v>816</v>
      </c>
      <c r="C656" s="23">
        <v>1</v>
      </c>
      <c r="D656" s="25">
        <v>16.899999999999999</v>
      </c>
      <c r="E656" s="25">
        <v>10.7</v>
      </c>
      <c r="F656" s="23" t="s">
        <v>47</v>
      </c>
      <c r="G656" s="111" t="s">
        <v>104</v>
      </c>
      <c r="H656" s="128"/>
      <c r="I656" s="127"/>
      <c r="J656" s="128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 spans="1:29" ht="14.25" customHeight="1">
      <c r="A657" s="23">
        <v>655</v>
      </c>
      <c r="B657" s="23" t="s">
        <v>816</v>
      </c>
      <c r="C657" s="23">
        <v>2</v>
      </c>
      <c r="D657" s="25">
        <v>16.2</v>
      </c>
      <c r="E657" s="25" t="s">
        <v>61</v>
      </c>
      <c r="F657" s="23" t="s">
        <v>47</v>
      </c>
      <c r="G657" s="111" t="s">
        <v>104</v>
      </c>
      <c r="H657" s="128"/>
      <c r="I657" s="127"/>
      <c r="J657" s="128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 spans="1:29" ht="14.25" customHeight="1">
      <c r="A658" s="23">
        <v>656</v>
      </c>
      <c r="B658" s="126" t="s">
        <v>816</v>
      </c>
      <c r="C658" s="126">
        <v>3</v>
      </c>
      <c r="D658" s="129">
        <v>12.9</v>
      </c>
      <c r="E658" s="129">
        <v>10.4</v>
      </c>
      <c r="F658" s="126" t="s">
        <v>47</v>
      </c>
      <c r="G658" s="158" t="s">
        <v>104</v>
      </c>
      <c r="H658" s="157"/>
      <c r="I658" s="127"/>
      <c r="J658" s="128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 spans="1:29" ht="14.25" customHeight="1">
      <c r="A659" s="23">
        <v>657</v>
      </c>
      <c r="B659" s="126" t="s">
        <v>817</v>
      </c>
      <c r="C659" s="126">
        <v>1</v>
      </c>
      <c r="D659" s="129">
        <v>17</v>
      </c>
      <c r="E659" s="129">
        <v>10.8</v>
      </c>
      <c r="F659" s="126" t="s">
        <v>79</v>
      </c>
      <c r="G659" s="158" t="s">
        <v>104</v>
      </c>
      <c r="H659" s="157"/>
      <c r="I659" s="127"/>
      <c r="J659" s="128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 spans="1:29" ht="14.25" customHeight="1">
      <c r="A660" s="23">
        <v>658</v>
      </c>
      <c r="B660" s="126" t="s">
        <v>817</v>
      </c>
      <c r="C660" s="126">
        <v>2</v>
      </c>
      <c r="D660" s="129">
        <v>16.899999999999999</v>
      </c>
      <c r="E660" s="129" t="s">
        <v>61</v>
      </c>
      <c r="F660" s="126" t="s">
        <v>112</v>
      </c>
      <c r="G660" s="158" t="s">
        <v>104</v>
      </c>
      <c r="H660" s="157"/>
      <c r="I660" s="127"/>
      <c r="J660" s="157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 spans="1:29" ht="14.25" customHeight="1">
      <c r="A661" s="23">
        <v>659</v>
      </c>
      <c r="B661" s="126" t="s">
        <v>817</v>
      </c>
      <c r="C661" s="126">
        <v>3</v>
      </c>
      <c r="D661" s="129">
        <v>13.1</v>
      </c>
      <c r="E661" s="129">
        <v>10.6</v>
      </c>
      <c r="F661" s="126" t="s">
        <v>112</v>
      </c>
      <c r="G661" s="158" t="s">
        <v>104</v>
      </c>
      <c r="H661" s="157"/>
      <c r="I661" s="127"/>
      <c r="J661" s="157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 spans="1:29" ht="14.25" customHeight="1">
      <c r="A662" s="23">
        <v>660</v>
      </c>
      <c r="B662" s="126" t="s">
        <v>818</v>
      </c>
      <c r="C662" s="126">
        <v>1</v>
      </c>
      <c r="D662" s="129">
        <v>16.2</v>
      </c>
      <c r="E662" s="129">
        <v>10.9</v>
      </c>
      <c r="F662" s="126" t="s">
        <v>77</v>
      </c>
      <c r="G662" s="147" t="s">
        <v>54</v>
      </c>
      <c r="H662" s="157"/>
      <c r="I662" s="127"/>
      <c r="J662" s="128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 spans="1:29" ht="14.25" customHeight="1">
      <c r="A663" s="23">
        <v>661</v>
      </c>
      <c r="B663" s="23" t="s">
        <v>818</v>
      </c>
      <c r="C663" s="23">
        <v>2</v>
      </c>
      <c r="D663" s="25">
        <v>16.100000000000001</v>
      </c>
      <c r="E663" s="25" t="s">
        <v>61</v>
      </c>
      <c r="F663" s="23" t="s">
        <v>88</v>
      </c>
      <c r="G663" s="111" t="s">
        <v>104</v>
      </c>
      <c r="H663" s="128"/>
      <c r="I663" s="127"/>
      <c r="J663" s="128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 spans="1:29" ht="14.25" customHeight="1">
      <c r="A664" s="23">
        <v>662</v>
      </c>
      <c r="B664" s="23" t="s">
        <v>818</v>
      </c>
      <c r="C664" s="23">
        <v>3</v>
      </c>
      <c r="D664" s="25">
        <v>13.1</v>
      </c>
      <c r="E664" s="25">
        <v>10.9</v>
      </c>
      <c r="F664" s="23" t="s">
        <v>112</v>
      </c>
      <c r="G664" s="111" t="s">
        <v>104</v>
      </c>
      <c r="H664" s="128"/>
      <c r="I664" s="127"/>
      <c r="J664" s="128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 spans="1:29" ht="14.25" customHeight="1">
      <c r="A665" s="23">
        <v>663</v>
      </c>
      <c r="B665" s="23" t="s">
        <v>819</v>
      </c>
      <c r="C665" s="23">
        <v>1</v>
      </c>
      <c r="D665" s="25">
        <v>16.8</v>
      </c>
      <c r="E665" s="25">
        <v>10.9</v>
      </c>
      <c r="F665" s="23" t="s">
        <v>118</v>
      </c>
      <c r="G665" s="147" t="s">
        <v>54</v>
      </c>
      <c r="H665" s="128"/>
      <c r="I665" s="127"/>
      <c r="J665" s="128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 spans="1:29" ht="14.25" customHeight="1">
      <c r="A666" s="23">
        <v>664</v>
      </c>
      <c r="B666" s="23" t="s">
        <v>819</v>
      </c>
      <c r="C666" s="23">
        <v>2</v>
      </c>
      <c r="D666" s="25">
        <v>16.5</v>
      </c>
      <c r="E666" s="25" t="s">
        <v>61</v>
      </c>
      <c r="F666" s="23" t="s">
        <v>118</v>
      </c>
      <c r="G666" s="147" t="s">
        <v>54</v>
      </c>
      <c r="H666" s="128"/>
      <c r="I666" s="127"/>
      <c r="J666" s="128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 spans="1:29" ht="14.25" customHeight="1">
      <c r="A667" s="23">
        <v>665</v>
      </c>
      <c r="B667" s="23" t="s">
        <v>819</v>
      </c>
      <c r="C667" s="23">
        <v>3</v>
      </c>
      <c r="D667" s="25">
        <v>12.9</v>
      </c>
      <c r="E667" s="25">
        <v>10.7</v>
      </c>
      <c r="F667" s="23" t="s">
        <v>77</v>
      </c>
      <c r="G667" s="147" t="s">
        <v>54</v>
      </c>
      <c r="H667" s="128"/>
      <c r="I667" s="127"/>
      <c r="J667" s="128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 spans="1:29" ht="14.25" customHeight="1">
      <c r="A668" s="23">
        <v>666</v>
      </c>
      <c r="B668" s="23" t="s">
        <v>820</v>
      </c>
      <c r="C668" s="23">
        <v>1</v>
      </c>
      <c r="D668" s="25">
        <v>16.3</v>
      </c>
      <c r="E668" s="25">
        <v>10.8</v>
      </c>
      <c r="F668" s="23" t="s">
        <v>77</v>
      </c>
      <c r="G668" s="147" t="s">
        <v>54</v>
      </c>
      <c r="H668" s="128"/>
      <c r="I668" s="127"/>
      <c r="J668" s="128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 spans="1:29" ht="14.25" customHeight="1">
      <c r="A669" s="23">
        <v>667</v>
      </c>
      <c r="B669" s="23" t="s">
        <v>820</v>
      </c>
      <c r="C669" s="23">
        <v>2</v>
      </c>
      <c r="D669" s="25">
        <v>16.899999999999999</v>
      </c>
      <c r="E669" s="25" t="s">
        <v>61</v>
      </c>
      <c r="F669" s="23" t="s">
        <v>77</v>
      </c>
      <c r="G669" s="147" t="s">
        <v>54</v>
      </c>
      <c r="H669" s="128"/>
      <c r="I669" s="127"/>
      <c r="J669" s="128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 spans="1:29" ht="14.25" customHeight="1">
      <c r="A670" s="23">
        <v>668</v>
      </c>
      <c r="B670" s="23" t="s">
        <v>820</v>
      </c>
      <c r="C670" s="23">
        <v>3</v>
      </c>
      <c r="D670" s="25">
        <v>12.8</v>
      </c>
      <c r="E670" s="25">
        <v>10.3</v>
      </c>
      <c r="F670" s="23" t="s">
        <v>79</v>
      </c>
      <c r="G670" s="111" t="s">
        <v>104</v>
      </c>
      <c r="H670" s="128"/>
      <c r="I670" s="127"/>
      <c r="J670" s="128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 spans="1:29" ht="14.25" customHeight="1">
      <c r="A671" s="23">
        <v>669</v>
      </c>
      <c r="B671" s="23" t="s">
        <v>821</v>
      </c>
      <c r="C671" s="23">
        <v>1</v>
      </c>
      <c r="D671" s="25">
        <v>17.100000000000001</v>
      </c>
      <c r="E671" s="25">
        <v>10.6</v>
      </c>
      <c r="F671" s="23" t="s">
        <v>47</v>
      </c>
      <c r="G671" s="111" t="s">
        <v>104</v>
      </c>
      <c r="H671" s="128"/>
      <c r="I671" s="127"/>
      <c r="J671" s="128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 spans="1:29" ht="14.25" customHeight="1">
      <c r="A672" s="23">
        <v>670</v>
      </c>
      <c r="B672" s="23" t="s">
        <v>821</v>
      </c>
      <c r="C672" s="23">
        <v>2</v>
      </c>
      <c r="D672" s="25">
        <v>16.7</v>
      </c>
      <c r="E672" s="25" t="s">
        <v>61</v>
      </c>
      <c r="F672" s="23" t="s">
        <v>47</v>
      </c>
      <c r="G672" s="111" t="s">
        <v>104</v>
      </c>
      <c r="H672" s="128"/>
      <c r="I672" s="127"/>
      <c r="J672" s="128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 spans="1:29" ht="14.25" customHeight="1">
      <c r="A673" s="23">
        <v>671</v>
      </c>
      <c r="B673" s="23" t="s">
        <v>821</v>
      </c>
      <c r="C673" s="23">
        <v>3</v>
      </c>
      <c r="D673" s="25">
        <v>12.5</v>
      </c>
      <c r="E673" s="25">
        <v>10.7</v>
      </c>
      <c r="F673" s="23" t="s">
        <v>62</v>
      </c>
      <c r="G673" s="147" t="s">
        <v>54</v>
      </c>
      <c r="H673" s="128"/>
      <c r="I673" s="127"/>
      <c r="J673" s="128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 spans="1:29" ht="14.25" customHeight="1">
      <c r="A674" s="23">
        <v>672</v>
      </c>
      <c r="B674" s="23" t="s">
        <v>822</v>
      </c>
      <c r="C674" s="23">
        <v>1</v>
      </c>
      <c r="D674" s="25">
        <v>17.3</v>
      </c>
      <c r="E674" s="25">
        <v>10.8</v>
      </c>
      <c r="F674" s="23" t="s">
        <v>88</v>
      </c>
      <c r="G674" s="111" t="s">
        <v>104</v>
      </c>
      <c r="H674" s="128"/>
      <c r="I674" s="127"/>
      <c r="J674" s="128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 spans="1:29" ht="14.25" customHeight="1">
      <c r="A675" s="23">
        <v>673</v>
      </c>
      <c r="B675" s="23" t="s">
        <v>822</v>
      </c>
      <c r="C675" s="23">
        <v>2</v>
      </c>
      <c r="D675" s="25">
        <v>16.2</v>
      </c>
      <c r="E675" s="25" t="s">
        <v>61</v>
      </c>
      <c r="F675" s="23" t="s">
        <v>77</v>
      </c>
      <c r="G675" s="147" t="s">
        <v>54</v>
      </c>
      <c r="H675" s="128"/>
      <c r="I675" s="127"/>
      <c r="J675" s="128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 spans="1:29" ht="14.25" customHeight="1">
      <c r="A676" s="23">
        <v>674</v>
      </c>
      <c r="B676" s="23" t="s">
        <v>822</v>
      </c>
      <c r="C676" s="23">
        <v>3</v>
      </c>
      <c r="D676" s="25">
        <v>12.9</v>
      </c>
      <c r="E676" s="25">
        <v>10.9</v>
      </c>
      <c r="F676" s="23" t="s">
        <v>77</v>
      </c>
      <c r="G676" s="147" t="s">
        <v>54</v>
      </c>
      <c r="H676" s="128"/>
      <c r="I676" s="127"/>
      <c r="J676" s="128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 spans="1:29" ht="14.25" customHeight="1">
      <c r="A677" s="23">
        <v>675</v>
      </c>
      <c r="B677" s="23" t="s">
        <v>823</v>
      </c>
      <c r="C677" s="23">
        <v>1</v>
      </c>
      <c r="D677" s="25">
        <v>16.8</v>
      </c>
      <c r="E677" s="25">
        <v>10.9</v>
      </c>
      <c r="F677" s="23" t="s">
        <v>88</v>
      </c>
      <c r="G677" s="111" t="s">
        <v>104</v>
      </c>
      <c r="H677" s="128"/>
      <c r="I677" s="127"/>
      <c r="J677" s="128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 spans="1:29" ht="14.25" customHeight="1">
      <c r="A678" s="23">
        <v>676</v>
      </c>
      <c r="B678" s="23" t="s">
        <v>823</v>
      </c>
      <c r="C678" s="23">
        <v>2</v>
      </c>
      <c r="D678" s="25">
        <v>17.100000000000001</v>
      </c>
      <c r="E678" s="25" t="s">
        <v>61</v>
      </c>
      <c r="F678" s="23" t="s">
        <v>118</v>
      </c>
      <c r="G678" s="147" t="s">
        <v>54</v>
      </c>
      <c r="H678" s="128"/>
      <c r="I678" s="127"/>
      <c r="J678" s="128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 spans="1:29" ht="14.25" customHeight="1">
      <c r="A679" s="23">
        <v>677</v>
      </c>
      <c r="B679" s="23" t="s">
        <v>823</v>
      </c>
      <c r="C679" s="23">
        <v>3</v>
      </c>
      <c r="D679" s="25">
        <v>12.5</v>
      </c>
      <c r="E679" s="25">
        <v>10.9</v>
      </c>
      <c r="F679" s="23" t="s">
        <v>51</v>
      </c>
      <c r="G679" s="74"/>
      <c r="H679" s="128"/>
      <c r="I679" s="127"/>
      <c r="J679" s="128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 spans="1:29" ht="14.25" customHeight="1">
      <c r="A680" s="23">
        <v>678</v>
      </c>
      <c r="B680" s="23" t="s">
        <v>824</v>
      </c>
      <c r="C680" s="23">
        <v>1</v>
      </c>
      <c r="D680" s="25">
        <v>17</v>
      </c>
      <c r="E680" s="25">
        <v>10.4</v>
      </c>
      <c r="F680" s="23" t="s">
        <v>55</v>
      </c>
      <c r="G680" s="111" t="s">
        <v>104</v>
      </c>
      <c r="H680" s="128"/>
      <c r="I680" s="127"/>
      <c r="J680" s="128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 spans="1:29" ht="14.25" customHeight="1">
      <c r="A681" s="23">
        <v>679</v>
      </c>
      <c r="B681" s="23" t="s">
        <v>824</v>
      </c>
      <c r="C681" s="23">
        <v>2</v>
      </c>
      <c r="D681" s="25">
        <v>17.100000000000001</v>
      </c>
      <c r="E681" s="25" t="s">
        <v>61</v>
      </c>
      <c r="F681" s="23" t="s">
        <v>55</v>
      </c>
      <c r="G681" s="111" t="s">
        <v>104</v>
      </c>
      <c r="H681" s="128"/>
      <c r="I681" s="127"/>
      <c r="J681" s="128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 spans="1:29" ht="14.25" customHeight="1">
      <c r="A682" s="23">
        <v>680</v>
      </c>
      <c r="B682" s="23" t="s">
        <v>824</v>
      </c>
      <c r="C682" s="23">
        <v>3</v>
      </c>
      <c r="D682" s="25">
        <v>12.3</v>
      </c>
      <c r="E682" s="25">
        <v>10.7</v>
      </c>
      <c r="F682" s="23" t="s">
        <v>89</v>
      </c>
      <c r="G682" s="111" t="s">
        <v>104</v>
      </c>
      <c r="H682" s="128"/>
      <c r="I682" s="127"/>
      <c r="J682" s="128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 spans="1:29" ht="14.25" customHeight="1">
      <c r="A683" s="23">
        <v>681</v>
      </c>
      <c r="B683" s="23" t="s">
        <v>825</v>
      </c>
      <c r="C683" s="23">
        <v>1</v>
      </c>
      <c r="D683" s="25">
        <v>16.7</v>
      </c>
      <c r="E683" s="25">
        <v>10.8</v>
      </c>
      <c r="F683" s="23" t="s">
        <v>62</v>
      </c>
      <c r="G683" s="147" t="s">
        <v>54</v>
      </c>
      <c r="H683" s="128"/>
      <c r="I683" s="127"/>
      <c r="J683" s="128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 spans="1:29" ht="14.25" customHeight="1">
      <c r="A684" s="23">
        <v>682</v>
      </c>
      <c r="B684" s="23" t="s">
        <v>825</v>
      </c>
      <c r="C684" s="23">
        <v>2</v>
      </c>
      <c r="D684" s="25">
        <v>15.7</v>
      </c>
      <c r="E684" s="25" t="s">
        <v>61</v>
      </c>
      <c r="F684" s="23" t="s">
        <v>62</v>
      </c>
      <c r="G684" s="147" t="s">
        <v>54</v>
      </c>
      <c r="H684" s="128"/>
      <c r="I684" s="127"/>
      <c r="J684" s="128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 spans="1:29" ht="14.25" customHeight="1">
      <c r="A685" s="23">
        <v>683</v>
      </c>
      <c r="B685" s="23" t="s">
        <v>825</v>
      </c>
      <c r="C685" s="23">
        <v>3</v>
      </c>
      <c r="D685" s="25">
        <v>13.5</v>
      </c>
      <c r="E685" s="25">
        <v>10.8</v>
      </c>
      <c r="F685" s="23" t="s">
        <v>124</v>
      </c>
      <c r="G685" s="26" t="s">
        <v>104</v>
      </c>
      <c r="H685" s="128"/>
      <c r="I685" s="127"/>
      <c r="J685" s="128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 spans="1:29" ht="14.25" customHeight="1">
      <c r="A686" s="23">
        <v>684</v>
      </c>
      <c r="B686" s="23" t="s">
        <v>826</v>
      </c>
      <c r="C686" s="23">
        <v>1</v>
      </c>
      <c r="D686" s="25">
        <v>16.7</v>
      </c>
      <c r="E686" s="25">
        <v>11</v>
      </c>
      <c r="F686" s="23" t="s">
        <v>12</v>
      </c>
      <c r="G686" s="74"/>
      <c r="H686" s="128"/>
      <c r="I686" s="127"/>
      <c r="J686" s="128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 spans="1:29" ht="14.25" customHeight="1">
      <c r="A687" s="23">
        <v>685</v>
      </c>
      <c r="B687" s="23" t="s">
        <v>826</v>
      </c>
      <c r="C687" s="23">
        <v>2</v>
      </c>
      <c r="D687" s="25">
        <v>16.7</v>
      </c>
      <c r="E687" s="25" t="s">
        <v>61</v>
      </c>
      <c r="F687" s="23" t="s">
        <v>12</v>
      </c>
      <c r="G687" s="74"/>
      <c r="H687" s="128"/>
      <c r="I687" s="127"/>
      <c r="J687" s="128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 spans="1:29" ht="14.25" customHeight="1">
      <c r="A688" s="23">
        <v>686</v>
      </c>
      <c r="B688" s="23" t="s">
        <v>826</v>
      </c>
      <c r="C688" s="23">
        <v>3</v>
      </c>
      <c r="D688" s="25">
        <v>12.2</v>
      </c>
      <c r="E688" s="25">
        <v>11</v>
      </c>
      <c r="F688" s="23" t="s">
        <v>12</v>
      </c>
      <c r="G688" s="74"/>
      <c r="H688" s="128"/>
      <c r="I688" s="127"/>
      <c r="J688" s="128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 spans="1:29" ht="14.25" customHeight="1">
      <c r="A689" s="23">
        <v>687</v>
      </c>
      <c r="B689" s="23" t="s">
        <v>827</v>
      </c>
      <c r="C689" s="23">
        <v>1</v>
      </c>
      <c r="D689" s="25">
        <v>17.100000000000001</v>
      </c>
      <c r="E689" s="25">
        <v>10.9</v>
      </c>
      <c r="F689" s="23" t="s">
        <v>112</v>
      </c>
      <c r="G689" s="111" t="s">
        <v>104</v>
      </c>
      <c r="H689" s="128"/>
      <c r="I689" s="127"/>
      <c r="J689" s="128" t="s">
        <v>828</v>
      </c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 spans="1:29" ht="14.25" customHeight="1">
      <c r="A690" s="23">
        <v>688</v>
      </c>
      <c r="B690" s="23" t="s">
        <v>827</v>
      </c>
      <c r="C690" s="23">
        <v>2</v>
      </c>
      <c r="D690" s="25">
        <v>16.600000000000001</v>
      </c>
      <c r="E690" s="25" t="s">
        <v>61</v>
      </c>
      <c r="F690" s="23" t="s">
        <v>112</v>
      </c>
      <c r="G690" s="111" t="s">
        <v>104</v>
      </c>
      <c r="H690" s="128"/>
      <c r="I690" s="127"/>
      <c r="J690" s="128" t="s">
        <v>828</v>
      </c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 spans="1:29" ht="14.25" customHeight="1">
      <c r="A691" s="23">
        <v>689</v>
      </c>
      <c r="B691" s="23" t="s">
        <v>827</v>
      </c>
      <c r="C691" s="23">
        <v>3</v>
      </c>
      <c r="D691" s="25">
        <v>13.3</v>
      </c>
      <c r="E691" s="25">
        <v>10.9</v>
      </c>
      <c r="F691" s="23" t="s">
        <v>112</v>
      </c>
      <c r="G691" s="111" t="s">
        <v>104</v>
      </c>
      <c r="H691" s="128"/>
      <c r="I691" s="127"/>
      <c r="J691" s="128" t="s">
        <v>828</v>
      </c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 spans="1:29" ht="14.25" customHeight="1">
      <c r="A692" s="23">
        <v>690</v>
      </c>
      <c r="B692" s="23" t="s">
        <v>829</v>
      </c>
      <c r="C692" s="23">
        <v>1</v>
      </c>
      <c r="D692" s="25">
        <v>16.5</v>
      </c>
      <c r="E692" s="25">
        <v>10.8</v>
      </c>
      <c r="F692" s="23" t="s">
        <v>112</v>
      </c>
      <c r="G692" s="111" t="s">
        <v>104</v>
      </c>
      <c r="H692" s="128"/>
      <c r="I692" s="127"/>
      <c r="J692" s="128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 spans="1:29" ht="14.25" customHeight="1">
      <c r="A693" s="23">
        <v>691</v>
      </c>
      <c r="B693" s="23" t="s">
        <v>829</v>
      </c>
      <c r="C693" s="23">
        <v>2</v>
      </c>
      <c r="D693" s="25">
        <v>16.100000000000001</v>
      </c>
      <c r="E693" s="25" t="s">
        <v>61</v>
      </c>
      <c r="F693" s="23" t="s">
        <v>112</v>
      </c>
      <c r="G693" s="111" t="s">
        <v>104</v>
      </c>
      <c r="H693" s="128"/>
      <c r="I693" s="127"/>
      <c r="J693" s="128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 spans="1:29" ht="14.25" customHeight="1">
      <c r="A694" s="23">
        <v>692</v>
      </c>
      <c r="B694" s="23" t="s">
        <v>829</v>
      </c>
      <c r="C694" s="23">
        <v>3</v>
      </c>
      <c r="D694" s="25">
        <v>13.1</v>
      </c>
      <c r="E694" s="25">
        <v>10.6</v>
      </c>
      <c r="F694" s="23" t="s">
        <v>124</v>
      </c>
      <c r="G694" s="26" t="s">
        <v>104</v>
      </c>
      <c r="H694" s="128"/>
      <c r="I694" s="127"/>
      <c r="J694" s="128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 spans="1:29" ht="14.25" customHeight="1">
      <c r="A695" s="23">
        <v>693</v>
      </c>
      <c r="B695" s="23" t="s">
        <v>830</v>
      </c>
      <c r="C695" s="23">
        <v>1</v>
      </c>
      <c r="D695" s="25">
        <v>16.8</v>
      </c>
      <c r="E695" s="25">
        <v>10.7</v>
      </c>
      <c r="F695" s="23" t="s">
        <v>89</v>
      </c>
      <c r="G695" s="111" t="s">
        <v>104</v>
      </c>
      <c r="H695" s="128"/>
      <c r="I695" s="127"/>
      <c r="J695" s="128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 spans="1:29" ht="14.25" customHeight="1">
      <c r="A696" s="23">
        <v>694</v>
      </c>
      <c r="B696" s="23" t="s">
        <v>830</v>
      </c>
      <c r="C696" s="23">
        <v>2</v>
      </c>
      <c r="D696" s="25">
        <v>16</v>
      </c>
      <c r="E696" s="25" t="s">
        <v>61</v>
      </c>
      <c r="F696" s="23" t="s">
        <v>88</v>
      </c>
      <c r="G696" s="111" t="s">
        <v>104</v>
      </c>
      <c r="H696" s="128"/>
      <c r="I696" s="127"/>
      <c r="J696" s="128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 spans="1:29" ht="14.25" customHeight="1">
      <c r="A697" s="23">
        <v>695</v>
      </c>
      <c r="B697" s="23" t="s">
        <v>830</v>
      </c>
      <c r="C697" s="23">
        <v>3</v>
      </c>
      <c r="D697" s="25">
        <v>12.7</v>
      </c>
      <c r="E697" s="25">
        <v>10.7</v>
      </c>
      <c r="F697" s="23" t="s">
        <v>62</v>
      </c>
      <c r="G697" s="147" t="s">
        <v>54</v>
      </c>
      <c r="H697" s="128"/>
      <c r="I697" s="127"/>
      <c r="J697" s="128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 spans="1:29" ht="14.25" customHeight="1">
      <c r="A698" s="23">
        <v>696</v>
      </c>
      <c r="B698" s="23" t="s">
        <v>831</v>
      </c>
      <c r="C698" s="23">
        <v>1</v>
      </c>
      <c r="D698" s="25">
        <v>16.7</v>
      </c>
      <c r="E698" s="25">
        <v>10.9</v>
      </c>
      <c r="F698" s="23" t="s">
        <v>62</v>
      </c>
      <c r="G698" s="147" t="s">
        <v>54</v>
      </c>
      <c r="H698" s="128"/>
      <c r="I698" s="127"/>
      <c r="J698" s="128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 spans="1:29" ht="14.25" customHeight="1">
      <c r="A699" s="23">
        <v>697</v>
      </c>
      <c r="B699" s="23" t="s">
        <v>831</v>
      </c>
      <c r="C699" s="23">
        <v>2</v>
      </c>
      <c r="D699" s="25">
        <v>16.8</v>
      </c>
      <c r="E699" s="25" t="s">
        <v>61</v>
      </c>
      <c r="F699" s="23" t="s">
        <v>62</v>
      </c>
      <c r="G699" s="147" t="s">
        <v>54</v>
      </c>
      <c r="H699" s="128"/>
      <c r="I699" s="127"/>
      <c r="J699" s="128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 spans="1:29" ht="14.25" customHeight="1">
      <c r="A700" s="23">
        <v>698</v>
      </c>
      <c r="B700" s="23" t="s">
        <v>831</v>
      </c>
      <c r="C700" s="23">
        <v>3</v>
      </c>
      <c r="D700" s="25">
        <v>12.9</v>
      </c>
      <c r="E700" s="25">
        <v>11.1</v>
      </c>
      <c r="F700" s="23" t="s">
        <v>79</v>
      </c>
      <c r="G700" s="111" t="s">
        <v>582</v>
      </c>
      <c r="H700" s="128"/>
      <c r="I700" s="127"/>
      <c r="J700" s="128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 spans="1:29" ht="14.25" customHeight="1">
      <c r="A701" s="23">
        <v>699</v>
      </c>
      <c r="B701" s="23" t="s">
        <v>832</v>
      </c>
      <c r="C701" s="23">
        <v>1</v>
      </c>
      <c r="D701" s="25">
        <v>15.3</v>
      </c>
      <c r="E701" s="25">
        <v>10.8</v>
      </c>
      <c r="F701" s="23" t="s">
        <v>89</v>
      </c>
      <c r="G701" s="111" t="s">
        <v>104</v>
      </c>
      <c r="H701" s="128"/>
      <c r="I701" s="127"/>
      <c r="J701" s="128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 spans="1:29" ht="14.25" customHeight="1">
      <c r="A702" s="23">
        <v>700</v>
      </c>
      <c r="B702" s="23" t="s">
        <v>832</v>
      </c>
      <c r="C702" s="23">
        <v>2</v>
      </c>
      <c r="D702" s="25">
        <v>15.2</v>
      </c>
      <c r="E702" s="25" t="s">
        <v>61</v>
      </c>
      <c r="F702" s="23" t="s">
        <v>150</v>
      </c>
      <c r="G702" s="111" t="s">
        <v>178</v>
      </c>
      <c r="H702" s="128"/>
      <c r="I702" s="127"/>
      <c r="J702" s="128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 spans="1:29" ht="14.25" customHeight="1">
      <c r="A703" s="23">
        <v>701</v>
      </c>
      <c r="B703" s="23" t="s">
        <v>832</v>
      </c>
      <c r="C703" s="23">
        <v>3</v>
      </c>
      <c r="D703" s="25">
        <v>13.3</v>
      </c>
      <c r="E703" s="25">
        <v>10.8</v>
      </c>
      <c r="F703" s="23" t="s">
        <v>79</v>
      </c>
      <c r="G703" s="111" t="s">
        <v>104</v>
      </c>
      <c r="H703" s="128"/>
      <c r="I703" s="127"/>
      <c r="J703" s="128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 spans="1:29" ht="14.25" customHeight="1">
      <c r="A704" s="23">
        <v>702</v>
      </c>
      <c r="B704" s="23" t="s">
        <v>833</v>
      </c>
      <c r="C704" s="23">
        <v>1</v>
      </c>
      <c r="D704" s="25">
        <v>15.8</v>
      </c>
      <c r="E704" s="25">
        <v>10.8</v>
      </c>
      <c r="F704" s="23" t="s">
        <v>55</v>
      </c>
      <c r="G704" s="111" t="s">
        <v>104</v>
      </c>
      <c r="H704" s="128"/>
      <c r="I704" s="127"/>
      <c r="J704" s="128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 spans="1:29" ht="14.25" customHeight="1">
      <c r="A705" s="23">
        <v>703</v>
      </c>
      <c r="B705" s="23" t="s">
        <v>833</v>
      </c>
      <c r="C705" s="23">
        <v>2</v>
      </c>
      <c r="D705" s="25">
        <v>16.3</v>
      </c>
      <c r="E705" s="25" t="s">
        <v>61</v>
      </c>
      <c r="F705" s="23" t="s">
        <v>55</v>
      </c>
      <c r="G705" s="111" t="s">
        <v>104</v>
      </c>
      <c r="H705" s="128"/>
      <c r="I705" s="127"/>
      <c r="J705" s="128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 spans="1:29" ht="14.25" customHeight="1">
      <c r="A706" s="23">
        <v>704</v>
      </c>
      <c r="B706" s="23" t="s">
        <v>833</v>
      </c>
      <c r="C706" s="23">
        <v>3</v>
      </c>
      <c r="D706" s="25">
        <v>12.9</v>
      </c>
      <c r="E706" s="25">
        <v>10.8</v>
      </c>
      <c r="F706" s="23" t="s">
        <v>55</v>
      </c>
      <c r="G706" s="111" t="s">
        <v>104</v>
      </c>
      <c r="H706" s="128"/>
      <c r="I706" s="127"/>
      <c r="J706" s="128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 spans="1:29" ht="14.25" customHeight="1">
      <c r="A707" s="23">
        <v>705</v>
      </c>
      <c r="B707" s="23" t="s">
        <v>834</v>
      </c>
      <c r="C707" s="23">
        <v>1</v>
      </c>
      <c r="D707" s="25">
        <v>17.3</v>
      </c>
      <c r="E707" s="25">
        <v>11</v>
      </c>
      <c r="F707" s="23" t="s">
        <v>124</v>
      </c>
      <c r="G707" s="26" t="s">
        <v>104</v>
      </c>
      <c r="H707" s="128"/>
      <c r="I707" s="127"/>
      <c r="J707" s="128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 spans="1:29" ht="14.25" customHeight="1">
      <c r="A708" s="23">
        <v>706</v>
      </c>
      <c r="B708" s="23" t="s">
        <v>834</v>
      </c>
      <c r="C708" s="23">
        <v>2</v>
      </c>
      <c r="D708" s="25">
        <v>16.899999999999999</v>
      </c>
      <c r="E708" s="25" t="s">
        <v>61</v>
      </c>
      <c r="F708" s="23" t="s">
        <v>124</v>
      </c>
      <c r="G708" s="26" t="s">
        <v>104</v>
      </c>
      <c r="H708" s="128"/>
      <c r="I708" s="127"/>
      <c r="J708" s="128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 spans="1:29" ht="14.25" customHeight="1">
      <c r="A709" s="23">
        <v>707</v>
      </c>
      <c r="B709" s="23" t="s">
        <v>834</v>
      </c>
      <c r="C709" s="23">
        <v>3</v>
      </c>
      <c r="D709" s="25">
        <v>12.8</v>
      </c>
      <c r="E709" s="25">
        <v>10.8</v>
      </c>
      <c r="F709" s="23" t="s">
        <v>124</v>
      </c>
      <c r="G709" s="26" t="s">
        <v>104</v>
      </c>
      <c r="H709" s="128"/>
      <c r="I709" s="127"/>
      <c r="J709" s="128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 spans="1:29" ht="14.25" customHeight="1">
      <c r="A710" s="23">
        <v>708</v>
      </c>
      <c r="B710" s="23" t="s">
        <v>835</v>
      </c>
      <c r="C710" s="23">
        <v>1</v>
      </c>
      <c r="D710" s="25">
        <v>17</v>
      </c>
      <c r="E710" s="25">
        <v>10.8</v>
      </c>
      <c r="F710" s="23" t="s">
        <v>112</v>
      </c>
      <c r="G710" s="111" t="s">
        <v>104</v>
      </c>
      <c r="H710" s="128"/>
      <c r="I710" s="127"/>
      <c r="J710" s="128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 spans="1:29" ht="14.25" customHeight="1">
      <c r="A711" s="23">
        <v>709</v>
      </c>
      <c r="B711" s="23" t="s">
        <v>835</v>
      </c>
      <c r="C711" s="23">
        <v>2</v>
      </c>
      <c r="D711" s="25">
        <v>16.5</v>
      </c>
      <c r="E711" s="25" t="s">
        <v>61</v>
      </c>
      <c r="F711" s="23" t="s">
        <v>47</v>
      </c>
      <c r="G711" s="111" t="s">
        <v>104</v>
      </c>
      <c r="H711" s="128"/>
      <c r="I711" s="127"/>
      <c r="J711" s="128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 spans="1:29" ht="14.25" customHeight="1">
      <c r="A712" s="126">
        <v>710</v>
      </c>
      <c r="B712" s="126" t="s">
        <v>835</v>
      </c>
      <c r="C712" s="126">
        <v>3</v>
      </c>
      <c r="D712" s="129">
        <v>12.8</v>
      </c>
      <c r="E712" s="129">
        <v>10.8</v>
      </c>
      <c r="F712" s="173" t="s">
        <v>47</v>
      </c>
      <c r="G712" s="111" t="s">
        <v>104</v>
      </c>
      <c r="H712" s="128"/>
      <c r="I712" s="122" t="s">
        <v>596</v>
      </c>
      <c r="J712" s="128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 spans="1:29" ht="14.25" customHeight="1">
      <c r="A713" s="23">
        <v>711</v>
      </c>
      <c r="B713" s="23" t="s">
        <v>836</v>
      </c>
      <c r="C713" s="23">
        <v>1</v>
      </c>
      <c r="D713" s="25">
        <v>17.3</v>
      </c>
      <c r="E713" s="25">
        <v>10.9</v>
      </c>
      <c r="F713" s="23" t="s">
        <v>124</v>
      </c>
      <c r="G713" s="26" t="s">
        <v>104</v>
      </c>
      <c r="H713" s="128"/>
      <c r="I713" s="127"/>
      <c r="J713" s="128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 spans="1:29" ht="14.25" customHeight="1">
      <c r="A714" s="23">
        <v>712</v>
      </c>
      <c r="B714" s="23" t="s">
        <v>836</v>
      </c>
      <c r="C714" s="23">
        <v>2</v>
      </c>
      <c r="D714" s="25">
        <v>16.3</v>
      </c>
      <c r="E714" s="25" t="s">
        <v>61</v>
      </c>
      <c r="F714" s="23" t="s">
        <v>124</v>
      </c>
      <c r="G714" s="26" t="s">
        <v>104</v>
      </c>
      <c r="H714" s="128"/>
      <c r="I714" s="127"/>
      <c r="J714" s="128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 spans="1:29" ht="14.25" customHeight="1">
      <c r="A715" s="23">
        <v>713</v>
      </c>
      <c r="B715" s="23" t="s">
        <v>836</v>
      </c>
      <c r="C715" s="23">
        <v>3</v>
      </c>
      <c r="D715" s="25">
        <v>13.5</v>
      </c>
      <c r="E715" s="25">
        <v>10.8</v>
      </c>
      <c r="F715" s="23" t="s">
        <v>55</v>
      </c>
      <c r="G715" s="111" t="s">
        <v>104</v>
      </c>
      <c r="H715" s="128"/>
      <c r="I715" s="127"/>
      <c r="J715" s="128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 spans="1:29" ht="14.25" customHeight="1">
      <c r="A716" s="23">
        <v>714</v>
      </c>
      <c r="B716" s="23" t="s">
        <v>837</v>
      </c>
      <c r="C716" s="23">
        <v>1</v>
      </c>
      <c r="D716" s="25">
        <v>16.100000000000001</v>
      </c>
      <c r="E716" s="25">
        <v>10.6</v>
      </c>
      <c r="F716" s="23" t="s">
        <v>55</v>
      </c>
      <c r="G716" s="111" t="s">
        <v>104</v>
      </c>
      <c r="H716" s="128"/>
      <c r="I716" s="127"/>
      <c r="J716" s="128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 spans="1:29" ht="14.25" customHeight="1">
      <c r="A717" s="23">
        <v>715</v>
      </c>
      <c r="B717" s="23" t="s">
        <v>837</v>
      </c>
      <c r="C717" s="23">
        <v>2</v>
      </c>
      <c r="D717" s="25">
        <v>16</v>
      </c>
      <c r="E717" s="25" t="s">
        <v>61</v>
      </c>
      <c r="F717" s="23" t="s">
        <v>79</v>
      </c>
      <c r="G717" s="111" t="s">
        <v>104</v>
      </c>
      <c r="H717" s="128"/>
      <c r="I717" s="127"/>
      <c r="J717" s="128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 spans="1:29" ht="14.25" customHeight="1">
      <c r="A718" s="23">
        <v>716</v>
      </c>
      <c r="B718" s="23" t="s">
        <v>837</v>
      </c>
      <c r="C718" s="23">
        <v>3</v>
      </c>
      <c r="D718" s="25">
        <v>13.2</v>
      </c>
      <c r="E718" s="25">
        <v>10.8</v>
      </c>
      <c r="F718" s="23" t="s">
        <v>79</v>
      </c>
      <c r="G718" s="111" t="s">
        <v>104</v>
      </c>
      <c r="H718" s="128"/>
      <c r="I718" s="127"/>
      <c r="J718" s="128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 spans="1:29" ht="14.25" customHeight="1">
      <c r="A719" s="23">
        <v>717</v>
      </c>
      <c r="B719" s="23" t="s">
        <v>838</v>
      </c>
      <c r="C719" s="23">
        <v>1</v>
      </c>
      <c r="D719" s="25">
        <v>16</v>
      </c>
      <c r="E719" s="25">
        <v>10.6</v>
      </c>
      <c r="F719" s="23" t="s">
        <v>47</v>
      </c>
      <c r="G719" s="111" t="s">
        <v>104</v>
      </c>
      <c r="H719" s="128"/>
      <c r="I719" s="127"/>
      <c r="J719" s="128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 spans="1:29" ht="14.25" customHeight="1">
      <c r="A720" s="23">
        <v>718</v>
      </c>
      <c r="B720" s="23" t="s">
        <v>838</v>
      </c>
      <c r="C720" s="23">
        <v>2</v>
      </c>
      <c r="D720" s="25">
        <v>15</v>
      </c>
      <c r="E720" s="25" t="s">
        <v>61</v>
      </c>
      <c r="F720" s="23" t="s">
        <v>112</v>
      </c>
      <c r="G720" s="111" t="s">
        <v>104</v>
      </c>
      <c r="H720" s="128"/>
      <c r="I720" s="127"/>
      <c r="J720" s="128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 spans="1:29" ht="14.25" customHeight="1">
      <c r="A721" s="23">
        <v>719</v>
      </c>
      <c r="B721" s="23" t="s">
        <v>838</v>
      </c>
      <c r="C721" s="23">
        <v>3</v>
      </c>
      <c r="D721" s="25">
        <v>13.7</v>
      </c>
      <c r="E721" s="25">
        <v>10.8</v>
      </c>
      <c r="F721" s="23" t="s">
        <v>47</v>
      </c>
      <c r="G721" s="111" t="s">
        <v>104</v>
      </c>
      <c r="H721" s="128"/>
      <c r="I721" s="127"/>
      <c r="J721" s="128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 spans="1:29" ht="14.25" customHeight="1">
      <c r="A722" s="23">
        <v>720</v>
      </c>
      <c r="B722" s="23" t="s">
        <v>839</v>
      </c>
      <c r="C722" s="23">
        <v>1</v>
      </c>
      <c r="D722" s="25">
        <v>16.7</v>
      </c>
      <c r="E722" s="25">
        <v>11.1</v>
      </c>
      <c r="F722" s="23" t="s">
        <v>36</v>
      </c>
      <c r="G722" s="74"/>
      <c r="H722" s="128"/>
      <c r="I722" s="127"/>
      <c r="J722" s="128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 spans="1:29" ht="14.25" customHeight="1">
      <c r="A723" s="23">
        <v>721</v>
      </c>
      <c r="B723" s="23" t="s">
        <v>839</v>
      </c>
      <c r="C723" s="23">
        <v>2</v>
      </c>
      <c r="D723" s="25">
        <v>16.899999999999999</v>
      </c>
      <c r="E723" s="25" t="s">
        <v>61</v>
      </c>
      <c r="F723" s="23" t="s">
        <v>79</v>
      </c>
      <c r="G723" s="111" t="s">
        <v>104</v>
      </c>
      <c r="H723" s="128"/>
      <c r="I723" s="127"/>
      <c r="J723" s="128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 spans="1:29" ht="14.25" customHeight="1">
      <c r="A724" s="23">
        <v>722</v>
      </c>
      <c r="B724" s="23" t="s">
        <v>839</v>
      </c>
      <c r="C724" s="23">
        <v>3</v>
      </c>
      <c r="D724" s="25">
        <v>13.8</v>
      </c>
      <c r="E724" s="25">
        <v>11</v>
      </c>
      <c r="F724" s="23" t="s">
        <v>79</v>
      </c>
      <c r="G724" s="111" t="s">
        <v>104</v>
      </c>
      <c r="H724" s="128"/>
      <c r="I724" s="127"/>
      <c r="J724" s="128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 spans="1:29" ht="14.25" customHeight="1">
      <c r="A725" s="23">
        <v>723</v>
      </c>
      <c r="B725" s="23" t="s">
        <v>840</v>
      </c>
      <c r="C725" s="23">
        <v>1</v>
      </c>
      <c r="D725" s="25">
        <v>16.8</v>
      </c>
      <c r="E725" s="25">
        <v>10.6</v>
      </c>
      <c r="F725" s="23" t="s">
        <v>150</v>
      </c>
      <c r="G725" s="111" t="s">
        <v>178</v>
      </c>
      <c r="H725" s="128"/>
      <c r="I725" s="127"/>
      <c r="J725" s="128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 spans="1:29" ht="14.25" customHeight="1">
      <c r="A726" s="23">
        <v>724</v>
      </c>
      <c r="B726" s="23" t="s">
        <v>840</v>
      </c>
      <c r="C726" s="23">
        <v>2</v>
      </c>
      <c r="D726" s="25">
        <v>16.8</v>
      </c>
      <c r="E726" s="25" t="s">
        <v>61</v>
      </c>
      <c r="F726" s="23" t="s">
        <v>150</v>
      </c>
      <c r="G726" s="111" t="s">
        <v>178</v>
      </c>
      <c r="H726" s="128"/>
      <c r="I726" s="127"/>
      <c r="J726" s="128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 spans="1:29" ht="14.25" customHeight="1">
      <c r="A727" s="23">
        <v>725</v>
      </c>
      <c r="B727" s="23" t="s">
        <v>840</v>
      </c>
      <c r="C727" s="23">
        <v>3</v>
      </c>
      <c r="D727" s="25">
        <v>12.9</v>
      </c>
      <c r="E727" s="25">
        <v>10.7</v>
      </c>
      <c r="F727" s="23" t="s">
        <v>62</v>
      </c>
      <c r="G727" s="111"/>
      <c r="H727" s="141" t="s">
        <v>205</v>
      </c>
      <c r="I727" s="127"/>
      <c r="J727" s="128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 spans="1:29" ht="14.25" customHeight="1">
      <c r="A728" s="23">
        <v>726</v>
      </c>
      <c r="B728" s="23" t="s">
        <v>841</v>
      </c>
      <c r="C728" s="23">
        <v>1</v>
      </c>
      <c r="D728" s="25">
        <v>16.600000000000001</v>
      </c>
      <c r="E728" s="25">
        <v>10.8</v>
      </c>
      <c r="F728" s="23" t="s">
        <v>79</v>
      </c>
      <c r="G728" s="111" t="s">
        <v>178</v>
      </c>
      <c r="H728" s="128"/>
      <c r="I728" s="127"/>
      <c r="J728" s="128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 spans="1:29" ht="14.25" customHeight="1">
      <c r="A729" s="23">
        <v>727</v>
      </c>
      <c r="B729" s="23" t="s">
        <v>841</v>
      </c>
      <c r="C729" s="23">
        <v>2</v>
      </c>
      <c r="D729" s="25">
        <v>16.399999999999999</v>
      </c>
      <c r="E729" s="25" t="s">
        <v>61</v>
      </c>
      <c r="F729" s="23" t="s">
        <v>88</v>
      </c>
      <c r="G729" s="111" t="s">
        <v>104</v>
      </c>
      <c r="H729" s="128"/>
      <c r="I729" s="127"/>
      <c r="J729" s="128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 spans="1:29" ht="14.25" customHeight="1">
      <c r="A730" s="23">
        <v>728</v>
      </c>
      <c r="B730" s="23" t="s">
        <v>841</v>
      </c>
      <c r="C730" s="23">
        <v>3</v>
      </c>
      <c r="D730" s="25">
        <v>13</v>
      </c>
      <c r="E730" s="25">
        <v>10.8</v>
      </c>
      <c r="F730" s="23" t="s">
        <v>150</v>
      </c>
      <c r="G730" s="111" t="s">
        <v>178</v>
      </c>
      <c r="H730" s="128"/>
      <c r="I730" s="127"/>
      <c r="J730" s="128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 spans="1:29" ht="14.25" customHeight="1">
      <c r="A731" s="23">
        <v>729</v>
      </c>
      <c r="B731" s="23" t="s">
        <v>842</v>
      </c>
      <c r="C731" s="23">
        <v>1</v>
      </c>
      <c r="D731" s="25">
        <v>17.100000000000001</v>
      </c>
      <c r="E731" s="25">
        <v>10.8</v>
      </c>
      <c r="F731" s="23" t="s">
        <v>47</v>
      </c>
      <c r="G731" s="111" t="s">
        <v>104</v>
      </c>
      <c r="H731" s="128"/>
      <c r="I731" s="127"/>
      <c r="J731" s="128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 spans="1:29" ht="14.25" customHeight="1">
      <c r="A732" s="23">
        <v>730</v>
      </c>
      <c r="B732" s="23" t="s">
        <v>842</v>
      </c>
      <c r="C732" s="23">
        <v>2</v>
      </c>
      <c r="D732" s="25">
        <v>16</v>
      </c>
      <c r="E732" s="25" t="s">
        <v>61</v>
      </c>
      <c r="F732" s="23" t="s">
        <v>47</v>
      </c>
      <c r="G732" s="111" t="s">
        <v>104</v>
      </c>
      <c r="H732" s="128"/>
      <c r="I732" s="127"/>
      <c r="J732" s="128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 spans="1:29" ht="14.25" customHeight="1">
      <c r="A733" s="23">
        <v>731</v>
      </c>
      <c r="B733" s="23" t="s">
        <v>842</v>
      </c>
      <c r="C733" s="23">
        <v>3</v>
      </c>
      <c r="D733" s="25">
        <v>12.9</v>
      </c>
      <c r="E733" s="25">
        <v>10.8</v>
      </c>
      <c r="F733" s="23" t="s">
        <v>47</v>
      </c>
      <c r="G733" s="111" t="s">
        <v>104</v>
      </c>
      <c r="H733" s="128"/>
      <c r="I733" s="127"/>
      <c r="J733" s="128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 spans="1:29" ht="14.25" customHeight="1">
      <c r="A734" s="23">
        <v>732</v>
      </c>
      <c r="B734" s="23" t="s">
        <v>843</v>
      </c>
      <c r="C734" s="23">
        <v>1</v>
      </c>
      <c r="D734" s="25">
        <v>16.5</v>
      </c>
      <c r="E734" s="25">
        <v>10.8</v>
      </c>
      <c r="F734" s="23" t="s">
        <v>55</v>
      </c>
      <c r="G734" s="111" t="s">
        <v>104</v>
      </c>
      <c r="H734" s="128"/>
      <c r="I734" s="127"/>
      <c r="J734" s="128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 spans="1:29" ht="14.25" customHeight="1">
      <c r="A735" s="23">
        <v>733</v>
      </c>
      <c r="B735" s="23" t="s">
        <v>843</v>
      </c>
      <c r="C735" s="23">
        <v>2</v>
      </c>
      <c r="D735" s="25">
        <v>16.5</v>
      </c>
      <c r="E735" s="25" t="s">
        <v>61</v>
      </c>
      <c r="F735" s="23" t="s">
        <v>88</v>
      </c>
      <c r="G735" s="111" t="s">
        <v>104</v>
      </c>
      <c r="H735" s="128"/>
      <c r="I735" s="127"/>
      <c r="J735" s="128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 spans="1:29" ht="14.25" customHeight="1">
      <c r="A736" s="23">
        <v>734</v>
      </c>
      <c r="B736" s="23" t="s">
        <v>843</v>
      </c>
      <c r="C736" s="23">
        <v>3</v>
      </c>
      <c r="D736" s="25">
        <v>13.9</v>
      </c>
      <c r="E736" s="25">
        <v>11</v>
      </c>
      <c r="F736" s="23" t="s">
        <v>88</v>
      </c>
      <c r="G736" s="111" t="s">
        <v>104</v>
      </c>
      <c r="H736" s="128"/>
      <c r="I736" s="127"/>
      <c r="J736" s="128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 spans="1:29" ht="14.25" customHeight="1">
      <c r="A737" s="23">
        <v>735</v>
      </c>
      <c r="B737" s="23" t="s">
        <v>844</v>
      </c>
      <c r="C737" s="23">
        <v>1</v>
      </c>
      <c r="D737" s="25">
        <v>16.899999999999999</v>
      </c>
      <c r="E737" s="25">
        <v>11</v>
      </c>
      <c r="F737" s="23" t="s">
        <v>77</v>
      </c>
      <c r="G737" s="147" t="s">
        <v>54</v>
      </c>
      <c r="H737" s="128"/>
      <c r="I737" s="127"/>
      <c r="J737" s="128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 spans="1:29" ht="14.25" customHeight="1">
      <c r="A738" s="23">
        <v>736</v>
      </c>
      <c r="B738" s="23" t="s">
        <v>844</v>
      </c>
      <c r="C738" s="23">
        <v>2</v>
      </c>
      <c r="D738" s="25">
        <v>16.8</v>
      </c>
      <c r="E738" s="25" t="s">
        <v>61</v>
      </c>
      <c r="F738" s="23" t="s">
        <v>77</v>
      </c>
      <c r="G738" s="147" t="s">
        <v>54</v>
      </c>
      <c r="H738" s="128"/>
      <c r="I738" s="127"/>
      <c r="J738" s="128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 spans="1:29" ht="14.25" customHeight="1">
      <c r="A739" s="23">
        <v>737</v>
      </c>
      <c r="B739" s="23" t="s">
        <v>844</v>
      </c>
      <c r="C739" s="23">
        <v>3</v>
      </c>
      <c r="D739" s="25">
        <v>12.4</v>
      </c>
      <c r="E739" s="25">
        <v>10.8</v>
      </c>
      <c r="F739" s="23" t="s">
        <v>124</v>
      </c>
      <c r="G739" s="26" t="s">
        <v>104</v>
      </c>
      <c r="H739" s="128"/>
      <c r="I739" s="127"/>
      <c r="J739" s="128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 spans="1:29" ht="14.25" customHeight="1">
      <c r="A740" s="23">
        <v>738</v>
      </c>
      <c r="B740" s="23" t="s">
        <v>845</v>
      </c>
      <c r="C740" s="23">
        <v>1</v>
      </c>
      <c r="D740" s="25">
        <v>15.1</v>
      </c>
      <c r="E740" s="25">
        <v>10.5</v>
      </c>
      <c r="F740" s="23" t="s">
        <v>112</v>
      </c>
      <c r="G740" s="111" t="s">
        <v>104</v>
      </c>
      <c r="H740" s="128"/>
      <c r="I740" s="127"/>
      <c r="J740" s="128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 spans="1:29" ht="14.25" customHeight="1">
      <c r="A741" s="23">
        <v>739</v>
      </c>
      <c r="B741" s="23" t="s">
        <v>845</v>
      </c>
      <c r="C741" s="23">
        <v>2</v>
      </c>
      <c r="D741" s="25">
        <v>15.7</v>
      </c>
      <c r="E741" s="25" t="s">
        <v>61</v>
      </c>
      <c r="F741" s="23" t="s">
        <v>112</v>
      </c>
      <c r="G741" s="111" t="s">
        <v>104</v>
      </c>
      <c r="H741" s="128"/>
      <c r="I741" s="127"/>
      <c r="J741" s="128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 spans="1:29" ht="14.25" customHeight="1">
      <c r="A742" s="23">
        <v>740</v>
      </c>
      <c r="B742" s="23" t="s">
        <v>845</v>
      </c>
      <c r="C742" s="23">
        <v>3</v>
      </c>
      <c r="D742" s="25">
        <v>12.6</v>
      </c>
      <c r="E742" s="25">
        <v>10.5</v>
      </c>
      <c r="F742" s="23" t="s">
        <v>12</v>
      </c>
      <c r="G742" s="74"/>
      <c r="H742" s="128"/>
      <c r="I742" s="127"/>
      <c r="J742" s="128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 spans="1:29" ht="14.25" customHeight="1">
      <c r="A743" s="23">
        <v>741</v>
      </c>
      <c r="B743" s="23" t="s">
        <v>846</v>
      </c>
      <c r="C743" s="23">
        <v>1</v>
      </c>
      <c r="D743" s="25">
        <v>16.399999999999999</v>
      </c>
      <c r="E743" s="25">
        <v>10.8</v>
      </c>
      <c r="F743" s="23" t="s">
        <v>47</v>
      </c>
      <c r="G743" s="111" t="s">
        <v>104</v>
      </c>
      <c r="H743" s="128"/>
      <c r="I743" s="127"/>
      <c r="J743" s="128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 spans="1:29" ht="14.25" customHeight="1">
      <c r="A744" s="23">
        <v>742</v>
      </c>
      <c r="B744" s="23" t="s">
        <v>846</v>
      </c>
      <c r="C744" s="23">
        <v>2</v>
      </c>
      <c r="D744" s="25">
        <v>16.100000000000001</v>
      </c>
      <c r="E744" s="25" t="s">
        <v>61</v>
      </c>
      <c r="F744" s="26" t="s">
        <v>89</v>
      </c>
      <c r="G744" s="111" t="s">
        <v>104</v>
      </c>
      <c r="H744" s="128"/>
      <c r="I744" s="122" t="s">
        <v>696</v>
      </c>
      <c r="J744" s="128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 spans="1:29" ht="14.25" customHeight="1">
      <c r="A745" s="23">
        <v>743</v>
      </c>
      <c r="B745" s="23" t="s">
        <v>846</v>
      </c>
      <c r="C745" s="23">
        <v>3</v>
      </c>
      <c r="D745" s="25">
        <v>13.4</v>
      </c>
      <c r="E745" s="25">
        <v>10.8</v>
      </c>
      <c r="F745" s="23" t="s">
        <v>89</v>
      </c>
      <c r="G745" s="111" t="s">
        <v>104</v>
      </c>
      <c r="H745" s="128"/>
      <c r="I745" s="127"/>
      <c r="J745" s="128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 spans="1:29" ht="14.25" customHeight="1">
      <c r="A746" s="23">
        <v>744</v>
      </c>
      <c r="B746" s="23" t="s">
        <v>847</v>
      </c>
      <c r="C746" s="23">
        <v>1</v>
      </c>
      <c r="D746" s="25">
        <v>16.899999999999999</v>
      </c>
      <c r="E746" s="25">
        <v>10.8</v>
      </c>
      <c r="F746" s="23" t="s">
        <v>79</v>
      </c>
      <c r="G746" s="111" t="s">
        <v>104</v>
      </c>
      <c r="H746" s="128"/>
      <c r="I746" s="127"/>
      <c r="J746" s="128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 spans="1:29" ht="14.25" customHeight="1">
      <c r="A747" s="23">
        <v>745</v>
      </c>
      <c r="B747" s="23" t="s">
        <v>847</v>
      </c>
      <c r="C747" s="23">
        <v>2</v>
      </c>
      <c r="D747" s="25">
        <v>16</v>
      </c>
      <c r="E747" s="25" t="s">
        <v>61</v>
      </c>
      <c r="F747" s="23" t="s">
        <v>79</v>
      </c>
      <c r="G747" s="111" t="s">
        <v>104</v>
      </c>
      <c r="H747" s="128"/>
      <c r="I747" s="127"/>
      <c r="J747" s="128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 spans="1:29" ht="14.25" customHeight="1">
      <c r="A748" s="23">
        <v>746</v>
      </c>
      <c r="B748" s="23" t="s">
        <v>847</v>
      </c>
      <c r="C748" s="23">
        <v>3</v>
      </c>
      <c r="D748" s="25">
        <v>13</v>
      </c>
      <c r="E748" s="25">
        <v>10.9</v>
      </c>
      <c r="F748" s="23" t="s">
        <v>79</v>
      </c>
      <c r="G748" s="111" t="s">
        <v>104</v>
      </c>
      <c r="H748" s="128"/>
      <c r="I748" s="127"/>
      <c r="J748" s="128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 spans="1:29" ht="14.25" customHeight="1">
      <c r="A749" s="23">
        <v>747</v>
      </c>
      <c r="B749" s="23" t="s">
        <v>848</v>
      </c>
      <c r="C749" s="23">
        <v>1</v>
      </c>
      <c r="D749" s="25">
        <v>16.7</v>
      </c>
      <c r="E749" s="25">
        <v>10.5</v>
      </c>
      <c r="F749" s="23" t="s">
        <v>55</v>
      </c>
      <c r="G749" s="111" t="s">
        <v>104</v>
      </c>
      <c r="H749" s="128"/>
      <c r="I749" s="127"/>
      <c r="J749" s="128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 spans="1:29" ht="14.25" customHeight="1">
      <c r="A750" s="23">
        <v>748</v>
      </c>
      <c r="B750" s="23" t="s">
        <v>848</v>
      </c>
      <c r="C750" s="23">
        <v>2</v>
      </c>
      <c r="D750" s="25">
        <v>16.600000000000001</v>
      </c>
      <c r="E750" s="25" t="s">
        <v>61</v>
      </c>
      <c r="F750" s="23" t="s">
        <v>55</v>
      </c>
      <c r="G750" s="111" t="s">
        <v>104</v>
      </c>
      <c r="H750" s="128"/>
      <c r="I750" s="127"/>
      <c r="J750" s="128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 spans="1:29" ht="14.25" customHeight="1">
      <c r="A751" s="23">
        <v>749</v>
      </c>
      <c r="B751" s="23" t="s">
        <v>848</v>
      </c>
      <c r="C751" s="23">
        <v>3</v>
      </c>
      <c r="D751" s="25">
        <v>13.1</v>
      </c>
      <c r="E751" s="25">
        <v>10.7</v>
      </c>
      <c r="F751" s="23" t="s">
        <v>55</v>
      </c>
      <c r="G751" s="111" t="s">
        <v>104</v>
      </c>
      <c r="H751" s="128"/>
      <c r="I751" s="127"/>
      <c r="J751" s="128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 spans="1:29" ht="14.25" customHeight="1">
      <c r="A752" s="23">
        <v>750</v>
      </c>
      <c r="B752" s="23" t="s">
        <v>849</v>
      </c>
      <c r="C752" s="23">
        <v>1</v>
      </c>
      <c r="D752" s="25">
        <v>18</v>
      </c>
      <c r="E752" s="25">
        <v>11</v>
      </c>
      <c r="F752" s="23" t="s">
        <v>47</v>
      </c>
      <c r="G752" s="111" t="s">
        <v>104</v>
      </c>
      <c r="H752" s="128"/>
      <c r="I752" s="127"/>
      <c r="J752" s="128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 spans="1:29" ht="14.25" customHeight="1">
      <c r="A753" s="23">
        <v>751</v>
      </c>
      <c r="B753" s="23" t="s">
        <v>849</v>
      </c>
      <c r="C753" s="23">
        <v>2</v>
      </c>
      <c r="D753" s="25">
        <v>16.8</v>
      </c>
      <c r="E753" s="25" t="s">
        <v>61</v>
      </c>
      <c r="F753" s="23" t="s">
        <v>118</v>
      </c>
      <c r="G753" s="147" t="s">
        <v>54</v>
      </c>
      <c r="H753" s="128"/>
      <c r="I753" s="127"/>
      <c r="J753" s="128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 spans="1:29" ht="14.25" customHeight="1">
      <c r="A754" s="23">
        <v>752</v>
      </c>
      <c r="B754" s="23" t="s">
        <v>849</v>
      </c>
      <c r="C754" s="23">
        <v>3</v>
      </c>
      <c r="D754" s="25">
        <v>13.2</v>
      </c>
      <c r="E754" s="25">
        <v>11.1</v>
      </c>
      <c r="F754" s="23" t="s">
        <v>118</v>
      </c>
      <c r="G754" s="147" t="s">
        <v>54</v>
      </c>
      <c r="H754" s="128"/>
      <c r="I754" s="127"/>
      <c r="J754" s="128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 spans="1:29" ht="14.25" customHeight="1">
      <c r="A755" s="23">
        <v>753</v>
      </c>
      <c r="B755" s="23" t="s">
        <v>850</v>
      </c>
      <c r="C755" s="23">
        <v>1</v>
      </c>
      <c r="D755" s="25">
        <v>17.5</v>
      </c>
      <c r="E755" s="25">
        <v>11.4</v>
      </c>
      <c r="F755" s="23" t="s">
        <v>62</v>
      </c>
      <c r="G755" s="147" t="s">
        <v>54</v>
      </c>
      <c r="H755" s="128"/>
      <c r="I755" s="127"/>
      <c r="J755" s="128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 spans="1:29" ht="14.25" customHeight="1">
      <c r="A756" s="23">
        <v>754</v>
      </c>
      <c r="B756" s="23" t="s">
        <v>850</v>
      </c>
      <c r="C756" s="23">
        <v>2</v>
      </c>
      <c r="D756" s="25">
        <v>17.399999999999999</v>
      </c>
      <c r="E756" s="25" t="s">
        <v>61</v>
      </c>
      <c r="F756" s="23" t="s">
        <v>62</v>
      </c>
      <c r="G756" s="147" t="s">
        <v>54</v>
      </c>
      <c r="H756" s="128"/>
      <c r="I756" s="127"/>
      <c r="J756" s="128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 spans="1:29" ht="14.25" customHeight="1">
      <c r="A757" s="23">
        <v>755</v>
      </c>
      <c r="B757" s="23" t="s">
        <v>850</v>
      </c>
      <c r="C757" s="23">
        <v>3</v>
      </c>
      <c r="D757" s="25">
        <v>12.4</v>
      </c>
      <c r="E757" s="25">
        <v>10.7</v>
      </c>
      <c r="F757" s="23" t="s">
        <v>62</v>
      </c>
      <c r="G757" s="147" t="s">
        <v>54</v>
      </c>
      <c r="H757" s="128"/>
      <c r="I757" s="127"/>
      <c r="J757" s="128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 spans="1:29" ht="14.25" customHeight="1">
      <c r="A758" s="23">
        <v>756</v>
      </c>
      <c r="B758" s="23" t="s">
        <v>851</v>
      </c>
      <c r="C758" s="23">
        <v>1</v>
      </c>
      <c r="D758" s="25">
        <v>17.100000000000001</v>
      </c>
      <c r="E758" s="25">
        <v>10.8</v>
      </c>
      <c r="F758" s="23" t="s">
        <v>77</v>
      </c>
      <c r="G758" s="147" t="s">
        <v>54</v>
      </c>
      <c r="H758" s="128"/>
      <c r="I758" s="127"/>
      <c r="J758" s="128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 spans="1:29" ht="14.25" customHeight="1">
      <c r="A759" s="23">
        <v>757</v>
      </c>
      <c r="B759" s="23" t="s">
        <v>851</v>
      </c>
      <c r="C759" s="23">
        <v>2</v>
      </c>
      <c r="D759" s="25">
        <v>16.7</v>
      </c>
      <c r="E759" s="25" t="s">
        <v>61</v>
      </c>
      <c r="F759" s="23" t="s">
        <v>55</v>
      </c>
      <c r="G759" s="111" t="s">
        <v>104</v>
      </c>
      <c r="H759" s="128"/>
      <c r="I759" s="127"/>
      <c r="J759" s="128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 spans="1:29" ht="14.25" customHeight="1">
      <c r="A760" s="23">
        <v>758</v>
      </c>
      <c r="B760" s="23" t="s">
        <v>851</v>
      </c>
      <c r="C760" s="23">
        <v>3</v>
      </c>
      <c r="D760" s="25">
        <v>12.8</v>
      </c>
      <c r="E760" s="25">
        <v>10.9</v>
      </c>
      <c r="F760" s="23" t="s">
        <v>77</v>
      </c>
      <c r="G760" s="147" t="s">
        <v>54</v>
      </c>
      <c r="H760" s="128"/>
      <c r="I760" s="127"/>
      <c r="J760" s="128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 spans="1:29" ht="14.25" customHeight="1">
      <c r="A761" s="23">
        <v>759</v>
      </c>
      <c r="B761" s="23" t="s">
        <v>852</v>
      </c>
      <c r="C761" s="23">
        <v>1</v>
      </c>
      <c r="D761" s="25">
        <v>17.7</v>
      </c>
      <c r="E761" s="25">
        <v>10.8</v>
      </c>
      <c r="F761" s="23" t="s">
        <v>118</v>
      </c>
      <c r="G761" s="147" t="s">
        <v>54</v>
      </c>
      <c r="H761" s="128"/>
      <c r="I761" s="127"/>
      <c r="J761" s="128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 spans="1:29" ht="14.25" customHeight="1">
      <c r="A762" s="23">
        <v>760</v>
      </c>
      <c r="B762" s="23" t="s">
        <v>852</v>
      </c>
      <c r="C762" s="23">
        <v>2</v>
      </c>
      <c r="D762" s="25">
        <v>16.600000000000001</v>
      </c>
      <c r="E762" s="25" t="s">
        <v>61</v>
      </c>
      <c r="F762" s="23" t="s">
        <v>150</v>
      </c>
      <c r="G762" s="111" t="s">
        <v>178</v>
      </c>
      <c r="H762" s="128"/>
      <c r="I762" s="127"/>
      <c r="J762" s="128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 spans="1:29" ht="14.25" customHeight="1">
      <c r="A763" s="23">
        <v>761</v>
      </c>
      <c r="B763" s="23" t="s">
        <v>852</v>
      </c>
      <c r="C763" s="23">
        <v>3</v>
      </c>
      <c r="D763" s="25">
        <v>12.6</v>
      </c>
      <c r="E763" s="25">
        <v>10.7</v>
      </c>
      <c r="F763" s="23" t="s">
        <v>77</v>
      </c>
      <c r="G763" s="147" t="s">
        <v>54</v>
      </c>
      <c r="H763" s="128"/>
      <c r="I763" s="127"/>
      <c r="J763" s="128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 spans="1:29" ht="14.25" customHeight="1">
      <c r="A764" s="23">
        <v>762</v>
      </c>
      <c r="B764" s="23" t="s">
        <v>853</v>
      </c>
      <c r="C764" s="23">
        <v>1</v>
      </c>
      <c r="D764" s="25">
        <v>17.100000000000001</v>
      </c>
      <c r="E764" s="25">
        <v>10.8</v>
      </c>
      <c r="F764" s="23" t="s">
        <v>62</v>
      </c>
      <c r="G764" s="147" t="s">
        <v>54</v>
      </c>
      <c r="H764" s="128"/>
      <c r="I764" s="127"/>
      <c r="J764" s="128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 spans="1:29" ht="14.25" customHeight="1">
      <c r="A765" s="23">
        <v>763</v>
      </c>
      <c r="B765" s="23" t="s">
        <v>853</v>
      </c>
      <c r="C765" s="23">
        <v>2</v>
      </c>
      <c r="D765" s="25">
        <v>16.399999999999999</v>
      </c>
      <c r="E765" s="25" t="s">
        <v>61</v>
      </c>
      <c r="F765" s="23" t="s">
        <v>47</v>
      </c>
      <c r="G765" s="111" t="s">
        <v>104</v>
      </c>
      <c r="H765" s="128"/>
      <c r="I765" s="127"/>
      <c r="J765" s="128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 spans="1:29" ht="14.25" customHeight="1">
      <c r="A766" s="23">
        <v>764</v>
      </c>
      <c r="B766" s="23" t="s">
        <v>853</v>
      </c>
      <c r="C766" s="23">
        <v>3</v>
      </c>
      <c r="D766" s="25">
        <v>12.5</v>
      </c>
      <c r="E766" s="25">
        <v>10.9</v>
      </c>
      <c r="F766" s="23" t="s">
        <v>36</v>
      </c>
      <c r="G766" s="111" t="s">
        <v>104</v>
      </c>
      <c r="H766" s="128"/>
      <c r="I766" s="127"/>
      <c r="J766" s="128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 spans="1:29" ht="14.25" customHeight="1">
      <c r="A767" s="23">
        <v>765</v>
      </c>
      <c r="B767" s="23" t="s">
        <v>854</v>
      </c>
      <c r="C767" s="23">
        <v>1</v>
      </c>
      <c r="D767" s="25">
        <v>16.600000000000001</v>
      </c>
      <c r="E767" s="25">
        <v>10.8</v>
      </c>
      <c r="F767" s="23" t="s">
        <v>89</v>
      </c>
      <c r="G767" s="111" t="s">
        <v>104</v>
      </c>
      <c r="H767" s="128"/>
      <c r="I767" s="127"/>
      <c r="J767" s="128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 spans="1:29" ht="14.25" customHeight="1">
      <c r="A768" s="23">
        <v>766</v>
      </c>
      <c r="B768" s="23" t="s">
        <v>854</v>
      </c>
      <c r="C768" s="23">
        <v>2</v>
      </c>
      <c r="D768" s="25">
        <v>16.5</v>
      </c>
      <c r="E768" s="25" t="s">
        <v>61</v>
      </c>
      <c r="F768" s="23" t="s">
        <v>47</v>
      </c>
      <c r="G768" s="111" t="s">
        <v>104</v>
      </c>
      <c r="H768" s="128"/>
      <c r="I768" s="127"/>
      <c r="J768" s="128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 spans="1:29" ht="14.25" customHeight="1">
      <c r="A769" s="23">
        <v>767</v>
      </c>
      <c r="B769" s="23" t="s">
        <v>854</v>
      </c>
      <c r="C769" s="23">
        <v>3</v>
      </c>
      <c r="D769" s="25">
        <v>12.9</v>
      </c>
      <c r="E769" s="25">
        <v>10.8</v>
      </c>
      <c r="F769" s="23" t="s">
        <v>150</v>
      </c>
      <c r="G769" s="111" t="s">
        <v>178</v>
      </c>
      <c r="H769" s="128"/>
      <c r="I769" s="127"/>
      <c r="J769" s="128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 spans="1:29" ht="14.25" customHeight="1">
      <c r="A770" s="23">
        <v>768</v>
      </c>
      <c r="B770" s="23" t="s">
        <v>855</v>
      </c>
      <c r="C770" s="23">
        <v>1</v>
      </c>
      <c r="D770" s="25">
        <v>17</v>
      </c>
      <c r="E770" s="25">
        <v>10.7</v>
      </c>
      <c r="F770" s="23" t="s">
        <v>150</v>
      </c>
      <c r="G770" s="111" t="s">
        <v>178</v>
      </c>
      <c r="H770" s="128"/>
      <c r="I770" s="127"/>
      <c r="J770" s="128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 spans="1:29" ht="14.25" customHeight="1">
      <c r="A771" s="23">
        <v>769</v>
      </c>
      <c r="B771" s="23" t="s">
        <v>855</v>
      </c>
      <c r="C771" s="23">
        <v>2</v>
      </c>
      <c r="D771" s="25">
        <v>16.399999999999999</v>
      </c>
      <c r="E771" s="25" t="s">
        <v>61</v>
      </c>
      <c r="F771" s="23" t="s">
        <v>77</v>
      </c>
      <c r="G771" s="147" t="s">
        <v>54</v>
      </c>
      <c r="H771" s="128"/>
      <c r="I771" s="127"/>
      <c r="J771" s="128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 spans="1:29" ht="14.25" customHeight="1">
      <c r="A772" s="23">
        <v>770</v>
      </c>
      <c r="B772" s="23" t="s">
        <v>855</v>
      </c>
      <c r="C772" s="23">
        <v>3</v>
      </c>
      <c r="D772" s="25">
        <v>12.6</v>
      </c>
      <c r="E772" s="25">
        <v>10.7</v>
      </c>
      <c r="F772" s="23" t="s">
        <v>132</v>
      </c>
      <c r="G772" s="111" t="s">
        <v>104</v>
      </c>
      <c r="H772" s="128"/>
      <c r="I772" s="127"/>
      <c r="J772" s="128" t="s">
        <v>856</v>
      </c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 spans="1:29" ht="14.25" customHeight="1">
      <c r="A773" s="23">
        <v>771</v>
      </c>
      <c r="B773" s="23" t="s">
        <v>857</v>
      </c>
      <c r="C773" s="23">
        <v>1</v>
      </c>
      <c r="D773" s="25">
        <v>16.600000000000001</v>
      </c>
      <c r="E773" s="25">
        <v>10.5</v>
      </c>
      <c r="F773" s="23" t="s">
        <v>55</v>
      </c>
      <c r="G773" s="111" t="s">
        <v>104</v>
      </c>
      <c r="H773" s="128"/>
      <c r="I773" s="127"/>
      <c r="J773" s="128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 spans="1:29" ht="14.25" customHeight="1">
      <c r="A774" s="23">
        <v>772</v>
      </c>
      <c r="B774" s="23" t="s">
        <v>857</v>
      </c>
      <c r="C774" s="23">
        <v>2</v>
      </c>
      <c r="D774" s="25">
        <v>16.8</v>
      </c>
      <c r="E774" s="25" t="s">
        <v>61</v>
      </c>
      <c r="F774" s="23" t="s">
        <v>77</v>
      </c>
      <c r="G774" s="147" t="s">
        <v>54</v>
      </c>
      <c r="H774" s="128"/>
      <c r="I774" s="127"/>
      <c r="J774" s="128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 spans="1:29" ht="14.25" customHeight="1">
      <c r="A775" s="23">
        <v>773</v>
      </c>
      <c r="B775" s="23" t="s">
        <v>857</v>
      </c>
      <c r="C775" s="23">
        <v>3</v>
      </c>
      <c r="D775" s="25">
        <v>12.7</v>
      </c>
      <c r="E775" s="25">
        <v>10.5</v>
      </c>
      <c r="F775" s="23" t="s">
        <v>77</v>
      </c>
      <c r="G775" s="147" t="s">
        <v>54</v>
      </c>
      <c r="H775" s="128"/>
      <c r="I775" s="127"/>
      <c r="J775" s="128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 spans="1:29" ht="14.25" customHeight="1">
      <c r="A776" s="23">
        <v>774</v>
      </c>
      <c r="B776" s="23" t="s">
        <v>858</v>
      </c>
      <c r="C776" s="23">
        <v>1</v>
      </c>
      <c r="D776" s="25">
        <v>16.8</v>
      </c>
      <c r="E776" s="25">
        <v>11.3</v>
      </c>
      <c r="F776" s="23" t="s">
        <v>55</v>
      </c>
      <c r="G776" s="111" t="s">
        <v>104</v>
      </c>
      <c r="H776" s="128"/>
      <c r="I776" s="127"/>
      <c r="J776" s="128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 spans="1:29" ht="14.25" customHeight="1">
      <c r="A777" s="23">
        <v>775</v>
      </c>
      <c r="B777" s="23" t="s">
        <v>858</v>
      </c>
      <c r="C777" s="23">
        <v>2</v>
      </c>
      <c r="D777" s="25">
        <v>17.3</v>
      </c>
      <c r="E777" s="25" t="s">
        <v>61</v>
      </c>
      <c r="F777" s="23" t="s">
        <v>77</v>
      </c>
      <c r="G777" s="147" t="s">
        <v>54</v>
      </c>
      <c r="H777" s="128"/>
      <c r="I777" s="127"/>
      <c r="J777" s="128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 spans="1:29" ht="14.25" customHeight="1">
      <c r="A778" s="23">
        <v>776</v>
      </c>
      <c r="B778" s="23" t="s">
        <v>858</v>
      </c>
      <c r="C778" s="23">
        <v>3</v>
      </c>
      <c r="D778" s="25">
        <v>13.7</v>
      </c>
      <c r="E778" s="25">
        <v>11.3</v>
      </c>
      <c r="F778" s="23" t="s">
        <v>12</v>
      </c>
      <c r="G778" s="74"/>
      <c r="H778" s="128"/>
      <c r="I778" s="127"/>
      <c r="J778" s="128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 spans="1:29" ht="14.25" customHeight="1">
      <c r="A779" s="23">
        <v>777</v>
      </c>
      <c r="B779" s="23" t="s">
        <v>859</v>
      </c>
      <c r="C779" s="23">
        <v>1</v>
      </c>
      <c r="D779" s="25">
        <v>17.5</v>
      </c>
      <c r="E779" s="25">
        <v>11.3</v>
      </c>
      <c r="F779" s="23" t="s">
        <v>150</v>
      </c>
      <c r="G779" s="111" t="s">
        <v>178</v>
      </c>
      <c r="H779" s="128"/>
      <c r="I779" s="127"/>
      <c r="J779" s="128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 spans="1:29" ht="14.25" customHeight="1">
      <c r="A780" s="23">
        <v>778</v>
      </c>
      <c r="B780" s="23" t="s">
        <v>859</v>
      </c>
      <c r="C780" s="23">
        <v>2</v>
      </c>
      <c r="D780" s="25">
        <v>17</v>
      </c>
      <c r="E780" s="25" t="s">
        <v>61</v>
      </c>
      <c r="F780" s="23" t="s">
        <v>150</v>
      </c>
      <c r="G780" s="111" t="s">
        <v>178</v>
      </c>
      <c r="H780" s="128"/>
      <c r="I780" s="127"/>
      <c r="J780" s="128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 spans="1:29" ht="14.25" customHeight="1">
      <c r="A781" s="23">
        <v>779</v>
      </c>
      <c r="B781" s="23" t="s">
        <v>859</v>
      </c>
      <c r="C781" s="23">
        <v>3</v>
      </c>
      <c r="D781" s="25">
        <v>12.9</v>
      </c>
      <c r="E781" s="25">
        <v>11.1</v>
      </c>
      <c r="F781" s="23" t="s">
        <v>79</v>
      </c>
      <c r="G781" s="111" t="s">
        <v>104</v>
      </c>
      <c r="H781" s="128"/>
      <c r="I781" s="127"/>
      <c r="J781" s="128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 spans="1:29" ht="14.25" customHeight="1">
      <c r="A782" s="23">
        <v>780</v>
      </c>
      <c r="B782" s="23" t="s">
        <v>860</v>
      </c>
      <c r="C782" s="23">
        <v>1</v>
      </c>
      <c r="D782" s="25">
        <v>17.100000000000001</v>
      </c>
      <c r="E782" s="25">
        <v>11</v>
      </c>
      <c r="F782" s="23" t="s">
        <v>112</v>
      </c>
      <c r="G782" s="111" t="s">
        <v>104</v>
      </c>
      <c r="H782" s="128"/>
      <c r="I782" s="127"/>
      <c r="J782" s="128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 spans="1:29" ht="14.25" customHeight="1">
      <c r="A783" s="23">
        <v>781</v>
      </c>
      <c r="B783" s="23" t="s">
        <v>860</v>
      </c>
      <c r="C783" s="23">
        <v>2</v>
      </c>
      <c r="D783" s="25">
        <v>16.600000000000001</v>
      </c>
      <c r="E783" s="25" t="s">
        <v>61</v>
      </c>
      <c r="F783" s="23" t="s">
        <v>77</v>
      </c>
      <c r="G783" s="147" t="s">
        <v>54</v>
      </c>
      <c r="H783" s="128"/>
      <c r="I783" s="127"/>
      <c r="J783" s="128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 spans="1:29" ht="14.25" customHeight="1">
      <c r="A784" s="23">
        <v>782</v>
      </c>
      <c r="B784" s="23" t="s">
        <v>860</v>
      </c>
      <c r="C784" s="23">
        <v>3</v>
      </c>
      <c r="D784" s="25">
        <v>13</v>
      </c>
      <c r="E784" s="25">
        <v>11.2</v>
      </c>
      <c r="F784" s="23" t="s">
        <v>47</v>
      </c>
      <c r="G784" s="111" t="s">
        <v>104</v>
      </c>
      <c r="H784" s="128"/>
      <c r="I784" s="127"/>
      <c r="J784" s="128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 spans="1:29" ht="14.25" customHeight="1">
      <c r="A785" s="23">
        <v>783</v>
      </c>
      <c r="B785" s="23" t="s">
        <v>861</v>
      </c>
      <c r="C785" s="23">
        <v>1</v>
      </c>
      <c r="D785" s="25">
        <v>17.399999999999999</v>
      </c>
      <c r="E785" s="25">
        <v>11.2</v>
      </c>
      <c r="F785" s="23" t="s">
        <v>89</v>
      </c>
      <c r="G785" s="111" t="s">
        <v>104</v>
      </c>
      <c r="H785" s="128"/>
      <c r="I785" s="127"/>
      <c r="J785" s="128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 spans="1:29" ht="14.25" customHeight="1">
      <c r="A786" s="23">
        <v>784</v>
      </c>
      <c r="B786" s="23" t="s">
        <v>861</v>
      </c>
      <c r="C786" s="23">
        <v>2</v>
      </c>
      <c r="D786" s="25">
        <v>16.8</v>
      </c>
      <c r="E786" s="25" t="s">
        <v>61</v>
      </c>
      <c r="F786" s="26" t="s">
        <v>89</v>
      </c>
      <c r="G786" s="111" t="s">
        <v>104</v>
      </c>
      <c r="H786" s="128"/>
      <c r="I786" s="122" t="s">
        <v>696</v>
      </c>
      <c r="J786" s="128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 spans="1:29" ht="14.25" customHeight="1">
      <c r="A787" s="23">
        <v>785</v>
      </c>
      <c r="B787" s="23" t="s">
        <v>861</v>
      </c>
      <c r="C787" s="23">
        <v>3</v>
      </c>
      <c r="D787" s="25">
        <v>13.4</v>
      </c>
      <c r="E787" s="25">
        <v>11.4</v>
      </c>
      <c r="F787" s="23" t="s">
        <v>112</v>
      </c>
      <c r="G787" s="111" t="s">
        <v>104</v>
      </c>
      <c r="H787" s="128"/>
      <c r="I787" s="127"/>
      <c r="J787" s="128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 spans="1:29" ht="14.25" customHeight="1">
      <c r="A788" s="23">
        <v>786</v>
      </c>
      <c r="B788" s="23" t="s">
        <v>862</v>
      </c>
      <c r="C788" s="23">
        <v>1</v>
      </c>
      <c r="D788" s="25">
        <v>12.8</v>
      </c>
      <c r="E788" s="25">
        <v>10.9</v>
      </c>
      <c r="F788" s="23" t="s">
        <v>79</v>
      </c>
      <c r="G788" s="111" t="s">
        <v>104</v>
      </c>
      <c r="H788" s="128"/>
      <c r="I788" s="127"/>
      <c r="J788" s="128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 spans="1:29" ht="14.25" customHeight="1">
      <c r="A789" s="23">
        <v>787</v>
      </c>
      <c r="B789" s="23" t="s">
        <v>862</v>
      </c>
      <c r="C789" s="23">
        <v>2</v>
      </c>
      <c r="D789" s="25">
        <v>16.8</v>
      </c>
      <c r="E789" s="25" t="s">
        <v>61</v>
      </c>
      <c r="F789" s="23" t="s">
        <v>36</v>
      </c>
      <c r="G789" s="111" t="s">
        <v>104</v>
      </c>
      <c r="H789" s="128"/>
      <c r="I789" s="127"/>
      <c r="J789" s="128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 spans="1:29" ht="14.25" customHeight="1">
      <c r="A790" s="23">
        <v>788</v>
      </c>
      <c r="B790" s="23" t="s">
        <v>862</v>
      </c>
      <c r="C790" s="23">
        <v>3</v>
      </c>
      <c r="D790" s="25">
        <v>16.600000000000001</v>
      </c>
      <c r="E790" s="25">
        <v>11.3</v>
      </c>
      <c r="F790" s="23" t="s">
        <v>112</v>
      </c>
      <c r="G790" s="111" t="s">
        <v>104</v>
      </c>
      <c r="H790" s="128"/>
      <c r="I790" s="127"/>
      <c r="J790" s="128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 spans="1:29" ht="14.25" customHeight="1">
      <c r="A791" s="23">
        <v>789</v>
      </c>
      <c r="B791" s="23" t="s">
        <v>863</v>
      </c>
      <c r="C791" s="23">
        <v>1</v>
      </c>
      <c r="D791" s="25">
        <v>17.100000000000001</v>
      </c>
      <c r="E791" s="25">
        <v>11</v>
      </c>
      <c r="F791" s="23" t="s">
        <v>124</v>
      </c>
      <c r="G791" s="26" t="s">
        <v>104</v>
      </c>
      <c r="H791" s="128"/>
      <c r="I791" s="127"/>
      <c r="J791" s="128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 spans="1:29" ht="14.25" customHeight="1">
      <c r="A792" s="23">
        <v>790</v>
      </c>
      <c r="B792" s="23" t="s">
        <v>863</v>
      </c>
      <c r="C792" s="23">
        <v>2</v>
      </c>
      <c r="D792" s="25">
        <v>16.399999999999999</v>
      </c>
      <c r="E792" s="25" t="s">
        <v>61</v>
      </c>
      <c r="F792" s="23" t="s">
        <v>124</v>
      </c>
      <c r="G792" s="26" t="s">
        <v>104</v>
      </c>
      <c r="H792" s="128"/>
      <c r="I792" s="127"/>
      <c r="J792" s="128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 spans="1:29" ht="14.25" customHeight="1">
      <c r="A793" s="23">
        <v>791</v>
      </c>
      <c r="B793" s="23" t="s">
        <v>863</v>
      </c>
      <c r="C793" s="23">
        <v>3</v>
      </c>
      <c r="D793" s="25">
        <v>13.1</v>
      </c>
      <c r="E793" s="25">
        <v>10.9</v>
      </c>
      <c r="F793" s="23" t="s">
        <v>124</v>
      </c>
      <c r="G793" s="26" t="s">
        <v>104</v>
      </c>
      <c r="H793" s="128"/>
      <c r="I793" s="127"/>
      <c r="J793" s="128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 spans="1:29" ht="14.25" customHeight="1">
      <c r="A794" s="23">
        <v>792</v>
      </c>
      <c r="B794" s="23" t="s">
        <v>864</v>
      </c>
      <c r="C794" s="23">
        <v>1</v>
      </c>
      <c r="D794" s="25">
        <v>17</v>
      </c>
      <c r="E794" s="25">
        <v>11.1</v>
      </c>
      <c r="F794" s="23" t="s">
        <v>118</v>
      </c>
      <c r="G794" s="147" t="s">
        <v>54</v>
      </c>
      <c r="H794" s="128"/>
      <c r="I794" s="127"/>
      <c r="J794" s="128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 spans="1:29" ht="14.25" customHeight="1">
      <c r="A795" s="23">
        <v>793</v>
      </c>
      <c r="B795" s="23" t="s">
        <v>864</v>
      </c>
      <c r="C795" s="23">
        <v>2</v>
      </c>
      <c r="D795" s="25">
        <v>17.399999999999999</v>
      </c>
      <c r="E795" s="25" t="s">
        <v>61</v>
      </c>
      <c r="F795" s="23" t="s">
        <v>118</v>
      </c>
      <c r="G795" s="147" t="s">
        <v>54</v>
      </c>
      <c r="H795" s="128"/>
      <c r="I795" s="127"/>
      <c r="J795" s="128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 spans="1:29" ht="14.25" customHeight="1">
      <c r="A796" s="23">
        <v>794</v>
      </c>
      <c r="B796" s="23" t="s">
        <v>864</v>
      </c>
      <c r="C796" s="23">
        <v>3</v>
      </c>
      <c r="D796" s="25">
        <v>13.3</v>
      </c>
      <c r="E796" s="25">
        <v>10.9</v>
      </c>
      <c r="F796" s="23" t="s">
        <v>62</v>
      </c>
      <c r="G796" s="147" t="s">
        <v>54</v>
      </c>
      <c r="H796" s="128"/>
      <c r="I796" s="127"/>
      <c r="J796" s="128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 spans="1:29" ht="14.25" customHeight="1">
      <c r="A797" s="23">
        <v>795</v>
      </c>
      <c r="B797" s="23" t="s">
        <v>865</v>
      </c>
      <c r="C797" s="23">
        <v>1</v>
      </c>
      <c r="D797" s="25">
        <v>12.6</v>
      </c>
      <c r="E797" s="25">
        <v>11</v>
      </c>
      <c r="F797" s="23" t="s">
        <v>47</v>
      </c>
      <c r="G797" s="111" t="s">
        <v>104</v>
      </c>
      <c r="H797" s="128"/>
      <c r="I797" s="127"/>
      <c r="J797" s="128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 spans="1:29" ht="14.25" customHeight="1">
      <c r="A798" s="23">
        <v>796</v>
      </c>
      <c r="B798" s="23" t="s">
        <v>865</v>
      </c>
      <c r="C798" s="23">
        <v>2</v>
      </c>
      <c r="D798" s="25">
        <v>17.2</v>
      </c>
      <c r="E798" s="25" t="s">
        <v>61</v>
      </c>
      <c r="F798" s="23" t="s">
        <v>36</v>
      </c>
      <c r="G798" s="111" t="s">
        <v>104</v>
      </c>
      <c r="H798" s="128"/>
      <c r="I798" s="127"/>
      <c r="J798" s="128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 spans="1:29" ht="14.25" customHeight="1">
      <c r="A799" s="23">
        <v>797</v>
      </c>
      <c r="B799" s="23" t="s">
        <v>865</v>
      </c>
      <c r="C799" s="23">
        <v>3</v>
      </c>
      <c r="D799" s="25">
        <v>17</v>
      </c>
      <c r="E799" s="25">
        <v>10.9</v>
      </c>
      <c r="F799" s="23" t="s">
        <v>77</v>
      </c>
      <c r="G799" s="147" t="s">
        <v>54</v>
      </c>
      <c r="H799" s="128"/>
      <c r="I799" s="127"/>
      <c r="J799" s="128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 spans="1:29" ht="14.25" customHeight="1">
      <c r="A800" s="23">
        <v>798</v>
      </c>
      <c r="B800" s="23" t="s">
        <v>866</v>
      </c>
      <c r="C800" s="23">
        <v>1</v>
      </c>
      <c r="D800" s="25">
        <v>17</v>
      </c>
      <c r="E800" s="25">
        <v>11</v>
      </c>
      <c r="F800" s="23" t="s">
        <v>150</v>
      </c>
      <c r="G800" s="111" t="s">
        <v>178</v>
      </c>
      <c r="H800" s="128"/>
      <c r="I800" s="127"/>
      <c r="J800" s="128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 spans="1:29" ht="14.25" customHeight="1">
      <c r="A801" s="23">
        <v>799</v>
      </c>
      <c r="B801" s="23" t="s">
        <v>866</v>
      </c>
      <c r="C801" s="23">
        <v>2</v>
      </c>
      <c r="D801" s="25">
        <v>16.399999999999999</v>
      </c>
      <c r="E801" s="25" t="s">
        <v>61</v>
      </c>
      <c r="F801" s="23" t="s">
        <v>89</v>
      </c>
      <c r="G801" s="111" t="s">
        <v>104</v>
      </c>
      <c r="H801" s="128"/>
      <c r="I801" s="127"/>
      <c r="J801" s="128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 spans="1:29" ht="14.25" customHeight="1">
      <c r="A802" s="23">
        <v>800</v>
      </c>
      <c r="B802" s="23" t="s">
        <v>866</v>
      </c>
      <c r="C802" s="23">
        <v>3</v>
      </c>
      <c r="D802" s="25">
        <v>12.6</v>
      </c>
      <c r="E802" s="25">
        <v>10.8</v>
      </c>
      <c r="F802" s="23" t="s">
        <v>89</v>
      </c>
      <c r="G802" s="111" t="s">
        <v>104</v>
      </c>
      <c r="H802" s="128"/>
      <c r="I802" s="127"/>
      <c r="J802" s="128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 spans="1:29" ht="14.25" customHeight="1">
      <c r="A803" s="69"/>
      <c r="B803" s="69"/>
      <c r="C803" s="69"/>
      <c r="D803" s="155">
        <f t="shared" ref="D803:E803" si="0">SUM(D3:D802)</f>
        <v>12221.299999999979</v>
      </c>
      <c r="E803" s="155">
        <f t="shared" si="0"/>
        <v>5755.1999999999935</v>
      </c>
      <c r="F803" s="69"/>
      <c r="G803" s="74"/>
      <c r="H803" s="128"/>
      <c r="I803" s="127"/>
      <c r="J803" s="128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 spans="1:29" ht="14.25" customHeight="1">
      <c r="A804" s="13"/>
      <c r="B804" s="13"/>
      <c r="C804" s="13"/>
      <c r="D804" s="13"/>
      <c r="E804" s="13"/>
      <c r="F804" s="13"/>
      <c r="G804" s="174"/>
      <c r="H804" s="12"/>
      <c r="I804" s="116"/>
      <c r="J804" s="12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 spans="1:29" ht="14.25" customHeight="1">
      <c r="A805" s="13"/>
      <c r="B805" s="13"/>
      <c r="C805" s="13"/>
      <c r="D805" s="13"/>
      <c r="E805" s="13"/>
      <c r="F805" s="13"/>
      <c r="G805" s="75"/>
      <c r="H805" s="12"/>
      <c r="I805" s="116"/>
      <c r="J805" s="12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 spans="1:29" ht="14.25" customHeight="1">
      <c r="A806" s="13"/>
      <c r="B806" s="13"/>
      <c r="C806" s="13"/>
      <c r="D806" s="13"/>
      <c r="E806" s="13"/>
      <c r="F806" s="13"/>
      <c r="G806" s="75"/>
      <c r="H806" s="12"/>
      <c r="I806" s="116"/>
      <c r="J806" s="12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 spans="1:29" ht="14.25" customHeight="1">
      <c r="A807" s="13"/>
      <c r="B807" s="13"/>
      <c r="C807" s="13"/>
      <c r="D807" s="13"/>
      <c r="E807" s="13"/>
      <c r="F807" s="13"/>
      <c r="G807" s="75"/>
      <c r="H807" s="12"/>
      <c r="I807" s="116"/>
      <c r="J807" s="12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 spans="1:29" ht="14.25" customHeight="1">
      <c r="A808" s="13"/>
      <c r="B808" s="13"/>
      <c r="C808" s="13"/>
      <c r="D808" s="13"/>
      <c r="E808" s="13"/>
      <c r="F808" s="13"/>
      <c r="G808" s="75"/>
      <c r="H808" s="12"/>
      <c r="I808" s="116"/>
      <c r="J808" s="12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 spans="1:29" ht="14.25" customHeight="1">
      <c r="A809" s="13"/>
      <c r="B809" s="13"/>
      <c r="C809" s="13"/>
      <c r="D809" s="13"/>
      <c r="E809" s="13"/>
      <c r="F809" s="13"/>
      <c r="G809" s="75"/>
      <c r="H809" s="12"/>
      <c r="I809" s="116"/>
      <c r="J809" s="12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 spans="1:29" ht="14.25" customHeight="1">
      <c r="A810" s="13"/>
      <c r="B810" s="13"/>
      <c r="C810" s="13"/>
      <c r="D810" s="13"/>
      <c r="E810" s="13"/>
      <c r="F810" s="13"/>
      <c r="G810" s="75"/>
      <c r="H810" s="12"/>
      <c r="I810" s="116"/>
      <c r="J810" s="12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 spans="1:29" ht="14.25" customHeight="1">
      <c r="A811" s="13"/>
      <c r="B811" s="13"/>
      <c r="C811" s="13"/>
      <c r="D811" s="13"/>
      <c r="E811" s="13"/>
      <c r="F811" s="13"/>
      <c r="G811" s="75"/>
      <c r="H811" s="12"/>
      <c r="I811" s="116"/>
      <c r="J811" s="12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 spans="1:29" ht="14.25" customHeight="1">
      <c r="A812" s="13"/>
      <c r="B812" s="13"/>
      <c r="C812" s="13"/>
      <c r="D812" s="13"/>
      <c r="E812" s="13"/>
      <c r="F812" s="13"/>
      <c r="G812" s="75"/>
      <c r="H812" s="12"/>
      <c r="I812" s="116"/>
      <c r="J812" s="12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 spans="1:29" ht="14.25" customHeight="1">
      <c r="A813" s="13"/>
      <c r="B813" s="13"/>
      <c r="C813" s="13"/>
      <c r="D813" s="13"/>
      <c r="E813" s="13"/>
      <c r="F813" s="13"/>
      <c r="G813" s="75"/>
      <c r="H813" s="12"/>
      <c r="I813" s="116"/>
      <c r="J813" s="12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 spans="1:29" ht="14.25" customHeight="1">
      <c r="A814" s="13"/>
      <c r="B814" s="13"/>
      <c r="C814" s="13"/>
      <c r="D814" s="13"/>
      <c r="E814" s="13"/>
      <c r="F814" s="13"/>
      <c r="G814" s="75"/>
      <c r="H814" s="12"/>
      <c r="I814" s="116"/>
      <c r="J814" s="12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 spans="1:29" ht="14.25" customHeight="1">
      <c r="A815" s="13"/>
      <c r="B815" s="13"/>
      <c r="C815" s="13"/>
      <c r="D815" s="13"/>
      <c r="E815" s="13"/>
      <c r="F815" s="13"/>
      <c r="G815" s="75"/>
      <c r="H815" s="12"/>
      <c r="I815" s="116"/>
      <c r="J815" s="12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 spans="1:29" ht="14.25" customHeight="1">
      <c r="A816" s="13"/>
      <c r="B816" s="13"/>
      <c r="C816" s="13"/>
      <c r="D816" s="13"/>
      <c r="E816" s="13"/>
      <c r="F816" s="13"/>
      <c r="G816" s="75"/>
      <c r="H816" s="12"/>
      <c r="I816" s="116"/>
      <c r="J816" s="12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 spans="1:29" ht="14.25" customHeight="1">
      <c r="A817" s="13"/>
      <c r="B817" s="13"/>
      <c r="C817" s="13"/>
      <c r="D817" s="13"/>
      <c r="E817" s="13"/>
      <c r="F817" s="13"/>
      <c r="G817" s="75"/>
      <c r="H817" s="12"/>
      <c r="I817" s="116"/>
      <c r="J817" s="12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 spans="1:29" ht="14.25" customHeight="1">
      <c r="A818" s="13"/>
      <c r="B818" s="13"/>
      <c r="C818" s="13"/>
      <c r="D818" s="13"/>
      <c r="E818" s="13"/>
      <c r="F818" s="13"/>
      <c r="G818" s="75"/>
      <c r="H818" s="12"/>
      <c r="I818" s="116"/>
      <c r="J818" s="12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 spans="1:29" ht="14.25" customHeight="1">
      <c r="A819" s="13"/>
      <c r="B819" s="13"/>
      <c r="C819" s="13"/>
      <c r="D819" s="13"/>
      <c r="E819" s="13"/>
      <c r="F819" s="13"/>
      <c r="G819" s="75"/>
      <c r="H819" s="12"/>
      <c r="I819" s="116"/>
      <c r="J819" s="12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 spans="1:29" ht="14.25" customHeight="1">
      <c r="A820" s="13"/>
      <c r="B820" s="13"/>
      <c r="C820" s="13"/>
      <c r="D820" s="13"/>
      <c r="E820" s="13"/>
      <c r="F820" s="13"/>
      <c r="G820" s="75"/>
      <c r="H820" s="12"/>
      <c r="I820" s="116"/>
      <c r="J820" s="12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 spans="1:29" ht="14.25" customHeight="1">
      <c r="A821" s="13"/>
      <c r="B821" s="13"/>
      <c r="C821" s="13"/>
      <c r="D821" s="13"/>
      <c r="E821" s="13"/>
      <c r="F821" s="13"/>
      <c r="G821" s="75"/>
      <c r="H821" s="12"/>
      <c r="I821" s="116"/>
      <c r="J821" s="12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 spans="1:29" ht="14.25" customHeight="1">
      <c r="A822" s="13"/>
      <c r="B822" s="13"/>
      <c r="C822" s="13"/>
      <c r="D822" s="13"/>
      <c r="E822" s="13"/>
      <c r="F822" s="13"/>
      <c r="G822" s="75"/>
      <c r="H822" s="12"/>
      <c r="I822" s="116"/>
      <c r="J822" s="12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 spans="1:29" ht="14.25" customHeight="1">
      <c r="A823" s="13"/>
      <c r="B823" s="13"/>
      <c r="C823" s="13"/>
      <c r="D823" s="13"/>
      <c r="E823" s="13"/>
      <c r="F823" s="13"/>
      <c r="G823" s="75"/>
      <c r="H823" s="12"/>
      <c r="I823" s="116"/>
      <c r="J823" s="12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 spans="1:29" ht="14.25" customHeight="1">
      <c r="A824" s="13"/>
      <c r="B824" s="13"/>
      <c r="C824" s="13"/>
      <c r="D824" s="13"/>
      <c r="E824" s="13"/>
      <c r="F824" s="13"/>
      <c r="G824" s="75"/>
      <c r="H824" s="12"/>
      <c r="I824" s="116"/>
      <c r="J824" s="12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 spans="1:29" ht="14.25" customHeight="1">
      <c r="A825" s="13"/>
      <c r="B825" s="13"/>
      <c r="C825" s="13"/>
      <c r="D825" s="13"/>
      <c r="E825" s="13"/>
      <c r="F825" s="13"/>
      <c r="G825" s="75"/>
      <c r="H825" s="12"/>
      <c r="I825" s="116"/>
      <c r="J825" s="12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 spans="1:29" ht="14.25" customHeight="1">
      <c r="A826" s="13"/>
      <c r="B826" s="13"/>
      <c r="C826" s="13"/>
      <c r="D826" s="13"/>
      <c r="E826" s="13"/>
      <c r="F826" s="13"/>
      <c r="G826" s="75"/>
      <c r="H826" s="12"/>
      <c r="I826" s="116"/>
      <c r="J826" s="12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 spans="1:29" ht="14.25" customHeight="1">
      <c r="A827" s="13"/>
      <c r="B827" s="13"/>
      <c r="C827" s="13"/>
      <c r="D827" s="13"/>
      <c r="E827" s="13"/>
      <c r="F827" s="13"/>
      <c r="G827" s="75"/>
      <c r="H827" s="12"/>
      <c r="I827" s="116"/>
      <c r="J827" s="12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 spans="1:29" ht="14.25" customHeight="1">
      <c r="A828" s="13"/>
      <c r="B828" s="13"/>
      <c r="C828" s="13"/>
      <c r="D828" s="13"/>
      <c r="E828" s="13"/>
      <c r="F828" s="13"/>
      <c r="G828" s="75"/>
      <c r="H828" s="12"/>
      <c r="I828" s="116"/>
      <c r="J828" s="12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 spans="1:29" ht="14.25" customHeight="1">
      <c r="A829" s="13"/>
      <c r="B829" s="13"/>
      <c r="C829" s="13"/>
      <c r="D829" s="13"/>
      <c r="E829" s="13"/>
      <c r="F829" s="13"/>
      <c r="G829" s="75"/>
      <c r="H829" s="12"/>
      <c r="I829" s="116"/>
      <c r="J829" s="12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 spans="1:29" ht="14.25" customHeight="1">
      <c r="A830" s="13"/>
      <c r="B830" s="13"/>
      <c r="C830" s="13"/>
      <c r="D830" s="13"/>
      <c r="E830" s="13"/>
      <c r="F830" s="13"/>
      <c r="G830" s="75"/>
      <c r="H830" s="12"/>
      <c r="I830" s="116"/>
      <c r="J830" s="12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 spans="1:29" ht="14.25" customHeight="1">
      <c r="A831" s="13"/>
      <c r="B831" s="13"/>
      <c r="C831" s="13"/>
      <c r="D831" s="13"/>
      <c r="E831" s="13"/>
      <c r="F831" s="13"/>
      <c r="G831" s="75"/>
      <c r="H831" s="12"/>
      <c r="I831" s="116"/>
      <c r="J831" s="12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 spans="1:29" ht="14.25" customHeight="1">
      <c r="A832" s="13"/>
      <c r="B832" s="13"/>
      <c r="C832" s="13"/>
      <c r="D832" s="13"/>
      <c r="E832" s="13"/>
      <c r="F832" s="13"/>
      <c r="G832" s="75"/>
      <c r="H832" s="12"/>
      <c r="I832" s="116"/>
      <c r="J832" s="12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 spans="1:29" ht="14.25" customHeight="1">
      <c r="A833" s="13"/>
      <c r="B833" s="13"/>
      <c r="C833" s="13"/>
      <c r="D833" s="13"/>
      <c r="E833" s="13"/>
      <c r="F833" s="13"/>
      <c r="G833" s="75"/>
      <c r="H833" s="12"/>
      <c r="I833" s="116"/>
      <c r="J833" s="12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 spans="1:29" ht="14.25" customHeight="1">
      <c r="A834" s="13"/>
      <c r="B834" s="13"/>
      <c r="C834" s="13"/>
      <c r="D834" s="13"/>
      <c r="E834" s="13"/>
      <c r="F834" s="13"/>
      <c r="G834" s="75"/>
      <c r="H834" s="12"/>
      <c r="I834" s="116"/>
      <c r="J834" s="12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 spans="1:29" ht="14.25" customHeight="1">
      <c r="A835" s="13"/>
      <c r="B835" s="13"/>
      <c r="C835" s="13"/>
      <c r="D835" s="13"/>
      <c r="E835" s="13"/>
      <c r="F835" s="13"/>
      <c r="G835" s="75"/>
      <c r="H835" s="12"/>
      <c r="I835" s="116"/>
      <c r="J835" s="12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 spans="1:29" ht="14.25" customHeight="1">
      <c r="A836" s="13"/>
      <c r="B836" s="13"/>
      <c r="C836" s="13"/>
      <c r="D836" s="13"/>
      <c r="E836" s="13"/>
      <c r="F836" s="13"/>
      <c r="G836" s="75"/>
      <c r="H836" s="12"/>
      <c r="I836" s="116"/>
      <c r="J836" s="12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 spans="1:29" ht="14.25" customHeight="1">
      <c r="A837" s="13"/>
      <c r="B837" s="13"/>
      <c r="C837" s="13"/>
      <c r="D837" s="13"/>
      <c r="E837" s="13"/>
      <c r="F837" s="13"/>
      <c r="G837" s="75"/>
      <c r="H837" s="12"/>
      <c r="I837" s="116"/>
      <c r="J837" s="12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 spans="1:29" ht="14.25" customHeight="1">
      <c r="A838" s="13"/>
      <c r="B838" s="13"/>
      <c r="C838" s="13"/>
      <c r="D838" s="13"/>
      <c r="E838" s="13"/>
      <c r="F838" s="13"/>
      <c r="G838" s="75"/>
      <c r="H838" s="12"/>
      <c r="I838" s="116"/>
      <c r="J838" s="12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 spans="1:29" ht="14.25" customHeight="1">
      <c r="A839" s="13"/>
      <c r="B839" s="13"/>
      <c r="C839" s="13"/>
      <c r="D839" s="13"/>
      <c r="E839" s="13"/>
      <c r="F839" s="13"/>
      <c r="G839" s="75"/>
      <c r="H839" s="12"/>
      <c r="I839" s="116"/>
      <c r="J839" s="12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 spans="1:29" ht="14.25" customHeight="1">
      <c r="A840" s="13"/>
      <c r="B840" s="13"/>
      <c r="C840" s="13"/>
      <c r="D840" s="13"/>
      <c r="E840" s="13"/>
      <c r="F840" s="13"/>
      <c r="G840" s="75"/>
      <c r="H840" s="12"/>
      <c r="I840" s="116"/>
      <c r="J840" s="12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 spans="1:29" ht="14.25" customHeight="1">
      <c r="A841" s="13"/>
      <c r="B841" s="13"/>
      <c r="C841" s="13"/>
      <c r="D841" s="13"/>
      <c r="E841" s="13"/>
      <c r="F841" s="13"/>
      <c r="G841" s="75"/>
      <c r="H841" s="12"/>
      <c r="I841" s="116"/>
      <c r="J841" s="12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 spans="1:29" ht="14.25" customHeight="1">
      <c r="A842" s="13"/>
      <c r="B842" s="13"/>
      <c r="C842" s="13"/>
      <c r="D842" s="13"/>
      <c r="E842" s="13"/>
      <c r="F842" s="13"/>
      <c r="G842" s="75"/>
      <c r="H842" s="12"/>
      <c r="I842" s="116"/>
      <c r="J842" s="12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 spans="1:29" ht="14.25" customHeight="1">
      <c r="A843" s="13"/>
      <c r="B843" s="13"/>
      <c r="C843" s="13"/>
      <c r="D843" s="13"/>
      <c r="E843" s="13"/>
      <c r="F843" s="13"/>
      <c r="G843" s="75"/>
      <c r="H843" s="12"/>
      <c r="I843" s="116"/>
      <c r="J843" s="12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 spans="1:29" ht="14.25" customHeight="1">
      <c r="A844" s="13"/>
      <c r="B844" s="13"/>
      <c r="C844" s="13"/>
      <c r="D844" s="13"/>
      <c r="E844" s="13"/>
      <c r="F844" s="13"/>
      <c r="G844" s="75"/>
      <c r="H844" s="12"/>
      <c r="I844" s="116"/>
      <c r="J844" s="12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 spans="1:29" ht="14.25" customHeight="1">
      <c r="A845" s="13"/>
      <c r="B845" s="13"/>
      <c r="C845" s="13"/>
      <c r="D845" s="13"/>
      <c r="E845" s="13"/>
      <c r="F845" s="13"/>
      <c r="G845" s="75"/>
      <c r="H845" s="12"/>
      <c r="I845" s="116"/>
      <c r="J845" s="12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 spans="1:29" ht="14.25" customHeight="1">
      <c r="A846" s="13"/>
      <c r="B846" s="13"/>
      <c r="C846" s="13"/>
      <c r="D846" s="13"/>
      <c r="E846" s="13"/>
      <c r="F846" s="13"/>
      <c r="G846" s="75"/>
      <c r="H846" s="12"/>
      <c r="I846" s="116"/>
      <c r="J846" s="12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 spans="1:29" ht="14.25" customHeight="1">
      <c r="A847" s="13"/>
      <c r="B847" s="13"/>
      <c r="C847" s="13"/>
      <c r="D847" s="13"/>
      <c r="E847" s="13"/>
      <c r="F847" s="13"/>
      <c r="G847" s="75"/>
      <c r="H847" s="12"/>
      <c r="I847" s="116"/>
      <c r="J847" s="12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 spans="1:29" ht="14.25" customHeight="1">
      <c r="A848" s="13"/>
      <c r="B848" s="13"/>
      <c r="C848" s="13"/>
      <c r="D848" s="13"/>
      <c r="E848" s="13"/>
      <c r="F848" s="13"/>
      <c r="G848" s="75"/>
      <c r="H848" s="12"/>
      <c r="I848" s="116"/>
      <c r="J848" s="12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 spans="1:29" ht="14.25" customHeight="1">
      <c r="A849" s="13"/>
      <c r="B849" s="13"/>
      <c r="C849" s="13"/>
      <c r="D849" s="13"/>
      <c r="E849" s="13"/>
      <c r="F849" s="13"/>
      <c r="G849" s="75"/>
      <c r="H849" s="12"/>
      <c r="I849" s="116"/>
      <c r="J849" s="12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 spans="1:29" ht="14.25" customHeight="1">
      <c r="A850" s="13"/>
      <c r="B850" s="13"/>
      <c r="C850" s="13"/>
      <c r="D850" s="13"/>
      <c r="E850" s="13"/>
      <c r="F850" s="13"/>
      <c r="G850" s="75"/>
      <c r="H850" s="12"/>
      <c r="I850" s="116"/>
      <c r="J850" s="12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 spans="1:29" ht="14.25" customHeight="1">
      <c r="A851" s="13"/>
      <c r="B851" s="13"/>
      <c r="C851" s="13"/>
      <c r="D851" s="13"/>
      <c r="E851" s="13"/>
      <c r="F851" s="13"/>
      <c r="G851" s="75"/>
      <c r="H851" s="12"/>
      <c r="I851" s="116"/>
      <c r="J851" s="12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 spans="1:29" ht="14.25" customHeight="1">
      <c r="A852" s="13"/>
      <c r="B852" s="13"/>
      <c r="C852" s="13"/>
      <c r="D852" s="13"/>
      <c r="E852" s="13"/>
      <c r="F852" s="13"/>
      <c r="G852" s="75"/>
      <c r="H852" s="12"/>
      <c r="I852" s="116"/>
      <c r="J852" s="12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 spans="1:29" ht="14.25" customHeight="1">
      <c r="A853" s="13"/>
      <c r="B853" s="13"/>
      <c r="C853" s="13"/>
      <c r="D853" s="13"/>
      <c r="E853" s="13"/>
      <c r="F853" s="13"/>
      <c r="G853" s="75"/>
      <c r="H853" s="12"/>
      <c r="I853" s="116"/>
      <c r="J853" s="12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 spans="1:29" ht="14.25" customHeight="1">
      <c r="A854" s="13"/>
      <c r="B854" s="13"/>
      <c r="C854" s="13"/>
      <c r="D854" s="13"/>
      <c r="E854" s="13"/>
      <c r="F854" s="13"/>
      <c r="G854" s="75"/>
      <c r="H854" s="12"/>
      <c r="I854" s="116"/>
      <c r="J854" s="12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 spans="1:29" ht="14.25" customHeight="1">
      <c r="A855" s="13"/>
      <c r="B855" s="13"/>
      <c r="C855" s="13"/>
      <c r="D855" s="13"/>
      <c r="E855" s="13"/>
      <c r="F855" s="13"/>
      <c r="G855" s="75"/>
      <c r="H855" s="12"/>
      <c r="I855" s="116"/>
      <c r="J855" s="12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 spans="1:29" ht="14.25" customHeight="1">
      <c r="A856" s="13"/>
      <c r="B856" s="13"/>
      <c r="C856" s="13"/>
      <c r="D856" s="13"/>
      <c r="E856" s="13"/>
      <c r="F856" s="13"/>
      <c r="G856" s="75"/>
      <c r="H856" s="12"/>
      <c r="I856" s="116"/>
      <c r="J856" s="12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 spans="1:29" ht="14.25" customHeight="1">
      <c r="A857" s="13"/>
      <c r="B857" s="13"/>
      <c r="C857" s="13"/>
      <c r="D857" s="13"/>
      <c r="E857" s="13"/>
      <c r="F857" s="13"/>
      <c r="G857" s="75"/>
      <c r="H857" s="12"/>
      <c r="I857" s="116"/>
      <c r="J857" s="12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 spans="1:29" ht="14.25" customHeight="1">
      <c r="A858" s="13"/>
      <c r="B858" s="13"/>
      <c r="C858" s="13"/>
      <c r="D858" s="13"/>
      <c r="E858" s="13"/>
      <c r="F858" s="13"/>
      <c r="G858" s="75"/>
      <c r="H858" s="12"/>
      <c r="I858" s="116"/>
      <c r="J858" s="12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 spans="1:29" ht="14.25" customHeight="1">
      <c r="A859" s="13"/>
      <c r="B859" s="13"/>
      <c r="C859" s="13"/>
      <c r="D859" s="13"/>
      <c r="E859" s="13"/>
      <c r="F859" s="13"/>
      <c r="G859" s="75"/>
      <c r="H859" s="12"/>
      <c r="I859" s="116"/>
      <c r="J859" s="12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 spans="1:29" ht="14.25" customHeight="1">
      <c r="A860" s="13"/>
      <c r="B860" s="13"/>
      <c r="C860" s="13"/>
      <c r="D860" s="13"/>
      <c r="E860" s="13"/>
      <c r="F860" s="13"/>
      <c r="G860" s="75"/>
      <c r="H860" s="12"/>
      <c r="I860" s="116"/>
      <c r="J860" s="12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 spans="1:29" ht="14.25" customHeight="1">
      <c r="A861" s="13"/>
      <c r="B861" s="13"/>
      <c r="C861" s="13"/>
      <c r="D861" s="13"/>
      <c r="E861" s="13"/>
      <c r="F861" s="13"/>
      <c r="G861" s="75"/>
      <c r="H861" s="12"/>
      <c r="I861" s="116"/>
      <c r="J861" s="12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 spans="1:29" ht="14.25" customHeight="1">
      <c r="A862" s="13"/>
      <c r="B862" s="13"/>
      <c r="C862" s="13"/>
      <c r="D862" s="13"/>
      <c r="E862" s="13"/>
      <c r="F862" s="13"/>
      <c r="G862" s="75"/>
      <c r="H862" s="12"/>
      <c r="I862" s="116"/>
      <c r="J862" s="12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 spans="1:29" ht="14.25" customHeight="1">
      <c r="A863" s="13"/>
      <c r="B863" s="13"/>
      <c r="C863" s="13"/>
      <c r="D863" s="13"/>
      <c r="E863" s="13"/>
      <c r="F863" s="13"/>
      <c r="G863" s="75"/>
      <c r="H863" s="12"/>
      <c r="I863" s="116"/>
      <c r="J863" s="12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 spans="1:29" ht="14.25" customHeight="1">
      <c r="A864" s="13"/>
      <c r="B864" s="13"/>
      <c r="C864" s="13"/>
      <c r="D864" s="13"/>
      <c r="E864" s="13"/>
      <c r="F864" s="13"/>
      <c r="G864" s="75"/>
      <c r="H864" s="12"/>
      <c r="I864" s="116"/>
      <c r="J864" s="12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 spans="1:29" ht="14.25" customHeight="1">
      <c r="A865" s="13"/>
      <c r="B865" s="13"/>
      <c r="C865" s="13"/>
      <c r="D865" s="13"/>
      <c r="E865" s="13"/>
      <c r="F865" s="13"/>
      <c r="G865" s="75"/>
      <c r="H865" s="12"/>
      <c r="I865" s="116"/>
      <c r="J865" s="12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 spans="1:29" ht="14.25" customHeight="1">
      <c r="A866" s="13"/>
      <c r="B866" s="13"/>
      <c r="C866" s="13"/>
      <c r="D866" s="13"/>
      <c r="E866" s="13"/>
      <c r="F866" s="13"/>
      <c r="G866" s="75"/>
      <c r="H866" s="12"/>
      <c r="I866" s="116"/>
      <c r="J866" s="12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 spans="1:29" ht="14.25" customHeight="1">
      <c r="A867" s="13"/>
      <c r="B867" s="13"/>
      <c r="C867" s="13"/>
      <c r="D867" s="13"/>
      <c r="E867" s="13"/>
      <c r="F867" s="13"/>
      <c r="G867" s="75"/>
      <c r="H867" s="12"/>
      <c r="I867" s="116"/>
      <c r="J867" s="12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 spans="1:29" ht="14.25" customHeight="1">
      <c r="A868" s="13"/>
      <c r="B868" s="13"/>
      <c r="C868" s="13"/>
      <c r="D868" s="13"/>
      <c r="E868" s="13"/>
      <c r="F868" s="13"/>
      <c r="G868" s="75"/>
      <c r="H868" s="12"/>
      <c r="I868" s="116"/>
      <c r="J868" s="12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 spans="1:29" ht="14.25" customHeight="1">
      <c r="A869" s="13"/>
      <c r="B869" s="13"/>
      <c r="C869" s="13"/>
      <c r="D869" s="13"/>
      <c r="E869" s="13"/>
      <c r="F869" s="13"/>
      <c r="G869" s="75"/>
      <c r="H869" s="12"/>
      <c r="I869" s="116"/>
      <c r="J869" s="12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 spans="1:29" ht="14.25" customHeight="1">
      <c r="A870" s="13"/>
      <c r="B870" s="13"/>
      <c r="C870" s="13"/>
      <c r="D870" s="13"/>
      <c r="E870" s="13"/>
      <c r="F870" s="13"/>
      <c r="G870" s="75"/>
      <c r="H870" s="12"/>
      <c r="I870" s="116"/>
      <c r="J870" s="12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 spans="1:29" ht="14.25" customHeight="1">
      <c r="A871" s="13"/>
      <c r="B871" s="13"/>
      <c r="C871" s="13"/>
      <c r="D871" s="13"/>
      <c r="E871" s="13"/>
      <c r="F871" s="13"/>
      <c r="G871" s="75"/>
      <c r="H871" s="12"/>
      <c r="I871" s="116"/>
      <c r="J871" s="12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 spans="1:29" ht="14.25" customHeight="1">
      <c r="A872" s="13"/>
      <c r="B872" s="13"/>
      <c r="C872" s="13"/>
      <c r="D872" s="13"/>
      <c r="E872" s="13"/>
      <c r="F872" s="13"/>
      <c r="G872" s="75"/>
      <c r="H872" s="12"/>
      <c r="I872" s="116"/>
      <c r="J872" s="12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 spans="1:29" ht="14.25" customHeight="1">
      <c r="A873" s="13"/>
      <c r="B873" s="13"/>
      <c r="C873" s="13"/>
      <c r="D873" s="13"/>
      <c r="E873" s="13"/>
      <c r="F873" s="13"/>
      <c r="G873" s="75"/>
      <c r="H873" s="12"/>
      <c r="I873" s="116"/>
      <c r="J873" s="12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 spans="1:29" ht="14.25" customHeight="1">
      <c r="A874" s="13"/>
      <c r="B874" s="13"/>
      <c r="C874" s="13"/>
      <c r="D874" s="13"/>
      <c r="E874" s="13"/>
      <c r="F874" s="13"/>
      <c r="G874" s="75"/>
      <c r="H874" s="12"/>
      <c r="I874" s="116"/>
      <c r="J874" s="12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 spans="1:29" ht="14.25" customHeight="1">
      <c r="A875" s="13"/>
      <c r="B875" s="13"/>
      <c r="C875" s="13"/>
      <c r="D875" s="13"/>
      <c r="E875" s="13"/>
      <c r="F875" s="13"/>
      <c r="G875" s="75"/>
      <c r="H875" s="12"/>
      <c r="I875" s="116"/>
      <c r="J875" s="12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 spans="1:29" ht="14.25" customHeight="1">
      <c r="A876" s="13"/>
      <c r="B876" s="13"/>
      <c r="C876" s="13"/>
      <c r="D876" s="13"/>
      <c r="E876" s="13"/>
      <c r="F876" s="13"/>
      <c r="G876" s="75"/>
      <c r="H876" s="12"/>
      <c r="I876" s="116"/>
      <c r="J876" s="12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 spans="1:29" ht="14.25" customHeight="1">
      <c r="A877" s="13"/>
      <c r="B877" s="13"/>
      <c r="C877" s="13"/>
      <c r="D877" s="13"/>
      <c r="E877" s="13"/>
      <c r="F877" s="13"/>
      <c r="G877" s="75"/>
      <c r="H877" s="12"/>
      <c r="I877" s="116"/>
      <c r="J877" s="12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 spans="1:29" ht="14.25" customHeight="1">
      <c r="A878" s="13"/>
      <c r="B878" s="13"/>
      <c r="C878" s="13"/>
      <c r="D878" s="13"/>
      <c r="E878" s="13"/>
      <c r="F878" s="13"/>
      <c r="G878" s="75"/>
      <c r="H878" s="12"/>
      <c r="I878" s="116"/>
      <c r="J878" s="12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 spans="1:29" ht="14.25" customHeight="1">
      <c r="A879" s="13"/>
      <c r="B879" s="13"/>
      <c r="C879" s="13"/>
      <c r="D879" s="13"/>
      <c r="E879" s="13"/>
      <c r="F879" s="13"/>
      <c r="G879" s="75"/>
      <c r="H879" s="12"/>
      <c r="I879" s="116"/>
      <c r="J879" s="12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 spans="1:29" ht="14.25" customHeight="1">
      <c r="A880" s="13"/>
      <c r="B880" s="13"/>
      <c r="C880" s="13"/>
      <c r="D880" s="13"/>
      <c r="E880" s="13"/>
      <c r="F880" s="13"/>
      <c r="G880" s="75"/>
      <c r="H880" s="12"/>
      <c r="I880" s="116"/>
      <c r="J880" s="12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 spans="1:29" ht="14.25" customHeight="1">
      <c r="A881" s="13"/>
      <c r="B881" s="13"/>
      <c r="C881" s="13"/>
      <c r="D881" s="13"/>
      <c r="E881" s="13"/>
      <c r="F881" s="13"/>
      <c r="G881" s="75"/>
      <c r="H881" s="12"/>
      <c r="I881" s="116"/>
      <c r="J881" s="12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 spans="1:29" ht="14.25" customHeight="1">
      <c r="A882" s="13"/>
      <c r="B882" s="13"/>
      <c r="C882" s="13"/>
      <c r="D882" s="13"/>
      <c r="E882" s="13"/>
      <c r="F882" s="13"/>
      <c r="G882" s="75"/>
      <c r="H882" s="12"/>
      <c r="I882" s="116"/>
      <c r="J882" s="12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 spans="1:29" ht="14.25" customHeight="1">
      <c r="A883" s="13"/>
      <c r="B883" s="13"/>
      <c r="C883" s="13"/>
      <c r="D883" s="13"/>
      <c r="E883" s="13"/>
      <c r="F883" s="13"/>
      <c r="G883" s="75"/>
      <c r="H883" s="12"/>
      <c r="I883" s="116"/>
      <c r="J883" s="12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 spans="1:29" ht="14.25" customHeight="1">
      <c r="A884" s="13"/>
      <c r="B884" s="13"/>
      <c r="C884" s="13"/>
      <c r="D884" s="13"/>
      <c r="E884" s="13"/>
      <c r="F884" s="13"/>
      <c r="G884" s="75"/>
      <c r="H884" s="12"/>
      <c r="I884" s="116"/>
      <c r="J884" s="12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 spans="1:29" ht="14.25" customHeight="1">
      <c r="A885" s="13"/>
      <c r="B885" s="13"/>
      <c r="C885" s="13"/>
      <c r="D885" s="13"/>
      <c r="E885" s="13"/>
      <c r="F885" s="13"/>
      <c r="G885" s="75"/>
      <c r="H885" s="12"/>
      <c r="I885" s="116"/>
      <c r="J885" s="12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 spans="1:29" ht="14.25" customHeight="1">
      <c r="A886" s="13"/>
      <c r="B886" s="13"/>
      <c r="C886" s="13"/>
      <c r="D886" s="13"/>
      <c r="E886" s="13"/>
      <c r="F886" s="13"/>
      <c r="G886" s="75"/>
      <c r="H886" s="12"/>
      <c r="I886" s="116"/>
      <c r="J886" s="12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 spans="1:29" ht="14.25" customHeight="1">
      <c r="A887" s="13"/>
      <c r="B887" s="13"/>
      <c r="C887" s="13"/>
      <c r="D887" s="13"/>
      <c r="E887" s="13"/>
      <c r="F887" s="13"/>
      <c r="G887" s="75"/>
      <c r="H887" s="12"/>
      <c r="I887" s="116"/>
      <c r="J887" s="12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 spans="1:29" ht="14.25" customHeight="1">
      <c r="A888" s="13"/>
      <c r="B888" s="13"/>
      <c r="C888" s="13"/>
      <c r="D888" s="13"/>
      <c r="E888" s="13"/>
      <c r="F888" s="13"/>
      <c r="G888" s="75"/>
      <c r="H888" s="12"/>
      <c r="I888" s="116"/>
      <c r="J888" s="12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 spans="1:29" ht="14.25" customHeight="1">
      <c r="A889" s="13"/>
      <c r="B889" s="13"/>
      <c r="C889" s="13"/>
      <c r="D889" s="13"/>
      <c r="E889" s="13"/>
      <c r="F889" s="13"/>
      <c r="G889" s="75"/>
      <c r="H889" s="12"/>
      <c r="I889" s="116"/>
      <c r="J889" s="12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 spans="1:29" ht="14.25" customHeight="1">
      <c r="A890" s="13"/>
      <c r="B890" s="13"/>
      <c r="C890" s="13"/>
      <c r="D890" s="13"/>
      <c r="E890" s="13"/>
      <c r="F890" s="13"/>
      <c r="G890" s="75"/>
      <c r="H890" s="12"/>
      <c r="I890" s="116"/>
      <c r="J890" s="12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 spans="1:29" ht="14.25" customHeight="1">
      <c r="A891" s="13"/>
      <c r="B891" s="13"/>
      <c r="C891" s="13"/>
      <c r="D891" s="13"/>
      <c r="E891" s="13"/>
      <c r="F891" s="13"/>
      <c r="G891" s="75"/>
      <c r="H891" s="12"/>
      <c r="I891" s="116"/>
      <c r="J891" s="12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 spans="1:29" ht="14.25" customHeight="1">
      <c r="A892" s="13"/>
      <c r="B892" s="13"/>
      <c r="C892" s="13"/>
      <c r="D892" s="13"/>
      <c r="E892" s="13"/>
      <c r="F892" s="13"/>
      <c r="G892" s="75"/>
      <c r="H892" s="12"/>
      <c r="I892" s="116"/>
      <c r="J892" s="12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 spans="1:29" ht="14.25" customHeight="1">
      <c r="A893" s="13"/>
      <c r="B893" s="13"/>
      <c r="C893" s="13"/>
      <c r="D893" s="13"/>
      <c r="E893" s="13"/>
      <c r="F893" s="13"/>
      <c r="G893" s="75"/>
      <c r="H893" s="12"/>
      <c r="I893" s="116"/>
      <c r="J893" s="12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 spans="1:29" ht="14.25" customHeight="1">
      <c r="A894" s="13"/>
      <c r="B894" s="13"/>
      <c r="C894" s="13"/>
      <c r="D894" s="13"/>
      <c r="E894" s="13"/>
      <c r="F894" s="13"/>
      <c r="G894" s="75"/>
      <c r="H894" s="12"/>
      <c r="I894" s="116"/>
      <c r="J894" s="12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 spans="1:29" ht="14.25" customHeight="1">
      <c r="A895" s="13"/>
      <c r="B895" s="13"/>
      <c r="C895" s="13"/>
      <c r="D895" s="13"/>
      <c r="E895" s="13"/>
      <c r="F895" s="13"/>
      <c r="G895" s="75"/>
      <c r="H895" s="12"/>
      <c r="I895" s="116"/>
      <c r="J895" s="12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 spans="1:29" ht="14.25" customHeight="1">
      <c r="A896" s="13"/>
      <c r="B896" s="13"/>
      <c r="C896" s="13"/>
      <c r="D896" s="13"/>
      <c r="E896" s="13"/>
      <c r="F896" s="13"/>
      <c r="G896" s="75"/>
      <c r="H896" s="12"/>
      <c r="I896" s="116"/>
      <c r="J896" s="12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 spans="1:29" ht="14.25" customHeight="1">
      <c r="A897" s="13"/>
      <c r="B897" s="13"/>
      <c r="C897" s="13"/>
      <c r="D897" s="13"/>
      <c r="E897" s="13"/>
      <c r="F897" s="13"/>
      <c r="G897" s="75"/>
      <c r="H897" s="12"/>
      <c r="I897" s="116"/>
      <c r="J897" s="12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 spans="1:29" ht="14.25" customHeight="1">
      <c r="A898" s="13"/>
      <c r="B898" s="13"/>
      <c r="C898" s="13"/>
      <c r="D898" s="13"/>
      <c r="E898" s="13"/>
      <c r="F898" s="13"/>
      <c r="G898" s="75"/>
      <c r="H898" s="12"/>
      <c r="I898" s="116"/>
      <c r="J898" s="12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 spans="1:29" ht="14.25" customHeight="1">
      <c r="A899" s="13"/>
      <c r="B899" s="13"/>
      <c r="C899" s="13"/>
      <c r="D899" s="13"/>
      <c r="E899" s="13"/>
      <c r="F899" s="13"/>
      <c r="G899" s="75"/>
      <c r="H899" s="12"/>
      <c r="I899" s="116"/>
      <c r="J899" s="12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 spans="1:29" ht="14.25" customHeight="1">
      <c r="A900" s="13"/>
      <c r="B900" s="13"/>
      <c r="C900" s="13"/>
      <c r="D900" s="13"/>
      <c r="E900" s="13"/>
      <c r="F900" s="13"/>
      <c r="G900" s="75"/>
      <c r="H900" s="12"/>
      <c r="I900" s="116"/>
      <c r="J900" s="12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 spans="1:29" ht="14.25" customHeight="1">
      <c r="A901" s="13"/>
      <c r="B901" s="13"/>
      <c r="C901" s="13"/>
      <c r="D901" s="13"/>
      <c r="E901" s="13"/>
      <c r="F901" s="13"/>
      <c r="G901" s="75"/>
      <c r="H901" s="12"/>
      <c r="I901" s="116"/>
      <c r="J901" s="12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 spans="1:29" ht="14.25" customHeight="1">
      <c r="A902" s="13"/>
      <c r="B902" s="13"/>
      <c r="C902" s="13"/>
      <c r="D902" s="13"/>
      <c r="E902" s="13"/>
      <c r="F902" s="13"/>
      <c r="G902" s="75"/>
      <c r="H902" s="12"/>
      <c r="I902" s="116"/>
      <c r="J902" s="12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 spans="1:29" ht="14.25" customHeight="1">
      <c r="A903" s="13"/>
      <c r="B903" s="13"/>
      <c r="C903" s="13"/>
      <c r="D903" s="13"/>
      <c r="E903" s="13"/>
      <c r="F903" s="13"/>
      <c r="G903" s="75"/>
      <c r="H903" s="12"/>
      <c r="I903" s="116"/>
      <c r="J903" s="12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 spans="1:29" ht="14.25" customHeight="1">
      <c r="A904" s="13"/>
      <c r="B904" s="13"/>
      <c r="C904" s="13"/>
      <c r="D904" s="13"/>
      <c r="E904" s="13"/>
      <c r="F904" s="13"/>
      <c r="G904" s="75"/>
      <c r="H904" s="12"/>
      <c r="I904" s="116"/>
      <c r="J904" s="12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 spans="1:29" ht="14.25" customHeight="1">
      <c r="A905" s="13"/>
      <c r="B905" s="13"/>
      <c r="C905" s="13"/>
      <c r="D905" s="13"/>
      <c r="E905" s="13"/>
      <c r="F905" s="13"/>
      <c r="G905" s="75"/>
      <c r="H905" s="12"/>
      <c r="I905" s="116"/>
      <c r="J905" s="12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 spans="1:29" ht="14.25" customHeight="1">
      <c r="A906" s="13"/>
      <c r="B906" s="13"/>
      <c r="C906" s="13"/>
      <c r="D906" s="13"/>
      <c r="E906" s="13"/>
      <c r="F906" s="13"/>
      <c r="G906" s="75"/>
      <c r="H906" s="12"/>
      <c r="I906" s="116"/>
      <c r="J906" s="12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 spans="1:29" ht="14.25" customHeight="1">
      <c r="A907" s="13"/>
      <c r="B907" s="13"/>
      <c r="C907" s="13"/>
      <c r="D907" s="13"/>
      <c r="E907" s="13"/>
      <c r="F907" s="13"/>
      <c r="G907" s="75"/>
      <c r="H907" s="12"/>
      <c r="I907" s="116"/>
      <c r="J907" s="12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 spans="1:29" ht="14.25" customHeight="1">
      <c r="A908" s="13"/>
      <c r="B908" s="13"/>
      <c r="C908" s="13"/>
      <c r="D908" s="13"/>
      <c r="E908" s="13"/>
      <c r="F908" s="13"/>
      <c r="G908" s="75"/>
      <c r="H908" s="12"/>
      <c r="I908" s="116"/>
      <c r="J908" s="12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 spans="1:29" ht="14.25" customHeight="1">
      <c r="A909" s="13"/>
      <c r="B909" s="13"/>
      <c r="C909" s="13"/>
      <c r="D909" s="13"/>
      <c r="E909" s="13"/>
      <c r="F909" s="13"/>
      <c r="G909" s="75"/>
      <c r="H909" s="12"/>
      <c r="I909" s="116"/>
      <c r="J909" s="12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 spans="1:29" ht="14.25" customHeight="1">
      <c r="A910" s="13"/>
      <c r="B910" s="13"/>
      <c r="C910" s="13"/>
      <c r="D910" s="13"/>
      <c r="E910" s="13"/>
      <c r="F910" s="13"/>
      <c r="G910" s="75"/>
      <c r="H910" s="12"/>
      <c r="I910" s="116"/>
      <c r="J910" s="12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 spans="1:29" ht="14.25" customHeight="1">
      <c r="A911" s="13"/>
      <c r="B911" s="13"/>
      <c r="C911" s="13"/>
      <c r="D911" s="13"/>
      <c r="E911" s="13"/>
      <c r="F911" s="13"/>
      <c r="G911" s="75"/>
      <c r="H911" s="12"/>
      <c r="I911" s="116"/>
      <c r="J911" s="12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 spans="1:29" ht="14.25" customHeight="1">
      <c r="A912" s="13"/>
      <c r="B912" s="13"/>
      <c r="C912" s="13"/>
      <c r="D912" s="13"/>
      <c r="E912" s="13"/>
      <c r="F912" s="13"/>
      <c r="G912" s="75"/>
      <c r="H912" s="12"/>
      <c r="I912" s="116"/>
      <c r="J912" s="12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 spans="1:29" ht="14.25" customHeight="1">
      <c r="A913" s="13"/>
      <c r="B913" s="13"/>
      <c r="C913" s="13"/>
      <c r="D913" s="13"/>
      <c r="E913" s="13"/>
      <c r="F913" s="13"/>
      <c r="G913" s="75"/>
      <c r="H913" s="12"/>
      <c r="I913" s="116"/>
      <c r="J913" s="12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 spans="1:29" ht="14.25" customHeight="1">
      <c r="A914" s="13"/>
      <c r="B914" s="13"/>
      <c r="C914" s="13"/>
      <c r="D914" s="13"/>
      <c r="E914" s="13"/>
      <c r="F914" s="13"/>
      <c r="G914" s="75"/>
      <c r="H914" s="12"/>
      <c r="I914" s="116"/>
      <c r="J914" s="12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 spans="1:29" ht="14.25" customHeight="1">
      <c r="A915" s="13"/>
      <c r="B915" s="13"/>
      <c r="C915" s="13"/>
      <c r="D915" s="13"/>
      <c r="E915" s="13"/>
      <c r="F915" s="13"/>
      <c r="G915" s="75"/>
      <c r="H915" s="12"/>
      <c r="I915" s="116"/>
      <c r="J915" s="12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 spans="1:29" ht="14.25" customHeight="1">
      <c r="A916" s="13"/>
      <c r="B916" s="13"/>
      <c r="C916" s="13"/>
      <c r="D916" s="13"/>
      <c r="E916" s="13"/>
      <c r="F916" s="13"/>
      <c r="G916" s="75"/>
      <c r="H916" s="12"/>
      <c r="I916" s="116"/>
      <c r="J916" s="12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 spans="1:29" ht="14.25" customHeight="1">
      <c r="A917" s="13"/>
      <c r="B917" s="13"/>
      <c r="C917" s="13"/>
      <c r="D917" s="13"/>
      <c r="E917" s="13"/>
      <c r="F917" s="13"/>
      <c r="G917" s="75"/>
      <c r="H917" s="12"/>
      <c r="I917" s="116"/>
      <c r="J917" s="12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 spans="1:29" ht="14.25" customHeight="1">
      <c r="A918" s="13"/>
      <c r="B918" s="13"/>
      <c r="C918" s="13"/>
      <c r="D918" s="13"/>
      <c r="E918" s="13"/>
      <c r="F918" s="13"/>
      <c r="G918" s="75"/>
      <c r="H918" s="12"/>
      <c r="I918" s="116"/>
      <c r="J918" s="12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 spans="1:29" ht="14.25" customHeight="1">
      <c r="A919" s="13"/>
      <c r="B919" s="13"/>
      <c r="C919" s="13"/>
      <c r="D919" s="13"/>
      <c r="E919" s="13"/>
      <c r="F919" s="13"/>
      <c r="G919" s="75"/>
      <c r="H919" s="12"/>
      <c r="I919" s="116"/>
      <c r="J919" s="12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 spans="1:29" ht="14.25" customHeight="1">
      <c r="A920" s="13"/>
      <c r="B920" s="13"/>
      <c r="C920" s="13"/>
      <c r="D920" s="13"/>
      <c r="E920" s="13"/>
      <c r="F920" s="13"/>
      <c r="G920" s="75"/>
      <c r="H920" s="12"/>
      <c r="I920" s="116"/>
      <c r="J920" s="12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 spans="1:29" ht="14.25" customHeight="1">
      <c r="A921" s="13"/>
      <c r="B921" s="13"/>
      <c r="C921" s="13"/>
      <c r="D921" s="13"/>
      <c r="E921" s="13"/>
      <c r="F921" s="13"/>
      <c r="G921" s="75"/>
      <c r="H921" s="12"/>
      <c r="I921" s="116"/>
      <c r="J921" s="12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 spans="1:29" ht="14.25" customHeight="1">
      <c r="A922" s="13"/>
      <c r="B922" s="13"/>
      <c r="C922" s="13"/>
      <c r="D922" s="13"/>
      <c r="E922" s="13"/>
      <c r="F922" s="13"/>
      <c r="G922" s="75"/>
      <c r="H922" s="12"/>
      <c r="I922" s="116"/>
      <c r="J922" s="12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 spans="1:29" ht="14.25" customHeight="1">
      <c r="A923" s="13"/>
      <c r="B923" s="13"/>
      <c r="C923" s="13"/>
      <c r="D923" s="13"/>
      <c r="E923" s="13"/>
      <c r="F923" s="13"/>
      <c r="G923" s="75"/>
      <c r="H923" s="12"/>
      <c r="I923" s="116"/>
      <c r="J923" s="12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 spans="1:29" ht="14.25" customHeight="1">
      <c r="A924" s="13"/>
      <c r="B924" s="13"/>
      <c r="C924" s="13"/>
      <c r="D924" s="13"/>
      <c r="E924" s="13"/>
      <c r="F924" s="13"/>
      <c r="G924" s="75"/>
      <c r="H924" s="12"/>
      <c r="I924" s="116"/>
      <c r="J924" s="12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 spans="1:29" ht="14.25" customHeight="1">
      <c r="A925" s="13"/>
      <c r="B925" s="13"/>
      <c r="C925" s="13"/>
      <c r="D925" s="13"/>
      <c r="E925" s="13"/>
      <c r="F925" s="13"/>
      <c r="G925" s="75"/>
      <c r="H925" s="12"/>
      <c r="I925" s="116"/>
      <c r="J925" s="12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 spans="1:29" ht="14.25" customHeight="1">
      <c r="A926" s="13"/>
      <c r="B926" s="13"/>
      <c r="C926" s="13"/>
      <c r="D926" s="13"/>
      <c r="E926" s="13"/>
      <c r="F926" s="13"/>
      <c r="G926" s="75"/>
      <c r="H926" s="12"/>
      <c r="I926" s="116"/>
      <c r="J926" s="12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 spans="1:29" ht="14.25" customHeight="1">
      <c r="A927" s="13"/>
      <c r="B927" s="13"/>
      <c r="C927" s="13"/>
      <c r="D927" s="13"/>
      <c r="E927" s="13"/>
      <c r="F927" s="13"/>
      <c r="G927" s="75"/>
      <c r="H927" s="12"/>
      <c r="I927" s="116"/>
      <c r="J927" s="12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 spans="1:29" ht="14.25" customHeight="1">
      <c r="A928" s="13"/>
      <c r="B928" s="13"/>
      <c r="C928" s="13"/>
      <c r="D928" s="13"/>
      <c r="E928" s="13"/>
      <c r="F928" s="13"/>
      <c r="G928" s="75"/>
      <c r="H928" s="12"/>
      <c r="I928" s="116"/>
      <c r="J928" s="12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 spans="1:29" ht="14.25" customHeight="1">
      <c r="A929" s="13"/>
      <c r="B929" s="13"/>
      <c r="C929" s="13"/>
      <c r="D929" s="13"/>
      <c r="E929" s="13"/>
      <c r="F929" s="13"/>
      <c r="G929" s="75"/>
      <c r="H929" s="12"/>
      <c r="I929" s="116"/>
      <c r="J929" s="12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 spans="1:29" ht="14.25" customHeight="1">
      <c r="A930" s="13"/>
      <c r="B930" s="13"/>
      <c r="C930" s="13"/>
      <c r="D930" s="13"/>
      <c r="E930" s="13"/>
      <c r="F930" s="13"/>
      <c r="G930" s="75"/>
      <c r="H930" s="12"/>
      <c r="I930" s="116"/>
      <c r="J930" s="12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 spans="1:29" ht="14.25" customHeight="1">
      <c r="A931" s="13"/>
      <c r="B931" s="13"/>
      <c r="C931" s="13"/>
      <c r="D931" s="13"/>
      <c r="E931" s="13"/>
      <c r="F931" s="13"/>
      <c r="G931" s="75"/>
      <c r="H931" s="12"/>
      <c r="I931" s="116"/>
      <c r="J931" s="12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 spans="1:29" ht="14.25" customHeight="1">
      <c r="A932" s="13"/>
      <c r="B932" s="13"/>
      <c r="C932" s="13"/>
      <c r="D932" s="13"/>
      <c r="E932" s="13"/>
      <c r="F932" s="13"/>
      <c r="G932" s="75"/>
      <c r="H932" s="12"/>
      <c r="I932" s="116"/>
      <c r="J932" s="12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 spans="1:29" ht="14.25" customHeight="1">
      <c r="A933" s="13"/>
      <c r="B933" s="13"/>
      <c r="C933" s="13"/>
      <c r="D933" s="13"/>
      <c r="E933" s="13"/>
      <c r="F933" s="13"/>
      <c r="G933" s="75"/>
      <c r="H933" s="12"/>
      <c r="I933" s="116"/>
      <c r="J933" s="12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 spans="1:29" ht="14.25" customHeight="1">
      <c r="A934" s="13"/>
      <c r="B934" s="13"/>
      <c r="C934" s="13"/>
      <c r="D934" s="13"/>
      <c r="E934" s="13"/>
      <c r="F934" s="13"/>
      <c r="G934" s="75"/>
      <c r="H934" s="12"/>
      <c r="I934" s="116"/>
      <c r="J934" s="12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 spans="1:29" ht="14.25" customHeight="1">
      <c r="A935" s="13"/>
      <c r="B935" s="13"/>
      <c r="C935" s="13"/>
      <c r="D935" s="13"/>
      <c r="E935" s="13"/>
      <c r="F935" s="13"/>
      <c r="G935" s="75"/>
      <c r="H935" s="12"/>
      <c r="I935" s="116"/>
      <c r="J935" s="12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 spans="1:29" ht="14.25" customHeight="1">
      <c r="A936" s="13"/>
      <c r="B936" s="13"/>
      <c r="C936" s="13"/>
      <c r="D936" s="13"/>
      <c r="E936" s="13"/>
      <c r="F936" s="13"/>
      <c r="G936" s="75"/>
      <c r="H936" s="12"/>
      <c r="I936" s="116"/>
      <c r="J936" s="12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 spans="1:29" ht="14.25" customHeight="1">
      <c r="A937" s="13"/>
      <c r="B937" s="13"/>
      <c r="C937" s="13"/>
      <c r="D937" s="13"/>
      <c r="E937" s="13"/>
      <c r="F937" s="13"/>
      <c r="G937" s="75"/>
      <c r="H937" s="12"/>
      <c r="I937" s="116"/>
      <c r="J937" s="12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 spans="1:29" ht="14.25" customHeight="1">
      <c r="A938" s="13"/>
      <c r="B938" s="13"/>
      <c r="C938" s="13"/>
      <c r="D938" s="13"/>
      <c r="E938" s="13"/>
      <c r="F938" s="13"/>
      <c r="G938" s="75"/>
      <c r="H938" s="12"/>
      <c r="I938" s="116"/>
      <c r="J938" s="12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 spans="1:29" ht="14.25" customHeight="1">
      <c r="A939" s="13"/>
      <c r="B939" s="13"/>
      <c r="C939" s="13"/>
      <c r="D939" s="13"/>
      <c r="E939" s="13"/>
      <c r="F939" s="13"/>
      <c r="G939" s="75"/>
      <c r="H939" s="12"/>
      <c r="I939" s="116"/>
      <c r="J939" s="12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 spans="1:29" ht="14.25" customHeight="1">
      <c r="A940" s="13"/>
      <c r="B940" s="13"/>
      <c r="C940" s="13"/>
      <c r="D940" s="13"/>
      <c r="E940" s="13"/>
      <c r="F940" s="13"/>
      <c r="G940" s="75"/>
      <c r="H940" s="12"/>
      <c r="I940" s="116"/>
      <c r="J940" s="12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 spans="1:29" ht="14.25" customHeight="1">
      <c r="A941" s="13"/>
      <c r="B941" s="13"/>
      <c r="C941" s="13"/>
      <c r="D941" s="13"/>
      <c r="E941" s="13"/>
      <c r="F941" s="13"/>
      <c r="G941" s="75"/>
      <c r="H941" s="12"/>
      <c r="I941" s="116"/>
      <c r="J941" s="12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 spans="1:29" ht="14.25" customHeight="1">
      <c r="A942" s="13"/>
      <c r="B942" s="13"/>
      <c r="C942" s="13"/>
      <c r="D942" s="13"/>
      <c r="E942" s="13"/>
      <c r="F942" s="13"/>
      <c r="G942" s="75"/>
      <c r="H942" s="12"/>
      <c r="I942" s="116"/>
      <c r="J942" s="12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 spans="1:29" ht="14.25" customHeight="1">
      <c r="A943" s="13"/>
      <c r="B943" s="13"/>
      <c r="C943" s="13"/>
      <c r="D943" s="13"/>
      <c r="E943" s="13"/>
      <c r="F943" s="13"/>
      <c r="G943" s="75"/>
      <c r="H943" s="12"/>
      <c r="I943" s="116"/>
      <c r="J943" s="12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 spans="1:29" ht="14.25" customHeight="1">
      <c r="A944" s="13"/>
      <c r="B944" s="13"/>
      <c r="C944" s="13"/>
      <c r="D944" s="13"/>
      <c r="E944" s="13"/>
      <c r="F944" s="13"/>
      <c r="G944" s="75"/>
      <c r="H944" s="12"/>
      <c r="I944" s="116"/>
      <c r="J944" s="12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 spans="1:29" ht="14.25" customHeight="1">
      <c r="A945" s="13"/>
      <c r="B945" s="13"/>
      <c r="C945" s="13"/>
      <c r="D945" s="13"/>
      <c r="E945" s="13"/>
      <c r="F945" s="13"/>
      <c r="G945" s="75"/>
      <c r="H945" s="12"/>
      <c r="I945" s="116"/>
      <c r="J945" s="12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 spans="1:29" ht="14.25" customHeight="1">
      <c r="A946" s="13"/>
      <c r="B946" s="13"/>
      <c r="C946" s="13"/>
      <c r="D946" s="13"/>
      <c r="E946" s="13"/>
      <c r="F946" s="13"/>
      <c r="G946" s="75"/>
      <c r="H946" s="12"/>
      <c r="I946" s="116"/>
      <c r="J946" s="12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 spans="1:29" ht="14.25" customHeight="1">
      <c r="A947" s="13"/>
      <c r="B947" s="13"/>
      <c r="C947" s="13"/>
      <c r="D947" s="13"/>
      <c r="E947" s="13"/>
      <c r="F947" s="13"/>
      <c r="G947" s="75"/>
      <c r="H947" s="12"/>
      <c r="I947" s="116"/>
      <c r="J947" s="12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 spans="1:29" ht="14.25" customHeight="1">
      <c r="A948" s="13"/>
      <c r="B948" s="13"/>
      <c r="C948" s="13"/>
      <c r="D948" s="13"/>
      <c r="E948" s="13"/>
      <c r="F948" s="13"/>
      <c r="G948" s="75"/>
      <c r="H948" s="12"/>
      <c r="I948" s="116"/>
      <c r="J948" s="12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 spans="1:29" ht="14.25" customHeight="1">
      <c r="A949" s="13"/>
      <c r="B949" s="13"/>
      <c r="C949" s="13"/>
      <c r="D949" s="13"/>
      <c r="E949" s="13"/>
      <c r="F949" s="13"/>
      <c r="G949" s="75"/>
      <c r="H949" s="12"/>
      <c r="I949" s="116"/>
      <c r="J949" s="12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 spans="1:29" ht="14.25" customHeight="1">
      <c r="A950" s="13"/>
      <c r="B950" s="13"/>
      <c r="C950" s="13"/>
      <c r="D950" s="13"/>
      <c r="E950" s="13"/>
      <c r="F950" s="13"/>
      <c r="G950" s="75"/>
      <c r="H950" s="12"/>
      <c r="I950" s="116"/>
      <c r="J950" s="12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 spans="1:29" ht="14.25" customHeight="1">
      <c r="A951" s="13"/>
      <c r="B951" s="13"/>
      <c r="C951" s="13"/>
      <c r="D951" s="13"/>
      <c r="E951" s="13"/>
      <c r="F951" s="13"/>
      <c r="G951" s="75"/>
      <c r="H951" s="12"/>
      <c r="I951" s="116"/>
      <c r="J951" s="12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 spans="1:29" ht="14.25" customHeight="1">
      <c r="A952" s="13"/>
      <c r="B952" s="13"/>
      <c r="C952" s="13"/>
      <c r="D952" s="13"/>
      <c r="E952" s="13"/>
      <c r="F952" s="13"/>
      <c r="G952" s="75"/>
      <c r="H952" s="12"/>
      <c r="I952" s="116"/>
      <c r="J952" s="12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 spans="1:29" ht="14.25" customHeight="1">
      <c r="A953" s="13"/>
      <c r="B953" s="13"/>
      <c r="C953" s="13"/>
      <c r="D953" s="13"/>
      <c r="E953" s="13"/>
      <c r="F953" s="13"/>
      <c r="G953" s="75"/>
      <c r="H953" s="12"/>
      <c r="I953" s="116"/>
      <c r="J953" s="12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 spans="1:29" ht="14.25" customHeight="1">
      <c r="A954" s="13"/>
      <c r="B954" s="13"/>
      <c r="C954" s="13"/>
      <c r="D954" s="13"/>
      <c r="E954" s="13"/>
      <c r="F954" s="13"/>
      <c r="G954" s="75"/>
      <c r="H954" s="12"/>
      <c r="I954" s="116"/>
      <c r="J954" s="12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 spans="1:29" ht="14.25" customHeight="1">
      <c r="A955" s="13"/>
      <c r="B955" s="13"/>
      <c r="C955" s="13"/>
      <c r="D955" s="13"/>
      <c r="E955" s="13"/>
      <c r="F955" s="13"/>
      <c r="G955" s="75"/>
      <c r="H955" s="12"/>
      <c r="I955" s="116"/>
      <c r="J955" s="12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 spans="1:29" ht="14.25" customHeight="1">
      <c r="A956" s="13"/>
      <c r="B956" s="13"/>
      <c r="C956" s="13"/>
      <c r="D956" s="13"/>
      <c r="E956" s="13"/>
      <c r="F956" s="13"/>
      <c r="G956" s="75"/>
      <c r="H956" s="12"/>
      <c r="I956" s="116"/>
      <c r="J956" s="12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 spans="1:29" ht="14.25" customHeight="1">
      <c r="A957" s="13"/>
      <c r="B957" s="13"/>
      <c r="C957" s="13"/>
      <c r="D957" s="13"/>
      <c r="E957" s="13"/>
      <c r="F957" s="13"/>
      <c r="G957" s="75"/>
      <c r="H957" s="12"/>
      <c r="I957" s="116"/>
      <c r="J957" s="12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 spans="1:29" ht="14.25" customHeight="1">
      <c r="A958" s="13"/>
      <c r="B958" s="13"/>
      <c r="C958" s="13"/>
      <c r="D958" s="13"/>
      <c r="E958" s="13"/>
      <c r="F958" s="13"/>
      <c r="G958" s="75"/>
      <c r="H958" s="12"/>
      <c r="I958" s="116"/>
      <c r="J958" s="12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 spans="1:29" ht="14.25" customHeight="1">
      <c r="A959" s="13"/>
      <c r="B959" s="13"/>
      <c r="C959" s="13"/>
      <c r="D959" s="13"/>
      <c r="E959" s="13"/>
      <c r="F959" s="13"/>
      <c r="G959" s="75"/>
      <c r="H959" s="12"/>
      <c r="I959" s="116"/>
      <c r="J959" s="12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 spans="1:29" ht="14.25" customHeight="1">
      <c r="A960" s="13"/>
      <c r="B960" s="13"/>
      <c r="C960" s="13"/>
      <c r="D960" s="13"/>
      <c r="E960" s="13"/>
      <c r="F960" s="13"/>
      <c r="G960" s="75"/>
      <c r="H960" s="12"/>
      <c r="I960" s="116"/>
      <c r="J960" s="12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 spans="1:29" ht="14.25" customHeight="1">
      <c r="A961" s="13"/>
      <c r="B961" s="13"/>
      <c r="C961" s="13"/>
      <c r="D961" s="13"/>
      <c r="E961" s="13"/>
      <c r="F961" s="13"/>
      <c r="G961" s="75"/>
      <c r="H961" s="12"/>
      <c r="I961" s="116"/>
      <c r="J961" s="12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 spans="1:29" ht="14.25" customHeight="1">
      <c r="A962" s="13"/>
      <c r="B962" s="13"/>
      <c r="C962" s="13"/>
      <c r="D962" s="13"/>
      <c r="E962" s="13"/>
      <c r="F962" s="13"/>
      <c r="G962" s="75"/>
      <c r="H962" s="12"/>
      <c r="I962" s="116"/>
      <c r="J962" s="12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 spans="1:29" ht="14.25" customHeight="1">
      <c r="A963" s="13"/>
      <c r="B963" s="13"/>
      <c r="C963" s="13"/>
      <c r="D963" s="13"/>
      <c r="E963" s="13"/>
      <c r="F963" s="13"/>
      <c r="G963" s="75"/>
      <c r="H963" s="12"/>
      <c r="I963" s="116"/>
      <c r="J963" s="12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 spans="1:29" ht="14.25" customHeight="1">
      <c r="A964" s="13"/>
      <c r="B964" s="13"/>
      <c r="C964" s="13"/>
      <c r="D964" s="13"/>
      <c r="E964" s="13"/>
      <c r="F964" s="13"/>
      <c r="G964" s="75"/>
      <c r="H964" s="12"/>
      <c r="I964" s="116"/>
      <c r="J964" s="12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 spans="1:29" ht="14.25" customHeight="1">
      <c r="A965" s="13"/>
      <c r="B965" s="13"/>
      <c r="C965" s="13"/>
      <c r="D965" s="13"/>
      <c r="E965" s="13"/>
      <c r="F965" s="13"/>
      <c r="G965" s="75"/>
      <c r="H965" s="12"/>
      <c r="I965" s="116"/>
      <c r="J965" s="12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 spans="1:29" ht="14.25" customHeight="1">
      <c r="A966" s="13"/>
      <c r="B966" s="13"/>
      <c r="C966" s="13"/>
      <c r="D966" s="13"/>
      <c r="E966" s="13"/>
      <c r="F966" s="13"/>
      <c r="G966" s="75"/>
      <c r="H966" s="12"/>
      <c r="I966" s="116"/>
      <c r="J966" s="12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 spans="1:29" ht="14.25" customHeight="1">
      <c r="A967" s="13"/>
      <c r="B967" s="13"/>
      <c r="C967" s="13"/>
      <c r="D967" s="13"/>
      <c r="E967" s="13"/>
      <c r="F967" s="13"/>
      <c r="G967" s="75"/>
      <c r="H967" s="12"/>
      <c r="I967" s="116"/>
      <c r="J967" s="12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 spans="1:29" ht="14.25" customHeight="1">
      <c r="A968" s="13"/>
      <c r="B968" s="13"/>
      <c r="C968" s="13"/>
      <c r="D968" s="13"/>
      <c r="E968" s="13"/>
      <c r="F968" s="13"/>
      <c r="G968" s="75"/>
      <c r="H968" s="12"/>
      <c r="I968" s="116"/>
      <c r="J968" s="12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 spans="1:29" ht="14.25" customHeight="1">
      <c r="A969" s="13"/>
      <c r="B969" s="13"/>
      <c r="C969" s="13"/>
      <c r="D969" s="13"/>
      <c r="E969" s="13"/>
      <c r="F969" s="13"/>
      <c r="G969" s="75"/>
      <c r="H969" s="12"/>
      <c r="I969" s="116"/>
      <c r="J969" s="12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 spans="1:29" ht="14.25" customHeight="1">
      <c r="A970" s="13"/>
      <c r="B970" s="13"/>
      <c r="C970" s="13"/>
      <c r="D970" s="13"/>
      <c r="E970" s="13"/>
      <c r="F970" s="13"/>
      <c r="G970" s="75"/>
      <c r="H970" s="12"/>
      <c r="I970" s="116"/>
      <c r="J970" s="12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 spans="1:29" ht="14.25" customHeight="1">
      <c r="A971" s="13"/>
      <c r="B971" s="13"/>
      <c r="C971" s="13"/>
      <c r="D971" s="13"/>
      <c r="E971" s="13"/>
      <c r="F971" s="13"/>
      <c r="G971" s="75"/>
      <c r="H971" s="12"/>
      <c r="I971" s="116"/>
      <c r="J971" s="12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 spans="1:29" ht="14.25" customHeight="1">
      <c r="A972" s="13"/>
      <c r="B972" s="13"/>
      <c r="C972" s="13"/>
      <c r="D972" s="13"/>
      <c r="E972" s="13"/>
      <c r="F972" s="13"/>
      <c r="G972" s="75"/>
      <c r="H972" s="12"/>
      <c r="I972" s="116"/>
      <c r="J972" s="12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 spans="1:29" ht="14.25" customHeight="1">
      <c r="A973" s="13"/>
      <c r="B973" s="13"/>
      <c r="C973" s="13"/>
      <c r="D973" s="13"/>
      <c r="E973" s="13"/>
      <c r="F973" s="13"/>
      <c r="G973" s="75"/>
      <c r="H973" s="12"/>
      <c r="I973" s="116"/>
      <c r="J973" s="12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 spans="1:29" ht="14.25" customHeight="1">
      <c r="A974" s="13"/>
      <c r="B974" s="13"/>
      <c r="C974" s="13"/>
      <c r="D974" s="13"/>
      <c r="E974" s="13"/>
      <c r="F974" s="13"/>
      <c r="G974" s="75"/>
      <c r="H974" s="12"/>
      <c r="I974" s="116"/>
      <c r="J974" s="12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 spans="1:29" ht="14.25" customHeight="1">
      <c r="A975" s="13"/>
      <c r="B975" s="13"/>
      <c r="C975" s="13"/>
      <c r="D975" s="13"/>
      <c r="E975" s="13"/>
      <c r="F975" s="13"/>
      <c r="G975" s="75"/>
      <c r="H975" s="12"/>
      <c r="I975" s="116"/>
      <c r="J975" s="12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 spans="1:29" ht="14.25" customHeight="1">
      <c r="A976" s="13"/>
      <c r="B976" s="13"/>
      <c r="C976" s="13"/>
      <c r="D976" s="13"/>
      <c r="E976" s="13"/>
      <c r="F976" s="13"/>
      <c r="G976" s="75"/>
      <c r="H976" s="12"/>
      <c r="I976" s="116"/>
      <c r="J976" s="12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 spans="1:29" ht="14.25" customHeight="1">
      <c r="A977" s="13"/>
      <c r="B977" s="13"/>
      <c r="C977" s="13"/>
      <c r="D977" s="13"/>
      <c r="E977" s="13"/>
      <c r="F977" s="13"/>
      <c r="G977" s="75"/>
      <c r="H977" s="12"/>
      <c r="I977" s="116"/>
      <c r="J977" s="12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 spans="1:29" ht="14.25" customHeight="1">
      <c r="A978" s="13"/>
      <c r="B978" s="13"/>
      <c r="C978" s="13"/>
      <c r="D978" s="13"/>
      <c r="E978" s="13"/>
      <c r="F978" s="13"/>
      <c r="G978" s="75"/>
      <c r="H978" s="12"/>
      <c r="I978" s="116"/>
      <c r="J978" s="12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 spans="1:29" ht="14.25" customHeight="1">
      <c r="A979" s="13"/>
      <c r="B979" s="13"/>
      <c r="C979" s="13"/>
      <c r="D979" s="13"/>
      <c r="E979" s="13"/>
      <c r="F979" s="13"/>
      <c r="G979" s="75"/>
      <c r="H979" s="12"/>
      <c r="I979" s="116"/>
      <c r="J979" s="12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 spans="1:29" ht="14.25" customHeight="1">
      <c r="A980" s="13"/>
      <c r="B980" s="13"/>
      <c r="C980" s="13"/>
      <c r="D980" s="13"/>
      <c r="E980" s="13"/>
      <c r="F980" s="13"/>
      <c r="G980" s="75"/>
      <c r="H980" s="12"/>
      <c r="I980" s="116"/>
      <c r="J980" s="12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 spans="1:29" ht="14.25" customHeight="1">
      <c r="A981" s="13"/>
      <c r="B981" s="13"/>
      <c r="C981" s="13"/>
      <c r="D981" s="13"/>
      <c r="E981" s="13"/>
      <c r="F981" s="13"/>
      <c r="G981" s="75"/>
      <c r="H981" s="12"/>
      <c r="I981" s="116"/>
      <c r="J981" s="12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 spans="1:29" ht="14.25" customHeight="1">
      <c r="A982" s="13"/>
      <c r="B982" s="13"/>
      <c r="C982" s="13"/>
      <c r="D982" s="13"/>
      <c r="E982" s="13"/>
      <c r="F982" s="13"/>
      <c r="G982" s="75"/>
      <c r="H982" s="12"/>
      <c r="I982" s="116"/>
      <c r="J982" s="12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 spans="1:29" ht="14.25" customHeight="1">
      <c r="A983" s="13"/>
      <c r="B983" s="13"/>
      <c r="C983" s="13"/>
      <c r="D983" s="13"/>
      <c r="E983" s="13"/>
      <c r="F983" s="13"/>
      <c r="G983" s="75"/>
      <c r="H983" s="12"/>
      <c r="I983" s="116"/>
      <c r="J983" s="12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 spans="1:29" ht="14.25" customHeight="1">
      <c r="A984" s="13"/>
      <c r="B984" s="13"/>
      <c r="C984" s="13"/>
      <c r="D984" s="13"/>
      <c r="E984" s="13"/>
      <c r="F984" s="13"/>
      <c r="G984" s="75"/>
      <c r="H984" s="12"/>
      <c r="I984" s="116"/>
      <c r="J984" s="12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 spans="1:29" ht="14.25" customHeight="1">
      <c r="A985" s="13"/>
      <c r="B985" s="13"/>
      <c r="C985" s="13"/>
      <c r="D985" s="13"/>
      <c r="E985" s="13"/>
      <c r="F985" s="13"/>
      <c r="G985" s="75"/>
      <c r="H985" s="12"/>
      <c r="I985" s="116"/>
      <c r="J985" s="12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 spans="1:29" ht="14.25" customHeight="1">
      <c r="A986" s="13"/>
      <c r="B986" s="13"/>
      <c r="C986" s="13"/>
      <c r="D986" s="13"/>
      <c r="E986" s="13"/>
      <c r="F986" s="13"/>
      <c r="G986" s="75"/>
      <c r="H986" s="12"/>
      <c r="I986" s="116"/>
      <c r="J986" s="12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 spans="1:29" ht="14.25" customHeight="1">
      <c r="A987" s="13"/>
      <c r="B987" s="13"/>
      <c r="C987" s="13"/>
      <c r="D987" s="13"/>
      <c r="E987" s="13"/>
      <c r="F987" s="13"/>
      <c r="G987" s="75"/>
      <c r="H987" s="12"/>
      <c r="I987" s="116"/>
      <c r="J987" s="12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 spans="1:29" ht="14.25" customHeight="1">
      <c r="A988" s="13"/>
      <c r="B988" s="13"/>
      <c r="C988" s="13"/>
      <c r="D988" s="13"/>
      <c r="E988" s="13"/>
      <c r="F988" s="13"/>
      <c r="G988" s="75"/>
      <c r="H988" s="12"/>
      <c r="I988" s="116"/>
      <c r="J988" s="12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 spans="1:29" ht="14.25" customHeight="1">
      <c r="A989" s="13"/>
      <c r="B989" s="13"/>
      <c r="C989" s="13"/>
      <c r="D989" s="13"/>
      <c r="E989" s="13"/>
      <c r="F989" s="13"/>
      <c r="G989" s="75"/>
      <c r="H989" s="12"/>
      <c r="I989" s="116"/>
      <c r="J989" s="12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 spans="1:29" ht="14.25" customHeight="1">
      <c r="A990" s="13"/>
      <c r="B990" s="13"/>
      <c r="C990" s="13"/>
      <c r="D990" s="13"/>
      <c r="E990" s="13"/>
      <c r="F990" s="13"/>
      <c r="G990" s="75"/>
      <c r="H990" s="12"/>
      <c r="I990" s="116"/>
      <c r="J990" s="12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 spans="1:29" ht="14.25" customHeight="1">
      <c r="A991" s="13"/>
      <c r="B991" s="13"/>
      <c r="C991" s="13"/>
      <c r="D991" s="13"/>
      <c r="E991" s="13"/>
      <c r="F991" s="13"/>
      <c r="G991" s="75"/>
      <c r="H991" s="12"/>
      <c r="I991" s="116"/>
      <c r="J991" s="12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 spans="1:29" ht="14.25" customHeight="1">
      <c r="A992" s="13"/>
      <c r="B992" s="13"/>
      <c r="C992" s="13"/>
      <c r="D992" s="13"/>
      <c r="E992" s="13"/>
      <c r="F992" s="13"/>
      <c r="G992" s="75"/>
      <c r="H992" s="12"/>
      <c r="I992" s="116"/>
      <c r="J992" s="12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 spans="1:29" ht="14.25" customHeight="1">
      <c r="A993" s="13"/>
      <c r="B993" s="13"/>
      <c r="C993" s="13"/>
      <c r="D993" s="13"/>
      <c r="E993" s="13"/>
      <c r="F993" s="13"/>
      <c r="G993" s="75"/>
      <c r="H993" s="12"/>
      <c r="I993" s="116"/>
      <c r="J993" s="12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 spans="1:29" ht="14.25" customHeight="1">
      <c r="A994" s="13"/>
      <c r="B994" s="13"/>
      <c r="C994" s="13"/>
      <c r="D994" s="13"/>
      <c r="E994" s="13"/>
      <c r="F994" s="13"/>
      <c r="G994" s="75"/>
      <c r="H994" s="12"/>
      <c r="I994" s="116"/>
      <c r="J994" s="12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 spans="1:29" ht="14.25" customHeight="1">
      <c r="A995" s="13"/>
      <c r="B995" s="13"/>
      <c r="C995" s="13"/>
      <c r="D995" s="13"/>
      <c r="E995" s="13"/>
      <c r="F995" s="13"/>
      <c r="G995" s="75"/>
      <c r="H995" s="12"/>
      <c r="I995" s="116"/>
      <c r="J995" s="12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 spans="1:29" ht="14.25" customHeight="1">
      <c r="A996" s="13"/>
      <c r="B996" s="13"/>
      <c r="C996" s="13"/>
      <c r="D996" s="13"/>
      <c r="E996" s="13"/>
      <c r="F996" s="13"/>
      <c r="G996" s="75"/>
      <c r="H996" s="12"/>
      <c r="I996" s="116"/>
      <c r="J996" s="12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 spans="1:29" ht="14.25" customHeight="1">
      <c r="A997" s="13"/>
      <c r="B997" s="13"/>
      <c r="C997" s="13"/>
      <c r="D997" s="13"/>
      <c r="E997" s="13"/>
      <c r="F997" s="13"/>
      <c r="G997" s="75"/>
      <c r="H997" s="12"/>
      <c r="I997" s="116"/>
      <c r="J997" s="12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 spans="1:29" ht="14.25" customHeight="1">
      <c r="A998" s="13"/>
      <c r="B998" s="13"/>
      <c r="C998" s="13"/>
      <c r="D998" s="13"/>
      <c r="E998" s="13"/>
      <c r="F998" s="13"/>
      <c r="G998" s="75"/>
      <c r="H998" s="12"/>
      <c r="I998" s="116"/>
      <c r="J998" s="12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 spans="1:29" ht="14.25" customHeight="1">
      <c r="A999" s="13"/>
      <c r="B999" s="13"/>
      <c r="C999" s="13"/>
      <c r="D999" s="13"/>
      <c r="E999" s="13"/>
      <c r="F999" s="13"/>
      <c r="G999" s="75"/>
      <c r="H999" s="12"/>
      <c r="I999" s="116"/>
      <c r="J999" s="12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 spans="1:29" ht="14.25" customHeight="1">
      <c r="A1000" s="13"/>
      <c r="B1000" s="13"/>
      <c r="C1000" s="13"/>
      <c r="D1000" s="13"/>
      <c r="E1000" s="13"/>
      <c r="F1000" s="13"/>
      <c r="G1000" s="75"/>
      <c r="H1000" s="12"/>
      <c r="I1000" s="116"/>
      <c r="J1000" s="12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</sheetData>
  <autoFilter ref="A2:J803" xr:uid="{00000000-0009-0000-0000-000005000000}"/>
  <mergeCells count="1">
    <mergeCell ref="A1:H1"/>
  </mergeCells>
  <dataValidations count="1">
    <dataValidation type="list" allowBlank="1" showErrorMessage="1" sqref="F3:F802" xr:uid="{00000000-0002-0000-0500-000000000000}">
      <formula1>"Адмиралтейский,Василеостровский,Выборгский,Калининский,Кировский,Колпинский,Комитет,Красногвардейский,Красносельский,Кронштадтский,Курортный,Московский,Невский,Петроградский,Петродворцовый,Приморский,Пушкинский,Фрунзенский,Центральный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00"/>
  <sheetViews>
    <sheetView workbookViewId="0"/>
  </sheetViews>
  <sheetFormatPr defaultColWidth="12.5703125" defaultRowHeight="15" customHeight="1"/>
  <cols>
    <col min="1" max="1" width="5.42578125" customWidth="1"/>
    <col min="2" max="2" width="7.42578125" customWidth="1"/>
    <col min="3" max="3" width="11.42578125" customWidth="1"/>
    <col min="4" max="4" width="12.7109375" customWidth="1"/>
    <col min="5" max="5" width="10.5703125" customWidth="1"/>
    <col min="6" max="6" width="17.28515625" customWidth="1"/>
    <col min="7" max="7" width="11.42578125" customWidth="1"/>
    <col min="8" max="8" width="17.28515625" customWidth="1"/>
    <col min="9" max="9" width="24.28515625" customWidth="1"/>
    <col min="10" max="10" width="19" customWidth="1"/>
    <col min="11" max="25" width="11.5703125" customWidth="1"/>
  </cols>
  <sheetData>
    <row r="1" spans="1:25" ht="14.25" customHeight="1">
      <c r="A1" s="179" t="s">
        <v>410</v>
      </c>
      <c r="B1" s="180"/>
      <c r="C1" s="180"/>
      <c r="D1" s="180"/>
      <c r="E1" s="180"/>
      <c r="F1" s="180"/>
      <c r="G1" s="180"/>
      <c r="H1" s="181"/>
      <c r="I1" s="148"/>
      <c r="J1" s="149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14.25" customHeight="1">
      <c r="A2" s="16" t="s">
        <v>11</v>
      </c>
      <c r="B2" s="16" t="s">
        <v>13</v>
      </c>
      <c r="C2" s="16" t="s">
        <v>14</v>
      </c>
      <c r="D2" s="16" t="s">
        <v>15</v>
      </c>
      <c r="E2" s="16" t="s">
        <v>16</v>
      </c>
      <c r="F2" s="16" t="s">
        <v>17</v>
      </c>
      <c r="G2" s="16" t="s">
        <v>18</v>
      </c>
      <c r="H2" s="16" t="s">
        <v>9</v>
      </c>
      <c r="I2" s="117" t="s">
        <v>19</v>
      </c>
      <c r="J2" s="19" t="s">
        <v>24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14.25" customHeight="1">
      <c r="A3" s="23">
        <v>1</v>
      </c>
      <c r="B3" s="23" t="s">
        <v>414</v>
      </c>
      <c r="C3" s="23">
        <v>1</v>
      </c>
      <c r="D3" s="25">
        <v>10.4</v>
      </c>
      <c r="E3" s="25" t="s">
        <v>61</v>
      </c>
      <c r="F3" s="25" t="s">
        <v>62</v>
      </c>
      <c r="G3" s="29" t="s">
        <v>54</v>
      </c>
      <c r="H3" s="25" t="s">
        <v>61</v>
      </c>
      <c r="I3" s="127"/>
      <c r="J3" s="150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ht="14.25" customHeight="1">
      <c r="A4" s="151">
        <v>2</v>
      </c>
      <c r="B4" s="151" t="s">
        <v>414</v>
      </c>
      <c r="C4" s="151">
        <v>2</v>
      </c>
      <c r="D4" s="151">
        <v>14.9</v>
      </c>
      <c r="E4" s="151">
        <v>8.6</v>
      </c>
      <c r="F4" s="151" t="s">
        <v>164</v>
      </c>
      <c r="G4" s="151"/>
      <c r="H4" s="151" t="s">
        <v>417</v>
      </c>
      <c r="I4" s="131"/>
      <c r="J4" s="132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ht="14.25" customHeight="1">
      <c r="A5" s="151">
        <v>3</v>
      </c>
      <c r="B5" s="151" t="s">
        <v>414</v>
      </c>
      <c r="C5" s="151">
        <v>3</v>
      </c>
      <c r="D5" s="151">
        <v>11</v>
      </c>
      <c r="E5" s="151">
        <v>8.6</v>
      </c>
      <c r="F5" s="151" t="s">
        <v>164</v>
      </c>
      <c r="G5" s="151"/>
      <c r="H5" s="151" t="s">
        <v>418</v>
      </c>
      <c r="I5" s="131"/>
      <c r="J5" s="132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14.25" customHeight="1">
      <c r="A6" s="23">
        <v>4</v>
      </c>
      <c r="B6" s="23" t="s">
        <v>421</v>
      </c>
      <c r="C6" s="23">
        <v>1</v>
      </c>
      <c r="D6" s="25">
        <v>16.100000000000001</v>
      </c>
      <c r="E6" s="25">
        <v>10.7</v>
      </c>
      <c r="F6" s="25" t="s">
        <v>55</v>
      </c>
      <c r="G6" s="41" t="s">
        <v>104</v>
      </c>
      <c r="H6" s="25" t="s">
        <v>61</v>
      </c>
      <c r="I6" s="127"/>
      <c r="J6" s="150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ht="14.25" customHeight="1">
      <c r="A7" s="23">
        <v>5</v>
      </c>
      <c r="B7" s="23" t="s">
        <v>421</v>
      </c>
      <c r="C7" s="23">
        <v>2</v>
      </c>
      <c r="D7" s="25">
        <v>16.3</v>
      </c>
      <c r="E7" s="25" t="s">
        <v>61</v>
      </c>
      <c r="F7" s="25" t="s">
        <v>55</v>
      </c>
      <c r="G7" s="41" t="s">
        <v>104</v>
      </c>
      <c r="H7" s="25" t="s">
        <v>61</v>
      </c>
      <c r="I7" s="127"/>
      <c r="J7" s="150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14.25" customHeight="1">
      <c r="A8" s="23">
        <v>6</v>
      </c>
      <c r="B8" s="23" t="s">
        <v>421</v>
      </c>
      <c r="C8" s="23">
        <v>3</v>
      </c>
      <c r="D8" s="25">
        <v>11.9</v>
      </c>
      <c r="E8" s="25">
        <v>10.7</v>
      </c>
      <c r="F8" s="25" t="s">
        <v>55</v>
      </c>
      <c r="G8" s="41" t="s">
        <v>104</v>
      </c>
      <c r="H8" s="25" t="s">
        <v>61</v>
      </c>
      <c r="I8" s="127"/>
      <c r="J8" s="150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4.25" customHeight="1">
      <c r="A9" s="23">
        <v>7</v>
      </c>
      <c r="B9" s="23" t="s">
        <v>423</v>
      </c>
      <c r="C9" s="23">
        <v>1</v>
      </c>
      <c r="D9" s="25">
        <v>13.3</v>
      </c>
      <c r="E9" s="25">
        <v>8.6</v>
      </c>
      <c r="F9" s="25" t="s">
        <v>55</v>
      </c>
      <c r="G9" s="41" t="s">
        <v>104</v>
      </c>
      <c r="H9" s="25" t="s">
        <v>61</v>
      </c>
      <c r="I9" s="127"/>
      <c r="J9" s="150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4.25" customHeight="1">
      <c r="A10" s="23">
        <v>8</v>
      </c>
      <c r="B10" s="23" t="s">
        <v>423</v>
      </c>
      <c r="C10" s="23">
        <v>2</v>
      </c>
      <c r="D10" s="25">
        <v>12.3</v>
      </c>
      <c r="E10" s="25">
        <v>8.9</v>
      </c>
      <c r="F10" s="25" t="s">
        <v>55</v>
      </c>
      <c r="G10" s="41" t="s">
        <v>104</v>
      </c>
      <c r="H10" s="25" t="s">
        <v>61</v>
      </c>
      <c r="I10" s="127"/>
      <c r="J10" s="150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4.25" customHeight="1">
      <c r="A11" s="23">
        <v>9</v>
      </c>
      <c r="B11" s="23" t="s">
        <v>423</v>
      </c>
      <c r="C11" s="23">
        <v>3</v>
      </c>
      <c r="D11" s="25">
        <v>8.4</v>
      </c>
      <c r="E11" s="25" t="s">
        <v>61</v>
      </c>
      <c r="F11" s="25" t="s">
        <v>55</v>
      </c>
      <c r="G11" s="41" t="s">
        <v>104</v>
      </c>
      <c r="H11" s="25" t="s">
        <v>61</v>
      </c>
      <c r="I11" s="127"/>
      <c r="J11" s="150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4.25" customHeight="1">
      <c r="A12" s="23">
        <v>10</v>
      </c>
      <c r="B12" s="23" t="s">
        <v>426</v>
      </c>
      <c r="C12" s="23">
        <v>1</v>
      </c>
      <c r="D12" s="25">
        <v>11.6</v>
      </c>
      <c r="E12" s="25" t="s">
        <v>61</v>
      </c>
      <c r="F12" s="25" t="s">
        <v>12</v>
      </c>
      <c r="G12" s="25"/>
      <c r="H12" s="25" t="s">
        <v>61</v>
      </c>
      <c r="I12" s="127"/>
      <c r="J12" s="150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4.25" customHeight="1">
      <c r="A13" s="23">
        <v>11</v>
      </c>
      <c r="B13" s="23" t="s">
        <v>426</v>
      </c>
      <c r="C13" s="23">
        <v>2</v>
      </c>
      <c r="D13" s="25">
        <v>14.3</v>
      </c>
      <c r="E13" s="25">
        <v>10.9</v>
      </c>
      <c r="F13" s="25" t="s">
        <v>150</v>
      </c>
      <c r="G13" s="41" t="s">
        <v>104</v>
      </c>
      <c r="H13" s="25" t="s">
        <v>61</v>
      </c>
      <c r="I13" s="127"/>
      <c r="J13" s="150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4.25" customHeight="1">
      <c r="A14" s="23">
        <v>12</v>
      </c>
      <c r="B14" s="23" t="s">
        <v>426</v>
      </c>
      <c r="C14" s="23">
        <v>3</v>
      </c>
      <c r="D14" s="25">
        <v>11.1</v>
      </c>
      <c r="E14" s="25">
        <v>11</v>
      </c>
      <c r="F14" s="25" t="s">
        <v>77</v>
      </c>
      <c r="G14" s="29" t="s">
        <v>54</v>
      </c>
      <c r="H14" s="25" t="s">
        <v>61</v>
      </c>
      <c r="I14" s="127"/>
      <c r="J14" s="150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4.25" customHeight="1">
      <c r="A15" s="23">
        <v>13</v>
      </c>
      <c r="B15" s="23" t="s">
        <v>427</v>
      </c>
      <c r="C15" s="23">
        <v>1</v>
      </c>
      <c r="D15" s="25">
        <v>7.4</v>
      </c>
      <c r="E15" s="25" t="s">
        <v>61</v>
      </c>
      <c r="F15" s="25" t="s">
        <v>36</v>
      </c>
      <c r="G15" s="29" t="s">
        <v>54</v>
      </c>
      <c r="H15" s="25" t="s">
        <v>61</v>
      </c>
      <c r="I15" s="127"/>
      <c r="J15" s="150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4.25" customHeight="1">
      <c r="A16" s="23">
        <v>14</v>
      </c>
      <c r="B16" s="23" t="s">
        <v>427</v>
      </c>
      <c r="C16" s="23">
        <v>2</v>
      </c>
      <c r="D16" s="25">
        <v>15.7</v>
      </c>
      <c r="E16" s="25">
        <v>7.9</v>
      </c>
      <c r="F16" s="25" t="s">
        <v>36</v>
      </c>
      <c r="G16" s="29" t="s">
        <v>54</v>
      </c>
      <c r="H16" s="25" t="s">
        <v>61</v>
      </c>
      <c r="I16" s="127"/>
      <c r="J16" s="150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4.25" customHeight="1">
      <c r="A17" s="23">
        <v>15</v>
      </c>
      <c r="B17" s="23" t="s">
        <v>430</v>
      </c>
      <c r="C17" s="23">
        <v>1</v>
      </c>
      <c r="D17" s="25">
        <v>10.7</v>
      </c>
      <c r="E17" s="25">
        <v>24.7</v>
      </c>
      <c r="F17" s="25" t="s">
        <v>77</v>
      </c>
      <c r="G17" s="29" t="s">
        <v>54</v>
      </c>
      <c r="H17" s="25" t="s">
        <v>61</v>
      </c>
      <c r="I17" s="127"/>
      <c r="J17" s="150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4.25" customHeight="1">
      <c r="A18" s="23">
        <v>16</v>
      </c>
      <c r="B18" s="23" t="s">
        <v>430</v>
      </c>
      <c r="C18" s="23">
        <v>2</v>
      </c>
      <c r="D18" s="25">
        <v>15.1</v>
      </c>
      <c r="E18" s="25" t="s">
        <v>61</v>
      </c>
      <c r="F18" s="25" t="s">
        <v>36</v>
      </c>
      <c r="G18" s="29" t="s">
        <v>54</v>
      </c>
      <c r="H18" s="25" t="s">
        <v>431</v>
      </c>
      <c r="I18" s="127"/>
      <c r="J18" s="150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4.25" customHeight="1">
      <c r="A19" s="23">
        <v>17</v>
      </c>
      <c r="B19" s="23" t="s">
        <v>430</v>
      </c>
      <c r="C19" s="23">
        <v>3</v>
      </c>
      <c r="D19" s="25">
        <v>0</v>
      </c>
      <c r="E19" s="25" t="s">
        <v>61</v>
      </c>
      <c r="F19" s="25" t="s">
        <v>36</v>
      </c>
      <c r="G19" s="29" t="s">
        <v>54</v>
      </c>
      <c r="H19" s="25" t="s">
        <v>61</v>
      </c>
      <c r="I19" s="127"/>
      <c r="J19" s="150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4.25" customHeight="1">
      <c r="A20" s="23">
        <v>18</v>
      </c>
      <c r="B20" s="23" t="s">
        <v>430</v>
      </c>
      <c r="C20" s="23">
        <v>4</v>
      </c>
      <c r="D20" s="25">
        <v>7</v>
      </c>
      <c r="E20" s="25" t="s">
        <v>61</v>
      </c>
      <c r="F20" s="25" t="s">
        <v>77</v>
      </c>
      <c r="G20" s="29" t="s">
        <v>54</v>
      </c>
      <c r="H20" s="25" t="s">
        <v>433</v>
      </c>
      <c r="I20" s="127"/>
      <c r="J20" s="150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4.25" customHeight="1">
      <c r="A21" s="23">
        <v>19</v>
      </c>
      <c r="B21" s="23" t="s">
        <v>430</v>
      </c>
      <c r="C21" s="23">
        <v>5</v>
      </c>
      <c r="D21" s="25">
        <v>9.9</v>
      </c>
      <c r="E21" s="25" t="s">
        <v>61</v>
      </c>
      <c r="F21" s="25" t="s">
        <v>12</v>
      </c>
      <c r="G21" s="25"/>
      <c r="H21" s="25" t="s">
        <v>433</v>
      </c>
      <c r="I21" s="127"/>
      <c r="J21" s="150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4.25" customHeight="1">
      <c r="A22" s="23">
        <v>20</v>
      </c>
      <c r="B22" s="23" t="s">
        <v>430</v>
      </c>
      <c r="C22" s="23">
        <v>6</v>
      </c>
      <c r="D22" s="25">
        <v>16.7</v>
      </c>
      <c r="E22" s="25" t="s">
        <v>61</v>
      </c>
      <c r="F22" s="25" t="s">
        <v>36</v>
      </c>
      <c r="G22" s="25"/>
      <c r="H22" s="25" t="s">
        <v>433</v>
      </c>
      <c r="I22" s="127"/>
      <c r="J22" s="150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4.25" customHeight="1">
      <c r="A23" s="23">
        <v>21</v>
      </c>
      <c r="B23" s="23" t="s">
        <v>430</v>
      </c>
      <c r="C23" s="23">
        <v>7</v>
      </c>
      <c r="D23" s="25">
        <v>9.8000000000000007</v>
      </c>
      <c r="E23" s="25" t="s">
        <v>61</v>
      </c>
      <c r="F23" s="25" t="s">
        <v>12</v>
      </c>
      <c r="G23" s="25"/>
      <c r="H23" s="25" t="s">
        <v>433</v>
      </c>
      <c r="I23" s="127"/>
      <c r="J23" s="150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4.25" customHeight="1">
      <c r="A24" s="23">
        <v>22</v>
      </c>
      <c r="B24" s="23" t="s">
        <v>435</v>
      </c>
      <c r="C24" s="23">
        <v>1</v>
      </c>
      <c r="D24" s="25">
        <v>11.4</v>
      </c>
      <c r="E24" s="25" t="s">
        <v>61</v>
      </c>
      <c r="F24" s="25" t="s">
        <v>89</v>
      </c>
      <c r="G24" s="41" t="s">
        <v>104</v>
      </c>
      <c r="H24" s="25" t="s">
        <v>61</v>
      </c>
      <c r="I24" s="127"/>
      <c r="J24" s="150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4.25" customHeight="1">
      <c r="A25" s="23">
        <v>23</v>
      </c>
      <c r="B25" s="23" t="s">
        <v>435</v>
      </c>
      <c r="C25" s="23">
        <v>2</v>
      </c>
      <c r="D25" s="25">
        <v>14.8</v>
      </c>
      <c r="E25" s="25">
        <v>8.8000000000000007</v>
      </c>
      <c r="F25" s="25" t="s">
        <v>89</v>
      </c>
      <c r="G25" s="41" t="s">
        <v>104</v>
      </c>
      <c r="H25" s="25" t="s">
        <v>61</v>
      </c>
      <c r="I25" s="127"/>
      <c r="J25" s="150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4.25" customHeight="1">
      <c r="A26" s="23">
        <v>24</v>
      </c>
      <c r="B26" s="23" t="s">
        <v>435</v>
      </c>
      <c r="C26" s="23">
        <v>3</v>
      </c>
      <c r="D26" s="25">
        <v>11</v>
      </c>
      <c r="E26" s="25">
        <v>8.5</v>
      </c>
      <c r="F26" s="25" t="s">
        <v>47</v>
      </c>
      <c r="G26" s="41" t="s">
        <v>104</v>
      </c>
      <c r="H26" s="25" t="s">
        <v>61</v>
      </c>
      <c r="I26" s="127"/>
      <c r="J26" s="150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4.25" customHeight="1">
      <c r="A27" s="151">
        <v>25</v>
      </c>
      <c r="B27" s="151" t="s">
        <v>438</v>
      </c>
      <c r="C27" s="151">
        <v>1</v>
      </c>
      <c r="D27" s="151">
        <v>16.399999999999999</v>
      </c>
      <c r="E27" s="151">
        <v>8.4</v>
      </c>
      <c r="F27" s="151" t="s">
        <v>47</v>
      </c>
      <c r="G27" s="26" t="s">
        <v>104</v>
      </c>
      <c r="H27" s="151" t="s">
        <v>61</v>
      </c>
      <c r="I27" s="131" t="s">
        <v>335</v>
      </c>
      <c r="J27" s="132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4.25" customHeight="1">
      <c r="A28" s="151">
        <v>26</v>
      </c>
      <c r="B28" s="151" t="s">
        <v>438</v>
      </c>
      <c r="C28" s="151">
        <v>2</v>
      </c>
      <c r="D28" s="151">
        <v>8.8000000000000007</v>
      </c>
      <c r="E28" s="151" t="s">
        <v>61</v>
      </c>
      <c r="F28" s="151" t="s">
        <v>47</v>
      </c>
      <c r="G28" s="50" t="s">
        <v>104</v>
      </c>
      <c r="H28" s="151" t="s">
        <v>61</v>
      </c>
      <c r="I28" s="131" t="s">
        <v>335</v>
      </c>
      <c r="J28" s="132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4.25" customHeight="1">
      <c r="A29" s="23">
        <v>27</v>
      </c>
      <c r="B29" s="23" t="s">
        <v>439</v>
      </c>
      <c r="C29" s="23">
        <v>1</v>
      </c>
      <c r="D29" s="25">
        <v>8.6999999999999993</v>
      </c>
      <c r="E29" s="25" t="s">
        <v>61</v>
      </c>
      <c r="F29" s="25" t="s">
        <v>47</v>
      </c>
      <c r="G29" s="41" t="s">
        <v>104</v>
      </c>
      <c r="H29" s="152" t="s">
        <v>441</v>
      </c>
      <c r="I29" s="127"/>
      <c r="J29" s="150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4.25" customHeight="1">
      <c r="A30" s="23">
        <v>28</v>
      </c>
      <c r="B30" s="23" t="s">
        <v>439</v>
      </c>
      <c r="C30" s="23">
        <v>2</v>
      </c>
      <c r="D30" s="25">
        <v>16.2</v>
      </c>
      <c r="E30" s="25">
        <v>8.6999999999999993</v>
      </c>
      <c r="F30" s="25" t="s">
        <v>47</v>
      </c>
      <c r="G30" s="41" t="s">
        <v>104</v>
      </c>
      <c r="H30" s="152" t="s">
        <v>441</v>
      </c>
      <c r="I30" s="127"/>
      <c r="J30" s="150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4.25" customHeight="1">
      <c r="A31" s="23">
        <v>29</v>
      </c>
      <c r="B31" s="23" t="s">
        <v>444</v>
      </c>
      <c r="C31" s="23">
        <v>1</v>
      </c>
      <c r="D31" s="25">
        <v>11.3</v>
      </c>
      <c r="E31" s="25">
        <v>8.6</v>
      </c>
      <c r="F31" s="25" t="s">
        <v>55</v>
      </c>
      <c r="G31" s="41" t="s">
        <v>104</v>
      </c>
      <c r="H31" s="25" t="s">
        <v>61</v>
      </c>
      <c r="I31" s="127"/>
      <c r="J31" s="150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4.25" customHeight="1">
      <c r="A32" s="23">
        <v>30</v>
      </c>
      <c r="B32" s="23" t="s">
        <v>444</v>
      </c>
      <c r="C32" s="23">
        <v>2</v>
      </c>
      <c r="D32" s="25">
        <v>14.7</v>
      </c>
      <c r="E32" s="25">
        <v>8.6999999999999993</v>
      </c>
      <c r="F32" s="25" t="s">
        <v>51</v>
      </c>
      <c r="G32" s="25"/>
      <c r="H32" s="25" t="s">
        <v>61</v>
      </c>
      <c r="I32" s="127"/>
      <c r="J32" s="150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4.25" customHeight="1">
      <c r="A33" s="23">
        <v>31</v>
      </c>
      <c r="B33" s="23" t="s">
        <v>444</v>
      </c>
      <c r="C33" s="23">
        <v>3</v>
      </c>
      <c r="D33" s="25">
        <v>11.6</v>
      </c>
      <c r="E33" s="25" t="s">
        <v>61</v>
      </c>
      <c r="F33" s="41" t="s">
        <v>55</v>
      </c>
      <c r="G33" s="41" t="s">
        <v>104</v>
      </c>
      <c r="H33" s="41"/>
      <c r="I33" s="122" t="s">
        <v>446</v>
      </c>
      <c r="J33" s="150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4.25" customHeight="1">
      <c r="A34" s="23">
        <v>32</v>
      </c>
      <c r="B34" s="23" t="s">
        <v>447</v>
      </c>
      <c r="C34" s="23">
        <v>1</v>
      </c>
      <c r="D34" s="25">
        <v>11.2</v>
      </c>
      <c r="E34" s="25">
        <v>9</v>
      </c>
      <c r="F34" s="25" t="s">
        <v>55</v>
      </c>
      <c r="G34" s="41" t="s">
        <v>104</v>
      </c>
      <c r="H34" s="25" t="s">
        <v>61</v>
      </c>
      <c r="I34" s="127"/>
      <c r="J34" s="150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4.25" customHeight="1">
      <c r="A35" s="23">
        <v>33</v>
      </c>
      <c r="B35" s="23" t="s">
        <v>447</v>
      </c>
      <c r="C35" s="23">
        <v>2</v>
      </c>
      <c r="D35" s="25">
        <v>15.1</v>
      </c>
      <c r="E35" s="25">
        <v>8.9</v>
      </c>
      <c r="F35" s="25" t="s">
        <v>55</v>
      </c>
      <c r="G35" s="41" t="s">
        <v>104</v>
      </c>
      <c r="H35" s="25" t="s">
        <v>61</v>
      </c>
      <c r="I35" s="127"/>
      <c r="J35" s="150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4.25" customHeight="1">
      <c r="A36" s="23">
        <v>34</v>
      </c>
      <c r="B36" s="23" t="s">
        <v>447</v>
      </c>
      <c r="C36" s="23">
        <v>3</v>
      </c>
      <c r="D36" s="25">
        <v>11.6</v>
      </c>
      <c r="E36" s="25" t="s">
        <v>61</v>
      </c>
      <c r="F36" s="25" t="s">
        <v>55</v>
      </c>
      <c r="G36" s="41" t="s">
        <v>104</v>
      </c>
      <c r="H36" s="25" t="s">
        <v>61</v>
      </c>
      <c r="I36" s="127"/>
      <c r="J36" s="150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4.25" customHeight="1">
      <c r="A37" s="23">
        <v>35</v>
      </c>
      <c r="B37" s="23" t="s">
        <v>450</v>
      </c>
      <c r="C37" s="23">
        <v>1</v>
      </c>
      <c r="D37" s="25">
        <v>15.3</v>
      </c>
      <c r="E37" s="25">
        <v>8.5</v>
      </c>
      <c r="F37" s="25" t="s">
        <v>12</v>
      </c>
      <c r="G37" s="25"/>
      <c r="H37" s="25" t="s">
        <v>61</v>
      </c>
      <c r="I37" s="127"/>
      <c r="J37" s="150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4.25" customHeight="1">
      <c r="A38" s="23">
        <v>36</v>
      </c>
      <c r="B38" s="23" t="s">
        <v>450</v>
      </c>
      <c r="C38" s="23">
        <v>2</v>
      </c>
      <c r="D38" s="25">
        <v>7.4</v>
      </c>
      <c r="E38" s="25" t="s">
        <v>61</v>
      </c>
      <c r="F38" s="25" t="s">
        <v>12</v>
      </c>
      <c r="G38" s="25"/>
      <c r="H38" s="25" t="s">
        <v>61</v>
      </c>
      <c r="I38" s="127"/>
      <c r="J38" s="150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4.25" customHeight="1">
      <c r="A39" s="23">
        <v>37</v>
      </c>
      <c r="B39" s="23" t="s">
        <v>451</v>
      </c>
      <c r="C39" s="23">
        <v>1</v>
      </c>
      <c r="D39" s="25">
        <v>17</v>
      </c>
      <c r="E39" s="25">
        <v>11.2</v>
      </c>
      <c r="F39" s="25" t="s">
        <v>12</v>
      </c>
      <c r="G39" s="25"/>
      <c r="H39" s="25" t="s">
        <v>61</v>
      </c>
      <c r="I39" s="127"/>
      <c r="J39" s="150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4.25" customHeight="1">
      <c r="A40" s="23">
        <v>38</v>
      </c>
      <c r="B40" s="23" t="s">
        <v>451</v>
      </c>
      <c r="C40" s="23">
        <v>2</v>
      </c>
      <c r="D40" s="25">
        <v>16.8</v>
      </c>
      <c r="E40" s="25" t="s">
        <v>61</v>
      </c>
      <c r="F40" s="25" t="s">
        <v>12</v>
      </c>
      <c r="G40" s="25"/>
      <c r="H40" s="25" t="s">
        <v>61</v>
      </c>
      <c r="I40" s="127"/>
      <c r="J40" s="150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4.25" customHeight="1">
      <c r="A41" s="23">
        <v>39</v>
      </c>
      <c r="B41" s="23" t="s">
        <v>451</v>
      </c>
      <c r="C41" s="23">
        <v>3</v>
      </c>
      <c r="D41" s="25">
        <v>12.6</v>
      </c>
      <c r="E41" s="25">
        <v>10.3</v>
      </c>
      <c r="F41" s="25" t="s">
        <v>12</v>
      </c>
      <c r="G41" s="25"/>
      <c r="H41" s="25" t="s">
        <v>61</v>
      </c>
      <c r="I41" s="127"/>
      <c r="J41" s="150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4.25" customHeight="1">
      <c r="A42" s="23">
        <v>40</v>
      </c>
      <c r="B42" s="23" t="s">
        <v>455</v>
      </c>
      <c r="C42" s="23">
        <v>1</v>
      </c>
      <c r="D42" s="25">
        <v>16.100000000000001</v>
      </c>
      <c r="E42" s="25">
        <v>10.8</v>
      </c>
      <c r="F42" s="25" t="s">
        <v>89</v>
      </c>
      <c r="G42" s="41" t="s">
        <v>104</v>
      </c>
      <c r="H42" s="25" t="s">
        <v>61</v>
      </c>
      <c r="I42" s="127"/>
      <c r="J42" s="150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4.25" customHeight="1">
      <c r="A43" s="23">
        <v>41</v>
      </c>
      <c r="B43" s="23" t="s">
        <v>455</v>
      </c>
      <c r="C43" s="23">
        <v>2</v>
      </c>
      <c r="D43" s="25">
        <v>16.7</v>
      </c>
      <c r="E43" s="25" t="s">
        <v>61</v>
      </c>
      <c r="F43" s="25" t="s">
        <v>89</v>
      </c>
      <c r="G43" s="41" t="s">
        <v>104</v>
      </c>
      <c r="H43" s="25" t="s">
        <v>61</v>
      </c>
      <c r="I43" s="127"/>
      <c r="J43" s="150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4.25" customHeight="1">
      <c r="A44" s="23">
        <v>42</v>
      </c>
      <c r="B44" s="23" t="s">
        <v>455</v>
      </c>
      <c r="C44" s="23">
        <v>3</v>
      </c>
      <c r="D44" s="25">
        <v>12.5</v>
      </c>
      <c r="E44" s="25">
        <v>10.8</v>
      </c>
      <c r="F44" s="25" t="s">
        <v>118</v>
      </c>
      <c r="G44" s="29" t="s">
        <v>54</v>
      </c>
      <c r="H44" s="25" t="s">
        <v>61</v>
      </c>
      <c r="I44" s="127"/>
      <c r="J44" s="150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4.25" customHeight="1">
      <c r="A45" s="23">
        <v>43</v>
      </c>
      <c r="B45" s="23" t="s">
        <v>456</v>
      </c>
      <c r="C45" s="23">
        <v>1</v>
      </c>
      <c r="D45" s="25">
        <v>17.100000000000001</v>
      </c>
      <c r="E45" s="25">
        <v>10.7</v>
      </c>
      <c r="F45" s="25" t="s">
        <v>77</v>
      </c>
      <c r="G45" s="29" t="s">
        <v>54</v>
      </c>
      <c r="H45" s="25" t="s">
        <v>61</v>
      </c>
      <c r="I45" s="127"/>
      <c r="J45" s="150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4.25" customHeight="1">
      <c r="A46" s="23">
        <v>44</v>
      </c>
      <c r="B46" s="23" t="s">
        <v>456</v>
      </c>
      <c r="C46" s="23">
        <v>2</v>
      </c>
      <c r="D46" s="25">
        <v>16.899999999999999</v>
      </c>
      <c r="E46" s="25" t="s">
        <v>61</v>
      </c>
      <c r="F46" s="25" t="s">
        <v>77</v>
      </c>
      <c r="G46" s="29" t="s">
        <v>54</v>
      </c>
      <c r="H46" s="25" t="s">
        <v>61</v>
      </c>
      <c r="I46" s="127"/>
      <c r="J46" s="150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4.25" customHeight="1">
      <c r="A47" s="23">
        <v>45</v>
      </c>
      <c r="B47" s="23" t="s">
        <v>456</v>
      </c>
      <c r="C47" s="23">
        <v>3</v>
      </c>
      <c r="D47" s="25">
        <v>13.8</v>
      </c>
      <c r="E47" s="25">
        <v>10.5</v>
      </c>
      <c r="F47" s="25" t="s">
        <v>77</v>
      </c>
      <c r="G47" s="29" t="s">
        <v>54</v>
      </c>
      <c r="H47" s="25" t="s">
        <v>61</v>
      </c>
      <c r="I47" s="127"/>
      <c r="J47" s="150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4.25" customHeight="1">
      <c r="A48" s="151">
        <v>46</v>
      </c>
      <c r="B48" s="151" t="s">
        <v>459</v>
      </c>
      <c r="C48" s="151">
        <v>1</v>
      </c>
      <c r="D48" s="151">
        <v>16.7</v>
      </c>
      <c r="E48" s="151" t="s">
        <v>61</v>
      </c>
      <c r="F48" s="151" t="s">
        <v>164</v>
      </c>
      <c r="G48" s="151"/>
      <c r="H48" s="151" t="s">
        <v>460</v>
      </c>
      <c r="I48" s="131"/>
      <c r="J48" s="132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4.25" customHeight="1">
      <c r="A49" s="151">
        <v>47</v>
      </c>
      <c r="B49" s="151" t="s">
        <v>459</v>
      </c>
      <c r="C49" s="151">
        <v>2</v>
      </c>
      <c r="D49" s="151">
        <v>16.600000000000001</v>
      </c>
      <c r="E49" s="151">
        <v>10.8</v>
      </c>
      <c r="F49" s="151" t="s">
        <v>164</v>
      </c>
      <c r="G49" s="151"/>
      <c r="H49" s="151" t="s">
        <v>460</v>
      </c>
      <c r="I49" s="131"/>
      <c r="J49" s="132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4.25" customHeight="1">
      <c r="A50" s="151">
        <v>48</v>
      </c>
      <c r="B50" s="151" t="s">
        <v>459</v>
      </c>
      <c r="C50" s="151">
        <v>3</v>
      </c>
      <c r="D50" s="151">
        <v>12.5</v>
      </c>
      <c r="E50" s="151">
        <v>11.2</v>
      </c>
      <c r="F50" s="151" t="s">
        <v>164</v>
      </c>
      <c r="G50" s="151"/>
      <c r="H50" s="151" t="s">
        <v>460</v>
      </c>
      <c r="I50" s="131"/>
      <c r="J50" s="132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4.25" customHeight="1">
      <c r="A51" s="23">
        <v>49</v>
      </c>
      <c r="B51" s="23" t="s">
        <v>463</v>
      </c>
      <c r="C51" s="23">
        <v>1</v>
      </c>
      <c r="D51" s="25">
        <v>16.7</v>
      </c>
      <c r="E51" s="25">
        <v>11.5</v>
      </c>
      <c r="F51" s="25" t="s">
        <v>55</v>
      </c>
      <c r="G51" s="41" t="s">
        <v>104</v>
      </c>
      <c r="H51" s="25" t="s">
        <v>61</v>
      </c>
      <c r="I51" s="127"/>
      <c r="J51" s="150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4.25" customHeight="1">
      <c r="A52" s="23">
        <v>50</v>
      </c>
      <c r="B52" s="23" t="s">
        <v>463</v>
      </c>
      <c r="C52" s="23">
        <v>2</v>
      </c>
      <c r="D52" s="25">
        <v>16.5</v>
      </c>
      <c r="E52" s="25" t="s">
        <v>61</v>
      </c>
      <c r="F52" s="25" t="s">
        <v>55</v>
      </c>
      <c r="G52" s="41" t="s">
        <v>104</v>
      </c>
      <c r="H52" s="25" t="s">
        <v>61</v>
      </c>
      <c r="I52" s="127"/>
      <c r="J52" s="150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4.25" customHeight="1">
      <c r="A53" s="23">
        <v>51</v>
      </c>
      <c r="B53" s="23" t="s">
        <v>463</v>
      </c>
      <c r="C53" s="23">
        <v>3</v>
      </c>
      <c r="D53" s="25">
        <v>12.9</v>
      </c>
      <c r="E53" s="25">
        <v>11</v>
      </c>
      <c r="F53" s="25" t="s">
        <v>77</v>
      </c>
      <c r="G53" s="29" t="s">
        <v>54</v>
      </c>
      <c r="H53" s="25" t="s">
        <v>61</v>
      </c>
      <c r="I53" s="127"/>
      <c r="J53" s="150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4.25" customHeight="1">
      <c r="A54" s="23">
        <v>52</v>
      </c>
      <c r="B54" s="23" t="s">
        <v>464</v>
      </c>
      <c r="C54" s="23">
        <v>1</v>
      </c>
      <c r="D54" s="25">
        <v>16.899999999999999</v>
      </c>
      <c r="E54" s="25">
        <v>10.6</v>
      </c>
      <c r="F54" s="25" t="s">
        <v>112</v>
      </c>
      <c r="G54" s="41" t="s">
        <v>104</v>
      </c>
      <c r="H54" s="25" t="s">
        <v>61</v>
      </c>
      <c r="I54" s="127"/>
      <c r="J54" s="150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4.25" customHeight="1">
      <c r="A55" s="23">
        <v>53</v>
      </c>
      <c r="B55" s="23" t="s">
        <v>464</v>
      </c>
      <c r="C55" s="23">
        <v>2</v>
      </c>
      <c r="D55" s="25">
        <v>16.7</v>
      </c>
      <c r="E55" s="25" t="s">
        <v>61</v>
      </c>
      <c r="F55" s="25" t="s">
        <v>112</v>
      </c>
      <c r="G55" s="41" t="s">
        <v>104</v>
      </c>
      <c r="H55" s="25" t="s">
        <v>61</v>
      </c>
      <c r="I55" s="127"/>
      <c r="J55" s="150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4.25" customHeight="1">
      <c r="A56" s="23">
        <v>54</v>
      </c>
      <c r="B56" s="23" t="s">
        <v>464</v>
      </c>
      <c r="C56" s="23">
        <v>3</v>
      </c>
      <c r="D56" s="25">
        <v>13.5</v>
      </c>
      <c r="E56" s="25">
        <v>10.4</v>
      </c>
      <c r="F56" s="25" t="s">
        <v>112</v>
      </c>
      <c r="G56" s="41" t="s">
        <v>104</v>
      </c>
      <c r="H56" s="25" t="s">
        <v>61</v>
      </c>
      <c r="I56" s="127"/>
      <c r="J56" s="150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4.25" customHeight="1">
      <c r="A57" s="23">
        <v>55</v>
      </c>
      <c r="B57" s="23" t="s">
        <v>466</v>
      </c>
      <c r="C57" s="23">
        <v>1</v>
      </c>
      <c r="D57" s="25">
        <v>17.2</v>
      </c>
      <c r="E57" s="25">
        <v>10.3</v>
      </c>
      <c r="F57" s="25" t="s">
        <v>118</v>
      </c>
      <c r="G57" s="29" t="s">
        <v>54</v>
      </c>
      <c r="H57" s="25" t="s">
        <v>61</v>
      </c>
      <c r="I57" s="127"/>
      <c r="J57" s="150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4.25" customHeight="1">
      <c r="A58" s="23">
        <v>56</v>
      </c>
      <c r="B58" s="23" t="s">
        <v>466</v>
      </c>
      <c r="C58" s="23">
        <v>2</v>
      </c>
      <c r="D58" s="25">
        <v>16.600000000000001</v>
      </c>
      <c r="E58" s="25" t="s">
        <v>61</v>
      </c>
      <c r="F58" s="25" t="s">
        <v>77</v>
      </c>
      <c r="G58" s="29" t="s">
        <v>54</v>
      </c>
      <c r="H58" s="25" t="s">
        <v>61</v>
      </c>
      <c r="I58" s="127"/>
      <c r="J58" s="150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4.25" customHeight="1">
      <c r="A59" s="23">
        <v>57</v>
      </c>
      <c r="B59" s="23" t="s">
        <v>466</v>
      </c>
      <c r="C59" s="23">
        <v>3</v>
      </c>
      <c r="D59" s="25">
        <v>13.8</v>
      </c>
      <c r="E59" s="25">
        <v>10.199999999999999</v>
      </c>
      <c r="F59" s="25" t="s">
        <v>77</v>
      </c>
      <c r="G59" s="29" t="s">
        <v>54</v>
      </c>
      <c r="H59" s="25" t="s">
        <v>61</v>
      </c>
      <c r="I59" s="127"/>
      <c r="J59" s="150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4.25" customHeight="1">
      <c r="A60" s="23">
        <v>58</v>
      </c>
      <c r="B60" s="23" t="s">
        <v>470</v>
      </c>
      <c r="C60" s="23">
        <v>1</v>
      </c>
      <c r="D60" s="25">
        <v>17.7</v>
      </c>
      <c r="E60" s="25">
        <v>10.8</v>
      </c>
      <c r="F60" s="25" t="s">
        <v>88</v>
      </c>
      <c r="G60" s="111" t="s">
        <v>104</v>
      </c>
      <c r="H60" s="25" t="s">
        <v>61</v>
      </c>
      <c r="I60" s="127"/>
      <c r="J60" s="150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4.25" customHeight="1">
      <c r="A61" s="23">
        <v>59</v>
      </c>
      <c r="B61" s="23" t="s">
        <v>470</v>
      </c>
      <c r="C61" s="23">
        <v>2</v>
      </c>
      <c r="D61" s="25">
        <v>16.100000000000001</v>
      </c>
      <c r="E61" s="25" t="s">
        <v>61</v>
      </c>
      <c r="F61" s="25" t="s">
        <v>88</v>
      </c>
      <c r="G61" s="111" t="s">
        <v>104</v>
      </c>
      <c r="H61" s="25" t="s">
        <v>61</v>
      </c>
      <c r="I61" s="127"/>
      <c r="J61" s="150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4.25" customHeight="1">
      <c r="A62" s="23">
        <v>60</v>
      </c>
      <c r="B62" s="23" t="s">
        <v>470</v>
      </c>
      <c r="C62" s="23">
        <v>3</v>
      </c>
      <c r="D62" s="25">
        <v>11</v>
      </c>
      <c r="E62" s="25">
        <v>11.5</v>
      </c>
      <c r="F62" s="25" t="s">
        <v>62</v>
      </c>
      <c r="G62" s="29" t="s">
        <v>54</v>
      </c>
      <c r="H62" s="25" t="s">
        <v>61</v>
      </c>
      <c r="I62" s="127"/>
      <c r="J62" s="150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4.25" customHeight="1">
      <c r="A63" s="23">
        <v>61</v>
      </c>
      <c r="B63" s="23" t="s">
        <v>472</v>
      </c>
      <c r="C63" s="23">
        <v>1</v>
      </c>
      <c r="D63" s="25">
        <v>16.5</v>
      </c>
      <c r="E63" s="25">
        <v>11</v>
      </c>
      <c r="F63" s="25" t="s">
        <v>36</v>
      </c>
      <c r="G63" s="41" t="s">
        <v>104</v>
      </c>
      <c r="H63" s="25" t="s">
        <v>61</v>
      </c>
      <c r="I63" s="127"/>
      <c r="J63" s="150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4.25" customHeight="1">
      <c r="A64" s="23">
        <v>62</v>
      </c>
      <c r="B64" s="23" t="s">
        <v>472</v>
      </c>
      <c r="C64" s="23">
        <v>2</v>
      </c>
      <c r="D64" s="25">
        <v>16.899999999999999</v>
      </c>
      <c r="E64" s="25" t="s">
        <v>61</v>
      </c>
      <c r="F64" s="25" t="s">
        <v>36</v>
      </c>
      <c r="G64" s="41" t="s">
        <v>104</v>
      </c>
      <c r="H64" s="25" t="s">
        <v>61</v>
      </c>
      <c r="I64" s="127"/>
      <c r="J64" s="150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4.25" customHeight="1">
      <c r="A65" s="23">
        <v>63</v>
      </c>
      <c r="B65" s="23" t="s">
        <v>472</v>
      </c>
      <c r="C65" s="23">
        <v>3</v>
      </c>
      <c r="D65" s="25">
        <v>13.1</v>
      </c>
      <c r="E65" s="25">
        <v>11</v>
      </c>
      <c r="F65" s="25" t="s">
        <v>55</v>
      </c>
      <c r="G65" s="41" t="s">
        <v>104</v>
      </c>
      <c r="H65" s="25" t="s">
        <v>61</v>
      </c>
      <c r="I65" s="127"/>
      <c r="J65" s="150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4.25" customHeight="1">
      <c r="A66" s="23">
        <v>64</v>
      </c>
      <c r="B66" s="23" t="s">
        <v>475</v>
      </c>
      <c r="C66" s="23">
        <v>1</v>
      </c>
      <c r="D66" s="25">
        <v>16.7</v>
      </c>
      <c r="E66" s="25">
        <v>11.4</v>
      </c>
      <c r="F66" s="25" t="s">
        <v>150</v>
      </c>
      <c r="G66" s="41" t="s">
        <v>104</v>
      </c>
      <c r="H66" s="25" t="s">
        <v>61</v>
      </c>
      <c r="I66" s="127"/>
      <c r="J66" s="150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4.25" customHeight="1">
      <c r="A67" s="23">
        <v>65</v>
      </c>
      <c r="B67" s="23" t="s">
        <v>475</v>
      </c>
      <c r="C67" s="23">
        <v>2</v>
      </c>
      <c r="D67" s="25">
        <v>17</v>
      </c>
      <c r="E67" s="25" t="s">
        <v>61</v>
      </c>
      <c r="F67" s="25" t="s">
        <v>150</v>
      </c>
      <c r="G67" s="41" t="s">
        <v>104</v>
      </c>
      <c r="H67" s="25" t="s">
        <v>61</v>
      </c>
      <c r="I67" s="127"/>
      <c r="J67" s="150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4.25" customHeight="1">
      <c r="A68" s="23">
        <v>66</v>
      </c>
      <c r="B68" s="23" t="s">
        <v>475</v>
      </c>
      <c r="C68" s="23">
        <v>3</v>
      </c>
      <c r="D68" s="25">
        <v>13.1</v>
      </c>
      <c r="E68" s="25">
        <v>11</v>
      </c>
      <c r="F68" s="25" t="s">
        <v>150</v>
      </c>
      <c r="G68" s="41" t="s">
        <v>104</v>
      </c>
      <c r="H68" s="25" t="s">
        <v>61</v>
      </c>
      <c r="I68" s="127"/>
      <c r="J68" s="150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14.25" customHeight="1">
      <c r="A69" s="23">
        <v>67</v>
      </c>
      <c r="B69" s="23" t="s">
        <v>478</v>
      </c>
      <c r="C69" s="23">
        <v>1</v>
      </c>
      <c r="D69" s="25">
        <v>16.600000000000001</v>
      </c>
      <c r="E69" s="25">
        <v>11.6</v>
      </c>
      <c r="F69" s="25" t="s">
        <v>118</v>
      </c>
      <c r="G69" s="29" t="s">
        <v>54</v>
      </c>
      <c r="H69" s="25" t="s">
        <v>61</v>
      </c>
      <c r="I69" s="127"/>
      <c r="J69" s="150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14.25" customHeight="1">
      <c r="A70" s="23">
        <v>68</v>
      </c>
      <c r="B70" s="23" t="s">
        <v>478</v>
      </c>
      <c r="C70" s="23">
        <v>2</v>
      </c>
      <c r="D70" s="25">
        <v>17</v>
      </c>
      <c r="E70" s="25" t="s">
        <v>61</v>
      </c>
      <c r="F70" s="25" t="s">
        <v>118</v>
      </c>
      <c r="G70" s="29" t="s">
        <v>54</v>
      </c>
      <c r="H70" s="25" t="s">
        <v>61</v>
      </c>
      <c r="I70" s="127"/>
      <c r="J70" s="150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14.25" customHeight="1">
      <c r="A71" s="23">
        <v>69</v>
      </c>
      <c r="B71" s="23" t="s">
        <v>478</v>
      </c>
      <c r="C71" s="23">
        <v>3</v>
      </c>
      <c r="D71" s="25">
        <v>13.2</v>
      </c>
      <c r="E71" s="25">
        <v>11.2</v>
      </c>
      <c r="F71" s="25" t="s">
        <v>118</v>
      </c>
      <c r="G71" s="29" t="s">
        <v>54</v>
      </c>
      <c r="H71" s="25" t="s">
        <v>61</v>
      </c>
      <c r="I71" s="127"/>
      <c r="J71" s="150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14.25" customHeight="1">
      <c r="A72" s="23">
        <v>70</v>
      </c>
      <c r="B72" s="23" t="s">
        <v>480</v>
      </c>
      <c r="C72" s="23">
        <v>1</v>
      </c>
      <c r="D72" s="25">
        <v>14.3</v>
      </c>
      <c r="E72" s="25">
        <v>10.1</v>
      </c>
      <c r="F72" s="25" t="s">
        <v>51</v>
      </c>
      <c r="G72" s="25"/>
      <c r="H72" s="25" t="s">
        <v>61</v>
      </c>
      <c r="I72" s="127"/>
      <c r="J72" s="150" t="s">
        <v>481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4.25" customHeight="1">
      <c r="A73" s="23">
        <v>71</v>
      </c>
      <c r="B73" s="23" t="s">
        <v>480</v>
      </c>
      <c r="C73" s="23">
        <v>2</v>
      </c>
      <c r="D73" s="25">
        <v>15.7</v>
      </c>
      <c r="E73" s="25" t="s">
        <v>61</v>
      </c>
      <c r="F73" s="25" t="s">
        <v>51</v>
      </c>
      <c r="G73" s="25"/>
      <c r="H73" s="25" t="s">
        <v>61</v>
      </c>
      <c r="I73" s="127"/>
      <c r="J73" s="150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4.25" customHeight="1">
      <c r="A74" s="23">
        <v>72</v>
      </c>
      <c r="B74" s="23" t="s">
        <v>480</v>
      </c>
      <c r="C74" s="23">
        <v>3</v>
      </c>
      <c r="D74" s="25">
        <v>11.5</v>
      </c>
      <c r="E74" s="25">
        <v>10.4</v>
      </c>
      <c r="F74" s="25" t="s">
        <v>36</v>
      </c>
      <c r="G74" s="41" t="s">
        <v>104</v>
      </c>
      <c r="H74" s="25" t="s">
        <v>61</v>
      </c>
      <c r="I74" s="127"/>
      <c r="J74" s="150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4.25" customHeight="1">
      <c r="A75" s="23">
        <v>73</v>
      </c>
      <c r="B75" s="23" t="s">
        <v>483</v>
      </c>
      <c r="C75" s="23">
        <v>1</v>
      </c>
      <c r="D75" s="25">
        <v>12.9</v>
      </c>
      <c r="E75" s="25">
        <v>10.4</v>
      </c>
      <c r="F75" s="25" t="s">
        <v>47</v>
      </c>
      <c r="G75" s="41" t="s">
        <v>104</v>
      </c>
      <c r="H75" s="25" t="s">
        <v>61</v>
      </c>
      <c r="I75" s="127"/>
      <c r="J75" s="150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4.25" customHeight="1">
      <c r="A76" s="23">
        <v>74</v>
      </c>
      <c r="B76" s="23" t="s">
        <v>483</v>
      </c>
      <c r="C76" s="23">
        <v>2</v>
      </c>
      <c r="D76" s="25">
        <v>15.7</v>
      </c>
      <c r="E76" s="25" t="s">
        <v>61</v>
      </c>
      <c r="F76" s="25" t="s">
        <v>112</v>
      </c>
      <c r="G76" s="41" t="s">
        <v>104</v>
      </c>
      <c r="H76" s="25" t="s">
        <v>61</v>
      </c>
      <c r="I76" s="127"/>
      <c r="J76" s="150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4.25" customHeight="1">
      <c r="A77" s="23">
        <v>75</v>
      </c>
      <c r="B77" s="23" t="s">
        <v>483</v>
      </c>
      <c r="C77" s="23">
        <v>3</v>
      </c>
      <c r="D77" s="25">
        <v>15.9</v>
      </c>
      <c r="E77" s="25">
        <v>10.8</v>
      </c>
      <c r="F77" s="25" t="s">
        <v>47</v>
      </c>
      <c r="G77" s="41" t="s">
        <v>104</v>
      </c>
      <c r="H77" s="25" t="s">
        <v>61</v>
      </c>
      <c r="I77" s="127"/>
      <c r="J77" s="150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4.25" customHeight="1">
      <c r="A78" s="23">
        <v>76</v>
      </c>
      <c r="B78" s="23" t="s">
        <v>490</v>
      </c>
      <c r="C78" s="23">
        <v>1</v>
      </c>
      <c r="D78" s="25">
        <v>16.5</v>
      </c>
      <c r="E78" s="25">
        <v>10.7</v>
      </c>
      <c r="F78" s="25" t="s">
        <v>89</v>
      </c>
      <c r="G78" s="41" t="s">
        <v>104</v>
      </c>
      <c r="H78" s="25" t="s">
        <v>61</v>
      </c>
      <c r="I78" s="127"/>
      <c r="J78" s="150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4.25" customHeight="1">
      <c r="A79" s="23">
        <v>77</v>
      </c>
      <c r="B79" s="23" t="s">
        <v>490</v>
      </c>
      <c r="C79" s="23">
        <v>2</v>
      </c>
      <c r="D79" s="25">
        <v>15.8</v>
      </c>
      <c r="E79" s="25" t="s">
        <v>61</v>
      </c>
      <c r="F79" s="25" t="s">
        <v>89</v>
      </c>
      <c r="G79" s="41" t="s">
        <v>104</v>
      </c>
      <c r="H79" s="25" t="s">
        <v>61</v>
      </c>
      <c r="I79" s="127"/>
      <c r="J79" s="150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4.25" customHeight="1">
      <c r="A80" s="23">
        <v>78</v>
      </c>
      <c r="B80" s="23" t="s">
        <v>490</v>
      </c>
      <c r="C80" s="23">
        <v>3</v>
      </c>
      <c r="D80" s="25">
        <v>12.6</v>
      </c>
      <c r="E80" s="25">
        <v>10.5</v>
      </c>
      <c r="F80" s="25" t="s">
        <v>89</v>
      </c>
      <c r="G80" s="41" t="s">
        <v>104</v>
      </c>
      <c r="H80" s="25" t="s">
        <v>61</v>
      </c>
      <c r="I80" s="127"/>
      <c r="J80" s="150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14.25" customHeight="1">
      <c r="A81" s="23">
        <v>79</v>
      </c>
      <c r="B81" s="23" t="s">
        <v>492</v>
      </c>
      <c r="C81" s="23">
        <v>1</v>
      </c>
      <c r="D81" s="25">
        <v>15.2</v>
      </c>
      <c r="E81" s="25">
        <v>10.3</v>
      </c>
      <c r="F81" s="25" t="s">
        <v>118</v>
      </c>
      <c r="G81" s="29" t="s">
        <v>54</v>
      </c>
      <c r="H81" s="25" t="s">
        <v>61</v>
      </c>
      <c r="I81" s="127"/>
      <c r="J81" s="150" t="s">
        <v>494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14.25" customHeight="1">
      <c r="A82" s="23">
        <v>80</v>
      </c>
      <c r="B82" s="23" t="s">
        <v>492</v>
      </c>
      <c r="C82" s="23">
        <v>2</v>
      </c>
      <c r="D82" s="25">
        <v>16.399999999999999</v>
      </c>
      <c r="E82" s="25" t="s">
        <v>61</v>
      </c>
      <c r="F82" s="25" t="s">
        <v>112</v>
      </c>
      <c r="G82" s="41" t="s">
        <v>104</v>
      </c>
      <c r="H82" s="25" t="s">
        <v>61</v>
      </c>
      <c r="I82" s="127"/>
      <c r="J82" s="150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14.25" customHeight="1">
      <c r="A83" s="23">
        <v>81</v>
      </c>
      <c r="B83" s="23" t="s">
        <v>492</v>
      </c>
      <c r="C83" s="23">
        <v>3</v>
      </c>
      <c r="D83" s="25">
        <v>14.4</v>
      </c>
      <c r="E83" s="25">
        <v>10.1</v>
      </c>
      <c r="F83" s="25" t="s">
        <v>112</v>
      </c>
      <c r="G83" s="41" t="s">
        <v>104</v>
      </c>
      <c r="H83" s="25" t="s">
        <v>61</v>
      </c>
      <c r="I83" s="127"/>
      <c r="J83" s="150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14.25" customHeight="1">
      <c r="A84" s="23">
        <v>82</v>
      </c>
      <c r="B84" s="23" t="s">
        <v>495</v>
      </c>
      <c r="C84" s="23">
        <v>1</v>
      </c>
      <c r="D84" s="25">
        <v>16.8</v>
      </c>
      <c r="E84" s="25">
        <v>10.8</v>
      </c>
      <c r="F84" s="25" t="s">
        <v>150</v>
      </c>
      <c r="G84" s="41" t="s">
        <v>104</v>
      </c>
      <c r="H84" s="25" t="s">
        <v>61</v>
      </c>
      <c r="I84" s="127"/>
      <c r="J84" s="150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14.25" customHeight="1">
      <c r="A85" s="23">
        <v>83</v>
      </c>
      <c r="B85" s="23" t="s">
        <v>495</v>
      </c>
      <c r="C85" s="23">
        <v>2</v>
      </c>
      <c r="D85" s="25">
        <v>16.3</v>
      </c>
      <c r="E85" s="25" t="s">
        <v>61</v>
      </c>
      <c r="F85" s="25" t="s">
        <v>150</v>
      </c>
      <c r="G85" s="41" t="s">
        <v>104</v>
      </c>
      <c r="H85" s="25" t="s">
        <v>61</v>
      </c>
      <c r="I85" s="127"/>
      <c r="J85" s="150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4.25" customHeight="1">
      <c r="A86" s="23">
        <v>84</v>
      </c>
      <c r="B86" s="23" t="s">
        <v>495</v>
      </c>
      <c r="C86" s="23">
        <v>3</v>
      </c>
      <c r="D86" s="25">
        <v>12.5</v>
      </c>
      <c r="E86" s="25">
        <v>11.2</v>
      </c>
      <c r="F86" s="25" t="s">
        <v>36</v>
      </c>
      <c r="G86" s="25"/>
      <c r="H86" s="25" t="s">
        <v>61</v>
      </c>
      <c r="I86" s="127"/>
      <c r="J86" s="150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14.25" customHeight="1">
      <c r="A87" s="23">
        <v>85</v>
      </c>
      <c r="B87" s="23" t="s">
        <v>499</v>
      </c>
      <c r="C87" s="23">
        <v>1</v>
      </c>
      <c r="D87" s="25">
        <v>16.3</v>
      </c>
      <c r="E87" s="25">
        <v>10.4</v>
      </c>
      <c r="F87" s="25" t="s">
        <v>77</v>
      </c>
      <c r="G87" s="29" t="s">
        <v>54</v>
      </c>
      <c r="H87" s="25" t="s">
        <v>61</v>
      </c>
      <c r="I87" s="127"/>
      <c r="J87" s="150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14.25" customHeight="1">
      <c r="A88" s="23">
        <v>86</v>
      </c>
      <c r="B88" s="23" t="s">
        <v>499</v>
      </c>
      <c r="C88" s="23">
        <v>2</v>
      </c>
      <c r="D88" s="25">
        <v>16.2</v>
      </c>
      <c r="E88" s="25" t="s">
        <v>61</v>
      </c>
      <c r="F88" s="25" t="s">
        <v>77</v>
      </c>
      <c r="G88" s="29" t="s">
        <v>54</v>
      </c>
      <c r="H88" s="25" t="s">
        <v>61</v>
      </c>
      <c r="I88" s="127"/>
      <c r="J88" s="150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14.25" customHeight="1">
      <c r="A89" s="23">
        <v>87</v>
      </c>
      <c r="B89" s="23" t="s">
        <v>499</v>
      </c>
      <c r="C89" s="23">
        <v>3</v>
      </c>
      <c r="D89" s="25">
        <v>13.6</v>
      </c>
      <c r="E89" s="25">
        <v>10.4</v>
      </c>
      <c r="F89" s="25" t="s">
        <v>79</v>
      </c>
      <c r="G89" s="41" t="s">
        <v>104</v>
      </c>
      <c r="H89" s="25" t="s">
        <v>61</v>
      </c>
      <c r="I89" s="127"/>
      <c r="J89" s="150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14.25" customHeight="1">
      <c r="A90" s="23">
        <v>88</v>
      </c>
      <c r="B90" s="23" t="s">
        <v>501</v>
      </c>
      <c r="C90" s="23">
        <v>1</v>
      </c>
      <c r="D90" s="25">
        <v>17.3</v>
      </c>
      <c r="E90" s="25">
        <v>11.8</v>
      </c>
      <c r="F90" s="25" t="s">
        <v>150</v>
      </c>
      <c r="G90" s="41" t="s">
        <v>104</v>
      </c>
      <c r="H90" s="25" t="s">
        <v>61</v>
      </c>
      <c r="I90" s="127"/>
      <c r="J90" s="150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14.25" customHeight="1">
      <c r="A91" s="23">
        <v>89</v>
      </c>
      <c r="B91" s="23" t="s">
        <v>501</v>
      </c>
      <c r="C91" s="23">
        <v>2</v>
      </c>
      <c r="D91" s="25">
        <v>17.2</v>
      </c>
      <c r="E91" s="25" t="s">
        <v>61</v>
      </c>
      <c r="F91" s="25" t="s">
        <v>150</v>
      </c>
      <c r="G91" s="41" t="s">
        <v>104</v>
      </c>
      <c r="H91" s="25" t="s">
        <v>61</v>
      </c>
      <c r="I91" s="127"/>
      <c r="J91" s="150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14.25" customHeight="1">
      <c r="A92" s="23">
        <v>90</v>
      </c>
      <c r="B92" s="23" t="s">
        <v>501</v>
      </c>
      <c r="C92" s="23">
        <v>3</v>
      </c>
      <c r="D92" s="25">
        <v>13.3</v>
      </c>
      <c r="E92" s="25">
        <v>11.3</v>
      </c>
      <c r="F92" s="25" t="s">
        <v>150</v>
      </c>
      <c r="G92" s="41" t="s">
        <v>104</v>
      </c>
      <c r="H92" s="25" t="s">
        <v>61</v>
      </c>
      <c r="I92" s="127"/>
      <c r="J92" s="150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14.25" customHeight="1">
      <c r="A93" s="23">
        <v>91</v>
      </c>
      <c r="B93" s="23" t="s">
        <v>505</v>
      </c>
      <c r="C93" s="23">
        <v>1</v>
      </c>
      <c r="D93" s="25">
        <v>16.3</v>
      </c>
      <c r="E93" s="25">
        <v>10.4</v>
      </c>
      <c r="F93" s="25" t="s">
        <v>77</v>
      </c>
      <c r="G93" s="29" t="s">
        <v>54</v>
      </c>
      <c r="H93" s="25" t="s">
        <v>61</v>
      </c>
      <c r="I93" s="127"/>
      <c r="J93" s="150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14.25" customHeight="1">
      <c r="A94" s="23">
        <v>92</v>
      </c>
      <c r="B94" s="23" t="s">
        <v>505</v>
      </c>
      <c r="C94" s="23">
        <v>2</v>
      </c>
      <c r="D94" s="25">
        <v>16.5</v>
      </c>
      <c r="E94" s="25" t="s">
        <v>61</v>
      </c>
      <c r="F94" s="25" t="s">
        <v>77</v>
      </c>
      <c r="G94" s="29" t="s">
        <v>54</v>
      </c>
      <c r="H94" s="25" t="s">
        <v>61</v>
      </c>
      <c r="I94" s="127"/>
      <c r="J94" s="150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14.25" customHeight="1">
      <c r="A95" s="23">
        <v>93</v>
      </c>
      <c r="B95" s="23" t="s">
        <v>505</v>
      </c>
      <c r="C95" s="23">
        <v>3</v>
      </c>
      <c r="D95" s="25">
        <v>13.1</v>
      </c>
      <c r="E95" s="25">
        <v>11</v>
      </c>
      <c r="F95" s="25" t="s">
        <v>77</v>
      </c>
      <c r="G95" s="29" t="s">
        <v>54</v>
      </c>
      <c r="H95" s="25" t="s">
        <v>61</v>
      </c>
      <c r="I95" s="127"/>
      <c r="J95" s="150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14.25" customHeight="1">
      <c r="A96" s="23">
        <v>94</v>
      </c>
      <c r="B96" s="23" t="s">
        <v>507</v>
      </c>
      <c r="C96" s="23">
        <v>1</v>
      </c>
      <c r="D96" s="25">
        <v>16.399999999999999</v>
      </c>
      <c r="E96" s="25">
        <v>10.1</v>
      </c>
      <c r="F96" s="25" t="s">
        <v>150</v>
      </c>
      <c r="G96" s="41" t="s">
        <v>104</v>
      </c>
      <c r="H96" s="25" t="s">
        <v>61</v>
      </c>
      <c r="I96" s="127"/>
      <c r="J96" s="150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14.25" customHeight="1">
      <c r="A97" s="23">
        <v>95</v>
      </c>
      <c r="B97" s="23" t="s">
        <v>507</v>
      </c>
      <c r="C97" s="23">
        <v>2</v>
      </c>
      <c r="D97" s="25">
        <v>17.399999999999999</v>
      </c>
      <c r="E97" s="25" t="s">
        <v>61</v>
      </c>
      <c r="F97" s="25" t="s">
        <v>79</v>
      </c>
      <c r="G97" s="25"/>
      <c r="H97" s="25" t="s">
        <v>61</v>
      </c>
      <c r="I97" s="127"/>
      <c r="J97" s="150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14.25" customHeight="1">
      <c r="A98" s="23">
        <v>96</v>
      </c>
      <c r="B98" s="23" t="s">
        <v>507</v>
      </c>
      <c r="C98" s="23">
        <v>3</v>
      </c>
      <c r="D98" s="25">
        <v>12.7</v>
      </c>
      <c r="E98" s="25">
        <v>9.9</v>
      </c>
      <c r="F98" s="25" t="s">
        <v>47</v>
      </c>
      <c r="G98" s="41" t="s">
        <v>104</v>
      </c>
      <c r="H98" s="25" t="s">
        <v>61</v>
      </c>
      <c r="I98" s="127"/>
      <c r="J98" s="150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14.25" customHeight="1">
      <c r="A99" s="23">
        <v>97</v>
      </c>
      <c r="B99" s="23" t="s">
        <v>510</v>
      </c>
      <c r="C99" s="23">
        <v>1</v>
      </c>
      <c r="D99" s="25">
        <v>16.5</v>
      </c>
      <c r="E99" s="25">
        <v>10.7</v>
      </c>
      <c r="F99" s="25" t="s">
        <v>150</v>
      </c>
      <c r="G99" s="41" t="s">
        <v>104</v>
      </c>
      <c r="H99" s="25" t="s">
        <v>61</v>
      </c>
      <c r="I99" s="127"/>
      <c r="J99" s="150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14.25" customHeight="1">
      <c r="A100" s="23">
        <v>98</v>
      </c>
      <c r="B100" s="23" t="s">
        <v>510</v>
      </c>
      <c r="C100" s="23">
        <v>2</v>
      </c>
      <c r="D100" s="25">
        <v>16.100000000000001</v>
      </c>
      <c r="E100" s="25" t="s">
        <v>61</v>
      </c>
      <c r="F100" s="25" t="s">
        <v>150</v>
      </c>
      <c r="G100" s="41" t="s">
        <v>104</v>
      </c>
      <c r="H100" s="25" t="s">
        <v>61</v>
      </c>
      <c r="I100" s="127"/>
      <c r="J100" s="150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14.25" customHeight="1">
      <c r="A101" s="23">
        <v>99</v>
      </c>
      <c r="B101" s="23" t="s">
        <v>510</v>
      </c>
      <c r="C101" s="23">
        <v>3</v>
      </c>
      <c r="D101" s="25">
        <v>13.2</v>
      </c>
      <c r="E101" s="25">
        <v>10.8</v>
      </c>
      <c r="F101" s="25" t="s">
        <v>150</v>
      </c>
      <c r="G101" s="41" t="s">
        <v>104</v>
      </c>
      <c r="H101" s="25" t="s">
        <v>61</v>
      </c>
      <c r="I101" s="127"/>
      <c r="J101" s="150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14.25" customHeight="1">
      <c r="A102" s="23">
        <v>100</v>
      </c>
      <c r="B102" s="23" t="s">
        <v>512</v>
      </c>
      <c r="C102" s="23">
        <v>1</v>
      </c>
      <c r="D102" s="25">
        <v>15.9</v>
      </c>
      <c r="E102" s="25">
        <v>10.8</v>
      </c>
      <c r="F102" s="25" t="s">
        <v>118</v>
      </c>
      <c r="G102" s="29" t="s">
        <v>54</v>
      </c>
      <c r="H102" s="25" t="s">
        <v>61</v>
      </c>
      <c r="I102" s="127"/>
      <c r="J102" s="150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14.25" customHeight="1">
      <c r="A103" s="23">
        <v>101</v>
      </c>
      <c r="B103" s="23" t="s">
        <v>512</v>
      </c>
      <c r="C103" s="23">
        <v>2</v>
      </c>
      <c r="D103" s="25">
        <v>16.100000000000001</v>
      </c>
      <c r="E103" s="25" t="s">
        <v>61</v>
      </c>
      <c r="F103" s="25" t="s">
        <v>118</v>
      </c>
      <c r="G103" s="29" t="s">
        <v>54</v>
      </c>
      <c r="H103" s="25" t="s">
        <v>61</v>
      </c>
      <c r="I103" s="127"/>
      <c r="J103" s="150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14.25" customHeight="1">
      <c r="A104" s="23">
        <v>102</v>
      </c>
      <c r="B104" s="23" t="s">
        <v>512</v>
      </c>
      <c r="C104" s="23">
        <v>3</v>
      </c>
      <c r="D104" s="25">
        <v>12.5</v>
      </c>
      <c r="E104" s="25">
        <v>9.8000000000000007</v>
      </c>
      <c r="F104" s="25" t="s">
        <v>118</v>
      </c>
      <c r="G104" s="29" t="s">
        <v>54</v>
      </c>
      <c r="H104" s="25" t="s">
        <v>61</v>
      </c>
      <c r="I104" s="127"/>
      <c r="J104" s="150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14.25" customHeight="1">
      <c r="A105" s="23">
        <v>103</v>
      </c>
      <c r="B105" s="23" t="s">
        <v>515</v>
      </c>
      <c r="C105" s="23">
        <v>1</v>
      </c>
      <c r="D105" s="25">
        <v>15.8</v>
      </c>
      <c r="E105" s="25">
        <v>10.9</v>
      </c>
      <c r="F105" s="25" t="s">
        <v>124</v>
      </c>
      <c r="G105" s="26" t="s">
        <v>104</v>
      </c>
      <c r="H105" s="25" t="s">
        <v>61</v>
      </c>
      <c r="I105" s="127"/>
      <c r="J105" s="150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14.25" customHeight="1">
      <c r="A106" s="23">
        <v>104</v>
      </c>
      <c r="B106" s="23" t="s">
        <v>515</v>
      </c>
      <c r="C106" s="23">
        <v>2</v>
      </c>
      <c r="D106" s="25">
        <v>16.399999999999999</v>
      </c>
      <c r="E106" s="25" t="s">
        <v>61</v>
      </c>
      <c r="F106" s="41" t="s">
        <v>47</v>
      </c>
      <c r="G106" s="26" t="s">
        <v>104</v>
      </c>
      <c r="H106" s="25" t="s">
        <v>61</v>
      </c>
      <c r="I106" s="122" t="s">
        <v>180</v>
      </c>
      <c r="J106" s="150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14.25" customHeight="1">
      <c r="A107" s="23">
        <v>105</v>
      </c>
      <c r="B107" s="23" t="s">
        <v>515</v>
      </c>
      <c r="C107" s="23">
        <v>3</v>
      </c>
      <c r="D107" s="25">
        <v>12.6</v>
      </c>
      <c r="E107" s="25">
        <v>11</v>
      </c>
      <c r="F107" s="41" t="s">
        <v>47</v>
      </c>
      <c r="G107" s="26" t="s">
        <v>104</v>
      </c>
      <c r="H107" s="25" t="s">
        <v>61</v>
      </c>
      <c r="I107" s="122" t="s">
        <v>180</v>
      </c>
      <c r="J107" s="150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14.25" customHeight="1">
      <c r="A108" s="23">
        <v>106</v>
      </c>
      <c r="B108" s="23" t="s">
        <v>517</v>
      </c>
      <c r="C108" s="23">
        <v>1</v>
      </c>
      <c r="D108" s="25">
        <v>16.5</v>
      </c>
      <c r="E108" s="25">
        <v>10.8</v>
      </c>
      <c r="F108" s="25" t="s">
        <v>36</v>
      </c>
      <c r="G108" s="26" t="s">
        <v>104</v>
      </c>
      <c r="H108" s="25" t="s">
        <v>61</v>
      </c>
      <c r="I108" s="127"/>
      <c r="J108" s="150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14.25" customHeight="1">
      <c r="A109" s="23">
        <v>107</v>
      </c>
      <c r="B109" s="23" t="s">
        <v>517</v>
      </c>
      <c r="C109" s="23">
        <v>2</v>
      </c>
      <c r="D109" s="25">
        <v>17.2</v>
      </c>
      <c r="E109" s="25" t="s">
        <v>61</v>
      </c>
      <c r="F109" s="25" t="s">
        <v>36</v>
      </c>
      <c r="G109" s="26" t="s">
        <v>104</v>
      </c>
      <c r="H109" s="25" t="s">
        <v>61</v>
      </c>
      <c r="I109" s="127"/>
      <c r="J109" s="150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ht="14.25" customHeight="1">
      <c r="A110" s="23">
        <v>108</v>
      </c>
      <c r="B110" s="23" t="s">
        <v>517</v>
      </c>
      <c r="C110" s="23">
        <v>3</v>
      </c>
      <c r="D110" s="25">
        <v>12.7</v>
      </c>
      <c r="E110" s="25">
        <v>11</v>
      </c>
      <c r="F110" s="25" t="s">
        <v>36</v>
      </c>
      <c r="G110" s="26" t="s">
        <v>104</v>
      </c>
      <c r="H110" s="25" t="s">
        <v>61</v>
      </c>
      <c r="I110" s="127"/>
      <c r="J110" s="150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14.25" customHeight="1">
      <c r="A111" s="23">
        <v>109</v>
      </c>
      <c r="B111" s="23" t="s">
        <v>519</v>
      </c>
      <c r="C111" s="23">
        <v>1</v>
      </c>
      <c r="D111" s="25">
        <v>16.8</v>
      </c>
      <c r="E111" s="25">
        <v>10.8</v>
      </c>
      <c r="F111" s="25" t="s">
        <v>36</v>
      </c>
      <c r="G111" s="26" t="s">
        <v>104</v>
      </c>
      <c r="H111" s="25" t="s">
        <v>61</v>
      </c>
      <c r="I111" s="127"/>
      <c r="J111" s="150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14.25" customHeight="1">
      <c r="A112" s="23">
        <v>110</v>
      </c>
      <c r="B112" s="23" t="s">
        <v>519</v>
      </c>
      <c r="C112" s="23">
        <v>2</v>
      </c>
      <c r="D112" s="25">
        <v>16.8</v>
      </c>
      <c r="E112" s="25" t="s">
        <v>61</v>
      </c>
      <c r="F112" s="25" t="s">
        <v>12</v>
      </c>
      <c r="G112" s="25"/>
      <c r="H112" s="25" t="s">
        <v>61</v>
      </c>
      <c r="I112" s="127"/>
      <c r="J112" s="150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4.25" customHeight="1">
      <c r="A113" s="23">
        <v>111</v>
      </c>
      <c r="B113" s="23" t="s">
        <v>519</v>
      </c>
      <c r="C113" s="23">
        <v>3</v>
      </c>
      <c r="D113" s="25">
        <v>12.9</v>
      </c>
      <c r="E113" s="25">
        <v>10.3</v>
      </c>
      <c r="F113" s="25" t="s">
        <v>62</v>
      </c>
      <c r="G113" s="29" t="s">
        <v>54</v>
      </c>
      <c r="H113" s="25" t="s">
        <v>61</v>
      </c>
      <c r="I113" s="127"/>
      <c r="J113" s="150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4.25" customHeight="1">
      <c r="A114" s="126">
        <v>112</v>
      </c>
      <c r="B114" s="126" t="s">
        <v>522</v>
      </c>
      <c r="C114" s="126">
        <v>1</v>
      </c>
      <c r="D114" s="129">
        <v>17</v>
      </c>
      <c r="E114" s="129">
        <v>10.4</v>
      </c>
      <c r="F114" s="129" t="s">
        <v>77</v>
      </c>
      <c r="G114" s="29" t="s">
        <v>54</v>
      </c>
      <c r="H114" s="25"/>
      <c r="I114" s="127"/>
      <c r="J114" s="150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4.25" customHeight="1">
      <c r="A115" s="126">
        <v>113</v>
      </c>
      <c r="B115" s="126" t="s">
        <v>522</v>
      </c>
      <c r="C115" s="126">
        <v>2</v>
      </c>
      <c r="D115" s="129">
        <v>17.100000000000001</v>
      </c>
      <c r="E115" s="129" t="s">
        <v>61</v>
      </c>
      <c r="F115" s="129" t="s">
        <v>55</v>
      </c>
      <c r="G115" s="41" t="s">
        <v>104</v>
      </c>
      <c r="H115" s="25"/>
      <c r="I115" s="127"/>
      <c r="J115" s="150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4.25" customHeight="1">
      <c r="A116" s="126">
        <v>114</v>
      </c>
      <c r="B116" s="126" t="s">
        <v>522</v>
      </c>
      <c r="C116" s="126">
        <v>3</v>
      </c>
      <c r="D116" s="129">
        <v>12.7</v>
      </c>
      <c r="E116" s="129">
        <v>10.7</v>
      </c>
      <c r="F116" s="129" t="s">
        <v>77</v>
      </c>
      <c r="G116" s="29" t="s">
        <v>54</v>
      </c>
      <c r="H116" s="25"/>
      <c r="I116" s="127"/>
      <c r="J116" s="150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4.25" customHeight="1">
      <c r="A117" s="126">
        <v>115</v>
      </c>
      <c r="B117" s="126" t="s">
        <v>525</v>
      </c>
      <c r="C117" s="126">
        <v>1</v>
      </c>
      <c r="D117" s="129">
        <v>15.5</v>
      </c>
      <c r="E117" s="129">
        <v>10.7</v>
      </c>
      <c r="F117" s="129" t="s">
        <v>62</v>
      </c>
      <c r="G117" s="29" t="s">
        <v>54</v>
      </c>
      <c r="H117" s="25" t="s">
        <v>61</v>
      </c>
      <c r="I117" s="127"/>
      <c r="J117" s="150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4.25" customHeight="1">
      <c r="A118" s="23">
        <v>116</v>
      </c>
      <c r="B118" s="23" t="s">
        <v>525</v>
      </c>
      <c r="C118" s="23">
        <v>2</v>
      </c>
      <c r="D118" s="25">
        <v>16.8</v>
      </c>
      <c r="E118" s="25" t="s">
        <v>61</v>
      </c>
      <c r="F118" s="25" t="s">
        <v>36</v>
      </c>
      <c r="G118" s="41" t="s">
        <v>104</v>
      </c>
      <c r="H118" s="25" t="s">
        <v>61</v>
      </c>
      <c r="I118" s="127"/>
      <c r="J118" s="150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4.25" customHeight="1">
      <c r="A119" s="23">
        <v>117</v>
      </c>
      <c r="B119" s="23" t="s">
        <v>525</v>
      </c>
      <c r="C119" s="23">
        <v>3</v>
      </c>
      <c r="D119" s="25">
        <v>12.8</v>
      </c>
      <c r="E119" s="25">
        <v>10.8</v>
      </c>
      <c r="F119" s="25" t="s">
        <v>79</v>
      </c>
      <c r="G119" s="41" t="s">
        <v>104</v>
      </c>
      <c r="H119" s="25" t="s">
        <v>61</v>
      </c>
      <c r="I119" s="127"/>
      <c r="J119" s="150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14.25" customHeight="1">
      <c r="A120" s="23">
        <v>118</v>
      </c>
      <c r="B120" s="23" t="s">
        <v>528</v>
      </c>
      <c r="C120" s="23">
        <v>1</v>
      </c>
      <c r="D120" s="25">
        <v>16.3</v>
      </c>
      <c r="E120" s="25">
        <v>10.3</v>
      </c>
      <c r="F120" s="25" t="s">
        <v>88</v>
      </c>
      <c r="G120" s="111" t="s">
        <v>104</v>
      </c>
      <c r="H120" s="25" t="s">
        <v>61</v>
      </c>
      <c r="I120" s="127"/>
      <c r="J120" s="150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14.25" customHeight="1">
      <c r="A121" s="23">
        <v>119</v>
      </c>
      <c r="B121" s="23" t="s">
        <v>528</v>
      </c>
      <c r="C121" s="23">
        <v>2</v>
      </c>
      <c r="D121" s="25">
        <v>15.2</v>
      </c>
      <c r="E121" s="25" t="s">
        <v>61</v>
      </c>
      <c r="F121" s="25" t="s">
        <v>88</v>
      </c>
      <c r="G121" s="111" t="s">
        <v>104</v>
      </c>
      <c r="H121" s="25" t="s">
        <v>61</v>
      </c>
      <c r="I121" s="127"/>
      <c r="J121" s="150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14.25" customHeight="1">
      <c r="A122" s="23">
        <v>120</v>
      </c>
      <c r="B122" s="23" t="s">
        <v>528</v>
      </c>
      <c r="C122" s="23">
        <v>3</v>
      </c>
      <c r="D122" s="25">
        <v>13.4</v>
      </c>
      <c r="E122" s="25">
        <v>10.5</v>
      </c>
      <c r="F122" s="25" t="s">
        <v>62</v>
      </c>
      <c r="G122" s="29" t="s">
        <v>54</v>
      </c>
      <c r="H122" s="25" t="s">
        <v>61</v>
      </c>
      <c r="I122" s="127"/>
      <c r="J122" s="150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14.25" customHeight="1">
      <c r="A123" s="23">
        <v>121</v>
      </c>
      <c r="B123" s="23" t="s">
        <v>531</v>
      </c>
      <c r="C123" s="23">
        <v>1</v>
      </c>
      <c r="D123" s="25">
        <v>15.6</v>
      </c>
      <c r="E123" s="25">
        <v>10.7</v>
      </c>
      <c r="F123" s="25" t="s">
        <v>89</v>
      </c>
      <c r="G123" s="41" t="s">
        <v>104</v>
      </c>
      <c r="H123" s="25" t="s">
        <v>61</v>
      </c>
      <c r="I123" s="127"/>
      <c r="J123" s="150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14.25" customHeight="1">
      <c r="A124" s="23">
        <v>122</v>
      </c>
      <c r="B124" s="23" t="s">
        <v>531</v>
      </c>
      <c r="C124" s="23">
        <v>2</v>
      </c>
      <c r="D124" s="25">
        <v>16.399999999999999</v>
      </c>
      <c r="E124" s="25" t="s">
        <v>61</v>
      </c>
      <c r="F124" s="25" t="s">
        <v>89</v>
      </c>
      <c r="G124" s="41" t="s">
        <v>104</v>
      </c>
      <c r="H124" s="25" t="s">
        <v>61</v>
      </c>
      <c r="I124" s="127"/>
      <c r="J124" s="150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4.25" customHeight="1">
      <c r="A125" s="23">
        <v>123</v>
      </c>
      <c r="B125" s="23" t="s">
        <v>531</v>
      </c>
      <c r="C125" s="23">
        <v>3</v>
      </c>
      <c r="D125" s="25">
        <v>12.1</v>
      </c>
      <c r="E125" s="25">
        <v>10.7</v>
      </c>
      <c r="F125" s="25" t="s">
        <v>89</v>
      </c>
      <c r="G125" s="41" t="s">
        <v>104</v>
      </c>
      <c r="H125" s="25" t="s">
        <v>61</v>
      </c>
      <c r="I125" s="127"/>
      <c r="J125" s="150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4.25" customHeight="1">
      <c r="A126" s="23">
        <v>124</v>
      </c>
      <c r="B126" s="23" t="s">
        <v>532</v>
      </c>
      <c r="C126" s="23">
        <v>1</v>
      </c>
      <c r="D126" s="25">
        <v>17.399999999999999</v>
      </c>
      <c r="E126" s="25">
        <v>11</v>
      </c>
      <c r="F126" s="25" t="s">
        <v>88</v>
      </c>
      <c r="G126" s="111" t="s">
        <v>104</v>
      </c>
      <c r="H126" s="25" t="s">
        <v>61</v>
      </c>
      <c r="I126" s="127"/>
      <c r="J126" s="150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14.25" customHeight="1">
      <c r="A127" s="23">
        <v>125</v>
      </c>
      <c r="B127" s="23" t="s">
        <v>532</v>
      </c>
      <c r="C127" s="23">
        <v>2</v>
      </c>
      <c r="D127" s="25">
        <v>17.600000000000001</v>
      </c>
      <c r="E127" s="25" t="s">
        <v>61</v>
      </c>
      <c r="F127" s="25" t="s">
        <v>88</v>
      </c>
      <c r="G127" s="111" t="s">
        <v>104</v>
      </c>
      <c r="H127" s="25" t="s">
        <v>61</v>
      </c>
      <c r="I127" s="127"/>
      <c r="J127" s="150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ht="14.25" customHeight="1">
      <c r="A128" s="23">
        <v>126</v>
      </c>
      <c r="B128" s="23" t="s">
        <v>532</v>
      </c>
      <c r="C128" s="23">
        <v>3</v>
      </c>
      <c r="D128" s="25">
        <v>12.3</v>
      </c>
      <c r="E128" s="25">
        <v>10.8</v>
      </c>
      <c r="F128" s="25" t="s">
        <v>62</v>
      </c>
      <c r="G128" s="29" t="s">
        <v>54</v>
      </c>
      <c r="H128" s="25" t="s">
        <v>61</v>
      </c>
      <c r="I128" s="127"/>
      <c r="J128" s="150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14.25" customHeight="1">
      <c r="A129" s="23">
        <v>127</v>
      </c>
      <c r="B129" s="23" t="s">
        <v>535</v>
      </c>
      <c r="C129" s="23">
        <v>1</v>
      </c>
      <c r="D129" s="25">
        <v>17.5</v>
      </c>
      <c r="E129" s="25">
        <v>11.4</v>
      </c>
      <c r="F129" s="25" t="s">
        <v>12</v>
      </c>
      <c r="G129" s="25"/>
      <c r="H129" s="25" t="s">
        <v>61</v>
      </c>
      <c r="I129" s="127"/>
      <c r="J129" s="150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ht="14.25" customHeight="1">
      <c r="A130" s="23">
        <v>128</v>
      </c>
      <c r="B130" s="23" t="s">
        <v>535</v>
      </c>
      <c r="C130" s="23">
        <v>2</v>
      </c>
      <c r="D130" s="25">
        <v>17.399999999999999</v>
      </c>
      <c r="E130" s="25" t="s">
        <v>61</v>
      </c>
      <c r="F130" s="25" t="s">
        <v>47</v>
      </c>
      <c r="G130" s="41" t="s">
        <v>104</v>
      </c>
      <c r="H130" s="25" t="s">
        <v>61</v>
      </c>
      <c r="I130" s="127"/>
      <c r="J130" s="150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ht="14.25" customHeight="1">
      <c r="A131" s="23">
        <v>129</v>
      </c>
      <c r="B131" s="23" t="s">
        <v>535</v>
      </c>
      <c r="C131" s="23">
        <v>3</v>
      </c>
      <c r="D131" s="25">
        <v>13</v>
      </c>
      <c r="E131" s="25">
        <v>11.1</v>
      </c>
      <c r="F131" s="25" t="s">
        <v>47</v>
      </c>
      <c r="G131" s="41" t="s">
        <v>104</v>
      </c>
      <c r="H131" s="25" t="s">
        <v>61</v>
      </c>
      <c r="I131" s="127"/>
      <c r="J131" s="150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ht="14.25" customHeight="1">
      <c r="A132" s="23">
        <v>130</v>
      </c>
      <c r="B132" s="23" t="s">
        <v>538</v>
      </c>
      <c r="C132" s="23">
        <v>1</v>
      </c>
      <c r="D132" s="25">
        <v>16.8</v>
      </c>
      <c r="E132" s="25">
        <v>10.7</v>
      </c>
      <c r="F132" s="25" t="s">
        <v>47</v>
      </c>
      <c r="G132" s="41" t="s">
        <v>104</v>
      </c>
      <c r="H132" s="25" t="s">
        <v>61</v>
      </c>
      <c r="I132" s="127"/>
      <c r="J132" s="150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ht="14.25" customHeight="1">
      <c r="A133" s="23">
        <v>131</v>
      </c>
      <c r="B133" s="23" t="s">
        <v>538</v>
      </c>
      <c r="C133" s="23">
        <v>2</v>
      </c>
      <c r="D133" s="25">
        <v>16.5</v>
      </c>
      <c r="E133" s="25" t="s">
        <v>61</v>
      </c>
      <c r="F133" s="25" t="s">
        <v>47</v>
      </c>
      <c r="G133" s="41" t="s">
        <v>104</v>
      </c>
      <c r="H133" s="25" t="s">
        <v>61</v>
      </c>
      <c r="I133" s="127"/>
      <c r="J133" s="150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ht="14.25" customHeight="1">
      <c r="A134" s="23">
        <v>132</v>
      </c>
      <c r="B134" s="23" t="s">
        <v>538</v>
      </c>
      <c r="C134" s="23">
        <v>3</v>
      </c>
      <c r="D134" s="25">
        <v>12.6</v>
      </c>
      <c r="E134" s="25">
        <v>10.6</v>
      </c>
      <c r="F134" s="25" t="s">
        <v>47</v>
      </c>
      <c r="G134" s="41" t="s">
        <v>104</v>
      </c>
      <c r="H134" s="25" t="s">
        <v>61</v>
      </c>
      <c r="I134" s="127"/>
      <c r="J134" s="150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ht="14.25" customHeight="1">
      <c r="A135" s="23">
        <v>133</v>
      </c>
      <c r="B135" s="23" t="s">
        <v>540</v>
      </c>
      <c r="C135" s="23">
        <v>1</v>
      </c>
      <c r="D135" s="25">
        <v>16.3</v>
      </c>
      <c r="E135" s="25">
        <v>10.3</v>
      </c>
      <c r="F135" s="25" t="s">
        <v>124</v>
      </c>
      <c r="G135" s="26" t="s">
        <v>104</v>
      </c>
      <c r="H135" s="25" t="s">
        <v>61</v>
      </c>
      <c r="I135" s="127"/>
      <c r="J135" s="150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ht="14.25" customHeight="1">
      <c r="A136" s="23">
        <v>134</v>
      </c>
      <c r="B136" s="23" t="s">
        <v>540</v>
      </c>
      <c r="C136" s="23">
        <v>2</v>
      </c>
      <c r="D136" s="25">
        <v>15.9</v>
      </c>
      <c r="E136" s="25" t="s">
        <v>61</v>
      </c>
      <c r="F136" s="25" t="s">
        <v>79</v>
      </c>
      <c r="G136" s="41" t="s">
        <v>104</v>
      </c>
      <c r="H136" s="25" t="s">
        <v>61</v>
      </c>
      <c r="I136" s="127"/>
      <c r="J136" s="150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ht="14.25" customHeight="1">
      <c r="A137" s="23">
        <v>135</v>
      </c>
      <c r="B137" s="23" t="s">
        <v>540</v>
      </c>
      <c r="C137" s="23">
        <v>3</v>
      </c>
      <c r="D137" s="25">
        <v>13.8</v>
      </c>
      <c r="E137" s="25">
        <v>10.6</v>
      </c>
      <c r="F137" s="25" t="s">
        <v>124</v>
      </c>
      <c r="G137" s="25"/>
      <c r="H137" s="25" t="s">
        <v>61</v>
      </c>
      <c r="I137" s="127"/>
      <c r="J137" s="150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ht="14.25" customHeight="1">
      <c r="A138" s="23">
        <v>136</v>
      </c>
      <c r="B138" s="23" t="s">
        <v>542</v>
      </c>
      <c r="C138" s="23">
        <v>1</v>
      </c>
      <c r="D138" s="25">
        <v>16.600000000000001</v>
      </c>
      <c r="E138" s="25">
        <v>10.7</v>
      </c>
      <c r="F138" s="25" t="s">
        <v>112</v>
      </c>
      <c r="G138" s="41" t="s">
        <v>104</v>
      </c>
      <c r="H138" s="25" t="s">
        <v>61</v>
      </c>
      <c r="I138" s="127"/>
      <c r="J138" s="150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ht="14.25" customHeight="1">
      <c r="A139" s="23">
        <v>137</v>
      </c>
      <c r="B139" s="23" t="s">
        <v>542</v>
      </c>
      <c r="C139" s="23">
        <v>2</v>
      </c>
      <c r="D139" s="25">
        <v>16.899999999999999</v>
      </c>
      <c r="E139" s="25" t="s">
        <v>61</v>
      </c>
      <c r="F139" s="25" t="s">
        <v>112</v>
      </c>
      <c r="G139" s="41" t="s">
        <v>104</v>
      </c>
      <c r="H139" s="25" t="s">
        <v>61</v>
      </c>
      <c r="I139" s="127"/>
      <c r="J139" s="150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ht="14.25" customHeight="1">
      <c r="A140" s="23">
        <v>138</v>
      </c>
      <c r="B140" s="23" t="s">
        <v>542</v>
      </c>
      <c r="C140" s="23">
        <v>3</v>
      </c>
      <c r="D140" s="25">
        <v>12.8</v>
      </c>
      <c r="E140" s="25">
        <v>10.7</v>
      </c>
      <c r="F140" s="25" t="s">
        <v>112</v>
      </c>
      <c r="G140" s="41" t="s">
        <v>104</v>
      </c>
      <c r="H140" s="25" t="s">
        <v>61</v>
      </c>
      <c r="I140" s="127"/>
      <c r="J140" s="150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ht="14.25" customHeight="1">
      <c r="A141" s="23">
        <v>139</v>
      </c>
      <c r="B141" s="23" t="s">
        <v>545</v>
      </c>
      <c r="C141" s="23">
        <v>1</v>
      </c>
      <c r="D141" s="25">
        <v>16.899999999999999</v>
      </c>
      <c r="E141" s="25">
        <v>10.8</v>
      </c>
      <c r="F141" s="25" t="s">
        <v>55</v>
      </c>
      <c r="G141" s="41" t="s">
        <v>104</v>
      </c>
      <c r="H141" s="25" t="s">
        <v>61</v>
      </c>
      <c r="I141" s="127"/>
      <c r="J141" s="150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ht="14.25" customHeight="1">
      <c r="A142" s="23">
        <v>140</v>
      </c>
      <c r="B142" s="23" t="s">
        <v>545</v>
      </c>
      <c r="C142" s="23">
        <v>2</v>
      </c>
      <c r="D142" s="25">
        <v>17.100000000000001</v>
      </c>
      <c r="E142" s="25" t="s">
        <v>61</v>
      </c>
      <c r="F142" s="25" t="s">
        <v>88</v>
      </c>
      <c r="G142" s="111" t="s">
        <v>104</v>
      </c>
      <c r="H142" s="25" t="s">
        <v>61</v>
      </c>
      <c r="I142" s="127"/>
      <c r="J142" s="150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ht="14.25" customHeight="1">
      <c r="A143" s="23">
        <v>141</v>
      </c>
      <c r="B143" s="23" t="s">
        <v>545</v>
      </c>
      <c r="C143" s="23">
        <v>3</v>
      </c>
      <c r="D143" s="25">
        <v>13.3</v>
      </c>
      <c r="E143" s="25">
        <v>10.6</v>
      </c>
      <c r="F143" s="25" t="s">
        <v>88</v>
      </c>
      <c r="G143" s="111" t="s">
        <v>104</v>
      </c>
      <c r="H143" s="25" t="s">
        <v>61</v>
      </c>
      <c r="I143" s="127"/>
      <c r="J143" s="150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ht="14.25" customHeight="1">
      <c r="A144" s="23">
        <v>142</v>
      </c>
      <c r="B144" s="23" t="s">
        <v>547</v>
      </c>
      <c r="C144" s="23">
        <v>1</v>
      </c>
      <c r="D144" s="25">
        <v>16.3</v>
      </c>
      <c r="E144" s="25">
        <v>10.3</v>
      </c>
      <c r="F144" s="25" t="s">
        <v>88</v>
      </c>
      <c r="G144" s="25"/>
      <c r="H144" s="25" t="s">
        <v>61</v>
      </c>
      <c r="I144" s="127"/>
      <c r="J144" s="150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ht="14.25" customHeight="1">
      <c r="A145" s="23">
        <v>143</v>
      </c>
      <c r="B145" s="23" t="s">
        <v>547</v>
      </c>
      <c r="C145" s="23">
        <v>2</v>
      </c>
      <c r="D145" s="25">
        <v>15.9</v>
      </c>
      <c r="E145" s="25" t="s">
        <v>61</v>
      </c>
      <c r="F145" s="25" t="s">
        <v>55</v>
      </c>
      <c r="G145" s="41" t="s">
        <v>104</v>
      </c>
      <c r="H145" s="25" t="s">
        <v>61</v>
      </c>
      <c r="I145" s="127"/>
      <c r="J145" s="150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ht="14.25" customHeight="1">
      <c r="A146" s="23">
        <v>144</v>
      </c>
      <c r="B146" s="23" t="s">
        <v>547</v>
      </c>
      <c r="C146" s="23">
        <v>3</v>
      </c>
      <c r="D146" s="25">
        <v>14</v>
      </c>
      <c r="E146" s="25">
        <v>10.199999999999999</v>
      </c>
      <c r="F146" s="25" t="s">
        <v>55</v>
      </c>
      <c r="G146" s="41" t="s">
        <v>104</v>
      </c>
      <c r="H146" s="25" t="s">
        <v>61</v>
      </c>
      <c r="I146" s="127"/>
      <c r="J146" s="150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ht="14.25" customHeight="1">
      <c r="A147" s="23">
        <v>145</v>
      </c>
      <c r="B147" s="23" t="s">
        <v>549</v>
      </c>
      <c r="C147" s="23">
        <v>1</v>
      </c>
      <c r="D147" s="25">
        <v>16.899999999999999</v>
      </c>
      <c r="E147" s="25">
        <v>10.6</v>
      </c>
      <c r="F147" s="25" t="s">
        <v>77</v>
      </c>
      <c r="G147" s="29" t="s">
        <v>54</v>
      </c>
      <c r="H147" s="25" t="s">
        <v>61</v>
      </c>
      <c r="I147" s="127"/>
      <c r="J147" s="150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ht="14.25" customHeight="1">
      <c r="A148" s="23">
        <v>146</v>
      </c>
      <c r="B148" s="23" t="s">
        <v>549</v>
      </c>
      <c r="C148" s="23">
        <v>2</v>
      </c>
      <c r="D148" s="25">
        <v>17.100000000000001</v>
      </c>
      <c r="E148" s="25" t="s">
        <v>61</v>
      </c>
      <c r="F148" s="25" t="s">
        <v>150</v>
      </c>
      <c r="G148" s="41" t="s">
        <v>104</v>
      </c>
      <c r="H148" s="25" t="s">
        <v>61</v>
      </c>
      <c r="I148" s="127"/>
      <c r="J148" s="150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ht="14.25" customHeight="1">
      <c r="A149" s="23">
        <v>147</v>
      </c>
      <c r="B149" s="23" t="s">
        <v>549</v>
      </c>
      <c r="C149" s="23">
        <v>3</v>
      </c>
      <c r="D149" s="25">
        <v>12.8</v>
      </c>
      <c r="E149" s="25">
        <v>10.8</v>
      </c>
      <c r="F149" s="25" t="s">
        <v>150</v>
      </c>
      <c r="G149" s="41" t="s">
        <v>104</v>
      </c>
      <c r="H149" s="25" t="s">
        <v>61</v>
      </c>
      <c r="I149" s="127"/>
      <c r="J149" s="150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ht="14.25" customHeight="1">
      <c r="A150" s="23">
        <v>148</v>
      </c>
      <c r="B150" s="23" t="s">
        <v>553</v>
      </c>
      <c r="C150" s="23">
        <v>1</v>
      </c>
      <c r="D150" s="25">
        <v>16.600000000000001</v>
      </c>
      <c r="E150" s="25">
        <v>10.6</v>
      </c>
      <c r="F150" s="25" t="s">
        <v>124</v>
      </c>
      <c r="G150" s="26" t="s">
        <v>104</v>
      </c>
      <c r="H150" s="25" t="s">
        <v>61</v>
      </c>
      <c r="I150" s="127"/>
      <c r="J150" s="150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ht="14.25" customHeight="1">
      <c r="A151" s="23">
        <v>149</v>
      </c>
      <c r="B151" s="23" t="s">
        <v>553</v>
      </c>
      <c r="C151" s="23">
        <v>2</v>
      </c>
      <c r="D151" s="25">
        <v>17.100000000000001</v>
      </c>
      <c r="E151" s="25" t="s">
        <v>61</v>
      </c>
      <c r="F151" s="25" t="s">
        <v>124</v>
      </c>
      <c r="G151" s="26" t="s">
        <v>104</v>
      </c>
      <c r="H151" s="25" t="s">
        <v>61</v>
      </c>
      <c r="I151" s="127"/>
      <c r="J151" s="150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ht="14.25" customHeight="1">
      <c r="A152" s="23">
        <v>150</v>
      </c>
      <c r="B152" s="23" t="s">
        <v>553</v>
      </c>
      <c r="C152" s="23">
        <v>3</v>
      </c>
      <c r="D152" s="25">
        <v>13.3</v>
      </c>
      <c r="E152" s="25">
        <v>10.6</v>
      </c>
      <c r="F152" s="25" t="s">
        <v>55</v>
      </c>
      <c r="G152" s="41" t="s">
        <v>104</v>
      </c>
      <c r="H152" s="25" t="s">
        <v>61</v>
      </c>
      <c r="I152" s="127"/>
      <c r="J152" s="150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ht="14.25" customHeight="1">
      <c r="A153" s="23">
        <v>151</v>
      </c>
      <c r="B153" s="23" t="s">
        <v>554</v>
      </c>
      <c r="C153" s="23">
        <v>1</v>
      </c>
      <c r="D153" s="25">
        <v>16.8</v>
      </c>
      <c r="E153" s="25">
        <v>10.7</v>
      </c>
      <c r="F153" s="25" t="s">
        <v>89</v>
      </c>
      <c r="G153" s="41" t="s">
        <v>104</v>
      </c>
      <c r="H153" s="25" t="s">
        <v>61</v>
      </c>
      <c r="I153" s="127"/>
      <c r="J153" s="150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ht="14.25" customHeight="1">
      <c r="A154" s="23">
        <v>152</v>
      </c>
      <c r="B154" s="23" t="s">
        <v>554</v>
      </c>
      <c r="C154" s="23">
        <v>2</v>
      </c>
      <c r="D154" s="25">
        <v>16.2</v>
      </c>
      <c r="E154" s="25" t="s">
        <v>61</v>
      </c>
      <c r="F154" s="25" t="s">
        <v>118</v>
      </c>
      <c r="G154" s="29" t="s">
        <v>54</v>
      </c>
      <c r="H154" s="25" t="s">
        <v>61</v>
      </c>
      <c r="I154" s="127"/>
      <c r="J154" s="150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ht="14.25" customHeight="1">
      <c r="A155" s="23">
        <v>153</v>
      </c>
      <c r="B155" s="23" t="s">
        <v>554</v>
      </c>
      <c r="C155" s="23">
        <v>3</v>
      </c>
      <c r="D155" s="25">
        <v>13</v>
      </c>
      <c r="E155" s="25">
        <v>10.9</v>
      </c>
      <c r="F155" s="25" t="s">
        <v>79</v>
      </c>
      <c r="G155" s="41" t="s">
        <v>104</v>
      </c>
      <c r="H155" s="25" t="s">
        <v>61</v>
      </c>
      <c r="I155" s="127"/>
      <c r="J155" s="150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ht="14.25" customHeight="1">
      <c r="A156" s="23">
        <v>154</v>
      </c>
      <c r="B156" s="23" t="s">
        <v>557</v>
      </c>
      <c r="C156" s="23">
        <v>1</v>
      </c>
      <c r="D156" s="25">
        <v>16.3</v>
      </c>
      <c r="E156" s="25">
        <v>10.9</v>
      </c>
      <c r="F156" s="25" t="s">
        <v>47</v>
      </c>
      <c r="G156" s="41" t="s">
        <v>104</v>
      </c>
      <c r="H156" s="25" t="s">
        <v>61</v>
      </c>
      <c r="I156" s="127"/>
      <c r="J156" s="150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ht="14.25" customHeight="1">
      <c r="A157" s="23">
        <v>155</v>
      </c>
      <c r="B157" s="23" t="s">
        <v>557</v>
      </c>
      <c r="C157" s="23">
        <v>2</v>
      </c>
      <c r="D157" s="25">
        <v>16</v>
      </c>
      <c r="E157" s="25" t="s">
        <v>61</v>
      </c>
      <c r="F157" s="25" t="s">
        <v>47</v>
      </c>
      <c r="G157" s="41" t="s">
        <v>104</v>
      </c>
      <c r="H157" s="25" t="s">
        <v>61</v>
      </c>
      <c r="I157" s="127"/>
      <c r="J157" s="150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ht="14.25" customHeight="1">
      <c r="A158" s="23">
        <v>156</v>
      </c>
      <c r="B158" s="23" t="s">
        <v>557</v>
      </c>
      <c r="C158" s="23">
        <v>3</v>
      </c>
      <c r="D158" s="25">
        <v>12.6</v>
      </c>
      <c r="E158" s="25">
        <v>10.4</v>
      </c>
      <c r="F158" s="25" t="s">
        <v>69</v>
      </c>
      <c r="G158" s="41" t="s">
        <v>104</v>
      </c>
      <c r="H158" s="25" t="s">
        <v>61</v>
      </c>
      <c r="I158" s="127"/>
      <c r="J158" s="150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ht="14.25" customHeight="1">
      <c r="A159" s="23">
        <v>157</v>
      </c>
      <c r="B159" s="23" t="s">
        <v>560</v>
      </c>
      <c r="C159" s="23">
        <v>1</v>
      </c>
      <c r="D159" s="25">
        <v>16.5</v>
      </c>
      <c r="E159" s="25">
        <v>10.9</v>
      </c>
      <c r="F159" s="25" t="s">
        <v>106</v>
      </c>
      <c r="G159" s="41" t="s">
        <v>104</v>
      </c>
      <c r="H159" s="25" t="s">
        <v>61</v>
      </c>
      <c r="I159" s="127"/>
      <c r="J159" s="150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ht="14.25" customHeight="1">
      <c r="A160" s="23">
        <v>158</v>
      </c>
      <c r="B160" s="23" t="s">
        <v>560</v>
      </c>
      <c r="C160" s="23">
        <v>2</v>
      </c>
      <c r="D160" s="25">
        <v>16.7</v>
      </c>
      <c r="E160" s="25" t="s">
        <v>61</v>
      </c>
      <c r="F160" s="41" t="s">
        <v>112</v>
      </c>
      <c r="G160" s="41" t="s">
        <v>104</v>
      </c>
      <c r="H160" s="25" t="s">
        <v>61</v>
      </c>
      <c r="I160" s="122" t="s">
        <v>314</v>
      </c>
      <c r="J160" s="150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ht="14.25" customHeight="1">
      <c r="A161" s="23">
        <v>159</v>
      </c>
      <c r="B161" s="23" t="s">
        <v>560</v>
      </c>
      <c r="C161" s="23">
        <v>3</v>
      </c>
      <c r="D161" s="25">
        <v>12.9</v>
      </c>
      <c r="E161" s="25">
        <v>10.8</v>
      </c>
      <c r="F161" s="41" t="s">
        <v>112</v>
      </c>
      <c r="G161" s="41" t="s">
        <v>104</v>
      </c>
      <c r="H161" s="25" t="s">
        <v>61</v>
      </c>
      <c r="I161" s="122" t="s">
        <v>314</v>
      </c>
      <c r="J161" s="150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ht="14.25" customHeight="1">
      <c r="A162" s="23">
        <v>160</v>
      </c>
      <c r="B162" s="23" t="s">
        <v>562</v>
      </c>
      <c r="C162" s="23">
        <v>1</v>
      </c>
      <c r="D162" s="25">
        <v>16</v>
      </c>
      <c r="E162" s="25">
        <v>10.7</v>
      </c>
      <c r="F162" s="25" t="s">
        <v>79</v>
      </c>
      <c r="G162" s="41" t="s">
        <v>104</v>
      </c>
      <c r="H162" s="25" t="s">
        <v>61</v>
      </c>
      <c r="I162" s="127"/>
      <c r="J162" s="150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ht="14.25" customHeight="1">
      <c r="A163" s="23">
        <v>161</v>
      </c>
      <c r="B163" s="23" t="s">
        <v>562</v>
      </c>
      <c r="C163" s="23">
        <v>2</v>
      </c>
      <c r="D163" s="25">
        <v>17</v>
      </c>
      <c r="E163" s="25" t="s">
        <v>61</v>
      </c>
      <c r="F163" s="25" t="s">
        <v>55</v>
      </c>
      <c r="G163" s="41" t="s">
        <v>104</v>
      </c>
      <c r="H163" s="25" t="s">
        <v>61</v>
      </c>
      <c r="I163" s="127"/>
      <c r="J163" s="150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ht="14.25" customHeight="1">
      <c r="A164" s="23">
        <v>162</v>
      </c>
      <c r="B164" s="23" t="s">
        <v>562</v>
      </c>
      <c r="C164" s="23">
        <v>3</v>
      </c>
      <c r="D164" s="25">
        <v>12.6</v>
      </c>
      <c r="E164" s="25">
        <v>10.8</v>
      </c>
      <c r="F164" s="25" t="s">
        <v>79</v>
      </c>
      <c r="G164" s="41" t="s">
        <v>104</v>
      </c>
      <c r="H164" s="25" t="s">
        <v>61</v>
      </c>
      <c r="I164" s="127"/>
      <c r="J164" s="150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ht="14.25" customHeight="1">
      <c r="A165" s="23">
        <v>163</v>
      </c>
      <c r="B165" s="23" t="s">
        <v>564</v>
      </c>
      <c r="C165" s="23">
        <v>1</v>
      </c>
      <c r="D165" s="25">
        <v>17.100000000000001</v>
      </c>
      <c r="E165" s="25">
        <v>10.7</v>
      </c>
      <c r="F165" s="25" t="s">
        <v>55</v>
      </c>
      <c r="G165" s="41" t="s">
        <v>104</v>
      </c>
      <c r="H165" s="25" t="s">
        <v>61</v>
      </c>
      <c r="I165" s="127"/>
      <c r="J165" s="150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ht="14.25" customHeight="1">
      <c r="A166" s="23">
        <v>164</v>
      </c>
      <c r="B166" s="23" t="s">
        <v>564</v>
      </c>
      <c r="C166" s="23">
        <v>2</v>
      </c>
      <c r="D166" s="25">
        <v>16.2</v>
      </c>
      <c r="E166" s="25" t="s">
        <v>61</v>
      </c>
      <c r="F166" s="25" t="s">
        <v>55</v>
      </c>
      <c r="G166" s="41" t="s">
        <v>104</v>
      </c>
      <c r="H166" s="25" t="s">
        <v>61</v>
      </c>
      <c r="I166" s="127"/>
      <c r="J166" s="150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ht="14.25" customHeight="1">
      <c r="A167" s="23">
        <v>165</v>
      </c>
      <c r="B167" s="23" t="s">
        <v>564</v>
      </c>
      <c r="C167" s="23">
        <v>3</v>
      </c>
      <c r="D167" s="25">
        <v>13</v>
      </c>
      <c r="E167" s="25">
        <v>11.2</v>
      </c>
      <c r="F167" s="25" t="s">
        <v>55</v>
      </c>
      <c r="G167" s="41" t="s">
        <v>104</v>
      </c>
      <c r="H167" s="25" t="s">
        <v>61</v>
      </c>
      <c r="I167" s="127"/>
      <c r="J167" s="150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ht="14.25" customHeight="1">
      <c r="A168" s="23">
        <v>166</v>
      </c>
      <c r="B168" s="23" t="s">
        <v>566</v>
      </c>
      <c r="C168" s="23">
        <v>1</v>
      </c>
      <c r="D168" s="25">
        <v>16.5</v>
      </c>
      <c r="E168" s="25">
        <v>10.3</v>
      </c>
      <c r="F168" s="25" t="s">
        <v>79</v>
      </c>
      <c r="G168" s="41" t="s">
        <v>104</v>
      </c>
      <c r="H168" s="25" t="s">
        <v>61</v>
      </c>
      <c r="I168" s="127"/>
      <c r="J168" s="150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ht="14.25" customHeight="1">
      <c r="A169" s="23">
        <v>167</v>
      </c>
      <c r="B169" s="23" t="s">
        <v>566</v>
      </c>
      <c r="C169" s="23">
        <v>2</v>
      </c>
      <c r="D169" s="25">
        <v>16.399999999999999</v>
      </c>
      <c r="E169" s="25" t="s">
        <v>61</v>
      </c>
      <c r="F169" s="25" t="s">
        <v>55</v>
      </c>
      <c r="G169" s="41" t="s">
        <v>104</v>
      </c>
      <c r="H169" s="25" t="s">
        <v>61</v>
      </c>
      <c r="I169" s="127"/>
      <c r="J169" s="150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ht="14.25" customHeight="1">
      <c r="A170" s="23">
        <v>168</v>
      </c>
      <c r="B170" s="23" t="s">
        <v>566</v>
      </c>
      <c r="C170" s="23">
        <v>3</v>
      </c>
      <c r="D170" s="25">
        <v>12.5</v>
      </c>
      <c r="E170" s="25">
        <v>10.4</v>
      </c>
      <c r="F170" s="25" t="s">
        <v>89</v>
      </c>
      <c r="G170" s="41" t="s">
        <v>104</v>
      </c>
      <c r="H170" s="25" t="s">
        <v>61</v>
      </c>
      <c r="I170" s="127"/>
      <c r="J170" s="150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ht="14.25" customHeight="1">
      <c r="A171" s="23">
        <v>169</v>
      </c>
      <c r="B171" s="23" t="s">
        <v>568</v>
      </c>
      <c r="C171" s="23">
        <v>1</v>
      </c>
      <c r="D171" s="25">
        <v>16.100000000000001</v>
      </c>
      <c r="E171" s="25">
        <v>10.3</v>
      </c>
      <c r="F171" s="25" t="s">
        <v>124</v>
      </c>
      <c r="G171" s="25"/>
      <c r="H171" s="25" t="s">
        <v>61</v>
      </c>
      <c r="I171" s="127"/>
      <c r="J171" s="150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ht="14.25" customHeight="1">
      <c r="A172" s="23">
        <v>170</v>
      </c>
      <c r="B172" s="23" t="s">
        <v>568</v>
      </c>
      <c r="C172" s="23">
        <v>2</v>
      </c>
      <c r="D172" s="25">
        <v>16.600000000000001</v>
      </c>
      <c r="E172" s="25" t="s">
        <v>61</v>
      </c>
      <c r="F172" s="25" t="s">
        <v>79</v>
      </c>
      <c r="G172" s="41" t="s">
        <v>104</v>
      </c>
      <c r="H172" s="25" t="s">
        <v>61</v>
      </c>
      <c r="I172" s="127"/>
      <c r="J172" s="150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ht="14.25" customHeight="1">
      <c r="A173" s="23">
        <v>171</v>
      </c>
      <c r="B173" s="23" t="s">
        <v>568</v>
      </c>
      <c r="C173" s="23">
        <v>3</v>
      </c>
      <c r="D173" s="25">
        <v>12.5</v>
      </c>
      <c r="E173" s="25">
        <v>10.1</v>
      </c>
      <c r="F173" s="25" t="s">
        <v>69</v>
      </c>
      <c r="G173" s="41" t="s">
        <v>104</v>
      </c>
      <c r="H173" s="25" t="s">
        <v>61</v>
      </c>
      <c r="I173" s="127"/>
      <c r="J173" s="150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ht="14.25" customHeight="1">
      <c r="A174" s="23">
        <v>172</v>
      </c>
      <c r="B174" s="23" t="s">
        <v>571</v>
      </c>
      <c r="C174" s="23">
        <v>1</v>
      </c>
      <c r="D174" s="25">
        <v>12</v>
      </c>
      <c r="E174" s="25">
        <v>10.5</v>
      </c>
      <c r="F174" s="25" t="s">
        <v>47</v>
      </c>
      <c r="G174" s="41" t="s">
        <v>104</v>
      </c>
      <c r="H174" s="25" t="s">
        <v>61</v>
      </c>
      <c r="I174" s="127"/>
      <c r="J174" s="150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ht="14.25" customHeight="1">
      <c r="A175" s="23">
        <v>173</v>
      </c>
      <c r="B175" s="23" t="s">
        <v>571</v>
      </c>
      <c r="C175" s="23">
        <v>2</v>
      </c>
      <c r="D175" s="25">
        <v>16.100000000000001</v>
      </c>
      <c r="E175" s="25" t="s">
        <v>61</v>
      </c>
      <c r="F175" s="41" t="s">
        <v>150</v>
      </c>
      <c r="G175" s="41" t="s">
        <v>104</v>
      </c>
      <c r="H175" s="25" t="s">
        <v>61</v>
      </c>
      <c r="I175" s="122" t="s">
        <v>572</v>
      </c>
      <c r="J175" s="150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ht="14.25" customHeight="1">
      <c r="A176" s="23">
        <v>174</v>
      </c>
      <c r="B176" s="23" t="s">
        <v>571</v>
      </c>
      <c r="C176" s="23">
        <v>3</v>
      </c>
      <c r="D176" s="25">
        <v>16.2</v>
      </c>
      <c r="E176" s="25">
        <v>10.4</v>
      </c>
      <c r="F176" s="25" t="s">
        <v>150</v>
      </c>
      <c r="G176" s="41" t="s">
        <v>104</v>
      </c>
      <c r="H176" s="25" t="s">
        <v>61</v>
      </c>
      <c r="I176" s="127"/>
      <c r="J176" s="150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ht="14.25" customHeight="1">
      <c r="A177" s="69"/>
      <c r="B177" s="69"/>
      <c r="C177" s="69"/>
      <c r="D177" s="155">
        <f t="shared" ref="D177:E177" si="0">SUM(D3:D176)</f>
        <v>2542.5999999999995</v>
      </c>
      <c r="E177" s="155">
        <f t="shared" si="0"/>
        <v>1173.2000000000003</v>
      </c>
      <c r="F177" s="69"/>
      <c r="G177" s="69"/>
      <c r="H177" s="69"/>
      <c r="I177" s="127"/>
      <c r="J177" s="150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ht="14.25" customHeight="1">
      <c r="A178" s="13"/>
      <c r="B178" s="13"/>
      <c r="C178" s="13"/>
      <c r="D178" s="13"/>
      <c r="E178" s="13"/>
      <c r="F178" s="13"/>
      <c r="G178" s="13"/>
      <c r="H178" s="13"/>
      <c r="I178" s="116"/>
      <c r="J178" s="156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ht="14.25" customHeight="1">
      <c r="A179" s="13"/>
      <c r="B179" s="13"/>
      <c r="C179" s="13"/>
      <c r="D179" s="13"/>
      <c r="E179" s="13"/>
      <c r="F179" s="13"/>
      <c r="G179" s="13"/>
      <c r="H179" s="13"/>
      <c r="I179" s="116"/>
      <c r="J179" s="156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ht="14.25" customHeight="1">
      <c r="A180" s="13"/>
      <c r="B180" s="13"/>
      <c r="C180" s="13"/>
      <c r="D180" s="13"/>
      <c r="E180" s="13"/>
      <c r="F180" s="13"/>
      <c r="G180" s="13"/>
      <c r="H180" s="13"/>
      <c r="I180" s="116"/>
      <c r="J180" s="156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ht="14.25" customHeight="1">
      <c r="A181" s="13"/>
      <c r="B181" s="13"/>
      <c r="C181" s="13"/>
      <c r="D181" s="13"/>
      <c r="E181" s="13"/>
      <c r="F181" s="13"/>
      <c r="G181" s="13"/>
      <c r="H181" s="13"/>
      <c r="I181" s="116"/>
      <c r="J181" s="156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ht="14.25" customHeight="1">
      <c r="A182" s="13"/>
      <c r="B182" s="13"/>
      <c r="C182" s="13"/>
      <c r="D182" s="13"/>
      <c r="E182" s="13"/>
      <c r="F182" s="13"/>
      <c r="G182" s="13"/>
      <c r="H182" s="13"/>
      <c r="I182" s="116"/>
      <c r="J182" s="156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ht="14.25" customHeight="1">
      <c r="A183" s="13"/>
      <c r="B183" s="13"/>
      <c r="C183" s="13"/>
      <c r="D183" s="13"/>
      <c r="E183" s="13"/>
      <c r="F183" s="13"/>
      <c r="G183" s="13"/>
      <c r="H183" s="13"/>
      <c r="I183" s="116"/>
      <c r="J183" s="156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ht="14.25" customHeight="1">
      <c r="A184" s="13"/>
      <c r="B184" s="13"/>
      <c r="C184" s="13"/>
      <c r="D184" s="13"/>
      <c r="E184" s="13"/>
      <c r="F184" s="13"/>
      <c r="G184" s="13"/>
      <c r="H184" s="13"/>
      <c r="I184" s="116"/>
      <c r="J184" s="156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ht="14.25" customHeight="1">
      <c r="A185" s="13"/>
      <c r="B185" s="13"/>
      <c r="C185" s="13"/>
      <c r="D185" s="13"/>
      <c r="E185" s="13"/>
      <c r="F185" s="13"/>
      <c r="G185" s="13"/>
      <c r="H185" s="13"/>
      <c r="I185" s="116"/>
      <c r="J185" s="156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ht="14.25" customHeight="1">
      <c r="A186" s="13"/>
      <c r="B186" s="13"/>
      <c r="C186" s="13"/>
      <c r="D186" s="13"/>
      <c r="E186" s="13"/>
      <c r="F186" s="13"/>
      <c r="G186" s="13"/>
      <c r="H186" s="13"/>
      <c r="I186" s="116"/>
      <c r="J186" s="156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ht="14.25" customHeight="1">
      <c r="A187" s="13"/>
      <c r="B187" s="13"/>
      <c r="C187" s="13"/>
      <c r="D187" s="13"/>
      <c r="E187" s="13"/>
      <c r="F187" s="13"/>
      <c r="G187" s="13"/>
      <c r="H187" s="13"/>
      <c r="I187" s="116"/>
      <c r="J187" s="156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ht="14.25" customHeight="1">
      <c r="A188" s="13"/>
      <c r="B188" s="13"/>
      <c r="C188" s="13"/>
      <c r="D188" s="13"/>
      <c r="E188" s="13"/>
      <c r="F188" s="13"/>
      <c r="G188" s="13"/>
      <c r="H188" s="13"/>
      <c r="I188" s="116"/>
      <c r="J188" s="156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ht="14.25" customHeight="1">
      <c r="A189" s="13"/>
      <c r="B189" s="13"/>
      <c r="C189" s="13"/>
      <c r="D189" s="13"/>
      <c r="E189" s="13"/>
      <c r="F189" s="13"/>
      <c r="G189" s="13"/>
      <c r="H189" s="13"/>
      <c r="I189" s="116"/>
      <c r="J189" s="156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ht="14.25" customHeight="1">
      <c r="A190" s="13"/>
      <c r="B190" s="13"/>
      <c r="C190" s="13"/>
      <c r="D190" s="13"/>
      <c r="E190" s="13"/>
      <c r="F190" s="13"/>
      <c r="G190" s="13"/>
      <c r="H190" s="13"/>
      <c r="I190" s="116"/>
      <c r="J190" s="156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ht="14.25" customHeight="1">
      <c r="A191" s="13"/>
      <c r="B191" s="13"/>
      <c r="C191" s="13"/>
      <c r="D191" s="13"/>
      <c r="E191" s="13"/>
      <c r="F191" s="13"/>
      <c r="G191" s="13"/>
      <c r="H191" s="13"/>
      <c r="I191" s="116"/>
      <c r="J191" s="156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ht="14.25" customHeight="1">
      <c r="A192" s="13"/>
      <c r="B192" s="13"/>
      <c r="C192" s="13"/>
      <c r="D192" s="13"/>
      <c r="E192" s="13"/>
      <c r="F192" s="13"/>
      <c r="G192" s="13"/>
      <c r="H192" s="13"/>
      <c r="I192" s="116"/>
      <c r="J192" s="156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ht="14.25" customHeight="1">
      <c r="A193" s="13"/>
      <c r="B193" s="13"/>
      <c r="C193" s="13"/>
      <c r="D193" s="13"/>
      <c r="E193" s="13"/>
      <c r="F193" s="13"/>
      <c r="G193" s="13"/>
      <c r="H193" s="13"/>
      <c r="I193" s="116"/>
      <c r="J193" s="156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ht="14.25" customHeight="1">
      <c r="A194" s="13"/>
      <c r="B194" s="13"/>
      <c r="C194" s="13"/>
      <c r="D194" s="13"/>
      <c r="E194" s="13"/>
      <c r="F194" s="13"/>
      <c r="G194" s="13"/>
      <c r="H194" s="13"/>
      <c r="I194" s="116"/>
      <c r="J194" s="156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ht="14.25" customHeight="1">
      <c r="A195" s="13"/>
      <c r="B195" s="13"/>
      <c r="C195" s="13"/>
      <c r="D195" s="13"/>
      <c r="E195" s="13"/>
      <c r="F195" s="13"/>
      <c r="G195" s="13"/>
      <c r="H195" s="13"/>
      <c r="I195" s="116"/>
      <c r="J195" s="156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ht="14.25" customHeight="1">
      <c r="A196" s="13"/>
      <c r="B196" s="13"/>
      <c r="C196" s="13"/>
      <c r="D196" s="13"/>
      <c r="E196" s="13"/>
      <c r="F196" s="13"/>
      <c r="G196" s="13"/>
      <c r="H196" s="13"/>
      <c r="I196" s="116"/>
      <c r="J196" s="156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ht="14.25" customHeight="1">
      <c r="A197" s="13"/>
      <c r="B197" s="13"/>
      <c r="C197" s="13"/>
      <c r="D197" s="13"/>
      <c r="E197" s="13"/>
      <c r="F197" s="13"/>
      <c r="G197" s="13"/>
      <c r="H197" s="13"/>
      <c r="I197" s="116"/>
      <c r="J197" s="156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ht="14.25" customHeight="1">
      <c r="A198" s="13"/>
      <c r="B198" s="13"/>
      <c r="C198" s="13"/>
      <c r="D198" s="13"/>
      <c r="E198" s="13"/>
      <c r="F198" s="13"/>
      <c r="G198" s="13"/>
      <c r="H198" s="13"/>
      <c r="I198" s="116"/>
      <c r="J198" s="156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ht="14.25" customHeight="1">
      <c r="A199" s="13"/>
      <c r="B199" s="13"/>
      <c r="C199" s="13"/>
      <c r="D199" s="13"/>
      <c r="E199" s="13"/>
      <c r="F199" s="13"/>
      <c r="G199" s="13"/>
      <c r="H199" s="13"/>
      <c r="I199" s="116"/>
      <c r="J199" s="156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ht="14.25" customHeight="1">
      <c r="A200" s="13"/>
      <c r="B200" s="13"/>
      <c r="C200" s="13"/>
      <c r="D200" s="13"/>
      <c r="E200" s="13"/>
      <c r="F200" s="13"/>
      <c r="G200" s="13"/>
      <c r="H200" s="13"/>
      <c r="I200" s="116"/>
      <c r="J200" s="156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ht="14.25" customHeight="1">
      <c r="A201" s="13"/>
      <c r="B201" s="13"/>
      <c r="C201" s="13"/>
      <c r="D201" s="13"/>
      <c r="E201" s="13"/>
      <c r="F201" s="13"/>
      <c r="G201" s="13"/>
      <c r="H201" s="13"/>
      <c r="I201" s="116"/>
      <c r="J201" s="156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ht="14.25" customHeight="1">
      <c r="A202" s="13"/>
      <c r="B202" s="13"/>
      <c r="C202" s="13"/>
      <c r="D202" s="13"/>
      <c r="E202" s="13"/>
      <c r="F202" s="13"/>
      <c r="G202" s="13"/>
      <c r="H202" s="13"/>
      <c r="I202" s="116"/>
      <c r="J202" s="156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ht="14.25" customHeight="1">
      <c r="A203" s="13"/>
      <c r="B203" s="13"/>
      <c r="C203" s="13"/>
      <c r="D203" s="13"/>
      <c r="E203" s="13"/>
      <c r="F203" s="13"/>
      <c r="G203" s="13"/>
      <c r="H203" s="13"/>
      <c r="I203" s="116"/>
      <c r="J203" s="156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ht="14.25" customHeight="1">
      <c r="A204" s="13"/>
      <c r="B204" s="13"/>
      <c r="C204" s="13"/>
      <c r="D204" s="13"/>
      <c r="E204" s="13"/>
      <c r="F204" s="13"/>
      <c r="G204" s="13"/>
      <c r="H204" s="13"/>
      <c r="I204" s="116"/>
      <c r="J204" s="156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ht="14.25" customHeight="1">
      <c r="A205" s="13"/>
      <c r="B205" s="13"/>
      <c r="C205" s="13"/>
      <c r="D205" s="13"/>
      <c r="E205" s="13"/>
      <c r="F205" s="13"/>
      <c r="G205" s="13"/>
      <c r="H205" s="13"/>
      <c r="I205" s="116"/>
      <c r="J205" s="156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ht="14.25" customHeight="1">
      <c r="A206" s="13"/>
      <c r="B206" s="13"/>
      <c r="C206" s="13"/>
      <c r="D206" s="13"/>
      <c r="E206" s="13"/>
      <c r="F206" s="13"/>
      <c r="G206" s="13"/>
      <c r="H206" s="13"/>
      <c r="I206" s="116"/>
      <c r="J206" s="156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ht="14.25" customHeight="1">
      <c r="A207" s="13"/>
      <c r="B207" s="13"/>
      <c r="C207" s="13"/>
      <c r="D207" s="13"/>
      <c r="E207" s="13"/>
      <c r="F207" s="13"/>
      <c r="G207" s="13"/>
      <c r="H207" s="13"/>
      <c r="I207" s="116"/>
      <c r="J207" s="156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ht="14.25" customHeight="1">
      <c r="A208" s="13"/>
      <c r="B208" s="13"/>
      <c r="C208" s="13"/>
      <c r="D208" s="13"/>
      <c r="E208" s="13"/>
      <c r="F208" s="13"/>
      <c r="G208" s="13"/>
      <c r="H208" s="13"/>
      <c r="I208" s="116"/>
      <c r="J208" s="156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ht="14.25" customHeight="1">
      <c r="A209" s="13"/>
      <c r="B209" s="13"/>
      <c r="C209" s="13"/>
      <c r="D209" s="13"/>
      <c r="E209" s="13"/>
      <c r="F209" s="13"/>
      <c r="G209" s="13"/>
      <c r="H209" s="13"/>
      <c r="I209" s="116"/>
      <c r="J209" s="156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ht="14.25" customHeight="1">
      <c r="A210" s="13"/>
      <c r="B210" s="13"/>
      <c r="C210" s="13"/>
      <c r="D210" s="13"/>
      <c r="E210" s="13"/>
      <c r="F210" s="13"/>
      <c r="G210" s="13"/>
      <c r="H210" s="13"/>
      <c r="I210" s="116"/>
      <c r="J210" s="156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14.25" customHeight="1">
      <c r="A211" s="13"/>
      <c r="B211" s="13"/>
      <c r="C211" s="13"/>
      <c r="D211" s="13"/>
      <c r="E211" s="13"/>
      <c r="F211" s="13"/>
      <c r="G211" s="13"/>
      <c r="H211" s="13"/>
      <c r="I211" s="116"/>
      <c r="J211" s="156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14.25" customHeight="1">
      <c r="A212" s="13"/>
      <c r="B212" s="13"/>
      <c r="C212" s="13"/>
      <c r="D212" s="13"/>
      <c r="E212" s="13"/>
      <c r="F212" s="13"/>
      <c r="G212" s="13"/>
      <c r="H212" s="13"/>
      <c r="I212" s="116"/>
      <c r="J212" s="156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14.25" customHeight="1">
      <c r="A213" s="13"/>
      <c r="B213" s="13"/>
      <c r="C213" s="13"/>
      <c r="D213" s="13"/>
      <c r="E213" s="13"/>
      <c r="F213" s="13"/>
      <c r="G213" s="13"/>
      <c r="H213" s="13"/>
      <c r="I213" s="116"/>
      <c r="J213" s="156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14.25" customHeight="1">
      <c r="A214" s="13"/>
      <c r="B214" s="13"/>
      <c r="C214" s="13"/>
      <c r="D214" s="13"/>
      <c r="E214" s="13"/>
      <c r="F214" s="13"/>
      <c r="G214" s="13"/>
      <c r="H214" s="13"/>
      <c r="I214" s="116"/>
      <c r="J214" s="156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14.25" customHeight="1">
      <c r="A215" s="13"/>
      <c r="B215" s="13"/>
      <c r="C215" s="13"/>
      <c r="D215" s="13"/>
      <c r="E215" s="13"/>
      <c r="F215" s="13"/>
      <c r="G215" s="13"/>
      <c r="H215" s="13"/>
      <c r="I215" s="116"/>
      <c r="J215" s="156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14.25" customHeight="1">
      <c r="A216" s="13"/>
      <c r="B216" s="13"/>
      <c r="C216" s="13"/>
      <c r="D216" s="13"/>
      <c r="E216" s="13"/>
      <c r="F216" s="13"/>
      <c r="G216" s="13"/>
      <c r="H216" s="13"/>
      <c r="I216" s="116"/>
      <c r="J216" s="156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14.25" customHeight="1">
      <c r="A217" s="13"/>
      <c r="B217" s="13"/>
      <c r="C217" s="13"/>
      <c r="D217" s="13"/>
      <c r="E217" s="13"/>
      <c r="F217" s="13"/>
      <c r="G217" s="13"/>
      <c r="H217" s="13"/>
      <c r="I217" s="116"/>
      <c r="J217" s="156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14.25" customHeight="1">
      <c r="A218" s="13"/>
      <c r="B218" s="13"/>
      <c r="C218" s="13"/>
      <c r="D218" s="13"/>
      <c r="E218" s="13"/>
      <c r="F218" s="13"/>
      <c r="G218" s="13"/>
      <c r="H218" s="13"/>
      <c r="I218" s="116"/>
      <c r="J218" s="156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14.25" customHeight="1">
      <c r="A219" s="13"/>
      <c r="B219" s="13"/>
      <c r="C219" s="13"/>
      <c r="D219" s="13"/>
      <c r="E219" s="13"/>
      <c r="F219" s="13"/>
      <c r="G219" s="13"/>
      <c r="H219" s="13"/>
      <c r="I219" s="116"/>
      <c r="J219" s="156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14.25" customHeight="1">
      <c r="A220" s="13"/>
      <c r="B220" s="13"/>
      <c r="C220" s="13"/>
      <c r="D220" s="13"/>
      <c r="E220" s="13"/>
      <c r="F220" s="13"/>
      <c r="G220" s="13"/>
      <c r="H220" s="13"/>
      <c r="I220" s="116"/>
      <c r="J220" s="156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14.25" customHeight="1">
      <c r="A221" s="13"/>
      <c r="B221" s="13"/>
      <c r="C221" s="13"/>
      <c r="D221" s="13"/>
      <c r="E221" s="13"/>
      <c r="F221" s="13"/>
      <c r="G221" s="13"/>
      <c r="H221" s="13"/>
      <c r="I221" s="116"/>
      <c r="J221" s="156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14.25" customHeight="1">
      <c r="A222" s="13"/>
      <c r="B222" s="13"/>
      <c r="C222" s="13"/>
      <c r="D222" s="13"/>
      <c r="E222" s="13"/>
      <c r="F222" s="13"/>
      <c r="G222" s="13"/>
      <c r="H222" s="13"/>
      <c r="I222" s="116"/>
      <c r="J222" s="156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14.25" customHeight="1">
      <c r="A223" s="13"/>
      <c r="B223" s="13"/>
      <c r="C223" s="13"/>
      <c r="D223" s="13"/>
      <c r="E223" s="13"/>
      <c r="F223" s="13"/>
      <c r="G223" s="13"/>
      <c r="H223" s="13"/>
      <c r="I223" s="116"/>
      <c r="J223" s="156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14.25" customHeight="1">
      <c r="A224" s="13"/>
      <c r="B224" s="13"/>
      <c r="C224" s="13"/>
      <c r="D224" s="13"/>
      <c r="E224" s="13"/>
      <c r="F224" s="13"/>
      <c r="G224" s="13"/>
      <c r="H224" s="13"/>
      <c r="I224" s="116"/>
      <c r="J224" s="156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14.25" customHeight="1">
      <c r="A225" s="13"/>
      <c r="B225" s="13"/>
      <c r="C225" s="13"/>
      <c r="D225" s="13"/>
      <c r="E225" s="13"/>
      <c r="F225" s="13"/>
      <c r="G225" s="13"/>
      <c r="H225" s="13"/>
      <c r="I225" s="116"/>
      <c r="J225" s="156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14.25" customHeight="1">
      <c r="A226" s="13"/>
      <c r="B226" s="13"/>
      <c r="C226" s="13"/>
      <c r="D226" s="13"/>
      <c r="E226" s="13"/>
      <c r="F226" s="13"/>
      <c r="G226" s="13"/>
      <c r="H226" s="13"/>
      <c r="I226" s="116"/>
      <c r="J226" s="156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14.25" customHeight="1">
      <c r="A227" s="13"/>
      <c r="B227" s="13"/>
      <c r="C227" s="13"/>
      <c r="D227" s="13"/>
      <c r="E227" s="13"/>
      <c r="F227" s="13"/>
      <c r="G227" s="13"/>
      <c r="H227" s="13"/>
      <c r="I227" s="116"/>
      <c r="J227" s="156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ht="14.25" customHeight="1">
      <c r="A228" s="13"/>
      <c r="B228" s="13"/>
      <c r="C228" s="13"/>
      <c r="D228" s="13"/>
      <c r="E228" s="13"/>
      <c r="F228" s="13"/>
      <c r="G228" s="13"/>
      <c r="H228" s="13"/>
      <c r="I228" s="116"/>
      <c r="J228" s="156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ht="14.25" customHeight="1">
      <c r="A229" s="13"/>
      <c r="B229" s="13"/>
      <c r="C229" s="13"/>
      <c r="D229" s="13"/>
      <c r="E229" s="13"/>
      <c r="F229" s="13"/>
      <c r="G229" s="13"/>
      <c r="H229" s="13"/>
      <c r="I229" s="116"/>
      <c r="J229" s="156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14.25" customHeight="1">
      <c r="A230" s="13"/>
      <c r="B230" s="13"/>
      <c r="C230" s="13"/>
      <c r="D230" s="13"/>
      <c r="E230" s="13"/>
      <c r="F230" s="13"/>
      <c r="G230" s="13"/>
      <c r="H230" s="13"/>
      <c r="I230" s="116"/>
      <c r="J230" s="156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ht="14.25" customHeight="1">
      <c r="A231" s="13"/>
      <c r="B231" s="13"/>
      <c r="C231" s="13"/>
      <c r="D231" s="13"/>
      <c r="E231" s="13"/>
      <c r="F231" s="13"/>
      <c r="G231" s="13"/>
      <c r="H231" s="13"/>
      <c r="I231" s="116"/>
      <c r="J231" s="156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ht="14.25" customHeight="1">
      <c r="A232" s="13"/>
      <c r="B232" s="13"/>
      <c r="C232" s="13"/>
      <c r="D232" s="13"/>
      <c r="E232" s="13"/>
      <c r="F232" s="13"/>
      <c r="G232" s="13"/>
      <c r="H232" s="13"/>
      <c r="I232" s="116"/>
      <c r="J232" s="156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ht="14.25" customHeight="1">
      <c r="A233" s="13"/>
      <c r="B233" s="13"/>
      <c r="C233" s="13"/>
      <c r="D233" s="13"/>
      <c r="E233" s="13"/>
      <c r="F233" s="13"/>
      <c r="G233" s="13"/>
      <c r="H233" s="13"/>
      <c r="I233" s="116"/>
      <c r="J233" s="156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ht="14.25" customHeight="1">
      <c r="A234" s="13"/>
      <c r="B234" s="13"/>
      <c r="C234" s="13"/>
      <c r="D234" s="13"/>
      <c r="E234" s="13"/>
      <c r="F234" s="13"/>
      <c r="G234" s="13"/>
      <c r="H234" s="13"/>
      <c r="I234" s="116"/>
      <c r="J234" s="156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ht="14.25" customHeight="1">
      <c r="A235" s="13"/>
      <c r="B235" s="13"/>
      <c r="C235" s="13"/>
      <c r="D235" s="13"/>
      <c r="E235" s="13"/>
      <c r="F235" s="13"/>
      <c r="G235" s="13"/>
      <c r="H235" s="13"/>
      <c r="I235" s="116"/>
      <c r="J235" s="156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ht="14.25" customHeight="1">
      <c r="A236" s="13"/>
      <c r="B236" s="13"/>
      <c r="C236" s="13"/>
      <c r="D236" s="13"/>
      <c r="E236" s="13"/>
      <c r="F236" s="13"/>
      <c r="G236" s="13"/>
      <c r="H236" s="13"/>
      <c r="I236" s="116"/>
      <c r="J236" s="156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ht="14.25" customHeight="1">
      <c r="A237" s="13"/>
      <c r="B237" s="13"/>
      <c r="C237" s="13"/>
      <c r="D237" s="13"/>
      <c r="E237" s="13"/>
      <c r="F237" s="13"/>
      <c r="G237" s="13"/>
      <c r="H237" s="13"/>
      <c r="I237" s="116"/>
      <c r="J237" s="156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ht="14.25" customHeight="1">
      <c r="A238" s="13"/>
      <c r="B238" s="13"/>
      <c r="C238" s="13"/>
      <c r="D238" s="13"/>
      <c r="E238" s="13"/>
      <c r="F238" s="13"/>
      <c r="G238" s="13"/>
      <c r="H238" s="13"/>
      <c r="I238" s="116"/>
      <c r="J238" s="156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ht="14.25" customHeight="1">
      <c r="A239" s="13"/>
      <c r="B239" s="13"/>
      <c r="C239" s="13"/>
      <c r="D239" s="13"/>
      <c r="E239" s="13"/>
      <c r="F239" s="13"/>
      <c r="G239" s="13"/>
      <c r="H239" s="13"/>
      <c r="I239" s="116"/>
      <c r="J239" s="156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ht="14.25" customHeight="1">
      <c r="A240" s="13"/>
      <c r="B240" s="13"/>
      <c r="C240" s="13"/>
      <c r="D240" s="13"/>
      <c r="E240" s="13"/>
      <c r="F240" s="13"/>
      <c r="G240" s="13"/>
      <c r="H240" s="13"/>
      <c r="I240" s="116"/>
      <c r="J240" s="156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14.25" customHeight="1">
      <c r="A241" s="13"/>
      <c r="B241" s="13"/>
      <c r="C241" s="13"/>
      <c r="D241" s="13"/>
      <c r="E241" s="13"/>
      <c r="F241" s="13"/>
      <c r="G241" s="13"/>
      <c r="H241" s="13"/>
      <c r="I241" s="116"/>
      <c r="J241" s="156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ht="14.25" customHeight="1">
      <c r="A242" s="13"/>
      <c r="B242" s="13"/>
      <c r="C242" s="13"/>
      <c r="D242" s="13"/>
      <c r="E242" s="13"/>
      <c r="F242" s="13"/>
      <c r="G242" s="13"/>
      <c r="H242" s="13"/>
      <c r="I242" s="116"/>
      <c r="J242" s="156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ht="14.25" customHeight="1">
      <c r="A243" s="13"/>
      <c r="B243" s="13"/>
      <c r="C243" s="13"/>
      <c r="D243" s="13"/>
      <c r="E243" s="13"/>
      <c r="F243" s="13"/>
      <c r="G243" s="13"/>
      <c r="H243" s="13"/>
      <c r="I243" s="116"/>
      <c r="J243" s="156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ht="14.25" customHeight="1">
      <c r="A244" s="13"/>
      <c r="B244" s="13"/>
      <c r="C244" s="13"/>
      <c r="D244" s="13"/>
      <c r="E244" s="13"/>
      <c r="F244" s="13"/>
      <c r="G244" s="13"/>
      <c r="H244" s="13"/>
      <c r="I244" s="116"/>
      <c r="J244" s="156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ht="14.25" customHeight="1">
      <c r="A245" s="13"/>
      <c r="B245" s="13"/>
      <c r="C245" s="13"/>
      <c r="D245" s="13"/>
      <c r="E245" s="13"/>
      <c r="F245" s="13"/>
      <c r="G245" s="13"/>
      <c r="H245" s="13"/>
      <c r="I245" s="116"/>
      <c r="J245" s="156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ht="14.25" customHeight="1">
      <c r="A246" s="13"/>
      <c r="B246" s="13"/>
      <c r="C246" s="13"/>
      <c r="D246" s="13"/>
      <c r="E246" s="13"/>
      <c r="F246" s="13"/>
      <c r="G246" s="13"/>
      <c r="H246" s="13"/>
      <c r="I246" s="116"/>
      <c r="J246" s="156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ht="14.25" customHeight="1">
      <c r="A247" s="13"/>
      <c r="B247" s="13"/>
      <c r="C247" s="13"/>
      <c r="D247" s="13"/>
      <c r="E247" s="13"/>
      <c r="F247" s="13"/>
      <c r="G247" s="13"/>
      <c r="H247" s="13"/>
      <c r="I247" s="116"/>
      <c r="J247" s="156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ht="14.25" customHeight="1">
      <c r="A248" s="13"/>
      <c r="B248" s="13"/>
      <c r="C248" s="13"/>
      <c r="D248" s="13"/>
      <c r="E248" s="13"/>
      <c r="F248" s="13"/>
      <c r="G248" s="13"/>
      <c r="H248" s="13"/>
      <c r="I248" s="116"/>
      <c r="J248" s="156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ht="14.25" customHeight="1">
      <c r="A249" s="13"/>
      <c r="B249" s="13"/>
      <c r="C249" s="13"/>
      <c r="D249" s="13"/>
      <c r="E249" s="13"/>
      <c r="F249" s="13"/>
      <c r="G249" s="13"/>
      <c r="H249" s="13"/>
      <c r="I249" s="116"/>
      <c r="J249" s="156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ht="14.25" customHeight="1">
      <c r="A250" s="13"/>
      <c r="B250" s="13"/>
      <c r="C250" s="13"/>
      <c r="D250" s="13"/>
      <c r="E250" s="13"/>
      <c r="F250" s="13"/>
      <c r="G250" s="13"/>
      <c r="H250" s="13"/>
      <c r="I250" s="116"/>
      <c r="J250" s="156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ht="14.25" customHeight="1">
      <c r="A251" s="13"/>
      <c r="B251" s="13"/>
      <c r="C251" s="13"/>
      <c r="D251" s="13"/>
      <c r="E251" s="13"/>
      <c r="F251" s="13"/>
      <c r="G251" s="13"/>
      <c r="H251" s="13"/>
      <c r="I251" s="116"/>
      <c r="J251" s="156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ht="14.25" customHeight="1">
      <c r="A252" s="13"/>
      <c r="B252" s="13"/>
      <c r="C252" s="13"/>
      <c r="D252" s="13"/>
      <c r="E252" s="13"/>
      <c r="F252" s="13"/>
      <c r="G252" s="13"/>
      <c r="H252" s="13"/>
      <c r="I252" s="116"/>
      <c r="J252" s="156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ht="14.25" customHeight="1">
      <c r="A253" s="13"/>
      <c r="B253" s="13"/>
      <c r="C253" s="13"/>
      <c r="D253" s="13"/>
      <c r="E253" s="13"/>
      <c r="F253" s="13"/>
      <c r="G253" s="13"/>
      <c r="H253" s="13"/>
      <c r="I253" s="116"/>
      <c r="J253" s="156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ht="14.25" customHeight="1">
      <c r="A254" s="13"/>
      <c r="B254" s="13"/>
      <c r="C254" s="13"/>
      <c r="D254" s="13"/>
      <c r="E254" s="13"/>
      <c r="F254" s="13"/>
      <c r="G254" s="13"/>
      <c r="H254" s="13"/>
      <c r="I254" s="116"/>
      <c r="J254" s="156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ht="14.25" customHeight="1">
      <c r="A255" s="13"/>
      <c r="B255" s="13"/>
      <c r="C255" s="13"/>
      <c r="D255" s="13"/>
      <c r="E255" s="13"/>
      <c r="F255" s="13"/>
      <c r="G255" s="13"/>
      <c r="H255" s="13"/>
      <c r="I255" s="116"/>
      <c r="J255" s="156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ht="14.25" customHeight="1">
      <c r="A256" s="13"/>
      <c r="B256" s="13"/>
      <c r="C256" s="13"/>
      <c r="D256" s="13"/>
      <c r="E256" s="13"/>
      <c r="F256" s="13"/>
      <c r="G256" s="13"/>
      <c r="H256" s="13"/>
      <c r="I256" s="116"/>
      <c r="J256" s="156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ht="14.25" customHeight="1">
      <c r="A257" s="13"/>
      <c r="B257" s="13"/>
      <c r="C257" s="13"/>
      <c r="D257" s="13"/>
      <c r="E257" s="13"/>
      <c r="F257" s="13"/>
      <c r="G257" s="13"/>
      <c r="H257" s="13"/>
      <c r="I257" s="116"/>
      <c r="J257" s="156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14.25" customHeight="1">
      <c r="A258" s="13"/>
      <c r="B258" s="13"/>
      <c r="C258" s="13"/>
      <c r="D258" s="13"/>
      <c r="E258" s="13"/>
      <c r="F258" s="13"/>
      <c r="G258" s="13"/>
      <c r="H258" s="13"/>
      <c r="I258" s="116"/>
      <c r="J258" s="156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ht="14.25" customHeight="1">
      <c r="A259" s="13"/>
      <c r="B259" s="13"/>
      <c r="C259" s="13"/>
      <c r="D259" s="13"/>
      <c r="E259" s="13"/>
      <c r="F259" s="13"/>
      <c r="G259" s="13"/>
      <c r="H259" s="13"/>
      <c r="I259" s="116"/>
      <c r="J259" s="156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ht="14.25" customHeight="1">
      <c r="A260" s="13"/>
      <c r="B260" s="13"/>
      <c r="C260" s="13"/>
      <c r="D260" s="13"/>
      <c r="E260" s="13"/>
      <c r="F260" s="13"/>
      <c r="G260" s="13"/>
      <c r="H260" s="13"/>
      <c r="I260" s="116"/>
      <c r="J260" s="156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ht="14.25" customHeight="1">
      <c r="A261" s="13"/>
      <c r="B261" s="13"/>
      <c r="C261" s="13"/>
      <c r="D261" s="13"/>
      <c r="E261" s="13"/>
      <c r="F261" s="13"/>
      <c r="G261" s="13"/>
      <c r="H261" s="13"/>
      <c r="I261" s="116"/>
      <c r="J261" s="156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14.25" customHeight="1">
      <c r="A262" s="13"/>
      <c r="B262" s="13"/>
      <c r="C262" s="13"/>
      <c r="D262" s="13"/>
      <c r="E262" s="13"/>
      <c r="F262" s="13"/>
      <c r="G262" s="13"/>
      <c r="H262" s="13"/>
      <c r="I262" s="116"/>
      <c r="J262" s="156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ht="14.25" customHeight="1">
      <c r="A263" s="13"/>
      <c r="B263" s="13"/>
      <c r="C263" s="13"/>
      <c r="D263" s="13"/>
      <c r="E263" s="13"/>
      <c r="F263" s="13"/>
      <c r="G263" s="13"/>
      <c r="H263" s="13"/>
      <c r="I263" s="116"/>
      <c r="J263" s="156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ht="14.25" customHeight="1">
      <c r="A264" s="13"/>
      <c r="B264" s="13"/>
      <c r="C264" s="13"/>
      <c r="D264" s="13"/>
      <c r="E264" s="13"/>
      <c r="F264" s="13"/>
      <c r="G264" s="13"/>
      <c r="H264" s="13"/>
      <c r="I264" s="116"/>
      <c r="J264" s="156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ht="14.25" customHeight="1">
      <c r="A265" s="13"/>
      <c r="B265" s="13"/>
      <c r="C265" s="13"/>
      <c r="D265" s="13"/>
      <c r="E265" s="13"/>
      <c r="F265" s="13"/>
      <c r="G265" s="13"/>
      <c r="H265" s="13"/>
      <c r="I265" s="116"/>
      <c r="J265" s="156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ht="14.25" customHeight="1">
      <c r="A266" s="13"/>
      <c r="B266" s="13"/>
      <c r="C266" s="13"/>
      <c r="D266" s="13"/>
      <c r="E266" s="13"/>
      <c r="F266" s="13"/>
      <c r="G266" s="13"/>
      <c r="H266" s="13"/>
      <c r="I266" s="116"/>
      <c r="J266" s="156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ht="14.25" customHeight="1">
      <c r="A267" s="13"/>
      <c r="B267" s="13"/>
      <c r="C267" s="13"/>
      <c r="D267" s="13"/>
      <c r="E267" s="13"/>
      <c r="F267" s="13"/>
      <c r="G267" s="13"/>
      <c r="H267" s="13"/>
      <c r="I267" s="116"/>
      <c r="J267" s="156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ht="14.25" customHeight="1">
      <c r="A268" s="13"/>
      <c r="B268" s="13"/>
      <c r="C268" s="13"/>
      <c r="D268" s="13"/>
      <c r="E268" s="13"/>
      <c r="F268" s="13"/>
      <c r="G268" s="13"/>
      <c r="H268" s="13"/>
      <c r="I268" s="116"/>
      <c r="J268" s="156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ht="14.25" customHeight="1">
      <c r="A269" s="13"/>
      <c r="B269" s="13"/>
      <c r="C269" s="13"/>
      <c r="D269" s="13"/>
      <c r="E269" s="13"/>
      <c r="F269" s="13"/>
      <c r="G269" s="13"/>
      <c r="H269" s="13"/>
      <c r="I269" s="116"/>
      <c r="J269" s="156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ht="14.25" customHeight="1">
      <c r="A270" s="13"/>
      <c r="B270" s="13"/>
      <c r="C270" s="13"/>
      <c r="D270" s="13"/>
      <c r="E270" s="13"/>
      <c r="F270" s="13"/>
      <c r="G270" s="13"/>
      <c r="H270" s="13"/>
      <c r="I270" s="116"/>
      <c r="J270" s="156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ht="14.25" customHeight="1">
      <c r="A271" s="13"/>
      <c r="B271" s="13"/>
      <c r="C271" s="13"/>
      <c r="D271" s="13"/>
      <c r="E271" s="13"/>
      <c r="F271" s="13"/>
      <c r="G271" s="13"/>
      <c r="H271" s="13"/>
      <c r="I271" s="116"/>
      <c r="J271" s="156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ht="14.25" customHeight="1">
      <c r="A272" s="13"/>
      <c r="B272" s="13"/>
      <c r="C272" s="13"/>
      <c r="D272" s="13"/>
      <c r="E272" s="13"/>
      <c r="F272" s="13"/>
      <c r="G272" s="13"/>
      <c r="H272" s="13"/>
      <c r="I272" s="116"/>
      <c r="J272" s="156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ht="14.25" customHeight="1">
      <c r="A273" s="13"/>
      <c r="B273" s="13"/>
      <c r="C273" s="13"/>
      <c r="D273" s="13"/>
      <c r="E273" s="13"/>
      <c r="F273" s="13"/>
      <c r="G273" s="13"/>
      <c r="H273" s="13"/>
      <c r="I273" s="116"/>
      <c r="J273" s="156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ht="14.25" customHeight="1">
      <c r="A274" s="13"/>
      <c r="B274" s="13"/>
      <c r="C274" s="13"/>
      <c r="D274" s="13"/>
      <c r="E274" s="13"/>
      <c r="F274" s="13"/>
      <c r="G274" s="13"/>
      <c r="H274" s="13"/>
      <c r="I274" s="116"/>
      <c r="J274" s="156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ht="14.25" customHeight="1">
      <c r="A275" s="13"/>
      <c r="B275" s="13"/>
      <c r="C275" s="13"/>
      <c r="D275" s="13"/>
      <c r="E275" s="13"/>
      <c r="F275" s="13"/>
      <c r="G275" s="13"/>
      <c r="H275" s="13"/>
      <c r="I275" s="116"/>
      <c r="J275" s="156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ht="14.25" customHeight="1">
      <c r="A276" s="13"/>
      <c r="B276" s="13"/>
      <c r="C276" s="13"/>
      <c r="D276" s="13"/>
      <c r="E276" s="13"/>
      <c r="F276" s="13"/>
      <c r="G276" s="13"/>
      <c r="H276" s="13"/>
      <c r="I276" s="116"/>
      <c r="J276" s="156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ht="14.25" customHeight="1">
      <c r="A277" s="13"/>
      <c r="B277" s="13"/>
      <c r="C277" s="13"/>
      <c r="D277" s="13"/>
      <c r="E277" s="13"/>
      <c r="F277" s="13"/>
      <c r="G277" s="13"/>
      <c r="H277" s="13"/>
      <c r="I277" s="116"/>
      <c r="J277" s="156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ht="14.25" customHeight="1">
      <c r="A278" s="13"/>
      <c r="B278" s="13"/>
      <c r="C278" s="13"/>
      <c r="D278" s="13"/>
      <c r="E278" s="13"/>
      <c r="F278" s="13"/>
      <c r="G278" s="13"/>
      <c r="H278" s="13"/>
      <c r="I278" s="116"/>
      <c r="J278" s="156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ht="14.25" customHeight="1">
      <c r="A279" s="13"/>
      <c r="B279" s="13"/>
      <c r="C279" s="13"/>
      <c r="D279" s="13"/>
      <c r="E279" s="13"/>
      <c r="F279" s="13"/>
      <c r="G279" s="13"/>
      <c r="H279" s="13"/>
      <c r="I279" s="116"/>
      <c r="J279" s="156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ht="14.25" customHeight="1">
      <c r="A280" s="13"/>
      <c r="B280" s="13"/>
      <c r="C280" s="13"/>
      <c r="D280" s="13"/>
      <c r="E280" s="13"/>
      <c r="F280" s="13"/>
      <c r="G280" s="13"/>
      <c r="H280" s="13"/>
      <c r="I280" s="116"/>
      <c r="J280" s="156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ht="14.25" customHeight="1">
      <c r="A281" s="13"/>
      <c r="B281" s="13"/>
      <c r="C281" s="13"/>
      <c r="D281" s="13"/>
      <c r="E281" s="13"/>
      <c r="F281" s="13"/>
      <c r="G281" s="13"/>
      <c r="H281" s="13"/>
      <c r="I281" s="116"/>
      <c r="J281" s="156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ht="14.25" customHeight="1">
      <c r="A282" s="13"/>
      <c r="B282" s="13"/>
      <c r="C282" s="13"/>
      <c r="D282" s="13"/>
      <c r="E282" s="13"/>
      <c r="F282" s="13"/>
      <c r="G282" s="13"/>
      <c r="H282" s="13"/>
      <c r="I282" s="116"/>
      <c r="J282" s="156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ht="14.25" customHeight="1">
      <c r="A283" s="13"/>
      <c r="B283" s="13"/>
      <c r="C283" s="13"/>
      <c r="D283" s="13"/>
      <c r="E283" s="13"/>
      <c r="F283" s="13"/>
      <c r="G283" s="13"/>
      <c r="H283" s="13"/>
      <c r="I283" s="116"/>
      <c r="J283" s="156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ht="14.25" customHeight="1">
      <c r="A284" s="13"/>
      <c r="B284" s="13"/>
      <c r="C284" s="13"/>
      <c r="D284" s="13"/>
      <c r="E284" s="13"/>
      <c r="F284" s="13"/>
      <c r="G284" s="13"/>
      <c r="H284" s="13"/>
      <c r="I284" s="116"/>
      <c r="J284" s="156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ht="14.25" customHeight="1">
      <c r="A285" s="13"/>
      <c r="B285" s="13"/>
      <c r="C285" s="13"/>
      <c r="D285" s="13"/>
      <c r="E285" s="13"/>
      <c r="F285" s="13"/>
      <c r="G285" s="13"/>
      <c r="H285" s="13"/>
      <c r="I285" s="116"/>
      <c r="J285" s="156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ht="14.25" customHeight="1">
      <c r="A286" s="13"/>
      <c r="B286" s="13"/>
      <c r="C286" s="13"/>
      <c r="D286" s="13"/>
      <c r="E286" s="13"/>
      <c r="F286" s="13"/>
      <c r="G286" s="13"/>
      <c r="H286" s="13"/>
      <c r="I286" s="116"/>
      <c r="J286" s="156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ht="14.25" customHeight="1">
      <c r="A287" s="13"/>
      <c r="B287" s="13"/>
      <c r="C287" s="13"/>
      <c r="D287" s="13"/>
      <c r="E287" s="13"/>
      <c r="F287" s="13"/>
      <c r="G287" s="13"/>
      <c r="H287" s="13"/>
      <c r="I287" s="116"/>
      <c r="J287" s="156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ht="14.25" customHeight="1">
      <c r="A288" s="13"/>
      <c r="B288" s="13"/>
      <c r="C288" s="13"/>
      <c r="D288" s="13"/>
      <c r="E288" s="13"/>
      <c r="F288" s="13"/>
      <c r="G288" s="13"/>
      <c r="H288" s="13"/>
      <c r="I288" s="116"/>
      <c r="J288" s="156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14.25" customHeight="1">
      <c r="A289" s="13"/>
      <c r="B289" s="13"/>
      <c r="C289" s="13"/>
      <c r="D289" s="13"/>
      <c r="E289" s="13"/>
      <c r="F289" s="13"/>
      <c r="G289" s="13"/>
      <c r="H289" s="13"/>
      <c r="I289" s="116"/>
      <c r="J289" s="156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ht="14.25" customHeight="1">
      <c r="A290" s="13"/>
      <c r="B290" s="13"/>
      <c r="C290" s="13"/>
      <c r="D290" s="13"/>
      <c r="E290" s="13"/>
      <c r="F290" s="13"/>
      <c r="G290" s="13"/>
      <c r="H290" s="13"/>
      <c r="I290" s="116"/>
      <c r="J290" s="156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ht="14.25" customHeight="1">
      <c r="A291" s="13"/>
      <c r="B291" s="13"/>
      <c r="C291" s="13"/>
      <c r="D291" s="13"/>
      <c r="E291" s="13"/>
      <c r="F291" s="13"/>
      <c r="G291" s="13"/>
      <c r="H291" s="13"/>
      <c r="I291" s="116"/>
      <c r="J291" s="156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ht="14.25" customHeight="1">
      <c r="A292" s="13"/>
      <c r="B292" s="13"/>
      <c r="C292" s="13"/>
      <c r="D292" s="13"/>
      <c r="E292" s="13"/>
      <c r="F292" s="13"/>
      <c r="G292" s="13"/>
      <c r="H292" s="13"/>
      <c r="I292" s="116"/>
      <c r="J292" s="156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ht="14.25" customHeight="1">
      <c r="A293" s="13"/>
      <c r="B293" s="13"/>
      <c r="C293" s="13"/>
      <c r="D293" s="13"/>
      <c r="E293" s="13"/>
      <c r="F293" s="13"/>
      <c r="G293" s="13"/>
      <c r="H293" s="13"/>
      <c r="I293" s="116"/>
      <c r="J293" s="156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ht="14.25" customHeight="1">
      <c r="A294" s="13"/>
      <c r="B294" s="13"/>
      <c r="C294" s="13"/>
      <c r="D294" s="13"/>
      <c r="E294" s="13"/>
      <c r="F294" s="13"/>
      <c r="G294" s="13"/>
      <c r="H294" s="13"/>
      <c r="I294" s="116"/>
      <c r="J294" s="156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ht="14.25" customHeight="1">
      <c r="A295" s="13"/>
      <c r="B295" s="13"/>
      <c r="C295" s="13"/>
      <c r="D295" s="13"/>
      <c r="E295" s="13"/>
      <c r="F295" s="13"/>
      <c r="G295" s="13"/>
      <c r="H295" s="13"/>
      <c r="I295" s="116"/>
      <c r="J295" s="156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ht="14.25" customHeight="1">
      <c r="A296" s="13"/>
      <c r="B296" s="13"/>
      <c r="C296" s="13"/>
      <c r="D296" s="13"/>
      <c r="E296" s="13"/>
      <c r="F296" s="13"/>
      <c r="G296" s="13"/>
      <c r="H296" s="13"/>
      <c r="I296" s="116"/>
      <c r="J296" s="156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ht="14.25" customHeight="1">
      <c r="A297" s="13"/>
      <c r="B297" s="13"/>
      <c r="C297" s="13"/>
      <c r="D297" s="13"/>
      <c r="E297" s="13"/>
      <c r="F297" s="13"/>
      <c r="G297" s="13"/>
      <c r="H297" s="13"/>
      <c r="I297" s="116"/>
      <c r="J297" s="156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ht="14.25" customHeight="1">
      <c r="A298" s="13"/>
      <c r="B298" s="13"/>
      <c r="C298" s="13"/>
      <c r="D298" s="13"/>
      <c r="E298" s="13"/>
      <c r="F298" s="13"/>
      <c r="G298" s="13"/>
      <c r="H298" s="13"/>
      <c r="I298" s="116"/>
      <c r="J298" s="156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ht="14.25" customHeight="1">
      <c r="A299" s="13"/>
      <c r="B299" s="13"/>
      <c r="C299" s="13"/>
      <c r="D299" s="13"/>
      <c r="E299" s="13"/>
      <c r="F299" s="13"/>
      <c r="G299" s="13"/>
      <c r="H299" s="13"/>
      <c r="I299" s="116"/>
      <c r="J299" s="156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ht="14.25" customHeight="1">
      <c r="A300" s="13"/>
      <c r="B300" s="13"/>
      <c r="C300" s="13"/>
      <c r="D300" s="13"/>
      <c r="E300" s="13"/>
      <c r="F300" s="13"/>
      <c r="G300" s="13"/>
      <c r="H300" s="13"/>
      <c r="I300" s="116"/>
      <c r="J300" s="156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ht="14.25" customHeight="1">
      <c r="A301" s="13"/>
      <c r="B301" s="13"/>
      <c r="C301" s="13"/>
      <c r="D301" s="13"/>
      <c r="E301" s="13"/>
      <c r="F301" s="13"/>
      <c r="G301" s="13"/>
      <c r="H301" s="13"/>
      <c r="I301" s="116"/>
      <c r="J301" s="156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ht="14.25" customHeight="1">
      <c r="A302" s="13"/>
      <c r="B302" s="13"/>
      <c r="C302" s="13"/>
      <c r="D302" s="13"/>
      <c r="E302" s="13"/>
      <c r="F302" s="13"/>
      <c r="G302" s="13"/>
      <c r="H302" s="13"/>
      <c r="I302" s="116"/>
      <c r="J302" s="156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ht="14.25" customHeight="1">
      <c r="A303" s="13"/>
      <c r="B303" s="13"/>
      <c r="C303" s="13"/>
      <c r="D303" s="13"/>
      <c r="E303" s="13"/>
      <c r="F303" s="13"/>
      <c r="G303" s="13"/>
      <c r="H303" s="13"/>
      <c r="I303" s="116"/>
      <c r="J303" s="156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ht="14.25" customHeight="1">
      <c r="A304" s="13"/>
      <c r="B304" s="13"/>
      <c r="C304" s="13"/>
      <c r="D304" s="13"/>
      <c r="E304" s="13"/>
      <c r="F304" s="13"/>
      <c r="G304" s="13"/>
      <c r="H304" s="13"/>
      <c r="I304" s="116"/>
      <c r="J304" s="156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ht="14.25" customHeight="1">
      <c r="A305" s="13"/>
      <c r="B305" s="13"/>
      <c r="C305" s="13"/>
      <c r="D305" s="13"/>
      <c r="E305" s="13"/>
      <c r="F305" s="13"/>
      <c r="G305" s="13"/>
      <c r="H305" s="13"/>
      <c r="I305" s="116"/>
      <c r="J305" s="156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ht="14.25" customHeight="1">
      <c r="A306" s="13"/>
      <c r="B306" s="13"/>
      <c r="C306" s="13"/>
      <c r="D306" s="13"/>
      <c r="E306" s="13"/>
      <c r="F306" s="13"/>
      <c r="G306" s="13"/>
      <c r="H306" s="13"/>
      <c r="I306" s="116"/>
      <c r="J306" s="156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ht="14.25" customHeight="1">
      <c r="A307" s="13"/>
      <c r="B307" s="13"/>
      <c r="C307" s="13"/>
      <c r="D307" s="13"/>
      <c r="E307" s="13"/>
      <c r="F307" s="13"/>
      <c r="G307" s="13"/>
      <c r="H307" s="13"/>
      <c r="I307" s="116"/>
      <c r="J307" s="156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ht="14.25" customHeight="1">
      <c r="A308" s="13"/>
      <c r="B308" s="13"/>
      <c r="C308" s="13"/>
      <c r="D308" s="13"/>
      <c r="E308" s="13"/>
      <c r="F308" s="13"/>
      <c r="G308" s="13"/>
      <c r="H308" s="13"/>
      <c r="I308" s="116"/>
      <c r="J308" s="156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ht="14.25" customHeight="1">
      <c r="A309" s="13"/>
      <c r="B309" s="13"/>
      <c r="C309" s="13"/>
      <c r="D309" s="13"/>
      <c r="E309" s="13"/>
      <c r="F309" s="13"/>
      <c r="G309" s="13"/>
      <c r="H309" s="13"/>
      <c r="I309" s="116"/>
      <c r="J309" s="156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ht="14.25" customHeight="1">
      <c r="A310" s="13"/>
      <c r="B310" s="13"/>
      <c r="C310" s="13"/>
      <c r="D310" s="13"/>
      <c r="E310" s="13"/>
      <c r="F310" s="13"/>
      <c r="G310" s="13"/>
      <c r="H310" s="13"/>
      <c r="I310" s="116"/>
      <c r="J310" s="156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ht="14.25" customHeight="1">
      <c r="A311" s="13"/>
      <c r="B311" s="13"/>
      <c r="C311" s="13"/>
      <c r="D311" s="13"/>
      <c r="E311" s="13"/>
      <c r="F311" s="13"/>
      <c r="G311" s="13"/>
      <c r="H311" s="13"/>
      <c r="I311" s="116"/>
      <c r="J311" s="156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ht="14.25" customHeight="1">
      <c r="A312" s="13"/>
      <c r="B312" s="13"/>
      <c r="C312" s="13"/>
      <c r="D312" s="13"/>
      <c r="E312" s="13"/>
      <c r="F312" s="13"/>
      <c r="G312" s="13"/>
      <c r="H312" s="13"/>
      <c r="I312" s="116"/>
      <c r="J312" s="156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ht="14.25" customHeight="1">
      <c r="A313" s="13"/>
      <c r="B313" s="13"/>
      <c r="C313" s="13"/>
      <c r="D313" s="13"/>
      <c r="E313" s="13"/>
      <c r="F313" s="13"/>
      <c r="G313" s="13"/>
      <c r="H313" s="13"/>
      <c r="I313" s="116"/>
      <c r="J313" s="156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ht="14.25" customHeight="1">
      <c r="A314" s="13"/>
      <c r="B314" s="13"/>
      <c r="C314" s="13"/>
      <c r="D314" s="13"/>
      <c r="E314" s="13"/>
      <c r="F314" s="13"/>
      <c r="G314" s="13"/>
      <c r="H314" s="13"/>
      <c r="I314" s="116"/>
      <c r="J314" s="156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ht="14.25" customHeight="1">
      <c r="A315" s="13"/>
      <c r="B315" s="13"/>
      <c r="C315" s="13"/>
      <c r="D315" s="13"/>
      <c r="E315" s="13"/>
      <c r="F315" s="13"/>
      <c r="G315" s="13"/>
      <c r="H315" s="13"/>
      <c r="I315" s="116"/>
      <c r="J315" s="156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ht="14.25" customHeight="1">
      <c r="A316" s="13"/>
      <c r="B316" s="13"/>
      <c r="C316" s="13"/>
      <c r="D316" s="13"/>
      <c r="E316" s="13"/>
      <c r="F316" s="13"/>
      <c r="G316" s="13"/>
      <c r="H316" s="13"/>
      <c r="I316" s="116"/>
      <c r="J316" s="156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ht="14.25" customHeight="1">
      <c r="A317" s="13"/>
      <c r="B317" s="13"/>
      <c r="C317" s="13"/>
      <c r="D317" s="13"/>
      <c r="E317" s="13"/>
      <c r="F317" s="13"/>
      <c r="G317" s="13"/>
      <c r="H317" s="13"/>
      <c r="I317" s="116"/>
      <c r="J317" s="156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ht="14.25" customHeight="1">
      <c r="A318" s="13"/>
      <c r="B318" s="13"/>
      <c r="C318" s="13"/>
      <c r="D318" s="13"/>
      <c r="E318" s="13"/>
      <c r="F318" s="13"/>
      <c r="G318" s="13"/>
      <c r="H318" s="13"/>
      <c r="I318" s="116"/>
      <c r="J318" s="156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ht="14.25" customHeight="1">
      <c r="A319" s="13"/>
      <c r="B319" s="13"/>
      <c r="C319" s="13"/>
      <c r="D319" s="13"/>
      <c r="E319" s="13"/>
      <c r="F319" s="13"/>
      <c r="G319" s="13"/>
      <c r="H319" s="13"/>
      <c r="I319" s="116"/>
      <c r="J319" s="156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ht="14.25" customHeight="1">
      <c r="A320" s="13"/>
      <c r="B320" s="13"/>
      <c r="C320" s="13"/>
      <c r="D320" s="13"/>
      <c r="E320" s="13"/>
      <c r="F320" s="13"/>
      <c r="G320" s="13"/>
      <c r="H320" s="13"/>
      <c r="I320" s="116"/>
      <c r="J320" s="156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ht="14.25" customHeight="1">
      <c r="A321" s="13"/>
      <c r="B321" s="13"/>
      <c r="C321" s="13"/>
      <c r="D321" s="13"/>
      <c r="E321" s="13"/>
      <c r="F321" s="13"/>
      <c r="G321" s="13"/>
      <c r="H321" s="13"/>
      <c r="I321" s="116"/>
      <c r="J321" s="156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ht="14.25" customHeight="1">
      <c r="A322" s="13"/>
      <c r="B322" s="13"/>
      <c r="C322" s="13"/>
      <c r="D322" s="13"/>
      <c r="E322" s="13"/>
      <c r="F322" s="13"/>
      <c r="G322" s="13"/>
      <c r="H322" s="13"/>
      <c r="I322" s="116"/>
      <c r="J322" s="156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ht="14.25" customHeight="1">
      <c r="A323" s="13"/>
      <c r="B323" s="13"/>
      <c r="C323" s="13"/>
      <c r="D323" s="13"/>
      <c r="E323" s="13"/>
      <c r="F323" s="13"/>
      <c r="G323" s="13"/>
      <c r="H323" s="13"/>
      <c r="I323" s="116"/>
      <c r="J323" s="156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ht="14.25" customHeight="1">
      <c r="A324" s="13"/>
      <c r="B324" s="13"/>
      <c r="C324" s="13"/>
      <c r="D324" s="13"/>
      <c r="E324" s="13"/>
      <c r="F324" s="13"/>
      <c r="G324" s="13"/>
      <c r="H324" s="13"/>
      <c r="I324" s="116"/>
      <c r="J324" s="156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ht="14.25" customHeight="1">
      <c r="A325" s="13"/>
      <c r="B325" s="13"/>
      <c r="C325" s="13"/>
      <c r="D325" s="13"/>
      <c r="E325" s="13"/>
      <c r="F325" s="13"/>
      <c r="G325" s="13"/>
      <c r="H325" s="13"/>
      <c r="I325" s="116"/>
      <c r="J325" s="156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ht="14.25" customHeight="1">
      <c r="A326" s="13"/>
      <c r="B326" s="13"/>
      <c r="C326" s="13"/>
      <c r="D326" s="13"/>
      <c r="E326" s="13"/>
      <c r="F326" s="13"/>
      <c r="G326" s="13"/>
      <c r="H326" s="13"/>
      <c r="I326" s="116"/>
      <c r="J326" s="156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ht="14.25" customHeight="1">
      <c r="A327" s="13"/>
      <c r="B327" s="13"/>
      <c r="C327" s="13"/>
      <c r="D327" s="13"/>
      <c r="E327" s="13"/>
      <c r="F327" s="13"/>
      <c r="G327" s="13"/>
      <c r="H327" s="13"/>
      <c r="I327" s="116"/>
      <c r="J327" s="156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ht="14.25" customHeight="1">
      <c r="A328" s="13"/>
      <c r="B328" s="13"/>
      <c r="C328" s="13"/>
      <c r="D328" s="13"/>
      <c r="E328" s="13"/>
      <c r="F328" s="13"/>
      <c r="G328" s="13"/>
      <c r="H328" s="13"/>
      <c r="I328" s="116"/>
      <c r="J328" s="156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ht="14.25" customHeight="1">
      <c r="A329" s="13"/>
      <c r="B329" s="13"/>
      <c r="C329" s="13"/>
      <c r="D329" s="13"/>
      <c r="E329" s="13"/>
      <c r="F329" s="13"/>
      <c r="G329" s="13"/>
      <c r="H329" s="13"/>
      <c r="I329" s="116"/>
      <c r="J329" s="156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14.25" customHeight="1">
      <c r="A330" s="13"/>
      <c r="B330" s="13"/>
      <c r="C330" s="13"/>
      <c r="D330" s="13"/>
      <c r="E330" s="13"/>
      <c r="F330" s="13"/>
      <c r="G330" s="13"/>
      <c r="H330" s="13"/>
      <c r="I330" s="116"/>
      <c r="J330" s="156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ht="14.25" customHeight="1">
      <c r="A331" s="13"/>
      <c r="B331" s="13"/>
      <c r="C331" s="13"/>
      <c r="D331" s="13"/>
      <c r="E331" s="13"/>
      <c r="F331" s="13"/>
      <c r="G331" s="13"/>
      <c r="H331" s="13"/>
      <c r="I331" s="116"/>
      <c r="J331" s="156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ht="14.25" customHeight="1">
      <c r="A332" s="13"/>
      <c r="B332" s="13"/>
      <c r="C332" s="13"/>
      <c r="D332" s="13"/>
      <c r="E332" s="13"/>
      <c r="F332" s="13"/>
      <c r="G332" s="13"/>
      <c r="H332" s="13"/>
      <c r="I332" s="116"/>
      <c r="J332" s="156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ht="14.25" customHeight="1">
      <c r="A333" s="13"/>
      <c r="B333" s="13"/>
      <c r="C333" s="13"/>
      <c r="D333" s="13"/>
      <c r="E333" s="13"/>
      <c r="F333" s="13"/>
      <c r="G333" s="13"/>
      <c r="H333" s="13"/>
      <c r="I333" s="116"/>
      <c r="J333" s="156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ht="14.25" customHeight="1">
      <c r="A334" s="13"/>
      <c r="B334" s="13"/>
      <c r="C334" s="13"/>
      <c r="D334" s="13"/>
      <c r="E334" s="13"/>
      <c r="F334" s="13"/>
      <c r="G334" s="13"/>
      <c r="H334" s="13"/>
      <c r="I334" s="116"/>
      <c r="J334" s="156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ht="14.25" customHeight="1">
      <c r="A335" s="13"/>
      <c r="B335" s="13"/>
      <c r="C335" s="13"/>
      <c r="D335" s="13"/>
      <c r="E335" s="13"/>
      <c r="F335" s="13"/>
      <c r="G335" s="13"/>
      <c r="H335" s="13"/>
      <c r="I335" s="116"/>
      <c r="J335" s="156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ht="14.25" customHeight="1">
      <c r="A336" s="13"/>
      <c r="B336" s="13"/>
      <c r="C336" s="13"/>
      <c r="D336" s="13"/>
      <c r="E336" s="13"/>
      <c r="F336" s="13"/>
      <c r="G336" s="13"/>
      <c r="H336" s="13"/>
      <c r="I336" s="116"/>
      <c r="J336" s="156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ht="14.25" customHeight="1">
      <c r="A337" s="13"/>
      <c r="B337" s="13"/>
      <c r="C337" s="13"/>
      <c r="D337" s="13"/>
      <c r="E337" s="13"/>
      <c r="F337" s="13"/>
      <c r="G337" s="13"/>
      <c r="H337" s="13"/>
      <c r="I337" s="116"/>
      <c r="J337" s="156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ht="14.25" customHeight="1">
      <c r="A338" s="13"/>
      <c r="B338" s="13"/>
      <c r="C338" s="13"/>
      <c r="D338" s="13"/>
      <c r="E338" s="13"/>
      <c r="F338" s="13"/>
      <c r="G338" s="13"/>
      <c r="H338" s="13"/>
      <c r="I338" s="116"/>
      <c r="J338" s="156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ht="14.25" customHeight="1">
      <c r="A339" s="13"/>
      <c r="B339" s="13"/>
      <c r="C339" s="13"/>
      <c r="D339" s="13"/>
      <c r="E339" s="13"/>
      <c r="F339" s="13"/>
      <c r="G339" s="13"/>
      <c r="H339" s="13"/>
      <c r="I339" s="116"/>
      <c r="J339" s="156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ht="14.25" customHeight="1">
      <c r="A340" s="13"/>
      <c r="B340" s="13"/>
      <c r="C340" s="13"/>
      <c r="D340" s="13"/>
      <c r="E340" s="13"/>
      <c r="F340" s="13"/>
      <c r="G340" s="13"/>
      <c r="H340" s="13"/>
      <c r="I340" s="116"/>
      <c r="J340" s="156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ht="14.25" customHeight="1">
      <c r="A341" s="13"/>
      <c r="B341" s="13"/>
      <c r="C341" s="13"/>
      <c r="D341" s="13"/>
      <c r="E341" s="13"/>
      <c r="F341" s="13"/>
      <c r="G341" s="13"/>
      <c r="H341" s="13"/>
      <c r="I341" s="116"/>
      <c r="J341" s="156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ht="14.25" customHeight="1">
      <c r="A342" s="13"/>
      <c r="B342" s="13"/>
      <c r="C342" s="13"/>
      <c r="D342" s="13"/>
      <c r="E342" s="13"/>
      <c r="F342" s="13"/>
      <c r="G342" s="13"/>
      <c r="H342" s="13"/>
      <c r="I342" s="116"/>
      <c r="J342" s="156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ht="14.25" customHeight="1">
      <c r="A343" s="13"/>
      <c r="B343" s="13"/>
      <c r="C343" s="13"/>
      <c r="D343" s="13"/>
      <c r="E343" s="13"/>
      <c r="F343" s="13"/>
      <c r="G343" s="13"/>
      <c r="H343" s="13"/>
      <c r="I343" s="116"/>
      <c r="J343" s="156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ht="14.25" customHeight="1">
      <c r="A344" s="13"/>
      <c r="B344" s="13"/>
      <c r="C344" s="13"/>
      <c r="D344" s="13"/>
      <c r="E344" s="13"/>
      <c r="F344" s="13"/>
      <c r="G344" s="13"/>
      <c r="H344" s="13"/>
      <c r="I344" s="116"/>
      <c r="J344" s="156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ht="14.25" customHeight="1">
      <c r="A345" s="13"/>
      <c r="B345" s="13"/>
      <c r="C345" s="13"/>
      <c r="D345" s="13"/>
      <c r="E345" s="13"/>
      <c r="F345" s="13"/>
      <c r="G345" s="13"/>
      <c r="H345" s="13"/>
      <c r="I345" s="116"/>
      <c r="J345" s="156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ht="14.25" customHeight="1">
      <c r="A346" s="13"/>
      <c r="B346" s="13"/>
      <c r="C346" s="13"/>
      <c r="D346" s="13"/>
      <c r="E346" s="13"/>
      <c r="F346" s="13"/>
      <c r="G346" s="13"/>
      <c r="H346" s="13"/>
      <c r="I346" s="116"/>
      <c r="J346" s="156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ht="14.25" customHeight="1">
      <c r="A347" s="13"/>
      <c r="B347" s="13"/>
      <c r="C347" s="13"/>
      <c r="D347" s="13"/>
      <c r="E347" s="13"/>
      <c r="F347" s="13"/>
      <c r="G347" s="13"/>
      <c r="H347" s="13"/>
      <c r="I347" s="116"/>
      <c r="J347" s="156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ht="14.25" customHeight="1">
      <c r="A348" s="13"/>
      <c r="B348" s="13"/>
      <c r="C348" s="13"/>
      <c r="D348" s="13"/>
      <c r="E348" s="13"/>
      <c r="F348" s="13"/>
      <c r="G348" s="13"/>
      <c r="H348" s="13"/>
      <c r="I348" s="116"/>
      <c r="J348" s="156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ht="14.25" customHeight="1">
      <c r="A349" s="13"/>
      <c r="B349" s="13"/>
      <c r="C349" s="13"/>
      <c r="D349" s="13"/>
      <c r="E349" s="13"/>
      <c r="F349" s="13"/>
      <c r="G349" s="13"/>
      <c r="H349" s="13"/>
      <c r="I349" s="116"/>
      <c r="J349" s="156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ht="14.25" customHeight="1">
      <c r="A350" s="13"/>
      <c r="B350" s="13"/>
      <c r="C350" s="13"/>
      <c r="D350" s="13"/>
      <c r="E350" s="13"/>
      <c r="F350" s="13"/>
      <c r="G350" s="13"/>
      <c r="H350" s="13"/>
      <c r="I350" s="116"/>
      <c r="J350" s="156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ht="14.25" customHeight="1">
      <c r="A351" s="13"/>
      <c r="B351" s="13"/>
      <c r="C351" s="13"/>
      <c r="D351" s="13"/>
      <c r="E351" s="13"/>
      <c r="F351" s="13"/>
      <c r="G351" s="13"/>
      <c r="H351" s="13"/>
      <c r="I351" s="116"/>
      <c r="J351" s="156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ht="14.25" customHeight="1">
      <c r="A352" s="13"/>
      <c r="B352" s="13"/>
      <c r="C352" s="13"/>
      <c r="D352" s="13"/>
      <c r="E352" s="13"/>
      <c r="F352" s="13"/>
      <c r="G352" s="13"/>
      <c r="H352" s="13"/>
      <c r="I352" s="116"/>
      <c r="J352" s="156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ht="14.25" customHeight="1">
      <c r="A353" s="13"/>
      <c r="B353" s="13"/>
      <c r="C353" s="13"/>
      <c r="D353" s="13"/>
      <c r="E353" s="13"/>
      <c r="F353" s="13"/>
      <c r="G353" s="13"/>
      <c r="H353" s="13"/>
      <c r="I353" s="116"/>
      <c r="J353" s="156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ht="14.25" customHeight="1">
      <c r="A354" s="13"/>
      <c r="B354" s="13"/>
      <c r="C354" s="13"/>
      <c r="D354" s="13"/>
      <c r="E354" s="13"/>
      <c r="F354" s="13"/>
      <c r="G354" s="13"/>
      <c r="H354" s="13"/>
      <c r="I354" s="116"/>
      <c r="J354" s="156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ht="14.25" customHeight="1">
      <c r="A355" s="13"/>
      <c r="B355" s="13"/>
      <c r="C355" s="13"/>
      <c r="D355" s="13"/>
      <c r="E355" s="13"/>
      <c r="F355" s="13"/>
      <c r="G355" s="13"/>
      <c r="H355" s="13"/>
      <c r="I355" s="116"/>
      <c r="J355" s="156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ht="14.25" customHeight="1">
      <c r="A356" s="13"/>
      <c r="B356" s="13"/>
      <c r="C356" s="13"/>
      <c r="D356" s="13"/>
      <c r="E356" s="13"/>
      <c r="F356" s="13"/>
      <c r="G356" s="13"/>
      <c r="H356" s="13"/>
      <c r="I356" s="116"/>
      <c r="J356" s="156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ht="14.25" customHeight="1">
      <c r="A357" s="13"/>
      <c r="B357" s="13"/>
      <c r="C357" s="13"/>
      <c r="D357" s="13"/>
      <c r="E357" s="13"/>
      <c r="F357" s="13"/>
      <c r="G357" s="13"/>
      <c r="H357" s="13"/>
      <c r="I357" s="116"/>
      <c r="J357" s="156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ht="14.25" customHeight="1">
      <c r="A358" s="13"/>
      <c r="B358" s="13"/>
      <c r="C358" s="13"/>
      <c r="D358" s="13"/>
      <c r="E358" s="13"/>
      <c r="F358" s="13"/>
      <c r="G358" s="13"/>
      <c r="H358" s="13"/>
      <c r="I358" s="116"/>
      <c r="J358" s="156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ht="14.25" customHeight="1">
      <c r="A359" s="13"/>
      <c r="B359" s="13"/>
      <c r="C359" s="13"/>
      <c r="D359" s="13"/>
      <c r="E359" s="13"/>
      <c r="F359" s="13"/>
      <c r="G359" s="13"/>
      <c r="H359" s="13"/>
      <c r="I359" s="116"/>
      <c r="J359" s="156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ht="14.25" customHeight="1">
      <c r="A360" s="13"/>
      <c r="B360" s="13"/>
      <c r="C360" s="13"/>
      <c r="D360" s="13"/>
      <c r="E360" s="13"/>
      <c r="F360" s="13"/>
      <c r="G360" s="13"/>
      <c r="H360" s="13"/>
      <c r="I360" s="116"/>
      <c r="J360" s="156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ht="14.25" customHeight="1">
      <c r="A361" s="13"/>
      <c r="B361" s="13"/>
      <c r="C361" s="13"/>
      <c r="D361" s="13"/>
      <c r="E361" s="13"/>
      <c r="F361" s="13"/>
      <c r="G361" s="13"/>
      <c r="H361" s="13"/>
      <c r="I361" s="116"/>
      <c r="J361" s="156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ht="14.25" customHeight="1">
      <c r="A362" s="13"/>
      <c r="B362" s="13"/>
      <c r="C362" s="13"/>
      <c r="D362" s="13"/>
      <c r="E362" s="13"/>
      <c r="F362" s="13"/>
      <c r="G362" s="13"/>
      <c r="H362" s="13"/>
      <c r="I362" s="116"/>
      <c r="J362" s="156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ht="14.25" customHeight="1">
      <c r="A363" s="13"/>
      <c r="B363" s="13"/>
      <c r="C363" s="13"/>
      <c r="D363" s="13"/>
      <c r="E363" s="13"/>
      <c r="F363" s="13"/>
      <c r="G363" s="13"/>
      <c r="H363" s="13"/>
      <c r="I363" s="116"/>
      <c r="J363" s="156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ht="14.25" customHeight="1">
      <c r="A364" s="13"/>
      <c r="B364" s="13"/>
      <c r="C364" s="13"/>
      <c r="D364" s="13"/>
      <c r="E364" s="13"/>
      <c r="F364" s="13"/>
      <c r="G364" s="13"/>
      <c r="H364" s="13"/>
      <c r="I364" s="116"/>
      <c r="J364" s="156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ht="14.25" customHeight="1">
      <c r="A365" s="13"/>
      <c r="B365" s="13"/>
      <c r="C365" s="13"/>
      <c r="D365" s="13"/>
      <c r="E365" s="13"/>
      <c r="F365" s="13"/>
      <c r="G365" s="13"/>
      <c r="H365" s="13"/>
      <c r="I365" s="116"/>
      <c r="J365" s="156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ht="14.25" customHeight="1">
      <c r="A366" s="13"/>
      <c r="B366" s="13"/>
      <c r="C366" s="13"/>
      <c r="D366" s="13"/>
      <c r="E366" s="13"/>
      <c r="F366" s="13"/>
      <c r="G366" s="13"/>
      <c r="H366" s="13"/>
      <c r="I366" s="116"/>
      <c r="J366" s="156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ht="14.25" customHeight="1">
      <c r="A367" s="13"/>
      <c r="B367" s="13"/>
      <c r="C367" s="13"/>
      <c r="D367" s="13"/>
      <c r="E367" s="13"/>
      <c r="F367" s="13"/>
      <c r="G367" s="13"/>
      <c r="H367" s="13"/>
      <c r="I367" s="116"/>
      <c r="J367" s="156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ht="14.25" customHeight="1">
      <c r="A368" s="13"/>
      <c r="B368" s="13"/>
      <c r="C368" s="13"/>
      <c r="D368" s="13"/>
      <c r="E368" s="13"/>
      <c r="F368" s="13"/>
      <c r="G368" s="13"/>
      <c r="H368" s="13"/>
      <c r="I368" s="116"/>
      <c r="J368" s="156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ht="14.25" customHeight="1">
      <c r="A369" s="13"/>
      <c r="B369" s="13"/>
      <c r="C369" s="13"/>
      <c r="D369" s="13"/>
      <c r="E369" s="13"/>
      <c r="F369" s="13"/>
      <c r="G369" s="13"/>
      <c r="H369" s="13"/>
      <c r="I369" s="116"/>
      <c r="J369" s="156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ht="14.25" customHeight="1">
      <c r="A370" s="13"/>
      <c r="B370" s="13"/>
      <c r="C370" s="13"/>
      <c r="D370" s="13"/>
      <c r="E370" s="13"/>
      <c r="F370" s="13"/>
      <c r="G370" s="13"/>
      <c r="H370" s="13"/>
      <c r="I370" s="116"/>
      <c r="J370" s="156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ht="14.25" customHeight="1">
      <c r="A371" s="13"/>
      <c r="B371" s="13"/>
      <c r="C371" s="13"/>
      <c r="D371" s="13"/>
      <c r="E371" s="13"/>
      <c r="F371" s="13"/>
      <c r="G371" s="13"/>
      <c r="H371" s="13"/>
      <c r="I371" s="116"/>
      <c r="J371" s="156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ht="14.25" customHeight="1">
      <c r="A372" s="13"/>
      <c r="B372" s="13"/>
      <c r="C372" s="13"/>
      <c r="D372" s="13"/>
      <c r="E372" s="13"/>
      <c r="F372" s="13"/>
      <c r="G372" s="13"/>
      <c r="H372" s="13"/>
      <c r="I372" s="116"/>
      <c r="J372" s="156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ht="14.25" customHeight="1">
      <c r="A373" s="13"/>
      <c r="B373" s="13"/>
      <c r="C373" s="13"/>
      <c r="D373" s="13"/>
      <c r="E373" s="13"/>
      <c r="F373" s="13"/>
      <c r="G373" s="13"/>
      <c r="H373" s="13"/>
      <c r="I373" s="116"/>
      <c r="J373" s="156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ht="14.25" customHeight="1">
      <c r="A374" s="13"/>
      <c r="B374" s="13"/>
      <c r="C374" s="13"/>
      <c r="D374" s="13"/>
      <c r="E374" s="13"/>
      <c r="F374" s="13"/>
      <c r="G374" s="13"/>
      <c r="H374" s="13"/>
      <c r="I374" s="116"/>
      <c r="J374" s="156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ht="14.25" customHeight="1">
      <c r="A375" s="13"/>
      <c r="B375" s="13"/>
      <c r="C375" s="13"/>
      <c r="D375" s="13"/>
      <c r="E375" s="13"/>
      <c r="F375" s="13"/>
      <c r="G375" s="13"/>
      <c r="H375" s="13"/>
      <c r="I375" s="116"/>
      <c r="J375" s="156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ht="14.25" customHeight="1">
      <c r="A376" s="13"/>
      <c r="B376" s="13"/>
      <c r="C376" s="13"/>
      <c r="D376" s="13"/>
      <c r="E376" s="13"/>
      <c r="F376" s="13"/>
      <c r="G376" s="13"/>
      <c r="H376" s="13"/>
      <c r="I376" s="116"/>
      <c r="J376" s="156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ht="14.25" customHeight="1">
      <c r="A377" s="13"/>
      <c r="B377" s="13"/>
      <c r="C377" s="13"/>
      <c r="D377" s="13"/>
      <c r="E377" s="13"/>
      <c r="F377" s="13"/>
      <c r="G377" s="13"/>
      <c r="H377" s="13"/>
      <c r="I377" s="116"/>
      <c r="J377" s="156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ht="14.25" customHeight="1">
      <c r="A378" s="13"/>
      <c r="B378" s="13"/>
      <c r="C378" s="13"/>
      <c r="D378" s="13"/>
      <c r="E378" s="13"/>
      <c r="F378" s="13"/>
      <c r="G378" s="13"/>
      <c r="H378" s="13"/>
      <c r="I378" s="116"/>
      <c r="J378" s="156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ht="14.25" customHeight="1">
      <c r="A379" s="13"/>
      <c r="B379" s="13"/>
      <c r="C379" s="13"/>
      <c r="D379" s="13"/>
      <c r="E379" s="13"/>
      <c r="F379" s="13"/>
      <c r="G379" s="13"/>
      <c r="H379" s="13"/>
      <c r="I379" s="116"/>
      <c r="J379" s="156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ht="14.25" customHeight="1">
      <c r="A380" s="13"/>
      <c r="B380" s="13"/>
      <c r="C380" s="13"/>
      <c r="D380" s="13"/>
      <c r="E380" s="13"/>
      <c r="F380" s="13"/>
      <c r="G380" s="13"/>
      <c r="H380" s="13"/>
      <c r="I380" s="116"/>
      <c r="J380" s="156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ht="14.25" customHeight="1">
      <c r="A381" s="13"/>
      <c r="B381" s="13"/>
      <c r="C381" s="13"/>
      <c r="D381" s="13"/>
      <c r="E381" s="13"/>
      <c r="F381" s="13"/>
      <c r="G381" s="13"/>
      <c r="H381" s="13"/>
      <c r="I381" s="116"/>
      <c r="J381" s="156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ht="14.25" customHeight="1">
      <c r="A382" s="13"/>
      <c r="B382" s="13"/>
      <c r="C382" s="13"/>
      <c r="D382" s="13"/>
      <c r="E382" s="13"/>
      <c r="F382" s="13"/>
      <c r="G382" s="13"/>
      <c r="H382" s="13"/>
      <c r="I382" s="116"/>
      <c r="J382" s="156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ht="14.25" customHeight="1">
      <c r="A383" s="13"/>
      <c r="B383" s="13"/>
      <c r="C383" s="13"/>
      <c r="D383" s="13"/>
      <c r="E383" s="13"/>
      <c r="F383" s="13"/>
      <c r="G383" s="13"/>
      <c r="H383" s="13"/>
      <c r="I383" s="116"/>
      <c r="J383" s="156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ht="14.25" customHeight="1">
      <c r="A384" s="13"/>
      <c r="B384" s="13"/>
      <c r="C384" s="13"/>
      <c r="D384" s="13"/>
      <c r="E384" s="13"/>
      <c r="F384" s="13"/>
      <c r="G384" s="13"/>
      <c r="H384" s="13"/>
      <c r="I384" s="116"/>
      <c r="J384" s="156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ht="14.25" customHeight="1">
      <c r="A385" s="13"/>
      <c r="B385" s="13"/>
      <c r="C385" s="13"/>
      <c r="D385" s="13"/>
      <c r="E385" s="13"/>
      <c r="F385" s="13"/>
      <c r="G385" s="13"/>
      <c r="H385" s="13"/>
      <c r="I385" s="116"/>
      <c r="J385" s="156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ht="14.25" customHeight="1">
      <c r="A386" s="13"/>
      <c r="B386" s="13"/>
      <c r="C386" s="13"/>
      <c r="D386" s="13"/>
      <c r="E386" s="13"/>
      <c r="F386" s="13"/>
      <c r="G386" s="13"/>
      <c r="H386" s="13"/>
      <c r="I386" s="116"/>
      <c r="J386" s="156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ht="14.25" customHeight="1">
      <c r="A387" s="13"/>
      <c r="B387" s="13"/>
      <c r="C387" s="13"/>
      <c r="D387" s="13"/>
      <c r="E387" s="13"/>
      <c r="F387" s="13"/>
      <c r="G387" s="13"/>
      <c r="H387" s="13"/>
      <c r="I387" s="116"/>
      <c r="J387" s="156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ht="14.25" customHeight="1">
      <c r="A388" s="13"/>
      <c r="B388" s="13"/>
      <c r="C388" s="13"/>
      <c r="D388" s="13"/>
      <c r="E388" s="13"/>
      <c r="F388" s="13"/>
      <c r="G388" s="13"/>
      <c r="H388" s="13"/>
      <c r="I388" s="116"/>
      <c r="J388" s="156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ht="14.25" customHeight="1">
      <c r="A389" s="13"/>
      <c r="B389" s="13"/>
      <c r="C389" s="13"/>
      <c r="D389" s="13"/>
      <c r="E389" s="13"/>
      <c r="F389" s="13"/>
      <c r="G389" s="13"/>
      <c r="H389" s="13"/>
      <c r="I389" s="116"/>
      <c r="J389" s="156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ht="14.25" customHeight="1">
      <c r="A390" s="13"/>
      <c r="B390" s="13"/>
      <c r="C390" s="13"/>
      <c r="D390" s="13"/>
      <c r="E390" s="13"/>
      <c r="F390" s="13"/>
      <c r="G390" s="13"/>
      <c r="H390" s="13"/>
      <c r="I390" s="116"/>
      <c r="J390" s="156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ht="14.25" customHeight="1">
      <c r="A391" s="13"/>
      <c r="B391" s="13"/>
      <c r="C391" s="13"/>
      <c r="D391" s="13"/>
      <c r="E391" s="13"/>
      <c r="F391" s="13"/>
      <c r="G391" s="13"/>
      <c r="H391" s="13"/>
      <c r="I391" s="116"/>
      <c r="J391" s="156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ht="14.25" customHeight="1">
      <c r="A392" s="13"/>
      <c r="B392" s="13"/>
      <c r="C392" s="13"/>
      <c r="D392" s="13"/>
      <c r="E392" s="13"/>
      <c r="F392" s="13"/>
      <c r="G392" s="13"/>
      <c r="H392" s="13"/>
      <c r="I392" s="116"/>
      <c r="J392" s="156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ht="14.25" customHeight="1">
      <c r="A393" s="13"/>
      <c r="B393" s="13"/>
      <c r="C393" s="13"/>
      <c r="D393" s="13"/>
      <c r="E393" s="13"/>
      <c r="F393" s="13"/>
      <c r="G393" s="13"/>
      <c r="H393" s="13"/>
      <c r="I393" s="116"/>
      <c r="J393" s="156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ht="14.25" customHeight="1">
      <c r="A394" s="13"/>
      <c r="B394" s="13"/>
      <c r="C394" s="13"/>
      <c r="D394" s="13"/>
      <c r="E394" s="13"/>
      <c r="F394" s="13"/>
      <c r="G394" s="13"/>
      <c r="H394" s="13"/>
      <c r="I394" s="116"/>
      <c r="J394" s="156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ht="14.25" customHeight="1">
      <c r="A395" s="13"/>
      <c r="B395" s="13"/>
      <c r="C395" s="13"/>
      <c r="D395" s="13"/>
      <c r="E395" s="13"/>
      <c r="F395" s="13"/>
      <c r="G395" s="13"/>
      <c r="H395" s="13"/>
      <c r="I395" s="116"/>
      <c r="J395" s="156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ht="14.25" customHeight="1">
      <c r="A396" s="13"/>
      <c r="B396" s="13"/>
      <c r="C396" s="13"/>
      <c r="D396" s="13"/>
      <c r="E396" s="13"/>
      <c r="F396" s="13"/>
      <c r="G396" s="13"/>
      <c r="H396" s="13"/>
      <c r="I396" s="116"/>
      <c r="J396" s="156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ht="14.25" customHeight="1">
      <c r="A397" s="13"/>
      <c r="B397" s="13"/>
      <c r="C397" s="13"/>
      <c r="D397" s="13"/>
      <c r="E397" s="13"/>
      <c r="F397" s="13"/>
      <c r="G397" s="13"/>
      <c r="H397" s="13"/>
      <c r="I397" s="116"/>
      <c r="J397" s="156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ht="14.25" customHeight="1">
      <c r="A398" s="13"/>
      <c r="B398" s="13"/>
      <c r="C398" s="13"/>
      <c r="D398" s="13"/>
      <c r="E398" s="13"/>
      <c r="F398" s="13"/>
      <c r="G398" s="13"/>
      <c r="H398" s="13"/>
      <c r="I398" s="116"/>
      <c r="J398" s="156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ht="14.25" customHeight="1">
      <c r="A399" s="13"/>
      <c r="B399" s="13"/>
      <c r="C399" s="13"/>
      <c r="D399" s="13"/>
      <c r="E399" s="13"/>
      <c r="F399" s="13"/>
      <c r="G399" s="13"/>
      <c r="H399" s="13"/>
      <c r="I399" s="116"/>
      <c r="J399" s="156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ht="14.25" customHeight="1">
      <c r="A400" s="13"/>
      <c r="B400" s="13"/>
      <c r="C400" s="13"/>
      <c r="D400" s="13"/>
      <c r="E400" s="13"/>
      <c r="F400" s="13"/>
      <c r="G400" s="13"/>
      <c r="H400" s="13"/>
      <c r="I400" s="116"/>
      <c r="J400" s="156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ht="14.25" customHeight="1">
      <c r="A401" s="13"/>
      <c r="B401" s="13"/>
      <c r="C401" s="13"/>
      <c r="D401" s="13"/>
      <c r="E401" s="13"/>
      <c r="F401" s="13"/>
      <c r="G401" s="13"/>
      <c r="H401" s="13"/>
      <c r="I401" s="116"/>
      <c r="J401" s="156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ht="14.25" customHeight="1">
      <c r="A402" s="13"/>
      <c r="B402" s="13"/>
      <c r="C402" s="13"/>
      <c r="D402" s="13"/>
      <c r="E402" s="13"/>
      <c r="F402" s="13"/>
      <c r="G402" s="13"/>
      <c r="H402" s="13"/>
      <c r="I402" s="116"/>
      <c r="J402" s="156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ht="14.25" customHeight="1">
      <c r="A403" s="13"/>
      <c r="B403" s="13"/>
      <c r="C403" s="13"/>
      <c r="D403" s="13"/>
      <c r="E403" s="13"/>
      <c r="F403" s="13"/>
      <c r="G403" s="13"/>
      <c r="H403" s="13"/>
      <c r="I403" s="116"/>
      <c r="J403" s="156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ht="14.25" customHeight="1">
      <c r="A404" s="13"/>
      <c r="B404" s="13"/>
      <c r="C404" s="13"/>
      <c r="D404" s="13"/>
      <c r="E404" s="13"/>
      <c r="F404" s="13"/>
      <c r="G404" s="13"/>
      <c r="H404" s="13"/>
      <c r="I404" s="116"/>
      <c r="J404" s="156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ht="14.25" customHeight="1">
      <c r="A405" s="13"/>
      <c r="B405" s="13"/>
      <c r="C405" s="13"/>
      <c r="D405" s="13"/>
      <c r="E405" s="13"/>
      <c r="F405" s="13"/>
      <c r="G405" s="13"/>
      <c r="H405" s="13"/>
      <c r="I405" s="116"/>
      <c r="J405" s="156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ht="14.25" customHeight="1">
      <c r="A406" s="13"/>
      <c r="B406" s="13"/>
      <c r="C406" s="13"/>
      <c r="D406" s="13"/>
      <c r="E406" s="13"/>
      <c r="F406" s="13"/>
      <c r="G406" s="13"/>
      <c r="H406" s="13"/>
      <c r="I406" s="116"/>
      <c r="J406" s="156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ht="14.25" customHeight="1">
      <c r="A407" s="13"/>
      <c r="B407" s="13"/>
      <c r="C407" s="13"/>
      <c r="D407" s="13"/>
      <c r="E407" s="13"/>
      <c r="F407" s="13"/>
      <c r="G407" s="13"/>
      <c r="H407" s="13"/>
      <c r="I407" s="116"/>
      <c r="J407" s="156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ht="14.25" customHeight="1">
      <c r="A408" s="13"/>
      <c r="B408" s="13"/>
      <c r="C408" s="13"/>
      <c r="D408" s="13"/>
      <c r="E408" s="13"/>
      <c r="F408" s="13"/>
      <c r="G408" s="13"/>
      <c r="H408" s="13"/>
      <c r="I408" s="116"/>
      <c r="J408" s="156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ht="14.25" customHeight="1">
      <c r="A409" s="13"/>
      <c r="B409" s="13"/>
      <c r="C409" s="13"/>
      <c r="D409" s="13"/>
      <c r="E409" s="13"/>
      <c r="F409" s="13"/>
      <c r="G409" s="13"/>
      <c r="H409" s="13"/>
      <c r="I409" s="116"/>
      <c r="J409" s="156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ht="14.25" customHeight="1">
      <c r="A410" s="13"/>
      <c r="B410" s="13"/>
      <c r="C410" s="13"/>
      <c r="D410" s="13"/>
      <c r="E410" s="13"/>
      <c r="F410" s="13"/>
      <c r="G410" s="13"/>
      <c r="H410" s="13"/>
      <c r="I410" s="116"/>
      <c r="J410" s="156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ht="14.25" customHeight="1">
      <c r="A411" s="13"/>
      <c r="B411" s="13"/>
      <c r="C411" s="13"/>
      <c r="D411" s="13"/>
      <c r="E411" s="13"/>
      <c r="F411" s="13"/>
      <c r="G411" s="13"/>
      <c r="H411" s="13"/>
      <c r="I411" s="116"/>
      <c r="J411" s="156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ht="14.25" customHeight="1">
      <c r="A412" s="13"/>
      <c r="B412" s="13"/>
      <c r="C412" s="13"/>
      <c r="D412" s="13"/>
      <c r="E412" s="13"/>
      <c r="F412" s="13"/>
      <c r="G412" s="13"/>
      <c r="H412" s="13"/>
      <c r="I412" s="116"/>
      <c r="J412" s="156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ht="14.25" customHeight="1">
      <c r="A413" s="13"/>
      <c r="B413" s="13"/>
      <c r="C413" s="13"/>
      <c r="D413" s="13"/>
      <c r="E413" s="13"/>
      <c r="F413" s="13"/>
      <c r="G413" s="13"/>
      <c r="H413" s="13"/>
      <c r="I413" s="116"/>
      <c r="J413" s="156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ht="14.25" customHeight="1">
      <c r="A414" s="13"/>
      <c r="B414" s="13"/>
      <c r="C414" s="13"/>
      <c r="D414" s="13"/>
      <c r="E414" s="13"/>
      <c r="F414" s="13"/>
      <c r="G414" s="13"/>
      <c r="H414" s="13"/>
      <c r="I414" s="116"/>
      <c r="J414" s="156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ht="14.25" customHeight="1">
      <c r="A415" s="13"/>
      <c r="B415" s="13"/>
      <c r="C415" s="13"/>
      <c r="D415" s="13"/>
      <c r="E415" s="13"/>
      <c r="F415" s="13"/>
      <c r="G415" s="13"/>
      <c r="H415" s="13"/>
      <c r="I415" s="116"/>
      <c r="J415" s="156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ht="14.25" customHeight="1">
      <c r="A416" s="13"/>
      <c r="B416" s="13"/>
      <c r="C416" s="13"/>
      <c r="D416" s="13"/>
      <c r="E416" s="13"/>
      <c r="F416" s="13"/>
      <c r="G416" s="13"/>
      <c r="H416" s="13"/>
      <c r="I416" s="116"/>
      <c r="J416" s="156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ht="14.25" customHeight="1">
      <c r="A417" s="13"/>
      <c r="B417" s="13"/>
      <c r="C417" s="13"/>
      <c r="D417" s="13"/>
      <c r="E417" s="13"/>
      <c r="F417" s="13"/>
      <c r="G417" s="13"/>
      <c r="H417" s="13"/>
      <c r="I417" s="116"/>
      <c r="J417" s="156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ht="14.25" customHeight="1">
      <c r="A418" s="13"/>
      <c r="B418" s="13"/>
      <c r="C418" s="13"/>
      <c r="D418" s="13"/>
      <c r="E418" s="13"/>
      <c r="F418" s="13"/>
      <c r="G418" s="13"/>
      <c r="H418" s="13"/>
      <c r="I418" s="116"/>
      <c r="J418" s="156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ht="14.25" customHeight="1">
      <c r="A419" s="13"/>
      <c r="B419" s="13"/>
      <c r="C419" s="13"/>
      <c r="D419" s="13"/>
      <c r="E419" s="13"/>
      <c r="F419" s="13"/>
      <c r="G419" s="13"/>
      <c r="H419" s="13"/>
      <c r="I419" s="116"/>
      <c r="J419" s="156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ht="14.25" customHeight="1">
      <c r="A420" s="13"/>
      <c r="B420" s="13"/>
      <c r="C420" s="13"/>
      <c r="D420" s="13"/>
      <c r="E420" s="13"/>
      <c r="F420" s="13"/>
      <c r="G420" s="13"/>
      <c r="H420" s="13"/>
      <c r="I420" s="116"/>
      <c r="J420" s="156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ht="14.25" customHeight="1">
      <c r="A421" s="13"/>
      <c r="B421" s="13"/>
      <c r="C421" s="13"/>
      <c r="D421" s="13"/>
      <c r="E421" s="13"/>
      <c r="F421" s="13"/>
      <c r="G421" s="13"/>
      <c r="H421" s="13"/>
      <c r="I421" s="116"/>
      <c r="J421" s="156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ht="14.25" customHeight="1">
      <c r="A422" s="13"/>
      <c r="B422" s="13"/>
      <c r="C422" s="13"/>
      <c r="D422" s="13"/>
      <c r="E422" s="13"/>
      <c r="F422" s="13"/>
      <c r="G422" s="13"/>
      <c r="H422" s="13"/>
      <c r="I422" s="116"/>
      <c r="J422" s="156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ht="14.25" customHeight="1">
      <c r="A423" s="13"/>
      <c r="B423" s="13"/>
      <c r="C423" s="13"/>
      <c r="D423" s="13"/>
      <c r="E423" s="13"/>
      <c r="F423" s="13"/>
      <c r="G423" s="13"/>
      <c r="H423" s="13"/>
      <c r="I423" s="116"/>
      <c r="J423" s="156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ht="14.25" customHeight="1">
      <c r="A424" s="13"/>
      <c r="B424" s="13"/>
      <c r="C424" s="13"/>
      <c r="D424" s="13"/>
      <c r="E424" s="13"/>
      <c r="F424" s="13"/>
      <c r="G424" s="13"/>
      <c r="H424" s="13"/>
      <c r="I424" s="116"/>
      <c r="J424" s="156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ht="14.25" customHeight="1">
      <c r="A425" s="13"/>
      <c r="B425" s="13"/>
      <c r="C425" s="13"/>
      <c r="D425" s="13"/>
      <c r="E425" s="13"/>
      <c r="F425" s="13"/>
      <c r="G425" s="13"/>
      <c r="H425" s="13"/>
      <c r="I425" s="116"/>
      <c r="J425" s="156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ht="14.25" customHeight="1">
      <c r="A426" s="13"/>
      <c r="B426" s="13"/>
      <c r="C426" s="13"/>
      <c r="D426" s="13"/>
      <c r="E426" s="13"/>
      <c r="F426" s="13"/>
      <c r="G426" s="13"/>
      <c r="H426" s="13"/>
      <c r="I426" s="116"/>
      <c r="J426" s="156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ht="14.25" customHeight="1">
      <c r="A427" s="13"/>
      <c r="B427" s="13"/>
      <c r="C427" s="13"/>
      <c r="D427" s="13"/>
      <c r="E427" s="13"/>
      <c r="F427" s="13"/>
      <c r="G427" s="13"/>
      <c r="H427" s="13"/>
      <c r="I427" s="116"/>
      <c r="J427" s="156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ht="14.25" customHeight="1">
      <c r="A428" s="13"/>
      <c r="B428" s="13"/>
      <c r="C428" s="13"/>
      <c r="D428" s="13"/>
      <c r="E428" s="13"/>
      <c r="F428" s="13"/>
      <c r="G428" s="13"/>
      <c r="H428" s="13"/>
      <c r="I428" s="116"/>
      <c r="J428" s="156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ht="14.25" customHeight="1">
      <c r="A429" s="13"/>
      <c r="B429" s="13"/>
      <c r="C429" s="13"/>
      <c r="D429" s="13"/>
      <c r="E429" s="13"/>
      <c r="F429" s="13"/>
      <c r="G429" s="13"/>
      <c r="H429" s="13"/>
      <c r="I429" s="116"/>
      <c r="J429" s="156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ht="14.25" customHeight="1">
      <c r="A430" s="13"/>
      <c r="B430" s="13"/>
      <c r="C430" s="13"/>
      <c r="D430" s="13"/>
      <c r="E430" s="13"/>
      <c r="F430" s="13"/>
      <c r="G430" s="13"/>
      <c r="H430" s="13"/>
      <c r="I430" s="116"/>
      <c r="J430" s="156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ht="14.25" customHeight="1">
      <c r="A431" s="13"/>
      <c r="B431" s="13"/>
      <c r="C431" s="13"/>
      <c r="D431" s="13"/>
      <c r="E431" s="13"/>
      <c r="F431" s="13"/>
      <c r="G431" s="13"/>
      <c r="H431" s="13"/>
      <c r="I431" s="116"/>
      <c r="J431" s="156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ht="14.25" customHeight="1">
      <c r="A432" s="13"/>
      <c r="B432" s="13"/>
      <c r="C432" s="13"/>
      <c r="D432" s="13"/>
      <c r="E432" s="13"/>
      <c r="F432" s="13"/>
      <c r="G432" s="13"/>
      <c r="H432" s="13"/>
      <c r="I432" s="116"/>
      <c r="J432" s="156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ht="14.25" customHeight="1">
      <c r="A433" s="13"/>
      <c r="B433" s="13"/>
      <c r="C433" s="13"/>
      <c r="D433" s="13"/>
      <c r="E433" s="13"/>
      <c r="F433" s="13"/>
      <c r="G433" s="13"/>
      <c r="H433" s="13"/>
      <c r="I433" s="116"/>
      <c r="J433" s="156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ht="14.25" customHeight="1">
      <c r="A434" s="13"/>
      <c r="B434" s="13"/>
      <c r="C434" s="13"/>
      <c r="D434" s="13"/>
      <c r="E434" s="13"/>
      <c r="F434" s="13"/>
      <c r="G434" s="13"/>
      <c r="H434" s="13"/>
      <c r="I434" s="116"/>
      <c r="J434" s="156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ht="14.25" customHeight="1">
      <c r="A435" s="13"/>
      <c r="B435" s="13"/>
      <c r="C435" s="13"/>
      <c r="D435" s="13"/>
      <c r="E435" s="13"/>
      <c r="F435" s="13"/>
      <c r="G435" s="13"/>
      <c r="H435" s="13"/>
      <c r="I435" s="116"/>
      <c r="J435" s="156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ht="14.25" customHeight="1">
      <c r="A436" s="13"/>
      <c r="B436" s="13"/>
      <c r="C436" s="13"/>
      <c r="D436" s="13"/>
      <c r="E436" s="13"/>
      <c r="F436" s="13"/>
      <c r="G436" s="13"/>
      <c r="H436" s="13"/>
      <c r="I436" s="116"/>
      <c r="J436" s="156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ht="14.25" customHeight="1">
      <c r="A437" s="13"/>
      <c r="B437" s="13"/>
      <c r="C437" s="13"/>
      <c r="D437" s="13"/>
      <c r="E437" s="13"/>
      <c r="F437" s="13"/>
      <c r="G437" s="13"/>
      <c r="H437" s="13"/>
      <c r="I437" s="116"/>
      <c r="J437" s="156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ht="14.25" customHeight="1">
      <c r="A438" s="13"/>
      <c r="B438" s="13"/>
      <c r="C438" s="13"/>
      <c r="D438" s="13"/>
      <c r="E438" s="13"/>
      <c r="F438" s="13"/>
      <c r="G438" s="13"/>
      <c r="H438" s="13"/>
      <c r="I438" s="116"/>
      <c r="J438" s="156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ht="14.25" customHeight="1">
      <c r="A439" s="13"/>
      <c r="B439" s="13"/>
      <c r="C439" s="13"/>
      <c r="D439" s="13"/>
      <c r="E439" s="13"/>
      <c r="F439" s="13"/>
      <c r="G439" s="13"/>
      <c r="H439" s="13"/>
      <c r="I439" s="116"/>
      <c r="J439" s="156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ht="14.25" customHeight="1">
      <c r="A440" s="13"/>
      <c r="B440" s="13"/>
      <c r="C440" s="13"/>
      <c r="D440" s="13"/>
      <c r="E440" s="13"/>
      <c r="F440" s="13"/>
      <c r="G440" s="13"/>
      <c r="H440" s="13"/>
      <c r="I440" s="116"/>
      <c r="J440" s="156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ht="14.25" customHeight="1">
      <c r="A441" s="13"/>
      <c r="B441" s="13"/>
      <c r="C441" s="13"/>
      <c r="D441" s="13"/>
      <c r="E441" s="13"/>
      <c r="F441" s="13"/>
      <c r="G441" s="13"/>
      <c r="H441" s="13"/>
      <c r="I441" s="116"/>
      <c r="J441" s="156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ht="14.25" customHeight="1">
      <c r="A442" s="13"/>
      <c r="B442" s="13"/>
      <c r="C442" s="13"/>
      <c r="D442" s="13"/>
      <c r="E442" s="13"/>
      <c r="F442" s="13"/>
      <c r="G442" s="13"/>
      <c r="H442" s="13"/>
      <c r="I442" s="116"/>
      <c r="J442" s="156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ht="14.25" customHeight="1">
      <c r="A443" s="13"/>
      <c r="B443" s="13"/>
      <c r="C443" s="13"/>
      <c r="D443" s="13"/>
      <c r="E443" s="13"/>
      <c r="F443" s="13"/>
      <c r="G443" s="13"/>
      <c r="H443" s="13"/>
      <c r="I443" s="116"/>
      <c r="J443" s="156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ht="14.25" customHeight="1">
      <c r="A444" s="13"/>
      <c r="B444" s="13"/>
      <c r="C444" s="13"/>
      <c r="D444" s="13"/>
      <c r="E444" s="13"/>
      <c r="F444" s="13"/>
      <c r="G444" s="13"/>
      <c r="H444" s="13"/>
      <c r="I444" s="116"/>
      <c r="J444" s="156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ht="14.25" customHeight="1">
      <c r="A445" s="13"/>
      <c r="B445" s="13"/>
      <c r="C445" s="13"/>
      <c r="D445" s="13"/>
      <c r="E445" s="13"/>
      <c r="F445" s="13"/>
      <c r="G445" s="13"/>
      <c r="H445" s="13"/>
      <c r="I445" s="116"/>
      <c r="J445" s="156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ht="14.25" customHeight="1">
      <c r="A446" s="13"/>
      <c r="B446" s="13"/>
      <c r="C446" s="13"/>
      <c r="D446" s="13"/>
      <c r="E446" s="13"/>
      <c r="F446" s="13"/>
      <c r="G446" s="13"/>
      <c r="H446" s="13"/>
      <c r="I446" s="116"/>
      <c r="J446" s="156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ht="14.25" customHeight="1">
      <c r="A447" s="13"/>
      <c r="B447" s="13"/>
      <c r="C447" s="13"/>
      <c r="D447" s="13"/>
      <c r="E447" s="13"/>
      <c r="F447" s="13"/>
      <c r="G447" s="13"/>
      <c r="H447" s="13"/>
      <c r="I447" s="116"/>
      <c r="J447" s="156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ht="14.25" customHeight="1">
      <c r="A448" s="13"/>
      <c r="B448" s="13"/>
      <c r="C448" s="13"/>
      <c r="D448" s="13"/>
      <c r="E448" s="13"/>
      <c r="F448" s="13"/>
      <c r="G448" s="13"/>
      <c r="H448" s="13"/>
      <c r="I448" s="116"/>
      <c r="J448" s="156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ht="14.25" customHeight="1">
      <c r="A449" s="13"/>
      <c r="B449" s="13"/>
      <c r="C449" s="13"/>
      <c r="D449" s="13"/>
      <c r="E449" s="13"/>
      <c r="F449" s="13"/>
      <c r="G449" s="13"/>
      <c r="H449" s="13"/>
      <c r="I449" s="116"/>
      <c r="J449" s="156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ht="14.25" customHeight="1">
      <c r="A450" s="13"/>
      <c r="B450" s="13"/>
      <c r="C450" s="13"/>
      <c r="D450" s="13"/>
      <c r="E450" s="13"/>
      <c r="F450" s="13"/>
      <c r="G450" s="13"/>
      <c r="H450" s="13"/>
      <c r="I450" s="116"/>
      <c r="J450" s="156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ht="14.25" customHeight="1">
      <c r="A451" s="13"/>
      <c r="B451" s="13"/>
      <c r="C451" s="13"/>
      <c r="D451" s="13"/>
      <c r="E451" s="13"/>
      <c r="F451" s="13"/>
      <c r="G451" s="13"/>
      <c r="H451" s="13"/>
      <c r="I451" s="116"/>
      <c r="J451" s="156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ht="14.25" customHeight="1">
      <c r="A452" s="13"/>
      <c r="B452" s="13"/>
      <c r="C452" s="13"/>
      <c r="D452" s="13"/>
      <c r="E452" s="13"/>
      <c r="F452" s="13"/>
      <c r="G452" s="13"/>
      <c r="H452" s="13"/>
      <c r="I452" s="116"/>
      <c r="J452" s="156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ht="14.25" customHeight="1">
      <c r="A453" s="13"/>
      <c r="B453" s="13"/>
      <c r="C453" s="13"/>
      <c r="D453" s="13"/>
      <c r="E453" s="13"/>
      <c r="F453" s="13"/>
      <c r="G453" s="13"/>
      <c r="H453" s="13"/>
      <c r="I453" s="116"/>
      <c r="J453" s="156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ht="14.25" customHeight="1">
      <c r="A454" s="13"/>
      <c r="B454" s="13"/>
      <c r="C454" s="13"/>
      <c r="D454" s="13"/>
      <c r="E454" s="13"/>
      <c r="F454" s="13"/>
      <c r="G454" s="13"/>
      <c r="H454" s="13"/>
      <c r="I454" s="116"/>
      <c r="J454" s="156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ht="14.25" customHeight="1">
      <c r="A455" s="13"/>
      <c r="B455" s="13"/>
      <c r="C455" s="13"/>
      <c r="D455" s="13"/>
      <c r="E455" s="13"/>
      <c r="F455" s="13"/>
      <c r="G455" s="13"/>
      <c r="H455" s="13"/>
      <c r="I455" s="116"/>
      <c r="J455" s="156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ht="14.25" customHeight="1">
      <c r="A456" s="13"/>
      <c r="B456" s="13"/>
      <c r="C456" s="13"/>
      <c r="D456" s="13"/>
      <c r="E456" s="13"/>
      <c r="F456" s="13"/>
      <c r="G456" s="13"/>
      <c r="H456" s="13"/>
      <c r="I456" s="116"/>
      <c r="J456" s="156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ht="14.25" customHeight="1">
      <c r="A457" s="13"/>
      <c r="B457" s="13"/>
      <c r="C457" s="13"/>
      <c r="D457" s="13"/>
      <c r="E457" s="13"/>
      <c r="F457" s="13"/>
      <c r="G457" s="13"/>
      <c r="H457" s="13"/>
      <c r="I457" s="116"/>
      <c r="J457" s="156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ht="14.25" customHeight="1">
      <c r="A458" s="13"/>
      <c r="B458" s="13"/>
      <c r="C458" s="13"/>
      <c r="D458" s="13"/>
      <c r="E458" s="13"/>
      <c r="F458" s="13"/>
      <c r="G458" s="13"/>
      <c r="H458" s="13"/>
      <c r="I458" s="116"/>
      <c r="J458" s="156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ht="14.25" customHeight="1">
      <c r="A459" s="13"/>
      <c r="B459" s="13"/>
      <c r="C459" s="13"/>
      <c r="D459" s="13"/>
      <c r="E459" s="13"/>
      <c r="F459" s="13"/>
      <c r="G459" s="13"/>
      <c r="H459" s="13"/>
      <c r="I459" s="116"/>
      <c r="J459" s="156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ht="14.25" customHeight="1">
      <c r="A460" s="13"/>
      <c r="B460" s="13"/>
      <c r="C460" s="13"/>
      <c r="D460" s="13"/>
      <c r="E460" s="13"/>
      <c r="F460" s="13"/>
      <c r="G460" s="13"/>
      <c r="H460" s="13"/>
      <c r="I460" s="116"/>
      <c r="J460" s="156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ht="14.25" customHeight="1">
      <c r="A461" s="13"/>
      <c r="B461" s="13"/>
      <c r="C461" s="13"/>
      <c r="D461" s="13"/>
      <c r="E461" s="13"/>
      <c r="F461" s="13"/>
      <c r="G461" s="13"/>
      <c r="H461" s="13"/>
      <c r="I461" s="116"/>
      <c r="J461" s="156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ht="14.25" customHeight="1">
      <c r="A462" s="13"/>
      <c r="B462" s="13"/>
      <c r="C462" s="13"/>
      <c r="D462" s="13"/>
      <c r="E462" s="13"/>
      <c r="F462" s="13"/>
      <c r="G462" s="13"/>
      <c r="H462" s="13"/>
      <c r="I462" s="116"/>
      <c r="J462" s="156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ht="14.25" customHeight="1">
      <c r="A463" s="13"/>
      <c r="B463" s="13"/>
      <c r="C463" s="13"/>
      <c r="D463" s="13"/>
      <c r="E463" s="13"/>
      <c r="F463" s="13"/>
      <c r="G463" s="13"/>
      <c r="H463" s="13"/>
      <c r="I463" s="116"/>
      <c r="J463" s="156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ht="14.25" customHeight="1">
      <c r="A464" s="13"/>
      <c r="B464" s="13"/>
      <c r="C464" s="13"/>
      <c r="D464" s="13"/>
      <c r="E464" s="13"/>
      <c r="F464" s="13"/>
      <c r="G464" s="13"/>
      <c r="H464" s="13"/>
      <c r="I464" s="116"/>
      <c r="J464" s="156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ht="14.25" customHeight="1">
      <c r="A465" s="13"/>
      <c r="B465" s="13"/>
      <c r="C465" s="13"/>
      <c r="D465" s="13"/>
      <c r="E465" s="13"/>
      <c r="F465" s="13"/>
      <c r="G465" s="13"/>
      <c r="H465" s="13"/>
      <c r="I465" s="116"/>
      <c r="J465" s="156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ht="14.25" customHeight="1">
      <c r="A466" s="13"/>
      <c r="B466" s="13"/>
      <c r="C466" s="13"/>
      <c r="D466" s="13"/>
      <c r="E466" s="13"/>
      <c r="F466" s="13"/>
      <c r="G466" s="13"/>
      <c r="H466" s="13"/>
      <c r="I466" s="116"/>
      <c r="J466" s="156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ht="14.25" customHeight="1">
      <c r="A467" s="13"/>
      <c r="B467" s="13"/>
      <c r="C467" s="13"/>
      <c r="D467" s="13"/>
      <c r="E467" s="13"/>
      <c r="F467" s="13"/>
      <c r="G467" s="13"/>
      <c r="H467" s="13"/>
      <c r="I467" s="116"/>
      <c r="J467" s="156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14.25" customHeight="1">
      <c r="A468" s="13"/>
      <c r="B468" s="13"/>
      <c r="C468" s="13"/>
      <c r="D468" s="13"/>
      <c r="E468" s="13"/>
      <c r="F468" s="13"/>
      <c r="G468" s="13"/>
      <c r="H468" s="13"/>
      <c r="I468" s="116"/>
      <c r="J468" s="156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ht="14.25" customHeight="1">
      <c r="A469" s="13"/>
      <c r="B469" s="13"/>
      <c r="C469" s="13"/>
      <c r="D469" s="13"/>
      <c r="E469" s="13"/>
      <c r="F469" s="13"/>
      <c r="G469" s="13"/>
      <c r="H469" s="13"/>
      <c r="I469" s="116"/>
      <c r="J469" s="156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ht="14.25" customHeight="1">
      <c r="A470" s="13"/>
      <c r="B470" s="13"/>
      <c r="C470" s="13"/>
      <c r="D470" s="13"/>
      <c r="E470" s="13"/>
      <c r="F470" s="13"/>
      <c r="G470" s="13"/>
      <c r="H470" s="13"/>
      <c r="I470" s="116"/>
      <c r="J470" s="156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ht="14.25" customHeight="1">
      <c r="A471" s="13"/>
      <c r="B471" s="13"/>
      <c r="C471" s="13"/>
      <c r="D471" s="13"/>
      <c r="E471" s="13"/>
      <c r="F471" s="13"/>
      <c r="G471" s="13"/>
      <c r="H471" s="13"/>
      <c r="I471" s="116"/>
      <c r="J471" s="156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ht="14.25" customHeight="1">
      <c r="A472" s="13"/>
      <c r="B472" s="13"/>
      <c r="C472" s="13"/>
      <c r="D472" s="13"/>
      <c r="E472" s="13"/>
      <c r="F472" s="13"/>
      <c r="G472" s="13"/>
      <c r="H472" s="13"/>
      <c r="I472" s="116"/>
      <c r="J472" s="156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ht="14.25" customHeight="1">
      <c r="A473" s="13"/>
      <c r="B473" s="13"/>
      <c r="C473" s="13"/>
      <c r="D473" s="13"/>
      <c r="E473" s="13"/>
      <c r="F473" s="13"/>
      <c r="G473" s="13"/>
      <c r="H473" s="13"/>
      <c r="I473" s="116"/>
      <c r="J473" s="156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ht="14.25" customHeight="1">
      <c r="A474" s="13"/>
      <c r="B474" s="13"/>
      <c r="C474" s="13"/>
      <c r="D474" s="13"/>
      <c r="E474" s="13"/>
      <c r="F474" s="13"/>
      <c r="G474" s="13"/>
      <c r="H474" s="13"/>
      <c r="I474" s="116"/>
      <c r="J474" s="156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ht="14.25" customHeight="1">
      <c r="A475" s="13"/>
      <c r="B475" s="13"/>
      <c r="C475" s="13"/>
      <c r="D475" s="13"/>
      <c r="E475" s="13"/>
      <c r="F475" s="13"/>
      <c r="G475" s="13"/>
      <c r="H475" s="13"/>
      <c r="I475" s="116"/>
      <c r="J475" s="156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ht="14.25" customHeight="1">
      <c r="A476" s="13"/>
      <c r="B476" s="13"/>
      <c r="C476" s="13"/>
      <c r="D476" s="13"/>
      <c r="E476" s="13"/>
      <c r="F476" s="13"/>
      <c r="G476" s="13"/>
      <c r="H476" s="13"/>
      <c r="I476" s="116"/>
      <c r="J476" s="156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ht="14.25" customHeight="1">
      <c r="A477" s="13"/>
      <c r="B477" s="13"/>
      <c r="C477" s="13"/>
      <c r="D477" s="13"/>
      <c r="E477" s="13"/>
      <c r="F477" s="13"/>
      <c r="G477" s="13"/>
      <c r="H477" s="13"/>
      <c r="I477" s="116"/>
      <c r="J477" s="156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ht="14.25" customHeight="1">
      <c r="A478" s="13"/>
      <c r="B478" s="13"/>
      <c r="C478" s="13"/>
      <c r="D478" s="13"/>
      <c r="E478" s="13"/>
      <c r="F478" s="13"/>
      <c r="G478" s="13"/>
      <c r="H478" s="13"/>
      <c r="I478" s="116"/>
      <c r="J478" s="156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ht="14.25" customHeight="1">
      <c r="A479" s="13"/>
      <c r="B479" s="13"/>
      <c r="C479" s="13"/>
      <c r="D479" s="13"/>
      <c r="E479" s="13"/>
      <c r="F479" s="13"/>
      <c r="G479" s="13"/>
      <c r="H479" s="13"/>
      <c r="I479" s="116"/>
      <c r="J479" s="156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ht="14.25" customHeight="1">
      <c r="A480" s="13"/>
      <c r="B480" s="13"/>
      <c r="C480" s="13"/>
      <c r="D480" s="13"/>
      <c r="E480" s="13"/>
      <c r="F480" s="13"/>
      <c r="G480" s="13"/>
      <c r="H480" s="13"/>
      <c r="I480" s="116"/>
      <c r="J480" s="156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ht="14.25" customHeight="1">
      <c r="A481" s="13"/>
      <c r="B481" s="13"/>
      <c r="C481" s="13"/>
      <c r="D481" s="13"/>
      <c r="E481" s="13"/>
      <c r="F481" s="13"/>
      <c r="G481" s="13"/>
      <c r="H481" s="13"/>
      <c r="I481" s="116"/>
      <c r="J481" s="156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ht="14.25" customHeight="1">
      <c r="A482" s="13"/>
      <c r="B482" s="13"/>
      <c r="C482" s="13"/>
      <c r="D482" s="13"/>
      <c r="E482" s="13"/>
      <c r="F482" s="13"/>
      <c r="G482" s="13"/>
      <c r="H482" s="13"/>
      <c r="I482" s="116"/>
      <c r="J482" s="156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ht="14.25" customHeight="1">
      <c r="A483" s="13"/>
      <c r="B483" s="13"/>
      <c r="C483" s="13"/>
      <c r="D483" s="13"/>
      <c r="E483" s="13"/>
      <c r="F483" s="13"/>
      <c r="G483" s="13"/>
      <c r="H483" s="13"/>
      <c r="I483" s="116"/>
      <c r="J483" s="156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ht="14.25" customHeight="1">
      <c r="A484" s="13"/>
      <c r="B484" s="13"/>
      <c r="C484" s="13"/>
      <c r="D484" s="13"/>
      <c r="E484" s="13"/>
      <c r="F484" s="13"/>
      <c r="G484" s="13"/>
      <c r="H484" s="13"/>
      <c r="I484" s="116"/>
      <c r="J484" s="156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ht="14.25" customHeight="1">
      <c r="A485" s="13"/>
      <c r="B485" s="13"/>
      <c r="C485" s="13"/>
      <c r="D485" s="13"/>
      <c r="E485" s="13"/>
      <c r="F485" s="13"/>
      <c r="G485" s="13"/>
      <c r="H485" s="13"/>
      <c r="I485" s="116"/>
      <c r="J485" s="156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ht="14.25" customHeight="1">
      <c r="A486" s="13"/>
      <c r="B486" s="13"/>
      <c r="C486" s="13"/>
      <c r="D486" s="13"/>
      <c r="E486" s="13"/>
      <c r="F486" s="13"/>
      <c r="G486" s="13"/>
      <c r="H486" s="13"/>
      <c r="I486" s="116"/>
      <c r="J486" s="156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ht="14.25" customHeight="1">
      <c r="A487" s="13"/>
      <c r="B487" s="13"/>
      <c r="C487" s="13"/>
      <c r="D487" s="13"/>
      <c r="E487" s="13"/>
      <c r="F487" s="13"/>
      <c r="G487" s="13"/>
      <c r="H487" s="13"/>
      <c r="I487" s="116"/>
      <c r="J487" s="156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ht="14.25" customHeight="1">
      <c r="A488" s="13"/>
      <c r="B488" s="13"/>
      <c r="C488" s="13"/>
      <c r="D488" s="13"/>
      <c r="E488" s="13"/>
      <c r="F488" s="13"/>
      <c r="G488" s="13"/>
      <c r="H488" s="13"/>
      <c r="I488" s="116"/>
      <c r="J488" s="156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ht="14.25" customHeight="1">
      <c r="A489" s="13"/>
      <c r="B489" s="13"/>
      <c r="C489" s="13"/>
      <c r="D489" s="13"/>
      <c r="E489" s="13"/>
      <c r="F489" s="13"/>
      <c r="G489" s="13"/>
      <c r="H489" s="13"/>
      <c r="I489" s="116"/>
      <c r="J489" s="156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ht="14.25" customHeight="1">
      <c r="A490" s="13"/>
      <c r="B490" s="13"/>
      <c r="C490" s="13"/>
      <c r="D490" s="13"/>
      <c r="E490" s="13"/>
      <c r="F490" s="13"/>
      <c r="G490" s="13"/>
      <c r="H490" s="13"/>
      <c r="I490" s="116"/>
      <c r="J490" s="156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ht="14.25" customHeight="1">
      <c r="A491" s="13"/>
      <c r="B491" s="13"/>
      <c r="C491" s="13"/>
      <c r="D491" s="13"/>
      <c r="E491" s="13"/>
      <c r="F491" s="13"/>
      <c r="G491" s="13"/>
      <c r="H491" s="13"/>
      <c r="I491" s="116"/>
      <c r="J491" s="156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ht="14.25" customHeight="1">
      <c r="A492" s="13"/>
      <c r="B492" s="13"/>
      <c r="C492" s="13"/>
      <c r="D492" s="13"/>
      <c r="E492" s="13"/>
      <c r="F492" s="13"/>
      <c r="G492" s="13"/>
      <c r="H492" s="13"/>
      <c r="I492" s="116"/>
      <c r="J492" s="156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ht="14.25" customHeight="1">
      <c r="A493" s="13"/>
      <c r="B493" s="13"/>
      <c r="C493" s="13"/>
      <c r="D493" s="13"/>
      <c r="E493" s="13"/>
      <c r="F493" s="13"/>
      <c r="G493" s="13"/>
      <c r="H493" s="13"/>
      <c r="I493" s="116"/>
      <c r="J493" s="156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ht="14.25" customHeight="1">
      <c r="A494" s="13"/>
      <c r="B494" s="13"/>
      <c r="C494" s="13"/>
      <c r="D494" s="13"/>
      <c r="E494" s="13"/>
      <c r="F494" s="13"/>
      <c r="G494" s="13"/>
      <c r="H494" s="13"/>
      <c r="I494" s="116"/>
      <c r="J494" s="156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ht="14.25" customHeight="1">
      <c r="A495" s="13"/>
      <c r="B495" s="13"/>
      <c r="C495" s="13"/>
      <c r="D495" s="13"/>
      <c r="E495" s="13"/>
      <c r="F495" s="13"/>
      <c r="G495" s="13"/>
      <c r="H495" s="13"/>
      <c r="I495" s="116"/>
      <c r="J495" s="156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ht="14.25" customHeight="1">
      <c r="A496" s="13"/>
      <c r="B496" s="13"/>
      <c r="C496" s="13"/>
      <c r="D496" s="13"/>
      <c r="E496" s="13"/>
      <c r="F496" s="13"/>
      <c r="G496" s="13"/>
      <c r="H496" s="13"/>
      <c r="I496" s="116"/>
      <c r="J496" s="156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ht="14.25" customHeight="1">
      <c r="A497" s="13"/>
      <c r="B497" s="13"/>
      <c r="C497" s="13"/>
      <c r="D497" s="13"/>
      <c r="E497" s="13"/>
      <c r="F497" s="13"/>
      <c r="G497" s="13"/>
      <c r="H497" s="13"/>
      <c r="I497" s="116"/>
      <c r="J497" s="156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ht="14.25" customHeight="1">
      <c r="A498" s="13"/>
      <c r="B498" s="13"/>
      <c r="C498" s="13"/>
      <c r="D498" s="13"/>
      <c r="E498" s="13"/>
      <c r="F498" s="13"/>
      <c r="G498" s="13"/>
      <c r="H498" s="13"/>
      <c r="I498" s="116"/>
      <c r="J498" s="156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ht="14.25" customHeight="1">
      <c r="A499" s="13"/>
      <c r="B499" s="13"/>
      <c r="C499" s="13"/>
      <c r="D499" s="13"/>
      <c r="E499" s="13"/>
      <c r="F499" s="13"/>
      <c r="G499" s="13"/>
      <c r="H499" s="13"/>
      <c r="I499" s="116"/>
      <c r="J499" s="156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ht="14.25" customHeight="1">
      <c r="A500" s="13"/>
      <c r="B500" s="13"/>
      <c r="C500" s="13"/>
      <c r="D500" s="13"/>
      <c r="E500" s="13"/>
      <c r="F500" s="13"/>
      <c r="G500" s="13"/>
      <c r="H500" s="13"/>
      <c r="I500" s="116"/>
      <c r="J500" s="156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ht="14.25" customHeight="1">
      <c r="A501" s="13"/>
      <c r="B501" s="13"/>
      <c r="C501" s="13"/>
      <c r="D501" s="13"/>
      <c r="E501" s="13"/>
      <c r="F501" s="13"/>
      <c r="G501" s="13"/>
      <c r="H501" s="13"/>
      <c r="I501" s="116"/>
      <c r="J501" s="156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ht="14.25" customHeight="1">
      <c r="A502" s="13"/>
      <c r="B502" s="13"/>
      <c r="C502" s="13"/>
      <c r="D502" s="13"/>
      <c r="E502" s="13"/>
      <c r="F502" s="13"/>
      <c r="G502" s="13"/>
      <c r="H502" s="13"/>
      <c r="I502" s="116"/>
      <c r="J502" s="156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ht="14.25" customHeight="1">
      <c r="A503" s="13"/>
      <c r="B503" s="13"/>
      <c r="C503" s="13"/>
      <c r="D503" s="13"/>
      <c r="E503" s="13"/>
      <c r="F503" s="13"/>
      <c r="G503" s="13"/>
      <c r="H503" s="13"/>
      <c r="I503" s="116"/>
      <c r="J503" s="156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ht="14.25" customHeight="1">
      <c r="A504" s="13"/>
      <c r="B504" s="13"/>
      <c r="C504" s="13"/>
      <c r="D504" s="13"/>
      <c r="E504" s="13"/>
      <c r="F504" s="13"/>
      <c r="G504" s="13"/>
      <c r="H504" s="13"/>
      <c r="I504" s="116"/>
      <c r="J504" s="156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ht="14.25" customHeight="1">
      <c r="A505" s="13"/>
      <c r="B505" s="13"/>
      <c r="C505" s="13"/>
      <c r="D505" s="13"/>
      <c r="E505" s="13"/>
      <c r="F505" s="13"/>
      <c r="G505" s="13"/>
      <c r="H505" s="13"/>
      <c r="I505" s="116"/>
      <c r="J505" s="156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ht="14.25" customHeight="1">
      <c r="A506" s="13"/>
      <c r="B506" s="13"/>
      <c r="C506" s="13"/>
      <c r="D506" s="13"/>
      <c r="E506" s="13"/>
      <c r="F506" s="13"/>
      <c r="G506" s="13"/>
      <c r="H506" s="13"/>
      <c r="I506" s="116"/>
      <c r="J506" s="156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ht="14.25" customHeight="1">
      <c r="A507" s="13"/>
      <c r="B507" s="13"/>
      <c r="C507" s="13"/>
      <c r="D507" s="13"/>
      <c r="E507" s="13"/>
      <c r="F507" s="13"/>
      <c r="G507" s="13"/>
      <c r="H507" s="13"/>
      <c r="I507" s="116"/>
      <c r="J507" s="156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ht="14.25" customHeight="1">
      <c r="A508" s="13"/>
      <c r="B508" s="13"/>
      <c r="C508" s="13"/>
      <c r="D508" s="13"/>
      <c r="E508" s="13"/>
      <c r="F508" s="13"/>
      <c r="G508" s="13"/>
      <c r="H508" s="13"/>
      <c r="I508" s="116"/>
      <c r="J508" s="156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ht="14.25" customHeight="1">
      <c r="A509" s="13"/>
      <c r="B509" s="13"/>
      <c r="C509" s="13"/>
      <c r="D509" s="13"/>
      <c r="E509" s="13"/>
      <c r="F509" s="13"/>
      <c r="G509" s="13"/>
      <c r="H509" s="13"/>
      <c r="I509" s="116"/>
      <c r="J509" s="156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ht="14.25" customHeight="1">
      <c r="A510" s="13"/>
      <c r="B510" s="13"/>
      <c r="C510" s="13"/>
      <c r="D510" s="13"/>
      <c r="E510" s="13"/>
      <c r="F510" s="13"/>
      <c r="G510" s="13"/>
      <c r="H510" s="13"/>
      <c r="I510" s="116"/>
      <c r="J510" s="156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ht="14.25" customHeight="1">
      <c r="A511" s="13"/>
      <c r="B511" s="13"/>
      <c r="C511" s="13"/>
      <c r="D511" s="13"/>
      <c r="E511" s="13"/>
      <c r="F511" s="13"/>
      <c r="G511" s="13"/>
      <c r="H511" s="13"/>
      <c r="I511" s="116"/>
      <c r="J511" s="156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ht="14.25" customHeight="1">
      <c r="A512" s="13"/>
      <c r="B512" s="13"/>
      <c r="C512" s="13"/>
      <c r="D512" s="13"/>
      <c r="E512" s="13"/>
      <c r="F512" s="13"/>
      <c r="G512" s="13"/>
      <c r="H512" s="13"/>
      <c r="I512" s="116"/>
      <c r="J512" s="156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ht="14.25" customHeight="1">
      <c r="A513" s="13"/>
      <c r="B513" s="13"/>
      <c r="C513" s="13"/>
      <c r="D513" s="13"/>
      <c r="E513" s="13"/>
      <c r="F513" s="13"/>
      <c r="G513" s="13"/>
      <c r="H513" s="13"/>
      <c r="I513" s="116"/>
      <c r="J513" s="156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ht="14.25" customHeight="1">
      <c r="A514" s="13"/>
      <c r="B514" s="13"/>
      <c r="C514" s="13"/>
      <c r="D514" s="13"/>
      <c r="E514" s="13"/>
      <c r="F514" s="13"/>
      <c r="G514" s="13"/>
      <c r="H514" s="13"/>
      <c r="I514" s="116"/>
      <c r="J514" s="156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ht="14.25" customHeight="1">
      <c r="A515" s="13"/>
      <c r="B515" s="13"/>
      <c r="C515" s="13"/>
      <c r="D515" s="13"/>
      <c r="E515" s="13"/>
      <c r="F515" s="13"/>
      <c r="G515" s="13"/>
      <c r="H515" s="13"/>
      <c r="I515" s="116"/>
      <c r="J515" s="156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ht="14.25" customHeight="1">
      <c r="A516" s="13"/>
      <c r="B516" s="13"/>
      <c r="C516" s="13"/>
      <c r="D516" s="13"/>
      <c r="E516" s="13"/>
      <c r="F516" s="13"/>
      <c r="G516" s="13"/>
      <c r="H516" s="13"/>
      <c r="I516" s="116"/>
      <c r="J516" s="156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ht="14.25" customHeight="1">
      <c r="A517" s="13"/>
      <c r="B517" s="13"/>
      <c r="C517" s="13"/>
      <c r="D517" s="13"/>
      <c r="E517" s="13"/>
      <c r="F517" s="13"/>
      <c r="G517" s="13"/>
      <c r="H517" s="13"/>
      <c r="I517" s="116"/>
      <c r="J517" s="156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ht="14.25" customHeight="1">
      <c r="A518" s="13"/>
      <c r="B518" s="13"/>
      <c r="C518" s="13"/>
      <c r="D518" s="13"/>
      <c r="E518" s="13"/>
      <c r="F518" s="13"/>
      <c r="G518" s="13"/>
      <c r="H518" s="13"/>
      <c r="I518" s="116"/>
      <c r="J518" s="156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ht="14.25" customHeight="1">
      <c r="A519" s="13"/>
      <c r="B519" s="13"/>
      <c r="C519" s="13"/>
      <c r="D519" s="13"/>
      <c r="E519" s="13"/>
      <c r="F519" s="13"/>
      <c r="G519" s="13"/>
      <c r="H519" s="13"/>
      <c r="I519" s="116"/>
      <c r="J519" s="156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ht="14.25" customHeight="1">
      <c r="A520" s="13"/>
      <c r="B520" s="13"/>
      <c r="C520" s="13"/>
      <c r="D520" s="13"/>
      <c r="E520" s="13"/>
      <c r="F520" s="13"/>
      <c r="G520" s="13"/>
      <c r="H520" s="13"/>
      <c r="I520" s="116"/>
      <c r="J520" s="156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ht="14.25" customHeight="1">
      <c r="A521" s="13"/>
      <c r="B521" s="13"/>
      <c r="C521" s="13"/>
      <c r="D521" s="13"/>
      <c r="E521" s="13"/>
      <c r="F521" s="13"/>
      <c r="G521" s="13"/>
      <c r="H521" s="13"/>
      <c r="I521" s="116"/>
      <c r="J521" s="156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ht="14.25" customHeight="1">
      <c r="A522" s="13"/>
      <c r="B522" s="13"/>
      <c r="C522" s="13"/>
      <c r="D522" s="13"/>
      <c r="E522" s="13"/>
      <c r="F522" s="13"/>
      <c r="G522" s="13"/>
      <c r="H522" s="13"/>
      <c r="I522" s="116"/>
      <c r="J522" s="156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14.25" customHeight="1">
      <c r="A523" s="13"/>
      <c r="B523" s="13"/>
      <c r="C523" s="13"/>
      <c r="D523" s="13"/>
      <c r="E523" s="13"/>
      <c r="F523" s="13"/>
      <c r="G523" s="13"/>
      <c r="H523" s="13"/>
      <c r="I523" s="116"/>
      <c r="J523" s="156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ht="14.25" customHeight="1">
      <c r="A524" s="13"/>
      <c r="B524" s="13"/>
      <c r="C524" s="13"/>
      <c r="D524" s="13"/>
      <c r="E524" s="13"/>
      <c r="F524" s="13"/>
      <c r="G524" s="13"/>
      <c r="H524" s="13"/>
      <c r="I524" s="116"/>
      <c r="J524" s="156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ht="14.25" customHeight="1">
      <c r="A525" s="13"/>
      <c r="B525" s="13"/>
      <c r="C525" s="13"/>
      <c r="D525" s="13"/>
      <c r="E525" s="13"/>
      <c r="F525" s="13"/>
      <c r="G525" s="13"/>
      <c r="H525" s="13"/>
      <c r="I525" s="116"/>
      <c r="J525" s="156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ht="14.25" customHeight="1">
      <c r="A526" s="13"/>
      <c r="B526" s="13"/>
      <c r="C526" s="13"/>
      <c r="D526" s="13"/>
      <c r="E526" s="13"/>
      <c r="F526" s="13"/>
      <c r="G526" s="13"/>
      <c r="H526" s="13"/>
      <c r="I526" s="116"/>
      <c r="J526" s="156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ht="14.25" customHeight="1">
      <c r="A527" s="13"/>
      <c r="B527" s="13"/>
      <c r="C527" s="13"/>
      <c r="D527" s="13"/>
      <c r="E527" s="13"/>
      <c r="F527" s="13"/>
      <c r="G527" s="13"/>
      <c r="H527" s="13"/>
      <c r="I527" s="116"/>
      <c r="J527" s="156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ht="14.25" customHeight="1">
      <c r="A528" s="13"/>
      <c r="B528" s="13"/>
      <c r="C528" s="13"/>
      <c r="D528" s="13"/>
      <c r="E528" s="13"/>
      <c r="F528" s="13"/>
      <c r="G528" s="13"/>
      <c r="H528" s="13"/>
      <c r="I528" s="116"/>
      <c r="J528" s="156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ht="14.25" customHeight="1">
      <c r="A529" s="13"/>
      <c r="B529" s="13"/>
      <c r="C529" s="13"/>
      <c r="D529" s="13"/>
      <c r="E529" s="13"/>
      <c r="F529" s="13"/>
      <c r="G529" s="13"/>
      <c r="H529" s="13"/>
      <c r="I529" s="116"/>
      <c r="J529" s="156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ht="14.25" customHeight="1">
      <c r="A530" s="13"/>
      <c r="B530" s="13"/>
      <c r="C530" s="13"/>
      <c r="D530" s="13"/>
      <c r="E530" s="13"/>
      <c r="F530" s="13"/>
      <c r="G530" s="13"/>
      <c r="H530" s="13"/>
      <c r="I530" s="116"/>
      <c r="J530" s="156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ht="14.25" customHeight="1">
      <c r="A531" s="13"/>
      <c r="B531" s="13"/>
      <c r="C531" s="13"/>
      <c r="D531" s="13"/>
      <c r="E531" s="13"/>
      <c r="F531" s="13"/>
      <c r="G531" s="13"/>
      <c r="H531" s="13"/>
      <c r="I531" s="116"/>
      <c r="J531" s="156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ht="14.25" customHeight="1">
      <c r="A532" s="13"/>
      <c r="B532" s="13"/>
      <c r="C532" s="13"/>
      <c r="D532" s="13"/>
      <c r="E532" s="13"/>
      <c r="F532" s="13"/>
      <c r="G532" s="13"/>
      <c r="H532" s="13"/>
      <c r="I532" s="116"/>
      <c r="J532" s="156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ht="14.25" customHeight="1">
      <c r="A533" s="13"/>
      <c r="B533" s="13"/>
      <c r="C533" s="13"/>
      <c r="D533" s="13"/>
      <c r="E533" s="13"/>
      <c r="F533" s="13"/>
      <c r="G533" s="13"/>
      <c r="H533" s="13"/>
      <c r="I533" s="116"/>
      <c r="J533" s="156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ht="14.25" customHeight="1">
      <c r="A534" s="13"/>
      <c r="B534" s="13"/>
      <c r="C534" s="13"/>
      <c r="D534" s="13"/>
      <c r="E534" s="13"/>
      <c r="F534" s="13"/>
      <c r="G534" s="13"/>
      <c r="H534" s="13"/>
      <c r="I534" s="116"/>
      <c r="J534" s="156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ht="14.25" customHeight="1">
      <c r="A535" s="13"/>
      <c r="B535" s="13"/>
      <c r="C535" s="13"/>
      <c r="D535" s="13"/>
      <c r="E535" s="13"/>
      <c r="F535" s="13"/>
      <c r="G535" s="13"/>
      <c r="H535" s="13"/>
      <c r="I535" s="116"/>
      <c r="J535" s="156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ht="14.25" customHeight="1">
      <c r="A536" s="13"/>
      <c r="B536" s="13"/>
      <c r="C536" s="13"/>
      <c r="D536" s="13"/>
      <c r="E536" s="13"/>
      <c r="F536" s="13"/>
      <c r="G536" s="13"/>
      <c r="H536" s="13"/>
      <c r="I536" s="116"/>
      <c r="J536" s="156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ht="14.25" customHeight="1">
      <c r="A537" s="13"/>
      <c r="B537" s="13"/>
      <c r="C537" s="13"/>
      <c r="D537" s="13"/>
      <c r="E537" s="13"/>
      <c r="F537" s="13"/>
      <c r="G537" s="13"/>
      <c r="H537" s="13"/>
      <c r="I537" s="116"/>
      <c r="J537" s="156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ht="14.25" customHeight="1">
      <c r="A538" s="13"/>
      <c r="B538" s="13"/>
      <c r="C538" s="13"/>
      <c r="D538" s="13"/>
      <c r="E538" s="13"/>
      <c r="F538" s="13"/>
      <c r="G538" s="13"/>
      <c r="H538" s="13"/>
      <c r="I538" s="116"/>
      <c r="J538" s="156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ht="14.25" customHeight="1">
      <c r="A539" s="13"/>
      <c r="B539" s="13"/>
      <c r="C539" s="13"/>
      <c r="D539" s="13"/>
      <c r="E539" s="13"/>
      <c r="F539" s="13"/>
      <c r="G539" s="13"/>
      <c r="H539" s="13"/>
      <c r="I539" s="116"/>
      <c r="J539" s="156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ht="14.25" customHeight="1">
      <c r="A540" s="13"/>
      <c r="B540" s="13"/>
      <c r="C540" s="13"/>
      <c r="D540" s="13"/>
      <c r="E540" s="13"/>
      <c r="F540" s="13"/>
      <c r="G540" s="13"/>
      <c r="H540" s="13"/>
      <c r="I540" s="116"/>
      <c r="J540" s="156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ht="14.25" customHeight="1">
      <c r="A541" s="13"/>
      <c r="B541" s="13"/>
      <c r="C541" s="13"/>
      <c r="D541" s="13"/>
      <c r="E541" s="13"/>
      <c r="F541" s="13"/>
      <c r="G541" s="13"/>
      <c r="H541" s="13"/>
      <c r="I541" s="116"/>
      <c r="J541" s="156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ht="14.25" customHeight="1">
      <c r="A542" s="13"/>
      <c r="B542" s="13"/>
      <c r="C542" s="13"/>
      <c r="D542" s="13"/>
      <c r="E542" s="13"/>
      <c r="F542" s="13"/>
      <c r="G542" s="13"/>
      <c r="H542" s="13"/>
      <c r="I542" s="116"/>
      <c r="J542" s="156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ht="14.25" customHeight="1">
      <c r="A543" s="13"/>
      <c r="B543" s="13"/>
      <c r="C543" s="13"/>
      <c r="D543" s="13"/>
      <c r="E543" s="13"/>
      <c r="F543" s="13"/>
      <c r="G543" s="13"/>
      <c r="H543" s="13"/>
      <c r="I543" s="116"/>
      <c r="J543" s="156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ht="14.25" customHeight="1">
      <c r="A544" s="13"/>
      <c r="B544" s="13"/>
      <c r="C544" s="13"/>
      <c r="D544" s="13"/>
      <c r="E544" s="13"/>
      <c r="F544" s="13"/>
      <c r="G544" s="13"/>
      <c r="H544" s="13"/>
      <c r="I544" s="116"/>
      <c r="J544" s="156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ht="14.25" customHeight="1">
      <c r="A545" s="13"/>
      <c r="B545" s="13"/>
      <c r="C545" s="13"/>
      <c r="D545" s="13"/>
      <c r="E545" s="13"/>
      <c r="F545" s="13"/>
      <c r="G545" s="13"/>
      <c r="H545" s="13"/>
      <c r="I545" s="116"/>
      <c r="J545" s="156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ht="14.25" customHeight="1">
      <c r="A546" s="13"/>
      <c r="B546" s="13"/>
      <c r="C546" s="13"/>
      <c r="D546" s="13"/>
      <c r="E546" s="13"/>
      <c r="F546" s="13"/>
      <c r="G546" s="13"/>
      <c r="H546" s="13"/>
      <c r="I546" s="116"/>
      <c r="J546" s="156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ht="14.25" customHeight="1">
      <c r="A547" s="13"/>
      <c r="B547" s="13"/>
      <c r="C547" s="13"/>
      <c r="D547" s="13"/>
      <c r="E547" s="13"/>
      <c r="F547" s="13"/>
      <c r="G547" s="13"/>
      <c r="H547" s="13"/>
      <c r="I547" s="116"/>
      <c r="J547" s="156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ht="14.25" customHeight="1">
      <c r="A548" s="13"/>
      <c r="B548" s="13"/>
      <c r="C548" s="13"/>
      <c r="D548" s="13"/>
      <c r="E548" s="13"/>
      <c r="F548" s="13"/>
      <c r="G548" s="13"/>
      <c r="H548" s="13"/>
      <c r="I548" s="116"/>
      <c r="J548" s="156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ht="14.25" customHeight="1">
      <c r="A549" s="13"/>
      <c r="B549" s="13"/>
      <c r="C549" s="13"/>
      <c r="D549" s="13"/>
      <c r="E549" s="13"/>
      <c r="F549" s="13"/>
      <c r="G549" s="13"/>
      <c r="H549" s="13"/>
      <c r="I549" s="116"/>
      <c r="J549" s="156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ht="14.25" customHeight="1">
      <c r="A550" s="13"/>
      <c r="B550" s="13"/>
      <c r="C550" s="13"/>
      <c r="D550" s="13"/>
      <c r="E550" s="13"/>
      <c r="F550" s="13"/>
      <c r="G550" s="13"/>
      <c r="H550" s="13"/>
      <c r="I550" s="116"/>
      <c r="J550" s="156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ht="14.25" customHeight="1">
      <c r="A551" s="13"/>
      <c r="B551" s="13"/>
      <c r="C551" s="13"/>
      <c r="D551" s="13"/>
      <c r="E551" s="13"/>
      <c r="F551" s="13"/>
      <c r="G551" s="13"/>
      <c r="H551" s="13"/>
      <c r="I551" s="116"/>
      <c r="J551" s="156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ht="14.25" customHeight="1">
      <c r="A552" s="13"/>
      <c r="B552" s="13"/>
      <c r="C552" s="13"/>
      <c r="D552" s="13"/>
      <c r="E552" s="13"/>
      <c r="F552" s="13"/>
      <c r="G552" s="13"/>
      <c r="H552" s="13"/>
      <c r="I552" s="116"/>
      <c r="J552" s="156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ht="14.25" customHeight="1">
      <c r="A553" s="13"/>
      <c r="B553" s="13"/>
      <c r="C553" s="13"/>
      <c r="D553" s="13"/>
      <c r="E553" s="13"/>
      <c r="F553" s="13"/>
      <c r="G553" s="13"/>
      <c r="H553" s="13"/>
      <c r="I553" s="116"/>
      <c r="J553" s="156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ht="14.25" customHeight="1">
      <c r="A554" s="13"/>
      <c r="B554" s="13"/>
      <c r="C554" s="13"/>
      <c r="D554" s="13"/>
      <c r="E554" s="13"/>
      <c r="F554" s="13"/>
      <c r="G554" s="13"/>
      <c r="H554" s="13"/>
      <c r="I554" s="116"/>
      <c r="J554" s="156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14.25" customHeight="1">
      <c r="A555" s="13"/>
      <c r="B555" s="13"/>
      <c r="C555" s="13"/>
      <c r="D555" s="13"/>
      <c r="E555" s="13"/>
      <c r="F555" s="13"/>
      <c r="G555" s="13"/>
      <c r="H555" s="13"/>
      <c r="I555" s="116"/>
      <c r="J555" s="156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ht="14.25" customHeight="1">
      <c r="A556" s="13"/>
      <c r="B556" s="13"/>
      <c r="C556" s="13"/>
      <c r="D556" s="13"/>
      <c r="E556" s="13"/>
      <c r="F556" s="13"/>
      <c r="G556" s="13"/>
      <c r="H556" s="13"/>
      <c r="I556" s="116"/>
      <c r="J556" s="156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14.25" customHeight="1">
      <c r="A557" s="13"/>
      <c r="B557" s="13"/>
      <c r="C557" s="13"/>
      <c r="D557" s="13"/>
      <c r="E557" s="13"/>
      <c r="F557" s="13"/>
      <c r="G557" s="13"/>
      <c r="H557" s="13"/>
      <c r="I557" s="116"/>
      <c r="J557" s="156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ht="14.25" customHeight="1">
      <c r="A558" s="13"/>
      <c r="B558" s="13"/>
      <c r="C558" s="13"/>
      <c r="D558" s="13"/>
      <c r="E558" s="13"/>
      <c r="F558" s="13"/>
      <c r="G558" s="13"/>
      <c r="H558" s="13"/>
      <c r="I558" s="116"/>
      <c r="J558" s="156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ht="14.25" customHeight="1">
      <c r="A559" s="13"/>
      <c r="B559" s="13"/>
      <c r="C559" s="13"/>
      <c r="D559" s="13"/>
      <c r="E559" s="13"/>
      <c r="F559" s="13"/>
      <c r="G559" s="13"/>
      <c r="H559" s="13"/>
      <c r="I559" s="116"/>
      <c r="J559" s="156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ht="14.25" customHeight="1">
      <c r="A560" s="13"/>
      <c r="B560" s="13"/>
      <c r="C560" s="13"/>
      <c r="D560" s="13"/>
      <c r="E560" s="13"/>
      <c r="F560" s="13"/>
      <c r="G560" s="13"/>
      <c r="H560" s="13"/>
      <c r="I560" s="116"/>
      <c r="J560" s="156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ht="14.25" customHeight="1">
      <c r="A561" s="13"/>
      <c r="B561" s="13"/>
      <c r="C561" s="13"/>
      <c r="D561" s="13"/>
      <c r="E561" s="13"/>
      <c r="F561" s="13"/>
      <c r="G561" s="13"/>
      <c r="H561" s="13"/>
      <c r="I561" s="116"/>
      <c r="J561" s="156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ht="14.25" customHeight="1">
      <c r="A562" s="13"/>
      <c r="B562" s="13"/>
      <c r="C562" s="13"/>
      <c r="D562" s="13"/>
      <c r="E562" s="13"/>
      <c r="F562" s="13"/>
      <c r="G562" s="13"/>
      <c r="H562" s="13"/>
      <c r="I562" s="116"/>
      <c r="J562" s="156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ht="14.25" customHeight="1">
      <c r="A563" s="13"/>
      <c r="B563" s="13"/>
      <c r="C563" s="13"/>
      <c r="D563" s="13"/>
      <c r="E563" s="13"/>
      <c r="F563" s="13"/>
      <c r="G563" s="13"/>
      <c r="H563" s="13"/>
      <c r="I563" s="116"/>
      <c r="J563" s="156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ht="14.25" customHeight="1">
      <c r="A564" s="13"/>
      <c r="B564" s="13"/>
      <c r="C564" s="13"/>
      <c r="D564" s="13"/>
      <c r="E564" s="13"/>
      <c r="F564" s="13"/>
      <c r="G564" s="13"/>
      <c r="H564" s="13"/>
      <c r="I564" s="116"/>
      <c r="J564" s="156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ht="14.25" customHeight="1">
      <c r="A565" s="13"/>
      <c r="B565" s="13"/>
      <c r="C565" s="13"/>
      <c r="D565" s="13"/>
      <c r="E565" s="13"/>
      <c r="F565" s="13"/>
      <c r="G565" s="13"/>
      <c r="H565" s="13"/>
      <c r="I565" s="116"/>
      <c r="J565" s="156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ht="14.25" customHeight="1">
      <c r="A566" s="13"/>
      <c r="B566" s="13"/>
      <c r="C566" s="13"/>
      <c r="D566" s="13"/>
      <c r="E566" s="13"/>
      <c r="F566" s="13"/>
      <c r="G566" s="13"/>
      <c r="H566" s="13"/>
      <c r="I566" s="116"/>
      <c r="J566" s="156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ht="14.25" customHeight="1">
      <c r="A567" s="13"/>
      <c r="B567" s="13"/>
      <c r="C567" s="13"/>
      <c r="D567" s="13"/>
      <c r="E567" s="13"/>
      <c r="F567" s="13"/>
      <c r="G567" s="13"/>
      <c r="H567" s="13"/>
      <c r="I567" s="116"/>
      <c r="J567" s="156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ht="14.25" customHeight="1">
      <c r="A568" s="13"/>
      <c r="B568" s="13"/>
      <c r="C568" s="13"/>
      <c r="D568" s="13"/>
      <c r="E568" s="13"/>
      <c r="F568" s="13"/>
      <c r="G568" s="13"/>
      <c r="H568" s="13"/>
      <c r="I568" s="116"/>
      <c r="J568" s="156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ht="14.25" customHeight="1">
      <c r="A569" s="13"/>
      <c r="B569" s="13"/>
      <c r="C569" s="13"/>
      <c r="D569" s="13"/>
      <c r="E569" s="13"/>
      <c r="F569" s="13"/>
      <c r="G569" s="13"/>
      <c r="H569" s="13"/>
      <c r="I569" s="116"/>
      <c r="J569" s="156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ht="14.25" customHeight="1">
      <c r="A570" s="13"/>
      <c r="B570" s="13"/>
      <c r="C570" s="13"/>
      <c r="D570" s="13"/>
      <c r="E570" s="13"/>
      <c r="F570" s="13"/>
      <c r="G570" s="13"/>
      <c r="H570" s="13"/>
      <c r="I570" s="116"/>
      <c r="J570" s="156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ht="14.25" customHeight="1">
      <c r="A571" s="13"/>
      <c r="B571" s="13"/>
      <c r="C571" s="13"/>
      <c r="D571" s="13"/>
      <c r="E571" s="13"/>
      <c r="F571" s="13"/>
      <c r="G571" s="13"/>
      <c r="H571" s="13"/>
      <c r="I571" s="116"/>
      <c r="J571" s="156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ht="14.25" customHeight="1">
      <c r="A572" s="13"/>
      <c r="B572" s="13"/>
      <c r="C572" s="13"/>
      <c r="D572" s="13"/>
      <c r="E572" s="13"/>
      <c r="F572" s="13"/>
      <c r="G572" s="13"/>
      <c r="H572" s="13"/>
      <c r="I572" s="116"/>
      <c r="J572" s="156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ht="14.25" customHeight="1">
      <c r="A573" s="13"/>
      <c r="B573" s="13"/>
      <c r="C573" s="13"/>
      <c r="D573" s="13"/>
      <c r="E573" s="13"/>
      <c r="F573" s="13"/>
      <c r="G573" s="13"/>
      <c r="H573" s="13"/>
      <c r="I573" s="116"/>
      <c r="J573" s="156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ht="14.25" customHeight="1">
      <c r="A574" s="13"/>
      <c r="B574" s="13"/>
      <c r="C574" s="13"/>
      <c r="D574" s="13"/>
      <c r="E574" s="13"/>
      <c r="F574" s="13"/>
      <c r="G574" s="13"/>
      <c r="H574" s="13"/>
      <c r="I574" s="116"/>
      <c r="J574" s="156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ht="14.25" customHeight="1">
      <c r="A575" s="13"/>
      <c r="B575" s="13"/>
      <c r="C575" s="13"/>
      <c r="D575" s="13"/>
      <c r="E575" s="13"/>
      <c r="F575" s="13"/>
      <c r="G575" s="13"/>
      <c r="H575" s="13"/>
      <c r="I575" s="116"/>
      <c r="J575" s="156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ht="14.25" customHeight="1">
      <c r="A576" s="13"/>
      <c r="B576" s="13"/>
      <c r="C576" s="13"/>
      <c r="D576" s="13"/>
      <c r="E576" s="13"/>
      <c r="F576" s="13"/>
      <c r="G576" s="13"/>
      <c r="H576" s="13"/>
      <c r="I576" s="116"/>
      <c r="J576" s="156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ht="14.25" customHeight="1">
      <c r="A577" s="13"/>
      <c r="B577" s="13"/>
      <c r="C577" s="13"/>
      <c r="D577" s="13"/>
      <c r="E577" s="13"/>
      <c r="F577" s="13"/>
      <c r="G577" s="13"/>
      <c r="H577" s="13"/>
      <c r="I577" s="116"/>
      <c r="J577" s="156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ht="14.25" customHeight="1">
      <c r="A578" s="13"/>
      <c r="B578" s="13"/>
      <c r="C578" s="13"/>
      <c r="D578" s="13"/>
      <c r="E578" s="13"/>
      <c r="F578" s="13"/>
      <c r="G578" s="13"/>
      <c r="H578" s="13"/>
      <c r="I578" s="116"/>
      <c r="J578" s="156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ht="14.25" customHeight="1">
      <c r="A579" s="13"/>
      <c r="B579" s="13"/>
      <c r="C579" s="13"/>
      <c r="D579" s="13"/>
      <c r="E579" s="13"/>
      <c r="F579" s="13"/>
      <c r="G579" s="13"/>
      <c r="H579" s="13"/>
      <c r="I579" s="116"/>
      <c r="J579" s="156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ht="14.25" customHeight="1">
      <c r="A580" s="13"/>
      <c r="B580" s="13"/>
      <c r="C580" s="13"/>
      <c r="D580" s="13"/>
      <c r="E580" s="13"/>
      <c r="F580" s="13"/>
      <c r="G580" s="13"/>
      <c r="H580" s="13"/>
      <c r="I580" s="116"/>
      <c r="J580" s="156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ht="14.25" customHeight="1">
      <c r="A581" s="13"/>
      <c r="B581" s="13"/>
      <c r="C581" s="13"/>
      <c r="D581" s="13"/>
      <c r="E581" s="13"/>
      <c r="F581" s="13"/>
      <c r="G581" s="13"/>
      <c r="H581" s="13"/>
      <c r="I581" s="116"/>
      <c r="J581" s="156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ht="14.25" customHeight="1">
      <c r="A582" s="13"/>
      <c r="B582" s="13"/>
      <c r="C582" s="13"/>
      <c r="D582" s="13"/>
      <c r="E582" s="13"/>
      <c r="F582" s="13"/>
      <c r="G582" s="13"/>
      <c r="H582" s="13"/>
      <c r="I582" s="116"/>
      <c r="J582" s="156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ht="14.25" customHeight="1">
      <c r="A583" s="13"/>
      <c r="B583" s="13"/>
      <c r="C583" s="13"/>
      <c r="D583" s="13"/>
      <c r="E583" s="13"/>
      <c r="F583" s="13"/>
      <c r="G583" s="13"/>
      <c r="H583" s="13"/>
      <c r="I583" s="116"/>
      <c r="J583" s="156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ht="14.25" customHeight="1">
      <c r="A584" s="13"/>
      <c r="B584" s="13"/>
      <c r="C584" s="13"/>
      <c r="D584" s="13"/>
      <c r="E584" s="13"/>
      <c r="F584" s="13"/>
      <c r="G584" s="13"/>
      <c r="H584" s="13"/>
      <c r="I584" s="116"/>
      <c r="J584" s="156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ht="14.25" customHeight="1">
      <c r="A585" s="13"/>
      <c r="B585" s="13"/>
      <c r="C585" s="13"/>
      <c r="D585" s="13"/>
      <c r="E585" s="13"/>
      <c r="F585" s="13"/>
      <c r="G585" s="13"/>
      <c r="H585" s="13"/>
      <c r="I585" s="116"/>
      <c r="J585" s="156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ht="14.25" customHeight="1">
      <c r="A586" s="13"/>
      <c r="B586" s="13"/>
      <c r="C586" s="13"/>
      <c r="D586" s="13"/>
      <c r="E586" s="13"/>
      <c r="F586" s="13"/>
      <c r="G586" s="13"/>
      <c r="H586" s="13"/>
      <c r="I586" s="116"/>
      <c r="J586" s="156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ht="14.25" customHeight="1">
      <c r="A587" s="13"/>
      <c r="B587" s="13"/>
      <c r="C587" s="13"/>
      <c r="D587" s="13"/>
      <c r="E587" s="13"/>
      <c r="F587" s="13"/>
      <c r="G587" s="13"/>
      <c r="H587" s="13"/>
      <c r="I587" s="116"/>
      <c r="J587" s="156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ht="14.25" customHeight="1">
      <c r="A588" s="13"/>
      <c r="B588" s="13"/>
      <c r="C588" s="13"/>
      <c r="D588" s="13"/>
      <c r="E588" s="13"/>
      <c r="F588" s="13"/>
      <c r="G588" s="13"/>
      <c r="H588" s="13"/>
      <c r="I588" s="116"/>
      <c r="J588" s="156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ht="14.25" customHeight="1">
      <c r="A589" s="13"/>
      <c r="B589" s="13"/>
      <c r="C589" s="13"/>
      <c r="D589" s="13"/>
      <c r="E589" s="13"/>
      <c r="F589" s="13"/>
      <c r="G589" s="13"/>
      <c r="H589" s="13"/>
      <c r="I589" s="116"/>
      <c r="J589" s="156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ht="14.25" customHeight="1">
      <c r="A590" s="13"/>
      <c r="B590" s="13"/>
      <c r="C590" s="13"/>
      <c r="D590" s="13"/>
      <c r="E590" s="13"/>
      <c r="F590" s="13"/>
      <c r="G590" s="13"/>
      <c r="H590" s="13"/>
      <c r="I590" s="116"/>
      <c r="J590" s="156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ht="14.25" customHeight="1">
      <c r="A591" s="13"/>
      <c r="B591" s="13"/>
      <c r="C591" s="13"/>
      <c r="D591" s="13"/>
      <c r="E591" s="13"/>
      <c r="F591" s="13"/>
      <c r="G591" s="13"/>
      <c r="H591" s="13"/>
      <c r="I591" s="116"/>
      <c r="J591" s="156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ht="14.25" customHeight="1">
      <c r="A592" s="13"/>
      <c r="B592" s="13"/>
      <c r="C592" s="13"/>
      <c r="D592" s="13"/>
      <c r="E592" s="13"/>
      <c r="F592" s="13"/>
      <c r="G592" s="13"/>
      <c r="H592" s="13"/>
      <c r="I592" s="116"/>
      <c r="J592" s="156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ht="14.25" customHeight="1">
      <c r="A593" s="13"/>
      <c r="B593" s="13"/>
      <c r="C593" s="13"/>
      <c r="D593" s="13"/>
      <c r="E593" s="13"/>
      <c r="F593" s="13"/>
      <c r="G593" s="13"/>
      <c r="H593" s="13"/>
      <c r="I593" s="116"/>
      <c r="J593" s="156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ht="14.25" customHeight="1">
      <c r="A594" s="13"/>
      <c r="B594" s="13"/>
      <c r="C594" s="13"/>
      <c r="D594" s="13"/>
      <c r="E594" s="13"/>
      <c r="F594" s="13"/>
      <c r="G594" s="13"/>
      <c r="H594" s="13"/>
      <c r="I594" s="116"/>
      <c r="J594" s="156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ht="14.25" customHeight="1">
      <c r="A595" s="13"/>
      <c r="B595" s="13"/>
      <c r="C595" s="13"/>
      <c r="D595" s="13"/>
      <c r="E595" s="13"/>
      <c r="F595" s="13"/>
      <c r="G595" s="13"/>
      <c r="H595" s="13"/>
      <c r="I595" s="116"/>
      <c r="J595" s="156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ht="14.25" customHeight="1">
      <c r="A596" s="13"/>
      <c r="B596" s="13"/>
      <c r="C596" s="13"/>
      <c r="D596" s="13"/>
      <c r="E596" s="13"/>
      <c r="F596" s="13"/>
      <c r="G596" s="13"/>
      <c r="H596" s="13"/>
      <c r="I596" s="116"/>
      <c r="J596" s="156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ht="14.25" customHeight="1">
      <c r="A597" s="13"/>
      <c r="B597" s="13"/>
      <c r="C597" s="13"/>
      <c r="D597" s="13"/>
      <c r="E597" s="13"/>
      <c r="F597" s="13"/>
      <c r="G597" s="13"/>
      <c r="H597" s="13"/>
      <c r="I597" s="116"/>
      <c r="J597" s="156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ht="14.25" customHeight="1">
      <c r="A598" s="13"/>
      <c r="B598" s="13"/>
      <c r="C598" s="13"/>
      <c r="D598" s="13"/>
      <c r="E598" s="13"/>
      <c r="F598" s="13"/>
      <c r="G598" s="13"/>
      <c r="H598" s="13"/>
      <c r="I598" s="116"/>
      <c r="J598" s="156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ht="14.25" customHeight="1">
      <c r="A599" s="13"/>
      <c r="B599" s="13"/>
      <c r="C599" s="13"/>
      <c r="D599" s="13"/>
      <c r="E599" s="13"/>
      <c r="F599" s="13"/>
      <c r="G599" s="13"/>
      <c r="H599" s="13"/>
      <c r="I599" s="116"/>
      <c r="J599" s="156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ht="14.25" customHeight="1">
      <c r="A600" s="13"/>
      <c r="B600" s="13"/>
      <c r="C600" s="13"/>
      <c r="D600" s="13"/>
      <c r="E600" s="13"/>
      <c r="F600" s="13"/>
      <c r="G600" s="13"/>
      <c r="H600" s="13"/>
      <c r="I600" s="116"/>
      <c r="J600" s="156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ht="14.25" customHeight="1">
      <c r="A601" s="13"/>
      <c r="B601" s="13"/>
      <c r="C601" s="13"/>
      <c r="D601" s="13"/>
      <c r="E601" s="13"/>
      <c r="F601" s="13"/>
      <c r="G601" s="13"/>
      <c r="H601" s="13"/>
      <c r="I601" s="116"/>
      <c r="J601" s="156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ht="14.25" customHeight="1">
      <c r="A602" s="13"/>
      <c r="B602" s="13"/>
      <c r="C602" s="13"/>
      <c r="D602" s="13"/>
      <c r="E602" s="13"/>
      <c r="F602" s="13"/>
      <c r="G602" s="13"/>
      <c r="H602" s="13"/>
      <c r="I602" s="116"/>
      <c r="J602" s="156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ht="14.25" customHeight="1">
      <c r="A603" s="13"/>
      <c r="B603" s="13"/>
      <c r="C603" s="13"/>
      <c r="D603" s="13"/>
      <c r="E603" s="13"/>
      <c r="F603" s="13"/>
      <c r="G603" s="13"/>
      <c r="H603" s="13"/>
      <c r="I603" s="116"/>
      <c r="J603" s="156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ht="14.25" customHeight="1">
      <c r="A604" s="13"/>
      <c r="B604" s="13"/>
      <c r="C604" s="13"/>
      <c r="D604" s="13"/>
      <c r="E604" s="13"/>
      <c r="F604" s="13"/>
      <c r="G604" s="13"/>
      <c r="H604" s="13"/>
      <c r="I604" s="116"/>
      <c r="J604" s="156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ht="14.25" customHeight="1">
      <c r="A605" s="13"/>
      <c r="B605" s="13"/>
      <c r="C605" s="13"/>
      <c r="D605" s="13"/>
      <c r="E605" s="13"/>
      <c r="F605" s="13"/>
      <c r="G605" s="13"/>
      <c r="H605" s="13"/>
      <c r="I605" s="116"/>
      <c r="J605" s="156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ht="14.25" customHeight="1">
      <c r="A606" s="13"/>
      <c r="B606" s="13"/>
      <c r="C606" s="13"/>
      <c r="D606" s="13"/>
      <c r="E606" s="13"/>
      <c r="F606" s="13"/>
      <c r="G606" s="13"/>
      <c r="H606" s="13"/>
      <c r="I606" s="116"/>
      <c r="J606" s="156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ht="14.25" customHeight="1">
      <c r="A607" s="13"/>
      <c r="B607" s="13"/>
      <c r="C607" s="13"/>
      <c r="D607" s="13"/>
      <c r="E607" s="13"/>
      <c r="F607" s="13"/>
      <c r="G607" s="13"/>
      <c r="H607" s="13"/>
      <c r="I607" s="116"/>
      <c r="J607" s="156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ht="14.25" customHeight="1">
      <c r="A608" s="13"/>
      <c r="B608" s="13"/>
      <c r="C608" s="13"/>
      <c r="D608" s="13"/>
      <c r="E608" s="13"/>
      <c r="F608" s="13"/>
      <c r="G608" s="13"/>
      <c r="H608" s="13"/>
      <c r="I608" s="116"/>
      <c r="J608" s="156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ht="14.25" customHeight="1">
      <c r="A609" s="13"/>
      <c r="B609" s="13"/>
      <c r="C609" s="13"/>
      <c r="D609" s="13"/>
      <c r="E609" s="13"/>
      <c r="F609" s="13"/>
      <c r="G609" s="13"/>
      <c r="H609" s="13"/>
      <c r="I609" s="116"/>
      <c r="J609" s="156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ht="14.25" customHeight="1">
      <c r="A610" s="13"/>
      <c r="B610" s="13"/>
      <c r="C610" s="13"/>
      <c r="D610" s="13"/>
      <c r="E610" s="13"/>
      <c r="F610" s="13"/>
      <c r="G610" s="13"/>
      <c r="H610" s="13"/>
      <c r="I610" s="116"/>
      <c r="J610" s="156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ht="14.25" customHeight="1">
      <c r="A611" s="13"/>
      <c r="B611" s="13"/>
      <c r="C611" s="13"/>
      <c r="D611" s="13"/>
      <c r="E611" s="13"/>
      <c r="F611" s="13"/>
      <c r="G611" s="13"/>
      <c r="H611" s="13"/>
      <c r="I611" s="116"/>
      <c r="J611" s="156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ht="14.25" customHeight="1">
      <c r="A612" s="13"/>
      <c r="B612" s="13"/>
      <c r="C612" s="13"/>
      <c r="D612" s="13"/>
      <c r="E612" s="13"/>
      <c r="F612" s="13"/>
      <c r="G612" s="13"/>
      <c r="H612" s="13"/>
      <c r="I612" s="116"/>
      <c r="J612" s="156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ht="14.25" customHeight="1">
      <c r="A613" s="13"/>
      <c r="B613" s="13"/>
      <c r="C613" s="13"/>
      <c r="D613" s="13"/>
      <c r="E613" s="13"/>
      <c r="F613" s="13"/>
      <c r="G613" s="13"/>
      <c r="H613" s="13"/>
      <c r="I613" s="116"/>
      <c r="J613" s="156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ht="14.25" customHeight="1">
      <c r="A614" s="13"/>
      <c r="B614" s="13"/>
      <c r="C614" s="13"/>
      <c r="D614" s="13"/>
      <c r="E614" s="13"/>
      <c r="F614" s="13"/>
      <c r="G614" s="13"/>
      <c r="H614" s="13"/>
      <c r="I614" s="116"/>
      <c r="J614" s="156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ht="14.25" customHeight="1">
      <c r="A615" s="13"/>
      <c r="B615" s="13"/>
      <c r="C615" s="13"/>
      <c r="D615" s="13"/>
      <c r="E615" s="13"/>
      <c r="F615" s="13"/>
      <c r="G615" s="13"/>
      <c r="H615" s="13"/>
      <c r="I615" s="116"/>
      <c r="J615" s="156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ht="14.25" customHeight="1">
      <c r="A616" s="13"/>
      <c r="B616" s="13"/>
      <c r="C616" s="13"/>
      <c r="D616" s="13"/>
      <c r="E616" s="13"/>
      <c r="F616" s="13"/>
      <c r="G616" s="13"/>
      <c r="H616" s="13"/>
      <c r="I616" s="116"/>
      <c r="J616" s="156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ht="14.25" customHeight="1">
      <c r="A617" s="13"/>
      <c r="B617" s="13"/>
      <c r="C617" s="13"/>
      <c r="D617" s="13"/>
      <c r="E617" s="13"/>
      <c r="F617" s="13"/>
      <c r="G617" s="13"/>
      <c r="H617" s="13"/>
      <c r="I617" s="116"/>
      <c r="J617" s="156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ht="14.25" customHeight="1">
      <c r="A618" s="13"/>
      <c r="B618" s="13"/>
      <c r="C618" s="13"/>
      <c r="D618" s="13"/>
      <c r="E618" s="13"/>
      <c r="F618" s="13"/>
      <c r="G618" s="13"/>
      <c r="H618" s="13"/>
      <c r="I618" s="116"/>
      <c r="J618" s="156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ht="14.25" customHeight="1">
      <c r="A619" s="13"/>
      <c r="B619" s="13"/>
      <c r="C619" s="13"/>
      <c r="D619" s="13"/>
      <c r="E619" s="13"/>
      <c r="F619" s="13"/>
      <c r="G619" s="13"/>
      <c r="H619" s="13"/>
      <c r="I619" s="116"/>
      <c r="J619" s="156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ht="14.25" customHeight="1">
      <c r="A620" s="13"/>
      <c r="B620" s="13"/>
      <c r="C620" s="13"/>
      <c r="D620" s="13"/>
      <c r="E620" s="13"/>
      <c r="F620" s="13"/>
      <c r="G620" s="13"/>
      <c r="H620" s="13"/>
      <c r="I620" s="116"/>
      <c r="J620" s="156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ht="14.25" customHeight="1">
      <c r="A621" s="13"/>
      <c r="B621" s="13"/>
      <c r="C621" s="13"/>
      <c r="D621" s="13"/>
      <c r="E621" s="13"/>
      <c r="F621" s="13"/>
      <c r="G621" s="13"/>
      <c r="H621" s="13"/>
      <c r="I621" s="116"/>
      <c r="J621" s="156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ht="14.25" customHeight="1">
      <c r="A622" s="13"/>
      <c r="B622" s="13"/>
      <c r="C622" s="13"/>
      <c r="D622" s="13"/>
      <c r="E622" s="13"/>
      <c r="F622" s="13"/>
      <c r="G622" s="13"/>
      <c r="H622" s="13"/>
      <c r="I622" s="116"/>
      <c r="J622" s="156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ht="14.25" customHeight="1">
      <c r="A623" s="13"/>
      <c r="B623" s="13"/>
      <c r="C623" s="13"/>
      <c r="D623" s="13"/>
      <c r="E623" s="13"/>
      <c r="F623" s="13"/>
      <c r="G623" s="13"/>
      <c r="H623" s="13"/>
      <c r="I623" s="116"/>
      <c r="J623" s="156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ht="14.25" customHeight="1">
      <c r="A624" s="13"/>
      <c r="B624" s="13"/>
      <c r="C624" s="13"/>
      <c r="D624" s="13"/>
      <c r="E624" s="13"/>
      <c r="F624" s="13"/>
      <c r="G624" s="13"/>
      <c r="H624" s="13"/>
      <c r="I624" s="116"/>
      <c r="J624" s="156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ht="14.25" customHeight="1">
      <c r="A625" s="13"/>
      <c r="B625" s="13"/>
      <c r="C625" s="13"/>
      <c r="D625" s="13"/>
      <c r="E625" s="13"/>
      <c r="F625" s="13"/>
      <c r="G625" s="13"/>
      <c r="H625" s="13"/>
      <c r="I625" s="116"/>
      <c r="J625" s="156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ht="14.25" customHeight="1">
      <c r="A626" s="13"/>
      <c r="B626" s="13"/>
      <c r="C626" s="13"/>
      <c r="D626" s="13"/>
      <c r="E626" s="13"/>
      <c r="F626" s="13"/>
      <c r="G626" s="13"/>
      <c r="H626" s="13"/>
      <c r="I626" s="116"/>
      <c r="J626" s="156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ht="14.25" customHeight="1">
      <c r="A627" s="13"/>
      <c r="B627" s="13"/>
      <c r="C627" s="13"/>
      <c r="D627" s="13"/>
      <c r="E627" s="13"/>
      <c r="F627" s="13"/>
      <c r="G627" s="13"/>
      <c r="H627" s="13"/>
      <c r="I627" s="116"/>
      <c r="J627" s="156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ht="14.25" customHeight="1">
      <c r="A628" s="13"/>
      <c r="B628" s="13"/>
      <c r="C628" s="13"/>
      <c r="D628" s="13"/>
      <c r="E628" s="13"/>
      <c r="F628" s="13"/>
      <c r="G628" s="13"/>
      <c r="H628" s="13"/>
      <c r="I628" s="116"/>
      <c r="J628" s="156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ht="14.25" customHeight="1">
      <c r="A629" s="13"/>
      <c r="B629" s="13"/>
      <c r="C629" s="13"/>
      <c r="D629" s="13"/>
      <c r="E629" s="13"/>
      <c r="F629" s="13"/>
      <c r="G629" s="13"/>
      <c r="H629" s="13"/>
      <c r="I629" s="116"/>
      <c r="J629" s="156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ht="14.25" customHeight="1">
      <c r="A630" s="13"/>
      <c r="B630" s="13"/>
      <c r="C630" s="13"/>
      <c r="D630" s="13"/>
      <c r="E630" s="13"/>
      <c r="F630" s="13"/>
      <c r="G630" s="13"/>
      <c r="H630" s="13"/>
      <c r="I630" s="116"/>
      <c r="J630" s="156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ht="14.25" customHeight="1">
      <c r="A631" s="13"/>
      <c r="B631" s="13"/>
      <c r="C631" s="13"/>
      <c r="D631" s="13"/>
      <c r="E631" s="13"/>
      <c r="F631" s="13"/>
      <c r="G631" s="13"/>
      <c r="H631" s="13"/>
      <c r="I631" s="116"/>
      <c r="J631" s="156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ht="14.25" customHeight="1">
      <c r="A632" s="13"/>
      <c r="B632" s="13"/>
      <c r="C632" s="13"/>
      <c r="D632" s="13"/>
      <c r="E632" s="13"/>
      <c r="F632" s="13"/>
      <c r="G632" s="13"/>
      <c r="H632" s="13"/>
      <c r="I632" s="116"/>
      <c r="J632" s="156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ht="14.25" customHeight="1">
      <c r="A633" s="13"/>
      <c r="B633" s="13"/>
      <c r="C633" s="13"/>
      <c r="D633" s="13"/>
      <c r="E633" s="13"/>
      <c r="F633" s="13"/>
      <c r="G633" s="13"/>
      <c r="H633" s="13"/>
      <c r="I633" s="116"/>
      <c r="J633" s="156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ht="14.25" customHeight="1">
      <c r="A634" s="13"/>
      <c r="B634" s="13"/>
      <c r="C634" s="13"/>
      <c r="D634" s="13"/>
      <c r="E634" s="13"/>
      <c r="F634" s="13"/>
      <c r="G634" s="13"/>
      <c r="H634" s="13"/>
      <c r="I634" s="116"/>
      <c r="J634" s="156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ht="14.25" customHeight="1">
      <c r="A635" s="13"/>
      <c r="B635" s="13"/>
      <c r="C635" s="13"/>
      <c r="D635" s="13"/>
      <c r="E635" s="13"/>
      <c r="F635" s="13"/>
      <c r="G635" s="13"/>
      <c r="H635" s="13"/>
      <c r="I635" s="116"/>
      <c r="J635" s="156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ht="14.25" customHeight="1">
      <c r="A636" s="13"/>
      <c r="B636" s="13"/>
      <c r="C636" s="13"/>
      <c r="D636" s="13"/>
      <c r="E636" s="13"/>
      <c r="F636" s="13"/>
      <c r="G636" s="13"/>
      <c r="H636" s="13"/>
      <c r="I636" s="116"/>
      <c r="J636" s="156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ht="14.25" customHeight="1">
      <c r="A637" s="13"/>
      <c r="B637" s="13"/>
      <c r="C637" s="13"/>
      <c r="D637" s="13"/>
      <c r="E637" s="13"/>
      <c r="F637" s="13"/>
      <c r="G637" s="13"/>
      <c r="H637" s="13"/>
      <c r="I637" s="116"/>
      <c r="J637" s="156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ht="14.25" customHeight="1">
      <c r="A638" s="13"/>
      <c r="B638" s="13"/>
      <c r="C638" s="13"/>
      <c r="D638" s="13"/>
      <c r="E638" s="13"/>
      <c r="F638" s="13"/>
      <c r="G638" s="13"/>
      <c r="H638" s="13"/>
      <c r="I638" s="116"/>
      <c r="J638" s="156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ht="14.25" customHeight="1">
      <c r="A639" s="13"/>
      <c r="B639" s="13"/>
      <c r="C639" s="13"/>
      <c r="D639" s="13"/>
      <c r="E639" s="13"/>
      <c r="F639" s="13"/>
      <c r="G639" s="13"/>
      <c r="H639" s="13"/>
      <c r="I639" s="116"/>
      <c r="J639" s="156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ht="14.25" customHeight="1">
      <c r="A640" s="13"/>
      <c r="B640" s="13"/>
      <c r="C640" s="13"/>
      <c r="D640" s="13"/>
      <c r="E640" s="13"/>
      <c r="F640" s="13"/>
      <c r="G640" s="13"/>
      <c r="H640" s="13"/>
      <c r="I640" s="116"/>
      <c r="J640" s="156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ht="14.25" customHeight="1">
      <c r="A641" s="13"/>
      <c r="B641" s="13"/>
      <c r="C641" s="13"/>
      <c r="D641" s="13"/>
      <c r="E641" s="13"/>
      <c r="F641" s="13"/>
      <c r="G641" s="13"/>
      <c r="H641" s="13"/>
      <c r="I641" s="116"/>
      <c r="J641" s="156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ht="14.25" customHeight="1">
      <c r="A642" s="13"/>
      <c r="B642" s="13"/>
      <c r="C642" s="13"/>
      <c r="D642" s="13"/>
      <c r="E642" s="13"/>
      <c r="F642" s="13"/>
      <c r="G642" s="13"/>
      <c r="H642" s="13"/>
      <c r="I642" s="116"/>
      <c r="J642" s="156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ht="14.25" customHeight="1">
      <c r="A643" s="13"/>
      <c r="B643" s="13"/>
      <c r="C643" s="13"/>
      <c r="D643" s="13"/>
      <c r="E643" s="13"/>
      <c r="F643" s="13"/>
      <c r="G643" s="13"/>
      <c r="H643" s="13"/>
      <c r="I643" s="116"/>
      <c r="J643" s="156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ht="14.25" customHeight="1">
      <c r="A644" s="13"/>
      <c r="B644" s="13"/>
      <c r="C644" s="13"/>
      <c r="D644" s="13"/>
      <c r="E644" s="13"/>
      <c r="F644" s="13"/>
      <c r="G644" s="13"/>
      <c r="H644" s="13"/>
      <c r="I644" s="116"/>
      <c r="J644" s="156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ht="14.25" customHeight="1">
      <c r="A645" s="13"/>
      <c r="B645" s="13"/>
      <c r="C645" s="13"/>
      <c r="D645" s="13"/>
      <c r="E645" s="13"/>
      <c r="F645" s="13"/>
      <c r="G645" s="13"/>
      <c r="H645" s="13"/>
      <c r="I645" s="116"/>
      <c r="J645" s="156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ht="14.25" customHeight="1">
      <c r="A646" s="13"/>
      <c r="B646" s="13"/>
      <c r="C646" s="13"/>
      <c r="D646" s="13"/>
      <c r="E646" s="13"/>
      <c r="F646" s="13"/>
      <c r="G646" s="13"/>
      <c r="H646" s="13"/>
      <c r="I646" s="116"/>
      <c r="J646" s="156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ht="14.25" customHeight="1">
      <c r="A647" s="13"/>
      <c r="B647" s="13"/>
      <c r="C647" s="13"/>
      <c r="D647" s="13"/>
      <c r="E647" s="13"/>
      <c r="F647" s="13"/>
      <c r="G647" s="13"/>
      <c r="H647" s="13"/>
      <c r="I647" s="116"/>
      <c r="J647" s="156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ht="14.25" customHeight="1">
      <c r="A648" s="13"/>
      <c r="B648" s="13"/>
      <c r="C648" s="13"/>
      <c r="D648" s="13"/>
      <c r="E648" s="13"/>
      <c r="F648" s="13"/>
      <c r="G648" s="13"/>
      <c r="H648" s="13"/>
      <c r="I648" s="116"/>
      <c r="J648" s="156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ht="14.25" customHeight="1">
      <c r="A649" s="13"/>
      <c r="B649" s="13"/>
      <c r="C649" s="13"/>
      <c r="D649" s="13"/>
      <c r="E649" s="13"/>
      <c r="F649" s="13"/>
      <c r="G649" s="13"/>
      <c r="H649" s="13"/>
      <c r="I649" s="116"/>
      <c r="J649" s="156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ht="14.25" customHeight="1">
      <c r="A650" s="13"/>
      <c r="B650" s="13"/>
      <c r="C650" s="13"/>
      <c r="D650" s="13"/>
      <c r="E650" s="13"/>
      <c r="F650" s="13"/>
      <c r="G650" s="13"/>
      <c r="H650" s="13"/>
      <c r="I650" s="116"/>
      <c r="J650" s="156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ht="14.25" customHeight="1">
      <c r="A651" s="13"/>
      <c r="B651" s="13"/>
      <c r="C651" s="13"/>
      <c r="D651" s="13"/>
      <c r="E651" s="13"/>
      <c r="F651" s="13"/>
      <c r="G651" s="13"/>
      <c r="H651" s="13"/>
      <c r="I651" s="116"/>
      <c r="J651" s="156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ht="14.25" customHeight="1">
      <c r="A652" s="13"/>
      <c r="B652" s="13"/>
      <c r="C652" s="13"/>
      <c r="D652" s="13"/>
      <c r="E652" s="13"/>
      <c r="F652" s="13"/>
      <c r="G652" s="13"/>
      <c r="H652" s="13"/>
      <c r="I652" s="116"/>
      <c r="J652" s="156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ht="14.25" customHeight="1">
      <c r="A653" s="13"/>
      <c r="B653" s="13"/>
      <c r="C653" s="13"/>
      <c r="D653" s="13"/>
      <c r="E653" s="13"/>
      <c r="F653" s="13"/>
      <c r="G653" s="13"/>
      <c r="H653" s="13"/>
      <c r="I653" s="116"/>
      <c r="J653" s="156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ht="14.25" customHeight="1">
      <c r="A654" s="13"/>
      <c r="B654" s="13"/>
      <c r="C654" s="13"/>
      <c r="D654" s="13"/>
      <c r="E654" s="13"/>
      <c r="F654" s="13"/>
      <c r="G654" s="13"/>
      <c r="H654" s="13"/>
      <c r="I654" s="116"/>
      <c r="J654" s="156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ht="14.25" customHeight="1">
      <c r="A655" s="13"/>
      <c r="B655" s="13"/>
      <c r="C655" s="13"/>
      <c r="D655" s="13"/>
      <c r="E655" s="13"/>
      <c r="F655" s="13"/>
      <c r="G655" s="13"/>
      <c r="H655" s="13"/>
      <c r="I655" s="116"/>
      <c r="J655" s="156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ht="14.25" customHeight="1">
      <c r="A656" s="13"/>
      <c r="B656" s="13"/>
      <c r="C656" s="13"/>
      <c r="D656" s="13"/>
      <c r="E656" s="13"/>
      <c r="F656" s="13"/>
      <c r="G656" s="13"/>
      <c r="H656" s="13"/>
      <c r="I656" s="116"/>
      <c r="J656" s="156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ht="14.25" customHeight="1">
      <c r="A657" s="13"/>
      <c r="B657" s="13"/>
      <c r="C657" s="13"/>
      <c r="D657" s="13"/>
      <c r="E657" s="13"/>
      <c r="F657" s="13"/>
      <c r="G657" s="13"/>
      <c r="H657" s="13"/>
      <c r="I657" s="116"/>
      <c r="J657" s="156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ht="14.25" customHeight="1">
      <c r="A658" s="13"/>
      <c r="B658" s="13"/>
      <c r="C658" s="13"/>
      <c r="D658" s="13"/>
      <c r="E658" s="13"/>
      <c r="F658" s="13"/>
      <c r="G658" s="13"/>
      <c r="H658" s="13"/>
      <c r="I658" s="116"/>
      <c r="J658" s="156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ht="14.25" customHeight="1">
      <c r="A659" s="13"/>
      <c r="B659" s="13"/>
      <c r="C659" s="13"/>
      <c r="D659" s="13"/>
      <c r="E659" s="13"/>
      <c r="F659" s="13"/>
      <c r="G659" s="13"/>
      <c r="H659" s="13"/>
      <c r="I659" s="116"/>
      <c r="J659" s="156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ht="14.25" customHeight="1">
      <c r="A660" s="13"/>
      <c r="B660" s="13"/>
      <c r="C660" s="13"/>
      <c r="D660" s="13"/>
      <c r="E660" s="13"/>
      <c r="F660" s="13"/>
      <c r="G660" s="13"/>
      <c r="H660" s="13"/>
      <c r="I660" s="116"/>
      <c r="J660" s="156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ht="14.25" customHeight="1">
      <c r="A661" s="13"/>
      <c r="B661" s="13"/>
      <c r="C661" s="13"/>
      <c r="D661" s="13"/>
      <c r="E661" s="13"/>
      <c r="F661" s="13"/>
      <c r="G661" s="13"/>
      <c r="H661" s="13"/>
      <c r="I661" s="116"/>
      <c r="J661" s="156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ht="14.25" customHeight="1">
      <c r="A662" s="13"/>
      <c r="B662" s="13"/>
      <c r="C662" s="13"/>
      <c r="D662" s="13"/>
      <c r="E662" s="13"/>
      <c r="F662" s="13"/>
      <c r="G662" s="13"/>
      <c r="H662" s="13"/>
      <c r="I662" s="116"/>
      <c r="J662" s="156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ht="14.25" customHeight="1">
      <c r="A663" s="13"/>
      <c r="B663" s="13"/>
      <c r="C663" s="13"/>
      <c r="D663" s="13"/>
      <c r="E663" s="13"/>
      <c r="F663" s="13"/>
      <c r="G663" s="13"/>
      <c r="H663" s="13"/>
      <c r="I663" s="116"/>
      <c r="J663" s="156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ht="14.25" customHeight="1">
      <c r="A664" s="13"/>
      <c r="B664" s="13"/>
      <c r="C664" s="13"/>
      <c r="D664" s="13"/>
      <c r="E664" s="13"/>
      <c r="F664" s="13"/>
      <c r="G664" s="13"/>
      <c r="H664" s="13"/>
      <c r="I664" s="116"/>
      <c r="J664" s="156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ht="14.25" customHeight="1">
      <c r="A665" s="13"/>
      <c r="B665" s="13"/>
      <c r="C665" s="13"/>
      <c r="D665" s="13"/>
      <c r="E665" s="13"/>
      <c r="F665" s="13"/>
      <c r="G665" s="13"/>
      <c r="H665" s="13"/>
      <c r="I665" s="116"/>
      <c r="J665" s="156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ht="14.25" customHeight="1">
      <c r="A666" s="13"/>
      <c r="B666" s="13"/>
      <c r="C666" s="13"/>
      <c r="D666" s="13"/>
      <c r="E666" s="13"/>
      <c r="F666" s="13"/>
      <c r="G666" s="13"/>
      <c r="H666" s="13"/>
      <c r="I666" s="116"/>
      <c r="J666" s="156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ht="14.25" customHeight="1">
      <c r="A667" s="13"/>
      <c r="B667" s="13"/>
      <c r="C667" s="13"/>
      <c r="D667" s="13"/>
      <c r="E667" s="13"/>
      <c r="F667" s="13"/>
      <c r="G667" s="13"/>
      <c r="H667" s="13"/>
      <c r="I667" s="116"/>
      <c r="J667" s="156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ht="14.25" customHeight="1">
      <c r="A668" s="13"/>
      <c r="B668" s="13"/>
      <c r="C668" s="13"/>
      <c r="D668" s="13"/>
      <c r="E668" s="13"/>
      <c r="F668" s="13"/>
      <c r="G668" s="13"/>
      <c r="H668" s="13"/>
      <c r="I668" s="116"/>
      <c r="J668" s="156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ht="14.25" customHeight="1">
      <c r="A669" s="13"/>
      <c r="B669" s="13"/>
      <c r="C669" s="13"/>
      <c r="D669" s="13"/>
      <c r="E669" s="13"/>
      <c r="F669" s="13"/>
      <c r="G669" s="13"/>
      <c r="H669" s="13"/>
      <c r="I669" s="116"/>
      <c r="J669" s="156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ht="14.25" customHeight="1">
      <c r="A670" s="13"/>
      <c r="B670" s="13"/>
      <c r="C670" s="13"/>
      <c r="D670" s="13"/>
      <c r="E670" s="13"/>
      <c r="F670" s="13"/>
      <c r="G670" s="13"/>
      <c r="H670" s="13"/>
      <c r="I670" s="116"/>
      <c r="J670" s="156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ht="14.25" customHeight="1">
      <c r="A671" s="13"/>
      <c r="B671" s="13"/>
      <c r="C671" s="13"/>
      <c r="D671" s="13"/>
      <c r="E671" s="13"/>
      <c r="F671" s="13"/>
      <c r="G671" s="13"/>
      <c r="H671" s="13"/>
      <c r="I671" s="116"/>
      <c r="J671" s="156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ht="14.25" customHeight="1">
      <c r="A672" s="13"/>
      <c r="B672" s="13"/>
      <c r="C672" s="13"/>
      <c r="D672" s="13"/>
      <c r="E672" s="13"/>
      <c r="F672" s="13"/>
      <c r="G672" s="13"/>
      <c r="H672" s="13"/>
      <c r="I672" s="116"/>
      <c r="J672" s="156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ht="14.25" customHeight="1">
      <c r="A673" s="13"/>
      <c r="B673" s="13"/>
      <c r="C673" s="13"/>
      <c r="D673" s="13"/>
      <c r="E673" s="13"/>
      <c r="F673" s="13"/>
      <c r="G673" s="13"/>
      <c r="H673" s="13"/>
      <c r="I673" s="116"/>
      <c r="J673" s="156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ht="14.25" customHeight="1">
      <c r="A674" s="13"/>
      <c r="B674" s="13"/>
      <c r="C674" s="13"/>
      <c r="D674" s="13"/>
      <c r="E674" s="13"/>
      <c r="F674" s="13"/>
      <c r="G674" s="13"/>
      <c r="H674" s="13"/>
      <c r="I674" s="116"/>
      <c r="J674" s="156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ht="14.25" customHeight="1">
      <c r="A675" s="13"/>
      <c r="B675" s="13"/>
      <c r="C675" s="13"/>
      <c r="D675" s="13"/>
      <c r="E675" s="13"/>
      <c r="F675" s="13"/>
      <c r="G675" s="13"/>
      <c r="H675" s="13"/>
      <c r="I675" s="116"/>
      <c r="J675" s="156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ht="14.25" customHeight="1">
      <c r="A676" s="13"/>
      <c r="B676" s="13"/>
      <c r="C676" s="13"/>
      <c r="D676" s="13"/>
      <c r="E676" s="13"/>
      <c r="F676" s="13"/>
      <c r="G676" s="13"/>
      <c r="H676" s="13"/>
      <c r="I676" s="116"/>
      <c r="J676" s="156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ht="14.25" customHeight="1">
      <c r="A677" s="13"/>
      <c r="B677" s="13"/>
      <c r="C677" s="13"/>
      <c r="D677" s="13"/>
      <c r="E677" s="13"/>
      <c r="F677" s="13"/>
      <c r="G677" s="13"/>
      <c r="H677" s="13"/>
      <c r="I677" s="116"/>
      <c r="J677" s="156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ht="14.25" customHeight="1">
      <c r="A678" s="13"/>
      <c r="B678" s="13"/>
      <c r="C678" s="13"/>
      <c r="D678" s="13"/>
      <c r="E678" s="13"/>
      <c r="F678" s="13"/>
      <c r="G678" s="13"/>
      <c r="H678" s="13"/>
      <c r="I678" s="116"/>
      <c r="J678" s="156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ht="14.25" customHeight="1">
      <c r="A679" s="13"/>
      <c r="B679" s="13"/>
      <c r="C679" s="13"/>
      <c r="D679" s="13"/>
      <c r="E679" s="13"/>
      <c r="F679" s="13"/>
      <c r="G679" s="13"/>
      <c r="H679" s="13"/>
      <c r="I679" s="116"/>
      <c r="J679" s="156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ht="14.25" customHeight="1">
      <c r="A680" s="13"/>
      <c r="B680" s="13"/>
      <c r="C680" s="13"/>
      <c r="D680" s="13"/>
      <c r="E680" s="13"/>
      <c r="F680" s="13"/>
      <c r="G680" s="13"/>
      <c r="H680" s="13"/>
      <c r="I680" s="116"/>
      <c r="J680" s="156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ht="14.25" customHeight="1">
      <c r="A681" s="13"/>
      <c r="B681" s="13"/>
      <c r="C681" s="13"/>
      <c r="D681" s="13"/>
      <c r="E681" s="13"/>
      <c r="F681" s="13"/>
      <c r="G681" s="13"/>
      <c r="H681" s="13"/>
      <c r="I681" s="116"/>
      <c r="J681" s="156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ht="14.25" customHeight="1">
      <c r="A682" s="13"/>
      <c r="B682" s="13"/>
      <c r="C682" s="13"/>
      <c r="D682" s="13"/>
      <c r="E682" s="13"/>
      <c r="F682" s="13"/>
      <c r="G682" s="13"/>
      <c r="H682" s="13"/>
      <c r="I682" s="116"/>
      <c r="J682" s="156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ht="14.25" customHeight="1">
      <c r="A683" s="13"/>
      <c r="B683" s="13"/>
      <c r="C683" s="13"/>
      <c r="D683" s="13"/>
      <c r="E683" s="13"/>
      <c r="F683" s="13"/>
      <c r="G683" s="13"/>
      <c r="H683" s="13"/>
      <c r="I683" s="116"/>
      <c r="J683" s="156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ht="14.25" customHeight="1">
      <c r="A684" s="13"/>
      <c r="B684" s="13"/>
      <c r="C684" s="13"/>
      <c r="D684" s="13"/>
      <c r="E684" s="13"/>
      <c r="F684" s="13"/>
      <c r="G684" s="13"/>
      <c r="H684" s="13"/>
      <c r="I684" s="116"/>
      <c r="J684" s="156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ht="14.25" customHeight="1">
      <c r="A685" s="13"/>
      <c r="B685" s="13"/>
      <c r="C685" s="13"/>
      <c r="D685" s="13"/>
      <c r="E685" s="13"/>
      <c r="F685" s="13"/>
      <c r="G685" s="13"/>
      <c r="H685" s="13"/>
      <c r="I685" s="116"/>
      <c r="J685" s="156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ht="14.25" customHeight="1">
      <c r="A686" s="13"/>
      <c r="B686" s="13"/>
      <c r="C686" s="13"/>
      <c r="D686" s="13"/>
      <c r="E686" s="13"/>
      <c r="F686" s="13"/>
      <c r="G686" s="13"/>
      <c r="H686" s="13"/>
      <c r="I686" s="116"/>
      <c r="J686" s="156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ht="14.25" customHeight="1">
      <c r="A687" s="13"/>
      <c r="B687" s="13"/>
      <c r="C687" s="13"/>
      <c r="D687" s="13"/>
      <c r="E687" s="13"/>
      <c r="F687" s="13"/>
      <c r="G687" s="13"/>
      <c r="H687" s="13"/>
      <c r="I687" s="116"/>
      <c r="J687" s="156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ht="14.25" customHeight="1">
      <c r="A688" s="13"/>
      <c r="B688" s="13"/>
      <c r="C688" s="13"/>
      <c r="D688" s="13"/>
      <c r="E688" s="13"/>
      <c r="F688" s="13"/>
      <c r="G688" s="13"/>
      <c r="H688" s="13"/>
      <c r="I688" s="116"/>
      <c r="J688" s="156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ht="14.25" customHeight="1">
      <c r="A689" s="13"/>
      <c r="B689" s="13"/>
      <c r="C689" s="13"/>
      <c r="D689" s="13"/>
      <c r="E689" s="13"/>
      <c r="F689" s="13"/>
      <c r="G689" s="13"/>
      <c r="H689" s="13"/>
      <c r="I689" s="116"/>
      <c r="J689" s="156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ht="14.25" customHeight="1">
      <c r="A690" s="13"/>
      <c r="B690" s="13"/>
      <c r="C690" s="13"/>
      <c r="D690" s="13"/>
      <c r="E690" s="13"/>
      <c r="F690" s="13"/>
      <c r="G690" s="13"/>
      <c r="H690" s="13"/>
      <c r="I690" s="116"/>
      <c r="J690" s="156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ht="14.25" customHeight="1">
      <c r="A691" s="13"/>
      <c r="B691" s="13"/>
      <c r="C691" s="13"/>
      <c r="D691" s="13"/>
      <c r="E691" s="13"/>
      <c r="F691" s="13"/>
      <c r="G691" s="13"/>
      <c r="H691" s="13"/>
      <c r="I691" s="116"/>
      <c r="J691" s="156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ht="14.25" customHeight="1">
      <c r="A692" s="13"/>
      <c r="B692" s="13"/>
      <c r="C692" s="13"/>
      <c r="D692" s="13"/>
      <c r="E692" s="13"/>
      <c r="F692" s="13"/>
      <c r="G692" s="13"/>
      <c r="H692" s="13"/>
      <c r="I692" s="116"/>
      <c r="J692" s="156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ht="14.25" customHeight="1">
      <c r="A693" s="13"/>
      <c r="B693" s="13"/>
      <c r="C693" s="13"/>
      <c r="D693" s="13"/>
      <c r="E693" s="13"/>
      <c r="F693" s="13"/>
      <c r="G693" s="13"/>
      <c r="H693" s="13"/>
      <c r="I693" s="116"/>
      <c r="J693" s="156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ht="14.25" customHeight="1">
      <c r="A694" s="13"/>
      <c r="B694" s="13"/>
      <c r="C694" s="13"/>
      <c r="D694" s="13"/>
      <c r="E694" s="13"/>
      <c r="F694" s="13"/>
      <c r="G694" s="13"/>
      <c r="H694" s="13"/>
      <c r="I694" s="116"/>
      <c r="J694" s="156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ht="14.25" customHeight="1">
      <c r="A695" s="13"/>
      <c r="B695" s="13"/>
      <c r="C695" s="13"/>
      <c r="D695" s="13"/>
      <c r="E695" s="13"/>
      <c r="F695" s="13"/>
      <c r="G695" s="13"/>
      <c r="H695" s="13"/>
      <c r="I695" s="116"/>
      <c r="J695" s="156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ht="14.25" customHeight="1">
      <c r="A696" s="13"/>
      <c r="B696" s="13"/>
      <c r="C696" s="13"/>
      <c r="D696" s="13"/>
      <c r="E696" s="13"/>
      <c r="F696" s="13"/>
      <c r="G696" s="13"/>
      <c r="H696" s="13"/>
      <c r="I696" s="116"/>
      <c r="J696" s="156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ht="14.25" customHeight="1">
      <c r="A697" s="13"/>
      <c r="B697" s="13"/>
      <c r="C697" s="13"/>
      <c r="D697" s="13"/>
      <c r="E697" s="13"/>
      <c r="F697" s="13"/>
      <c r="G697" s="13"/>
      <c r="H697" s="13"/>
      <c r="I697" s="116"/>
      <c r="J697" s="156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ht="14.25" customHeight="1">
      <c r="A698" s="13"/>
      <c r="B698" s="13"/>
      <c r="C698" s="13"/>
      <c r="D698" s="13"/>
      <c r="E698" s="13"/>
      <c r="F698" s="13"/>
      <c r="G698" s="13"/>
      <c r="H698" s="13"/>
      <c r="I698" s="116"/>
      <c r="J698" s="156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ht="14.25" customHeight="1">
      <c r="A699" s="13"/>
      <c r="B699" s="13"/>
      <c r="C699" s="13"/>
      <c r="D699" s="13"/>
      <c r="E699" s="13"/>
      <c r="F699" s="13"/>
      <c r="G699" s="13"/>
      <c r="H699" s="13"/>
      <c r="I699" s="116"/>
      <c r="J699" s="156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ht="14.25" customHeight="1">
      <c r="A700" s="13"/>
      <c r="B700" s="13"/>
      <c r="C700" s="13"/>
      <c r="D700" s="13"/>
      <c r="E700" s="13"/>
      <c r="F700" s="13"/>
      <c r="G700" s="13"/>
      <c r="H700" s="13"/>
      <c r="I700" s="116"/>
      <c r="J700" s="156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ht="14.25" customHeight="1">
      <c r="A701" s="13"/>
      <c r="B701" s="13"/>
      <c r="C701" s="13"/>
      <c r="D701" s="13"/>
      <c r="E701" s="13"/>
      <c r="F701" s="13"/>
      <c r="G701" s="13"/>
      <c r="H701" s="13"/>
      <c r="I701" s="116"/>
      <c r="J701" s="156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ht="14.25" customHeight="1">
      <c r="A702" s="13"/>
      <c r="B702" s="13"/>
      <c r="C702" s="13"/>
      <c r="D702" s="13"/>
      <c r="E702" s="13"/>
      <c r="F702" s="13"/>
      <c r="G702" s="13"/>
      <c r="H702" s="13"/>
      <c r="I702" s="116"/>
      <c r="J702" s="156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ht="14.25" customHeight="1">
      <c r="A703" s="13"/>
      <c r="B703" s="13"/>
      <c r="C703" s="13"/>
      <c r="D703" s="13"/>
      <c r="E703" s="13"/>
      <c r="F703" s="13"/>
      <c r="G703" s="13"/>
      <c r="H703" s="13"/>
      <c r="I703" s="116"/>
      <c r="J703" s="156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ht="14.25" customHeight="1">
      <c r="A704" s="13"/>
      <c r="B704" s="13"/>
      <c r="C704" s="13"/>
      <c r="D704" s="13"/>
      <c r="E704" s="13"/>
      <c r="F704" s="13"/>
      <c r="G704" s="13"/>
      <c r="H704" s="13"/>
      <c r="I704" s="116"/>
      <c r="J704" s="156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ht="14.25" customHeight="1">
      <c r="A705" s="13"/>
      <c r="B705" s="13"/>
      <c r="C705" s="13"/>
      <c r="D705" s="13"/>
      <c r="E705" s="13"/>
      <c r="F705" s="13"/>
      <c r="G705" s="13"/>
      <c r="H705" s="13"/>
      <c r="I705" s="116"/>
      <c r="J705" s="156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ht="14.25" customHeight="1">
      <c r="A706" s="13"/>
      <c r="B706" s="13"/>
      <c r="C706" s="13"/>
      <c r="D706" s="13"/>
      <c r="E706" s="13"/>
      <c r="F706" s="13"/>
      <c r="G706" s="13"/>
      <c r="H706" s="13"/>
      <c r="I706" s="116"/>
      <c r="J706" s="156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ht="14.25" customHeight="1">
      <c r="A707" s="13"/>
      <c r="B707" s="13"/>
      <c r="C707" s="13"/>
      <c r="D707" s="13"/>
      <c r="E707" s="13"/>
      <c r="F707" s="13"/>
      <c r="G707" s="13"/>
      <c r="H707" s="13"/>
      <c r="I707" s="116"/>
      <c r="J707" s="156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ht="14.25" customHeight="1">
      <c r="A708" s="13"/>
      <c r="B708" s="13"/>
      <c r="C708" s="13"/>
      <c r="D708" s="13"/>
      <c r="E708" s="13"/>
      <c r="F708" s="13"/>
      <c r="G708" s="13"/>
      <c r="H708" s="13"/>
      <c r="I708" s="116"/>
      <c r="J708" s="156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ht="14.25" customHeight="1">
      <c r="A709" s="13"/>
      <c r="B709" s="13"/>
      <c r="C709" s="13"/>
      <c r="D709" s="13"/>
      <c r="E709" s="13"/>
      <c r="F709" s="13"/>
      <c r="G709" s="13"/>
      <c r="H709" s="13"/>
      <c r="I709" s="116"/>
      <c r="J709" s="156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ht="14.25" customHeight="1">
      <c r="A710" s="13"/>
      <c r="B710" s="13"/>
      <c r="C710" s="13"/>
      <c r="D710" s="13"/>
      <c r="E710" s="13"/>
      <c r="F710" s="13"/>
      <c r="G710" s="13"/>
      <c r="H710" s="13"/>
      <c r="I710" s="116"/>
      <c r="J710" s="156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ht="14.25" customHeight="1">
      <c r="A711" s="13"/>
      <c r="B711" s="13"/>
      <c r="C711" s="13"/>
      <c r="D711" s="13"/>
      <c r="E711" s="13"/>
      <c r="F711" s="13"/>
      <c r="G711" s="13"/>
      <c r="H711" s="13"/>
      <c r="I711" s="116"/>
      <c r="J711" s="156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ht="14.25" customHeight="1">
      <c r="A712" s="13"/>
      <c r="B712" s="13"/>
      <c r="C712" s="13"/>
      <c r="D712" s="13"/>
      <c r="E712" s="13"/>
      <c r="F712" s="13"/>
      <c r="G712" s="13"/>
      <c r="H712" s="13"/>
      <c r="I712" s="116"/>
      <c r="J712" s="156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ht="14.25" customHeight="1">
      <c r="A713" s="13"/>
      <c r="B713" s="13"/>
      <c r="C713" s="13"/>
      <c r="D713" s="13"/>
      <c r="E713" s="13"/>
      <c r="F713" s="13"/>
      <c r="G713" s="13"/>
      <c r="H713" s="13"/>
      <c r="I713" s="116"/>
      <c r="J713" s="156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ht="14.25" customHeight="1">
      <c r="A714" s="13"/>
      <c r="B714" s="13"/>
      <c r="C714" s="13"/>
      <c r="D714" s="13"/>
      <c r="E714" s="13"/>
      <c r="F714" s="13"/>
      <c r="G714" s="13"/>
      <c r="H714" s="13"/>
      <c r="I714" s="116"/>
      <c r="J714" s="156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ht="14.25" customHeight="1">
      <c r="A715" s="13"/>
      <c r="B715" s="13"/>
      <c r="C715" s="13"/>
      <c r="D715" s="13"/>
      <c r="E715" s="13"/>
      <c r="F715" s="13"/>
      <c r="G715" s="13"/>
      <c r="H715" s="13"/>
      <c r="I715" s="116"/>
      <c r="J715" s="156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ht="14.25" customHeight="1">
      <c r="A716" s="13"/>
      <c r="B716" s="13"/>
      <c r="C716" s="13"/>
      <c r="D716" s="13"/>
      <c r="E716" s="13"/>
      <c r="F716" s="13"/>
      <c r="G716" s="13"/>
      <c r="H716" s="13"/>
      <c r="I716" s="116"/>
      <c r="J716" s="156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ht="14.25" customHeight="1">
      <c r="A717" s="13"/>
      <c r="B717" s="13"/>
      <c r="C717" s="13"/>
      <c r="D717" s="13"/>
      <c r="E717" s="13"/>
      <c r="F717" s="13"/>
      <c r="G717" s="13"/>
      <c r="H717" s="13"/>
      <c r="I717" s="116"/>
      <c r="J717" s="156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ht="14.25" customHeight="1">
      <c r="A718" s="13"/>
      <c r="B718" s="13"/>
      <c r="C718" s="13"/>
      <c r="D718" s="13"/>
      <c r="E718" s="13"/>
      <c r="F718" s="13"/>
      <c r="G718" s="13"/>
      <c r="H718" s="13"/>
      <c r="I718" s="116"/>
      <c r="J718" s="156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ht="14.25" customHeight="1">
      <c r="A719" s="13"/>
      <c r="B719" s="13"/>
      <c r="C719" s="13"/>
      <c r="D719" s="13"/>
      <c r="E719" s="13"/>
      <c r="F719" s="13"/>
      <c r="G719" s="13"/>
      <c r="H719" s="13"/>
      <c r="I719" s="116"/>
      <c r="J719" s="156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ht="14.25" customHeight="1">
      <c r="A720" s="13"/>
      <c r="B720" s="13"/>
      <c r="C720" s="13"/>
      <c r="D720" s="13"/>
      <c r="E720" s="13"/>
      <c r="F720" s="13"/>
      <c r="G720" s="13"/>
      <c r="H720" s="13"/>
      <c r="I720" s="116"/>
      <c r="J720" s="156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ht="14.25" customHeight="1">
      <c r="A721" s="13"/>
      <c r="B721" s="13"/>
      <c r="C721" s="13"/>
      <c r="D721" s="13"/>
      <c r="E721" s="13"/>
      <c r="F721" s="13"/>
      <c r="G721" s="13"/>
      <c r="H721" s="13"/>
      <c r="I721" s="116"/>
      <c r="J721" s="156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ht="14.25" customHeight="1">
      <c r="A722" s="13"/>
      <c r="B722" s="13"/>
      <c r="C722" s="13"/>
      <c r="D722" s="13"/>
      <c r="E722" s="13"/>
      <c r="F722" s="13"/>
      <c r="G722" s="13"/>
      <c r="H722" s="13"/>
      <c r="I722" s="116"/>
      <c r="J722" s="156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ht="14.25" customHeight="1">
      <c r="A723" s="13"/>
      <c r="B723" s="13"/>
      <c r="C723" s="13"/>
      <c r="D723" s="13"/>
      <c r="E723" s="13"/>
      <c r="F723" s="13"/>
      <c r="G723" s="13"/>
      <c r="H723" s="13"/>
      <c r="I723" s="116"/>
      <c r="J723" s="156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ht="14.25" customHeight="1">
      <c r="A724" s="13"/>
      <c r="B724" s="13"/>
      <c r="C724" s="13"/>
      <c r="D724" s="13"/>
      <c r="E724" s="13"/>
      <c r="F724" s="13"/>
      <c r="G724" s="13"/>
      <c r="H724" s="13"/>
      <c r="I724" s="116"/>
      <c r="J724" s="156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ht="14.25" customHeight="1">
      <c r="A725" s="13"/>
      <c r="B725" s="13"/>
      <c r="C725" s="13"/>
      <c r="D725" s="13"/>
      <c r="E725" s="13"/>
      <c r="F725" s="13"/>
      <c r="G725" s="13"/>
      <c r="H725" s="13"/>
      <c r="I725" s="116"/>
      <c r="J725" s="156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ht="14.25" customHeight="1">
      <c r="A726" s="13"/>
      <c r="B726" s="13"/>
      <c r="C726" s="13"/>
      <c r="D726" s="13"/>
      <c r="E726" s="13"/>
      <c r="F726" s="13"/>
      <c r="G726" s="13"/>
      <c r="H726" s="13"/>
      <c r="I726" s="116"/>
      <c r="J726" s="156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ht="14.25" customHeight="1">
      <c r="A727" s="13"/>
      <c r="B727" s="13"/>
      <c r="C727" s="13"/>
      <c r="D727" s="13"/>
      <c r="E727" s="13"/>
      <c r="F727" s="13"/>
      <c r="G727" s="13"/>
      <c r="H727" s="13"/>
      <c r="I727" s="116"/>
      <c r="J727" s="156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ht="14.25" customHeight="1">
      <c r="A728" s="13"/>
      <c r="B728" s="13"/>
      <c r="C728" s="13"/>
      <c r="D728" s="13"/>
      <c r="E728" s="13"/>
      <c r="F728" s="13"/>
      <c r="G728" s="13"/>
      <c r="H728" s="13"/>
      <c r="I728" s="116"/>
      <c r="J728" s="156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ht="14.25" customHeight="1">
      <c r="A729" s="13"/>
      <c r="B729" s="13"/>
      <c r="C729" s="13"/>
      <c r="D729" s="13"/>
      <c r="E729" s="13"/>
      <c r="F729" s="13"/>
      <c r="G729" s="13"/>
      <c r="H729" s="13"/>
      <c r="I729" s="116"/>
      <c r="J729" s="156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ht="14.25" customHeight="1">
      <c r="A730" s="13"/>
      <c r="B730" s="13"/>
      <c r="C730" s="13"/>
      <c r="D730" s="13"/>
      <c r="E730" s="13"/>
      <c r="F730" s="13"/>
      <c r="G730" s="13"/>
      <c r="H730" s="13"/>
      <c r="I730" s="116"/>
      <c r="J730" s="156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ht="14.25" customHeight="1">
      <c r="A731" s="13"/>
      <c r="B731" s="13"/>
      <c r="C731" s="13"/>
      <c r="D731" s="13"/>
      <c r="E731" s="13"/>
      <c r="F731" s="13"/>
      <c r="G731" s="13"/>
      <c r="H731" s="13"/>
      <c r="I731" s="116"/>
      <c r="J731" s="156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ht="14.25" customHeight="1">
      <c r="A732" s="13"/>
      <c r="B732" s="13"/>
      <c r="C732" s="13"/>
      <c r="D732" s="13"/>
      <c r="E732" s="13"/>
      <c r="F732" s="13"/>
      <c r="G732" s="13"/>
      <c r="H732" s="13"/>
      <c r="I732" s="116"/>
      <c r="J732" s="156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ht="14.25" customHeight="1">
      <c r="A733" s="13"/>
      <c r="B733" s="13"/>
      <c r="C733" s="13"/>
      <c r="D733" s="13"/>
      <c r="E733" s="13"/>
      <c r="F733" s="13"/>
      <c r="G733" s="13"/>
      <c r="H733" s="13"/>
      <c r="I733" s="116"/>
      <c r="J733" s="156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ht="14.25" customHeight="1">
      <c r="A734" s="13"/>
      <c r="B734" s="13"/>
      <c r="C734" s="13"/>
      <c r="D734" s="13"/>
      <c r="E734" s="13"/>
      <c r="F734" s="13"/>
      <c r="G734" s="13"/>
      <c r="H734" s="13"/>
      <c r="I734" s="116"/>
      <c r="J734" s="156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ht="14.25" customHeight="1">
      <c r="A735" s="13"/>
      <c r="B735" s="13"/>
      <c r="C735" s="13"/>
      <c r="D735" s="13"/>
      <c r="E735" s="13"/>
      <c r="F735" s="13"/>
      <c r="G735" s="13"/>
      <c r="H735" s="13"/>
      <c r="I735" s="116"/>
      <c r="J735" s="156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ht="14.25" customHeight="1">
      <c r="A736" s="13"/>
      <c r="B736" s="13"/>
      <c r="C736" s="13"/>
      <c r="D736" s="13"/>
      <c r="E736" s="13"/>
      <c r="F736" s="13"/>
      <c r="G736" s="13"/>
      <c r="H736" s="13"/>
      <c r="I736" s="116"/>
      <c r="J736" s="156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ht="14.25" customHeight="1">
      <c r="A737" s="13"/>
      <c r="B737" s="13"/>
      <c r="C737" s="13"/>
      <c r="D737" s="13"/>
      <c r="E737" s="13"/>
      <c r="F737" s="13"/>
      <c r="G737" s="13"/>
      <c r="H737" s="13"/>
      <c r="I737" s="116"/>
      <c r="J737" s="156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ht="14.25" customHeight="1">
      <c r="A738" s="13"/>
      <c r="B738" s="13"/>
      <c r="C738" s="13"/>
      <c r="D738" s="13"/>
      <c r="E738" s="13"/>
      <c r="F738" s="13"/>
      <c r="G738" s="13"/>
      <c r="H738" s="13"/>
      <c r="I738" s="116"/>
      <c r="J738" s="156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ht="14.25" customHeight="1">
      <c r="A739" s="13"/>
      <c r="B739" s="13"/>
      <c r="C739" s="13"/>
      <c r="D739" s="13"/>
      <c r="E739" s="13"/>
      <c r="F739" s="13"/>
      <c r="G739" s="13"/>
      <c r="H739" s="13"/>
      <c r="I739" s="116"/>
      <c r="J739" s="156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ht="14.25" customHeight="1">
      <c r="A740" s="13"/>
      <c r="B740" s="13"/>
      <c r="C740" s="13"/>
      <c r="D740" s="13"/>
      <c r="E740" s="13"/>
      <c r="F740" s="13"/>
      <c r="G740" s="13"/>
      <c r="H740" s="13"/>
      <c r="I740" s="116"/>
      <c r="J740" s="156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ht="14.25" customHeight="1">
      <c r="A741" s="13"/>
      <c r="B741" s="13"/>
      <c r="C741" s="13"/>
      <c r="D741" s="13"/>
      <c r="E741" s="13"/>
      <c r="F741" s="13"/>
      <c r="G741" s="13"/>
      <c r="H741" s="13"/>
      <c r="I741" s="116"/>
      <c r="J741" s="156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ht="14.25" customHeight="1">
      <c r="A742" s="13"/>
      <c r="B742" s="13"/>
      <c r="C742" s="13"/>
      <c r="D742" s="13"/>
      <c r="E742" s="13"/>
      <c r="F742" s="13"/>
      <c r="G742" s="13"/>
      <c r="H742" s="13"/>
      <c r="I742" s="116"/>
      <c r="J742" s="156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14.25" customHeight="1">
      <c r="A743" s="13"/>
      <c r="B743" s="13"/>
      <c r="C743" s="13"/>
      <c r="D743" s="13"/>
      <c r="E743" s="13"/>
      <c r="F743" s="13"/>
      <c r="G743" s="13"/>
      <c r="H743" s="13"/>
      <c r="I743" s="116"/>
      <c r="J743" s="156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ht="14.25" customHeight="1">
      <c r="A744" s="13"/>
      <c r="B744" s="13"/>
      <c r="C744" s="13"/>
      <c r="D744" s="13"/>
      <c r="E744" s="13"/>
      <c r="F744" s="13"/>
      <c r="G744" s="13"/>
      <c r="H744" s="13"/>
      <c r="I744" s="116"/>
      <c r="J744" s="156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ht="14.25" customHeight="1">
      <c r="A745" s="13"/>
      <c r="B745" s="13"/>
      <c r="C745" s="13"/>
      <c r="D745" s="13"/>
      <c r="E745" s="13"/>
      <c r="F745" s="13"/>
      <c r="G745" s="13"/>
      <c r="H745" s="13"/>
      <c r="I745" s="116"/>
      <c r="J745" s="156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ht="14.25" customHeight="1">
      <c r="A746" s="13"/>
      <c r="B746" s="13"/>
      <c r="C746" s="13"/>
      <c r="D746" s="13"/>
      <c r="E746" s="13"/>
      <c r="F746" s="13"/>
      <c r="G746" s="13"/>
      <c r="H746" s="13"/>
      <c r="I746" s="116"/>
      <c r="J746" s="156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ht="14.25" customHeight="1">
      <c r="A747" s="13"/>
      <c r="B747" s="13"/>
      <c r="C747" s="13"/>
      <c r="D747" s="13"/>
      <c r="E747" s="13"/>
      <c r="F747" s="13"/>
      <c r="G747" s="13"/>
      <c r="H747" s="13"/>
      <c r="I747" s="116"/>
      <c r="J747" s="156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ht="14.25" customHeight="1">
      <c r="A748" s="13"/>
      <c r="B748" s="13"/>
      <c r="C748" s="13"/>
      <c r="D748" s="13"/>
      <c r="E748" s="13"/>
      <c r="F748" s="13"/>
      <c r="G748" s="13"/>
      <c r="H748" s="13"/>
      <c r="I748" s="116"/>
      <c r="J748" s="156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ht="14.25" customHeight="1">
      <c r="A749" s="13"/>
      <c r="B749" s="13"/>
      <c r="C749" s="13"/>
      <c r="D749" s="13"/>
      <c r="E749" s="13"/>
      <c r="F749" s="13"/>
      <c r="G749" s="13"/>
      <c r="H749" s="13"/>
      <c r="I749" s="116"/>
      <c r="J749" s="156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ht="14.25" customHeight="1">
      <c r="A750" s="13"/>
      <c r="B750" s="13"/>
      <c r="C750" s="13"/>
      <c r="D750" s="13"/>
      <c r="E750" s="13"/>
      <c r="F750" s="13"/>
      <c r="G750" s="13"/>
      <c r="H750" s="13"/>
      <c r="I750" s="116"/>
      <c r="J750" s="156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ht="14.25" customHeight="1">
      <c r="A751" s="13"/>
      <c r="B751" s="13"/>
      <c r="C751" s="13"/>
      <c r="D751" s="13"/>
      <c r="E751" s="13"/>
      <c r="F751" s="13"/>
      <c r="G751" s="13"/>
      <c r="H751" s="13"/>
      <c r="I751" s="116"/>
      <c r="J751" s="156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ht="14.25" customHeight="1">
      <c r="A752" s="13"/>
      <c r="B752" s="13"/>
      <c r="C752" s="13"/>
      <c r="D752" s="13"/>
      <c r="E752" s="13"/>
      <c r="F752" s="13"/>
      <c r="G752" s="13"/>
      <c r="H752" s="13"/>
      <c r="I752" s="116"/>
      <c r="J752" s="156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ht="14.25" customHeight="1">
      <c r="A753" s="13"/>
      <c r="B753" s="13"/>
      <c r="C753" s="13"/>
      <c r="D753" s="13"/>
      <c r="E753" s="13"/>
      <c r="F753" s="13"/>
      <c r="G753" s="13"/>
      <c r="H753" s="13"/>
      <c r="I753" s="116"/>
      <c r="J753" s="156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ht="14.25" customHeight="1">
      <c r="A754" s="13"/>
      <c r="B754" s="13"/>
      <c r="C754" s="13"/>
      <c r="D754" s="13"/>
      <c r="E754" s="13"/>
      <c r="F754" s="13"/>
      <c r="G754" s="13"/>
      <c r="H754" s="13"/>
      <c r="I754" s="116"/>
      <c r="J754" s="156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ht="14.25" customHeight="1">
      <c r="A755" s="13"/>
      <c r="B755" s="13"/>
      <c r="C755" s="13"/>
      <c r="D755" s="13"/>
      <c r="E755" s="13"/>
      <c r="F755" s="13"/>
      <c r="G755" s="13"/>
      <c r="H755" s="13"/>
      <c r="I755" s="116"/>
      <c r="J755" s="156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ht="14.25" customHeight="1">
      <c r="A756" s="13"/>
      <c r="B756" s="13"/>
      <c r="C756" s="13"/>
      <c r="D756" s="13"/>
      <c r="E756" s="13"/>
      <c r="F756" s="13"/>
      <c r="G756" s="13"/>
      <c r="H756" s="13"/>
      <c r="I756" s="116"/>
      <c r="J756" s="156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ht="14.25" customHeight="1">
      <c r="A757" s="13"/>
      <c r="B757" s="13"/>
      <c r="C757" s="13"/>
      <c r="D757" s="13"/>
      <c r="E757" s="13"/>
      <c r="F757" s="13"/>
      <c r="G757" s="13"/>
      <c r="H757" s="13"/>
      <c r="I757" s="116"/>
      <c r="J757" s="156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ht="14.25" customHeight="1">
      <c r="A758" s="13"/>
      <c r="B758" s="13"/>
      <c r="C758" s="13"/>
      <c r="D758" s="13"/>
      <c r="E758" s="13"/>
      <c r="F758" s="13"/>
      <c r="G758" s="13"/>
      <c r="H758" s="13"/>
      <c r="I758" s="116"/>
      <c r="J758" s="156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ht="14.25" customHeight="1">
      <c r="A759" s="13"/>
      <c r="B759" s="13"/>
      <c r="C759" s="13"/>
      <c r="D759" s="13"/>
      <c r="E759" s="13"/>
      <c r="F759" s="13"/>
      <c r="G759" s="13"/>
      <c r="H759" s="13"/>
      <c r="I759" s="116"/>
      <c r="J759" s="156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ht="14.25" customHeight="1">
      <c r="A760" s="13"/>
      <c r="B760" s="13"/>
      <c r="C760" s="13"/>
      <c r="D760" s="13"/>
      <c r="E760" s="13"/>
      <c r="F760" s="13"/>
      <c r="G760" s="13"/>
      <c r="H760" s="13"/>
      <c r="I760" s="116"/>
      <c r="J760" s="156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ht="14.25" customHeight="1">
      <c r="A761" s="13"/>
      <c r="B761" s="13"/>
      <c r="C761" s="13"/>
      <c r="D761" s="13"/>
      <c r="E761" s="13"/>
      <c r="F761" s="13"/>
      <c r="G761" s="13"/>
      <c r="H761" s="13"/>
      <c r="I761" s="116"/>
      <c r="J761" s="156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ht="14.25" customHeight="1">
      <c r="A762" s="13"/>
      <c r="B762" s="13"/>
      <c r="C762" s="13"/>
      <c r="D762" s="13"/>
      <c r="E762" s="13"/>
      <c r="F762" s="13"/>
      <c r="G762" s="13"/>
      <c r="H762" s="13"/>
      <c r="I762" s="116"/>
      <c r="J762" s="156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ht="14.25" customHeight="1">
      <c r="A763" s="13"/>
      <c r="B763" s="13"/>
      <c r="C763" s="13"/>
      <c r="D763" s="13"/>
      <c r="E763" s="13"/>
      <c r="F763" s="13"/>
      <c r="G763" s="13"/>
      <c r="H763" s="13"/>
      <c r="I763" s="116"/>
      <c r="J763" s="156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ht="14.25" customHeight="1">
      <c r="A764" s="13"/>
      <c r="B764" s="13"/>
      <c r="C764" s="13"/>
      <c r="D764" s="13"/>
      <c r="E764" s="13"/>
      <c r="F764" s="13"/>
      <c r="G764" s="13"/>
      <c r="H764" s="13"/>
      <c r="I764" s="116"/>
      <c r="J764" s="156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ht="14.25" customHeight="1">
      <c r="A765" s="13"/>
      <c r="B765" s="13"/>
      <c r="C765" s="13"/>
      <c r="D765" s="13"/>
      <c r="E765" s="13"/>
      <c r="F765" s="13"/>
      <c r="G765" s="13"/>
      <c r="H765" s="13"/>
      <c r="I765" s="116"/>
      <c r="J765" s="156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ht="14.25" customHeight="1">
      <c r="A766" s="13"/>
      <c r="B766" s="13"/>
      <c r="C766" s="13"/>
      <c r="D766" s="13"/>
      <c r="E766" s="13"/>
      <c r="F766" s="13"/>
      <c r="G766" s="13"/>
      <c r="H766" s="13"/>
      <c r="I766" s="116"/>
      <c r="J766" s="156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ht="14.25" customHeight="1">
      <c r="A767" s="13"/>
      <c r="B767" s="13"/>
      <c r="C767" s="13"/>
      <c r="D767" s="13"/>
      <c r="E767" s="13"/>
      <c r="F767" s="13"/>
      <c r="G767" s="13"/>
      <c r="H767" s="13"/>
      <c r="I767" s="116"/>
      <c r="J767" s="156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ht="14.25" customHeight="1">
      <c r="A768" s="13"/>
      <c r="B768" s="13"/>
      <c r="C768" s="13"/>
      <c r="D768" s="13"/>
      <c r="E768" s="13"/>
      <c r="F768" s="13"/>
      <c r="G768" s="13"/>
      <c r="H768" s="13"/>
      <c r="I768" s="116"/>
      <c r="J768" s="156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ht="14.25" customHeight="1">
      <c r="A769" s="13"/>
      <c r="B769" s="13"/>
      <c r="C769" s="13"/>
      <c r="D769" s="13"/>
      <c r="E769" s="13"/>
      <c r="F769" s="13"/>
      <c r="G769" s="13"/>
      <c r="H769" s="13"/>
      <c r="I769" s="116"/>
      <c r="J769" s="156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ht="14.25" customHeight="1">
      <c r="A770" s="13"/>
      <c r="B770" s="13"/>
      <c r="C770" s="13"/>
      <c r="D770" s="13"/>
      <c r="E770" s="13"/>
      <c r="F770" s="13"/>
      <c r="G770" s="13"/>
      <c r="H770" s="13"/>
      <c r="I770" s="116"/>
      <c r="J770" s="156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ht="14.25" customHeight="1">
      <c r="A771" s="13"/>
      <c r="B771" s="13"/>
      <c r="C771" s="13"/>
      <c r="D771" s="13"/>
      <c r="E771" s="13"/>
      <c r="F771" s="13"/>
      <c r="G771" s="13"/>
      <c r="H771" s="13"/>
      <c r="I771" s="116"/>
      <c r="J771" s="156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ht="14.25" customHeight="1">
      <c r="A772" s="13"/>
      <c r="B772" s="13"/>
      <c r="C772" s="13"/>
      <c r="D772" s="13"/>
      <c r="E772" s="13"/>
      <c r="F772" s="13"/>
      <c r="G772" s="13"/>
      <c r="H772" s="13"/>
      <c r="I772" s="116"/>
      <c r="J772" s="156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ht="14.25" customHeight="1">
      <c r="A773" s="13"/>
      <c r="B773" s="13"/>
      <c r="C773" s="13"/>
      <c r="D773" s="13"/>
      <c r="E773" s="13"/>
      <c r="F773" s="13"/>
      <c r="G773" s="13"/>
      <c r="H773" s="13"/>
      <c r="I773" s="116"/>
      <c r="J773" s="156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14.25" customHeight="1">
      <c r="A774" s="13"/>
      <c r="B774" s="13"/>
      <c r="C774" s="13"/>
      <c r="D774" s="13"/>
      <c r="E774" s="13"/>
      <c r="F774" s="13"/>
      <c r="G774" s="13"/>
      <c r="H774" s="13"/>
      <c r="I774" s="116"/>
      <c r="J774" s="156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ht="14.25" customHeight="1">
      <c r="A775" s="13"/>
      <c r="B775" s="13"/>
      <c r="C775" s="13"/>
      <c r="D775" s="13"/>
      <c r="E775" s="13"/>
      <c r="F775" s="13"/>
      <c r="G775" s="13"/>
      <c r="H775" s="13"/>
      <c r="I775" s="116"/>
      <c r="J775" s="156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ht="14.25" customHeight="1">
      <c r="A776" s="13"/>
      <c r="B776" s="13"/>
      <c r="C776" s="13"/>
      <c r="D776" s="13"/>
      <c r="E776" s="13"/>
      <c r="F776" s="13"/>
      <c r="G776" s="13"/>
      <c r="H776" s="13"/>
      <c r="I776" s="116"/>
      <c r="J776" s="156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ht="14.25" customHeight="1">
      <c r="A777" s="13"/>
      <c r="B777" s="13"/>
      <c r="C777" s="13"/>
      <c r="D777" s="13"/>
      <c r="E777" s="13"/>
      <c r="F777" s="13"/>
      <c r="G777" s="13"/>
      <c r="H777" s="13"/>
      <c r="I777" s="116"/>
      <c r="J777" s="156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ht="14.25" customHeight="1">
      <c r="A778" s="13"/>
      <c r="B778" s="13"/>
      <c r="C778" s="13"/>
      <c r="D778" s="13"/>
      <c r="E778" s="13"/>
      <c r="F778" s="13"/>
      <c r="G778" s="13"/>
      <c r="H778" s="13"/>
      <c r="I778" s="116"/>
      <c r="J778" s="156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ht="14.25" customHeight="1">
      <c r="A779" s="13"/>
      <c r="B779" s="13"/>
      <c r="C779" s="13"/>
      <c r="D779" s="13"/>
      <c r="E779" s="13"/>
      <c r="F779" s="13"/>
      <c r="G779" s="13"/>
      <c r="H779" s="13"/>
      <c r="I779" s="116"/>
      <c r="J779" s="156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ht="14.25" customHeight="1">
      <c r="A780" s="13"/>
      <c r="B780" s="13"/>
      <c r="C780" s="13"/>
      <c r="D780" s="13"/>
      <c r="E780" s="13"/>
      <c r="F780" s="13"/>
      <c r="G780" s="13"/>
      <c r="H780" s="13"/>
      <c r="I780" s="116"/>
      <c r="J780" s="156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ht="14.25" customHeight="1">
      <c r="A781" s="13"/>
      <c r="B781" s="13"/>
      <c r="C781" s="13"/>
      <c r="D781" s="13"/>
      <c r="E781" s="13"/>
      <c r="F781" s="13"/>
      <c r="G781" s="13"/>
      <c r="H781" s="13"/>
      <c r="I781" s="116"/>
      <c r="J781" s="156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ht="14.25" customHeight="1">
      <c r="A782" s="13"/>
      <c r="B782" s="13"/>
      <c r="C782" s="13"/>
      <c r="D782" s="13"/>
      <c r="E782" s="13"/>
      <c r="F782" s="13"/>
      <c r="G782" s="13"/>
      <c r="H782" s="13"/>
      <c r="I782" s="116"/>
      <c r="J782" s="156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ht="14.25" customHeight="1">
      <c r="A783" s="13"/>
      <c r="B783" s="13"/>
      <c r="C783" s="13"/>
      <c r="D783" s="13"/>
      <c r="E783" s="13"/>
      <c r="F783" s="13"/>
      <c r="G783" s="13"/>
      <c r="H783" s="13"/>
      <c r="I783" s="116"/>
      <c r="J783" s="156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ht="14.25" customHeight="1">
      <c r="A784" s="13"/>
      <c r="B784" s="13"/>
      <c r="C784" s="13"/>
      <c r="D784" s="13"/>
      <c r="E784" s="13"/>
      <c r="F784" s="13"/>
      <c r="G784" s="13"/>
      <c r="H784" s="13"/>
      <c r="I784" s="116"/>
      <c r="J784" s="156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ht="14.25" customHeight="1">
      <c r="A785" s="13"/>
      <c r="B785" s="13"/>
      <c r="C785" s="13"/>
      <c r="D785" s="13"/>
      <c r="E785" s="13"/>
      <c r="F785" s="13"/>
      <c r="G785" s="13"/>
      <c r="H785" s="13"/>
      <c r="I785" s="116"/>
      <c r="J785" s="156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ht="14.25" customHeight="1">
      <c r="A786" s="13"/>
      <c r="B786" s="13"/>
      <c r="C786" s="13"/>
      <c r="D786" s="13"/>
      <c r="E786" s="13"/>
      <c r="F786" s="13"/>
      <c r="G786" s="13"/>
      <c r="H786" s="13"/>
      <c r="I786" s="116"/>
      <c r="J786" s="156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ht="14.25" customHeight="1">
      <c r="A787" s="13"/>
      <c r="B787" s="13"/>
      <c r="C787" s="13"/>
      <c r="D787" s="13"/>
      <c r="E787" s="13"/>
      <c r="F787" s="13"/>
      <c r="G787" s="13"/>
      <c r="H787" s="13"/>
      <c r="I787" s="116"/>
      <c r="J787" s="156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ht="14.25" customHeight="1">
      <c r="A788" s="13"/>
      <c r="B788" s="13"/>
      <c r="C788" s="13"/>
      <c r="D788" s="13"/>
      <c r="E788" s="13"/>
      <c r="F788" s="13"/>
      <c r="G788" s="13"/>
      <c r="H788" s="13"/>
      <c r="I788" s="116"/>
      <c r="J788" s="156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ht="14.25" customHeight="1">
      <c r="A789" s="13"/>
      <c r="B789" s="13"/>
      <c r="C789" s="13"/>
      <c r="D789" s="13"/>
      <c r="E789" s="13"/>
      <c r="F789" s="13"/>
      <c r="G789" s="13"/>
      <c r="H789" s="13"/>
      <c r="I789" s="116"/>
      <c r="J789" s="156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ht="14.25" customHeight="1">
      <c r="A790" s="13"/>
      <c r="B790" s="13"/>
      <c r="C790" s="13"/>
      <c r="D790" s="13"/>
      <c r="E790" s="13"/>
      <c r="F790" s="13"/>
      <c r="G790" s="13"/>
      <c r="H790" s="13"/>
      <c r="I790" s="116"/>
      <c r="J790" s="156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ht="14.25" customHeight="1">
      <c r="A791" s="13"/>
      <c r="B791" s="13"/>
      <c r="C791" s="13"/>
      <c r="D791" s="13"/>
      <c r="E791" s="13"/>
      <c r="F791" s="13"/>
      <c r="G791" s="13"/>
      <c r="H791" s="13"/>
      <c r="I791" s="116"/>
      <c r="J791" s="156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ht="14.25" customHeight="1">
      <c r="A792" s="13"/>
      <c r="B792" s="13"/>
      <c r="C792" s="13"/>
      <c r="D792" s="13"/>
      <c r="E792" s="13"/>
      <c r="F792" s="13"/>
      <c r="G792" s="13"/>
      <c r="H792" s="13"/>
      <c r="I792" s="116"/>
      <c r="J792" s="156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ht="14.25" customHeight="1">
      <c r="A793" s="13"/>
      <c r="B793" s="13"/>
      <c r="C793" s="13"/>
      <c r="D793" s="13"/>
      <c r="E793" s="13"/>
      <c r="F793" s="13"/>
      <c r="G793" s="13"/>
      <c r="H793" s="13"/>
      <c r="I793" s="116"/>
      <c r="J793" s="156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ht="14.25" customHeight="1">
      <c r="A794" s="13"/>
      <c r="B794" s="13"/>
      <c r="C794" s="13"/>
      <c r="D794" s="13"/>
      <c r="E794" s="13"/>
      <c r="F794" s="13"/>
      <c r="G794" s="13"/>
      <c r="H794" s="13"/>
      <c r="I794" s="116"/>
      <c r="J794" s="156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ht="14.25" customHeight="1">
      <c r="A795" s="13"/>
      <c r="B795" s="13"/>
      <c r="C795" s="13"/>
      <c r="D795" s="13"/>
      <c r="E795" s="13"/>
      <c r="F795" s="13"/>
      <c r="G795" s="13"/>
      <c r="H795" s="13"/>
      <c r="I795" s="116"/>
      <c r="J795" s="156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ht="14.25" customHeight="1">
      <c r="A796" s="13"/>
      <c r="B796" s="13"/>
      <c r="C796" s="13"/>
      <c r="D796" s="13"/>
      <c r="E796" s="13"/>
      <c r="F796" s="13"/>
      <c r="G796" s="13"/>
      <c r="H796" s="13"/>
      <c r="I796" s="116"/>
      <c r="J796" s="156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ht="14.25" customHeight="1">
      <c r="A797" s="13"/>
      <c r="B797" s="13"/>
      <c r="C797" s="13"/>
      <c r="D797" s="13"/>
      <c r="E797" s="13"/>
      <c r="F797" s="13"/>
      <c r="G797" s="13"/>
      <c r="H797" s="13"/>
      <c r="I797" s="116"/>
      <c r="J797" s="156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ht="14.25" customHeight="1">
      <c r="A798" s="13"/>
      <c r="B798" s="13"/>
      <c r="C798" s="13"/>
      <c r="D798" s="13"/>
      <c r="E798" s="13"/>
      <c r="F798" s="13"/>
      <c r="G798" s="13"/>
      <c r="H798" s="13"/>
      <c r="I798" s="116"/>
      <c r="J798" s="156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ht="14.25" customHeight="1">
      <c r="A799" s="13"/>
      <c r="B799" s="13"/>
      <c r="C799" s="13"/>
      <c r="D799" s="13"/>
      <c r="E799" s="13"/>
      <c r="F799" s="13"/>
      <c r="G799" s="13"/>
      <c r="H799" s="13"/>
      <c r="I799" s="116"/>
      <c r="J799" s="156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ht="14.25" customHeight="1">
      <c r="A800" s="13"/>
      <c r="B800" s="13"/>
      <c r="C800" s="13"/>
      <c r="D800" s="13"/>
      <c r="E800" s="13"/>
      <c r="F800" s="13"/>
      <c r="G800" s="13"/>
      <c r="H800" s="13"/>
      <c r="I800" s="116"/>
      <c r="J800" s="156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ht="14.25" customHeight="1">
      <c r="A801" s="13"/>
      <c r="B801" s="13"/>
      <c r="C801" s="13"/>
      <c r="D801" s="13"/>
      <c r="E801" s="13"/>
      <c r="F801" s="13"/>
      <c r="G801" s="13"/>
      <c r="H801" s="13"/>
      <c r="I801" s="116"/>
      <c r="J801" s="156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ht="14.25" customHeight="1">
      <c r="A802" s="13"/>
      <c r="B802" s="13"/>
      <c r="C802" s="13"/>
      <c r="D802" s="13"/>
      <c r="E802" s="13"/>
      <c r="F802" s="13"/>
      <c r="G802" s="13"/>
      <c r="H802" s="13"/>
      <c r="I802" s="116"/>
      <c r="J802" s="156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ht="14.25" customHeight="1">
      <c r="A803" s="13"/>
      <c r="B803" s="13"/>
      <c r="C803" s="13"/>
      <c r="D803" s="13"/>
      <c r="E803" s="13"/>
      <c r="F803" s="13"/>
      <c r="G803" s="13"/>
      <c r="H803" s="13"/>
      <c r="I803" s="116"/>
      <c r="J803" s="156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ht="14.25" customHeight="1">
      <c r="A804" s="13"/>
      <c r="B804" s="13"/>
      <c r="C804" s="13"/>
      <c r="D804" s="13"/>
      <c r="E804" s="13"/>
      <c r="F804" s="13"/>
      <c r="G804" s="13"/>
      <c r="H804" s="13"/>
      <c r="I804" s="116"/>
      <c r="J804" s="156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ht="14.25" customHeight="1">
      <c r="A805" s="13"/>
      <c r="B805" s="13"/>
      <c r="C805" s="13"/>
      <c r="D805" s="13"/>
      <c r="E805" s="13"/>
      <c r="F805" s="13"/>
      <c r="G805" s="13"/>
      <c r="H805" s="13"/>
      <c r="I805" s="116"/>
      <c r="J805" s="156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ht="14.25" customHeight="1">
      <c r="A806" s="13"/>
      <c r="B806" s="13"/>
      <c r="C806" s="13"/>
      <c r="D806" s="13"/>
      <c r="E806" s="13"/>
      <c r="F806" s="13"/>
      <c r="G806" s="13"/>
      <c r="H806" s="13"/>
      <c r="I806" s="116"/>
      <c r="J806" s="156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ht="14.25" customHeight="1">
      <c r="A807" s="13"/>
      <c r="B807" s="13"/>
      <c r="C807" s="13"/>
      <c r="D807" s="13"/>
      <c r="E807" s="13"/>
      <c r="F807" s="13"/>
      <c r="G807" s="13"/>
      <c r="H807" s="13"/>
      <c r="I807" s="116"/>
      <c r="J807" s="156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ht="14.25" customHeight="1">
      <c r="A808" s="13"/>
      <c r="B808" s="13"/>
      <c r="C808" s="13"/>
      <c r="D808" s="13"/>
      <c r="E808" s="13"/>
      <c r="F808" s="13"/>
      <c r="G808" s="13"/>
      <c r="H808" s="13"/>
      <c r="I808" s="116"/>
      <c r="J808" s="156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ht="14.25" customHeight="1">
      <c r="A809" s="13"/>
      <c r="B809" s="13"/>
      <c r="C809" s="13"/>
      <c r="D809" s="13"/>
      <c r="E809" s="13"/>
      <c r="F809" s="13"/>
      <c r="G809" s="13"/>
      <c r="H809" s="13"/>
      <c r="I809" s="116"/>
      <c r="J809" s="156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ht="14.25" customHeight="1">
      <c r="A810" s="13"/>
      <c r="B810" s="13"/>
      <c r="C810" s="13"/>
      <c r="D810" s="13"/>
      <c r="E810" s="13"/>
      <c r="F810" s="13"/>
      <c r="G810" s="13"/>
      <c r="H810" s="13"/>
      <c r="I810" s="116"/>
      <c r="J810" s="156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ht="14.25" customHeight="1">
      <c r="A811" s="13"/>
      <c r="B811" s="13"/>
      <c r="C811" s="13"/>
      <c r="D811" s="13"/>
      <c r="E811" s="13"/>
      <c r="F811" s="13"/>
      <c r="G811" s="13"/>
      <c r="H811" s="13"/>
      <c r="I811" s="116"/>
      <c r="J811" s="156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ht="14.25" customHeight="1">
      <c r="A812" s="13"/>
      <c r="B812" s="13"/>
      <c r="C812" s="13"/>
      <c r="D812" s="13"/>
      <c r="E812" s="13"/>
      <c r="F812" s="13"/>
      <c r="G812" s="13"/>
      <c r="H812" s="13"/>
      <c r="I812" s="116"/>
      <c r="J812" s="156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ht="14.25" customHeight="1">
      <c r="A813" s="13"/>
      <c r="B813" s="13"/>
      <c r="C813" s="13"/>
      <c r="D813" s="13"/>
      <c r="E813" s="13"/>
      <c r="F813" s="13"/>
      <c r="G813" s="13"/>
      <c r="H813" s="13"/>
      <c r="I813" s="116"/>
      <c r="J813" s="156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ht="14.25" customHeight="1">
      <c r="A814" s="13"/>
      <c r="B814" s="13"/>
      <c r="C814" s="13"/>
      <c r="D814" s="13"/>
      <c r="E814" s="13"/>
      <c r="F814" s="13"/>
      <c r="G814" s="13"/>
      <c r="H814" s="13"/>
      <c r="I814" s="116"/>
      <c r="J814" s="156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ht="14.25" customHeight="1">
      <c r="A815" s="13"/>
      <c r="B815" s="13"/>
      <c r="C815" s="13"/>
      <c r="D815" s="13"/>
      <c r="E815" s="13"/>
      <c r="F815" s="13"/>
      <c r="G815" s="13"/>
      <c r="H815" s="13"/>
      <c r="I815" s="116"/>
      <c r="J815" s="156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ht="14.25" customHeight="1">
      <c r="A816" s="13"/>
      <c r="B816" s="13"/>
      <c r="C816" s="13"/>
      <c r="D816" s="13"/>
      <c r="E816" s="13"/>
      <c r="F816" s="13"/>
      <c r="G816" s="13"/>
      <c r="H816" s="13"/>
      <c r="I816" s="116"/>
      <c r="J816" s="156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ht="14.25" customHeight="1">
      <c r="A817" s="13"/>
      <c r="B817" s="13"/>
      <c r="C817" s="13"/>
      <c r="D817" s="13"/>
      <c r="E817" s="13"/>
      <c r="F817" s="13"/>
      <c r="G817" s="13"/>
      <c r="H817" s="13"/>
      <c r="I817" s="116"/>
      <c r="J817" s="156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ht="14.25" customHeight="1">
      <c r="A818" s="13"/>
      <c r="B818" s="13"/>
      <c r="C818" s="13"/>
      <c r="D818" s="13"/>
      <c r="E818" s="13"/>
      <c r="F818" s="13"/>
      <c r="G818" s="13"/>
      <c r="H818" s="13"/>
      <c r="I818" s="116"/>
      <c r="J818" s="156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ht="14.25" customHeight="1">
      <c r="A819" s="13"/>
      <c r="B819" s="13"/>
      <c r="C819" s="13"/>
      <c r="D819" s="13"/>
      <c r="E819" s="13"/>
      <c r="F819" s="13"/>
      <c r="G819" s="13"/>
      <c r="H819" s="13"/>
      <c r="I819" s="116"/>
      <c r="J819" s="156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ht="14.25" customHeight="1">
      <c r="A820" s="13"/>
      <c r="B820" s="13"/>
      <c r="C820" s="13"/>
      <c r="D820" s="13"/>
      <c r="E820" s="13"/>
      <c r="F820" s="13"/>
      <c r="G820" s="13"/>
      <c r="H820" s="13"/>
      <c r="I820" s="116"/>
      <c r="J820" s="156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ht="14.25" customHeight="1">
      <c r="A821" s="13"/>
      <c r="B821" s="13"/>
      <c r="C821" s="13"/>
      <c r="D821" s="13"/>
      <c r="E821" s="13"/>
      <c r="F821" s="13"/>
      <c r="G821" s="13"/>
      <c r="H821" s="13"/>
      <c r="I821" s="116"/>
      <c r="J821" s="156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ht="14.25" customHeight="1">
      <c r="A822" s="13"/>
      <c r="B822" s="13"/>
      <c r="C822" s="13"/>
      <c r="D822" s="13"/>
      <c r="E822" s="13"/>
      <c r="F822" s="13"/>
      <c r="G822" s="13"/>
      <c r="H822" s="13"/>
      <c r="I822" s="116"/>
      <c r="J822" s="156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ht="14.25" customHeight="1">
      <c r="A823" s="13"/>
      <c r="B823" s="13"/>
      <c r="C823" s="13"/>
      <c r="D823" s="13"/>
      <c r="E823" s="13"/>
      <c r="F823" s="13"/>
      <c r="G823" s="13"/>
      <c r="H823" s="13"/>
      <c r="I823" s="116"/>
      <c r="J823" s="156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ht="14.25" customHeight="1">
      <c r="A824" s="13"/>
      <c r="B824" s="13"/>
      <c r="C824" s="13"/>
      <c r="D824" s="13"/>
      <c r="E824" s="13"/>
      <c r="F824" s="13"/>
      <c r="G824" s="13"/>
      <c r="H824" s="13"/>
      <c r="I824" s="116"/>
      <c r="J824" s="156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ht="14.25" customHeight="1">
      <c r="A825" s="13"/>
      <c r="B825" s="13"/>
      <c r="C825" s="13"/>
      <c r="D825" s="13"/>
      <c r="E825" s="13"/>
      <c r="F825" s="13"/>
      <c r="G825" s="13"/>
      <c r="H825" s="13"/>
      <c r="I825" s="116"/>
      <c r="J825" s="156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ht="14.25" customHeight="1">
      <c r="A826" s="13"/>
      <c r="B826" s="13"/>
      <c r="C826" s="13"/>
      <c r="D826" s="13"/>
      <c r="E826" s="13"/>
      <c r="F826" s="13"/>
      <c r="G826" s="13"/>
      <c r="H826" s="13"/>
      <c r="I826" s="116"/>
      <c r="J826" s="156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ht="14.25" customHeight="1">
      <c r="A827" s="13"/>
      <c r="B827" s="13"/>
      <c r="C827" s="13"/>
      <c r="D827" s="13"/>
      <c r="E827" s="13"/>
      <c r="F827" s="13"/>
      <c r="G827" s="13"/>
      <c r="H827" s="13"/>
      <c r="I827" s="116"/>
      <c r="J827" s="156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ht="14.25" customHeight="1">
      <c r="A828" s="13"/>
      <c r="B828" s="13"/>
      <c r="C828" s="13"/>
      <c r="D828" s="13"/>
      <c r="E828" s="13"/>
      <c r="F828" s="13"/>
      <c r="G828" s="13"/>
      <c r="H828" s="13"/>
      <c r="I828" s="116"/>
      <c r="J828" s="156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ht="14.25" customHeight="1">
      <c r="A829" s="13"/>
      <c r="B829" s="13"/>
      <c r="C829" s="13"/>
      <c r="D829" s="13"/>
      <c r="E829" s="13"/>
      <c r="F829" s="13"/>
      <c r="G829" s="13"/>
      <c r="H829" s="13"/>
      <c r="I829" s="116"/>
      <c r="J829" s="156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ht="14.25" customHeight="1">
      <c r="A830" s="13"/>
      <c r="B830" s="13"/>
      <c r="C830" s="13"/>
      <c r="D830" s="13"/>
      <c r="E830" s="13"/>
      <c r="F830" s="13"/>
      <c r="G830" s="13"/>
      <c r="H830" s="13"/>
      <c r="I830" s="116"/>
      <c r="J830" s="156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ht="14.25" customHeight="1">
      <c r="A831" s="13"/>
      <c r="B831" s="13"/>
      <c r="C831" s="13"/>
      <c r="D831" s="13"/>
      <c r="E831" s="13"/>
      <c r="F831" s="13"/>
      <c r="G831" s="13"/>
      <c r="H831" s="13"/>
      <c r="I831" s="116"/>
      <c r="J831" s="156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ht="14.25" customHeight="1">
      <c r="A832" s="13"/>
      <c r="B832" s="13"/>
      <c r="C832" s="13"/>
      <c r="D832" s="13"/>
      <c r="E832" s="13"/>
      <c r="F832" s="13"/>
      <c r="G832" s="13"/>
      <c r="H832" s="13"/>
      <c r="I832" s="116"/>
      <c r="J832" s="156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ht="14.25" customHeight="1">
      <c r="A833" s="13"/>
      <c r="B833" s="13"/>
      <c r="C833" s="13"/>
      <c r="D833" s="13"/>
      <c r="E833" s="13"/>
      <c r="F833" s="13"/>
      <c r="G833" s="13"/>
      <c r="H833" s="13"/>
      <c r="I833" s="116"/>
      <c r="J833" s="156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ht="14.25" customHeight="1">
      <c r="A834" s="13"/>
      <c r="B834" s="13"/>
      <c r="C834" s="13"/>
      <c r="D834" s="13"/>
      <c r="E834" s="13"/>
      <c r="F834" s="13"/>
      <c r="G834" s="13"/>
      <c r="H834" s="13"/>
      <c r="I834" s="116"/>
      <c r="J834" s="156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14.25" customHeight="1">
      <c r="A835" s="13"/>
      <c r="B835" s="13"/>
      <c r="C835" s="13"/>
      <c r="D835" s="13"/>
      <c r="E835" s="13"/>
      <c r="F835" s="13"/>
      <c r="G835" s="13"/>
      <c r="H835" s="13"/>
      <c r="I835" s="116"/>
      <c r="J835" s="156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ht="14.25" customHeight="1">
      <c r="A836" s="13"/>
      <c r="B836" s="13"/>
      <c r="C836" s="13"/>
      <c r="D836" s="13"/>
      <c r="E836" s="13"/>
      <c r="F836" s="13"/>
      <c r="G836" s="13"/>
      <c r="H836" s="13"/>
      <c r="I836" s="116"/>
      <c r="J836" s="156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ht="14.25" customHeight="1">
      <c r="A837" s="13"/>
      <c r="B837" s="13"/>
      <c r="C837" s="13"/>
      <c r="D837" s="13"/>
      <c r="E837" s="13"/>
      <c r="F837" s="13"/>
      <c r="G837" s="13"/>
      <c r="H837" s="13"/>
      <c r="I837" s="116"/>
      <c r="J837" s="156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ht="14.25" customHeight="1">
      <c r="A838" s="13"/>
      <c r="B838" s="13"/>
      <c r="C838" s="13"/>
      <c r="D838" s="13"/>
      <c r="E838" s="13"/>
      <c r="F838" s="13"/>
      <c r="G838" s="13"/>
      <c r="H838" s="13"/>
      <c r="I838" s="116"/>
      <c r="J838" s="156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ht="14.25" customHeight="1">
      <c r="A839" s="13"/>
      <c r="B839" s="13"/>
      <c r="C839" s="13"/>
      <c r="D839" s="13"/>
      <c r="E839" s="13"/>
      <c r="F839" s="13"/>
      <c r="G839" s="13"/>
      <c r="H839" s="13"/>
      <c r="I839" s="116"/>
      <c r="J839" s="156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ht="14.25" customHeight="1">
      <c r="A840" s="13"/>
      <c r="B840" s="13"/>
      <c r="C840" s="13"/>
      <c r="D840" s="13"/>
      <c r="E840" s="13"/>
      <c r="F840" s="13"/>
      <c r="G840" s="13"/>
      <c r="H840" s="13"/>
      <c r="I840" s="116"/>
      <c r="J840" s="156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ht="14.25" customHeight="1">
      <c r="A841" s="13"/>
      <c r="B841" s="13"/>
      <c r="C841" s="13"/>
      <c r="D841" s="13"/>
      <c r="E841" s="13"/>
      <c r="F841" s="13"/>
      <c r="G841" s="13"/>
      <c r="H841" s="13"/>
      <c r="I841" s="116"/>
      <c r="J841" s="156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ht="14.25" customHeight="1">
      <c r="A842" s="13"/>
      <c r="B842" s="13"/>
      <c r="C842" s="13"/>
      <c r="D842" s="13"/>
      <c r="E842" s="13"/>
      <c r="F842" s="13"/>
      <c r="G842" s="13"/>
      <c r="H842" s="13"/>
      <c r="I842" s="116"/>
      <c r="J842" s="156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ht="14.25" customHeight="1">
      <c r="A843" s="13"/>
      <c r="B843" s="13"/>
      <c r="C843" s="13"/>
      <c r="D843" s="13"/>
      <c r="E843" s="13"/>
      <c r="F843" s="13"/>
      <c r="G843" s="13"/>
      <c r="H843" s="13"/>
      <c r="I843" s="116"/>
      <c r="J843" s="156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ht="14.25" customHeight="1">
      <c r="A844" s="13"/>
      <c r="B844" s="13"/>
      <c r="C844" s="13"/>
      <c r="D844" s="13"/>
      <c r="E844" s="13"/>
      <c r="F844" s="13"/>
      <c r="G844" s="13"/>
      <c r="H844" s="13"/>
      <c r="I844" s="116"/>
      <c r="J844" s="156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ht="14.25" customHeight="1">
      <c r="A845" s="13"/>
      <c r="B845" s="13"/>
      <c r="C845" s="13"/>
      <c r="D845" s="13"/>
      <c r="E845" s="13"/>
      <c r="F845" s="13"/>
      <c r="G845" s="13"/>
      <c r="H845" s="13"/>
      <c r="I845" s="116"/>
      <c r="J845" s="156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ht="14.25" customHeight="1">
      <c r="A846" s="13"/>
      <c r="B846" s="13"/>
      <c r="C846" s="13"/>
      <c r="D846" s="13"/>
      <c r="E846" s="13"/>
      <c r="F846" s="13"/>
      <c r="G846" s="13"/>
      <c r="H846" s="13"/>
      <c r="I846" s="116"/>
      <c r="J846" s="156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ht="14.25" customHeight="1">
      <c r="A847" s="13"/>
      <c r="B847" s="13"/>
      <c r="C847" s="13"/>
      <c r="D847" s="13"/>
      <c r="E847" s="13"/>
      <c r="F847" s="13"/>
      <c r="G847" s="13"/>
      <c r="H847" s="13"/>
      <c r="I847" s="116"/>
      <c r="J847" s="156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ht="14.25" customHeight="1">
      <c r="A848" s="13"/>
      <c r="B848" s="13"/>
      <c r="C848" s="13"/>
      <c r="D848" s="13"/>
      <c r="E848" s="13"/>
      <c r="F848" s="13"/>
      <c r="G848" s="13"/>
      <c r="H848" s="13"/>
      <c r="I848" s="116"/>
      <c r="J848" s="156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ht="14.25" customHeight="1">
      <c r="A849" s="13"/>
      <c r="B849" s="13"/>
      <c r="C849" s="13"/>
      <c r="D849" s="13"/>
      <c r="E849" s="13"/>
      <c r="F849" s="13"/>
      <c r="G849" s="13"/>
      <c r="H849" s="13"/>
      <c r="I849" s="116"/>
      <c r="J849" s="156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ht="14.25" customHeight="1">
      <c r="A850" s="13"/>
      <c r="B850" s="13"/>
      <c r="C850" s="13"/>
      <c r="D850" s="13"/>
      <c r="E850" s="13"/>
      <c r="F850" s="13"/>
      <c r="G850" s="13"/>
      <c r="H850" s="13"/>
      <c r="I850" s="116"/>
      <c r="J850" s="156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ht="14.25" customHeight="1">
      <c r="A851" s="13"/>
      <c r="B851" s="13"/>
      <c r="C851" s="13"/>
      <c r="D851" s="13"/>
      <c r="E851" s="13"/>
      <c r="F851" s="13"/>
      <c r="G851" s="13"/>
      <c r="H851" s="13"/>
      <c r="I851" s="116"/>
      <c r="J851" s="156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ht="14.25" customHeight="1">
      <c r="A852" s="13"/>
      <c r="B852" s="13"/>
      <c r="C852" s="13"/>
      <c r="D852" s="13"/>
      <c r="E852" s="13"/>
      <c r="F852" s="13"/>
      <c r="G852" s="13"/>
      <c r="H852" s="13"/>
      <c r="I852" s="116"/>
      <c r="J852" s="156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ht="14.25" customHeight="1">
      <c r="A853" s="13"/>
      <c r="B853" s="13"/>
      <c r="C853" s="13"/>
      <c r="D853" s="13"/>
      <c r="E853" s="13"/>
      <c r="F853" s="13"/>
      <c r="G853" s="13"/>
      <c r="H853" s="13"/>
      <c r="I853" s="116"/>
      <c r="J853" s="156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ht="14.25" customHeight="1">
      <c r="A854" s="13"/>
      <c r="B854" s="13"/>
      <c r="C854" s="13"/>
      <c r="D854" s="13"/>
      <c r="E854" s="13"/>
      <c r="F854" s="13"/>
      <c r="G854" s="13"/>
      <c r="H854" s="13"/>
      <c r="I854" s="116"/>
      <c r="J854" s="156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ht="14.25" customHeight="1">
      <c r="A855" s="13"/>
      <c r="B855" s="13"/>
      <c r="C855" s="13"/>
      <c r="D855" s="13"/>
      <c r="E855" s="13"/>
      <c r="F855" s="13"/>
      <c r="G855" s="13"/>
      <c r="H855" s="13"/>
      <c r="I855" s="116"/>
      <c r="J855" s="156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ht="14.25" customHeight="1">
      <c r="A856" s="13"/>
      <c r="B856" s="13"/>
      <c r="C856" s="13"/>
      <c r="D856" s="13"/>
      <c r="E856" s="13"/>
      <c r="F856" s="13"/>
      <c r="G856" s="13"/>
      <c r="H856" s="13"/>
      <c r="I856" s="116"/>
      <c r="J856" s="156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ht="14.25" customHeight="1">
      <c r="A857" s="13"/>
      <c r="B857" s="13"/>
      <c r="C857" s="13"/>
      <c r="D857" s="13"/>
      <c r="E857" s="13"/>
      <c r="F857" s="13"/>
      <c r="G857" s="13"/>
      <c r="H857" s="13"/>
      <c r="I857" s="116"/>
      <c r="J857" s="156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ht="14.25" customHeight="1">
      <c r="A858" s="13"/>
      <c r="B858" s="13"/>
      <c r="C858" s="13"/>
      <c r="D858" s="13"/>
      <c r="E858" s="13"/>
      <c r="F858" s="13"/>
      <c r="G858" s="13"/>
      <c r="H858" s="13"/>
      <c r="I858" s="116"/>
      <c r="J858" s="156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ht="14.25" customHeight="1">
      <c r="A859" s="13"/>
      <c r="B859" s="13"/>
      <c r="C859" s="13"/>
      <c r="D859" s="13"/>
      <c r="E859" s="13"/>
      <c r="F859" s="13"/>
      <c r="G859" s="13"/>
      <c r="H859" s="13"/>
      <c r="I859" s="116"/>
      <c r="J859" s="156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ht="14.25" customHeight="1">
      <c r="A860" s="13"/>
      <c r="B860" s="13"/>
      <c r="C860" s="13"/>
      <c r="D860" s="13"/>
      <c r="E860" s="13"/>
      <c r="F860" s="13"/>
      <c r="G860" s="13"/>
      <c r="H860" s="13"/>
      <c r="I860" s="116"/>
      <c r="J860" s="156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ht="14.25" customHeight="1">
      <c r="A861" s="13"/>
      <c r="B861" s="13"/>
      <c r="C861" s="13"/>
      <c r="D861" s="13"/>
      <c r="E861" s="13"/>
      <c r="F861" s="13"/>
      <c r="G861" s="13"/>
      <c r="H861" s="13"/>
      <c r="I861" s="116"/>
      <c r="J861" s="156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ht="14.25" customHeight="1">
      <c r="A862" s="13"/>
      <c r="B862" s="13"/>
      <c r="C862" s="13"/>
      <c r="D862" s="13"/>
      <c r="E862" s="13"/>
      <c r="F862" s="13"/>
      <c r="G862" s="13"/>
      <c r="H862" s="13"/>
      <c r="I862" s="116"/>
      <c r="J862" s="156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ht="14.25" customHeight="1">
      <c r="A863" s="13"/>
      <c r="B863" s="13"/>
      <c r="C863" s="13"/>
      <c r="D863" s="13"/>
      <c r="E863" s="13"/>
      <c r="F863" s="13"/>
      <c r="G863" s="13"/>
      <c r="H863" s="13"/>
      <c r="I863" s="116"/>
      <c r="J863" s="156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ht="14.25" customHeight="1">
      <c r="A864" s="13"/>
      <c r="B864" s="13"/>
      <c r="C864" s="13"/>
      <c r="D864" s="13"/>
      <c r="E864" s="13"/>
      <c r="F864" s="13"/>
      <c r="G864" s="13"/>
      <c r="H864" s="13"/>
      <c r="I864" s="116"/>
      <c r="J864" s="156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ht="14.25" customHeight="1">
      <c r="A865" s="13"/>
      <c r="B865" s="13"/>
      <c r="C865" s="13"/>
      <c r="D865" s="13"/>
      <c r="E865" s="13"/>
      <c r="F865" s="13"/>
      <c r="G865" s="13"/>
      <c r="H865" s="13"/>
      <c r="I865" s="116"/>
      <c r="J865" s="156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ht="14.25" customHeight="1">
      <c r="A866" s="13"/>
      <c r="B866" s="13"/>
      <c r="C866" s="13"/>
      <c r="D866" s="13"/>
      <c r="E866" s="13"/>
      <c r="F866" s="13"/>
      <c r="G866" s="13"/>
      <c r="H866" s="13"/>
      <c r="I866" s="116"/>
      <c r="J866" s="156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ht="14.25" customHeight="1">
      <c r="A867" s="13"/>
      <c r="B867" s="13"/>
      <c r="C867" s="13"/>
      <c r="D867" s="13"/>
      <c r="E867" s="13"/>
      <c r="F867" s="13"/>
      <c r="G867" s="13"/>
      <c r="H867" s="13"/>
      <c r="I867" s="116"/>
      <c r="J867" s="156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ht="14.25" customHeight="1">
      <c r="A868" s="13"/>
      <c r="B868" s="13"/>
      <c r="C868" s="13"/>
      <c r="D868" s="13"/>
      <c r="E868" s="13"/>
      <c r="F868" s="13"/>
      <c r="G868" s="13"/>
      <c r="H868" s="13"/>
      <c r="I868" s="116"/>
      <c r="J868" s="156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ht="14.25" customHeight="1">
      <c r="A869" s="13"/>
      <c r="B869" s="13"/>
      <c r="C869" s="13"/>
      <c r="D869" s="13"/>
      <c r="E869" s="13"/>
      <c r="F869" s="13"/>
      <c r="G869" s="13"/>
      <c r="H869" s="13"/>
      <c r="I869" s="116"/>
      <c r="J869" s="156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ht="14.25" customHeight="1">
      <c r="A870" s="13"/>
      <c r="B870" s="13"/>
      <c r="C870" s="13"/>
      <c r="D870" s="13"/>
      <c r="E870" s="13"/>
      <c r="F870" s="13"/>
      <c r="G870" s="13"/>
      <c r="H870" s="13"/>
      <c r="I870" s="116"/>
      <c r="J870" s="156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ht="14.25" customHeight="1">
      <c r="A871" s="13"/>
      <c r="B871" s="13"/>
      <c r="C871" s="13"/>
      <c r="D871" s="13"/>
      <c r="E871" s="13"/>
      <c r="F871" s="13"/>
      <c r="G871" s="13"/>
      <c r="H871" s="13"/>
      <c r="I871" s="116"/>
      <c r="J871" s="156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ht="14.25" customHeight="1">
      <c r="A872" s="13"/>
      <c r="B872" s="13"/>
      <c r="C872" s="13"/>
      <c r="D872" s="13"/>
      <c r="E872" s="13"/>
      <c r="F872" s="13"/>
      <c r="G872" s="13"/>
      <c r="H872" s="13"/>
      <c r="I872" s="116"/>
      <c r="J872" s="156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ht="14.25" customHeight="1">
      <c r="A873" s="13"/>
      <c r="B873" s="13"/>
      <c r="C873" s="13"/>
      <c r="D873" s="13"/>
      <c r="E873" s="13"/>
      <c r="F873" s="13"/>
      <c r="G873" s="13"/>
      <c r="H873" s="13"/>
      <c r="I873" s="116"/>
      <c r="J873" s="156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ht="14.25" customHeight="1">
      <c r="A874" s="13"/>
      <c r="B874" s="13"/>
      <c r="C874" s="13"/>
      <c r="D874" s="13"/>
      <c r="E874" s="13"/>
      <c r="F874" s="13"/>
      <c r="G874" s="13"/>
      <c r="H874" s="13"/>
      <c r="I874" s="116"/>
      <c r="J874" s="156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ht="14.25" customHeight="1">
      <c r="A875" s="13"/>
      <c r="B875" s="13"/>
      <c r="C875" s="13"/>
      <c r="D875" s="13"/>
      <c r="E875" s="13"/>
      <c r="F875" s="13"/>
      <c r="G875" s="13"/>
      <c r="H875" s="13"/>
      <c r="I875" s="116"/>
      <c r="J875" s="156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ht="14.25" customHeight="1">
      <c r="A876" s="13"/>
      <c r="B876" s="13"/>
      <c r="C876" s="13"/>
      <c r="D876" s="13"/>
      <c r="E876" s="13"/>
      <c r="F876" s="13"/>
      <c r="G876" s="13"/>
      <c r="H876" s="13"/>
      <c r="I876" s="116"/>
      <c r="J876" s="156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ht="14.25" customHeight="1">
      <c r="A877" s="13"/>
      <c r="B877" s="13"/>
      <c r="C877" s="13"/>
      <c r="D877" s="13"/>
      <c r="E877" s="13"/>
      <c r="F877" s="13"/>
      <c r="G877" s="13"/>
      <c r="H877" s="13"/>
      <c r="I877" s="116"/>
      <c r="J877" s="156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ht="14.25" customHeight="1">
      <c r="A878" s="13"/>
      <c r="B878" s="13"/>
      <c r="C878" s="13"/>
      <c r="D878" s="13"/>
      <c r="E878" s="13"/>
      <c r="F878" s="13"/>
      <c r="G878" s="13"/>
      <c r="H878" s="13"/>
      <c r="I878" s="116"/>
      <c r="J878" s="156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ht="14.25" customHeight="1">
      <c r="A879" s="13"/>
      <c r="B879" s="13"/>
      <c r="C879" s="13"/>
      <c r="D879" s="13"/>
      <c r="E879" s="13"/>
      <c r="F879" s="13"/>
      <c r="G879" s="13"/>
      <c r="H879" s="13"/>
      <c r="I879" s="116"/>
      <c r="J879" s="156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ht="14.25" customHeight="1">
      <c r="A880" s="13"/>
      <c r="B880" s="13"/>
      <c r="C880" s="13"/>
      <c r="D880" s="13"/>
      <c r="E880" s="13"/>
      <c r="F880" s="13"/>
      <c r="G880" s="13"/>
      <c r="H880" s="13"/>
      <c r="I880" s="116"/>
      <c r="J880" s="156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ht="14.25" customHeight="1">
      <c r="A881" s="13"/>
      <c r="B881" s="13"/>
      <c r="C881" s="13"/>
      <c r="D881" s="13"/>
      <c r="E881" s="13"/>
      <c r="F881" s="13"/>
      <c r="G881" s="13"/>
      <c r="H881" s="13"/>
      <c r="I881" s="116"/>
      <c r="J881" s="156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ht="14.25" customHeight="1">
      <c r="A882" s="13"/>
      <c r="B882" s="13"/>
      <c r="C882" s="13"/>
      <c r="D882" s="13"/>
      <c r="E882" s="13"/>
      <c r="F882" s="13"/>
      <c r="G882" s="13"/>
      <c r="H882" s="13"/>
      <c r="I882" s="116"/>
      <c r="J882" s="156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ht="14.25" customHeight="1">
      <c r="A883" s="13"/>
      <c r="B883" s="13"/>
      <c r="C883" s="13"/>
      <c r="D883" s="13"/>
      <c r="E883" s="13"/>
      <c r="F883" s="13"/>
      <c r="G883" s="13"/>
      <c r="H883" s="13"/>
      <c r="I883" s="116"/>
      <c r="J883" s="156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ht="14.25" customHeight="1">
      <c r="A884" s="13"/>
      <c r="B884" s="13"/>
      <c r="C884" s="13"/>
      <c r="D884" s="13"/>
      <c r="E884" s="13"/>
      <c r="F884" s="13"/>
      <c r="G884" s="13"/>
      <c r="H884" s="13"/>
      <c r="I884" s="116"/>
      <c r="J884" s="156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ht="14.25" customHeight="1">
      <c r="A885" s="13"/>
      <c r="B885" s="13"/>
      <c r="C885" s="13"/>
      <c r="D885" s="13"/>
      <c r="E885" s="13"/>
      <c r="F885" s="13"/>
      <c r="G885" s="13"/>
      <c r="H885" s="13"/>
      <c r="I885" s="116"/>
      <c r="J885" s="156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ht="14.25" customHeight="1">
      <c r="A886" s="13"/>
      <c r="B886" s="13"/>
      <c r="C886" s="13"/>
      <c r="D886" s="13"/>
      <c r="E886" s="13"/>
      <c r="F886" s="13"/>
      <c r="G886" s="13"/>
      <c r="H886" s="13"/>
      <c r="I886" s="116"/>
      <c r="J886" s="156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ht="14.25" customHeight="1">
      <c r="A887" s="13"/>
      <c r="B887" s="13"/>
      <c r="C887" s="13"/>
      <c r="D887" s="13"/>
      <c r="E887" s="13"/>
      <c r="F887" s="13"/>
      <c r="G887" s="13"/>
      <c r="H887" s="13"/>
      <c r="I887" s="116"/>
      <c r="J887" s="156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ht="14.25" customHeight="1">
      <c r="A888" s="13"/>
      <c r="B888" s="13"/>
      <c r="C888" s="13"/>
      <c r="D888" s="13"/>
      <c r="E888" s="13"/>
      <c r="F888" s="13"/>
      <c r="G888" s="13"/>
      <c r="H888" s="13"/>
      <c r="I888" s="116"/>
      <c r="J888" s="156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ht="14.25" customHeight="1">
      <c r="A889" s="13"/>
      <c r="B889" s="13"/>
      <c r="C889" s="13"/>
      <c r="D889" s="13"/>
      <c r="E889" s="13"/>
      <c r="F889" s="13"/>
      <c r="G889" s="13"/>
      <c r="H889" s="13"/>
      <c r="I889" s="116"/>
      <c r="J889" s="156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ht="14.25" customHeight="1">
      <c r="A890" s="13"/>
      <c r="B890" s="13"/>
      <c r="C890" s="13"/>
      <c r="D890" s="13"/>
      <c r="E890" s="13"/>
      <c r="F890" s="13"/>
      <c r="G890" s="13"/>
      <c r="H890" s="13"/>
      <c r="I890" s="116"/>
      <c r="J890" s="156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ht="14.25" customHeight="1">
      <c r="A891" s="13"/>
      <c r="B891" s="13"/>
      <c r="C891" s="13"/>
      <c r="D891" s="13"/>
      <c r="E891" s="13"/>
      <c r="F891" s="13"/>
      <c r="G891" s="13"/>
      <c r="H891" s="13"/>
      <c r="I891" s="116"/>
      <c r="J891" s="156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ht="14.25" customHeight="1">
      <c r="A892" s="13"/>
      <c r="B892" s="13"/>
      <c r="C892" s="13"/>
      <c r="D892" s="13"/>
      <c r="E892" s="13"/>
      <c r="F892" s="13"/>
      <c r="G892" s="13"/>
      <c r="H892" s="13"/>
      <c r="I892" s="116"/>
      <c r="J892" s="156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ht="14.25" customHeight="1">
      <c r="A893" s="13"/>
      <c r="B893" s="13"/>
      <c r="C893" s="13"/>
      <c r="D893" s="13"/>
      <c r="E893" s="13"/>
      <c r="F893" s="13"/>
      <c r="G893" s="13"/>
      <c r="H893" s="13"/>
      <c r="I893" s="116"/>
      <c r="J893" s="156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ht="14.25" customHeight="1">
      <c r="A894" s="13"/>
      <c r="B894" s="13"/>
      <c r="C894" s="13"/>
      <c r="D894" s="13"/>
      <c r="E894" s="13"/>
      <c r="F894" s="13"/>
      <c r="G894" s="13"/>
      <c r="H894" s="13"/>
      <c r="I894" s="116"/>
      <c r="J894" s="156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ht="14.25" customHeight="1">
      <c r="A895" s="13"/>
      <c r="B895" s="13"/>
      <c r="C895" s="13"/>
      <c r="D895" s="13"/>
      <c r="E895" s="13"/>
      <c r="F895" s="13"/>
      <c r="G895" s="13"/>
      <c r="H895" s="13"/>
      <c r="I895" s="116"/>
      <c r="J895" s="156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ht="14.25" customHeight="1">
      <c r="A896" s="13"/>
      <c r="B896" s="13"/>
      <c r="C896" s="13"/>
      <c r="D896" s="13"/>
      <c r="E896" s="13"/>
      <c r="F896" s="13"/>
      <c r="G896" s="13"/>
      <c r="H896" s="13"/>
      <c r="I896" s="116"/>
      <c r="J896" s="156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ht="14.25" customHeight="1">
      <c r="A897" s="13"/>
      <c r="B897" s="13"/>
      <c r="C897" s="13"/>
      <c r="D897" s="13"/>
      <c r="E897" s="13"/>
      <c r="F897" s="13"/>
      <c r="G897" s="13"/>
      <c r="H897" s="13"/>
      <c r="I897" s="116"/>
      <c r="J897" s="156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ht="14.25" customHeight="1">
      <c r="A898" s="13"/>
      <c r="B898" s="13"/>
      <c r="C898" s="13"/>
      <c r="D898" s="13"/>
      <c r="E898" s="13"/>
      <c r="F898" s="13"/>
      <c r="G898" s="13"/>
      <c r="H898" s="13"/>
      <c r="I898" s="116"/>
      <c r="J898" s="156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ht="14.25" customHeight="1">
      <c r="A899" s="13"/>
      <c r="B899" s="13"/>
      <c r="C899" s="13"/>
      <c r="D899" s="13"/>
      <c r="E899" s="13"/>
      <c r="F899" s="13"/>
      <c r="G899" s="13"/>
      <c r="H899" s="13"/>
      <c r="I899" s="116"/>
      <c r="J899" s="156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ht="14.25" customHeight="1">
      <c r="A900" s="13"/>
      <c r="B900" s="13"/>
      <c r="C900" s="13"/>
      <c r="D900" s="13"/>
      <c r="E900" s="13"/>
      <c r="F900" s="13"/>
      <c r="G900" s="13"/>
      <c r="H900" s="13"/>
      <c r="I900" s="116"/>
      <c r="J900" s="156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ht="14.25" customHeight="1">
      <c r="A901" s="13"/>
      <c r="B901" s="13"/>
      <c r="C901" s="13"/>
      <c r="D901" s="13"/>
      <c r="E901" s="13"/>
      <c r="F901" s="13"/>
      <c r="G901" s="13"/>
      <c r="H901" s="13"/>
      <c r="I901" s="116"/>
      <c r="J901" s="156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ht="14.25" customHeight="1">
      <c r="A902" s="13"/>
      <c r="B902" s="13"/>
      <c r="C902" s="13"/>
      <c r="D902" s="13"/>
      <c r="E902" s="13"/>
      <c r="F902" s="13"/>
      <c r="G902" s="13"/>
      <c r="H902" s="13"/>
      <c r="I902" s="116"/>
      <c r="J902" s="156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ht="14.25" customHeight="1">
      <c r="A903" s="13"/>
      <c r="B903" s="13"/>
      <c r="C903" s="13"/>
      <c r="D903" s="13"/>
      <c r="E903" s="13"/>
      <c r="F903" s="13"/>
      <c r="G903" s="13"/>
      <c r="H903" s="13"/>
      <c r="I903" s="116"/>
      <c r="J903" s="156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ht="14.25" customHeight="1">
      <c r="A904" s="13"/>
      <c r="B904" s="13"/>
      <c r="C904" s="13"/>
      <c r="D904" s="13"/>
      <c r="E904" s="13"/>
      <c r="F904" s="13"/>
      <c r="G904" s="13"/>
      <c r="H904" s="13"/>
      <c r="I904" s="116"/>
      <c r="J904" s="156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ht="14.25" customHeight="1">
      <c r="A905" s="13"/>
      <c r="B905" s="13"/>
      <c r="C905" s="13"/>
      <c r="D905" s="13"/>
      <c r="E905" s="13"/>
      <c r="F905" s="13"/>
      <c r="G905" s="13"/>
      <c r="H905" s="13"/>
      <c r="I905" s="116"/>
      <c r="J905" s="156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ht="14.25" customHeight="1">
      <c r="A906" s="13"/>
      <c r="B906" s="13"/>
      <c r="C906" s="13"/>
      <c r="D906" s="13"/>
      <c r="E906" s="13"/>
      <c r="F906" s="13"/>
      <c r="G906" s="13"/>
      <c r="H906" s="13"/>
      <c r="I906" s="116"/>
      <c r="J906" s="156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ht="14.25" customHeight="1">
      <c r="A907" s="13"/>
      <c r="B907" s="13"/>
      <c r="C907" s="13"/>
      <c r="D907" s="13"/>
      <c r="E907" s="13"/>
      <c r="F907" s="13"/>
      <c r="G907" s="13"/>
      <c r="H907" s="13"/>
      <c r="I907" s="116"/>
      <c r="J907" s="156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ht="14.25" customHeight="1">
      <c r="A908" s="13"/>
      <c r="B908" s="13"/>
      <c r="C908" s="13"/>
      <c r="D908" s="13"/>
      <c r="E908" s="13"/>
      <c r="F908" s="13"/>
      <c r="G908" s="13"/>
      <c r="H908" s="13"/>
      <c r="I908" s="116"/>
      <c r="J908" s="156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ht="14.25" customHeight="1">
      <c r="A909" s="13"/>
      <c r="B909" s="13"/>
      <c r="C909" s="13"/>
      <c r="D909" s="13"/>
      <c r="E909" s="13"/>
      <c r="F909" s="13"/>
      <c r="G909" s="13"/>
      <c r="H909" s="13"/>
      <c r="I909" s="116"/>
      <c r="J909" s="156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ht="14.25" customHeight="1">
      <c r="A910" s="13"/>
      <c r="B910" s="13"/>
      <c r="C910" s="13"/>
      <c r="D910" s="13"/>
      <c r="E910" s="13"/>
      <c r="F910" s="13"/>
      <c r="G910" s="13"/>
      <c r="H910" s="13"/>
      <c r="I910" s="116"/>
      <c r="J910" s="156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ht="14.25" customHeight="1">
      <c r="A911" s="13"/>
      <c r="B911" s="13"/>
      <c r="C911" s="13"/>
      <c r="D911" s="13"/>
      <c r="E911" s="13"/>
      <c r="F911" s="13"/>
      <c r="G911" s="13"/>
      <c r="H911" s="13"/>
      <c r="I911" s="116"/>
      <c r="J911" s="156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ht="14.25" customHeight="1">
      <c r="A912" s="13"/>
      <c r="B912" s="13"/>
      <c r="C912" s="13"/>
      <c r="D912" s="13"/>
      <c r="E912" s="13"/>
      <c r="F912" s="13"/>
      <c r="G912" s="13"/>
      <c r="H912" s="13"/>
      <c r="I912" s="116"/>
      <c r="J912" s="156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ht="14.25" customHeight="1">
      <c r="A913" s="13"/>
      <c r="B913" s="13"/>
      <c r="C913" s="13"/>
      <c r="D913" s="13"/>
      <c r="E913" s="13"/>
      <c r="F913" s="13"/>
      <c r="G913" s="13"/>
      <c r="H913" s="13"/>
      <c r="I913" s="116"/>
      <c r="J913" s="156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ht="14.25" customHeight="1">
      <c r="A914" s="13"/>
      <c r="B914" s="13"/>
      <c r="C914" s="13"/>
      <c r="D914" s="13"/>
      <c r="E914" s="13"/>
      <c r="F914" s="13"/>
      <c r="G914" s="13"/>
      <c r="H914" s="13"/>
      <c r="I914" s="116"/>
      <c r="J914" s="156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ht="14.25" customHeight="1">
      <c r="A915" s="13"/>
      <c r="B915" s="13"/>
      <c r="C915" s="13"/>
      <c r="D915" s="13"/>
      <c r="E915" s="13"/>
      <c r="F915" s="13"/>
      <c r="G915" s="13"/>
      <c r="H915" s="13"/>
      <c r="I915" s="116"/>
      <c r="J915" s="156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ht="14.25" customHeight="1">
      <c r="A916" s="13"/>
      <c r="B916" s="13"/>
      <c r="C916" s="13"/>
      <c r="D916" s="13"/>
      <c r="E916" s="13"/>
      <c r="F916" s="13"/>
      <c r="G916" s="13"/>
      <c r="H916" s="13"/>
      <c r="I916" s="116"/>
      <c r="J916" s="156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ht="14.25" customHeight="1">
      <c r="A917" s="13"/>
      <c r="B917" s="13"/>
      <c r="C917" s="13"/>
      <c r="D917" s="13"/>
      <c r="E917" s="13"/>
      <c r="F917" s="13"/>
      <c r="G917" s="13"/>
      <c r="H917" s="13"/>
      <c r="I917" s="116"/>
      <c r="J917" s="156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ht="14.25" customHeight="1">
      <c r="A918" s="13"/>
      <c r="B918" s="13"/>
      <c r="C918" s="13"/>
      <c r="D918" s="13"/>
      <c r="E918" s="13"/>
      <c r="F918" s="13"/>
      <c r="G918" s="13"/>
      <c r="H918" s="13"/>
      <c r="I918" s="116"/>
      <c r="J918" s="156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ht="14.25" customHeight="1">
      <c r="A919" s="13"/>
      <c r="B919" s="13"/>
      <c r="C919" s="13"/>
      <c r="D919" s="13"/>
      <c r="E919" s="13"/>
      <c r="F919" s="13"/>
      <c r="G919" s="13"/>
      <c r="H919" s="13"/>
      <c r="I919" s="116"/>
      <c r="J919" s="156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ht="14.25" customHeight="1">
      <c r="A920" s="13"/>
      <c r="B920" s="13"/>
      <c r="C920" s="13"/>
      <c r="D920" s="13"/>
      <c r="E920" s="13"/>
      <c r="F920" s="13"/>
      <c r="G920" s="13"/>
      <c r="H920" s="13"/>
      <c r="I920" s="116"/>
      <c r="J920" s="156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ht="14.25" customHeight="1">
      <c r="A921" s="13"/>
      <c r="B921" s="13"/>
      <c r="C921" s="13"/>
      <c r="D921" s="13"/>
      <c r="E921" s="13"/>
      <c r="F921" s="13"/>
      <c r="G921" s="13"/>
      <c r="H921" s="13"/>
      <c r="I921" s="116"/>
      <c r="J921" s="156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ht="14.25" customHeight="1">
      <c r="A922" s="13"/>
      <c r="B922" s="13"/>
      <c r="C922" s="13"/>
      <c r="D922" s="13"/>
      <c r="E922" s="13"/>
      <c r="F922" s="13"/>
      <c r="G922" s="13"/>
      <c r="H922" s="13"/>
      <c r="I922" s="116"/>
      <c r="J922" s="156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ht="14.25" customHeight="1">
      <c r="A923" s="13"/>
      <c r="B923" s="13"/>
      <c r="C923" s="13"/>
      <c r="D923" s="13"/>
      <c r="E923" s="13"/>
      <c r="F923" s="13"/>
      <c r="G923" s="13"/>
      <c r="H923" s="13"/>
      <c r="I923" s="116"/>
      <c r="J923" s="156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ht="14.25" customHeight="1">
      <c r="A924" s="13"/>
      <c r="B924" s="13"/>
      <c r="C924" s="13"/>
      <c r="D924" s="13"/>
      <c r="E924" s="13"/>
      <c r="F924" s="13"/>
      <c r="G924" s="13"/>
      <c r="H924" s="13"/>
      <c r="I924" s="116"/>
      <c r="J924" s="156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ht="14.25" customHeight="1">
      <c r="A925" s="13"/>
      <c r="B925" s="13"/>
      <c r="C925" s="13"/>
      <c r="D925" s="13"/>
      <c r="E925" s="13"/>
      <c r="F925" s="13"/>
      <c r="G925" s="13"/>
      <c r="H925" s="13"/>
      <c r="I925" s="116"/>
      <c r="J925" s="156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ht="14.25" customHeight="1">
      <c r="A926" s="13"/>
      <c r="B926" s="13"/>
      <c r="C926" s="13"/>
      <c r="D926" s="13"/>
      <c r="E926" s="13"/>
      <c r="F926" s="13"/>
      <c r="G926" s="13"/>
      <c r="H926" s="13"/>
      <c r="I926" s="116"/>
      <c r="J926" s="156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ht="14.25" customHeight="1">
      <c r="A927" s="13"/>
      <c r="B927" s="13"/>
      <c r="C927" s="13"/>
      <c r="D927" s="13"/>
      <c r="E927" s="13"/>
      <c r="F927" s="13"/>
      <c r="G927" s="13"/>
      <c r="H927" s="13"/>
      <c r="I927" s="116"/>
      <c r="J927" s="156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ht="14.25" customHeight="1">
      <c r="A928" s="13"/>
      <c r="B928" s="13"/>
      <c r="C928" s="13"/>
      <c r="D928" s="13"/>
      <c r="E928" s="13"/>
      <c r="F928" s="13"/>
      <c r="G928" s="13"/>
      <c r="H928" s="13"/>
      <c r="I928" s="116"/>
      <c r="J928" s="156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ht="14.25" customHeight="1">
      <c r="A929" s="13"/>
      <c r="B929" s="13"/>
      <c r="C929" s="13"/>
      <c r="D929" s="13"/>
      <c r="E929" s="13"/>
      <c r="F929" s="13"/>
      <c r="G929" s="13"/>
      <c r="H929" s="13"/>
      <c r="I929" s="116"/>
      <c r="J929" s="156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ht="14.25" customHeight="1">
      <c r="A930" s="13"/>
      <c r="B930" s="13"/>
      <c r="C930" s="13"/>
      <c r="D930" s="13"/>
      <c r="E930" s="13"/>
      <c r="F930" s="13"/>
      <c r="G930" s="13"/>
      <c r="H930" s="13"/>
      <c r="I930" s="116"/>
      <c r="J930" s="156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ht="14.25" customHeight="1">
      <c r="A931" s="13"/>
      <c r="B931" s="13"/>
      <c r="C931" s="13"/>
      <c r="D931" s="13"/>
      <c r="E931" s="13"/>
      <c r="F931" s="13"/>
      <c r="G931" s="13"/>
      <c r="H931" s="13"/>
      <c r="I931" s="116"/>
      <c r="J931" s="156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ht="14.25" customHeight="1">
      <c r="A932" s="13"/>
      <c r="B932" s="13"/>
      <c r="C932" s="13"/>
      <c r="D932" s="13"/>
      <c r="E932" s="13"/>
      <c r="F932" s="13"/>
      <c r="G932" s="13"/>
      <c r="H932" s="13"/>
      <c r="I932" s="116"/>
      <c r="J932" s="156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ht="14.25" customHeight="1">
      <c r="A933" s="13"/>
      <c r="B933" s="13"/>
      <c r="C933" s="13"/>
      <c r="D933" s="13"/>
      <c r="E933" s="13"/>
      <c r="F933" s="13"/>
      <c r="G933" s="13"/>
      <c r="H933" s="13"/>
      <c r="I933" s="116"/>
      <c r="J933" s="156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ht="14.25" customHeight="1">
      <c r="A934" s="13"/>
      <c r="B934" s="13"/>
      <c r="C934" s="13"/>
      <c r="D934" s="13"/>
      <c r="E934" s="13"/>
      <c r="F934" s="13"/>
      <c r="G934" s="13"/>
      <c r="H934" s="13"/>
      <c r="I934" s="116"/>
      <c r="J934" s="156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ht="14.25" customHeight="1">
      <c r="A935" s="13"/>
      <c r="B935" s="13"/>
      <c r="C935" s="13"/>
      <c r="D935" s="13"/>
      <c r="E935" s="13"/>
      <c r="F935" s="13"/>
      <c r="G935" s="13"/>
      <c r="H935" s="13"/>
      <c r="I935" s="116"/>
      <c r="J935" s="156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ht="14.25" customHeight="1">
      <c r="A936" s="13"/>
      <c r="B936" s="13"/>
      <c r="C936" s="13"/>
      <c r="D936" s="13"/>
      <c r="E936" s="13"/>
      <c r="F936" s="13"/>
      <c r="G936" s="13"/>
      <c r="H936" s="13"/>
      <c r="I936" s="116"/>
      <c r="J936" s="156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ht="14.25" customHeight="1">
      <c r="A937" s="13"/>
      <c r="B937" s="13"/>
      <c r="C937" s="13"/>
      <c r="D937" s="13"/>
      <c r="E937" s="13"/>
      <c r="F937" s="13"/>
      <c r="G937" s="13"/>
      <c r="H937" s="13"/>
      <c r="I937" s="116"/>
      <c r="J937" s="156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ht="14.25" customHeight="1">
      <c r="A938" s="13"/>
      <c r="B938" s="13"/>
      <c r="C938" s="13"/>
      <c r="D938" s="13"/>
      <c r="E938" s="13"/>
      <c r="F938" s="13"/>
      <c r="G938" s="13"/>
      <c r="H938" s="13"/>
      <c r="I938" s="116"/>
      <c r="J938" s="156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ht="14.25" customHeight="1">
      <c r="A939" s="13"/>
      <c r="B939" s="13"/>
      <c r="C939" s="13"/>
      <c r="D939" s="13"/>
      <c r="E939" s="13"/>
      <c r="F939" s="13"/>
      <c r="G939" s="13"/>
      <c r="H939" s="13"/>
      <c r="I939" s="116"/>
      <c r="J939" s="156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ht="14.25" customHeight="1">
      <c r="A940" s="13"/>
      <c r="B940" s="13"/>
      <c r="C940" s="13"/>
      <c r="D940" s="13"/>
      <c r="E940" s="13"/>
      <c r="F940" s="13"/>
      <c r="G940" s="13"/>
      <c r="H940" s="13"/>
      <c r="I940" s="116"/>
      <c r="J940" s="156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ht="14.25" customHeight="1">
      <c r="A941" s="13"/>
      <c r="B941" s="13"/>
      <c r="C941" s="13"/>
      <c r="D941" s="13"/>
      <c r="E941" s="13"/>
      <c r="F941" s="13"/>
      <c r="G941" s="13"/>
      <c r="H941" s="13"/>
      <c r="I941" s="116"/>
      <c r="J941" s="156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ht="14.25" customHeight="1">
      <c r="A942" s="13"/>
      <c r="B942" s="13"/>
      <c r="C942" s="13"/>
      <c r="D942" s="13"/>
      <c r="E942" s="13"/>
      <c r="F942" s="13"/>
      <c r="G942" s="13"/>
      <c r="H942" s="13"/>
      <c r="I942" s="116"/>
      <c r="J942" s="156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ht="14.25" customHeight="1">
      <c r="A943" s="13"/>
      <c r="B943" s="13"/>
      <c r="C943" s="13"/>
      <c r="D943" s="13"/>
      <c r="E943" s="13"/>
      <c r="F943" s="13"/>
      <c r="G943" s="13"/>
      <c r="H943" s="13"/>
      <c r="I943" s="116"/>
      <c r="J943" s="156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ht="14.25" customHeight="1">
      <c r="A944" s="13"/>
      <c r="B944" s="13"/>
      <c r="C944" s="13"/>
      <c r="D944" s="13"/>
      <c r="E944" s="13"/>
      <c r="F944" s="13"/>
      <c r="G944" s="13"/>
      <c r="H944" s="13"/>
      <c r="I944" s="116"/>
      <c r="J944" s="156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ht="14.25" customHeight="1">
      <c r="A945" s="13"/>
      <c r="B945" s="13"/>
      <c r="C945" s="13"/>
      <c r="D945" s="13"/>
      <c r="E945" s="13"/>
      <c r="F945" s="13"/>
      <c r="G945" s="13"/>
      <c r="H945" s="13"/>
      <c r="I945" s="116"/>
      <c r="J945" s="156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ht="14.25" customHeight="1">
      <c r="A946" s="13"/>
      <c r="B946" s="13"/>
      <c r="C946" s="13"/>
      <c r="D946" s="13"/>
      <c r="E946" s="13"/>
      <c r="F946" s="13"/>
      <c r="G946" s="13"/>
      <c r="H946" s="13"/>
      <c r="I946" s="116"/>
      <c r="J946" s="156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ht="14.25" customHeight="1">
      <c r="A947" s="13"/>
      <c r="B947" s="13"/>
      <c r="C947" s="13"/>
      <c r="D947" s="13"/>
      <c r="E947" s="13"/>
      <c r="F947" s="13"/>
      <c r="G947" s="13"/>
      <c r="H947" s="13"/>
      <c r="I947" s="116"/>
      <c r="J947" s="156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ht="14.25" customHeight="1">
      <c r="A948" s="13"/>
      <c r="B948" s="13"/>
      <c r="C948" s="13"/>
      <c r="D948" s="13"/>
      <c r="E948" s="13"/>
      <c r="F948" s="13"/>
      <c r="G948" s="13"/>
      <c r="H948" s="13"/>
      <c r="I948" s="116"/>
      <c r="J948" s="156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ht="14.25" customHeight="1">
      <c r="A949" s="13"/>
      <c r="B949" s="13"/>
      <c r="C949" s="13"/>
      <c r="D949" s="13"/>
      <c r="E949" s="13"/>
      <c r="F949" s="13"/>
      <c r="G949" s="13"/>
      <c r="H949" s="13"/>
      <c r="I949" s="116"/>
      <c r="J949" s="156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ht="14.25" customHeight="1">
      <c r="A950" s="13"/>
      <c r="B950" s="13"/>
      <c r="C950" s="13"/>
      <c r="D950" s="13"/>
      <c r="E950" s="13"/>
      <c r="F950" s="13"/>
      <c r="G950" s="13"/>
      <c r="H950" s="13"/>
      <c r="I950" s="116"/>
      <c r="J950" s="156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ht="14.25" customHeight="1">
      <c r="A951" s="13"/>
      <c r="B951" s="13"/>
      <c r="C951" s="13"/>
      <c r="D951" s="13"/>
      <c r="E951" s="13"/>
      <c r="F951" s="13"/>
      <c r="G951" s="13"/>
      <c r="H951" s="13"/>
      <c r="I951" s="116"/>
      <c r="J951" s="156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ht="14.25" customHeight="1">
      <c r="A952" s="13"/>
      <c r="B952" s="13"/>
      <c r="C952" s="13"/>
      <c r="D952" s="13"/>
      <c r="E952" s="13"/>
      <c r="F952" s="13"/>
      <c r="G952" s="13"/>
      <c r="H952" s="13"/>
      <c r="I952" s="116"/>
      <c r="J952" s="156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ht="14.25" customHeight="1">
      <c r="A953" s="13"/>
      <c r="B953" s="13"/>
      <c r="C953" s="13"/>
      <c r="D953" s="13"/>
      <c r="E953" s="13"/>
      <c r="F953" s="13"/>
      <c r="G953" s="13"/>
      <c r="H953" s="13"/>
      <c r="I953" s="116"/>
      <c r="J953" s="156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ht="14.25" customHeight="1">
      <c r="A954" s="13"/>
      <c r="B954" s="13"/>
      <c r="C954" s="13"/>
      <c r="D954" s="13"/>
      <c r="E954" s="13"/>
      <c r="F954" s="13"/>
      <c r="G954" s="13"/>
      <c r="H954" s="13"/>
      <c r="I954" s="116"/>
      <c r="J954" s="156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ht="14.25" customHeight="1">
      <c r="A955" s="13"/>
      <c r="B955" s="13"/>
      <c r="C955" s="13"/>
      <c r="D955" s="13"/>
      <c r="E955" s="13"/>
      <c r="F955" s="13"/>
      <c r="G955" s="13"/>
      <c r="H955" s="13"/>
      <c r="I955" s="116"/>
      <c r="J955" s="156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ht="14.25" customHeight="1">
      <c r="A956" s="13"/>
      <c r="B956" s="13"/>
      <c r="C956" s="13"/>
      <c r="D956" s="13"/>
      <c r="E956" s="13"/>
      <c r="F956" s="13"/>
      <c r="G956" s="13"/>
      <c r="H956" s="13"/>
      <c r="I956" s="116"/>
      <c r="J956" s="156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ht="14.25" customHeight="1">
      <c r="A957" s="13"/>
      <c r="B957" s="13"/>
      <c r="C957" s="13"/>
      <c r="D957" s="13"/>
      <c r="E957" s="13"/>
      <c r="F957" s="13"/>
      <c r="G957" s="13"/>
      <c r="H957" s="13"/>
      <c r="I957" s="116"/>
      <c r="J957" s="156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ht="14.25" customHeight="1">
      <c r="A958" s="13"/>
      <c r="B958" s="13"/>
      <c r="C958" s="13"/>
      <c r="D958" s="13"/>
      <c r="E958" s="13"/>
      <c r="F958" s="13"/>
      <c r="G958" s="13"/>
      <c r="H958" s="13"/>
      <c r="I958" s="116"/>
      <c r="J958" s="156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ht="14.25" customHeight="1">
      <c r="A959" s="13"/>
      <c r="B959" s="13"/>
      <c r="C959" s="13"/>
      <c r="D959" s="13"/>
      <c r="E959" s="13"/>
      <c r="F959" s="13"/>
      <c r="G959" s="13"/>
      <c r="H959" s="13"/>
      <c r="I959" s="116"/>
      <c r="J959" s="156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ht="14.25" customHeight="1">
      <c r="A960" s="13"/>
      <c r="B960" s="13"/>
      <c r="C960" s="13"/>
      <c r="D960" s="13"/>
      <c r="E960" s="13"/>
      <c r="F960" s="13"/>
      <c r="G960" s="13"/>
      <c r="H960" s="13"/>
      <c r="I960" s="116"/>
      <c r="J960" s="156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ht="14.25" customHeight="1">
      <c r="A961" s="13"/>
      <c r="B961" s="13"/>
      <c r="C961" s="13"/>
      <c r="D961" s="13"/>
      <c r="E961" s="13"/>
      <c r="F961" s="13"/>
      <c r="G961" s="13"/>
      <c r="H961" s="13"/>
      <c r="I961" s="116"/>
      <c r="J961" s="156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ht="14.25" customHeight="1">
      <c r="A962" s="13"/>
      <c r="B962" s="13"/>
      <c r="C962" s="13"/>
      <c r="D962" s="13"/>
      <c r="E962" s="13"/>
      <c r="F962" s="13"/>
      <c r="G962" s="13"/>
      <c r="H962" s="13"/>
      <c r="I962" s="116"/>
      <c r="J962" s="156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ht="14.25" customHeight="1">
      <c r="A963" s="13"/>
      <c r="B963" s="13"/>
      <c r="C963" s="13"/>
      <c r="D963" s="13"/>
      <c r="E963" s="13"/>
      <c r="F963" s="13"/>
      <c r="G963" s="13"/>
      <c r="H963" s="13"/>
      <c r="I963" s="116"/>
      <c r="J963" s="156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ht="14.25" customHeight="1">
      <c r="A964" s="13"/>
      <c r="B964" s="13"/>
      <c r="C964" s="13"/>
      <c r="D964" s="13"/>
      <c r="E964" s="13"/>
      <c r="F964" s="13"/>
      <c r="G964" s="13"/>
      <c r="H964" s="13"/>
      <c r="I964" s="116"/>
      <c r="J964" s="156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ht="14.25" customHeight="1">
      <c r="A965" s="13"/>
      <c r="B965" s="13"/>
      <c r="C965" s="13"/>
      <c r="D965" s="13"/>
      <c r="E965" s="13"/>
      <c r="F965" s="13"/>
      <c r="G965" s="13"/>
      <c r="H965" s="13"/>
      <c r="I965" s="116"/>
      <c r="J965" s="156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ht="14.25" customHeight="1">
      <c r="A966" s="13"/>
      <c r="B966" s="13"/>
      <c r="C966" s="13"/>
      <c r="D966" s="13"/>
      <c r="E966" s="13"/>
      <c r="F966" s="13"/>
      <c r="G966" s="13"/>
      <c r="H966" s="13"/>
      <c r="I966" s="116"/>
      <c r="J966" s="156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ht="14.25" customHeight="1">
      <c r="A967" s="13"/>
      <c r="B967" s="13"/>
      <c r="C967" s="13"/>
      <c r="D967" s="13"/>
      <c r="E967" s="13"/>
      <c r="F967" s="13"/>
      <c r="G967" s="13"/>
      <c r="H967" s="13"/>
      <c r="I967" s="116"/>
      <c r="J967" s="156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ht="14.25" customHeight="1">
      <c r="A968" s="13"/>
      <c r="B968" s="13"/>
      <c r="C968" s="13"/>
      <c r="D968" s="13"/>
      <c r="E968" s="13"/>
      <c r="F968" s="13"/>
      <c r="G968" s="13"/>
      <c r="H968" s="13"/>
      <c r="I968" s="116"/>
      <c r="J968" s="156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ht="14.25" customHeight="1">
      <c r="A969" s="13"/>
      <c r="B969" s="13"/>
      <c r="C969" s="13"/>
      <c r="D969" s="13"/>
      <c r="E969" s="13"/>
      <c r="F969" s="13"/>
      <c r="G969" s="13"/>
      <c r="H969" s="13"/>
      <c r="I969" s="116"/>
      <c r="J969" s="156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ht="14.25" customHeight="1">
      <c r="A970" s="13"/>
      <c r="B970" s="13"/>
      <c r="C970" s="13"/>
      <c r="D970" s="13"/>
      <c r="E970" s="13"/>
      <c r="F970" s="13"/>
      <c r="G970" s="13"/>
      <c r="H970" s="13"/>
      <c r="I970" s="116"/>
      <c r="J970" s="156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ht="14.25" customHeight="1">
      <c r="A971" s="13"/>
      <c r="B971" s="13"/>
      <c r="C971" s="13"/>
      <c r="D971" s="13"/>
      <c r="E971" s="13"/>
      <c r="F971" s="13"/>
      <c r="G971" s="13"/>
      <c r="H971" s="13"/>
      <c r="I971" s="116"/>
      <c r="J971" s="156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ht="14.25" customHeight="1">
      <c r="A972" s="13"/>
      <c r="B972" s="13"/>
      <c r="C972" s="13"/>
      <c r="D972" s="13"/>
      <c r="E972" s="13"/>
      <c r="F972" s="13"/>
      <c r="G972" s="13"/>
      <c r="H972" s="13"/>
      <c r="I972" s="116"/>
      <c r="J972" s="156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ht="14.25" customHeight="1">
      <c r="A973" s="13"/>
      <c r="B973" s="13"/>
      <c r="C973" s="13"/>
      <c r="D973" s="13"/>
      <c r="E973" s="13"/>
      <c r="F973" s="13"/>
      <c r="G973" s="13"/>
      <c r="H973" s="13"/>
      <c r="I973" s="116"/>
      <c r="J973" s="156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ht="14.25" customHeight="1">
      <c r="A974" s="13"/>
      <c r="B974" s="13"/>
      <c r="C974" s="13"/>
      <c r="D974" s="13"/>
      <c r="E974" s="13"/>
      <c r="F974" s="13"/>
      <c r="G974" s="13"/>
      <c r="H974" s="13"/>
      <c r="I974" s="116"/>
      <c r="J974" s="156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ht="14.25" customHeight="1">
      <c r="A975" s="13"/>
      <c r="B975" s="13"/>
      <c r="C975" s="13"/>
      <c r="D975" s="13"/>
      <c r="E975" s="13"/>
      <c r="F975" s="13"/>
      <c r="G975" s="13"/>
      <c r="H975" s="13"/>
      <c r="I975" s="116"/>
      <c r="J975" s="156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ht="14.25" customHeight="1">
      <c r="A976" s="13"/>
      <c r="B976" s="13"/>
      <c r="C976" s="13"/>
      <c r="D976" s="13"/>
      <c r="E976" s="13"/>
      <c r="F976" s="13"/>
      <c r="G976" s="13"/>
      <c r="H976" s="13"/>
      <c r="I976" s="116"/>
      <c r="J976" s="156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ht="14.25" customHeight="1">
      <c r="A977" s="13"/>
      <c r="B977" s="13"/>
      <c r="C977" s="13"/>
      <c r="D977" s="13"/>
      <c r="E977" s="13"/>
      <c r="F977" s="13"/>
      <c r="G977" s="13"/>
      <c r="H977" s="13"/>
      <c r="I977" s="116"/>
      <c r="J977" s="156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ht="14.25" customHeight="1">
      <c r="A978" s="13"/>
      <c r="B978" s="13"/>
      <c r="C978" s="13"/>
      <c r="D978" s="13"/>
      <c r="E978" s="13"/>
      <c r="F978" s="13"/>
      <c r="G978" s="13"/>
      <c r="H978" s="13"/>
      <c r="I978" s="116"/>
      <c r="J978" s="156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ht="14.25" customHeight="1">
      <c r="A979" s="13"/>
      <c r="B979" s="13"/>
      <c r="C979" s="13"/>
      <c r="D979" s="13"/>
      <c r="E979" s="13"/>
      <c r="F979" s="13"/>
      <c r="G979" s="13"/>
      <c r="H979" s="13"/>
      <c r="I979" s="116"/>
      <c r="J979" s="156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ht="14.25" customHeight="1">
      <c r="A980" s="13"/>
      <c r="B980" s="13"/>
      <c r="C980" s="13"/>
      <c r="D980" s="13"/>
      <c r="E980" s="13"/>
      <c r="F980" s="13"/>
      <c r="G980" s="13"/>
      <c r="H980" s="13"/>
      <c r="I980" s="116"/>
      <c r="J980" s="156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ht="14.25" customHeight="1">
      <c r="A981" s="13"/>
      <c r="B981" s="13"/>
      <c r="C981" s="13"/>
      <c r="D981" s="13"/>
      <c r="E981" s="13"/>
      <c r="F981" s="13"/>
      <c r="G981" s="13"/>
      <c r="H981" s="13"/>
      <c r="I981" s="116"/>
      <c r="J981" s="156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ht="14.25" customHeight="1">
      <c r="A982" s="13"/>
      <c r="B982" s="13"/>
      <c r="C982" s="13"/>
      <c r="D982" s="13"/>
      <c r="E982" s="13"/>
      <c r="F982" s="13"/>
      <c r="G982" s="13"/>
      <c r="H982" s="13"/>
      <c r="I982" s="116"/>
      <c r="J982" s="156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ht="14.25" customHeight="1">
      <c r="A983" s="13"/>
      <c r="B983" s="13"/>
      <c r="C983" s="13"/>
      <c r="D983" s="13"/>
      <c r="E983" s="13"/>
      <c r="F983" s="13"/>
      <c r="G983" s="13"/>
      <c r="H983" s="13"/>
      <c r="I983" s="116"/>
      <c r="J983" s="156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ht="14.25" customHeight="1">
      <c r="A984" s="13"/>
      <c r="B984" s="13"/>
      <c r="C984" s="13"/>
      <c r="D984" s="13"/>
      <c r="E984" s="13"/>
      <c r="F984" s="13"/>
      <c r="G984" s="13"/>
      <c r="H984" s="13"/>
      <c r="I984" s="116"/>
      <c r="J984" s="156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ht="14.25" customHeight="1">
      <c r="A985" s="13"/>
      <c r="B985" s="13"/>
      <c r="C985" s="13"/>
      <c r="D985" s="13"/>
      <c r="E985" s="13"/>
      <c r="F985" s="13"/>
      <c r="G985" s="13"/>
      <c r="H985" s="13"/>
      <c r="I985" s="116"/>
      <c r="J985" s="156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spans="1:25" ht="14.25" customHeight="1">
      <c r="A986" s="13"/>
      <c r="B986" s="13"/>
      <c r="C986" s="13"/>
      <c r="D986" s="13"/>
      <c r="E986" s="13"/>
      <c r="F986" s="13"/>
      <c r="G986" s="13"/>
      <c r="H986" s="13"/>
      <c r="I986" s="116"/>
      <c r="J986" s="156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spans="1:25" ht="14.25" customHeight="1">
      <c r="A987" s="13"/>
      <c r="B987" s="13"/>
      <c r="C987" s="13"/>
      <c r="D987" s="13"/>
      <c r="E987" s="13"/>
      <c r="F987" s="13"/>
      <c r="G987" s="13"/>
      <c r="H987" s="13"/>
      <c r="I987" s="116"/>
      <c r="J987" s="156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spans="1:25" ht="14.25" customHeight="1">
      <c r="A988" s="13"/>
      <c r="B988" s="13"/>
      <c r="C988" s="13"/>
      <c r="D988" s="13"/>
      <c r="E988" s="13"/>
      <c r="F988" s="13"/>
      <c r="G988" s="13"/>
      <c r="H988" s="13"/>
      <c r="I988" s="116"/>
      <c r="J988" s="156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spans="1:25" ht="14.25" customHeight="1">
      <c r="A989" s="13"/>
      <c r="B989" s="13"/>
      <c r="C989" s="13"/>
      <c r="D989" s="13"/>
      <c r="E989" s="13"/>
      <c r="F989" s="13"/>
      <c r="G989" s="13"/>
      <c r="H989" s="13"/>
      <c r="I989" s="116"/>
      <c r="J989" s="156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spans="1:25" ht="14.25" customHeight="1">
      <c r="A990" s="13"/>
      <c r="B990" s="13"/>
      <c r="C990" s="13"/>
      <c r="D990" s="13"/>
      <c r="E990" s="13"/>
      <c r="F990" s="13"/>
      <c r="G990" s="13"/>
      <c r="H990" s="13"/>
      <c r="I990" s="116"/>
      <c r="J990" s="156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spans="1:25" ht="14.25" customHeight="1">
      <c r="A991" s="13"/>
      <c r="B991" s="13"/>
      <c r="C991" s="13"/>
      <c r="D991" s="13"/>
      <c r="E991" s="13"/>
      <c r="F991" s="13"/>
      <c r="G991" s="13"/>
      <c r="H991" s="13"/>
      <c r="I991" s="116"/>
      <c r="J991" s="156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spans="1:25" ht="14.25" customHeight="1">
      <c r="A992" s="13"/>
      <c r="B992" s="13"/>
      <c r="C992" s="13"/>
      <c r="D992" s="13"/>
      <c r="E992" s="13"/>
      <c r="F992" s="13"/>
      <c r="G992" s="13"/>
      <c r="H992" s="13"/>
      <c r="I992" s="116"/>
      <c r="J992" s="156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spans="1:25" ht="14.25" customHeight="1">
      <c r="A993" s="13"/>
      <c r="B993" s="13"/>
      <c r="C993" s="13"/>
      <c r="D993" s="13"/>
      <c r="E993" s="13"/>
      <c r="F993" s="13"/>
      <c r="G993" s="13"/>
      <c r="H993" s="13"/>
      <c r="I993" s="116"/>
      <c r="J993" s="156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spans="1:25" ht="14.25" customHeight="1">
      <c r="A994" s="13"/>
      <c r="B994" s="13"/>
      <c r="C994" s="13"/>
      <c r="D994" s="13"/>
      <c r="E994" s="13"/>
      <c r="F994" s="13"/>
      <c r="G994" s="13"/>
      <c r="H994" s="13"/>
      <c r="I994" s="116"/>
      <c r="J994" s="156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spans="1:25" ht="14.25" customHeight="1">
      <c r="A995" s="13"/>
      <c r="B995" s="13"/>
      <c r="C995" s="13"/>
      <c r="D995" s="13"/>
      <c r="E995" s="13"/>
      <c r="F995" s="13"/>
      <c r="G995" s="13"/>
      <c r="H995" s="13"/>
      <c r="I995" s="116"/>
      <c r="J995" s="156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spans="1:25" ht="14.25" customHeight="1">
      <c r="A996" s="13"/>
      <c r="B996" s="13"/>
      <c r="C996" s="13"/>
      <c r="D996" s="13"/>
      <c r="E996" s="13"/>
      <c r="F996" s="13"/>
      <c r="G996" s="13"/>
      <c r="H996" s="13"/>
      <c r="I996" s="116"/>
      <c r="J996" s="156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spans="1:25" ht="14.25" customHeight="1">
      <c r="A997" s="13"/>
      <c r="B997" s="13"/>
      <c r="C997" s="13"/>
      <c r="D997" s="13"/>
      <c r="E997" s="13"/>
      <c r="F997" s="13"/>
      <c r="G997" s="13"/>
      <c r="H997" s="13"/>
      <c r="I997" s="116"/>
      <c r="J997" s="156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spans="1:25" ht="14.25" customHeight="1">
      <c r="A998" s="13"/>
      <c r="B998" s="13"/>
      <c r="C998" s="13"/>
      <c r="D998" s="13"/>
      <c r="E998" s="13"/>
      <c r="F998" s="13"/>
      <c r="G998" s="13"/>
      <c r="H998" s="13"/>
      <c r="I998" s="116"/>
      <c r="J998" s="156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spans="1:25" ht="14.25" customHeight="1">
      <c r="A999" s="13"/>
      <c r="B999" s="13"/>
      <c r="C999" s="13"/>
      <c r="D999" s="13"/>
      <c r="E999" s="13"/>
      <c r="F999" s="13"/>
      <c r="G999" s="13"/>
      <c r="H999" s="13"/>
      <c r="I999" s="116"/>
      <c r="J999" s="156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spans="1:25" ht="14.25" customHeight="1">
      <c r="A1000" s="13"/>
      <c r="B1000" s="13"/>
      <c r="C1000" s="13"/>
      <c r="D1000" s="13"/>
      <c r="E1000" s="13"/>
      <c r="F1000" s="13"/>
      <c r="G1000" s="13"/>
      <c r="H1000" s="13"/>
      <c r="I1000" s="116"/>
      <c r="J1000" s="156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</sheetData>
  <autoFilter ref="A2:J177" xr:uid="{00000000-0009-0000-0000-000006000000}"/>
  <mergeCells count="1">
    <mergeCell ref="A1:H1"/>
  </mergeCells>
  <dataValidations count="1">
    <dataValidation type="list" allowBlank="1" showErrorMessage="1" sqref="F3:F176" xr:uid="{00000000-0002-0000-0600-000000000000}">
      <formula1>"Адмиралтейский,Василеостровский,Выборгский,Калининский,Кировский,Колпинский,Комитет,Красногвардейский,Красносельский,Курортный,Московский,Невский,Петроградский,Приморский,Пушкинский,Фрунзенский,Центральный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/>
  </sheetViews>
  <sheetFormatPr defaultColWidth="12.5703125" defaultRowHeight="15" customHeight="1"/>
  <cols>
    <col min="1" max="1" width="5.140625" customWidth="1"/>
    <col min="2" max="2" width="6.28515625" customWidth="1"/>
    <col min="3" max="3" width="11.5703125" customWidth="1"/>
    <col min="4" max="4" width="13.140625" customWidth="1"/>
    <col min="5" max="5" width="10.5703125" customWidth="1"/>
    <col min="6" max="6" width="17.5703125" customWidth="1"/>
    <col min="7" max="7" width="11.28515625" customWidth="1"/>
    <col min="8" max="8" width="24.7109375" customWidth="1"/>
    <col min="9" max="9" width="14.42578125" customWidth="1"/>
    <col min="10" max="10" width="18.42578125" customWidth="1"/>
    <col min="11" max="29" width="11.5703125" customWidth="1"/>
  </cols>
  <sheetData>
    <row r="1" spans="1:29" ht="14.25" customHeight="1">
      <c r="A1" s="179" t="s">
        <v>681</v>
      </c>
      <c r="B1" s="180"/>
      <c r="C1" s="180"/>
      <c r="D1" s="180"/>
      <c r="E1" s="180"/>
      <c r="F1" s="180"/>
      <c r="G1" s="180"/>
      <c r="H1" s="181"/>
      <c r="I1" s="143"/>
      <c r="J1" s="144"/>
      <c r="Z1" s="160"/>
      <c r="AA1" s="160"/>
      <c r="AB1" s="160"/>
      <c r="AC1" s="160"/>
    </row>
    <row r="2" spans="1:29" ht="14.25" customHeight="1">
      <c r="A2" s="16" t="s">
        <v>11</v>
      </c>
      <c r="B2" s="16" t="s">
        <v>13</v>
      </c>
      <c r="C2" s="16" t="s">
        <v>14</v>
      </c>
      <c r="D2" s="16" t="s">
        <v>15</v>
      </c>
      <c r="E2" s="16" t="s">
        <v>16</v>
      </c>
      <c r="F2" s="16" t="s">
        <v>17</v>
      </c>
      <c r="G2" s="16" t="s">
        <v>18</v>
      </c>
      <c r="H2" s="16" t="s">
        <v>9</v>
      </c>
      <c r="I2" s="117" t="s">
        <v>19</v>
      </c>
      <c r="J2" s="19" t="s">
        <v>24</v>
      </c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</row>
    <row r="3" spans="1:29" ht="14.25" customHeight="1">
      <c r="A3" s="23">
        <v>1</v>
      </c>
      <c r="B3" s="23" t="s">
        <v>684</v>
      </c>
      <c r="C3" s="23">
        <v>1</v>
      </c>
      <c r="D3" s="25">
        <v>10.9</v>
      </c>
      <c r="E3" s="25">
        <v>12.3</v>
      </c>
      <c r="F3" s="23" t="s">
        <v>150</v>
      </c>
      <c r="G3" s="41" t="s">
        <v>104</v>
      </c>
      <c r="H3" s="150" t="s">
        <v>686</v>
      </c>
      <c r="I3" s="127"/>
      <c r="J3" s="15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</row>
    <row r="4" spans="1:29" ht="14.25" customHeight="1">
      <c r="A4" s="23">
        <v>2</v>
      </c>
      <c r="B4" s="23" t="s">
        <v>684</v>
      </c>
      <c r="C4" s="23">
        <v>2</v>
      </c>
      <c r="D4" s="25">
        <v>7.1</v>
      </c>
      <c r="E4" s="25" t="s">
        <v>61</v>
      </c>
      <c r="F4" s="23" t="s">
        <v>150</v>
      </c>
      <c r="G4" s="41" t="s">
        <v>104</v>
      </c>
      <c r="H4" s="150" t="s">
        <v>686</v>
      </c>
      <c r="I4" s="127"/>
      <c r="J4" s="15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</row>
    <row r="5" spans="1:29" ht="14.25" customHeight="1">
      <c r="A5" s="23">
        <v>3</v>
      </c>
      <c r="B5" s="23" t="s">
        <v>684</v>
      </c>
      <c r="C5" s="23">
        <v>3</v>
      </c>
      <c r="D5" s="25">
        <v>13.2</v>
      </c>
      <c r="E5" s="25" t="s">
        <v>61</v>
      </c>
      <c r="F5" s="23" t="s">
        <v>150</v>
      </c>
      <c r="G5" s="41" t="s">
        <v>104</v>
      </c>
      <c r="H5" s="150" t="s">
        <v>61</v>
      </c>
      <c r="I5" s="127"/>
      <c r="J5" s="15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</row>
    <row r="6" spans="1:29" ht="14.25" customHeight="1">
      <c r="A6" s="23">
        <v>4</v>
      </c>
      <c r="B6" s="23" t="s">
        <v>684</v>
      </c>
      <c r="C6" s="23">
        <v>4</v>
      </c>
      <c r="D6" s="25">
        <v>13</v>
      </c>
      <c r="E6" s="25">
        <v>9.1999999999999993</v>
      </c>
      <c r="F6" s="23" t="s">
        <v>150</v>
      </c>
      <c r="G6" s="41" t="s">
        <v>104</v>
      </c>
      <c r="H6" s="150" t="s">
        <v>61</v>
      </c>
      <c r="I6" s="127"/>
      <c r="J6" s="15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</row>
    <row r="7" spans="1:29" ht="14.25" customHeight="1">
      <c r="A7" s="23">
        <v>5</v>
      </c>
      <c r="B7" s="23" t="s">
        <v>684</v>
      </c>
      <c r="C7" s="23">
        <v>5</v>
      </c>
      <c r="D7" s="25">
        <v>12.3</v>
      </c>
      <c r="E7" s="25" t="s">
        <v>61</v>
      </c>
      <c r="F7" s="23" t="s">
        <v>150</v>
      </c>
      <c r="G7" s="41" t="s">
        <v>104</v>
      </c>
      <c r="H7" s="150" t="s">
        <v>688</v>
      </c>
      <c r="I7" s="127"/>
      <c r="J7" s="15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</row>
    <row r="8" spans="1:29" ht="14.25" customHeight="1">
      <c r="A8" s="126">
        <v>6</v>
      </c>
      <c r="B8" s="126" t="s">
        <v>684</v>
      </c>
      <c r="C8" s="126">
        <v>6</v>
      </c>
      <c r="D8" s="129">
        <v>17</v>
      </c>
      <c r="E8" s="129" t="s">
        <v>61</v>
      </c>
      <c r="F8" s="126" t="s">
        <v>150</v>
      </c>
      <c r="G8" s="159" t="s">
        <v>104</v>
      </c>
      <c r="H8" s="162" t="s">
        <v>688</v>
      </c>
      <c r="I8" s="127"/>
      <c r="J8" s="162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</row>
    <row r="9" spans="1:29" ht="14.25" customHeight="1">
      <c r="A9" s="126">
        <v>7</v>
      </c>
      <c r="B9" s="126" t="s">
        <v>684</v>
      </c>
      <c r="C9" s="126">
        <v>7</v>
      </c>
      <c r="D9" s="129">
        <v>9.9</v>
      </c>
      <c r="E9" s="129" t="s">
        <v>61</v>
      </c>
      <c r="F9" s="126" t="s">
        <v>150</v>
      </c>
      <c r="G9" s="159" t="s">
        <v>104</v>
      </c>
      <c r="H9" s="162" t="s">
        <v>688</v>
      </c>
      <c r="I9" s="127"/>
      <c r="J9" s="162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</row>
    <row r="10" spans="1:29" ht="14.25" customHeight="1">
      <c r="A10" s="23">
        <v>8</v>
      </c>
      <c r="B10" s="23" t="s">
        <v>689</v>
      </c>
      <c r="C10" s="23">
        <v>3</v>
      </c>
      <c r="D10" s="25">
        <v>17.8</v>
      </c>
      <c r="E10" s="25">
        <v>11.5</v>
      </c>
      <c r="F10" s="23" t="s">
        <v>55</v>
      </c>
      <c r="G10" s="29" t="s">
        <v>54</v>
      </c>
      <c r="H10" s="150" t="s">
        <v>61</v>
      </c>
      <c r="I10" s="127"/>
      <c r="J10" s="15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</row>
    <row r="11" spans="1:29" ht="14.25" customHeight="1">
      <c r="A11" s="23">
        <v>9</v>
      </c>
      <c r="B11" s="23" t="s">
        <v>692</v>
      </c>
      <c r="C11" s="23">
        <v>1</v>
      </c>
      <c r="D11" s="25">
        <v>16.8</v>
      </c>
      <c r="E11" s="25">
        <v>10.7</v>
      </c>
      <c r="F11" s="23" t="s">
        <v>36</v>
      </c>
      <c r="G11" s="29" t="s">
        <v>54</v>
      </c>
      <c r="H11" s="150" t="s">
        <v>61</v>
      </c>
      <c r="I11" s="127"/>
      <c r="J11" s="15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</row>
    <row r="12" spans="1:29" ht="14.25" customHeight="1">
      <c r="A12" s="23">
        <v>10</v>
      </c>
      <c r="B12" s="23" t="s">
        <v>692</v>
      </c>
      <c r="C12" s="23">
        <v>2</v>
      </c>
      <c r="D12" s="25">
        <v>12.5</v>
      </c>
      <c r="E12" s="25">
        <v>10.6</v>
      </c>
      <c r="F12" s="23" t="s">
        <v>124</v>
      </c>
      <c r="G12" s="29" t="s">
        <v>54</v>
      </c>
      <c r="H12" s="150" t="s">
        <v>61</v>
      </c>
      <c r="I12" s="127"/>
      <c r="J12" s="15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</row>
    <row r="13" spans="1:29" ht="14.25" customHeight="1">
      <c r="A13" s="23">
        <v>11</v>
      </c>
      <c r="B13" s="23" t="s">
        <v>692</v>
      </c>
      <c r="C13" s="23">
        <v>3</v>
      </c>
      <c r="D13" s="25">
        <v>16.7</v>
      </c>
      <c r="E13" s="25" t="s">
        <v>61</v>
      </c>
      <c r="F13" s="23" t="s">
        <v>88</v>
      </c>
      <c r="G13" s="111" t="s">
        <v>104</v>
      </c>
      <c r="H13" s="150" t="s">
        <v>61</v>
      </c>
      <c r="I13" s="127"/>
      <c r="J13" s="15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</row>
    <row r="14" spans="1:29" ht="14.25" customHeight="1">
      <c r="A14" s="23">
        <v>12</v>
      </c>
      <c r="B14" s="23" t="s">
        <v>693</v>
      </c>
      <c r="C14" s="23">
        <v>2</v>
      </c>
      <c r="D14" s="25">
        <v>12.4</v>
      </c>
      <c r="E14" s="25">
        <v>10.6</v>
      </c>
      <c r="F14" s="23" t="s">
        <v>36</v>
      </c>
      <c r="G14" s="111" t="s">
        <v>104</v>
      </c>
      <c r="H14" s="150" t="s">
        <v>61</v>
      </c>
      <c r="I14" s="127"/>
      <c r="J14" s="15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</row>
    <row r="15" spans="1:29" ht="14.25" customHeight="1">
      <c r="A15" s="23">
        <v>13</v>
      </c>
      <c r="B15" s="23" t="s">
        <v>693</v>
      </c>
      <c r="C15" s="23">
        <v>3</v>
      </c>
      <c r="D15" s="25">
        <v>17.8</v>
      </c>
      <c r="E15" s="25">
        <v>10.9</v>
      </c>
      <c r="F15" s="23" t="s">
        <v>77</v>
      </c>
      <c r="G15" s="29" t="s">
        <v>54</v>
      </c>
      <c r="H15" s="150" t="s">
        <v>61</v>
      </c>
      <c r="I15" s="127"/>
      <c r="J15" s="15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</row>
    <row r="16" spans="1:29" ht="14.25" customHeight="1">
      <c r="A16" s="23">
        <v>14</v>
      </c>
      <c r="B16" s="23" t="s">
        <v>695</v>
      </c>
      <c r="C16" s="23">
        <v>1</v>
      </c>
      <c r="D16" s="25">
        <v>17.5</v>
      </c>
      <c r="E16" s="25" t="s">
        <v>61</v>
      </c>
      <c r="F16" s="26" t="s">
        <v>55</v>
      </c>
      <c r="G16" s="29" t="s">
        <v>54</v>
      </c>
      <c r="H16" s="150" t="s">
        <v>61</v>
      </c>
      <c r="I16" s="122" t="s">
        <v>696</v>
      </c>
      <c r="J16" s="15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</row>
    <row r="17" spans="1:29" ht="14.25" customHeight="1">
      <c r="A17" s="23">
        <v>15</v>
      </c>
      <c r="B17" s="23" t="s">
        <v>695</v>
      </c>
      <c r="C17" s="23">
        <v>2</v>
      </c>
      <c r="D17" s="25">
        <v>12.7</v>
      </c>
      <c r="E17" s="25">
        <v>11</v>
      </c>
      <c r="F17" s="23" t="s">
        <v>89</v>
      </c>
      <c r="G17" s="29" t="s">
        <v>54</v>
      </c>
      <c r="H17" s="150" t="s">
        <v>61</v>
      </c>
      <c r="I17" s="127"/>
      <c r="J17" s="15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</row>
    <row r="18" spans="1:29" ht="14.25" customHeight="1">
      <c r="A18" s="23">
        <v>16</v>
      </c>
      <c r="B18" s="23" t="s">
        <v>695</v>
      </c>
      <c r="C18" s="23">
        <v>3</v>
      </c>
      <c r="D18" s="25">
        <v>13.3</v>
      </c>
      <c r="E18" s="25">
        <v>10.8</v>
      </c>
      <c r="F18" s="23" t="s">
        <v>55</v>
      </c>
      <c r="G18" s="29" t="s">
        <v>54</v>
      </c>
      <c r="H18" s="150" t="s">
        <v>61</v>
      </c>
      <c r="I18" s="127"/>
      <c r="J18" s="15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</row>
    <row r="19" spans="1:29" ht="14.25" customHeight="1">
      <c r="A19" s="23">
        <v>17</v>
      </c>
      <c r="B19" s="23" t="s">
        <v>697</v>
      </c>
      <c r="C19" s="23">
        <v>1</v>
      </c>
      <c r="D19" s="25">
        <v>10.7</v>
      </c>
      <c r="E19" s="25" t="s">
        <v>61</v>
      </c>
      <c r="F19" s="23" t="s">
        <v>55</v>
      </c>
      <c r="G19" s="29" t="s">
        <v>54</v>
      </c>
      <c r="H19" s="150" t="s">
        <v>699</v>
      </c>
      <c r="I19" s="127"/>
      <c r="J19" s="15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</row>
    <row r="20" spans="1:29" ht="14.25" customHeight="1">
      <c r="A20" s="23">
        <v>18</v>
      </c>
      <c r="B20" s="23" t="s">
        <v>697</v>
      </c>
      <c r="C20" s="23">
        <v>2</v>
      </c>
      <c r="D20" s="25">
        <v>16.399999999999999</v>
      </c>
      <c r="E20" s="25" t="s">
        <v>61</v>
      </c>
      <c r="F20" s="23" t="s">
        <v>55</v>
      </c>
      <c r="G20" s="29" t="s">
        <v>54</v>
      </c>
      <c r="H20" s="150" t="s">
        <v>699</v>
      </c>
      <c r="I20" s="127"/>
      <c r="J20" s="15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</row>
    <row r="21" spans="1:29" ht="14.25" customHeight="1">
      <c r="A21" s="23">
        <v>19</v>
      </c>
      <c r="B21" s="23" t="s">
        <v>697</v>
      </c>
      <c r="C21" s="23">
        <v>3</v>
      </c>
      <c r="D21" s="25">
        <v>9.6</v>
      </c>
      <c r="E21" s="25">
        <v>12.9</v>
      </c>
      <c r="F21" s="23" t="s">
        <v>55</v>
      </c>
      <c r="G21" s="29" t="s">
        <v>54</v>
      </c>
      <c r="H21" s="150" t="s">
        <v>700</v>
      </c>
      <c r="I21" s="127"/>
      <c r="J21" s="15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</row>
    <row r="22" spans="1:29" ht="14.25" customHeight="1">
      <c r="A22" s="69"/>
      <c r="B22" s="69"/>
      <c r="C22" s="69"/>
      <c r="D22" s="155">
        <f t="shared" ref="D22:E22" si="0">SUM(D3:D21)</f>
        <v>257.60000000000002</v>
      </c>
      <c r="E22" s="155">
        <f t="shared" si="0"/>
        <v>110.50000000000001</v>
      </c>
      <c r="F22" s="69"/>
      <c r="G22" s="69"/>
      <c r="H22" s="150"/>
      <c r="I22" s="127"/>
      <c r="J22" s="15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</row>
    <row r="23" spans="1:29" ht="14.25" customHeight="1">
      <c r="A23" s="160"/>
      <c r="B23" s="160"/>
      <c r="C23" s="160"/>
      <c r="D23" s="160"/>
      <c r="E23" s="160"/>
      <c r="F23" s="160"/>
      <c r="G23" s="160"/>
      <c r="H23" s="163"/>
      <c r="I23" s="164"/>
      <c r="J23" s="163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</row>
    <row r="24" spans="1:29" ht="14.25" customHeight="1">
      <c r="A24" s="160"/>
      <c r="B24" s="160"/>
      <c r="C24" s="160"/>
      <c r="D24" s="160"/>
      <c r="E24" s="160"/>
      <c r="F24" s="160"/>
      <c r="G24" s="160"/>
      <c r="H24" s="163"/>
      <c r="I24" s="164"/>
      <c r="J24" s="163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</row>
    <row r="25" spans="1:29" ht="14.25" customHeight="1">
      <c r="A25" s="160"/>
      <c r="B25" s="160"/>
      <c r="C25" s="160"/>
      <c r="D25" s="160"/>
      <c r="E25" s="160"/>
      <c r="F25" s="160"/>
      <c r="G25" s="160"/>
      <c r="H25" s="163"/>
      <c r="I25" s="164"/>
      <c r="J25" s="163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</row>
    <row r="26" spans="1:29" ht="14.25" customHeight="1">
      <c r="A26" s="160"/>
      <c r="B26" s="160"/>
      <c r="C26" s="160"/>
      <c r="D26" s="160"/>
      <c r="E26" s="160"/>
      <c r="F26" s="160"/>
      <c r="G26" s="160"/>
      <c r="H26" s="163"/>
      <c r="I26" s="164"/>
      <c r="J26" s="163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</row>
    <row r="27" spans="1:29" ht="14.25" customHeight="1">
      <c r="A27" s="160"/>
      <c r="B27" s="160"/>
      <c r="C27" s="160"/>
      <c r="D27" s="160"/>
      <c r="E27" s="160"/>
      <c r="F27" s="160"/>
      <c r="G27" s="160"/>
      <c r="H27" s="163"/>
      <c r="I27" s="164"/>
      <c r="J27" s="163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</row>
    <row r="28" spans="1:29" ht="14.25" customHeight="1">
      <c r="A28" s="160"/>
      <c r="B28" s="160"/>
      <c r="C28" s="160"/>
      <c r="D28" s="160"/>
      <c r="E28" s="160"/>
      <c r="F28" s="160"/>
      <c r="G28" s="160"/>
      <c r="H28" s="163"/>
      <c r="I28" s="164"/>
      <c r="J28" s="163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</row>
    <row r="29" spans="1:29" ht="14.25" customHeight="1">
      <c r="A29" s="160"/>
      <c r="B29" s="160"/>
      <c r="C29" s="160"/>
      <c r="D29" s="160"/>
      <c r="E29" s="160"/>
      <c r="F29" s="160"/>
      <c r="G29" s="160"/>
      <c r="H29" s="163"/>
      <c r="I29" s="164"/>
      <c r="J29" s="163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</row>
    <row r="30" spans="1:29" ht="14.25" customHeight="1">
      <c r="A30" s="160"/>
      <c r="B30" s="160"/>
      <c r="C30" s="160"/>
      <c r="D30" s="160"/>
      <c r="E30" s="160"/>
      <c r="F30" s="160"/>
      <c r="G30" s="160"/>
      <c r="H30" s="163"/>
      <c r="I30" s="164"/>
      <c r="J30" s="163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</row>
    <row r="31" spans="1:29" ht="14.25" customHeight="1">
      <c r="A31" s="160"/>
      <c r="B31" s="160"/>
      <c r="C31" s="160"/>
      <c r="D31" s="160"/>
      <c r="E31" s="160"/>
      <c r="F31" s="160"/>
      <c r="G31" s="160"/>
      <c r="H31" s="163"/>
      <c r="I31" s="164"/>
      <c r="J31" s="163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</row>
    <row r="32" spans="1:29" ht="14.25" customHeight="1">
      <c r="A32" s="160"/>
      <c r="B32" s="160"/>
      <c r="C32" s="160"/>
      <c r="D32" s="160"/>
      <c r="E32" s="160"/>
      <c r="F32" s="160"/>
      <c r="G32" s="160"/>
      <c r="H32" s="163"/>
      <c r="I32" s="164"/>
      <c r="J32" s="163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</row>
    <row r="33" spans="1:29" ht="14.25" customHeight="1">
      <c r="A33" s="160"/>
      <c r="B33" s="160"/>
      <c r="C33" s="160"/>
      <c r="D33" s="160"/>
      <c r="E33" s="160"/>
      <c r="F33" s="160"/>
      <c r="G33" s="160"/>
      <c r="H33" s="163"/>
      <c r="I33" s="164"/>
      <c r="J33" s="163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</row>
    <row r="34" spans="1:29" ht="14.25" customHeight="1">
      <c r="A34" s="160"/>
      <c r="B34" s="160"/>
      <c r="C34" s="160"/>
      <c r="D34" s="160"/>
      <c r="E34" s="160"/>
      <c r="F34" s="160"/>
      <c r="G34" s="160"/>
      <c r="H34" s="163"/>
      <c r="I34" s="164"/>
      <c r="J34" s="163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spans="1:29" ht="14.25" customHeight="1">
      <c r="A35" s="160"/>
      <c r="B35" s="160"/>
      <c r="C35" s="160"/>
      <c r="D35" s="160"/>
      <c r="E35" s="160"/>
      <c r="F35" s="160"/>
      <c r="G35" s="160"/>
      <c r="H35" s="163"/>
      <c r="I35" s="164"/>
      <c r="J35" s="163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spans="1:29" ht="14.25" customHeight="1">
      <c r="A36" s="160"/>
      <c r="B36" s="160"/>
      <c r="C36" s="160"/>
      <c r="D36" s="160"/>
      <c r="E36" s="160"/>
      <c r="F36" s="160"/>
      <c r="G36" s="160"/>
      <c r="H36" s="163"/>
      <c r="I36" s="164"/>
      <c r="J36" s="163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spans="1:29" ht="14.25" customHeight="1">
      <c r="A37" s="160"/>
      <c r="B37" s="160"/>
      <c r="C37" s="160"/>
      <c r="D37" s="160"/>
      <c r="E37" s="160"/>
      <c r="F37" s="160"/>
      <c r="G37" s="160"/>
      <c r="H37" s="163"/>
      <c r="I37" s="164"/>
      <c r="J37" s="163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</row>
    <row r="38" spans="1:29" ht="14.25" customHeight="1">
      <c r="A38" s="160"/>
      <c r="B38" s="160"/>
      <c r="C38" s="160"/>
      <c r="D38" s="160"/>
      <c r="E38" s="160"/>
      <c r="F38" s="160"/>
      <c r="G38" s="160"/>
      <c r="H38" s="163"/>
      <c r="I38" s="164"/>
      <c r="J38" s="163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</row>
    <row r="39" spans="1:29" ht="14.25" customHeight="1">
      <c r="A39" s="160"/>
      <c r="B39" s="160"/>
      <c r="C39" s="160"/>
      <c r="D39" s="160"/>
      <c r="E39" s="160"/>
      <c r="F39" s="160"/>
      <c r="G39" s="160"/>
      <c r="H39" s="163"/>
      <c r="I39" s="164"/>
      <c r="J39" s="163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</row>
    <row r="40" spans="1:29" ht="14.25" customHeight="1">
      <c r="A40" s="160"/>
      <c r="B40" s="160"/>
      <c r="C40" s="160"/>
      <c r="D40" s="160"/>
      <c r="E40" s="160"/>
      <c r="F40" s="160"/>
      <c r="G40" s="160"/>
      <c r="H40" s="163"/>
      <c r="I40" s="164"/>
      <c r="J40" s="163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</row>
    <row r="41" spans="1:29" ht="14.25" customHeight="1">
      <c r="A41" s="160"/>
      <c r="B41" s="160"/>
      <c r="C41" s="160"/>
      <c r="D41" s="160"/>
      <c r="E41" s="160"/>
      <c r="F41" s="160"/>
      <c r="G41" s="160"/>
      <c r="H41" s="163"/>
      <c r="I41" s="164"/>
      <c r="J41" s="163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</row>
    <row r="42" spans="1:29" ht="14.25" customHeight="1">
      <c r="A42" s="160"/>
      <c r="B42" s="160"/>
      <c r="C42" s="160"/>
      <c r="D42" s="160"/>
      <c r="E42" s="160"/>
      <c r="F42" s="160"/>
      <c r="G42" s="160"/>
      <c r="H42" s="163"/>
      <c r="I42" s="164"/>
      <c r="J42" s="163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</row>
    <row r="43" spans="1:29" ht="14.25" customHeight="1">
      <c r="A43" s="160"/>
      <c r="B43" s="160"/>
      <c r="C43" s="160"/>
      <c r="D43" s="160"/>
      <c r="E43" s="160"/>
      <c r="F43" s="160"/>
      <c r="G43" s="160"/>
      <c r="H43" s="163"/>
      <c r="I43" s="164"/>
      <c r="J43" s="163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</row>
    <row r="44" spans="1:29" ht="14.25" customHeight="1">
      <c r="A44" s="160"/>
      <c r="B44" s="160"/>
      <c r="C44" s="160"/>
      <c r="D44" s="160"/>
      <c r="E44" s="160"/>
      <c r="F44" s="160"/>
      <c r="G44" s="160"/>
      <c r="H44" s="163"/>
      <c r="I44" s="164"/>
      <c r="J44" s="163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</row>
    <row r="45" spans="1:29" ht="14.25" customHeight="1">
      <c r="A45" s="160"/>
      <c r="B45" s="160"/>
      <c r="C45" s="160"/>
      <c r="D45" s="160"/>
      <c r="E45" s="160"/>
      <c r="F45" s="160"/>
      <c r="G45" s="160"/>
      <c r="H45" s="163"/>
      <c r="I45" s="164"/>
      <c r="J45" s="163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</row>
    <row r="46" spans="1:29" ht="14.25" customHeight="1">
      <c r="A46" s="160"/>
      <c r="B46" s="160"/>
      <c r="C46" s="160"/>
      <c r="D46" s="160"/>
      <c r="E46" s="160"/>
      <c r="F46" s="160"/>
      <c r="G46" s="160"/>
      <c r="H46" s="163"/>
      <c r="I46" s="164"/>
      <c r="J46" s="163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</row>
    <row r="47" spans="1:29" ht="14.25" customHeight="1">
      <c r="A47" s="160"/>
      <c r="B47" s="160"/>
      <c r="C47" s="160"/>
      <c r="D47" s="160"/>
      <c r="E47" s="160"/>
      <c r="F47" s="160"/>
      <c r="G47" s="160"/>
      <c r="H47" s="163"/>
      <c r="I47" s="164"/>
      <c r="J47" s="163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</row>
    <row r="48" spans="1:29" ht="14.25" customHeight="1">
      <c r="A48" s="160"/>
      <c r="B48" s="160"/>
      <c r="C48" s="160"/>
      <c r="D48" s="160"/>
      <c r="E48" s="160"/>
      <c r="F48" s="160"/>
      <c r="G48" s="160"/>
      <c r="H48" s="163"/>
      <c r="I48" s="164"/>
      <c r="J48" s="163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</row>
    <row r="49" spans="1:29" ht="14.25" customHeight="1">
      <c r="A49" s="160"/>
      <c r="B49" s="160"/>
      <c r="C49" s="160"/>
      <c r="D49" s="160"/>
      <c r="E49" s="160"/>
      <c r="F49" s="160"/>
      <c r="G49" s="160"/>
      <c r="H49" s="163"/>
      <c r="I49" s="164"/>
      <c r="J49" s="163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</row>
    <row r="50" spans="1:29" ht="14.25" customHeight="1">
      <c r="A50" s="160"/>
      <c r="B50" s="160"/>
      <c r="C50" s="160"/>
      <c r="D50" s="160"/>
      <c r="E50" s="160"/>
      <c r="F50" s="160"/>
      <c r="G50" s="160"/>
      <c r="H50" s="163"/>
      <c r="I50" s="164"/>
      <c r="J50" s="163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</row>
    <row r="51" spans="1:29" ht="14.25" customHeight="1">
      <c r="A51" s="160"/>
      <c r="B51" s="160"/>
      <c r="C51" s="160"/>
      <c r="D51" s="160"/>
      <c r="E51" s="160"/>
      <c r="F51" s="160"/>
      <c r="G51" s="160"/>
      <c r="H51" s="163"/>
      <c r="I51" s="164"/>
      <c r="J51" s="163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</row>
    <row r="52" spans="1:29" ht="14.25" customHeight="1">
      <c r="A52" s="160"/>
      <c r="B52" s="160"/>
      <c r="C52" s="160"/>
      <c r="D52" s="160"/>
      <c r="E52" s="160"/>
      <c r="F52" s="160"/>
      <c r="G52" s="160"/>
      <c r="H52" s="163"/>
      <c r="I52" s="164"/>
      <c r="J52" s="163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</row>
    <row r="53" spans="1:29" ht="14.25" customHeight="1">
      <c r="A53" s="160"/>
      <c r="B53" s="160"/>
      <c r="C53" s="160"/>
      <c r="D53" s="160"/>
      <c r="E53" s="160"/>
      <c r="F53" s="160"/>
      <c r="G53" s="160"/>
      <c r="H53" s="163"/>
      <c r="I53" s="164"/>
      <c r="J53" s="163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</row>
    <row r="54" spans="1:29" ht="14.25" customHeight="1">
      <c r="A54" s="160"/>
      <c r="B54" s="160"/>
      <c r="C54" s="160"/>
      <c r="D54" s="160"/>
      <c r="E54" s="160"/>
      <c r="F54" s="160"/>
      <c r="G54" s="160"/>
      <c r="H54" s="163"/>
      <c r="I54" s="164"/>
      <c r="J54" s="163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</row>
    <row r="55" spans="1:29" ht="14.25" customHeight="1">
      <c r="A55" s="160"/>
      <c r="B55" s="160"/>
      <c r="C55" s="160"/>
      <c r="D55" s="160"/>
      <c r="E55" s="160"/>
      <c r="F55" s="160"/>
      <c r="G55" s="160"/>
      <c r="H55" s="163"/>
      <c r="I55" s="164"/>
      <c r="J55" s="163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</row>
    <row r="56" spans="1:29" ht="14.25" customHeight="1">
      <c r="A56" s="160"/>
      <c r="B56" s="160"/>
      <c r="C56" s="160"/>
      <c r="D56" s="160"/>
      <c r="E56" s="160"/>
      <c r="F56" s="160"/>
      <c r="G56" s="160"/>
      <c r="H56" s="163"/>
      <c r="I56" s="164"/>
      <c r="J56" s="163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</row>
    <row r="57" spans="1:29" ht="14.25" customHeight="1">
      <c r="A57" s="160"/>
      <c r="B57" s="160"/>
      <c r="C57" s="160"/>
      <c r="D57" s="160"/>
      <c r="E57" s="160"/>
      <c r="F57" s="160"/>
      <c r="G57" s="160"/>
      <c r="H57" s="163"/>
      <c r="I57" s="164"/>
      <c r="J57" s="163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</row>
    <row r="58" spans="1:29" ht="14.25" customHeight="1">
      <c r="A58" s="160"/>
      <c r="B58" s="160"/>
      <c r="C58" s="160"/>
      <c r="D58" s="160"/>
      <c r="E58" s="160"/>
      <c r="F58" s="160"/>
      <c r="G58" s="160"/>
      <c r="H58" s="163"/>
      <c r="I58" s="164"/>
      <c r="J58" s="163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</row>
    <row r="59" spans="1:29" ht="14.25" customHeight="1">
      <c r="A59" s="160"/>
      <c r="B59" s="160"/>
      <c r="C59" s="160"/>
      <c r="D59" s="160"/>
      <c r="E59" s="160"/>
      <c r="F59" s="160"/>
      <c r="G59" s="160"/>
      <c r="H59" s="163"/>
      <c r="I59" s="164"/>
      <c r="J59" s="163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</row>
    <row r="60" spans="1:29" ht="14.25" customHeight="1">
      <c r="A60" s="160"/>
      <c r="B60" s="160"/>
      <c r="C60" s="160"/>
      <c r="D60" s="160"/>
      <c r="E60" s="160"/>
      <c r="F60" s="160"/>
      <c r="G60" s="160"/>
      <c r="H60" s="163"/>
      <c r="I60" s="164"/>
      <c r="J60" s="163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</row>
    <row r="61" spans="1:29" ht="14.25" customHeight="1">
      <c r="A61" s="160"/>
      <c r="B61" s="160"/>
      <c r="C61" s="160"/>
      <c r="D61" s="160"/>
      <c r="E61" s="160"/>
      <c r="F61" s="160"/>
      <c r="G61" s="160"/>
      <c r="H61" s="163"/>
      <c r="I61" s="164"/>
      <c r="J61" s="163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</row>
    <row r="62" spans="1:29" ht="14.25" customHeight="1">
      <c r="A62" s="160"/>
      <c r="B62" s="160"/>
      <c r="C62" s="160"/>
      <c r="D62" s="160"/>
      <c r="E62" s="160"/>
      <c r="F62" s="160"/>
      <c r="G62" s="160"/>
      <c r="H62" s="163"/>
      <c r="I62" s="164"/>
      <c r="J62" s="163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</row>
    <row r="63" spans="1:29" ht="14.25" customHeight="1">
      <c r="A63" s="160"/>
      <c r="B63" s="160"/>
      <c r="C63" s="160"/>
      <c r="D63" s="160"/>
      <c r="E63" s="160"/>
      <c r="F63" s="160"/>
      <c r="G63" s="160"/>
      <c r="H63" s="163"/>
      <c r="I63" s="164"/>
      <c r="J63" s="163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</row>
    <row r="64" spans="1:29" ht="14.25" customHeight="1">
      <c r="A64" s="160"/>
      <c r="B64" s="160"/>
      <c r="C64" s="160"/>
      <c r="D64" s="160"/>
      <c r="E64" s="160"/>
      <c r="F64" s="160"/>
      <c r="G64" s="160"/>
      <c r="H64" s="163"/>
      <c r="I64" s="164"/>
      <c r="J64" s="163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</row>
    <row r="65" spans="1:29" ht="14.25" customHeight="1">
      <c r="A65" s="160"/>
      <c r="B65" s="160"/>
      <c r="C65" s="160"/>
      <c r="D65" s="160"/>
      <c r="E65" s="160"/>
      <c r="F65" s="160"/>
      <c r="G65" s="160"/>
      <c r="H65" s="163"/>
      <c r="I65" s="164"/>
      <c r="J65" s="163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</row>
    <row r="66" spans="1:29" ht="14.25" customHeight="1">
      <c r="A66" s="160"/>
      <c r="B66" s="160"/>
      <c r="C66" s="160"/>
      <c r="D66" s="160"/>
      <c r="E66" s="160"/>
      <c r="F66" s="160"/>
      <c r="G66" s="160"/>
      <c r="H66" s="163"/>
      <c r="I66" s="164"/>
      <c r="J66" s="163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</row>
    <row r="67" spans="1:29" ht="14.25" customHeight="1">
      <c r="A67" s="160"/>
      <c r="B67" s="160"/>
      <c r="C67" s="160"/>
      <c r="D67" s="160"/>
      <c r="E67" s="160"/>
      <c r="F67" s="160"/>
      <c r="G67" s="160"/>
      <c r="H67" s="163"/>
      <c r="I67" s="164"/>
      <c r="J67" s="163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</row>
    <row r="68" spans="1:29" ht="14.25" customHeight="1">
      <c r="A68" s="160"/>
      <c r="B68" s="160"/>
      <c r="C68" s="160"/>
      <c r="D68" s="160"/>
      <c r="E68" s="160"/>
      <c r="F68" s="160"/>
      <c r="G68" s="160"/>
      <c r="H68" s="163"/>
      <c r="I68" s="164"/>
      <c r="J68" s="163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</row>
    <row r="69" spans="1:29" ht="14.25" customHeight="1">
      <c r="A69" s="160"/>
      <c r="B69" s="160"/>
      <c r="C69" s="160"/>
      <c r="D69" s="160"/>
      <c r="E69" s="160"/>
      <c r="F69" s="160"/>
      <c r="G69" s="160"/>
      <c r="H69" s="163"/>
      <c r="I69" s="164"/>
      <c r="J69" s="163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</row>
    <row r="70" spans="1:29" ht="14.25" customHeight="1">
      <c r="A70" s="160"/>
      <c r="B70" s="160"/>
      <c r="C70" s="160"/>
      <c r="D70" s="160"/>
      <c r="E70" s="160"/>
      <c r="F70" s="160"/>
      <c r="G70" s="160"/>
      <c r="H70" s="163"/>
      <c r="I70" s="164"/>
      <c r="J70" s="163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</row>
    <row r="71" spans="1:29" ht="14.25" customHeight="1">
      <c r="A71" s="160"/>
      <c r="B71" s="160"/>
      <c r="C71" s="160"/>
      <c r="D71" s="160"/>
      <c r="E71" s="160"/>
      <c r="F71" s="160"/>
      <c r="G71" s="160"/>
      <c r="H71" s="163"/>
      <c r="I71" s="164"/>
      <c r="J71" s="163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</row>
    <row r="72" spans="1:29" ht="14.25" customHeight="1">
      <c r="A72" s="160"/>
      <c r="B72" s="160"/>
      <c r="C72" s="160"/>
      <c r="D72" s="160"/>
      <c r="E72" s="160"/>
      <c r="F72" s="160"/>
      <c r="G72" s="160"/>
      <c r="H72" s="163"/>
      <c r="I72" s="164"/>
      <c r="J72" s="163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</row>
    <row r="73" spans="1:29" ht="14.25" customHeight="1">
      <c r="A73" s="160"/>
      <c r="B73" s="160"/>
      <c r="C73" s="160"/>
      <c r="D73" s="160"/>
      <c r="E73" s="160"/>
      <c r="F73" s="160"/>
      <c r="G73" s="160"/>
      <c r="H73" s="163"/>
      <c r="I73" s="164"/>
      <c r="J73" s="163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</row>
    <row r="74" spans="1:29" ht="14.25" customHeight="1">
      <c r="A74" s="160"/>
      <c r="B74" s="160"/>
      <c r="C74" s="160"/>
      <c r="D74" s="160"/>
      <c r="E74" s="160"/>
      <c r="F74" s="160"/>
      <c r="G74" s="160"/>
      <c r="H74" s="163"/>
      <c r="I74" s="164"/>
      <c r="J74" s="163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</row>
    <row r="75" spans="1:29" ht="14.25" customHeight="1">
      <c r="A75" s="160"/>
      <c r="B75" s="160"/>
      <c r="C75" s="160"/>
      <c r="D75" s="160"/>
      <c r="E75" s="160"/>
      <c r="F75" s="160"/>
      <c r="G75" s="160"/>
      <c r="H75" s="163"/>
      <c r="I75" s="164"/>
      <c r="J75" s="163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</row>
    <row r="76" spans="1:29" ht="14.25" customHeight="1">
      <c r="A76" s="160"/>
      <c r="B76" s="160"/>
      <c r="C76" s="160"/>
      <c r="D76" s="160"/>
      <c r="E76" s="160"/>
      <c r="F76" s="160"/>
      <c r="G76" s="160"/>
      <c r="H76" s="163"/>
      <c r="I76" s="164"/>
      <c r="J76" s="163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</row>
    <row r="77" spans="1:29" ht="14.25" customHeight="1">
      <c r="A77" s="160"/>
      <c r="B77" s="160"/>
      <c r="C77" s="160"/>
      <c r="D77" s="160"/>
      <c r="E77" s="160"/>
      <c r="F77" s="160"/>
      <c r="G77" s="160"/>
      <c r="H77" s="163"/>
      <c r="I77" s="164"/>
      <c r="J77" s="163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</row>
    <row r="78" spans="1:29" ht="14.25" customHeight="1">
      <c r="A78" s="160"/>
      <c r="B78" s="160"/>
      <c r="C78" s="160"/>
      <c r="D78" s="160"/>
      <c r="E78" s="160"/>
      <c r="F78" s="160"/>
      <c r="G78" s="160"/>
      <c r="H78" s="163"/>
      <c r="I78" s="164"/>
      <c r="J78" s="163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</row>
    <row r="79" spans="1:29" ht="14.25" customHeight="1">
      <c r="A79" s="160"/>
      <c r="B79" s="160"/>
      <c r="C79" s="160"/>
      <c r="D79" s="160"/>
      <c r="E79" s="160"/>
      <c r="F79" s="160"/>
      <c r="G79" s="160"/>
      <c r="H79" s="163"/>
      <c r="I79" s="164"/>
      <c r="J79" s="163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</row>
    <row r="80" spans="1:29" ht="14.25" customHeight="1">
      <c r="A80" s="160"/>
      <c r="B80" s="160"/>
      <c r="C80" s="160"/>
      <c r="D80" s="160"/>
      <c r="E80" s="160"/>
      <c r="F80" s="160"/>
      <c r="G80" s="160"/>
      <c r="H80" s="163"/>
      <c r="I80" s="164"/>
      <c r="J80" s="163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</row>
    <row r="81" spans="1:29" ht="14.25" customHeight="1">
      <c r="A81" s="160"/>
      <c r="B81" s="160"/>
      <c r="C81" s="160"/>
      <c r="D81" s="160"/>
      <c r="E81" s="160"/>
      <c r="F81" s="160"/>
      <c r="G81" s="160"/>
      <c r="H81" s="163"/>
      <c r="I81" s="164"/>
      <c r="J81" s="163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</row>
    <row r="82" spans="1:29" ht="14.25" customHeight="1">
      <c r="A82" s="160"/>
      <c r="B82" s="160"/>
      <c r="C82" s="160"/>
      <c r="D82" s="160"/>
      <c r="E82" s="160"/>
      <c r="F82" s="160"/>
      <c r="G82" s="160"/>
      <c r="H82" s="163"/>
      <c r="I82" s="164"/>
      <c r="J82" s="163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</row>
    <row r="83" spans="1:29" ht="14.25" customHeight="1">
      <c r="A83" s="160"/>
      <c r="B83" s="160"/>
      <c r="C83" s="160"/>
      <c r="D83" s="160"/>
      <c r="E83" s="160"/>
      <c r="F83" s="160"/>
      <c r="G83" s="160"/>
      <c r="H83" s="163"/>
      <c r="I83" s="164"/>
      <c r="J83" s="163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</row>
    <row r="84" spans="1:29" ht="14.25" customHeight="1">
      <c r="A84" s="160"/>
      <c r="B84" s="160"/>
      <c r="C84" s="160"/>
      <c r="D84" s="160"/>
      <c r="E84" s="160"/>
      <c r="F84" s="160"/>
      <c r="G84" s="160"/>
      <c r="H84" s="163"/>
      <c r="I84" s="164"/>
      <c r="J84" s="163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</row>
    <row r="85" spans="1:29" ht="14.25" customHeight="1">
      <c r="A85" s="160"/>
      <c r="B85" s="160"/>
      <c r="C85" s="160"/>
      <c r="D85" s="160"/>
      <c r="E85" s="160"/>
      <c r="F85" s="160"/>
      <c r="G85" s="160"/>
      <c r="H85" s="163"/>
      <c r="I85" s="164"/>
      <c r="J85" s="163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</row>
    <row r="86" spans="1:29" ht="14.25" customHeight="1">
      <c r="A86" s="160"/>
      <c r="B86" s="160"/>
      <c r="C86" s="160"/>
      <c r="D86" s="160"/>
      <c r="E86" s="160"/>
      <c r="F86" s="160"/>
      <c r="G86" s="160"/>
      <c r="H86" s="163"/>
      <c r="I86" s="164"/>
      <c r="J86" s="163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</row>
    <row r="87" spans="1:29" ht="14.25" customHeight="1">
      <c r="A87" s="160"/>
      <c r="B87" s="160"/>
      <c r="C87" s="160"/>
      <c r="D87" s="160"/>
      <c r="E87" s="160"/>
      <c r="F87" s="160"/>
      <c r="G87" s="160"/>
      <c r="H87" s="163"/>
      <c r="I87" s="164"/>
      <c r="J87" s="163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</row>
    <row r="88" spans="1:29" ht="14.25" customHeight="1">
      <c r="A88" s="160"/>
      <c r="B88" s="160"/>
      <c r="C88" s="160"/>
      <c r="D88" s="160"/>
      <c r="E88" s="160"/>
      <c r="F88" s="160"/>
      <c r="G88" s="160"/>
      <c r="H88" s="163"/>
      <c r="I88" s="164"/>
      <c r="J88" s="163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</row>
    <row r="89" spans="1:29" ht="14.25" customHeight="1">
      <c r="A89" s="160"/>
      <c r="B89" s="160"/>
      <c r="C89" s="160"/>
      <c r="D89" s="160"/>
      <c r="E89" s="160"/>
      <c r="F89" s="160"/>
      <c r="G89" s="160"/>
      <c r="H89" s="163"/>
      <c r="I89" s="164"/>
      <c r="J89" s="163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  <c r="AA89" s="160"/>
      <c r="AB89" s="160"/>
      <c r="AC89" s="160"/>
    </row>
    <row r="90" spans="1:29" ht="14.25" customHeight="1">
      <c r="A90" s="160"/>
      <c r="B90" s="160"/>
      <c r="C90" s="160"/>
      <c r="D90" s="160"/>
      <c r="E90" s="160"/>
      <c r="F90" s="160"/>
      <c r="G90" s="160"/>
      <c r="H90" s="163"/>
      <c r="I90" s="164"/>
      <c r="J90" s="163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</row>
    <row r="91" spans="1:29" ht="14.25" customHeight="1">
      <c r="A91" s="160"/>
      <c r="B91" s="160"/>
      <c r="C91" s="160"/>
      <c r="D91" s="160"/>
      <c r="E91" s="160"/>
      <c r="F91" s="160"/>
      <c r="G91" s="160"/>
      <c r="H91" s="163"/>
      <c r="I91" s="164"/>
      <c r="J91" s="163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</row>
    <row r="92" spans="1:29" ht="14.25" customHeight="1">
      <c r="A92" s="160"/>
      <c r="B92" s="160"/>
      <c r="C92" s="160"/>
      <c r="D92" s="160"/>
      <c r="E92" s="160"/>
      <c r="F92" s="160"/>
      <c r="G92" s="160"/>
      <c r="H92" s="163"/>
      <c r="I92" s="164"/>
      <c r="J92" s="163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</row>
    <row r="93" spans="1:29" ht="14.25" customHeight="1">
      <c r="A93" s="160"/>
      <c r="B93" s="160"/>
      <c r="C93" s="160"/>
      <c r="D93" s="160"/>
      <c r="E93" s="160"/>
      <c r="F93" s="160"/>
      <c r="G93" s="160"/>
      <c r="H93" s="163"/>
      <c r="I93" s="164"/>
      <c r="J93" s="163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</row>
    <row r="94" spans="1:29" ht="14.25" customHeight="1">
      <c r="A94" s="160"/>
      <c r="B94" s="160"/>
      <c r="C94" s="160"/>
      <c r="D94" s="160"/>
      <c r="E94" s="160"/>
      <c r="F94" s="160"/>
      <c r="G94" s="160"/>
      <c r="H94" s="163"/>
      <c r="I94" s="164"/>
      <c r="J94" s="163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</row>
    <row r="95" spans="1:29" ht="14.25" customHeight="1">
      <c r="A95" s="160"/>
      <c r="B95" s="160"/>
      <c r="C95" s="160"/>
      <c r="D95" s="160"/>
      <c r="E95" s="160"/>
      <c r="F95" s="160"/>
      <c r="G95" s="160"/>
      <c r="H95" s="163"/>
      <c r="I95" s="164"/>
      <c r="J95" s="163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</row>
    <row r="96" spans="1:29" ht="14.25" customHeight="1">
      <c r="A96" s="160"/>
      <c r="B96" s="160"/>
      <c r="C96" s="160"/>
      <c r="D96" s="160"/>
      <c r="E96" s="160"/>
      <c r="F96" s="160"/>
      <c r="G96" s="160"/>
      <c r="H96" s="163"/>
      <c r="I96" s="164"/>
      <c r="J96" s="163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</row>
    <row r="97" spans="1:29" ht="14.25" customHeight="1">
      <c r="A97" s="160"/>
      <c r="B97" s="160"/>
      <c r="C97" s="160"/>
      <c r="D97" s="160"/>
      <c r="E97" s="160"/>
      <c r="F97" s="160"/>
      <c r="G97" s="160"/>
      <c r="H97" s="163"/>
      <c r="I97" s="164"/>
      <c r="J97" s="163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</row>
    <row r="98" spans="1:29" ht="14.25" customHeight="1">
      <c r="A98" s="160"/>
      <c r="B98" s="160"/>
      <c r="C98" s="160"/>
      <c r="D98" s="160"/>
      <c r="E98" s="160"/>
      <c r="F98" s="160"/>
      <c r="G98" s="160"/>
      <c r="H98" s="163"/>
      <c r="I98" s="164"/>
      <c r="J98" s="163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</row>
    <row r="99" spans="1:29" ht="14.25" customHeight="1">
      <c r="A99" s="160"/>
      <c r="B99" s="160"/>
      <c r="C99" s="160"/>
      <c r="D99" s="160"/>
      <c r="E99" s="160"/>
      <c r="F99" s="160"/>
      <c r="G99" s="160"/>
      <c r="H99" s="163"/>
      <c r="I99" s="164"/>
      <c r="J99" s="163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  <c r="AA99" s="160"/>
      <c r="AB99" s="160"/>
      <c r="AC99" s="160"/>
    </row>
    <row r="100" spans="1:29" ht="14.25" customHeight="1">
      <c r="A100" s="160"/>
      <c r="B100" s="160"/>
      <c r="C100" s="160"/>
      <c r="D100" s="160"/>
      <c r="E100" s="160"/>
      <c r="F100" s="160"/>
      <c r="G100" s="160"/>
      <c r="H100" s="163"/>
      <c r="I100" s="164"/>
      <c r="J100" s="163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</row>
    <row r="101" spans="1:29" ht="14.25" customHeight="1">
      <c r="A101" s="160"/>
      <c r="B101" s="160"/>
      <c r="C101" s="160"/>
      <c r="D101" s="160"/>
      <c r="E101" s="160"/>
      <c r="F101" s="160"/>
      <c r="G101" s="160"/>
      <c r="H101" s="163"/>
      <c r="I101" s="164"/>
      <c r="J101" s="163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  <c r="AA101" s="160"/>
      <c r="AB101" s="160"/>
      <c r="AC101" s="160"/>
    </row>
    <row r="102" spans="1:29" ht="14.25" customHeight="1">
      <c r="A102" s="160"/>
      <c r="B102" s="160"/>
      <c r="C102" s="160"/>
      <c r="D102" s="160"/>
      <c r="E102" s="160"/>
      <c r="F102" s="160"/>
      <c r="G102" s="160"/>
      <c r="H102" s="163"/>
      <c r="I102" s="164"/>
      <c r="J102" s="163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</row>
    <row r="103" spans="1:29" ht="14.25" customHeight="1">
      <c r="A103" s="160"/>
      <c r="B103" s="160"/>
      <c r="C103" s="160"/>
      <c r="D103" s="160"/>
      <c r="E103" s="160"/>
      <c r="F103" s="160"/>
      <c r="G103" s="160"/>
      <c r="H103" s="163"/>
      <c r="I103" s="164"/>
      <c r="J103" s="163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</row>
    <row r="104" spans="1:29" ht="14.25" customHeight="1">
      <c r="A104" s="160"/>
      <c r="B104" s="160"/>
      <c r="C104" s="160"/>
      <c r="D104" s="160"/>
      <c r="E104" s="160"/>
      <c r="F104" s="160"/>
      <c r="G104" s="160"/>
      <c r="H104" s="163"/>
      <c r="I104" s="164"/>
      <c r="J104" s="163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</row>
    <row r="105" spans="1:29" ht="14.25" customHeight="1">
      <c r="A105" s="160"/>
      <c r="B105" s="160"/>
      <c r="C105" s="160"/>
      <c r="D105" s="160"/>
      <c r="E105" s="160"/>
      <c r="F105" s="160"/>
      <c r="G105" s="160"/>
      <c r="H105" s="163"/>
      <c r="I105" s="164"/>
      <c r="J105" s="163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</row>
    <row r="106" spans="1:29" ht="14.25" customHeight="1">
      <c r="A106" s="160"/>
      <c r="B106" s="160"/>
      <c r="C106" s="160"/>
      <c r="D106" s="160"/>
      <c r="E106" s="160"/>
      <c r="F106" s="160"/>
      <c r="G106" s="160"/>
      <c r="H106" s="163"/>
      <c r="I106" s="164"/>
      <c r="J106" s="163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</row>
    <row r="107" spans="1:29" ht="14.25" customHeight="1">
      <c r="A107" s="160"/>
      <c r="B107" s="160"/>
      <c r="C107" s="160"/>
      <c r="D107" s="160"/>
      <c r="E107" s="160"/>
      <c r="F107" s="160"/>
      <c r="G107" s="160"/>
      <c r="H107" s="163"/>
      <c r="I107" s="164"/>
      <c r="J107" s="163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</row>
    <row r="108" spans="1:29" ht="14.25" customHeight="1">
      <c r="A108" s="160"/>
      <c r="B108" s="160"/>
      <c r="C108" s="160"/>
      <c r="D108" s="160"/>
      <c r="E108" s="160"/>
      <c r="F108" s="160"/>
      <c r="G108" s="160"/>
      <c r="H108" s="163"/>
      <c r="I108" s="164"/>
      <c r="J108" s="163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</row>
    <row r="109" spans="1:29" ht="14.25" customHeight="1">
      <c r="A109" s="160"/>
      <c r="B109" s="160"/>
      <c r="C109" s="160"/>
      <c r="D109" s="160"/>
      <c r="E109" s="160"/>
      <c r="F109" s="160"/>
      <c r="G109" s="160"/>
      <c r="H109" s="163"/>
      <c r="I109" s="164"/>
      <c r="J109" s="163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</row>
    <row r="110" spans="1:29" ht="14.25" customHeight="1">
      <c r="A110" s="160"/>
      <c r="B110" s="160"/>
      <c r="C110" s="160"/>
      <c r="D110" s="160"/>
      <c r="E110" s="160"/>
      <c r="F110" s="160"/>
      <c r="G110" s="160"/>
      <c r="H110" s="163"/>
      <c r="I110" s="164"/>
      <c r="J110" s="163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</row>
    <row r="111" spans="1:29" ht="14.25" customHeight="1">
      <c r="A111" s="160"/>
      <c r="B111" s="160"/>
      <c r="C111" s="160"/>
      <c r="D111" s="160"/>
      <c r="E111" s="160"/>
      <c r="F111" s="160"/>
      <c r="G111" s="160"/>
      <c r="H111" s="163"/>
      <c r="I111" s="164"/>
      <c r="J111" s="163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</row>
    <row r="112" spans="1:29" ht="14.25" customHeight="1">
      <c r="A112" s="160"/>
      <c r="B112" s="160"/>
      <c r="C112" s="160"/>
      <c r="D112" s="160"/>
      <c r="E112" s="160"/>
      <c r="F112" s="160"/>
      <c r="G112" s="160"/>
      <c r="H112" s="163"/>
      <c r="I112" s="164"/>
      <c r="J112" s="163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</row>
    <row r="113" spans="1:29" ht="14.25" customHeight="1">
      <c r="A113" s="160"/>
      <c r="B113" s="160"/>
      <c r="C113" s="160"/>
      <c r="D113" s="160"/>
      <c r="E113" s="160"/>
      <c r="F113" s="160"/>
      <c r="G113" s="160"/>
      <c r="H113" s="163"/>
      <c r="I113" s="164"/>
      <c r="J113" s="163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</row>
    <row r="114" spans="1:29" ht="14.25" customHeight="1">
      <c r="A114" s="160"/>
      <c r="B114" s="160"/>
      <c r="C114" s="160"/>
      <c r="D114" s="160"/>
      <c r="E114" s="160"/>
      <c r="F114" s="160"/>
      <c r="G114" s="160"/>
      <c r="H114" s="163"/>
      <c r="I114" s="164"/>
      <c r="J114" s="163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</row>
    <row r="115" spans="1:29" ht="14.25" customHeight="1">
      <c r="A115" s="160"/>
      <c r="B115" s="160"/>
      <c r="C115" s="160"/>
      <c r="D115" s="160"/>
      <c r="E115" s="160"/>
      <c r="F115" s="160"/>
      <c r="G115" s="160"/>
      <c r="H115" s="163"/>
      <c r="I115" s="164"/>
      <c r="J115" s="163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</row>
    <row r="116" spans="1:29" ht="14.25" customHeight="1">
      <c r="A116" s="160"/>
      <c r="B116" s="160"/>
      <c r="C116" s="160"/>
      <c r="D116" s="160"/>
      <c r="E116" s="160"/>
      <c r="F116" s="160"/>
      <c r="G116" s="160"/>
      <c r="H116" s="163"/>
      <c r="I116" s="164"/>
      <c r="J116" s="163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</row>
    <row r="117" spans="1:29" ht="14.25" customHeight="1">
      <c r="A117" s="160"/>
      <c r="B117" s="160"/>
      <c r="C117" s="160"/>
      <c r="D117" s="160"/>
      <c r="E117" s="160"/>
      <c r="F117" s="160"/>
      <c r="G117" s="160"/>
      <c r="H117" s="163"/>
      <c r="I117" s="164"/>
      <c r="J117" s="163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</row>
    <row r="118" spans="1:29" ht="14.25" customHeight="1">
      <c r="A118" s="160"/>
      <c r="B118" s="160"/>
      <c r="C118" s="160"/>
      <c r="D118" s="160"/>
      <c r="E118" s="160"/>
      <c r="F118" s="160"/>
      <c r="G118" s="160"/>
      <c r="H118" s="163"/>
      <c r="I118" s="164"/>
      <c r="J118" s="163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</row>
    <row r="119" spans="1:29" ht="14.25" customHeight="1">
      <c r="A119" s="160"/>
      <c r="B119" s="160"/>
      <c r="C119" s="160"/>
      <c r="D119" s="160"/>
      <c r="E119" s="160"/>
      <c r="F119" s="160"/>
      <c r="G119" s="160"/>
      <c r="H119" s="163"/>
      <c r="I119" s="164"/>
      <c r="J119" s="163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</row>
    <row r="120" spans="1:29" ht="14.25" customHeight="1">
      <c r="A120" s="160"/>
      <c r="B120" s="160"/>
      <c r="C120" s="160"/>
      <c r="D120" s="160"/>
      <c r="E120" s="160"/>
      <c r="F120" s="160"/>
      <c r="G120" s="160"/>
      <c r="H120" s="163"/>
      <c r="I120" s="164"/>
      <c r="J120" s="163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</row>
    <row r="121" spans="1:29" ht="14.25" customHeight="1">
      <c r="A121" s="160"/>
      <c r="B121" s="160"/>
      <c r="C121" s="160"/>
      <c r="D121" s="160"/>
      <c r="E121" s="160"/>
      <c r="F121" s="160"/>
      <c r="G121" s="160"/>
      <c r="H121" s="163"/>
      <c r="I121" s="164"/>
      <c r="J121" s="163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</row>
    <row r="122" spans="1:29" ht="14.25" customHeight="1">
      <c r="A122" s="160"/>
      <c r="B122" s="160"/>
      <c r="C122" s="160"/>
      <c r="D122" s="160"/>
      <c r="E122" s="160"/>
      <c r="F122" s="160"/>
      <c r="G122" s="160"/>
      <c r="H122" s="163"/>
      <c r="I122" s="164"/>
      <c r="J122" s="163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</row>
    <row r="123" spans="1:29" ht="14.25" customHeight="1">
      <c r="A123" s="160"/>
      <c r="B123" s="160"/>
      <c r="C123" s="160"/>
      <c r="D123" s="160"/>
      <c r="E123" s="160"/>
      <c r="F123" s="160"/>
      <c r="G123" s="160"/>
      <c r="H123" s="163"/>
      <c r="I123" s="164"/>
      <c r="J123" s="163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</row>
    <row r="124" spans="1:29" ht="14.25" customHeight="1">
      <c r="A124" s="160"/>
      <c r="B124" s="160"/>
      <c r="C124" s="160"/>
      <c r="D124" s="160"/>
      <c r="E124" s="160"/>
      <c r="F124" s="160"/>
      <c r="G124" s="160"/>
      <c r="H124" s="163"/>
      <c r="I124" s="164"/>
      <c r="J124" s="163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</row>
    <row r="125" spans="1:29" ht="14.25" customHeight="1">
      <c r="A125" s="160"/>
      <c r="B125" s="160"/>
      <c r="C125" s="160"/>
      <c r="D125" s="160"/>
      <c r="E125" s="160"/>
      <c r="F125" s="160"/>
      <c r="G125" s="160"/>
      <c r="H125" s="163"/>
      <c r="I125" s="164"/>
      <c r="J125" s="163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</row>
    <row r="126" spans="1:29" ht="14.25" customHeight="1">
      <c r="A126" s="160"/>
      <c r="B126" s="160"/>
      <c r="C126" s="160"/>
      <c r="D126" s="160"/>
      <c r="E126" s="160"/>
      <c r="F126" s="160"/>
      <c r="G126" s="160"/>
      <c r="H126" s="163"/>
      <c r="I126" s="164"/>
      <c r="J126" s="163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</row>
    <row r="127" spans="1:29" ht="14.25" customHeight="1">
      <c r="A127" s="160"/>
      <c r="B127" s="160"/>
      <c r="C127" s="160"/>
      <c r="D127" s="160"/>
      <c r="E127" s="160"/>
      <c r="F127" s="160"/>
      <c r="G127" s="160"/>
      <c r="H127" s="163"/>
      <c r="I127" s="164"/>
      <c r="J127" s="163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</row>
    <row r="128" spans="1:29" ht="14.25" customHeight="1">
      <c r="A128" s="160"/>
      <c r="B128" s="160"/>
      <c r="C128" s="160"/>
      <c r="D128" s="160"/>
      <c r="E128" s="160"/>
      <c r="F128" s="160"/>
      <c r="G128" s="160"/>
      <c r="H128" s="163"/>
      <c r="I128" s="164"/>
      <c r="J128" s="163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</row>
    <row r="129" spans="1:29" ht="14.25" customHeight="1">
      <c r="A129" s="160"/>
      <c r="B129" s="160"/>
      <c r="C129" s="160"/>
      <c r="D129" s="160"/>
      <c r="E129" s="160"/>
      <c r="F129" s="160"/>
      <c r="G129" s="160"/>
      <c r="H129" s="163"/>
      <c r="I129" s="164"/>
      <c r="J129" s="163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</row>
    <row r="130" spans="1:29" ht="14.25" customHeight="1">
      <c r="A130" s="160"/>
      <c r="B130" s="160"/>
      <c r="C130" s="160"/>
      <c r="D130" s="160"/>
      <c r="E130" s="160"/>
      <c r="F130" s="160"/>
      <c r="G130" s="160"/>
      <c r="H130" s="163"/>
      <c r="I130" s="164"/>
      <c r="J130" s="163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</row>
    <row r="131" spans="1:29" ht="14.25" customHeight="1">
      <c r="A131" s="160"/>
      <c r="B131" s="160"/>
      <c r="C131" s="160"/>
      <c r="D131" s="160"/>
      <c r="E131" s="160"/>
      <c r="F131" s="160"/>
      <c r="G131" s="160"/>
      <c r="H131" s="163"/>
      <c r="I131" s="164"/>
      <c r="J131" s="163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</row>
    <row r="132" spans="1:29" ht="14.25" customHeight="1">
      <c r="A132" s="160"/>
      <c r="B132" s="160"/>
      <c r="C132" s="160"/>
      <c r="D132" s="160"/>
      <c r="E132" s="160"/>
      <c r="F132" s="160"/>
      <c r="G132" s="160"/>
      <c r="H132" s="163"/>
      <c r="I132" s="164"/>
      <c r="J132" s="163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</row>
    <row r="133" spans="1:29" ht="14.25" customHeight="1">
      <c r="A133" s="160"/>
      <c r="B133" s="160"/>
      <c r="C133" s="160"/>
      <c r="D133" s="160"/>
      <c r="E133" s="160"/>
      <c r="F133" s="160"/>
      <c r="G133" s="160"/>
      <c r="H133" s="163"/>
      <c r="I133" s="164"/>
      <c r="J133" s="163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  <c r="AA133" s="160"/>
      <c r="AB133" s="160"/>
      <c r="AC133" s="160"/>
    </row>
    <row r="134" spans="1:29" ht="14.25" customHeight="1">
      <c r="A134" s="160"/>
      <c r="B134" s="160"/>
      <c r="C134" s="160"/>
      <c r="D134" s="160"/>
      <c r="E134" s="160"/>
      <c r="F134" s="160"/>
      <c r="G134" s="160"/>
      <c r="H134" s="163"/>
      <c r="I134" s="164"/>
      <c r="J134" s="163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</row>
    <row r="135" spans="1:29" ht="14.25" customHeight="1">
      <c r="A135" s="160"/>
      <c r="B135" s="160"/>
      <c r="C135" s="160"/>
      <c r="D135" s="160"/>
      <c r="E135" s="160"/>
      <c r="F135" s="160"/>
      <c r="G135" s="160"/>
      <c r="H135" s="163"/>
      <c r="I135" s="164"/>
      <c r="J135" s="163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  <c r="AA135" s="160"/>
      <c r="AB135" s="160"/>
      <c r="AC135" s="160"/>
    </row>
    <row r="136" spans="1:29" ht="14.25" customHeight="1">
      <c r="A136" s="160"/>
      <c r="B136" s="160"/>
      <c r="C136" s="160"/>
      <c r="D136" s="160"/>
      <c r="E136" s="160"/>
      <c r="F136" s="160"/>
      <c r="G136" s="160"/>
      <c r="H136" s="163"/>
      <c r="I136" s="164"/>
      <c r="J136" s="163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</row>
    <row r="137" spans="1:29" ht="14.25" customHeight="1">
      <c r="A137" s="160"/>
      <c r="B137" s="160"/>
      <c r="C137" s="160"/>
      <c r="D137" s="160"/>
      <c r="E137" s="160"/>
      <c r="F137" s="160"/>
      <c r="G137" s="160"/>
      <c r="H137" s="163"/>
      <c r="I137" s="164"/>
      <c r="J137" s="163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</row>
    <row r="138" spans="1:29" ht="14.25" customHeight="1">
      <c r="A138" s="160"/>
      <c r="B138" s="160"/>
      <c r="C138" s="160"/>
      <c r="D138" s="160"/>
      <c r="E138" s="160"/>
      <c r="F138" s="160"/>
      <c r="G138" s="160"/>
      <c r="H138" s="163"/>
      <c r="I138" s="164"/>
      <c r="J138" s="163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</row>
    <row r="139" spans="1:29" ht="14.25" customHeight="1">
      <c r="A139" s="160"/>
      <c r="B139" s="160"/>
      <c r="C139" s="160"/>
      <c r="D139" s="160"/>
      <c r="E139" s="160"/>
      <c r="F139" s="160"/>
      <c r="G139" s="160"/>
      <c r="H139" s="163"/>
      <c r="I139" s="164"/>
      <c r="J139" s="163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</row>
    <row r="140" spans="1:29" ht="14.25" customHeight="1">
      <c r="A140" s="160"/>
      <c r="B140" s="160"/>
      <c r="C140" s="160"/>
      <c r="D140" s="160"/>
      <c r="E140" s="160"/>
      <c r="F140" s="160"/>
      <c r="G140" s="160"/>
      <c r="H140" s="163"/>
      <c r="I140" s="164"/>
      <c r="J140" s="163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</row>
    <row r="141" spans="1:29" ht="14.25" customHeight="1">
      <c r="A141" s="160"/>
      <c r="B141" s="160"/>
      <c r="C141" s="160"/>
      <c r="D141" s="160"/>
      <c r="E141" s="160"/>
      <c r="F141" s="160"/>
      <c r="G141" s="160"/>
      <c r="H141" s="163"/>
      <c r="I141" s="164"/>
      <c r="J141" s="163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  <c r="AA141" s="160"/>
      <c r="AB141" s="160"/>
      <c r="AC141" s="160"/>
    </row>
    <row r="142" spans="1:29" ht="14.25" customHeight="1">
      <c r="A142" s="160"/>
      <c r="B142" s="160"/>
      <c r="C142" s="160"/>
      <c r="D142" s="160"/>
      <c r="E142" s="160"/>
      <c r="F142" s="160"/>
      <c r="G142" s="160"/>
      <c r="H142" s="163"/>
      <c r="I142" s="164"/>
      <c r="J142" s="163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  <c r="AA142" s="160"/>
      <c r="AB142" s="160"/>
      <c r="AC142" s="160"/>
    </row>
    <row r="143" spans="1:29" ht="14.25" customHeight="1">
      <c r="A143" s="160"/>
      <c r="B143" s="160"/>
      <c r="C143" s="160"/>
      <c r="D143" s="160"/>
      <c r="E143" s="160"/>
      <c r="F143" s="160"/>
      <c r="G143" s="160"/>
      <c r="H143" s="163"/>
      <c r="I143" s="164"/>
      <c r="J143" s="163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  <c r="AA143" s="160"/>
      <c r="AB143" s="160"/>
      <c r="AC143" s="160"/>
    </row>
    <row r="144" spans="1:29" ht="14.25" customHeight="1">
      <c r="A144" s="160"/>
      <c r="B144" s="160"/>
      <c r="C144" s="160"/>
      <c r="D144" s="160"/>
      <c r="E144" s="160"/>
      <c r="F144" s="160"/>
      <c r="G144" s="160"/>
      <c r="H144" s="163"/>
      <c r="I144" s="164"/>
      <c r="J144" s="163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  <c r="AA144" s="160"/>
      <c r="AB144" s="160"/>
      <c r="AC144" s="160"/>
    </row>
    <row r="145" spans="1:29" ht="14.25" customHeight="1">
      <c r="A145" s="160"/>
      <c r="B145" s="160"/>
      <c r="C145" s="160"/>
      <c r="D145" s="160"/>
      <c r="E145" s="160"/>
      <c r="F145" s="160"/>
      <c r="G145" s="160"/>
      <c r="H145" s="163"/>
      <c r="I145" s="164"/>
      <c r="J145" s="163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  <c r="AA145" s="160"/>
      <c r="AB145" s="160"/>
      <c r="AC145" s="160"/>
    </row>
    <row r="146" spans="1:29" ht="14.25" customHeight="1">
      <c r="A146" s="160"/>
      <c r="B146" s="160"/>
      <c r="C146" s="160"/>
      <c r="D146" s="160"/>
      <c r="E146" s="160"/>
      <c r="F146" s="160"/>
      <c r="G146" s="160"/>
      <c r="H146" s="163"/>
      <c r="I146" s="164"/>
      <c r="J146" s="163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  <c r="AA146" s="160"/>
      <c r="AB146" s="160"/>
      <c r="AC146" s="160"/>
    </row>
    <row r="147" spans="1:29" ht="14.25" customHeight="1">
      <c r="A147" s="160"/>
      <c r="B147" s="160"/>
      <c r="C147" s="160"/>
      <c r="D147" s="160"/>
      <c r="E147" s="160"/>
      <c r="F147" s="160"/>
      <c r="G147" s="160"/>
      <c r="H147" s="163"/>
      <c r="I147" s="164"/>
      <c r="J147" s="163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</row>
    <row r="148" spans="1:29" ht="14.25" customHeight="1">
      <c r="A148" s="160"/>
      <c r="B148" s="160"/>
      <c r="C148" s="160"/>
      <c r="D148" s="160"/>
      <c r="E148" s="160"/>
      <c r="F148" s="160"/>
      <c r="G148" s="160"/>
      <c r="H148" s="163"/>
      <c r="I148" s="164"/>
      <c r="J148" s="163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  <c r="AA148" s="160"/>
      <c r="AB148" s="160"/>
      <c r="AC148" s="160"/>
    </row>
    <row r="149" spans="1:29" ht="14.25" customHeight="1">
      <c r="A149" s="160"/>
      <c r="B149" s="160"/>
      <c r="C149" s="160"/>
      <c r="D149" s="160"/>
      <c r="E149" s="160"/>
      <c r="F149" s="160"/>
      <c r="G149" s="160"/>
      <c r="H149" s="163"/>
      <c r="I149" s="164"/>
      <c r="J149" s="163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  <c r="AA149" s="160"/>
      <c r="AB149" s="160"/>
      <c r="AC149" s="160"/>
    </row>
    <row r="150" spans="1:29" ht="14.25" customHeight="1">
      <c r="A150" s="160"/>
      <c r="B150" s="160"/>
      <c r="C150" s="160"/>
      <c r="D150" s="160"/>
      <c r="E150" s="160"/>
      <c r="F150" s="160"/>
      <c r="G150" s="160"/>
      <c r="H150" s="163"/>
      <c r="I150" s="164"/>
      <c r="J150" s="163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  <c r="AA150" s="160"/>
      <c r="AB150" s="160"/>
      <c r="AC150" s="160"/>
    </row>
    <row r="151" spans="1:29" ht="14.25" customHeight="1">
      <c r="A151" s="160"/>
      <c r="B151" s="160"/>
      <c r="C151" s="160"/>
      <c r="D151" s="160"/>
      <c r="E151" s="160"/>
      <c r="F151" s="160"/>
      <c r="G151" s="160"/>
      <c r="H151" s="163"/>
      <c r="I151" s="164"/>
      <c r="J151" s="163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  <c r="AA151" s="160"/>
      <c r="AB151" s="160"/>
      <c r="AC151" s="160"/>
    </row>
    <row r="152" spans="1:29" ht="14.25" customHeight="1">
      <c r="A152" s="160"/>
      <c r="B152" s="160"/>
      <c r="C152" s="160"/>
      <c r="D152" s="160"/>
      <c r="E152" s="160"/>
      <c r="F152" s="160"/>
      <c r="G152" s="160"/>
      <c r="H152" s="163"/>
      <c r="I152" s="164"/>
      <c r="J152" s="163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  <c r="AA152" s="160"/>
      <c r="AB152" s="160"/>
      <c r="AC152" s="160"/>
    </row>
    <row r="153" spans="1:29" ht="14.25" customHeight="1">
      <c r="A153" s="160"/>
      <c r="B153" s="160"/>
      <c r="C153" s="160"/>
      <c r="D153" s="160"/>
      <c r="E153" s="160"/>
      <c r="F153" s="160"/>
      <c r="G153" s="160"/>
      <c r="H153" s="163"/>
      <c r="I153" s="164"/>
      <c r="J153" s="163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  <c r="AA153" s="160"/>
      <c r="AB153" s="160"/>
      <c r="AC153" s="160"/>
    </row>
    <row r="154" spans="1:29" ht="14.25" customHeight="1">
      <c r="A154" s="160"/>
      <c r="B154" s="160"/>
      <c r="C154" s="160"/>
      <c r="D154" s="160"/>
      <c r="E154" s="160"/>
      <c r="F154" s="160"/>
      <c r="G154" s="160"/>
      <c r="H154" s="163"/>
      <c r="I154" s="164"/>
      <c r="J154" s="163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  <c r="AA154" s="160"/>
      <c r="AB154" s="160"/>
      <c r="AC154" s="160"/>
    </row>
    <row r="155" spans="1:29" ht="14.25" customHeight="1">
      <c r="A155" s="160"/>
      <c r="B155" s="160"/>
      <c r="C155" s="160"/>
      <c r="D155" s="160"/>
      <c r="E155" s="160"/>
      <c r="F155" s="160"/>
      <c r="G155" s="160"/>
      <c r="H155" s="163"/>
      <c r="I155" s="164"/>
      <c r="J155" s="163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  <c r="AA155" s="160"/>
      <c r="AB155" s="160"/>
      <c r="AC155" s="160"/>
    </row>
    <row r="156" spans="1:29" ht="14.25" customHeight="1">
      <c r="A156" s="160"/>
      <c r="B156" s="160"/>
      <c r="C156" s="160"/>
      <c r="D156" s="160"/>
      <c r="E156" s="160"/>
      <c r="F156" s="160"/>
      <c r="G156" s="160"/>
      <c r="H156" s="163"/>
      <c r="I156" s="164"/>
      <c r="J156" s="163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  <c r="AA156" s="160"/>
      <c r="AB156" s="160"/>
      <c r="AC156" s="160"/>
    </row>
    <row r="157" spans="1:29" ht="14.25" customHeight="1">
      <c r="A157" s="160"/>
      <c r="B157" s="160"/>
      <c r="C157" s="160"/>
      <c r="D157" s="160"/>
      <c r="E157" s="160"/>
      <c r="F157" s="160"/>
      <c r="G157" s="160"/>
      <c r="H157" s="163"/>
      <c r="I157" s="164"/>
      <c r="J157" s="163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</row>
    <row r="158" spans="1:29" ht="14.25" customHeight="1">
      <c r="A158" s="160"/>
      <c r="B158" s="160"/>
      <c r="C158" s="160"/>
      <c r="D158" s="160"/>
      <c r="E158" s="160"/>
      <c r="F158" s="160"/>
      <c r="G158" s="160"/>
      <c r="H158" s="163"/>
      <c r="I158" s="164"/>
      <c r="J158" s="163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  <c r="AA158" s="160"/>
      <c r="AB158" s="160"/>
      <c r="AC158" s="160"/>
    </row>
    <row r="159" spans="1:29" ht="14.25" customHeight="1">
      <c r="A159" s="160"/>
      <c r="B159" s="160"/>
      <c r="C159" s="160"/>
      <c r="D159" s="160"/>
      <c r="E159" s="160"/>
      <c r="F159" s="160"/>
      <c r="G159" s="160"/>
      <c r="H159" s="163"/>
      <c r="I159" s="164"/>
      <c r="J159" s="163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  <c r="AA159" s="160"/>
      <c r="AB159" s="160"/>
      <c r="AC159" s="160"/>
    </row>
    <row r="160" spans="1:29" ht="14.25" customHeight="1">
      <c r="A160" s="160"/>
      <c r="B160" s="160"/>
      <c r="C160" s="160"/>
      <c r="D160" s="160"/>
      <c r="E160" s="160"/>
      <c r="F160" s="160"/>
      <c r="G160" s="160"/>
      <c r="H160" s="163"/>
      <c r="I160" s="164"/>
      <c r="J160" s="163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  <c r="AA160" s="160"/>
      <c r="AB160" s="160"/>
      <c r="AC160" s="160"/>
    </row>
    <row r="161" spans="1:29" ht="14.25" customHeight="1">
      <c r="A161" s="160"/>
      <c r="B161" s="160"/>
      <c r="C161" s="160"/>
      <c r="D161" s="160"/>
      <c r="E161" s="160"/>
      <c r="F161" s="160"/>
      <c r="G161" s="160"/>
      <c r="H161" s="163"/>
      <c r="I161" s="164"/>
      <c r="J161" s="163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  <c r="AA161" s="160"/>
      <c r="AB161" s="160"/>
      <c r="AC161" s="160"/>
    </row>
    <row r="162" spans="1:29" ht="14.25" customHeight="1">
      <c r="A162" s="160"/>
      <c r="B162" s="160"/>
      <c r="C162" s="160"/>
      <c r="D162" s="160"/>
      <c r="E162" s="160"/>
      <c r="F162" s="160"/>
      <c r="G162" s="160"/>
      <c r="H162" s="163"/>
      <c r="I162" s="164"/>
      <c r="J162" s="163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</row>
    <row r="163" spans="1:29" ht="14.25" customHeight="1">
      <c r="A163" s="160"/>
      <c r="B163" s="160"/>
      <c r="C163" s="160"/>
      <c r="D163" s="160"/>
      <c r="E163" s="160"/>
      <c r="F163" s="160"/>
      <c r="G163" s="160"/>
      <c r="H163" s="163"/>
      <c r="I163" s="164"/>
      <c r="J163" s="163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  <c r="AA163" s="160"/>
      <c r="AB163" s="160"/>
      <c r="AC163" s="160"/>
    </row>
    <row r="164" spans="1:29" ht="14.25" customHeight="1">
      <c r="A164" s="160"/>
      <c r="B164" s="160"/>
      <c r="C164" s="160"/>
      <c r="D164" s="160"/>
      <c r="E164" s="160"/>
      <c r="F164" s="160"/>
      <c r="G164" s="160"/>
      <c r="H164" s="163"/>
      <c r="I164" s="164"/>
      <c r="J164" s="163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  <c r="AA164" s="160"/>
      <c r="AB164" s="160"/>
      <c r="AC164" s="160"/>
    </row>
    <row r="165" spans="1:29" ht="14.25" customHeight="1">
      <c r="A165" s="160"/>
      <c r="B165" s="160"/>
      <c r="C165" s="160"/>
      <c r="D165" s="160"/>
      <c r="E165" s="160"/>
      <c r="F165" s="160"/>
      <c r="G165" s="160"/>
      <c r="H165" s="163"/>
      <c r="I165" s="164"/>
      <c r="J165" s="163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  <c r="AA165" s="160"/>
      <c r="AB165" s="160"/>
      <c r="AC165" s="160"/>
    </row>
    <row r="166" spans="1:29" ht="14.25" customHeight="1">
      <c r="A166" s="160"/>
      <c r="B166" s="160"/>
      <c r="C166" s="160"/>
      <c r="D166" s="160"/>
      <c r="E166" s="160"/>
      <c r="F166" s="160"/>
      <c r="G166" s="160"/>
      <c r="H166" s="163"/>
      <c r="I166" s="164"/>
      <c r="J166" s="163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  <c r="AA166" s="160"/>
      <c r="AB166" s="160"/>
      <c r="AC166" s="160"/>
    </row>
    <row r="167" spans="1:29" ht="14.25" customHeight="1">
      <c r="A167" s="160"/>
      <c r="B167" s="160"/>
      <c r="C167" s="160"/>
      <c r="D167" s="160"/>
      <c r="E167" s="160"/>
      <c r="F167" s="160"/>
      <c r="G167" s="160"/>
      <c r="H167" s="163"/>
      <c r="I167" s="164"/>
      <c r="J167" s="163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  <c r="AA167" s="160"/>
      <c r="AB167" s="160"/>
      <c r="AC167" s="160"/>
    </row>
    <row r="168" spans="1:29" ht="14.25" customHeight="1">
      <c r="A168" s="160"/>
      <c r="B168" s="160"/>
      <c r="C168" s="160"/>
      <c r="D168" s="160"/>
      <c r="E168" s="160"/>
      <c r="F168" s="160"/>
      <c r="G168" s="160"/>
      <c r="H168" s="163"/>
      <c r="I168" s="164"/>
      <c r="J168" s="163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  <c r="AA168" s="160"/>
      <c r="AB168" s="160"/>
      <c r="AC168" s="160"/>
    </row>
    <row r="169" spans="1:29" ht="14.25" customHeight="1">
      <c r="A169" s="160"/>
      <c r="B169" s="160"/>
      <c r="C169" s="160"/>
      <c r="D169" s="160"/>
      <c r="E169" s="160"/>
      <c r="F169" s="160"/>
      <c r="G169" s="160"/>
      <c r="H169" s="163"/>
      <c r="I169" s="164"/>
      <c r="J169" s="163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  <c r="AA169" s="160"/>
      <c r="AB169" s="160"/>
      <c r="AC169" s="160"/>
    </row>
    <row r="170" spans="1:29" ht="14.25" customHeight="1">
      <c r="A170" s="160"/>
      <c r="B170" s="160"/>
      <c r="C170" s="160"/>
      <c r="D170" s="160"/>
      <c r="E170" s="160"/>
      <c r="F170" s="160"/>
      <c r="G170" s="160"/>
      <c r="H170" s="163"/>
      <c r="I170" s="164"/>
      <c r="J170" s="163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  <c r="AA170" s="160"/>
      <c r="AB170" s="160"/>
      <c r="AC170" s="160"/>
    </row>
    <row r="171" spans="1:29" ht="14.25" customHeight="1">
      <c r="A171" s="160"/>
      <c r="B171" s="160"/>
      <c r="C171" s="160"/>
      <c r="D171" s="160"/>
      <c r="E171" s="160"/>
      <c r="F171" s="160"/>
      <c r="G171" s="160"/>
      <c r="H171" s="163"/>
      <c r="I171" s="164"/>
      <c r="J171" s="163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</row>
    <row r="172" spans="1:29" ht="14.25" customHeight="1">
      <c r="A172" s="160"/>
      <c r="B172" s="160"/>
      <c r="C172" s="160"/>
      <c r="D172" s="160"/>
      <c r="E172" s="160"/>
      <c r="F172" s="160"/>
      <c r="G172" s="160"/>
      <c r="H172" s="163"/>
      <c r="I172" s="164"/>
      <c r="J172" s="163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  <c r="AA172" s="160"/>
      <c r="AB172" s="160"/>
      <c r="AC172" s="160"/>
    </row>
    <row r="173" spans="1:29" ht="14.25" customHeight="1">
      <c r="A173" s="160"/>
      <c r="B173" s="160"/>
      <c r="C173" s="160"/>
      <c r="D173" s="160"/>
      <c r="E173" s="160"/>
      <c r="F173" s="160"/>
      <c r="G173" s="160"/>
      <c r="H173" s="163"/>
      <c r="I173" s="164"/>
      <c r="J173" s="163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  <c r="AA173" s="160"/>
      <c r="AB173" s="160"/>
      <c r="AC173" s="160"/>
    </row>
    <row r="174" spans="1:29" ht="14.25" customHeight="1">
      <c r="A174" s="160"/>
      <c r="B174" s="160"/>
      <c r="C174" s="160"/>
      <c r="D174" s="160"/>
      <c r="E174" s="160"/>
      <c r="F174" s="160"/>
      <c r="G174" s="160"/>
      <c r="H174" s="163"/>
      <c r="I174" s="164"/>
      <c r="J174" s="163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  <c r="AA174" s="160"/>
      <c r="AB174" s="160"/>
      <c r="AC174" s="160"/>
    </row>
    <row r="175" spans="1:29" ht="14.25" customHeight="1">
      <c r="A175" s="160"/>
      <c r="B175" s="160"/>
      <c r="C175" s="160"/>
      <c r="D175" s="160"/>
      <c r="E175" s="160"/>
      <c r="F175" s="160"/>
      <c r="G175" s="160"/>
      <c r="H175" s="163"/>
      <c r="I175" s="164"/>
      <c r="J175" s="163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  <c r="AA175" s="160"/>
      <c r="AB175" s="160"/>
      <c r="AC175" s="160"/>
    </row>
    <row r="176" spans="1:29" ht="14.25" customHeight="1">
      <c r="A176" s="160"/>
      <c r="B176" s="160"/>
      <c r="C176" s="160"/>
      <c r="D176" s="160"/>
      <c r="E176" s="160"/>
      <c r="F176" s="160"/>
      <c r="G176" s="160"/>
      <c r="H176" s="163"/>
      <c r="I176" s="164"/>
      <c r="J176" s="163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  <c r="AA176" s="160"/>
      <c r="AB176" s="160"/>
      <c r="AC176" s="160"/>
    </row>
    <row r="177" spans="1:29" ht="14.25" customHeight="1">
      <c r="A177" s="160"/>
      <c r="B177" s="160"/>
      <c r="C177" s="160"/>
      <c r="D177" s="160"/>
      <c r="E177" s="160"/>
      <c r="F177" s="160"/>
      <c r="G177" s="160"/>
      <c r="H177" s="163"/>
      <c r="I177" s="164"/>
      <c r="J177" s="163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  <c r="AA177" s="160"/>
      <c r="AB177" s="160"/>
      <c r="AC177" s="160"/>
    </row>
    <row r="178" spans="1:29" ht="14.25" customHeight="1">
      <c r="A178" s="160"/>
      <c r="B178" s="160"/>
      <c r="C178" s="160"/>
      <c r="D178" s="160"/>
      <c r="E178" s="160"/>
      <c r="F178" s="160"/>
      <c r="G178" s="160"/>
      <c r="H178" s="163"/>
      <c r="I178" s="164"/>
      <c r="J178" s="163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  <c r="AA178" s="160"/>
      <c r="AB178" s="160"/>
      <c r="AC178" s="160"/>
    </row>
    <row r="179" spans="1:29" ht="14.25" customHeight="1">
      <c r="A179" s="160"/>
      <c r="B179" s="160"/>
      <c r="C179" s="160"/>
      <c r="D179" s="160"/>
      <c r="E179" s="160"/>
      <c r="F179" s="160"/>
      <c r="G179" s="160"/>
      <c r="H179" s="163"/>
      <c r="I179" s="164"/>
      <c r="J179" s="163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  <c r="AA179" s="160"/>
      <c r="AB179" s="160"/>
      <c r="AC179" s="160"/>
    </row>
    <row r="180" spans="1:29" ht="14.25" customHeight="1">
      <c r="A180" s="160"/>
      <c r="B180" s="160"/>
      <c r="C180" s="160"/>
      <c r="D180" s="160"/>
      <c r="E180" s="160"/>
      <c r="F180" s="160"/>
      <c r="G180" s="160"/>
      <c r="H180" s="163"/>
      <c r="I180" s="164"/>
      <c r="J180" s="163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  <c r="AA180" s="160"/>
      <c r="AB180" s="160"/>
      <c r="AC180" s="160"/>
    </row>
    <row r="181" spans="1:29" ht="14.25" customHeight="1">
      <c r="A181" s="160"/>
      <c r="B181" s="160"/>
      <c r="C181" s="160"/>
      <c r="D181" s="160"/>
      <c r="E181" s="160"/>
      <c r="F181" s="160"/>
      <c r="G181" s="160"/>
      <c r="H181" s="163"/>
      <c r="I181" s="164"/>
      <c r="J181" s="163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  <c r="AA181" s="160"/>
      <c r="AB181" s="160"/>
      <c r="AC181" s="160"/>
    </row>
    <row r="182" spans="1:29" ht="14.25" customHeight="1">
      <c r="A182" s="160"/>
      <c r="B182" s="160"/>
      <c r="C182" s="160"/>
      <c r="D182" s="160"/>
      <c r="E182" s="160"/>
      <c r="F182" s="160"/>
      <c r="G182" s="160"/>
      <c r="H182" s="163"/>
      <c r="I182" s="164"/>
      <c r="J182" s="163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  <c r="AA182" s="160"/>
      <c r="AB182" s="160"/>
      <c r="AC182" s="160"/>
    </row>
    <row r="183" spans="1:29" ht="14.25" customHeight="1">
      <c r="A183" s="160"/>
      <c r="B183" s="160"/>
      <c r="C183" s="160"/>
      <c r="D183" s="160"/>
      <c r="E183" s="160"/>
      <c r="F183" s="160"/>
      <c r="G183" s="160"/>
      <c r="H183" s="163"/>
      <c r="I183" s="164"/>
      <c r="J183" s="163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  <c r="AA183" s="160"/>
      <c r="AB183" s="160"/>
      <c r="AC183" s="160"/>
    </row>
    <row r="184" spans="1:29" ht="14.25" customHeight="1">
      <c r="A184" s="160"/>
      <c r="B184" s="160"/>
      <c r="C184" s="160"/>
      <c r="D184" s="160"/>
      <c r="E184" s="160"/>
      <c r="F184" s="160"/>
      <c r="G184" s="160"/>
      <c r="H184" s="163"/>
      <c r="I184" s="164"/>
      <c r="J184" s="163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  <c r="AA184" s="160"/>
      <c r="AB184" s="160"/>
      <c r="AC184" s="160"/>
    </row>
    <row r="185" spans="1:29" ht="14.25" customHeight="1">
      <c r="A185" s="160"/>
      <c r="B185" s="160"/>
      <c r="C185" s="160"/>
      <c r="D185" s="160"/>
      <c r="E185" s="160"/>
      <c r="F185" s="160"/>
      <c r="G185" s="160"/>
      <c r="H185" s="163"/>
      <c r="I185" s="164"/>
      <c r="J185" s="163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</row>
    <row r="186" spans="1:29" ht="14.25" customHeight="1">
      <c r="A186" s="160"/>
      <c r="B186" s="160"/>
      <c r="C186" s="160"/>
      <c r="D186" s="160"/>
      <c r="E186" s="160"/>
      <c r="F186" s="160"/>
      <c r="G186" s="160"/>
      <c r="H186" s="163"/>
      <c r="I186" s="164"/>
      <c r="J186" s="163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</row>
    <row r="187" spans="1:29" ht="14.25" customHeight="1">
      <c r="A187" s="160"/>
      <c r="B187" s="160"/>
      <c r="C187" s="160"/>
      <c r="D187" s="160"/>
      <c r="E187" s="160"/>
      <c r="F187" s="160"/>
      <c r="G187" s="160"/>
      <c r="H187" s="163"/>
      <c r="I187" s="164"/>
      <c r="J187" s="163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  <c r="AA187" s="160"/>
      <c r="AB187" s="160"/>
      <c r="AC187" s="160"/>
    </row>
    <row r="188" spans="1:29" ht="14.25" customHeight="1">
      <c r="A188" s="160"/>
      <c r="B188" s="160"/>
      <c r="C188" s="160"/>
      <c r="D188" s="160"/>
      <c r="E188" s="160"/>
      <c r="F188" s="160"/>
      <c r="G188" s="160"/>
      <c r="H188" s="163"/>
      <c r="I188" s="164"/>
      <c r="J188" s="163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  <c r="AA188" s="160"/>
      <c r="AB188" s="160"/>
      <c r="AC188" s="160"/>
    </row>
    <row r="189" spans="1:29" ht="14.25" customHeight="1">
      <c r="A189" s="160"/>
      <c r="B189" s="160"/>
      <c r="C189" s="160"/>
      <c r="D189" s="160"/>
      <c r="E189" s="160"/>
      <c r="F189" s="160"/>
      <c r="G189" s="160"/>
      <c r="H189" s="163"/>
      <c r="I189" s="164"/>
      <c r="J189" s="163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  <c r="AA189" s="160"/>
      <c r="AB189" s="160"/>
      <c r="AC189" s="160"/>
    </row>
    <row r="190" spans="1:29" ht="14.25" customHeight="1">
      <c r="A190" s="160"/>
      <c r="B190" s="160"/>
      <c r="C190" s="160"/>
      <c r="D190" s="160"/>
      <c r="E190" s="160"/>
      <c r="F190" s="160"/>
      <c r="G190" s="160"/>
      <c r="H190" s="163"/>
      <c r="I190" s="164"/>
      <c r="J190" s="163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  <c r="AA190" s="160"/>
      <c r="AB190" s="160"/>
      <c r="AC190" s="160"/>
    </row>
    <row r="191" spans="1:29" ht="14.25" customHeight="1">
      <c r="A191" s="160"/>
      <c r="B191" s="160"/>
      <c r="C191" s="160"/>
      <c r="D191" s="160"/>
      <c r="E191" s="160"/>
      <c r="F191" s="160"/>
      <c r="G191" s="160"/>
      <c r="H191" s="163"/>
      <c r="I191" s="164"/>
      <c r="J191" s="163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  <c r="AA191" s="160"/>
      <c r="AB191" s="160"/>
      <c r="AC191" s="160"/>
    </row>
    <row r="192" spans="1:29" ht="14.25" customHeight="1">
      <c r="A192" s="160"/>
      <c r="B192" s="160"/>
      <c r="C192" s="160"/>
      <c r="D192" s="160"/>
      <c r="E192" s="160"/>
      <c r="F192" s="160"/>
      <c r="G192" s="160"/>
      <c r="H192" s="163"/>
      <c r="I192" s="164"/>
      <c r="J192" s="163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  <c r="AA192" s="160"/>
      <c r="AB192" s="160"/>
      <c r="AC192" s="160"/>
    </row>
    <row r="193" spans="1:29" ht="14.25" customHeight="1">
      <c r="A193" s="160"/>
      <c r="B193" s="160"/>
      <c r="C193" s="160"/>
      <c r="D193" s="160"/>
      <c r="E193" s="160"/>
      <c r="F193" s="160"/>
      <c r="G193" s="160"/>
      <c r="H193" s="163"/>
      <c r="I193" s="164"/>
      <c r="J193" s="163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  <c r="AA193" s="160"/>
      <c r="AB193" s="160"/>
      <c r="AC193" s="160"/>
    </row>
    <row r="194" spans="1:29" ht="14.25" customHeight="1">
      <c r="A194" s="160"/>
      <c r="B194" s="160"/>
      <c r="C194" s="160"/>
      <c r="D194" s="160"/>
      <c r="E194" s="160"/>
      <c r="F194" s="160"/>
      <c r="G194" s="160"/>
      <c r="H194" s="163"/>
      <c r="I194" s="164"/>
      <c r="J194" s="163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  <c r="AC194" s="160"/>
    </row>
    <row r="195" spans="1:29" ht="14.25" customHeight="1">
      <c r="A195" s="160"/>
      <c r="B195" s="160"/>
      <c r="C195" s="160"/>
      <c r="D195" s="160"/>
      <c r="E195" s="160"/>
      <c r="F195" s="160"/>
      <c r="G195" s="160"/>
      <c r="H195" s="163"/>
      <c r="I195" s="164"/>
      <c r="J195" s="163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</row>
    <row r="196" spans="1:29" ht="14.25" customHeight="1">
      <c r="A196" s="160"/>
      <c r="B196" s="160"/>
      <c r="C196" s="160"/>
      <c r="D196" s="160"/>
      <c r="E196" s="160"/>
      <c r="F196" s="160"/>
      <c r="G196" s="160"/>
      <c r="H196" s="163"/>
      <c r="I196" s="164"/>
      <c r="J196" s="163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  <c r="AA196" s="160"/>
      <c r="AB196" s="160"/>
      <c r="AC196" s="160"/>
    </row>
    <row r="197" spans="1:29" ht="14.25" customHeight="1">
      <c r="A197" s="160"/>
      <c r="B197" s="160"/>
      <c r="C197" s="160"/>
      <c r="D197" s="160"/>
      <c r="E197" s="160"/>
      <c r="F197" s="160"/>
      <c r="G197" s="160"/>
      <c r="H197" s="163"/>
      <c r="I197" s="164"/>
      <c r="J197" s="163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  <c r="AA197" s="160"/>
      <c r="AB197" s="160"/>
      <c r="AC197" s="160"/>
    </row>
    <row r="198" spans="1:29" ht="14.25" customHeight="1">
      <c r="A198" s="160"/>
      <c r="B198" s="160"/>
      <c r="C198" s="160"/>
      <c r="D198" s="160"/>
      <c r="E198" s="160"/>
      <c r="F198" s="160"/>
      <c r="G198" s="160"/>
      <c r="H198" s="163"/>
      <c r="I198" s="164"/>
      <c r="J198" s="163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  <c r="AA198" s="160"/>
      <c r="AB198" s="160"/>
      <c r="AC198" s="160"/>
    </row>
    <row r="199" spans="1:29" ht="14.25" customHeight="1">
      <c r="A199" s="160"/>
      <c r="B199" s="160"/>
      <c r="C199" s="160"/>
      <c r="D199" s="160"/>
      <c r="E199" s="160"/>
      <c r="F199" s="160"/>
      <c r="G199" s="160"/>
      <c r="H199" s="163"/>
      <c r="I199" s="164"/>
      <c r="J199" s="163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  <c r="AA199" s="160"/>
      <c r="AB199" s="160"/>
      <c r="AC199" s="160"/>
    </row>
    <row r="200" spans="1:29" ht="14.25" customHeight="1">
      <c r="A200" s="160"/>
      <c r="B200" s="160"/>
      <c r="C200" s="160"/>
      <c r="D200" s="160"/>
      <c r="E200" s="160"/>
      <c r="F200" s="160"/>
      <c r="G200" s="160"/>
      <c r="H200" s="163"/>
      <c r="I200" s="164"/>
      <c r="J200" s="163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  <c r="AA200" s="160"/>
      <c r="AB200" s="160"/>
      <c r="AC200" s="160"/>
    </row>
    <row r="201" spans="1:29" ht="14.25" customHeight="1">
      <c r="A201" s="160"/>
      <c r="B201" s="160"/>
      <c r="C201" s="160"/>
      <c r="D201" s="160"/>
      <c r="E201" s="160"/>
      <c r="F201" s="160"/>
      <c r="G201" s="160"/>
      <c r="H201" s="163"/>
      <c r="I201" s="164"/>
      <c r="J201" s="163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  <c r="AA201" s="160"/>
      <c r="AB201" s="160"/>
      <c r="AC201" s="160"/>
    </row>
    <row r="202" spans="1:29" ht="14.25" customHeight="1">
      <c r="A202" s="160"/>
      <c r="B202" s="160"/>
      <c r="C202" s="160"/>
      <c r="D202" s="160"/>
      <c r="E202" s="160"/>
      <c r="F202" s="160"/>
      <c r="G202" s="160"/>
      <c r="H202" s="163"/>
      <c r="I202" s="164"/>
      <c r="J202" s="163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  <c r="AA202" s="160"/>
      <c r="AB202" s="160"/>
      <c r="AC202" s="160"/>
    </row>
    <row r="203" spans="1:29" ht="14.25" customHeight="1">
      <c r="A203" s="160"/>
      <c r="B203" s="160"/>
      <c r="C203" s="160"/>
      <c r="D203" s="160"/>
      <c r="E203" s="160"/>
      <c r="F203" s="160"/>
      <c r="G203" s="160"/>
      <c r="H203" s="163"/>
      <c r="I203" s="164"/>
      <c r="J203" s="163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</row>
    <row r="204" spans="1:29" ht="14.25" customHeight="1">
      <c r="A204" s="160"/>
      <c r="B204" s="160"/>
      <c r="C204" s="160"/>
      <c r="D204" s="160"/>
      <c r="E204" s="160"/>
      <c r="F204" s="160"/>
      <c r="G204" s="160"/>
      <c r="H204" s="163"/>
      <c r="I204" s="164"/>
      <c r="J204" s="163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</row>
    <row r="205" spans="1:29" ht="14.25" customHeight="1">
      <c r="A205" s="160"/>
      <c r="B205" s="160"/>
      <c r="C205" s="160"/>
      <c r="D205" s="160"/>
      <c r="E205" s="160"/>
      <c r="F205" s="160"/>
      <c r="G205" s="160"/>
      <c r="H205" s="163"/>
      <c r="I205" s="164"/>
      <c r="J205" s="163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</row>
    <row r="206" spans="1:29" ht="14.25" customHeight="1">
      <c r="A206" s="160"/>
      <c r="B206" s="160"/>
      <c r="C206" s="160"/>
      <c r="D206" s="160"/>
      <c r="E206" s="160"/>
      <c r="F206" s="160"/>
      <c r="G206" s="160"/>
      <c r="H206" s="163"/>
      <c r="I206" s="164"/>
      <c r="J206" s="163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</row>
    <row r="207" spans="1:29" ht="14.25" customHeight="1">
      <c r="A207" s="160"/>
      <c r="B207" s="160"/>
      <c r="C207" s="160"/>
      <c r="D207" s="160"/>
      <c r="E207" s="160"/>
      <c r="F207" s="160"/>
      <c r="G207" s="160"/>
      <c r="H207" s="163"/>
      <c r="I207" s="164"/>
      <c r="J207" s="163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  <c r="AA207" s="160"/>
      <c r="AB207" s="160"/>
      <c r="AC207" s="160"/>
    </row>
    <row r="208" spans="1:29" ht="14.25" customHeight="1">
      <c r="A208" s="160"/>
      <c r="B208" s="160"/>
      <c r="C208" s="160"/>
      <c r="D208" s="160"/>
      <c r="E208" s="160"/>
      <c r="F208" s="160"/>
      <c r="G208" s="160"/>
      <c r="H208" s="163"/>
      <c r="I208" s="164"/>
      <c r="J208" s="163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  <c r="AA208" s="160"/>
      <c r="AB208" s="160"/>
      <c r="AC208" s="160"/>
    </row>
    <row r="209" spans="1:29" ht="14.25" customHeight="1">
      <c r="A209" s="160"/>
      <c r="B209" s="160"/>
      <c r="C209" s="160"/>
      <c r="D209" s="160"/>
      <c r="E209" s="160"/>
      <c r="F209" s="160"/>
      <c r="G209" s="160"/>
      <c r="H209" s="163"/>
      <c r="I209" s="164"/>
      <c r="J209" s="163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  <c r="AA209" s="160"/>
      <c r="AB209" s="160"/>
      <c r="AC209" s="160"/>
    </row>
    <row r="210" spans="1:29" ht="14.25" customHeight="1">
      <c r="A210" s="160"/>
      <c r="B210" s="160"/>
      <c r="C210" s="160"/>
      <c r="D210" s="160"/>
      <c r="E210" s="160"/>
      <c r="F210" s="160"/>
      <c r="G210" s="160"/>
      <c r="H210" s="163"/>
      <c r="I210" s="164"/>
      <c r="J210" s="163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  <c r="AA210" s="160"/>
      <c r="AB210" s="160"/>
      <c r="AC210" s="160"/>
    </row>
    <row r="211" spans="1:29" ht="14.25" customHeight="1">
      <c r="A211" s="160"/>
      <c r="B211" s="160"/>
      <c r="C211" s="160"/>
      <c r="D211" s="160"/>
      <c r="E211" s="160"/>
      <c r="F211" s="160"/>
      <c r="G211" s="160"/>
      <c r="H211" s="163"/>
      <c r="I211" s="164"/>
      <c r="J211" s="163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  <c r="AA211" s="160"/>
      <c r="AB211" s="160"/>
      <c r="AC211" s="160"/>
    </row>
    <row r="212" spans="1:29" ht="14.25" customHeight="1">
      <c r="A212" s="160"/>
      <c r="B212" s="160"/>
      <c r="C212" s="160"/>
      <c r="D212" s="160"/>
      <c r="E212" s="160"/>
      <c r="F212" s="160"/>
      <c r="G212" s="160"/>
      <c r="H212" s="163"/>
      <c r="I212" s="164"/>
      <c r="J212" s="163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  <c r="AA212" s="160"/>
      <c r="AB212" s="160"/>
      <c r="AC212" s="160"/>
    </row>
    <row r="213" spans="1:29" ht="14.25" customHeight="1">
      <c r="A213" s="160"/>
      <c r="B213" s="160"/>
      <c r="C213" s="160"/>
      <c r="D213" s="160"/>
      <c r="E213" s="160"/>
      <c r="F213" s="160"/>
      <c r="G213" s="160"/>
      <c r="H213" s="163"/>
      <c r="I213" s="164"/>
      <c r="J213" s="163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  <c r="AA213" s="160"/>
      <c r="AB213" s="160"/>
      <c r="AC213" s="160"/>
    </row>
    <row r="214" spans="1:29" ht="14.25" customHeight="1">
      <c r="A214" s="160"/>
      <c r="B214" s="160"/>
      <c r="C214" s="160"/>
      <c r="D214" s="160"/>
      <c r="E214" s="160"/>
      <c r="F214" s="160"/>
      <c r="G214" s="160"/>
      <c r="H214" s="163"/>
      <c r="I214" s="164"/>
      <c r="J214" s="163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  <c r="AA214" s="160"/>
      <c r="AB214" s="160"/>
      <c r="AC214" s="160"/>
    </row>
    <row r="215" spans="1:29" ht="14.25" customHeight="1">
      <c r="A215" s="160"/>
      <c r="B215" s="160"/>
      <c r="C215" s="160"/>
      <c r="D215" s="160"/>
      <c r="E215" s="160"/>
      <c r="F215" s="160"/>
      <c r="G215" s="160"/>
      <c r="H215" s="163"/>
      <c r="I215" s="164"/>
      <c r="J215" s="163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  <c r="AA215" s="160"/>
      <c r="AB215" s="160"/>
      <c r="AC215" s="160"/>
    </row>
    <row r="216" spans="1:29" ht="14.25" customHeight="1">
      <c r="A216" s="160"/>
      <c r="B216" s="160"/>
      <c r="C216" s="160"/>
      <c r="D216" s="160"/>
      <c r="E216" s="160"/>
      <c r="F216" s="160"/>
      <c r="G216" s="160"/>
      <c r="H216" s="163"/>
      <c r="I216" s="164"/>
      <c r="J216" s="163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  <c r="AA216" s="160"/>
      <c r="AB216" s="160"/>
      <c r="AC216" s="160"/>
    </row>
    <row r="217" spans="1:29" ht="14.25" customHeight="1">
      <c r="A217" s="160"/>
      <c r="B217" s="160"/>
      <c r="C217" s="160"/>
      <c r="D217" s="160"/>
      <c r="E217" s="160"/>
      <c r="F217" s="160"/>
      <c r="G217" s="160"/>
      <c r="H217" s="163"/>
      <c r="I217" s="164"/>
      <c r="J217" s="163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  <c r="AA217" s="160"/>
      <c r="AB217" s="160"/>
      <c r="AC217" s="160"/>
    </row>
    <row r="218" spans="1:29" ht="14.25" customHeight="1">
      <c r="A218" s="160"/>
      <c r="B218" s="160"/>
      <c r="C218" s="160"/>
      <c r="D218" s="160"/>
      <c r="E218" s="160"/>
      <c r="F218" s="160"/>
      <c r="G218" s="160"/>
      <c r="H218" s="163"/>
      <c r="I218" s="164"/>
      <c r="J218" s="163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  <c r="AA218" s="160"/>
      <c r="AB218" s="160"/>
      <c r="AC218" s="160"/>
    </row>
    <row r="219" spans="1:29" ht="14.25" customHeight="1">
      <c r="A219" s="160"/>
      <c r="B219" s="160"/>
      <c r="C219" s="160"/>
      <c r="D219" s="160"/>
      <c r="E219" s="160"/>
      <c r="F219" s="160"/>
      <c r="G219" s="160"/>
      <c r="H219" s="163"/>
      <c r="I219" s="164"/>
      <c r="J219" s="163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  <c r="AA219" s="160"/>
      <c r="AB219" s="160"/>
      <c r="AC219" s="160"/>
    </row>
    <row r="220" spans="1:29" ht="14.25" customHeight="1">
      <c r="A220" s="160"/>
      <c r="B220" s="160"/>
      <c r="C220" s="160"/>
      <c r="D220" s="160"/>
      <c r="E220" s="160"/>
      <c r="F220" s="160"/>
      <c r="G220" s="160"/>
      <c r="H220" s="163"/>
      <c r="I220" s="164"/>
      <c r="J220" s="163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  <c r="AA220" s="160"/>
      <c r="AB220" s="160"/>
      <c r="AC220" s="160"/>
    </row>
    <row r="221" spans="1:29" ht="14.25" customHeight="1">
      <c r="A221" s="160"/>
      <c r="B221" s="160"/>
      <c r="C221" s="160"/>
      <c r="D221" s="160"/>
      <c r="E221" s="160"/>
      <c r="F221" s="160"/>
      <c r="G221" s="160"/>
      <c r="H221" s="163"/>
      <c r="I221" s="164"/>
      <c r="J221" s="163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  <c r="AA221" s="160"/>
      <c r="AB221" s="160"/>
      <c r="AC221" s="160"/>
    </row>
    <row r="222" spans="1:29" ht="14.25" customHeight="1">
      <c r="A222" s="160"/>
      <c r="B222" s="160"/>
      <c r="C222" s="160"/>
      <c r="D222" s="160"/>
      <c r="E222" s="160"/>
      <c r="F222" s="160"/>
      <c r="G222" s="160"/>
      <c r="H222" s="163"/>
      <c r="I222" s="164"/>
      <c r="J222" s="163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  <c r="AA222" s="160"/>
      <c r="AB222" s="160"/>
      <c r="AC222" s="160"/>
    </row>
    <row r="223" spans="1:29" ht="14.25" customHeight="1">
      <c r="A223" s="160"/>
      <c r="B223" s="160"/>
      <c r="C223" s="160"/>
      <c r="D223" s="160"/>
      <c r="E223" s="160"/>
      <c r="F223" s="160"/>
      <c r="G223" s="160"/>
      <c r="H223" s="163"/>
      <c r="I223" s="164"/>
      <c r="J223" s="163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  <c r="AA223" s="160"/>
      <c r="AB223" s="160"/>
      <c r="AC223" s="160"/>
    </row>
    <row r="224" spans="1:29" ht="14.25" customHeight="1">
      <c r="A224" s="160"/>
      <c r="B224" s="160"/>
      <c r="C224" s="160"/>
      <c r="D224" s="160"/>
      <c r="E224" s="160"/>
      <c r="F224" s="160"/>
      <c r="G224" s="160"/>
      <c r="H224" s="163"/>
      <c r="I224" s="164"/>
      <c r="J224" s="163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</row>
    <row r="225" spans="1:29" ht="14.25" customHeight="1">
      <c r="A225" s="160"/>
      <c r="B225" s="160"/>
      <c r="C225" s="160"/>
      <c r="D225" s="160"/>
      <c r="E225" s="160"/>
      <c r="F225" s="160"/>
      <c r="G225" s="160"/>
      <c r="H225" s="163"/>
      <c r="I225" s="164"/>
      <c r="J225" s="163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  <c r="AA225" s="160"/>
      <c r="AB225" s="160"/>
      <c r="AC225" s="160"/>
    </row>
    <row r="226" spans="1:29" ht="14.25" customHeight="1">
      <c r="A226" s="160"/>
      <c r="B226" s="160"/>
      <c r="C226" s="160"/>
      <c r="D226" s="160"/>
      <c r="E226" s="160"/>
      <c r="F226" s="160"/>
      <c r="G226" s="160"/>
      <c r="H226" s="163"/>
      <c r="I226" s="164"/>
      <c r="J226" s="163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  <c r="AA226" s="160"/>
      <c r="AB226" s="160"/>
      <c r="AC226" s="160"/>
    </row>
    <row r="227" spans="1:29" ht="14.25" customHeight="1">
      <c r="A227" s="160"/>
      <c r="B227" s="160"/>
      <c r="C227" s="160"/>
      <c r="D227" s="160"/>
      <c r="E227" s="160"/>
      <c r="F227" s="160"/>
      <c r="G227" s="160"/>
      <c r="H227" s="163"/>
      <c r="I227" s="164"/>
      <c r="J227" s="163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  <c r="AA227" s="160"/>
      <c r="AB227" s="160"/>
      <c r="AC227" s="160"/>
    </row>
    <row r="228" spans="1:29" ht="14.25" customHeight="1">
      <c r="A228" s="160"/>
      <c r="B228" s="160"/>
      <c r="C228" s="160"/>
      <c r="D228" s="160"/>
      <c r="E228" s="160"/>
      <c r="F228" s="160"/>
      <c r="G228" s="160"/>
      <c r="H228" s="163"/>
      <c r="I228" s="164"/>
      <c r="J228" s="163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  <c r="AA228" s="160"/>
      <c r="AB228" s="160"/>
      <c r="AC228" s="160"/>
    </row>
    <row r="229" spans="1:29" ht="14.25" customHeight="1">
      <c r="A229" s="160"/>
      <c r="B229" s="160"/>
      <c r="C229" s="160"/>
      <c r="D229" s="160"/>
      <c r="E229" s="160"/>
      <c r="F229" s="160"/>
      <c r="G229" s="160"/>
      <c r="H229" s="163"/>
      <c r="I229" s="164"/>
      <c r="J229" s="163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  <c r="AA229" s="160"/>
      <c r="AB229" s="160"/>
      <c r="AC229" s="160"/>
    </row>
    <row r="230" spans="1:29" ht="14.25" customHeight="1">
      <c r="A230" s="160"/>
      <c r="B230" s="160"/>
      <c r="C230" s="160"/>
      <c r="D230" s="160"/>
      <c r="E230" s="160"/>
      <c r="F230" s="160"/>
      <c r="G230" s="160"/>
      <c r="H230" s="163"/>
      <c r="I230" s="164"/>
      <c r="J230" s="163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  <c r="AA230" s="160"/>
      <c r="AB230" s="160"/>
      <c r="AC230" s="160"/>
    </row>
    <row r="231" spans="1:29" ht="14.25" customHeight="1">
      <c r="A231" s="160"/>
      <c r="B231" s="160"/>
      <c r="C231" s="160"/>
      <c r="D231" s="160"/>
      <c r="E231" s="160"/>
      <c r="F231" s="160"/>
      <c r="G231" s="160"/>
      <c r="H231" s="163"/>
      <c r="I231" s="164"/>
      <c r="J231" s="163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  <c r="AA231" s="160"/>
      <c r="AB231" s="160"/>
      <c r="AC231" s="160"/>
    </row>
    <row r="232" spans="1:29" ht="14.25" customHeight="1">
      <c r="A232" s="160"/>
      <c r="B232" s="160"/>
      <c r="C232" s="160"/>
      <c r="D232" s="160"/>
      <c r="E232" s="160"/>
      <c r="F232" s="160"/>
      <c r="G232" s="160"/>
      <c r="H232" s="163"/>
      <c r="I232" s="164"/>
      <c r="J232" s="163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  <c r="AA232" s="160"/>
      <c r="AB232" s="160"/>
      <c r="AC232" s="160"/>
    </row>
    <row r="233" spans="1:29" ht="14.25" customHeight="1">
      <c r="A233" s="160"/>
      <c r="B233" s="160"/>
      <c r="C233" s="160"/>
      <c r="D233" s="160"/>
      <c r="E233" s="160"/>
      <c r="F233" s="160"/>
      <c r="G233" s="160"/>
      <c r="H233" s="163"/>
      <c r="I233" s="164"/>
      <c r="J233" s="163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  <c r="AA233" s="160"/>
      <c r="AB233" s="160"/>
      <c r="AC233" s="160"/>
    </row>
    <row r="234" spans="1:29" ht="14.25" customHeight="1">
      <c r="A234" s="160"/>
      <c r="B234" s="160"/>
      <c r="C234" s="160"/>
      <c r="D234" s="160"/>
      <c r="E234" s="160"/>
      <c r="F234" s="160"/>
      <c r="G234" s="160"/>
      <c r="H234" s="163"/>
      <c r="I234" s="164"/>
      <c r="J234" s="163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  <c r="AA234" s="160"/>
      <c r="AB234" s="160"/>
      <c r="AC234" s="160"/>
    </row>
    <row r="235" spans="1:29" ht="14.25" customHeight="1">
      <c r="A235" s="160"/>
      <c r="B235" s="160"/>
      <c r="C235" s="160"/>
      <c r="D235" s="160"/>
      <c r="E235" s="160"/>
      <c r="F235" s="160"/>
      <c r="G235" s="160"/>
      <c r="H235" s="163"/>
      <c r="I235" s="164"/>
      <c r="J235" s="163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  <c r="AA235" s="160"/>
      <c r="AB235" s="160"/>
      <c r="AC235" s="160"/>
    </row>
    <row r="236" spans="1:29" ht="14.25" customHeight="1">
      <c r="A236" s="160"/>
      <c r="B236" s="160"/>
      <c r="C236" s="160"/>
      <c r="D236" s="160"/>
      <c r="E236" s="160"/>
      <c r="F236" s="160"/>
      <c r="G236" s="160"/>
      <c r="H236" s="163"/>
      <c r="I236" s="164"/>
      <c r="J236" s="163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  <c r="AA236" s="160"/>
      <c r="AB236" s="160"/>
      <c r="AC236" s="160"/>
    </row>
    <row r="237" spans="1:29" ht="14.25" customHeight="1">
      <c r="A237" s="160"/>
      <c r="B237" s="160"/>
      <c r="C237" s="160"/>
      <c r="D237" s="160"/>
      <c r="E237" s="160"/>
      <c r="F237" s="160"/>
      <c r="G237" s="160"/>
      <c r="H237" s="163"/>
      <c r="I237" s="164"/>
      <c r="J237" s="163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  <c r="AA237" s="160"/>
      <c r="AB237" s="160"/>
      <c r="AC237" s="160"/>
    </row>
    <row r="238" spans="1:29" ht="14.25" customHeight="1">
      <c r="A238" s="160"/>
      <c r="B238" s="160"/>
      <c r="C238" s="160"/>
      <c r="D238" s="160"/>
      <c r="E238" s="160"/>
      <c r="F238" s="160"/>
      <c r="G238" s="160"/>
      <c r="H238" s="163"/>
      <c r="I238" s="164"/>
      <c r="J238" s="163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  <c r="AA238" s="160"/>
      <c r="AB238" s="160"/>
      <c r="AC238" s="160"/>
    </row>
    <row r="239" spans="1:29" ht="14.25" customHeight="1">
      <c r="A239" s="160"/>
      <c r="B239" s="160"/>
      <c r="C239" s="160"/>
      <c r="D239" s="160"/>
      <c r="E239" s="160"/>
      <c r="F239" s="160"/>
      <c r="G239" s="160"/>
      <c r="H239" s="163"/>
      <c r="I239" s="164"/>
      <c r="J239" s="163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  <c r="AA239" s="160"/>
      <c r="AB239" s="160"/>
      <c r="AC239" s="160"/>
    </row>
    <row r="240" spans="1:29" ht="14.25" customHeight="1">
      <c r="A240" s="160"/>
      <c r="B240" s="160"/>
      <c r="C240" s="160"/>
      <c r="D240" s="160"/>
      <c r="E240" s="160"/>
      <c r="F240" s="160"/>
      <c r="G240" s="160"/>
      <c r="H240" s="163"/>
      <c r="I240" s="164"/>
      <c r="J240" s="163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  <c r="AA240" s="160"/>
      <c r="AB240" s="160"/>
      <c r="AC240" s="160"/>
    </row>
    <row r="241" spans="1:29" ht="14.25" customHeight="1">
      <c r="A241" s="160"/>
      <c r="B241" s="160"/>
      <c r="C241" s="160"/>
      <c r="D241" s="160"/>
      <c r="E241" s="160"/>
      <c r="F241" s="160"/>
      <c r="G241" s="160"/>
      <c r="H241" s="163"/>
      <c r="I241" s="164"/>
      <c r="J241" s="163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  <c r="AA241" s="160"/>
      <c r="AB241" s="160"/>
      <c r="AC241" s="160"/>
    </row>
    <row r="242" spans="1:29" ht="14.25" customHeight="1">
      <c r="A242" s="160"/>
      <c r="B242" s="160"/>
      <c r="C242" s="160"/>
      <c r="D242" s="160"/>
      <c r="E242" s="160"/>
      <c r="F242" s="160"/>
      <c r="G242" s="160"/>
      <c r="H242" s="163"/>
      <c r="I242" s="164"/>
      <c r="J242" s="163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  <c r="AA242" s="160"/>
      <c r="AB242" s="160"/>
      <c r="AC242" s="160"/>
    </row>
    <row r="243" spans="1:29" ht="14.25" customHeight="1">
      <c r="A243" s="160"/>
      <c r="B243" s="160"/>
      <c r="C243" s="160"/>
      <c r="D243" s="160"/>
      <c r="E243" s="160"/>
      <c r="F243" s="160"/>
      <c r="G243" s="160"/>
      <c r="H243" s="163"/>
      <c r="I243" s="164"/>
      <c r="J243" s="163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  <c r="AA243" s="160"/>
      <c r="AB243" s="160"/>
      <c r="AC243" s="160"/>
    </row>
    <row r="244" spans="1:29" ht="14.25" customHeight="1">
      <c r="A244" s="160"/>
      <c r="B244" s="160"/>
      <c r="C244" s="160"/>
      <c r="D244" s="160"/>
      <c r="E244" s="160"/>
      <c r="F244" s="160"/>
      <c r="G244" s="160"/>
      <c r="H244" s="163"/>
      <c r="I244" s="164"/>
      <c r="J244" s="163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  <c r="AA244" s="160"/>
      <c r="AB244" s="160"/>
      <c r="AC244" s="160"/>
    </row>
    <row r="245" spans="1:29" ht="14.25" customHeight="1">
      <c r="A245" s="160"/>
      <c r="B245" s="160"/>
      <c r="C245" s="160"/>
      <c r="D245" s="160"/>
      <c r="E245" s="160"/>
      <c r="F245" s="160"/>
      <c r="G245" s="160"/>
      <c r="H245" s="163"/>
      <c r="I245" s="164"/>
      <c r="J245" s="163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  <c r="AA245" s="160"/>
      <c r="AB245" s="160"/>
      <c r="AC245" s="160"/>
    </row>
    <row r="246" spans="1:29" ht="14.25" customHeight="1">
      <c r="A246" s="160"/>
      <c r="B246" s="160"/>
      <c r="C246" s="160"/>
      <c r="D246" s="160"/>
      <c r="E246" s="160"/>
      <c r="F246" s="160"/>
      <c r="G246" s="160"/>
      <c r="H246" s="163"/>
      <c r="I246" s="164"/>
      <c r="J246" s="163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  <c r="AA246" s="160"/>
      <c r="AB246" s="160"/>
      <c r="AC246" s="160"/>
    </row>
    <row r="247" spans="1:29" ht="14.25" customHeight="1">
      <c r="A247" s="160"/>
      <c r="B247" s="160"/>
      <c r="C247" s="160"/>
      <c r="D247" s="160"/>
      <c r="E247" s="160"/>
      <c r="F247" s="160"/>
      <c r="G247" s="160"/>
      <c r="H247" s="163"/>
      <c r="I247" s="164"/>
      <c r="J247" s="163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  <c r="AA247" s="160"/>
      <c r="AB247" s="160"/>
      <c r="AC247" s="160"/>
    </row>
    <row r="248" spans="1:29" ht="14.25" customHeight="1">
      <c r="A248" s="160"/>
      <c r="B248" s="160"/>
      <c r="C248" s="160"/>
      <c r="D248" s="160"/>
      <c r="E248" s="160"/>
      <c r="F248" s="160"/>
      <c r="G248" s="160"/>
      <c r="H248" s="163"/>
      <c r="I248" s="164"/>
      <c r="J248" s="163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  <c r="AA248" s="160"/>
      <c r="AB248" s="160"/>
      <c r="AC248" s="160"/>
    </row>
    <row r="249" spans="1:29" ht="14.25" customHeight="1">
      <c r="A249" s="160"/>
      <c r="B249" s="160"/>
      <c r="C249" s="160"/>
      <c r="D249" s="160"/>
      <c r="E249" s="160"/>
      <c r="F249" s="160"/>
      <c r="G249" s="160"/>
      <c r="H249" s="163"/>
      <c r="I249" s="164"/>
      <c r="J249" s="163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  <c r="AA249" s="160"/>
      <c r="AB249" s="160"/>
      <c r="AC249" s="160"/>
    </row>
    <row r="250" spans="1:29" ht="14.25" customHeight="1">
      <c r="A250" s="160"/>
      <c r="B250" s="160"/>
      <c r="C250" s="160"/>
      <c r="D250" s="160"/>
      <c r="E250" s="160"/>
      <c r="F250" s="160"/>
      <c r="G250" s="160"/>
      <c r="H250" s="163"/>
      <c r="I250" s="164"/>
      <c r="J250" s="163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  <c r="AA250" s="160"/>
      <c r="AB250" s="160"/>
      <c r="AC250" s="160"/>
    </row>
    <row r="251" spans="1:29" ht="14.25" customHeight="1">
      <c r="A251" s="160"/>
      <c r="B251" s="160"/>
      <c r="C251" s="160"/>
      <c r="D251" s="160"/>
      <c r="E251" s="160"/>
      <c r="F251" s="160"/>
      <c r="G251" s="160"/>
      <c r="H251" s="163"/>
      <c r="I251" s="164"/>
      <c r="J251" s="163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  <c r="AA251" s="160"/>
      <c r="AB251" s="160"/>
      <c r="AC251" s="160"/>
    </row>
    <row r="252" spans="1:29" ht="14.25" customHeight="1">
      <c r="A252" s="160"/>
      <c r="B252" s="160"/>
      <c r="C252" s="160"/>
      <c r="D252" s="160"/>
      <c r="E252" s="160"/>
      <c r="F252" s="160"/>
      <c r="G252" s="160"/>
      <c r="H252" s="163"/>
      <c r="I252" s="164"/>
      <c r="J252" s="163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  <c r="AA252" s="160"/>
      <c r="AB252" s="160"/>
      <c r="AC252" s="160"/>
    </row>
    <row r="253" spans="1:29" ht="14.25" customHeight="1">
      <c r="A253" s="160"/>
      <c r="B253" s="160"/>
      <c r="C253" s="160"/>
      <c r="D253" s="160"/>
      <c r="E253" s="160"/>
      <c r="F253" s="160"/>
      <c r="G253" s="160"/>
      <c r="H253" s="163"/>
      <c r="I253" s="164"/>
      <c r="J253" s="163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  <c r="AA253" s="160"/>
      <c r="AB253" s="160"/>
      <c r="AC253" s="160"/>
    </row>
    <row r="254" spans="1:29" ht="14.25" customHeight="1">
      <c r="A254" s="160"/>
      <c r="B254" s="160"/>
      <c r="C254" s="160"/>
      <c r="D254" s="160"/>
      <c r="E254" s="160"/>
      <c r="F254" s="160"/>
      <c r="G254" s="160"/>
      <c r="H254" s="163"/>
      <c r="I254" s="164"/>
      <c r="J254" s="163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  <c r="AA254" s="160"/>
      <c r="AB254" s="160"/>
      <c r="AC254" s="160"/>
    </row>
    <row r="255" spans="1:29" ht="14.25" customHeight="1">
      <c r="A255" s="160"/>
      <c r="B255" s="160"/>
      <c r="C255" s="160"/>
      <c r="D255" s="160"/>
      <c r="E255" s="160"/>
      <c r="F255" s="160"/>
      <c r="G255" s="160"/>
      <c r="H255" s="163"/>
      <c r="I255" s="164"/>
      <c r="J255" s="163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160"/>
      <c r="AA255" s="160"/>
      <c r="AB255" s="160"/>
      <c r="AC255" s="160"/>
    </row>
    <row r="256" spans="1:29" ht="14.25" customHeight="1">
      <c r="A256" s="160"/>
      <c r="B256" s="160"/>
      <c r="C256" s="160"/>
      <c r="D256" s="160"/>
      <c r="E256" s="160"/>
      <c r="F256" s="160"/>
      <c r="G256" s="160"/>
      <c r="H256" s="163"/>
      <c r="I256" s="164"/>
      <c r="J256" s="163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  <c r="AA256" s="160"/>
      <c r="AB256" s="160"/>
      <c r="AC256" s="160"/>
    </row>
    <row r="257" spans="1:29" ht="14.25" customHeight="1">
      <c r="A257" s="160"/>
      <c r="B257" s="160"/>
      <c r="C257" s="160"/>
      <c r="D257" s="160"/>
      <c r="E257" s="160"/>
      <c r="F257" s="160"/>
      <c r="G257" s="160"/>
      <c r="H257" s="163"/>
      <c r="I257" s="164"/>
      <c r="J257" s="163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160"/>
      <c r="AA257" s="160"/>
      <c r="AB257" s="160"/>
      <c r="AC257" s="160"/>
    </row>
    <row r="258" spans="1:29" ht="14.25" customHeight="1">
      <c r="A258" s="160"/>
      <c r="B258" s="160"/>
      <c r="C258" s="160"/>
      <c r="D258" s="160"/>
      <c r="E258" s="160"/>
      <c r="F258" s="160"/>
      <c r="G258" s="160"/>
      <c r="H258" s="163"/>
      <c r="I258" s="164"/>
      <c r="J258" s="163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  <c r="AA258" s="160"/>
      <c r="AB258" s="160"/>
      <c r="AC258" s="160"/>
    </row>
    <row r="259" spans="1:29" ht="14.25" customHeight="1">
      <c r="A259" s="160"/>
      <c r="B259" s="160"/>
      <c r="C259" s="160"/>
      <c r="D259" s="160"/>
      <c r="E259" s="160"/>
      <c r="F259" s="160"/>
      <c r="G259" s="160"/>
      <c r="H259" s="163"/>
      <c r="I259" s="164"/>
      <c r="J259" s="163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  <c r="AA259" s="160"/>
      <c r="AB259" s="160"/>
      <c r="AC259" s="160"/>
    </row>
    <row r="260" spans="1:29" ht="14.25" customHeight="1">
      <c r="A260" s="160"/>
      <c r="B260" s="160"/>
      <c r="C260" s="160"/>
      <c r="D260" s="160"/>
      <c r="E260" s="160"/>
      <c r="F260" s="160"/>
      <c r="G260" s="160"/>
      <c r="H260" s="163"/>
      <c r="I260" s="164"/>
      <c r="J260" s="163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  <c r="AA260" s="160"/>
      <c r="AB260" s="160"/>
      <c r="AC260" s="160"/>
    </row>
    <row r="261" spans="1:29" ht="14.25" customHeight="1">
      <c r="A261" s="160"/>
      <c r="B261" s="160"/>
      <c r="C261" s="160"/>
      <c r="D261" s="160"/>
      <c r="E261" s="160"/>
      <c r="F261" s="160"/>
      <c r="G261" s="160"/>
      <c r="H261" s="163"/>
      <c r="I261" s="164"/>
      <c r="J261" s="163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160"/>
      <c r="AA261" s="160"/>
      <c r="AB261" s="160"/>
      <c r="AC261" s="160"/>
    </row>
    <row r="262" spans="1:29" ht="14.25" customHeight="1">
      <c r="A262" s="160"/>
      <c r="B262" s="160"/>
      <c r="C262" s="160"/>
      <c r="D262" s="160"/>
      <c r="E262" s="160"/>
      <c r="F262" s="160"/>
      <c r="G262" s="160"/>
      <c r="H262" s="163"/>
      <c r="I262" s="164"/>
      <c r="J262" s="163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  <c r="AA262" s="160"/>
      <c r="AB262" s="160"/>
      <c r="AC262" s="160"/>
    </row>
    <row r="263" spans="1:29" ht="14.25" customHeight="1">
      <c r="A263" s="160"/>
      <c r="B263" s="160"/>
      <c r="C263" s="160"/>
      <c r="D263" s="160"/>
      <c r="E263" s="160"/>
      <c r="F263" s="160"/>
      <c r="G263" s="160"/>
      <c r="H263" s="163"/>
      <c r="I263" s="164"/>
      <c r="J263" s="163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160"/>
      <c r="AA263" s="160"/>
      <c r="AB263" s="160"/>
      <c r="AC263" s="160"/>
    </row>
    <row r="264" spans="1:29" ht="14.25" customHeight="1">
      <c r="A264" s="160"/>
      <c r="B264" s="160"/>
      <c r="C264" s="160"/>
      <c r="D264" s="160"/>
      <c r="E264" s="160"/>
      <c r="F264" s="160"/>
      <c r="G264" s="160"/>
      <c r="H264" s="163"/>
      <c r="I264" s="164"/>
      <c r="J264" s="163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  <c r="AA264" s="160"/>
      <c r="AB264" s="160"/>
      <c r="AC264" s="160"/>
    </row>
    <row r="265" spans="1:29" ht="14.25" customHeight="1">
      <c r="A265" s="160"/>
      <c r="B265" s="160"/>
      <c r="C265" s="160"/>
      <c r="D265" s="160"/>
      <c r="E265" s="160"/>
      <c r="F265" s="160"/>
      <c r="G265" s="160"/>
      <c r="H265" s="163"/>
      <c r="I265" s="164"/>
      <c r="J265" s="163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160"/>
      <c r="AA265" s="160"/>
      <c r="AB265" s="160"/>
      <c r="AC265" s="160"/>
    </row>
    <row r="266" spans="1:29" ht="14.25" customHeight="1">
      <c r="A266" s="160"/>
      <c r="B266" s="160"/>
      <c r="C266" s="160"/>
      <c r="D266" s="160"/>
      <c r="E266" s="160"/>
      <c r="F266" s="160"/>
      <c r="G266" s="160"/>
      <c r="H266" s="163"/>
      <c r="I266" s="164"/>
      <c r="J266" s="163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  <c r="AA266" s="160"/>
      <c r="AB266" s="160"/>
      <c r="AC266" s="160"/>
    </row>
    <row r="267" spans="1:29" ht="14.25" customHeight="1">
      <c r="A267" s="160"/>
      <c r="B267" s="160"/>
      <c r="C267" s="160"/>
      <c r="D267" s="160"/>
      <c r="E267" s="160"/>
      <c r="F267" s="160"/>
      <c r="G267" s="160"/>
      <c r="H267" s="163"/>
      <c r="I267" s="164"/>
      <c r="J267" s="163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160"/>
      <c r="AA267" s="160"/>
      <c r="AB267" s="160"/>
      <c r="AC267" s="160"/>
    </row>
    <row r="268" spans="1:29" ht="14.25" customHeight="1">
      <c r="A268" s="160"/>
      <c r="B268" s="160"/>
      <c r="C268" s="160"/>
      <c r="D268" s="160"/>
      <c r="E268" s="160"/>
      <c r="F268" s="160"/>
      <c r="G268" s="160"/>
      <c r="H268" s="163"/>
      <c r="I268" s="164"/>
      <c r="J268" s="163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  <c r="AA268" s="160"/>
      <c r="AB268" s="160"/>
      <c r="AC268" s="160"/>
    </row>
    <row r="269" spans="1:29" ht="14.25" customHeight="1">
      <c r="A269" s="160"/>
      <c r="B269" s="160"/>
      <c r="C269" s="160"/>
      <c r="D269" s="160"/>
      <c r="E269" s="160"/>
      <c r="F269" s="160"/>
      <c r="G269" s="160"/>
      <c r="H269" s="163"/>
      <c r="I269" s="164"/>
      <c r="J269" s="163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  <c r="AA269" s="160"/>
      <c r="AB269" s="160"/>
      <c r="AC269" s="160"/>
    </row>
    <row r="270" spans="1:29" ht="14.25" customHeight="1">
      <c r="A270" s="160"/>
      <c r="B270" s="160"/>
      <c r="C270" s="160"/>
      <c r="D270" s="160"/>
      <c r="E270" s="160"/>
      <c r="F270" s="160"/>
      <c r="G270" s="160"/>
      <c r="H270" s="163"/>
      <c r="I270" s="164"/>
      <c r="J270" s="163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  <c r="AA270" s="160"/>
      <c r="AB270" s="160"/>
      <c r="AC270" s="160"/>
    </row>
    <row r="271" spans="1:29" ht="14.25" customHeight="1">
      <c r="A271" s="160"/>
      <c r="B271" s="160"/>
      <c r="C271" s="160"/>
      <c r="D271" s="160"/>
      <c r="E271" s="160"/>
      <c r="F271" s="160"/>
      <c r="G271" s="160"/>
      <c r="H271" s="163"/>
      <c r="I271" s="164"/>
      <c r="J271" s="163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  <c r="AA271" s="160"/>
      <c r="AB271" s="160"/>
      <c r="AC271" s="160"/>
    </row>
    <row r="272" spans="1:29" ht="14.25" customHeight="1">
      <c r="A272" s="160"/>
      <c r="B272" s="160"/>
      <c r="C272" s="160"/>
      <c r="D272" s="160"/>
      <c r="E272" s="160"/>
      <c r="F272" s="160"/>
      <c r="G272" s="160"/>
      <c r="H272" s="163"/>
      <c r="I272" s="164"/>
      <c r="J272" s="163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  <c r="AA272" s="160"/>
      <c r="AB272" s="160"/>
      <c r="AC272" s="160"/>
    </row>
    <row r="273" spans="1:29" ht="14.25" customHeight="1">
      <c r="A273" s="160"/>
      <c r="B273" s="160"/>
      <c r="C273" s="160"/>
      <c r="D273" s="160"/>
      <c r="E273" s="160"/>
      <c r="F273" s="160"/>
      <c r="G273" s="160"/>
      <c r="H273" s="163"/>
      <c r="I273" s="164"/>
      <c r="J273" s="163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  <c r="AA273" s="160"/>
      <c r="AB273" s="160"/>
      <c r="AC273" s="160"/>
    </row>
    <row r="274" spans="1:29" ht="14.25" customHeight="1">
      <c r="A274" s="160"/>
      <c r="B274" s="160"/>
      <c r="C274" s="160"/>
      <c r="D274" s="160"/>
      <c r="E274" s="160"/>
      <c r="F274" s="160"/>
      <c r="G274" s="160"/>
      <c r="H274" s="163"/>
      <c r="I274" s="164"/>
      <c r="J274" s="163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  <c r="AA274" s="160"/>
      <c r="AB274" s="160"/>
      <c r="AC274" s="160"/>
    </row>
    <row r="275" spans="1:29" ht="14.25" customHeight="1">
      <c r="A275" s="160"/>
      <c r="B275" s="160"/>
      <c r="C275" s="160"/>
      <c r="D275" s="160"/>
      <c r="E275" s="160"/>
      <c r="F275" s="160"/>
      <c r="G275" s="160"/>
      <c r="H275" s="163"/>
      <c r="I275" s="164"/>
      <c r="J275" s="163"/>
      <c r="K275" s="160"/>
      <c r="L275" s="160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160"/>
      <c r="AA275" s="160"/>
      <c r="AB275" s="160"/>
      <c r="AC275" s="160"/>
    </row>
    <row r="276" spans="1:29" ht="14.25" customHeight="1">
      <c r="A276" s="160"/>
      <c r="B276" s="160"/>
      <c r="C276" s="160"/>
      <c r="D276" s="160"/>
      <c r="E276" s="160"/>
      <c r="F276" s="160"/>
      <c r="G276" s="160"/>
      <c r="H276" s="163"/>
      <c r="I276" s="164"/>
      <c r="J276" s="163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  <c r="AA276" s="160"/>
      <c r="AB276" s="160"/>
      <c r="AC276" s="160"/>
    </row>
    <row r="277" spans="1:29" ht="14.25" customHeight="1">
      <c r="A277" s="160"/>
      <c r="B277" s="160"/>
      <c r="C277" s="160"/>
      <c r="D277" s="160"/>
      <c r="E277" s="160"/>
      <c r="F277" s="160"/>
      <c r="G277" s="160"/>
      <c r="H277" s="163"/>
      <c r="I277" s="164"/>
      <c r="J277" s="163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</row>
    <row r="278" spans="1:29" ht="14.25" customHeight="1">
      <c r="A278" s="160"/>
      <c r="B278" s="160"/>
      <c r="C278" s="160"/>
      <c r="D278" s="160"/>
      <c r="E278" s="160"/>
      <c r="F278" s="160"/>
      <c r="G278" s="160"/>
      <c r="H278" s="163"/>
      <c r="I278" s="164"/>
      <c r="J278" s="163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0"/>
      <c r="AA278" s="160"/>
      <c r="AB278" s="160"/>
      <c r="AC278" s="160"/>
    </row>
    <row r="279" spans="1:29" ht="14.25" customHeight="1">
      <c r="A279" s="160"/>
      <c r="B279" s="160"/>
      <c r="C279" s="160"/>
      <c r="D279" s="160"/>
      <c r="E279" s="160"/>
      <c r="F279" s="160"/>
      <c r="G279" s="160"/>
      <c r="H279" s="163"/>
      <c r="I279" s="164"/>
      <c r="J279" s="163"/>
      <c r="K279" s="160"/>
      <c r="L279" s="160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160"/>
      <c r="AA279" s="160"/>
      <c r="AB279" s="160"/>
      <c r="AC279" s="160"/>
    </row>
    <row r="280" spans="1:29" ht="14.25" customHeight="1">
      <c r="A280" s="160"/>
      <c r="B280" s="160"/>
      <c r="C280" s="160"/>
      <c r="D280" s="160"/>
      <c r="E280" s="160"/>
      <c r="F280" s="160"/>
      <c r="G280" s="160"/>
      <c r="H280" s="163"/>
      <c r="I280" s="164"/>
      <c r="J280" s="163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  <c r="AA280" s="160"/>
      <c r="AB280" s="160"/>
      <c r="AC280" s="160"/>
    </row>
    <row r="281" spans="1:29" ht="14.25" customHeight="1">
      <c r="A281" s="160"/>
      <c r="B281" s="160"/>
      <c r="C281" s="160"/>
      <c r="D281" s="160"/>
      <c r="E281" s="160"/>
      <c r="F281" s="160"/>
      <c r="G281" s="160"/>
      <c r="H281" s="163"/>
      <c r="I281" s="164"/>
      <c r="J281" s="163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  <c r="Z281" s="160"/>
      <c r="AA281" s="160"/>
      <c r="AB281" s="160"/>
      <c r="AC281" s="160"/>
    </row>
    <row r="282" spans="1:29" ht="14.25" customHeight="1">
      <c r="A282" s="160"/>
      <c r="B282" s="160"/>
      <c r="C282" s="160"/>
      <c r="D282" s="160"/>
      <c r="E282" s="160"/>
      <c r="F282" s="160"/>
      <c r="G282" s="160"/>
      <c r="H282" s="163"/>
      <c r="I282" s="164"/>
      <c r="J282" s="163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  <c r="AA282" s="160"/>
      <c r="AB282" s="160"/>
      <c r="AC282" s="160"/>
    </row>
    <row r="283" spans="1:29" ht="14.25" customHeight="1">
      <c r="A283" s="160"/>
      <c r="B283" s="160"/>
      <c r="C283" s="160"/>
      <c r="D283" s="160"/>
      <c r="E283" s="160"/>
      <c r="F283" s="160"/>
      <c r="G283" s="160"/>
      <c r="H283" s="163"/>
      <c r="I283" s="164"/>
      <c r="J283" s="163"/>
      <c r="K283" s="160"/>
      <c r="L283" s="160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  <c r="AA283" s="160"/>
      <c r="AB283" s="160"/>
      <c r="AC283" s="160"/>
    </row>
    <row r="284" spans="1:29" ht="14.25" customHeight="1">
      <c r="A284" s="160"/>
      <c r="B284" s="160"/>
      <c r="C284" s="160"/>
      <c r="D284" s="160"/>
      <c r="E284" s="160"/>
      <c r="F284" s="160"/>
      <c r="G284" s="160"/>
      <c r="H284" s="163"/>
      <c r="I284" s="164"/>
      <c r="J284" s="163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  <c r="AA284" s="160"/>
      <c r="AB284" s="160"/>
      <c r="AC284" s="160"/>
    </row>
    <row r="285" spans="1:29" ht="14.25" customHeight="1">
      <c r="A285" s="160"/>
      <c r="B285" s="160"/>
      <c r="C285" s="160"/>
      <c r="D285" s="160"/>
      <c r="E285" s="160"/>
      <c r="F285" s="160"/>
      <c r="G285" s="160"/>
      <c r="H285" s="163"/>
      <c r="I285" s="164"/>
      <c r="J285" s="163"/>
      <c r="K285" s="160"/>
      <c r="L285" s="160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  <c r="Z285" s="160"/>
      <c r="AA285" s="160"/>
      <c r="AB285" s="160"/>
      <c r="AC285" s="160"/>
    </row>
    <row r="286" spans="1:29" ht="14.25" customHeight="1">
      <c r="A286" s="160"/>
      <c r="B286" s="160"/>
      <c r="C286" s="160"/>
      <c r="D286" s="160"/>
      <c r="E286" s="160"/>
      <c r="F286" s="160"/>
      <c r="G286" s="160"/>
      <c r="H286" s="163"/>
      <c r="I286" s="164"/>
      <c r="J286" s="163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  <c r="AA286" s="160"/>
      <c r="AB286" s="160"/>
      <c r="AC286" s="160"/>
    </row>
    <row r="287" spans="1:29" ht="14.25" customHeight="1">
      <c r="A287" s="160"/>
      <c r="B287" s="160"/>
      <c r="C287" s="160"/>
      <c r="D287" s="160"/>
      <c r="E287" s="160"/>
      <c r="F287" s="160"/>
      <c r="G287" s="160"/>
      <c r="H287" s="163"/>
      <c r="I287" s="164"/>
      <c r="J287" s="163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  <c r="AA287" s="160"/>
      <c r="AB287" s="160"/>
      <c r="AC287" s="160"/>
    </row>
    <row r="288" spans="1:29" ht="14.25" customHeight="1">
      <c r="A288" s="160"/>
      <c r="B288" s="160"/>
      <c r="C288" s="160"/>
      <c r="D288" s="160"/>
      <c r="E288" s="160"/>
      <c r="F288" s="160"/>
      <c r="G288" s="160"/>
      <c r="H288" s="163"/>
      <c r="I288" s="164"/>
      <c r="J288" s="163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160"/>
      <c r="AA288" s="160"/>
      <c r="AB288" s="160"/>
      <c r="AC288" s="160"/>
    </row>
    <row r="289" spans="1:29" ht="14.25" customHeight="1">
      <c r="A289" s="160"/>
      <c r="B289" s="160"/>
      <c r="C289" s="160"/>
      <c r="D289" s="160"/>
      <c r="E289" s="160"/>
      <c r="F289" s="160"/>
      <c r="G289" s="160"/>
      <c r="H289" s="163"/>
      <c r="I289" s="164"/>
      <c r="J289" s="163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  <c r="AA289" s="160"/>
      <c r="AB289" s="160"/>
      <c r="AC289" s="160"/>
    </row>
    <row r="290" spans="1:29" ht="14.25" customHeight="1">
      <c r="A290" s="160"/>
      <c r="B290" s="160"/>
      <c r="C290" s="160"/>
      <c r="D290" s="160"/>
      <c r="E290" s="160"/>
      <c r="F290" s="160"/>
      <c r="G290" s="160"/>
      <c r="H290" s="163"/>
      <c r="I290" s="164"/>
      <c r="J290" s="163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  <c r="AA290" s="160"/>
      <c r="AB290" s="160"/>
      <c r="AC290" s="160"/>
    </row>
    <row r="291" spans="1:29" ht="14.25" customHeight="1">
      <c r="A291" s="160"/>
      <c r="B291" s="160"/>
      <c r="C291" s="160"/>
      <c r="D291" s="160"/>
      <c r="E291" s="160"/>
      <c r="F291" s="160"/>
      <c r="G291" s="160"/>
      <c r="H291" s="163"/>
      <c r="I291" s="164"/>
      <c r="J291" s="163"/>
      <c r="K291" s="160"/>
      <c r="L291" s="160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160"/>
      <c r="AA291" s="160"/>
      <c r="AB291" s="160"/>
      <c r="AC291" s="160"/>
    </row>
    <row r="292" spans="1:29" ht="14.25" customHeight="1">
      <c r="A292" s="160"/>
      <c r="B292" s="160"/>
      <c r="C292" s="160"/>
      <c r="D292" s="160"/>
      <c r="E292" s="160"/>
      <c r="F292" s="160"/>
      <c r="G292" s="160"/>
      <c r="H292" s="163"/>
      <c r="I292" s="164"/>
      <c r="J292" s="163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  <c r="AA292" s="160"/>
      <c r="AB292" s="160"/>
      <c r="AC292" s="160"/>
    </row>
    <row r="293" spans="1:29" ht="14.25" customHeight="1">
      <c r="A293" s="160"/>
      <c r="B293" s="160"/>
      <c r="C293" s="160"/>
      <c r="D293" s="160"/>
      <c r="E293" s="160"/>
      <c r="F293" s="160"/>
      <c r="G293" s="160"/>
      <c r="H293" s="163"/>
      <c r="I293" s="164"/>
      <c r="J293" s="163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  <c r="AA293" s="160"/>
      <c r="AB293" s="160"/>
      <c r="AC293" s="160"/>
    </row>
    <row r="294" spans="1:29" ht="14.25" customHeight="1">
      <c r="A294" s="160"/>
      <c r="B294" s="160"/>
      <c r="C294" s="160"/>
      <c r="D294" s="160"/>
      <c r="E294" s="160"/>
      <c r="F294" s="160"/>
      <c r="G294" s="160"/>
      <c r="H294" s="163"/>
      <c r="I294" s="164"/>
      <c r="J294" s="163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  <c r="AA294" s="160"/>
      <c r="AB294" s="160"/>
      <c r="AC294" s="160"/>
    </row>
    <row r="295" spans="1:29" ht="14.25" customHeight="1">
      <c r="A295" s="160"/>
      <c r="B295" s="160"/>
      <c r="C295" s="160"/>
      <c r="D295" s="160"/>
      <c r="E295" s="160"/>
      <c r="F295" s="160"/>
      <c r="G295" s="160"/>
      <c r="H295" s="163"/>
      <c r="I295" s="164"/>
      <c r="J295" s="163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160"/>
      <c r="AA295" s="160"/>
      <c r="AB295" s="160"/>
      <c r="AC295" s="160"/>
    </row>
    <row r="296" spans="1:29" ht="14.25" customHeight="1">
      <c r="A296" s="160"/>
      <c r="B296" s="160"/>
      <c r="C296" s="160"/>
      <c r="D296" s="160"/>
      <c r="E296" s="160"/>
      <c r="F296" s="160"/>
      <c r="G296" s="160"/>
      <c r="H296" s="163"/>
      <c r="I296" s="164"/>
      <c r="J296" s="163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  <c r="AA296" s="160"/>
      <c r="AB296" s="160"/>
      <c r="AC296" s="160"/>
    </row>
    <row r="297" spans="1:29" ht="14.25" customHeight="1">
      <c r="A297" s="160"/>
      <c r="B297" s="160"/>
      <c r="C297" s="160"/>
      <c r="D297" s="160"/>
      <c r="E297" s="160"/>
      <c r="F297" s="160"/>
      <c r="G297" s="160"/>
      <c r="H297" s="163"/>
      <c r="I297" s="164"/>
      <c r="J297" s="163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  <c r="AA297" s="160"/>
      <c r="AB297" s="160"/>
      <c r="AC297" s="160"/>
    </row>
    <row r="298" spans="1:29" ht="14.25" customHeight="1">
      <c r="A298" s="160"/>
      <c r="B298" s="160"/>
      <c r="C298" s="160"/>
      <c r="D298" s="160"/>
      <c r="E298" s="160"/>
      <c r="F298" s="160"/>
      <c r="G298" s="160"/>
      <c r="H298" s="163"/>
      <c r="I298" s="164"/>
      <c r="J298" s="163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  <c r="AA298" s="160"/>
      <c r="AB298" s="160"/>
      <c r="AC298" s="160"/>
    </row>
    <row r="299" spans="1:29" ht="14.25" customHeight="1">
      <c r="A299" s="160"/>
      <c r="B299" s="160"/>
      <c r="C299" s="160"/>
      <c r="D299" s="160"/>
      <c r="E299" s="160"/>
      <c r="F299" s="160"/>
      <c r="G299" s="160"/>
      <c r="H299" s="163"/>
      <c r="I299" s="164"/>
      <c r="J299" s="163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  <c r="AA299" s="160"/>
      <c r="AB299" s="160"/>
      <c r="AC299" s="160"/>
    </row>
    <row r="300" spans="1:29" ht="14.25" customHeight="1">
      <c r="A300" s="160"/>
      <c r="B300" s="160"/>
      <c r="C300" s="160"/>
      <c r="D300" s="160"/>
      <c r="E300" s="160"/>
      <c r="F300" s="160"/>
      <c r="G300" s="160"/>
      <c r="H300" s="163"/>
      <c r="I300" s="164"/>
      <c r="J300" s="163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  <c r="AA300" s="160"/>
      <c r="AB300" s="160"/>
      <c r="AC300" s="160"/>
    </row>
    <row r="301" spans="1:29" ht="14.25" customHeight="1">
      <c r="A301" s="160"/>
      <c r="B301" s="160"/>
      <c r="C301" s="160"/>
      <c r="D301" s="160"/>
      <c r="E301" s="160"/>
      <c r="F301" s="160"/>
      <c r="G301" s="160"/>
      <c r="H301" s="163"/>
      <c r="I301" s="164"/>
      <c r="J301" s="163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  <c r="AA301" s="160"/>
      <c r="AB301" s="160"/>
      <c r="AC301" s="160"/>
    </row>
    <row r="302" spans="1:29" ht="14.25" customHeight="1">
      <c r="A302" s="160"/>
      <c r="B302" s="160"/>
      <c r="C302" s="160"/>
      <c r="D302" s="160"/>
      <c r="E302" s="160"/>
      <c r="F302" s="160"/>
      <c r="G302" s="160"/>
      <c r="H302" s="163"/>
      <c r="I302" s="164"/>
      <c r="J302" s="163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  <c r="AA302" s="160"/>
      <c r="AB302" s="160"/>
      <c r="AC302" s="160"/>
    </row>
    <row r="303" spans="1:29" ht="14.25" customHeight="1">
      <c r="A303" s="160"/>
      <c r="B303" s="160"/>
      <c r="C303" s="160"/>
      <c r="D303" s="160"/>
      <c r="E303" s="160"/>
      <c r="F303" s="160"/>
      <c r="G303" s="160"/>
      <c r="H303" s="163"/>
      <c r="I303" s="164"/>
      <c r="J303" s="163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  <c r="AA303" s="160"/>
      <c r="AB303" s="160"/>
      <c r="AC303" s="160"/>
    </row>
    <row r="304" spans="1:29" ht="14.25" customHeight="1">
      <c r="A304" s="160"/>
      <c r="B304" s="160"/>
      <c r="C304" s="160"/>
      <c r="D304" s="160"/>
      <c r="E304" s="160"/>
      <c r="F304" s="160"/>
      <c r="G304" s="160"/>
      <c r="H304" s="163"/>
      <c r="I304" s="164"/>
      <c r="J304" s="163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  <c r="AA304" s="160"/>
      <c r="AB304" s="160"/>
      <c r="AC304" s="160"/>
    </row>
    <row r="305" spans="1:29" ht="14.25" customHeight="1">
      <c r="A305" s="160"/>
      <c r="B305" s="160"/>
      <c r="C305" s="160"/>
      <c r="D305" s="160"/>
      <c r="E305" s="160"/>
      <c r="F305" s="160"/>
      <c r="G305" s="160"/>
      <c r="H305" s="163"/>
      <c r="I305" s="164"/>
      <c r="J305" s="163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  <c r="AA305" s="160"/>
      <c r="AB305" s="160"/>
      <c r="AC305" s="160"/>
    </row>
    <row r="306" spans="1:29" ht="14.25" customHeight="1">
      <c r="A306" s="160"/>
      <c r="B306" s="160"/>
      <c r="C306" s="160"/>
      <c r="D306" s="160"/>
      <c r="E306" s="160"/>
      <c r="F306" s="160"/>
      <c r="G306" s="160"/>
      <c r="H306" s="163"/>
      <c r="I306" s="164"/>
      <c r="J306" s="163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  <c r="AA306" s="160"/>
      <c r="AB306" s="160"/>
      <c r="AC306" s="160"/>
    </row>
    <row r="307" spans="1:29" ht="14.25" customHeight="1">
      <c r="A307" s="160"/>
      <c r="B307" s="160"/>
      <c r="C307" s="160"/>
      <c r="D307" s="160"/>
      <c r="E307" s="160"/>
      <c r="F307" s="160"/>
      <c r="G307" s="160"/>
      <c r="H307" s="163"/>
      <c r="I307" s="164"/>
      <c r="J307" s="163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  <c r="AA307" s="160"/>
      <c r="AB307" s="160"/>
      <c r="AC307" s="160"/>
    </row>
    <row r="308" spans="1:29" ht="14.25" customHeight="1">
      <c r="A308" s="160"/>
      <c r="B308" s="160"/>
      <c r="C308" s="160"/>
      <c r="D308" s="160"/>
      <c r="E308" s="160"/>
      <c r="F308" s="160"/>
      <c r="G308" s="160"/>
      <c r="H308" s="163"/>
      <c r="I308" s="164"/>
      <c r="J308" s="163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  <c r="AA308" s="160"/>
      <c r="AB308" s="160"/>
      <c r="AC308" s="160"/>
    </row>
    <row r="309" spans="1:29" ht="14.25" customHeight="1">
      <c r="A309" s="160"/>
      <c r="B309" s="160"/>
      <c r="C309" s="160"/>
      <c r="D309" s="160"/>
      <c r="E309" s="160"/>
      <c r="F309" s="160"/>
      <c r="G309" s="160"/>
      <c r="H309" s="163"/>
      <c r="I309" s="164"/>
      <c r="J309" s="163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  <c r="AA309" s="160"/>
      <c r="AB309" s="160"/>
      <c r="AC309" s="160"/>
    </row>
    <row r="310" spans="1:29" ht="14.25" customHeight="1">
      <c r="A310" s="160"/>
      <c r="B310" s="160"/>
      <c r="C310" s="160"/>
      <c r="D310" s="160"/>
      <c r="E310" s="160"/>
      <c r="F310" s="160"/>
      <c r="G310" s="160"/>
      <c r="H310" s="163"/>
      <c r="I310" s="164"/>
      <c r="J310" s="163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  <c r="AA310" s="160"/>
      <c r="AB310" s="160"/>
      <c r="AC310" s="160"/>
    </row>
    <row r="311" spans="1:29" ht="14.25" customHeight="1">
      <c r="A311" s="160"/>
      <c r="B311" s="160"/>
      <c r="C311" s="160"/>
      <c r="D311" s="160"/>
      <c r="E311" s="160"/>
      <c r="F311" s="160"/>
      <c r="G311" s="160"/>
      <c r="H311" s="163"/>
      <c r="I311" s="164"/>
      <c r="J311" s="163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  <c r="AA311" s="160"/>
      <c r="AB311" s="160"/>
      <c r="AC311" s="160"/>
    </row>
    <row r="312" spans="1:29" ht="14.25" customHeight="1">
      <c r="A312" s="160"/>
      <c r="B312" s="160"/>
      <c r="C312" s="160"/>
      <c r="D312" s="160"/>
      <c r="E312" s="160"/>
      <c r="F312" s="160"/>
      <c r="G312" s="160"/>
      <c r="H312" s="163"/>
      <c r="I312" s="164"/>
      <c r="J312" s="163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  <c r="AA312" s="160"/>
      <c r="AB312" s="160"/>
      <c r="AC312" s="160"/>
    </row>
    <row r="313" spans="1:29" ht="14.25" customHeight="1">
      <c r="A313" s="160"/>
      <c r="B313" s="160"/>
      <c r="C313" s="160"/>
      <c r="D313" s="160"/>
      <c r="E313" s="160"/>
      <c r="F313" s="160"/>
      <c r="G313" s="160"/>
      <c r="H313" s="163"/>
      <c r="I313" s="164"/>
      <c r="J313" s="163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  <c r="AA313" s="160"/>
      <c r="AB313" s="160"/>
      <c r="AC313" s="160"/>
    </row>
    <row r="314" spans="1:29" ht="14.25" customHeight="1">
      <c r="A314" s="160"/>
      <c r="B314" s="160"/>
      <c r="C314" s="160"/>
      <c r="D314" s="160"/>
      <c r="E314" s="160"/>
      <c r="F314" s="160"/>
      <c r="G314" s="160"/>
      <c r="H314" s="163"/>
      <c r="I314" s="164"/>
      <c r="J314" s="163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  <c r="AA314" s="160"/>
      <c r="AB314" s="160"/>
      <c r="AC314" s="160"/>
    </row>
    <row r="315" spans="1:29" ht="14.25" customHeight="1">
      <c r="A315" s="160"/>
      <c r="B315" s="160"/>
      <c r="C315" s="160"/>
      <c r="D315" s="160"/>
      <c r="E315" s="160"/>
      <c r="F315" s="160"/>
      <c r="G315" s="160"/>
      <c r="H315" s="163"/>
      <c r="I315" s="164"/>
      <c r="J315" s="163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  <c r="AA315" s="160"/>
      <c r="AB315" s="160"/>
      <c r="AC315" s="160"/>
    </row>
    <row r="316" spans="1:29" ht="14.25" customHeight="1">
      <c r="A316" s="160"/>
      <c r="B316" s="160"/>
      <c r="C316" s="160"/>
      <c r="D316" s="160"/>
      <c r="E316" s="160"/>
      <c r="F316" s="160"/>
      <c r="G316" s="160"/>
      <c r="H316" s="163"/>
      <c r="I316" s="164"/>
      <c r="J316" s="163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  <c r="AA316" s="160"/>
      <c r="AB316" s="160"/>
      <c r="AC316" s="160"/>
    </row>
    <row r="317" spans="1:29" ht="14.25" customHeight="1">
      <c r="A317" s="160"/>
      <c r="B317" s="160"/>
      <c r="C317" s="160"/>
      <c r="D317" s="160"/>
      <c r="E317" s="160"/>
      <c r="F317" s="160"/>
      <c r="G317" s="160"/>
      <c r="H317" s="163"/>
      <c r="I317" s="164"/>
      <c r="J317" s="163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  <c r="AA317" s="160"/>
      <c r="AB317" s="160"/>
      <c r="AC317" s="160"/>
    </row>
    <row r="318" spans="1:29" ht="14.25" customHeight="1">
      <c r="A318" s="160"/>
      <c r="B318" s="160"/>
      <c r="C318" s="160"/>
      <c r="D318" s="160"/>
      <c r="E318" s="160"/>
      <c r="F318" s="160"/>
      <c r="G318" s="160"/>
      <c r="H318" s="163"/>
      <c r="I318" s="164"/>
      <c r="J318" s="163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  <c r="AA318" s="160"/>
      <c r="AB318" s="160"/>
      <c r="AC318" s="160"/>
    </row>
    <row r="319" spans="1:29" ht="14.25" customHeight="1">
      <c r="A319" s="160"/>
      <c r="B319" s="160"/>
      <c r="C319" s="160"/>
      <c r="D319" s="160"/>
      <c r="E319" s="160"/>
      <c r="F319" s="160"/>
      <c r="G319" s="160"/>
      <c r="H319" s="163"/>
      <c r="I319" s="164"/>
      <c r="J319" s="163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  <c r="AA319" s="160"/>
      <c r="AB319" s="160"/>
      <c r="AC319" s="160"/>
    </row>
    <row r="320" spans="1:29" ht="14.25" customHeight="1">
      <c r="A320" s="160"/>
      <c r="B320" s="160"/>
      <c r="C320" s="160"/>
      <c r="D320" s="160"/>
      <c r="E320" s="160"/>
      <c r="F320" s="160"/>
      <c r="G320" s="160"/>
      <c r="H320" s="163"/>
      <c r="I320" s="164"/>
      <c r="J320" s="163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  <c r="AA320" s="160"/>
      <c r="AB320" s="160"/>
      <c r="AC320" s="160"/>
    </row>
    <row r="321" spans="1:29" ht="14.25" customHeight="1">
      <c r="A321" s="160"/>
      <c r="B321" s="160"/>
      <c r="C321" s="160"/>
      <c r="D321" s="160"/>
      <c r="E321" s="160"/>
      <c r="F321" s="160"/>
      <c r="G321" s="160"/>
      <c r="H321" s="163"/>
      <c r="I321" s="164"/>
      <c r="J321" s="163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  <c r="AA321" s="160"/>
      <c r="AB321" s="160"/>
      <c r="AC321" s="160"/>
    </row>
    <row r="322" spans="1:29" ht="14.25" customHeight="1">
      <c r="A322" s="160"/>
      <c r="B322" s="160"/>
      <c r="C322" s="160"/>
      <c r="D322" s="160"/>
      <c r="E322" s="160"/>
      <c r="F322" s="160"/>
      <c r="G322" s="160"/>
      <c r="H322" s="163"/>
      <c r="I322" s="164"/>
      <c r="J322" s="163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  <c r="AA322" s="160"/>
      <c r="AB322" s="160"/>
      <c r="AC322" s="160"/>
    </row>
    <row r="323" spans="1:29" ht="14.25" customHeight="1">
      <c r="A323" s="160"/>
      <c r="B323" s="160"/>
      <c r="C323" s="160"/>
      <c r="D323" s="160"/>
      <c r="E323" s="160"/>
      <c r="F323" s="160"/>
      <c r="G323" s="160"/>
      <c r="H323" s="163"/>
      <c r="I323" s="164"/>
      <c r="J323" s="163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  <c r="AA323" s="160"/>
      <c r="AB323" s="160"/>
      <c r="AC323" s="160"/>
    </row>
    <row r="324" spans="1:29" ht="14.25" customHeight="1">
      <c r="A324" s="160"/>
      <c r="B324" s="160"/>
      <c r="C324" s="160"/>
      <c r="D324" s="160"/>
      <c r="E324" s="160"/>
      <c r="F324" s="160"/>
      <c r="G324" s="160"/>
      <c r="H324" s="163"/>
      <c r="I324" s="164"/>
      <c r="J324" s="163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  <c r="AA324" s="160"/>
      <c r="AB324" s="160"/>
      <c r="AC324" s="160"/>
    </row>
    <row r="325" spans="1:29" ht="14.25" customHeight="1">
      <c r="A325" s="160"/>
      <c r="B325" s="160"/>
      <c r="C325" s="160"/>
      <c r="D325" s="160"/>
      <c r="E325" s="160"/>
      <c r="F325" s="160"/>
      <c r="G325" s="160"/>
      <c r="H325" s="163"/>
      <c r="I325" s="164"/>
      <c r="J325" s="163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  <c r="AA325" s="160"/>
      <c r="AB325" s="160"/>
      <c r="AC325" s="160"/>
    </row>
    <row r="326" spans="1:29" ht="14.25" customHeight="1">
      <c r="A326" s="160"/>
      <c r="B326" s="160"/>
      <c r="C326" s="160"/>
      <c r="D326" s="160"/>
      <c r="E326" s="160"/>
      <c r="F326" s="160"/>
      <c r="G326" s="160"/>
      <c r="H326" s="163"/>
      <c r="I326" s="164"/>
      <c r="J326" s="163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  <c r="AA326" s="160"/>
      <c r="AB326" s="160"/>
      <c r="AC326" s="160"/>
    </row>
    <row r="327" spans="1:29" ht="14.25" customHeight="1">
      <c r="A327" s="160"/>
      <c r="B327" s="160"/>
      <c r="C327" s="160"/>
      <c r="D327" s="160"/>
      <c r="E327" s="160"/>
      <c r="F327" s="160"/>
      <c r="G327" s="160"/>
      <c r="H327" s="163"/>
      <c r="I327" s="164"/>
      <c r="J327" s="163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  <c r="AA327" s="160"/>
      <c r="AB327" s="160"/>
      <c r="AC327" s="160"/>
    </row>
    <row r="328" spans="1:29" ht="14.25" customHeight="1">
      <c r="A328" s="160"/>
      <c r="B328" s="160"/>
      <c r="C328" s="160"/>
      <c r="D328" s="160"/>
      <c r="E328" s="160"/>
      <c r="F328" s="160"/>
      <c r="G328" s="160"/>
      <c r="H328" s="163"/>
      <c r="I328" s="164"/>
      <c r="J328" s="163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  <c r="AA328" s="160"/>
      <c r="AB328" s="160"/>
      <c r="AC328" s="160"/>
    </row>
    <row r="329" spans="1:29" ht="14.25" customHeight="1">
      <c r="A329" s="160"/>
      <c r="B329" s="160"/>
      <c r="C329" s="160"/>
      <c r="D329" s="160"/>
      <c r="E329" s="160"/>
      <c r="F329" s="160"/>
      <c r="G329" s="160"/>
      <c r="H329" s="163"/>
      <c r="I329" s="164"/>
      <c r="J329" s="163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  <c r="AA329" s="160"/>
      <c r="AB329" s="160"/>
      <c r="AC329" s="160"/>
    </row>
    <row r="330" spans="1:29" ht="14.25" customHeight="1">
      <c r="A330" s="160"/>
      <c r="B330" s="160"/>
      <c r="C330" s="160"/>
      <c r="D330" s="160"/>
      <c r="E330" s="160"/>
      <c r="F330" s="160"/>
      <c r="G330" s="160"/>
      <c r="H330" s="163"/>
      <c r="I330" s="164"/>
      <c r="J330" s="163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</row>
    <row r="331" spans="1:29" ht="14.25" customHeight="1">
      <c r="A331" s="160"/>
      <c r="B331" s="160"/>
      <c r="C331" s="160"/>
      <c r="D331" s="160"/>
      <c r="E331" s="160"/>
      <c r="F331" s="160"/>
      <c r="G331" s="160"/>
      <c r="H331" s="163"/>
      <c r="I331" s="164"/>
      <c r="J331" s="163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  <c r="AA331" s="160"/>
      <c r="AB331" s="160"/>
      <c r="AC331" s="160"/>
    </row>
    <row r="332" spans="1:29" ht="14.25" customHeight="1">
      <c r="A332" s="160"/>
      <c r="B332" s="160"/>
      <c r="C332" s="160"/>
      <c r="D332" s="160"/>
      <c r="E332" s="160"/>
      <c r="F332" s="160"/>
      <c r="G332" s="160"/>
      <c r="H332" s="163"/>
      <c r="I332" s="164"/>
      <c r="J332" s="163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  <c r="AA332" s="160"/>
      <c r="AB332" s="160"/>
      <c r="AC332" s="160"/>
    </row>
    <row r="333" spans="1:29" ht="14.25" customHeight="1">
      <c r="A333" s="160"/>
      <c r="B333" s="160"/>
      <c r="C333" s="160"/>
      <c r="D333" s="160"/>
      <c r="E333" s="160"/>
      <c r="F333" s="160"/>
      <c r="G333" s="160"/>
      <c r="H333" s="163"/>
      <c r="I333" s="164"/>
      <c r="J333" s="163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  <c r="AA333" s="160"/>
      <c r="AB333" s="160"/>
      <c r="AC333" s="160"/>
    </row>
    <row r="334" spans="1:29" ht="14.25" customHeight="1">
      <c r="A334" s="160"/>
      <c r="B334" s="160"/>
      <c r="C334" s="160"/>
      <c r="D334" s="160"/>
      <c r="E334" s="160"/>
      <c r="F334" s="160"/>
      <c r="G334" s="160"/>
      <c r="H334" s="163"/>
      <c r="I334" s="164"/>
      <c r="J334" s="163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  <c r="AA334" s="160"/>
      <c r="AB334" s="160"/>
      <c r="AC334" s="160"/>
    </row>
    <row r="335" spans="1:29" ht="14.25" customHeight="1">
      <c r="A335" s="160"/>
      <c r="B335" s="160"/>
      <c r="C335" s="160"/>
      <c r="D335" s="160"/>
      <c r="E335" s="160"/>
      <c r="F335" s="160"/>
      <c r="G335" s="160"/>
      <c r="H335" s="163"/>
      <c r="I335" s="164"/>
      <c r="J335" s="163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/>
      <c r="AA335" s="160"/>
      <c r="AB335" s="160"/>
      <c r="AC335" s="160"/>
    </row>
    <row r="336" spans="1:29" ht="14.25" customHeight="1">
      <c r="A336" s="160"/>
      <c r="B336" s="160"/>
      <c r="C336" s="160"/>
      <c r="D336" s="160"/>
      <c r="E336" s="160"/>
      <c r="F336" s="160"/>
      <c r="G336" s="160"/>
      <c r="H336" s="163"/>
      <c r="I336" s="164"/>
      <c r="J336" s="163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  <c r="AA336" s="160"/>
      <c r="AB336" s="160"/>
      <c r="AC336" s="160"/>
    </row>
    <row r="337" spans="1:29" ht="14.25" customHeight="1">
      <c r="A337" s="160"/>
      <c r="B337" s="160"/>
      <c r="C337" s="160"/>
      <c r="D337" s="160"/>
      <c r="E337" s="160"/>
      <c r="F337" s="160"/>
      <c r="G337" s="160"/>
      <c r="H337" s="163"/>
      <c r="I337" s="164"/>
      <c r="J337" s="163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  <c r="AA337" s="160"/>
      <c r="AB337" s="160"/>
      <c r="AC337" s="160"/>
    </row>
    <row r="338" spans="1:29" ht="14.25" customHeight="1">
      <c r="A338" s="160"/>
      <c r="B338" s="160"/>
      <c r="C338" s="160"/>
      <c r="D338" s="160"/>
      <c r="E338" s="160"/>
      <c r="F338" s="160"/>
      <c r="G338" s="160"/>
      <c r="H338" s="163"/>
      <c r="I338" s="164"/>
      <c r="J338" s="163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  <c r="AA338" s="160"/>
      <c r="AB338" s="160"/>
      <c r="AC338" s="160"/>
    </row>
    <row r="339" spans="1:29" ht="14.25" customHeight="1">
      <c r="A339" s="160"/>
      <c r="B339" s="160"/>
      <c r="C339" s="160"/>
      <c r="D339" s="160"/>
      <c r="E339" s="160"/>
      <c r="F339" s="160"/>
      <c r="G339" s="160"/>
      <c r="H339" s="163"/>
      <c r="I339" s="164"/>
      <c r="J339" s="163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  <c r="AA339" s="160"/>
      <c r="AB339" s="160"/>
      <c r="AC339" s="160"/>
    </row>
    <row r="340" spans="1:29" ht="14.25" customHeight="1">
      <c r="A340" s="160"/>
      <c r="B340" s="160"/>
      <c r="C340" s="160"/>
      <c r="D340" s="160"/>
      <c r="E340" s="160"/>
      <c r="F340" s="160"/>
      <c r="G340" s="160"/>
      <c r="H340" s="163"/>
      <c r="I340" s="164"/>
      <c r="J340" s="163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  <c r="AA340" s="160"/>
      <c r="AB340" s="160"/>
      <c r="AC340" s="160"/>
    </row>
    <row r="341" spans="1:29" ht="14.25" customHeight="1">
      <c r="A341" s="160"/>
      <c r="B341" s="160"/>
      <c r="C341" s="160"/>
      <c r="D341" s="160"/>
      <c r="E341" s="160"/>
      <c r="F341" s="160"/>
      <c r="G341" s="160"/>
      <c r="H341" s="163"/>
      <c r="I341" s="164"/>
      <c r="J341" s="163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  <c r="AA341" s="160"/>
      <c r="AB341" s="160"/>
      <c r="AC341" s="160"/>
    </row>
    <row r="342" spans="1:29" ht="14.25" customHeight="1">
      <c r="A342" s="160"/>
      <c r="B342" s="160"/>
      <c r="C342" s="160"/>
      <c r="D342" s="160"/>
      <c r="E342" s="160"/>
      <c r="F342" s="160"/>
      <c r="G342" s="160"/>
      <c r="H342" s="163"/>
      <c r="I342" s="164"/>
      <c r="J342" s="163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  <c r="AA342" s="160"/>
      <c r="AB342" s="160"/>
      <c r="AC342" s="160"/>
    </row>
    <row r="343" spans="1:29" ht="14.25" customHeight="1">
      <c r="A343" s="160"/>
      <c r="B343" s="160"/>
      <c r="C343" s="160"/>
      <c r="D343" s="160"/>
      <c r="E343" s="160"/>
      <c r="F343" s="160"/>
      <c r="G343" s="160"/>
      <c r="H343" s="163"/>
      <c r="I343" s="164"/>
      <c r="J343" s="163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  <c r="AA343" s="160"/>
      <c r="AB343" s="160"/>
      <c r="AC343" s="160"/>
    </row>
    <row r="344" spans="1:29" ht="14.25" customHeight="1">
      <c r="A344" s="160"/>
      <c r="B344" s="160"/>
      <c r="C344" s="160"/>
      <c r="D344" s="160"/>
      <c r="E344" s="160"/>
      <c r="F344" s="160"/>
      <c r="G344" s="160"/>
      <c r="H344" s="163"/>
      <c r="I344" s="164"/>
      <c r="J344" s="163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  <c r="AA344" s="160"/>
      <c r="AB344" s="160"/>
      <c r="AC344" s="160"/>
    </row>
    <row r="345" spans="1:29" ht="14.25" customHeight="1">
      <c r="A345" s="160"/>
      <c r="B345" s="160"/>
      <c r="C345" s="160"/>
      <c r="D345" s="160"/>
      <c r="E345" s="160"/>
      <c r="F345" s="160"/>
      <c r="G345" s="160"/>
      <c r="H345" s="163"/>
      <c r="I345" s="164"/>
      <c r="J345" s="163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160"/>
      <c r="AA345" s="160"/>
      <c r="AB345" s="160"/>
      <c r="AC345" s="160"/>
    </row>
    <row r="346" spans="1:29" ht="14.25" customHeight="1">
      <c r="A346" s="160"/>
      <c r="B346" s="160"/>
      <c r="C346" s="160"/>
      <c r="D346" s="160"/>
      <c r="E346" s="160"/>
      <c r="F346" s="160"/>
      <c r="G346" s="160"/>
      <c r="H346" s="163"/>
      <c r="I346" s="164"/>
      <c r="J346" s="163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  <c r="AA346" s="160"/>
      <c r="AB346" s="160"/>
      <c r="AC346" s="160"/>
    </row>
    <row r="347" spans="1:29" ht="14.25" customHeight="1">
      <c r="A347" s="160"/>
      <c r="B347" s="160"/>
      <c r="C347" s="160"/>
      <c r="D347" s="160"/>
      <c r="E347" s="160"/>
      <c r="F347" s="160"/>
      <c r="G347" s="160"/>
      <c r="H347" s="163"/>
      <c r="I347" s="164"/>
      <c r="J347" s="163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/>
      <c r="AA347" s="160"/>
      <c r="AB347" s="160"/>
      <c r="AC347" s="160"/>
    </row>
    <row r="348" spans="1:29" ht="14.25" customHeight="1">
      <c r="A348" s="160"/>
      <c r="B348" s="160"/>
      <c r="C348" s="160"/>
      <c r="D348" s="160"/>
      <c r="E348" s="160"/>
      <c r="F348" s="160"/>
      <c r="G348" s="160"/>
      <c r="H348" s="163"/>
      <c r="I348" s="164"/>
      <c r="J348" s="163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  <c r="AA348" s="160"/>
      <c r="AB348" s="160"/>
      <c r="AC348" s="160"/>
    </row>
    <row r="349" spans="1:29" ht="14.25" customHeight="1">
      <c r="A349" s="160"/>
      <c r="B349" s="160"/>
      <c r="C349" s="160"/>
      <c r="D349" s="160"/>
      <c r="E349" s="160"/>
      <c r="F349" s="160"/>
      <c r="G349" s="160"/>
      <c r="H349" s="163"/>
      <c r="I349" s="164"/>
      <c r="J349" s="163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  <c r="AA349" s="160"/>
      <c r="AB349" s="160"/>
      <c r="AC349" s="160"/>
    </row>
    <row r="350" spans="1:29" ht="14.25" customHeight="1">
      <c r="A350" s="160"/>
      <c r="B350" s="160"/>
      <c r="C350" s="160"/>
      <c r="D350" s="160"/>
      <c r="E350" s="160"/>
      <c r="F350" s="160"/>
      <c r="G350" s="160"/>
      <c r="H350" s="163"/>
      <c r="I350" s="164"/>
      <c r="J350" s="163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  <c r="AA350" s="160"/>
      <c r="AB350" s="160"/>
      <c r="AC350" s="160"/>
    </row>
    <row r="351" spans="1:29" ht="14.25" customHeight="1">
      <c r="A351" s="160"/>
      <c r="B351" s="160"/>
      <c r="C351" s="160"/>
      <c r="D351" s="160"/>
      <c r="E351" s="160"/>
      <c r="F351" s="160"/>
      <c r="G351" s="160"/>
      <c r="H351" s="163"/>
      <c r="I351" s="164"/>
      <c r="J351" s="163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  <c r="AA351" s="160"/>
      <c r="AB351" s="160"/>
      <c r="AC351" s="160"/>
    </row>
    <row r="352" spans="1:29" ht="14.25" customHeight="1">
      <c r="A352" s="160"/>
      <c r="B352" s="160"/>
      <c r="C352" s="160"/>
      <c r="D352" s="160"/>
      <c r="E352" s="160"/>
      <c r="F352" s="160"/>
      <c r="G352" s="160"/>
      <c r="H352" s="163"/>
      <c r="I352" s="164"/>
      <c r="J352" s="163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  <c r="AA352" s="160"/>
      <c r="AB352" s="160"/>
      <c r="AC352" s="160"/>
    </row>
    <row r="353" spans="1:29" ht="14.25" customHeight="1">
      <c r="A353" s="160"/>
      <c r="B353" s="160"/>
      <c r="C353" s="160"/>
      <c r="D353" s="160"/>
      <c r="E353" s="160"/>
      <c r="F353" s="160"/>
      <c r="G353" s="160"/>
      <c r="H353" s="163"/>
      <c r="I353" s="164"/>
      <c r="J353" s="163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  <c r="AA353" s="160"/>
      <c r="AB353" s="160"/>
      <c r="AC353" s="160"/>
    </row>
    <row r="354" spans="1:29" ht="14.25" customHeight="1">
      <c r="A354" s="160"/>
      <c r="B354" s="160"/>
      <c r="C354" s="160"/>
      <c r="D354" s="160"/>
      <c r="E354" s="160"/>
      <c r="F354" s="160"/>
      <c r="G354" s="160"/>
      <c r="H354" s="163"/>
      <c r="I354" s="164"/>
      <c r="J354" s="163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  <c r="AA354" s="160"/>
      <c r="AB354" s="160"/>
      <c r="AC354" s="160"/>
    </row>
    <row r="355" spans="1:29" ht="14.25" customHeight="1">
      <c r="A355" s="160"/>
      <c r="B355" s="160"/>
      <c r="C355" s="160"/>
      <c r="D355" s="160"/>
      <c r="E355" s="160"/>
      <c r="F355" s="160"/>
      <c r="G355" s="160"/>
      <c r="H355" s="163"/>
      <c r="I355" s="164"/>
      <c r="J355" s="163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  <c r="AA355" s="160"/>
      <c r="AB355" s="160"/>
      <c r="AC355" s="160"/>
    </row>
    <row r="356" spans="1:29" ht="14.25" customHeight="1">
      <c r="A356" s="160"/>
      <c r="B356" s="160"/>
      <c r="C356" s="160"/>
      <c r="D356" s="160"/>
      <c r="E356" s="160"/>
      <c r="F356" s="160"/>
      <c r="G356" s="160"/>
      <c r="H356" s="163"/>
      <c r="I356" s="164"/>
      <c r="J356" s="163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  <c r="AA356" s="160"/>
      <c r="AB356" s="160"/>
      <c r="AC356" s="160"/>
    </row>
    <row r="357" spans="1:29" ht="14.25" customHeight="1">
      <c r="A357" s="160"/>
      <c r="B357" s="160"/>
      <c r="C357" s="160"/>
      <c r="D357" s="160"/>
      <c r="E357" s="160"/>
      <c r="F357" s="160"/>
      <c r="G357" s="160"/>
      <c r="H357" s="163"/>
      <c r="I357" s="164"/>
      <c r="J357" s="163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  <c r="AA357" s="160"/>
      <c r="AB357" s="160"/>
      <c r="AC357" s="160"/>
    </row>
    <row r="358" spans="1:29" ht="14.25" customHeight="1">
      <c r="A358" s="160"/>
      <c r="B358" s="160"/>
      <c r="C358" s="160"/>
      <c r="D358" s="160"/>
      <c r="E358" s="160"/>
      <c r="F358" s="160"/>
      <c r="G358" s="160"/>
      <c r="H358" s="163"/>
      <c r="I358" s="164"/>
      <c r="J358" s="163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  <c r="AA358" s="160"/>
      <c r="AB358" s="160"/>
      <c r="AC358" s="160"/>
    </row>
    <row r="359" spans="1:29" ht="14.25" customHeight="1">
      <c r="A359" s="160"/>
      <c r="B359" s="160"/>
      <c r="C359" s="160"/>
      <c r="D359" s="160"/>
      <c r="E359" s="160"/>
      <c r="F359" s="160"/>
      <c r="G359" s="160"/>
      <c r="H359" s="163"/>
      <c r="I359" s="164"/>
      <c r="J359" s="163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  <c r="AA359" s="160"/>
      <c r="AB359" s="160"/>
      <c r="AC359" s="160"/>
    </row>
    <row r="360" spans="1:29" ht="14.25" customHeight="1">
      <c r="A360" s="160"/>
      <c r="B360" s="160"/>
      <c r="C360" s="160"/>
      <c r="D360" s="160"/>
      <c r="E360" s="160"/>
      <c r="F360" s="160"/>
      <c r="G360" s="160"/>
      <c r="H360" s="163"/>
      <c r="I360" s="164"/>
      <c r="J360" s="163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  <c r="AA360" s="160"/>
      <c r="AB360" s="160"/>
      <c r="AC360" s="160"/>
    </row>
    <row r="361" spans="1:29" ht="14.25" customHeight="1">
      <c r="A361" s="160"/>
      <c r="B361" s="160"/>
      <c r="C361" s="160"/>
      <c r="D361" s="160"/>
      <c r="E361" s="160"/>
      <c r="F361" s="160"/>
      <c r="G361" s="160"/>
      <c r="H361" s="163"/>
      <c r="I361" s="164"/>
      <c r="J361" s="163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  <c r="AA361" s="160"/>
      <c r="AB361" s="160"/>
      <c r="AC361" s="160"/>
    </row>
    <row r="362" spans="1:29" ht="14.25" customHeight="1">
      <c r="A362" s="160"/>
      <c r="B362" s="160"/>
      <c r="C362" s="160"/>
      <c r="D362" s="160"/>
      <c r="E362" s="160"/>
      <c r="F362" s="160"/>
      <c r="G362" s="160"/>
      <c r="H362" s="163"/>
      <c r="I362" s="164"/>
      <c r="J362" s="163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  <c r="AA362" s="160"/>
      <c r="AB362" s="160"/>
      <c r="AC362" s="160"/>
    </row>
    <row r="363" spans="1:29" ht="14.25" customHeight="1">
      <c r="A363" s="160"/>
      <c r="B363" s="160"/>
      <c r="C363" s="160"/>
      <c r="D363" s="160"/>
      <c r="E363" s="160"/>
      <c r="F363" s="160"/>
      <c r="G363" s="160"/>
      <c r="H363" s="163"/>
      <c r="I363" s="164"/>
      <c r="J363" s="163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  <c r="AA363" s="160"/>
      <c r="AB363" s="160"/>
      <c r="AC363" s="160"/>
    </row>
    <row r="364" spans="1:29" ht="14.25" customHeight="1">
      <c r="A364" s="160"/>
      <c r="B364" s="160"/>
      <c r="C364" s="160"/>
      <c r="D364" s="160"/>
      <c r="E364" s="160"/>
      <c r="F364" s="160"/>
      <c r="G364" s="160"/>
      <c r="H364" s="163"/>
      <c r="I364" s="164"/>
      <c r="J364" s="163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  <c r="AA364" s="160"/>
      <c r="AB364" s="160"/>
      <c r="AC364" s="160"/>
    </row>
    <row r="365" spans="1:29" ht="14.25" customHeight="1">
      <c r="A365" s="160"/>
      <c r="B365" s="160"/>
      <c r="C365" s="160"/>
      <c r="D365" s="160"/>
      <c r="E365" s="160"/>
      <c r="F365" s="160"/>
      <c r="G365" s="160"/>
      <c r="H365" s="163"/>
      <c r="I365" s="164"/>
      <c r="J365" s="163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  <c r="AA365" s="160"/>
      <c r="AB365" s="160"/>
      <c r="AC365" s="160"/>
    </row>
    <row r="366" spans="1:29" ht="14.25" customHeight="1">
      <c r="A366" s="160"/>
      <c r="B366" s="160"/>
      <c r="C366" s="160"/>
      <c r="D366" s="160"/>
      <c r="E366" s="160"/>
      <c r="F366" s="160"/>
      <c r="G366" s="160"/>
      <c r="H366" s="163"/>
      <c r="I366" s="164"/>
      <c r="J366" s="163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  <c r="AA366" s="160"/>
      <c r="AB366" s="160"/>
      <c r="AC366" s="160"/>
    </row>
    <row r="367" spans="1:29" ht="14.25" customHeight="1">
      <c r="A367" s="160"/>
      <c r="B367" s="160"/>
      <c r="C367" s="160"/>
      <c r="D367" s="160"/>
      <c r="E367" s="160"/>
      <c r="F367" s="160"/>
      <c r="G367" s="160"/>
      <c r="H367" s="163"/>
      <c r="I367" s="164"/>
      <c r="J367" s="163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  <c r="AA367" s="160"/>
      <c r="AB367" s="160"/>
      <c r="AC367" s="160"/>
    </row>
    <row r="368" spans="1:29" ht="14.25" customHeight="1">
      <c r="A368" s="160"/>
      <c r="B368" s="160"/>
      <c r="C368" s="160"/>
      <c r="D368" s="160"/>
      <c r="E368" s="160"/>
      <c r="F368" s="160"/>
      <c r="G368" s="160"/>
      <c r="H368" s="163"/>
      <c r="I368" s="164"/>
      <c r="J368" s="163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  <c r="AA368" s="160"/>
      <c r="AB368" s="160"/>
      <c r="AC368" s="160"/>
    </row>
    <row r="369" spans="1:29" ht="14.25" customHeight="1">
      <c r="A369" s="160"/>
      <c r="B369" s="160"/>
      <c r="C369" s="160"/>
      <c r="D369" s="160"/>
      <c r="E369" s="160"/>
      <c r="F369" s="160"/>
      <c r="G369" s="160"/>
      <c r="H369" s="163"/>
      <c r="I369" s="164"/>
      <c r="J369" s="163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  <c r="AA369" s="160"/>
      <c r="AB369" s="160"/>
      <c r="AC369" s="160"/>
    </row>
    <row r="370" spans="1:29" ht="14.25" customHeight="1">
      <c r="A370" s="160"/>
      <c r="B370" s="160"/>
      <c r="C370" s="160"/>
      <c r="D370" s="160"/>
      <c r="E370" s="160"/>
      <c r="F370" s="160"/>
      <c r="G370" s="160"/>
      <c r="H370" s="163"/>
      <c r="I370" s="164"/>
      <c r="J370" s="163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  <c r="AA370" s="160"/>
      <c r="AB370" s="160"/>
      <c r="AC370" s="160"/>
    </row>
    <row r="371" spans="1:29" ht="14.25" customHeight="1">
      <c r="A371" s="160"/>
      <c r="B371" s="160"/>
      <c r="C371" s="160"/>
      <c r="D371" s="160"/>
      <c r="E371" s="160"/>
      <c r="F371" s="160"/>
      <c r="G371" s="160"/>
      <c r="H371" s="163"/>
      <c r="I371" s="164"/>
      <c r="J371" s="163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  <c r="AA371" s="160"/>
      <c r="AB371" s="160"/>
      <c r="AC371" s="160"/>
    </row>
    <row r="372" spans="1:29" ht="14.25" customHeight="1">
      <c r="A372" s="160"/>
      <c r="B372" s="160"/>
      <c r="C372" s="160"/>
      <c r="D372" s="160"/>
      <c r="E372" s="160"/>
      <c r="F372" s="160"/>
      <c r="G372" s="160"/>
      <c r="H372" s="163"/>
      <c r="I372" s="164"/>
      <c r="J372" s="163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  <c r="AA372" s="160"/>
      <c r="AB372" s="160"/>
      <c r="AC372" s="160"/>
    </row>
    <row r="373" spans="1:29" ht="14.25" customHeight="1">
      <c r="A373" s="160"/>
      <c r="B373" s="160"/>
      <c r="C373" s="160"/>
      <c r="D373" s="160"/>
      <c r="E373" s="160"/>
      <c r="F373" s="160"/>
      <c r="G373" s="160"/>
      <c r="H373" s="163"/>
      <c r="I373" s="164"/>
      <c r="J373" s="163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  <c r="AA373" s="160"/>
      <c r="AB373" s="160"/>
      <c r="AC373" s="160"/>
    </row>
    <row r="374" spans="1:29" ht="14.25" customHeight="1">
      <c r="A374" s="160"/>
      <c r="B374" s="160"/>
      <c r="C374" s="160"/>
      <c r="D374" s="160"/>
      <c r="E374" s="160"/>
      <c r="F374" s="160"/>
      <c r="G374" s="160"/>
      <c r="H374" s="163"/>
      <c r="I374" s="164"/>
      <c r="J374" s="163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  <c r="AA374" s="160"/>
      <c r="AB374" s="160"/>
      <c r="AC374" s="160"/>
    </row>
    <row r="375" spans="1:29" ht="14.25" customHeight="1">
      <c r="A375" s="160"/>
      <c r="B375" s="160"/>
      <c r="C375" s="160"/>
      <c r="D375" s="160"/>
      <c r="E375" s="160"/>
      <c r="F375" s="160"/>
      <c r="G375" s="160"/>
      <c r="H375" s="163"/>
      <c r="I375" s="164"/>
      <c r="J375" s="163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  <c r="AA375" s="160"/>
      <c r="AB375" s="160"/>
      <c r="AC375" s="160"/>
    </row>
    <row r="376" spans="1:29" ht="14.25" customHeight="1">
      <c r="A376" s="160"/>
      <c r="B376" s="160"/>
      <c r="C376" s="160"/>
      <c r="D376" s="160"/>
      <c r="E376" s="160"/>
      <c r="F376" s="160"/>
      <c r="G376" s="160"/>
      <c r="H376" s="163"/>
      <c r="I376" s="164"/>
      <c r="J376" s="163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  <c r="AA376" s="160"/>
      <c r="AB376" s="160"/>
      <c r="AC376" s="160"/>
    </row>
    <row r="377" spans="1:29" ht="14.25" customHeight="1">
      <c r="A377" s="160"/>
      <c r="B377" s="160"/>
      <c r="C377" s="160"/>
      <c r="D377" s="160"/>
      <c r="E377" s="160"/>
      <c r="F377" s="160"/>
      <c r="G377" s="160"/>
      <c r="H377" s="163"/>
      <c r="I377" s="164"/>
      <c r="J377" s="163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  <c r="AA377" s="160"/>
      <c r="AB377" s="160"/>
      <c r="AC377" s="160"/>
    </row>
    <row r="378" spans="1:29" ht="14.25" customHeight="1">
      <c r="A378" s="160"/>
      <c r="B378" s="160"/>
      <c r="C378" s="160"/>
      <c r="D378" s="160"/>
      <c r="E378" s="160"/>
      <c r="F378" s="160"/>
      <c r="G378" s="160"/>
      <c r="H378" s="163"/>
      <c r="I378" s="164"/>
      <c r="J378" s="163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  <c r="AA378" s="160"/>
      <c r="AB378" s="160"/>
      <c r="AC378" s="160"/>
    </row>
    <row r="379" spans="1:29" ht="14.25" customHeight="1">
      <c r="A379" s="160"/>
      <c r="B379" s="160"/>
      <c r="C379" s="160"/>
      <c r="D379" s="160"/>
      <c r="E379" s="160"/>
      <c r="F379" s="160"/>
      <c r="G379" s="160"/>
      <c r="H379" s="163"/>
      <c r="I379" s="164"/>
      <c r="J379" s="163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  <c r="AA379" s="160"/>
      <c r="AB379" s="160"/>
      <c r="AC379" s="160"/>
    </row>
    <row r="380" spans="1:29" ht="14.25" customHeight="1">
      <c r="A380" s="160"/>
      <c r="B380" s="160"/>
      <c r="C380" s="160"/>
      <c r="D380" s="160"/>
      <c r="E380" s="160"/>
      <c r="F380" s="160"/>
      <c r="G380" s="160"/>
      <c r="H380" s="163"/>
      <c r="I380" s="164"/>
      <c r="J380" s="163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  <c r="AA380" s="160"/>
      <c r="AB380" s="160"/>
      <c r="AC380" s="160"/>
    </row>
    <row r="381" spans="1:29" ht="14.25" customHeight="1">
      <c r="A381" s="160"/>
      <c r="B381" s="160"/>
      <c r="C381" s="160"/>
      <c r="D381" s="160"/>
      <c r="E381" s="160"/>
      <c r="F381" s="160"/>
      <c r="G381" s="160"/>
      <c r="H381" s="163"/>
      <c r="I381" s="164"/>
      <c r="J381" s="163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  <c r="AA381" s="160"/>
      <c r="AB381" s="160"/>
      <c r="AC381" s="160"/>
    </row>
    <row r="382" spans="1:29" ht="14.25" customHeight="1">
      <c r="A382" s="160"/>
      <c r="B382" s="160"/>
      <c r="C382" s="160"/>
      <c r="D382" s="160"/>
      <c r="E382" s="160"/>
      <c r="F382" s="160"/>
      <c r="G382" s="160"/>
      <c r="H382" s="163"/>
      <c r="I382" s="164"/>
      <c r="J382" s="163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  <c r="AA382" s="160"/>
      <c r="AB382" s="160"/>
      <c r="AC382" s="160"/>
    </row>
    <row r="383" spans="1:29" ht="14.25" customHeight="1">
      <c r="A383" s="160"/>
      <c r="B383" s="160"/>
      <c r="C383" s="160"/>
      <c r="D383" s="160"/>
      <c r="E383" s="160"/>
      <c r="F383" s="160"/>
      <c r="G383" s="160"/>
      <c r="H383" s="163"/>
      <c r="I383" s="164"/>
      <c r="J383" s="163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</row>
    <row r="384" spans="1:29" ht="14.25" customHeight="1">
      <c r="A384" s="160"/>
      <c r="B384" s="160"/>
      <c r="C384" s="160"/>
      <c r="D384" s="160"/>
      <c r="E384" s="160"/>
      <c r="F384" s="160"/>
      <c r="G384" s="160"/>
      <c r="H384" s="163"/>
      <c r="I384" s="164"/>
      <c r="J384" s="163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  <c r="AA384" s="160"/>
      <c r="AB384" s="160"/>
      <c r="AC384" s="160"/>
    </row>
    <row r="385" spans="1:29" ht="14.25" customHeight="1">
      <c r="A385" s="160"/>
      <c r="B385" s="160"/>
      <c r="C385" s="160"/>
      <c r="D385" s="160"/>
      <c r="E385" s="160"/>
      <c r="F385" s="160"/>
      <c r="G385" s="160"/>
      <c r="H385" s="163"/>
      <c r="I385" s="164"/>
      <c r="J385" s="163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  <c r="AA385" s="160"/>
      <c r="AB385" s="160"/>
      <c r="AC385" s="160"/>
    </row>
    <row r="386" spans="1:29" ht="14.25" customHeight="1">
      <c r="A386" s="160"/>
      <c r="B386" s="160"/>
      <c r="C386" s="160"/>
      <c r="D386" s="160"/>
      <c r="E386" s="160"/>
      <c r="F386" s="160"/>
      <c r="G386" s="160"/>
      <c r="H386" s="163"/>
      <c r="I386" s="164"/>
      <c r="J386" s="163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  <c r="AA386" s="160"/>
      <c r="AB386" s="160"/>
      <c r="AC386" s="160"/>
    </row>
    <row r="387" spans="1:29" ht="14.25" customHeight="1">
      <c r="A387" s="160"/>
      <c r="B387" s="160"/>
      <c r="C387" s="160"/>
      <c r="D387" s="160"/>
      <c r="E387" s="160"/>
      <c r="F387" s="160"/>
      <c r="G387" s="160"/>
      <c r="H387" s="163"/>
      <c r="I387" s="164"/>
      <c r="J387" s="163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  <c r="AA387" s="160"/>
      <c r="AB387" s="160"/>
      <c r="AC387" s="160"/>
    </row>
    <row r="388" spans="1:29" ht="14.25" customHeight="1">
      <c r="A388" s="160"/>
      <c r="B388" s="160"/>
      <c r="C388" s="160"/>
      <c r="D388" s="160"/>
      <c r="E388" s="160"/>
      <c r="F388" s="160"/>
      <c r="G388" s="160"/>
      <c r="H388" s="163"/>
      <c r="I388" s="164"/>
      <c r="J388" s="163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  <c r="AA388" s="160"/>
      <c r="AB388" s="160"/>
      <c r="AC388" s="160"/>
    </row>
    <row r="389" spans="1:29" ht="14.25" customHeight="1">
      <c r="A389" s="160"/>
      <c r="B389" s="160"/>
      <c r="C389" s="160"/>
      <c r="D389" s="160"/>
      <c r="E389" s="160"/>
      <c r="F389" s="160"/>
      <c r="G389" s="160"/>
      <c r="H389" s="163"/>
      <c r="I389" s="164"/>
      <c r="J389" s="163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  <c r="AA389" s="160"/>
      <c r="AB389" s="160"/>
      <c r="AC389" s="160"/>
    </row>
    <row r="390" spans="1:29" ht="14.25" customHeight="1">
      <c r="A390" s="160"/>
      <c r="B390" s="160"/>
      <c r="C390" s="160"/>
      <c r="D390" s="160"/>
      <c r="E390" s="160"/>
      <c r="F390" s="160"/>
      <c r="G390" s="160"/>
      <c r="H390" s="163"/>
      <c r="I390" s="164"/>
      <c r="J390" s="163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  <c r="AA390" s="160"/>
      <c r="AB390" s="160"/>
      <c r="AC390" s="160"/>
    </row>
    <row r="391" spans="1:29" ht="14.25" customHeight="1">
      <c r="A391" s="160"/>
      <c r="B391" s="160"/>
      <c r="C391" s="160"/>
      <c r="D391" s="160"/>
      <c r="E391" s="160"/>
      <c r="F391" s="160"/>
      <c r="G391" s="160"/>
      <c r="H391" s="163"/>
      <c r="I391" s="164"/>
      <c r="J391" s="163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  <c r="AA391" s="160"/>
      <c r="AB391" s="160"/>
      <c r="AC391" s="160"/>
    </row>
    <row r="392" spans="1:29" ht="14.25" customHeight="1">
      <c r="A392" s="160"/>
      <c r="B392" s="160"/>
      <c r="C392" s="160"/>
      <c r="D392" s="160"/>
      <c r="E392" s="160"/>
      <c r="F392" s="160"/>
      <c r="G392" s="160"/>
      <c r="H392" s="163"/>
      <c r="I392" s="164"/>
      <c r="J392" s="163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  <c r="AA392" s="160"/>
      <c r="AB392" s="160"/>
      <c r="AC392" s="160"/>
    </row>
    <row r="393" spans="1:29" ht="14.25" customHeight="1">
      <c r="A393" s="160"/>
      <c r="B393" s="160"/>
      <c r="C393" s="160"/>
      <c r="D393" s="160"/>
      <c r="E393" s="160"/>
      <c r="F393" s="160"/>
      <c r="G393" s="160"/>
      <c r="H393" s="163"/>
      <c r="I393" s="164"/>
      <c r="J393" s="163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  <c r="AA393" s="160"/>
      <c r="AB393" s="160"/>
      <c r="AC393" s="160"/>
    </row>
    <row r="394" spans="1:29" ht="14.25" customHeight="1">
      <c r="A394" s="160"/>
      <c r="B394" s="160"/>
      <c r="C394" s="160"/>
      <c r="D394" s="160"/>
      <c r="E394" s="160"/>
      <c r="F394" s="160"/>
      <c r="G394" s="160"/>
      <c r="H394" s="163"/>
      <c r="I394" s="164"/>
      <c r="J394" s="163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  <c r="AA394" s="160"/>
      <c r="AB394" s="160"/>
      <c r="AC394" s="160"/>
    </row>
    <row r="395" spans="1:29" ht="14.25" customHeight="1">
      <c r="A395" s="160"/>
      <c r="B395" s="160"/>
      <c r="C395" s="160"/>
      <c r="D395" s="160"/>
      <c r="E395" s="160"/>
      <c r="F395" s="160"/>
      <c r="G395" s="160"/>
      <c r="H395" s="163"/>
      <c r="I395" s="164"/>
      <c r="J395" s="163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  <c r="AA395" s="160"/>
      <c r="AB395" s="160"/>
      <c r="AC395" s="160"/>
    </row>
    <row r="396" spans="1:29" ht="14.25" customHeight="1">
      <c r="A396" s="160"/>
      <c r="B396" s="160"/>
      <c r="C396" s="160"/>
      <c r="D396" s="160"/>
      <c r="E396" s="160"/>
      <c r="F396" s="160"/>
      <c r="G396" s="160"/>
      <c r="H396" s="163"/>
      <c r="I396" s="164"/>
      <c r="J396" s="163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  <c r="AA396" s="160"/>
      <c r="AB396" s="160"/>
      <c r="AC396" s="160"/>
    </row>
    <row r="397" spans="1:29" ht="14.25" customHeight="1">
      <c r="A397" s="160"/>
      <c r="B397" s="160"/>
      <c r="C397" s="160"/>
      <c r="D397" s="160"/>
      <c r="E397" s="160"/>
      <c r="F397" s="160"/>
      <c r="G397" s="160"/>
      <c r="H397" s="163"/>
      <c r="I397" s="164"/>
      <c r="J397" s="163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  <c r="AA397" s="160"/>
      <c r="AB397" s="160"/>
      <c r="AC397" s="160"/>
    </row>
    <row r="398" spans="1:29" ht="14.25" customHeight="1">
      <c r="A398" s="160"/>
      <c r="B398" s="160"/>
      <c r="C398" s="160"/>
      <c r="D398" s="160"/>
      <c r="E398" s="160"/>
      <c r="F398" s="160"/>
      <c r="G398" s="160"/>
      <c r="H398" s="163"/>
      <c r="I398" s="164"/>
      <c r="J398" s="163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  <c r="AA398" s="160"/>
      <c r="AB398" s="160"/>
      <c r="AC398" s="160"/>
    </row>
    <row r="399" spans="1:29" ht="14.25" customHeight="1">
      <c r="A399" s="160"/>
      <c r="B399" s="160"/>
      <c r="C399" s="160"/>
      <c r="D399" s="160"/>
      <c r="E399" s="160"/>
      <c r="F399" s="160"/>
      <c r="G399" s="160"/>
      <c r="H399" s="163"/>
      <c r="I399" s="164"/>
      <c r="J399" s="163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  <c r="AA399" s="160"/>
      <c r="AB399" s="160"/>
      <c r="AC399" s="160"/>
    </row>
    <row r="400" spans="1:29" ht="14.25" customHeight="1">
      <c r="A400" s="160"/>
      <c r="B400" s="160"/>
      <c r="C400" s="160"/>
      <c r="D400" s="160"/>
      <c r="E400" s="160"/>
      <c r="F400" s="160"/>
      <c r="G400" s="160"/>
      <c r="H400" s="163"/>
      <c r="I400" s="164"/>
      <c r="J400" s="163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  <c r="AA400" s="160"/>
      <c r="AB400" s="160"/>
      <c r="AC400" s="160"/>
    </row>
    <row r="401" spans="1:29" ht="14.25" customHeight="1">
      <c r="A401" s="160"/>
      <c r="B401" s="160"/>
      <c r="C401" s="160"/>
      <c r="D401" s="160"/>
      <c r="E401" s="160"/>
      <c r="F401" s="160"/>
      <c r="G401" s="160"/>
      <c r="H401" s="163"/>
      <c r="I401" s="164"/>
      <c r="J401" s="163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  <c r="AA401" s="160"/>
      <c r="AB401" s="160"/>
      <c r="AC401" s="160"/>
    </row>
    <row r="402" spans="1:29" ht="14.25" customHeight="1">
      <c r="A402" s="160"/>
      <c r="B402" s="160"/>
      <c r="C402" s="160"/>
      <c r="D402" s="160"/>
      <c r="E402" s="160"/>
      <c r="F402" s="160"/>
      <c r="G402" s="160"/>
      <c r="H402" s="163"/>
      <c r="I402" s="164"/>
      <c r="J402" s="163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  <c r="AA402" s="160"/>
      <c r="AB402" s="160"/>
      <c r="AC402" s="160"/>
    </row>
    <row r="403" spans="1:29" ht="14.25" customHeight="1">
      <c r="A403" s="160"/>
      <c r="B403" s="160"/>
      <c r="C403" s="160"/>
      <c r="D403" s="160"/>
      <c r="E403" s="160"/>
      <c r="F403" s="160"/>
      <c r="G403" s="160"/>
      <c r="H403" s="163"/>
      <c r="I403" s="164"/>
      <c r="J403" s="163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  <c r="AA403" s="160"/>
      <c r="AB403" s="160"/>
      <c r="AC403" s="160"/>
    </row>
    <row r="404" spans="1:29" ht="14.25" customHeight="1">
      <c r="A404" s="160"/>
      <c r="B404" s="160"/>
      <c r="C404" s="160"/>
      <c r="D404" s="160"/>
      <c r="E404" s="160"/>
      <c r="F404" s="160"/>
      <c r="G404" s="160"/>
      <c r="H404" s="163"/>
      <c r="I404" s="164"/>
      <c r="J404" s="163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  <c r="AA404" s="160"/>
      <c r="AB404" s="160"/>
      <c r="AC404" s="160"/>
    </row>
    <row r="405" spans="1:29" ht="14.25" customHeight="1">
      <c r="A405" s="160"/>
      <c r="B405" s="160"/>
      <c r="C405" s="160"/>
      <c r="D405" s="160"/>
      <c r="E405" s="160"/>
      <c r="F405" s="160"/>
      <c r="G405" s="160"/>
      <c r="H405" s="163"/>
      <c r="I405" s="164"/>
      <c r="J405" s="163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  <c r="AA405" s="160"/>
      <c r="AB405" s="160"/>
      <c r="AC405" s="160"/>
    </row>
    <row r="406" spans="1:29" ht="14.25" customHeight="1">
      <c r="A406" s="160"/>
      <c r="B406" s="160"/>
      <c r="C406" s="160"/>
      <c r="D406" s="160"/>
      <c r="E406" s="160"/>
      <c r="F406" s="160"/>
      <c r="G406" s="160"/>
      <c r="H406" s="163"/>
      <c r="I406" s="164"/>
      <c r="J406" s="163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  <c r="AA406" s="160"/>
      <c r="AB406" s="160"/>
      <c r="AC406" s="160"/>
    </row>
    <row r="407" spans="1:29" ht="14.25" customHeight="1">
      <c r="A407" s="160"/>
      <c r="B407" s="160"/>
      <c r="C407" s="160"/>
      <c r="D407" s="160"/>
      <c r="E407" s="160"/>
      <c r="F407" s="160"/>
      <c r="G407" s="160"/>
      <c r="H407" s="163"/>
      <c r="I407" s="164"/>
      <c r="J407" s="163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  <c r="AA407" s="160"/>
      <c r="AB407" s="160"/>
      <c r="AC407" s="160"/>
    </row>
    <row r="408" spans="1:29" ht="14.25" customHeight="1">
      <c r="A408" s="160"/>
      <c r="B408" s="160"/>
      <c r="C408" s="160"/>
      <c r="D408" s="160"/>
      <c r="E408" s="160"/>
      <c r="F408" s="160"/>
      <c r="G408" s="160"/>
      <c r="H408" s="163"/>
      <c r="I408" s="164"/>
      <c r="J408" s="163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  <c r="AA408" s="160"/>
      <c r="AB408" s="160"/>
      <c r="AC408" s="160"/>
    </row>
    <row r="409" spans="1:29" ht="14.25" customHeight="1">
      <c r="A409" s="160"/>
      <c r="B409" s="160"/>
      <c r="C409" s="160"/>
      <c r="D409" s="160"/>
      <c r="E409" s="160"/>
      <c r="F409" s="160"/>
      <c r="G409" s="160"/>
      <c r="H409" s="163"/>
      <c r="I409" s="164"/>
      <c r="J409" s="163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  <c r="AA409" s="160"/>
      <c r="AB409" s="160"/>
      <c r="AC409" s="160"/>
    </row>
    <row r="410" spans="1:29" ht="14.25" customHeight="1">
      <c r="A410" s="160"/>
      <c r="B410" s="160"/>
      <c r="C410" s="160"/>
      <c r="D410" s="160"/>
      <c r="E410" s="160"/>
      <c r="F410" s="160"/>
      <c r="G410" s="160"/>
      <c r="H410" s="163"/>
      <c r="I410" s="164"/>
      <c r="J410" s="163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  <c r="AA410" s="160"/>
      <c r="AB410" s="160"/>
      <c r="AC410" s="160"/>
    </row>
    <row r="411" spans="1:29" ht="14.25" customHeight="1">
      <c r="A411" s="160"/>
      <c r="B411" s="160"/>
      <c r="C411" s="160"/>
      <c r="D411" s="160"/>
      <c r="E411" s="160"/>
      <c r="F411" s="160"/>
      <c r="G411" s="160"/>
      <c r="H411" s="163"/>
      <c r="I411" s="164"/>
      <c r="J411" s="163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  <c r="AA411" s="160"/>
      <c r="AB411" s="160"/>
      <c r="AC411" s="160"/>
    </row>
    <row r="412" spans="1:29" ht="14.25" customHeight="1">
      <c r="A412" s="160"/>
      <c r="B412" s="160"/>
      <c r="C412" s="160"/>
      <c r="D412" s="160"/>
      <c r="E412" s="160"/>
      <c r="F412" s="160"/>
      <c r="G412" s="160"/>
      <c r="H412" s="163"/>
      <c r="I412" s="164"/>
      <c r="J412" s="163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  <c r="AA412" s="160"/>
      <c r="AB412" s="160"/>
      <c r="AC412" s="160"/>
    </row>
    <row r="413" spans="1:29" ht="14.25" customHeight="1">
      <c r="A413" s="160"/>
      <c r="B413" s="160"/>
      <c r="C413" s="160"/>
      <c r="D413" s="160"/>
      <c r="E413" s="160"/>
      <c r="F413" s="160"/>
      <c r="G413" s="160"/>
      <c r="H413" s="163"/>
      <c r="I413" s="164"/>
      <c r="J413" s="163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  <c r="AA413" s="160"/>
      <c r="AB413" s="160"/>
      <c r="AC413" s="160"/>
    </row>
    <row r="414" spans="1:29" ht="14.25" customHeight="1">
      <c r="A414" s="160"/>
      <c r="B414" s="160"/>
      <c r="C414" s="160"/>
      <c r="D414" s="160"/>
      <c r="E414" s="160"/>
      <c r="F414" s="160"/>
      <c r="G414" s="160"/>
      <c r="H414" s="163"/>
      <c r="I414" s="164"/>
      <c r="J414" s="163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  <c r="AA414" s="160"/>
      <c r="AB414" s="160"/>
      <c r="AC414" s="160"/>
    </row>
    <row r="415" spans="1:29" ht="14.25" customHeight="1">
      <c r="A415" s="160"/>
      <c r="B415" s="160"/>
      <c r="C415" s="160"/>
      <c r="D415" s="160"/>
      <c r="E415" s="160"/>
      <c r="F415" s="160"/>
      <c r="G415" s="160"/>
      <c r="H415" s="163"/>
      <c r="I415" s="164"/>
      <c r="J415" s="163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  <c r="AA415" s="160"/>
      <c r="AB415" s="160"/>
      <c r="AC415" s="160"/>
    </row>
    <row r="416" spans="1:29" ht="14.25" customHeight="1">
      <c r="A416" s="160"/>
      <c r="B416" s="160"/>
      <c r="C416" s="160"/>
      <c r="D416" s="160"/>
      <c r="E416" s="160"/>
      <c r="F416" s="160"/>
      <c r="G416" s="160"/>
      <c r="H416" s="163"/>
      <c r="I416" s="164"/>
      <c r="J416" s="163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  <c r="AA416" s="160"/>
      <c r="AB416" s="160"/>
      <c r="AC416" s="160"/>
    </row>
    <row r="417" spans="1:29" ht="14.25" customHeight="1">
      <c r="A417" s="160"/>
      <c r="B417" s="160"/>
      <c r="C417" s="160"/>
      <c r="D417" s="160"/>
      <c r="E417" s="160"/>
      <c r="F417" s="160"/>
      <c r="G417" s="160"/>
      <c r="H417" s="163"/>
      <c r="I417" s="164"/>
      <c r="J417" s="163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  <c r="AA417" s="160"/>
      <c r="AB417" s="160"/>
      <c r="AC417" s="160"/>
    </row>
    <row r="418" spans="1:29" ht="14.25" customHeight="1">
      <c r="A418" s="160"/>
      <c r="B418" s="160"/>
      <c r="C418" s="160"/>
      <c r="D418" s="160"/>
      <c r="E418" s="160"/>
      <c r="F418" s="160"/>
      <c r="G418" s="160"/>
      <c r="H418" s="163"/>
      <c r="I418" s="164"/>
      <c r="J418" s="163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  <c r="AA418" s="160"/>
      <c r="AB418" s="160"/>
      <c r="AC418" s="160"/>
    </row>
    <row r="419" spans="1:29" ht="14.25" customHeight="1">
      <c r="A419" s="160"/>
      <c r="B419" s="160"/>
      <c r="C419" s="160"/>
      <c r="D419" s="160"/>
      <c r="E419" s="160"/>
      <c r="F419" s="160"/>
      <c r="G419" s="160"/>
      <c r="H419" s="163"/>
      <c r="I419" s="164"/>
      <c r="J419" s="163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  <c r="AA419" s="160"/>
      <c r="AB419" s="160"/>
      <c r="AC419" s="160"/>
    </row>
    <row r="420" spans="1:29" ht="14.25" customHeight="1">
      <c r="A420" s="160"/>
      <c r="B420" s="160"/>
      <c r="C420" s="160"/>
      <c r="D420" s="160"/>
      <c r="E420" s="160"/>
      <c r="F420" s="160"/>
      <c r="G420" s="160"/>
      <c r="H420" s="163"/>
      <c r="I420" s="164"/>
      <c r="J420" s="163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  <c r="AA420" s="160"/>
      <c r="AB420" s="160"/>
      <c r="AC420" s="160"/>
    </row>
    <row r="421" spans="1:29" ht="14.25" customHeight="1">
      <c r="A421" s="160"/>
      <c r="B421" s="160"/>
      <c r="C421" s="160"/>
      <c r="D421" s="160"/>
      <c r="E421" s="160"/>
      <c r="F421" s="160"/>
      <c r="G421" s="160"/>
      <c r="H421" s="163"/>
      <c r="I421" s="164"/>
      <c r="J421" s="163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  <c r="AA421" s="160"/>
      <c r="AB421" s="160"/>
      <c r="AC421" s="160"/>
    </row>
    <row r="422" spans="1:29" ht="14.25" customHeight="1">
      <c r="A422" s="160"/>
      <c r="B422" s="160"/>
      <c r="C422" s="160"/>
      <c r="D422" s="160"/>
      <c r="E422" s="160"/>
      <c r="F422" s="160"/>
      <c r="G422" s="160"/>
      <c r="H422" s="163"/>
      <c r="I422" s="164"/>
      <c r="J422" s="163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  <c r="AA422" s="160"/>
      <c r="AB422" s="160"/>
      <c r="AC422" s="160"/>
    </row>
    <row r="423" spans="1:29" ht="14.25" customHeight="1">
      <c r="A423" s="160"/>
      <c r="B423" s="160"/>
      <c r="C423" s="160"/>
      <c r="D423" s="160"/>
      <c r="E423" s="160"/>
      <c r="F423" s="160"/>
      <c r="G423" s="160"/>
      <c r="H423" s="163"/>
      <c r="I423" s="164"/>
      <c r="J423" s="163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  <c r="AA423" s="160"/>
      <c r="AB423" s="160"/>
      <c r="AC423" s="160"/>
    </row>
    <row r="424" spans="1:29" ht="14.25" customHeight="1">
      <c r="A424" s="160"/>
      <c r="B424" s="160"/>
      <c r="C424" s="160"/>
      <c r="D424" s="160"/>
      <c r="E424" s="160"/>
      <c r="F424" s="160"/>
      <c r="G424" s="160"/>
      <c r="H424" s="163"/>
      <c r="I424" s="164"/>
      <c r="J424" s="163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  <c r="AA424" s="160"/>
      <c r="AB424" s="160"/>
      <c r="AC424" s="160"/>
    </row>
    <row r="425" spans="1:29" ht="14.25" customHeight="1">
      <c r="A425" s="160"/>
      <c r="B425" s="160"/>
      <c r="C425" s="160"/>
      <c r="D425" s="160"/>
      <c r="E425" s="160"/>
      <c r="F425" s="160"/>
      <c r="G425" s="160"/>
      <c r="H425" s="163"/>
      <c r="I425" s="164"/>
      <c r="J425" s="163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  <c r="AA425" s="160"/>
      <c r="AB425" s="160"/>
      <c r="AC425" s="160"/>
    </row>
    <row r="426" spans="1:29" ht="14.25" customHeight="1">
      <c r="A426" s="160"/>
      <c r="B426" s="160"/>
      <c r="C426" s="160"/>
      <c r="D426" s="160"/>
      <c r="E426" s="160"/>
      <c r="F426" s="160"/>
      <c r="G426" s="160"/>
      <c r="H426" s="163"/>
      <c r="I426" s="164"/>
      <c r="J426" s="163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  <c r="AA426" s="160"/>
      <c r="AB426" s="160"/>
      <c r="AC426" s="160"/>
    </row>
    <row r="427" spans="1:29" ht="14.25" customHeight="1">
      <c r="A427" s="160"/>
      <c r="B427" s="160"/>
      <c r="C427" s="160"/>
      <c r="D427" s="160"/>
      <c r="E427" s="160"/>
      <c r="F427" s="160"/>
      <c r="G427" s="160"/>
      <c r="H427" s="163"/>
      <c r="I427" s="164"/>
      <c r="J427" s="163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  <c r="AA427" s="160"/>
      <c r="AB427" s="160"/>
      <c r="AC427" s="160"/>
    </row>
    <row r="428" spans="1:29" ht="14.25" customHeight="1">
      <c r="A428" s="160"/>
      <c r="B428" s="160"/>
      <c r="C428" s="160"/>
      <c r="D428" s="160"/>
      <c r="E428" s="160"/>
      <c r="F428" s="160"/>
      <c r="G428" s="160"/>
      <c r="H428" s="163"/>
      <c r="I428" s="164"/>
      <c r="J428" s="163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  <c r="AA428" s="160"/>
      <c r="AB428" s="160"/>
      <c r="AC428" s="160"/>
    </row>
    <row r="429" spans="1:29" ht="14.25" customHeight="1">
      <c r="A429" s="160"/>
      <c r="B429" s="160"/>
      <c r="C429" s="160"/>
      <c r="D429" s="160"/>
      <c r="E429" s="160"/>
      <c r="F429" s="160"/>
      <c r="G429" s="160"/>
      <c r="H429" s="163"/>
      <c r="I429" s="164"/>
      <c r="J429" s="163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  <c r="AA429" s="160"/>
      <c r="AB429" s="160"/>
      <c r="AC429" s="160"/>
    </row>
    <row r="430" spans="1:29" ht="14.25" customHeight="1">
      <c r="A430" s="160"/>
      <c r="B430" s="160"/>
      <c r="C430" s="160"/>
      <c r="D430" s="160"/>
      <c r="E430" s="160"/>
      <c r="F430" s="160"/>
      <c r="G430" s="160"/>
      <c r="H430" s="163"/>
      <c r="I430" s="164"/>
      <c r="J430" s="163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  <c r="AA430" s="160"/>
      <c r="AB430" s="160"/>
      <c r="AC430" s="160"/>
    </row>
    <row r="431" spans="1:29" ht="14.25" customHeight="1">
      <c r="A431" s="160"/>
      <c r="B431" s="160"/>
      <c r="C431" s="160"/>
      <c r="D431" s="160"/>
      <c r="E431" s="160"/>
      <c r="F431" s="160"/>
      <c r="G431" s="160"/>
      <c r="H431" s="163"/>
      <c r="I431" s="164"/>
      <c r="J431" s="163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  <c r="AA431" s="160"/>
      <c r="AB431" s="160"/>
      <c r="AC431" s="160"/>
    </row>
    <row r="432" spans="1:29" ht="14.25" customHeight="1">
      <c r="A432" s="160"/>
      <c r="B432" s="160"/>
      <c r="C432" s="160"/>
      <c r="D432" s="160"/>
      <c r="E432" s="160"/>
      <c r="F432" s="160"/>
      <c r="G432" s="160"/>
      <c r="H432" s="163"/>
      <c r="I432" s="164"/>
      <c r="J432" s="163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  <c r="AA432" s="160"/>
      <c r="AB432" s="160"/>
      <c r="AC432" s="160"/>
    </row>
    <row r="433" spans="1:29" ht="14.25" customHeight="1">
      <c r="A433" s="160"/>
      <c r="B433" s="160"/>
      <c r="C433" s="160"/>
      <c r="D433" s="160"/>
      <c r="E433" s="160"/>
      <c r="F433" s="160"/>
      <c r="G433" s="160"/>
      <c r="H433" s="163"/>
      <c r="I433" s="164"/>
      <c r="J433" s="163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  <c r="AA433" s="160"/>
      <c r="AB433" s="160"/>
      <c r="AC433" s="160"/>
    </row>
    <row r="434" spans="1:29" ht="14.25" customHeight="1">
      <c r="A434" s="160"/>
      <c r="B434" s="160"/>
      <c r="C434" s="160"/>
      <c r="D434" s="160"/>
      <c r="E434" s="160"/>
      <c r="F434" s="160"/>
      <c r="G434" s="160"/>
      <c r="H434" s="163"/>
      <c r="I434" s="164"/>
      <c r="J434" s="163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  <c r="AA434" s="160"/>
      <c r="AB434" s="160"/>
      <c r="AC434" s="160"/>
    </row>
    <row r="435" spans="1:29" ht="14.25" customHeight="1">
      <c r="A435" s="160"/>
      <c r="B435" s="160"/>
      <c r="C435" s="160"/>
      <c r="D435" s="160"/>
      <c r="E435" s="160"/>
      <c r="F435" s="160"/>
      <c r="G435" s="160"/>
      <c r="H435" s="163"/>
      <c r="I435" s="164"/>
      <c r="J435" s="163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  <c r="AA435" s="160"/>
      <c r="AB435" s="160"/>
      <c r="AC435" s="160"/>
    </row>
    <row r="436" spans="1:29" ht="14.25" customHeight="1">
      <c r="A436" s="160"/>
      <c r="B436" s="160"/>
      <c r="C436" s="160"/>
      <c r="D436" s="160"/>
      <c r="E436" s="160"/>
      <c r="F436" s="160"/>
      <c r="G436" s="160"/>
      <c r="H436" s="163"/>
      <c r="I436" s="164"/>
      <c r="J436" s="163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</row>
    <row r="437" spans="1:29" ht="14.25" customHeight="1">
      <c r="A437" s="160"/>
      <c r="B437" s="160"/>
      <c r="C437" s="160"/>
      <c r="D437" s="160"/>
      <c r="E437" s="160"/>
      <c r="F437" s="160"/>
      <c r="G437" s="160"/>
      <c r="H437" s="163"/>
      <c r="I437" s="164"/>
      <c r="J437" s="163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  <c r="AA437" s="160"/>
      <c r="AB437" s="160"/>
      <c r="AC437" s="160"/>
    </row>
    <row r="438" spans="1:29" ht="14.25" customHeight="1">
      <c r="A438" s="160"/>
      <c r="B438" s="160"/>
      <c r="C438" s="160"/>
      <c r="D438" s="160"/>
      <c r="E438" s="160"/>
      <c r="F438" s="160"/>
      <c r="G438" s="160"/>
      <c r="H438" s="163"/>
      <c r="I438" s="164"/>
      <c r="J438" s="163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  <c r="AA438" s="160"/>
      <c r="AB438" s="160"/>
      <c r="AC438" s="160"/>
    </row>
    <row r="439" spans="1:29" ht="14.25" customHeight="1">
      <c r="A439" s="160"/>
      <c r="B439" s="160"/>
      <c r="C439" s="160"/>
      <c r="D439" s="160"/>
      <c r="E439" s="160"/>
      <c r="F439" s="160"/>
      <c r="G439" s="160"/>
      <c r="H439" s="163"/>
      <c r="I439" s="164"/>
      <c r="J439" s="163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  <c r="AA439" s="160"/>
      <c r="AB439" s="160"/>
      <c r="AC439" s="160"/>
    </row>
    <row r="440" spans="1:29" ht="14.25" customHeight="1">
      <c r="A440" s="160"/>
      <c r="B440" s="160"/>
      <c r="C440" s="160"/>
      <c r="D440" s="160"/>
      <c r="E440" s="160"/>
      <c r="F440" s="160"/>
      <c r="G440" s="160"/>
      <c r="H440" s="163"/>
      <c r="I440" s="164"/>
      <c r="J440" s="163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  <c r="AA440" s="160"/>
      <c r="AB440" s="160"/>
      <c r="AC440" s="160"/>
    </row>
    <row r="441" spans="1:29" ht="14.25" customHeight="1">
      <c r="A441" s="160"/>
      <c r="B441" s="160"/>
      <c r="C441" s="160"/>
      <c r="D441" s="160"/>
      <c r="E441" s="160"/>
      <c r="F441" s="160"/>
      <c r="G441" s="160"/>
      <c r="H441" s="163"/>
      <c r="I441" s="164"/>
      <c r="J441" s="163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  <c r="AA441" s="160"/>
      <c r="AB441" s="160"/>
      <c r="AC441" s="160"/>
    </row>
    <row r="442" spans="1:29" ht="14.25" customHeight="1">
      <c r="A442" s="160"/>
      <c r="B442" s="160"/>
      <c r="C442" s="160"/>
      <c r="D442" s="160"/>
      <c r="E442" s="160"/>
      <c r="F442" s="160"/>
      <c r="G442" s="160"/>
      <c r="H442" s="163"/>
      <c r="I442" s="164"/>
      <c r="J442" s="163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  <c r="AA442" s="160"/>
      <c r="AB442" s="160"/>
      <c r="AC442" s="160"/>
    </row>
    <row r="443" spans="1:29" ht="14.25" customHeight="1">
      <c r="A443" s="160"/>
      <c r="B443" s="160"/>
      <c r="C443" s="160"/>
      <c r="D443" s="160"/>
      <c r="E443" s="160"/>
      <c r="F443" s="160"/>
      <c r="G443" s="160"/>
      <c r="H443" s="163"/>
      <c r="I443" s="164"/>
      <c r="J443" s="163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  <c r="AA443" s="160"/>
      <c r="AB443" s="160"/>
      <c r="AC443" s="160"/>
    </row>
    <row r="444" spans="1:29" ht="14.25" customHeight="1">
      <c r="A444" s="160"/>
      <c r="B444" s="160"/>
      <c r="C444" s="160"/>
      <c r="D444" s="160"/>
      <c r="E444" s="160"/>
      <c r="F444" s="160"/>
      <c r="G444" s="160"/>
      <c r="H444" s="163"/>
      <c r="I444" s="164"/>
      <c r="J444" s="163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  <c r="AA444" s="160"/>
      <c r="AB444" s="160"/>
      <c r="AC444" s="160"/>
    </row>
    <row r="445" spans="1:29" ht="14.25" customHeight="1">
      <c r="A445" s="160"/>
      <c r="B445" s="160"/>
      <c r="C445" s="160"/>
      <c r="D445" s="160"/>
      <c r="E445" s="160"/>
      <c r="F445" s="160"/>
      <c r="G445" s="160"/>
      <c r="H445" s="163"/>
      <c r="I445" s="164"/>
      <c r="J445" s="163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  <c r="AA445" s="160"/>
      <c r="AB445" s="160"/>
      <c r="AC445" s="160"/>
    </row>
    <row r="446" spans="1:29" ht="14.25" customHeight="1">
      <c r="A446" s="160"/>
      <c r="B446" s="160"/>
      <c r="C446" s="160"/>
      <c r="D446" s="160"/>
      <c r="E446" s="160"/>
      <c r="F446" s="160"/>
      <c r="G446" s="160"/>
      <c r="H446" s="163"/>
      <c r="I446" s="164"/>
      <c r="J446" s="163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  <c r="AA446" s="160"/>
      <c r="AB446" s="160"/>
      <c r="AC446" s="160"/>
    </row>
    <row r="447" spans="1:29" ht="14.25" customHeight="1">
      <c r="A447" s="160"/>
      <c r="B447" s="160"/>
      <c r="C447" s="160"/>
      <c r="D447" s="160"/>
      <c r="E447" s="160"/>
      <c r="F447" s="160"/>
      <c r="G447" s="160"/>
      <c r="H447" s="163"/>
      <c r="I447" s="164"/>
      <c r="J447" s="163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  <c r="AA447" s="160"/>
      <c r="AB447" s="160"/>
      <c r="AC447" s="160"/>
    </row>
    <row r="448" spans="1:29" ht="14.25" customHeight="1">
      <c r="A448" s="160"/>
      <c r="B448" s="160"/>
      <c r="C448" s="160"/>
      <c r="D448" s="160"/>
      <c r="E448" s="160"/>
      <c r="F448" s="160"/>
      <c r="G448" s="160"/>
      <c r="H448" s="163"/>
      <c r="I448" s="164"/>
      <c r="J448" s="163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  <c r="AA448" s="160"/>
      <c r="AB448" s="160"/>
      <c r="AC448" s="160"/>
    </row>
    <row r="449" spans="1:29" ht="14.25" customHeight="1">
      <c r="A449" s="160"/>
      <c r="B449" s="160"/>
      <c r="C449" s="160"/>
      <c r="D449" s="160"/>
      <c r="E449" s="160"/>
      <c r="F449" s="160"/>
      <c r="G449" s="160"/>
      <c r="H449" s="163"/>
      <c r="I449" s="164"/>
      <c r="J449" s="163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  <c r="AA449" s="160"/>
      <c r="AB449" s="160"/>
      <c r="AC449" s="160"/>
    </row>
    <row r="450" spans="1:29" ht="14.25" customHeight="1">
      <c r="A450" s="160"/>
      <c r="B450" s="160"/>
      <c r="C450" s="160"/>
      <c r="D450" s="160"/>
      <c r="E450" s="160"/>
      <c r="F450" s="160"/>
      <c r="G450" s="160"/>
      <c r="H450" s="163"/>
      <c r="I450" s="164"/>
      <c r="J450" s="163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  <c r="AA450" s="160"/>
      <c r="AB450" s="160"/>
      <c r="AC450" s="160"/>
    </row>
    <row r="451" spans="1:29" ht="14.25" customHeight="1">
      <c r="A451" s="160"/>
      <c r="B451" s="160"/>
      <c r="C451" s="160"/>
      <c r="D451" s="160"/>
      <c r="E451" s="160"/>
      <c r="F451" s="160"/>
      <c r="G451" s="160"/>
      <c r="H451" s="163"/>
      <c r="I451" s="164"/>
      <c r="J451" s="163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  <c r="AA451" s="160"/>
      <c r="AB451" s="160"/>
      <c r="AC451" s="160"/>
    </row>
    <row r="452" spans="1:29" ht="14.25" customHeight="1">
      <c r="A452" s="160"/>
      <c r="B452" s="160"/>
      <c r="C452" s="160"/>
      <c r="D452" s="160"/>
      <c r="E452" s="160"/>
      <c r="F452" s="160"/>
      <c r="G452" s="160"/>
      <c r="H452" s="163"/>
      <c r="I452" s="164"/>
      <c r="J452" s="163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  <c r="AA452" s="160"/>
      <c r="AB452" s="160"/>
      <c r="AC452" s="160"/>
    </row>
    <row r="453" spans="1:29" ht="14.25" customHeight="1">
      <c r="A453" s="160"/>
      <c r="B453" s="160"/>
      <c r="C453" s="160"/>
      <c r="D453" s="160"/>
      <c r="E453" s="160"/>
      <c r="F453" s="160"/>
      <c r="G453" s="160"/>
      <c r="H453" s="163"/>
      <c r="I453" s="164"/>
      <c r="J453" s="163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  <c r="AA453" s="160"/>
      <c r="AB453" s="160"/>
      <c r="AC453" s="160"/>
    </row>
    <row r="454" spans="1:29" ht="14.25" customHeight="1">
      <c r="A454" s="160"/>
      <c r="B454" s="160"/>
      <c r="C454" s="160"/>
      <c r="D454" s="160"/>
      <c r="E454" s="160"/>
      <c r="F454" s="160"/>
      <c r="G454" s="160"/>
      <c r="H454" s="163"/>
      <c r="I454" s="164"/>
      <c r="J454" s="163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  <c r="AA454" s="160"/>
      <c r="AB454" s="160"/>
      <c r="AC454" s="160"/>
    </row>
    <row r="455" spans="1:29" ht="14.25" customHeight="1">
      <c r="A455" s="160"/>
      <c r="B455" s="160"/>
      <c r="C455" s="160"/>
      <c r="D455" s="160"/>
      <c r="E455" s="160"/>
      <c r="F455" s="160"/>
      <c r="G455" s="160"/>
      <c r="H455" s="163"/>
      <c r="I455" s="164"/>
      <c r="J455" s="163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  <c r="AA455" s="160"/>
      <c r="AB455" s="160"/>
      <c r="AC455" s="160"/>
    </row>
    <row r="456" spans="1:29" ht="14.25" customHeight="1">
      <c r="A456" s="160"/>
      <c r="B456" s="160"/>
      <c r="C456" s="160"/>
      <c r="D456" s="160"/>
      <c r="E456" s="160"/>
      <c r="F456" s="160"/>
      <c r="G456" s="160"/>
      <c r="H456" s="163"/>
      <c r="I456" s="164"/>
      <c r="J456" s="163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  <c r="AA456" s="160"/>
      <c r="AB456" s="160"/>
      <c r="AC456" s="160"/>
    </row>
    <row r="457" spans="1:29" ht="14.25" customHeight="1">
      <c r="A457" s="160"/>
      <c r="B457" s="160"/>
      <c r="C457" s="160"/>
      <c r="D457" s="160"/>
      <c r="E457" s="160"/>
      <c r="F457" s="160"/>
      <c r="G457" s="160"/>
      <c r="H457" s="163"/>
      <c r="I457" s="164"/>
      <c r="J457" s="163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  <c r="AA457" s="160"/>
      <c r="AB457" s="160"/>
      <c r="AC457" s="160"/>
    </row>
    <row r="458" spans="1:29" ht="14.25" customHeight="1">
      <c r="A458" s="160"/>
      <c r="B458" s="160"/>
      <c r="C458" s="160"/>
      <c r="D458" s="160"/>
      <c r="E458" s="160"/>
      <c r="F458" s="160"/>
      <c r="G458" s="160"/>
      <c r="H458" s="163"/>
      <c r="I458" s="164"/>
      <c r="J458" s="163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  <c r="AA458" s="160"/>
      <c r="AB458" s="160"/>
      <c r="AC458" s="160"/>
    </row>
    <row r="459" spans="1:29" ht="14.25" customHeight="1">
      <c r="A459" s="160"/>
      <c r="B459" s="160"/>
      <c r="C459" s="160"/>
      <c r="D459" s="160"/>
      <c r="E459" s="160"/>
      <c r="F459" s="160"/>
      <c r="G459" s="160"/>
      <c r="H459" s="163"/>
      <c r="I459" s="164"/>
      <c r="J459" s="163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  <c r="AA459" s="160"/>
      <c r="AB459" s="160"/>
      <c r="AC459" s="160"/>
    </row>
    <row r="460" spans="1:29" ht="14.25" customHeight="1">
      <c r="A460" s="160"/>
      <c r="B460" s="160"/>
      <c r="C460" s="160"/>
      <c r="D460" s="160"/>
      <c r="E460" s="160"/>
      <c r="F460" s="160"/>
      <c r="G460" s="160"/>
      <c r="H460" s="163"/>
      <c r="I460" s="164"/>
      <c r="J460" s="163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  <c r="AA460" s="160"/>
      <c r="AB460" s="160"/>
      <c r="AC460" s="160"/>
    </row>
    <row r="461" spans="1:29" ht="14.25" customHeight="1">
      <c r="A461" s="160"/>
      <c r="B461" s="160"/>
      <c r="C461" s="160"/>
      <c r="D461" s="160"/>
      <c r="E461" s="160"/>
      <c r="F461" s="160"/>
      <c r="G461" s="160"/>
      <c r="H461" s="163"/>
      <c r="I461" s="164"/>
      <c r="J461" s="163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  <c r="AA461" s="160"/>
      <c r="AB461" s="160"/>
      <c r="AC461" s="160"/>
    </row>
    <row r="462" spans="1:29" ht="14.25" customHeight="1">
      <c r="A462" s="160"/>
      <c r="B462" s="160"/>
      <c r="C462" s="160"/>
      <c r="D462" s="160"/>
      <c r="E462" s="160"/>
      <c r="F462" s="160"/>
      <c r="G462" s="160"/>
      <c r="H462" s="163"/>
      <c r="I462" s="164"/>
      <c r="J462" s="163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  <c r="AA462" s="160"/>
      <c r="AB462" s="160"/>
      <c r="AC462" s="160"/>
    </row>
    <row r="463" spans="1:29" ht="14.25" customHeight="1">
      <c r="A463" s="160"/>
      <c r="B463" s="160"/>
      <c r="C463" s="160"/>
      <c r="D463" s="160"/>
      <c r="E463" s="160"/>
      <c r="F463" s="160"/>
      <c r="G463" s="160"/>
      <c r="H463" s="163"/>
      <c r="I463" s="164"/>
      <c r="J463" s="163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  <c r="AA463" s="160"/>
      <c r="AB463" s="160"/>
      <c r="AC463" s="160"/>
    </row>
    <row r="464" spans="1:29" ht="14.25" customHeight="1">
      <c r="A464" s="160"/>
      <c r="B464" s="160"/>
      <c r="C464" s="160"/>
      <c r="D464" s="160"/>
      <c r="E464" s="160"/>
      <c r="F464" s="160"/>
      <c r="G464" s="160"/>
      <c r="H464" s="163"/>
      <c r="I464" s="164"/>
      <c r="J464" s="163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  <c r="AA464" s="160"/>
      <c r="AB464" s="160"/>
      <c r="AC464" s="160"/>
    </row>
    <row r="465" spans="1:29" ht="14.25" customHeight="1">
      <c r="A465" s="160"/>
      <c r="B465" s="160"/>
      <c r="C465" s="160"/>
      <c r="D465" s="160"/>
      <c r="E465" s="160"/>
      <c r="F465" s="160"/>
      <c r="G465" s="160"/>
      <c r="H465" s="163"/>
      <c r="I465" s="164"/>
      <c r="J465" s="163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  <c r="AA465" s="160"/>
      <c r="AB465" s="160"/>
      <c r="AC465" s="160"/>
    </row>
    <row r="466" spans="1:29" ht="14.25" customHeight="1">
      <c r="A466" s="160"/>
      <c r="B466" s="160"/>
      <c r="C466" s="160"/>
      <c r="D466" s="160"/>
      <c r="E466" s="160"/>
      <c r="F466" s="160"/>
      <c r="G466" s="160"/>
      <c r="H466" s="163"/>
      <c r="I466" s="164"/>
      <c r="J466" s="163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  <c r="AA466" s="160"/>
      <c r="AB466" s="160"/>
      <c r="AC466" s="160"/>
    </row>
    <row r="467" spans="1:29" ht="14.25" customHeight="1">
      <c r="A467" s="160"/>
      <c r="B467" s="160"/>
      <c r="C467" s="160"/>
      <c r="D467" s="160"/>
      <c r="E467" s="160"/>
      <c r="F467" s="160"/>
      <c r="G467" s="160"/>
      <c r="H467" s="163"/>
      <c r="I467" s="164"/>
      <c r="J467" s="163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  <c r="AA467" s="160"/>
      <c r="AB467" s="160"/>
      <c r="AC467" s="160"/>
    </row>
    <row r="468" spans="1:29" ht="14.25" customHeight="1">
      <c r="A468" s="160"/>
      <c r="B468" s="160"/>
      <c r="C468" s="160"/>
      <c r="D468" s="160"/>
      <c r="E468" s="160"/>
      <c r="F468" s="160"/>
      <c r="G468" s="160"/>
      <c r="H468" s="163"/>
      <c r="I468" s="164"/>
      <c r="J468" s="163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  <c r="AA468" s="160"/>
      <c r="AB468" s="160"/>
      <c r="AC468" s="160"/>
    </row>
    <row r="469" spans="1:29" ht="14.25" customHeight="1">
      <c r="A469" s="160"/>
      <c r="B469" s="160"/>
      <c r="C469" s="160"/>
      <c r="D469" s="160"/>
      <c r="E469" s="160"/>
      <c r="F469" s="160"/>
      <c r="G469" s="160"/>
      <c r="H469" s="163"/>
      <c r="I469" s="164"/>
      <c r="J469" s="163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  <c r="AA469" s="160"/>
      <c r="AB469" s="160"/>
      <c r="AC469" s="160"/>
    </row>
    <row r="470" spans="1:29" ht="14.25" customHeight="1">
      <c r="A470" s="160"/>
      <c r="B470" s="160"/>
      <c r="C470" s="160"/>
      <c r="D470" s="160"/>
      <c r="E470" s="160"/>
      <c r="F470" s="160"/>
      <c r="G470" s="160"/>
      <c r="H470" s="163"/>
      <c r="I470" s="164"/>
      <c r="J470" s="163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  <c r="AA470" s="160"/>
      <c r="AB470" s="160"/>
      <c r="AC470" s="160"/>
    </row>
    <row r="471" spans="1:29" ht="14.25" customHeight="1">
      <c r="A471" s="160"/>
      <c r="B471" s="160"/>
      <c r="C471" s="160"/>
      <c r="D471" s="160"/>
      <c r="E471" s="160"/>
      <c r="F471" s="160"/>
      <c r="G471" s="160"/>
      <c r="H471" s="163"/>
      <c r="I471" s="164"/>
      <c r="J471" s="163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  <c r="AA471" s="160"/>
      <c r="AB471" s="160"/>
      <c r="AC471" s="160"/>
    </row>
    <row r="472" spans="1:29" ht="14.25" customHeight="1">
      <c r="A472" s="160"/>
      <c r="B472" s="160"/>
      <c r="C472" s="160"/>
      <c r="D472" s="160"/>
      <c r="E472" s="160"/>
      <c r="F472" s="160"/>
      <c r="G472" s="160"/>
      <c r="H472" s="163"/>
      <c r="I472" s="164"/>
      <c r="J472" s="163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  <c r="AA472" s="160"/>
      <c r="AB472" s="160"/>
      <c r="AC472" s="160"/>
    </row>
    <row r="473" spans="1:29" ht="14.25" customHeight="1">
      <c r="A473" s="160"/>
      <c r="B473" s="160"/>
      <c r="C473" s="160"/>
      <c r="D473" s="160"/>
      <c r="E473" s="160"/>
      <c r="F473" s="160"/>
      <c r="G473" s="160"/>
      <c r="H473" s="163"/>
      <c r="I473" s="164"/>
      <c r="J473" s="163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  <c r="AA473" s="160"/>
      <c r="AB473" s="160"/>
      <c r="AC473" s="160"/>
    </row>
    <row r="474" spans="1:29" ht="14.25" customHeight="1">
      <c r="A474" s="160"/>
      <c r="B474" s="160"/>
      <c r="C474" s="160"/>
      <c r="D474" s="160"/>
      <c r="E474" s="160"/>
      <c r="F474" s="160"/>
      <c r="G474" s="160"/>
      <c r="H474" s="163"/>
      <c r="I474" s="164"/>
      <c r="J474" s="163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  <c r="AA474" s="160"/>
      <c r="AB474" s="160"/>
      <c r="AC474" s="160"/>
    </row>
    <row r="475" spans="1:29" ht="14.25" customHeight="1">
      <c r="A475" s="160"/>
      <c r="B475" s="160"/>
      <c r="C475" s="160"/>
      <c r="D475" s="160"/>
      <c r="E475" s="160"/>
      <c r="F475" s="160"/>
      <c r="G475" s="160"/>
      <c r="H475" s="163"/>
      <c r="I475" s="164"/>
      <c r="J475" s="163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  <c r="AA475" s="160"/>
      <c r="AB475" s="160"/>
      <c r="AC475" s="160"/>
    </row>
    <row r="476" spans="1:29" ht="14.25" customHeight="1">
      <c r="A476" s="160"/>
      <c r="B476" s="160"/>
      <c r="C476" s="160"/>
      <c r="D476" s="160"/>
      <c r="E476" s="160"/>
      <c r="F476" s="160"/>
      <c r="G476" s="160"/>
      <c r="H476" s="163"/>
      <c r="I476" s="164"/>
      <c r="J476" s="163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  <c r="AA476" s="160"/>
      <c r="AB476" s="160"/>
      <c r="AC476" s="160"/>
    </row>
    <row r="477" spans="1:29" ht="14.25" customHeight="1">
      <c r="A477" s="160"/>
      <c r="B477" s="160"/>
      <c r="C477" s="160"/>
      <c r="D477" s="160"/>
      <c r="E477" s="160"/>
      <c r="F477" s="160"/>
      <c r="G477" s="160"/>
      <c r="H477" s="163"/>
      <c r="I477" s="164"/>
      <c r="J477" s="163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  <c r="AA477" s="160"/>
      <c r="AB477" s="160"/>
      <c r="AC477" s="160"/>
    </row>
    <row r="478" spans="1:29" ht="14.25" customHeight="1">
      <c r="A478" s="160"/>
      <c r="B478" s="160"/>
      <c r="C478" s="160"/>
      <c r="D478" s="160"/>
      <c r="E478" s="160"/>
      <c r="F478" s="160"/>
      <c r="G478" s="160"/>
      <c r="H478" s="163"/>
      <c r="I478" s="164"/>
      <c r="J478" s="163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  <c r="AA478" s="160"/>
      <c r="AB478" s="160"/>
      <c r="AC478" s="160"/>
    </row>
    <row r="479" spans="1:29" ht="14.25" customHeight="1">
      <c r="A479" s="160"/>
      <c r="B479" s="160"/>
      <c r="C479" s="160"/>
      <c r="D479" s="160"/>
      <c r="E479" s="160"/>
      <c r="F479" s="160"/>
      <c r="G479" s="160"/>
      <c r="H479" s="163"/>
      <c r="I479" s="164"/>
      <c r="J479" s="163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  <c r="AA479" s="160"/>
      <c r="AB479" s="160"/>
      <c r="AC479" s="160"/>
    </row>
    <row r="480" spans="1:29" ht="14.25" customHeight="1">
      <c r="A480" s="160"/>
      <c r="B480" s="160"/>
      <c r="C480" s="160"/>
      <c r="D480" s="160"/>
      <c r="E480" s="160"/>
      <c r="F480" s="160"/>
      <c r="G480" s="160"/>
      <c r="H480" s="163"/>
      <c r="I480" s="164"/>
      <c r="J480" s="163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  <c r="AA480" s="160"/>
      <c r="AB480" s="160"/>
      <c r="AC480" s="160"/>
    </row>
    <row r="481" spans="1:29" ht="14.25" customHeight="1">
      <c r="A481" s="160"/>
      <c r="B481" s="160"/>
      <c r="C481" s="160"/>
      <c r="D481" s="160"/>
      <c r="E481" s="160"/>
      <c r="F481" s="160"/>
      <c r="G481" s="160"/>
      <c r="H481" s="163"/>
      <c r="I481" s="164"/>
      <c r="J481" s="163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  <c r="AA481" s="160"/>
      <c r="AB481" s="160"/>
      <c r="AC481" s="160"/>
    </row>
    <row r="482" spans="1:29" ht="14.25" customHeight="1">
      <c r="A482" s="160"/>
      <c r="B482" s="160"/>
      <c r="C482" s="160"/>
      <c r="D482" s="160"/>
      <c r="E482" s="160"/>
      <c r="F482" s="160"/>
      <c r="G482" s="160"/>
      <c r="H482" s="163"/>
      <c r="I482" s="164"/>
      <c r="J482" s="163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  <c r="AA482" s="160"/>
      <c r="AB482" s="160"/>
      <c r="AC482" s="160"/>
    </row>
    <row r="483" spans="1:29" ht="14.25" customHeight="1">
      <c r="A483" s="160"/>
      <c r="B483" s="160"/>
      <c r="C483" s="160"/>
      <c r="D483" s="160"/>
      <c r="E483" s="160"/>
      <c r="F483" s="160"/>
      <c r="G483" s="160"/>
      <c r="H483" s="163"/>
      <c r="I483" s="164"/>
      <c r="J483" s="163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  <c r="AA483" s="160"/>
      <c r="AB483" s="160"/>
      <c r="AC483" s="160"/>
    </row>
    <row r="484" spans="1:29" ht="14.25" customHeight="1">
      <c r="A484" s="160"/>
      <c r="B484" s="160"/>
      <c r="C484" s="160"/>
      <c r="D484" s="160"/>
      <c r="E484" s="160"/>
      <c r="F484" s="160"/>
      <c r="G484" s="160"/>
      <c r="H484" s="163"/>
      <c r="I484" s="164"/>
      <c r="J484" s="163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  <c r="AA484" s="160"/>
      <c r="AB484" s="160"/>
      <c r="AC484" s="160"/>
    </row>
    <row r="485" spans="1:29" ht="14.25" customHeight="1">
      <c r="A485" s="160"/>
      <c r="B485" s="160"/>
      <c r="C485" s="160"/>
      <c r="D485" s="160"/>
      <c r="E485" s="160"/>
      <c r="F485" s="160"/>
      <c r="G485" s="160"/>
      <c r="H485" s="163"/>
      <c r="I485" s="164"/>
      <c r="J485" s="163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  <c r="AA485" s="160"/>
      <c r="AB485" s="160"/>
      <c r="AC485" s="160"/>
    </row>
    <row r="486" spans="1:29" ht="14.25" customHeight="1">
      <c r="A486" s="160"/>
      <c r="B486" s="160"/>
      <c r="C486" s="160"/>
      <c r="D486" s="160"/>
      <c r="E486" s="160"/>
      <c r="F486" s="160"/>
      <c r="G486" s="160"/>
      <c r="H486" s="163"/>
      <c r="I486" s="164"/>
      <c r="J486" s="163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  <c r="AA486" s="160"/>
      <c r="AB486" s="160"/>
      <c r="AC486" s="160"/>
    </row>
    <row r="487" spans="1:29" ht="14.25" customHeight="1">
      <c r="A487" s="160"/>
      <c r="B487" s="160"/>
      <c r="C487" s="160"/>
      <c r="D487" s="160"/>
      <c r="E487" s="160"/>
      <c r="F487" s="160"/>
      <c r="G487" s="160"/>
      <c r="H487" s="163"/>
      <c r="I487" s="164"/>
      <c r="J487" s="163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  <c r="AA487" s="160"/>
      <c r="AB487" s="160"/>
      <c r="AC487" s="160"/>
    </row>
    <row r="488" spans="1:29" ht="14.25" customHeight="1">
      <c r="A488" s="160"/>
      <c r="B488" s="160"/>
      <c r="C488" s="160"/>
      <c r="D488" s="160"/>
      <c r="E488" s="160"/>
      <c r="F488" s="160"/>
      <c r="G488" s="160"/>
      <c r="H488" s="163"/>
      <c r="I488" s="164"/>
      <c r="J488" s="163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  <c r="AA488" s="160"/>
      <c r="AB488" s="160"/>
      <c r="AC488" s="160"/>
    </row>
    <row r="489" spans="1:29" ht="14.25" customHeight="1">
      <c r="A489" s="160"/>
      <c r="B489" s="160"/>
      <c r="C489" s="160"/>
      <c r="D489" s="160"/>
      <c r="E489" s="160"/>
      <c r="F489" s="160"/>
      <c r="G489" s="160"/>
      <c r="H489" s="163"/>
      <c r="I489" s="164"/>
      <c r="J489" s="163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</row>
    <row r="490" spans="1:29" ht="14.25" customHeight="1">
      <c r="A490" s="160"/>
      <c r="B490" s="160"/>
      <c r="C490" s="160"/>
      <c r="D490" s="160"/>
      <c r="E490" s="160"/>
      <c r="F490" s="160"/>
      <c r="G490" s="160"/>
      <c r="H490" s="163"/>
      <c r="I490" s="164"/>
      <c r="J490" s="163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  <c r="AA490" s="160"/>
      <c r="AB490" s="160"/>
      <c r="AC490" s="160"/>
    </row>
    <row r="491" spans="1:29" ht="14.25" customHeight="1">
      <c r="A491" s="160"/>
      <c r="B491" s="160"/>
      <c r="C491" s="160"/>
      <c r="D491" s="160"/>
      <c r="E491" s="160"/>
      <c r="F491" s="160"/>
      <c r="G491" s="160"/>
      <c r="H491" s="163"/>
      <c r="I491" s="164"/>
      <c r="J491" s="163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  <c r="AA491" s="160"/>
      <c r="AB491" s="160"/>
      <c r="AC491" s="160"/>
    </row>
    <row r="492" spans="1:29" ht="14.25" customHeight="1">
      <c r="A492" s="160"/>
      <c r="B492" s="160"/>
      <c r="C492" s="160"/>
      <c r="D492" s="160"/>
      <c r="E492" s="160"/>
      <c r="F492" s="160"/>
      <c r="G492" s="160"/>
      <c r="H492" s="163"/>
      <c r="I492" s="164"/>
      <c r="J492" s="163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  <c r="AA492" s="160"/>
      <c r="AB492" s="160"/>
      <c r="AC492" s="160"/>
    </row>
    <row r="493" spans="1:29" ht="14.25" customHeight="1">
      <c r="A493" s="160"/>
      <c r="B493" s="160"/>
      <c r="C493" s="160"/>
      <c r="D493" s="160"/>
      <c r="E493" s="160"/>
      <c r="F493" s="160"/>
      <c r="G493" s="160"/>
      <c r="H493" s="163"/>
      <c r="I493" s="164"/>
      <c r="J493" s="163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  <c r="AA493" s="160"/>
      <c r="AB493" s="160"/>
      <c r="AC493" s="160"/>
    </row>
    <row r="494" spans="1:29" ht="14.25" customHeight="1">
      <c r="A494" s="160"/>
      <c r="B494" s="160"/>
      <c r="C494" s="160"/>
      <c r="D494" s="160"/>
      <c r="E494" s="160"/>
      <c r="F494" s="160"/>
      <c r="G494" s="160"/>
      <c r="H494" s="163"/>
      <c r="I494" s="164"/>
      <c r="J494" s="163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  <c r="AA494" s="160"/>
      <c r="AB494" s="160"/>
      <c r="AC494" s="160"/>
    </row>
    <row r="495" spans="1:29" ht="14.25" customHeight="1">
      <c r="A495" s="160"/>
      <c r="B495" s="160"/>
      <c r="C495" s="160"/>
      <c r="D495" s="160"/>
      <c r="E495" s="160"/>
      <c r="F495" s="160"/>
      <c r="G495" s="160"/>
      <c r="H495" s="163"/>
      <c r="I495" s="164"/>
      <c r="J495" s="163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  <c r="AA495" s="160"/>
      <c r="AB495" s="160"/>
      <c r="AC495" s="160"/>
    </row>
    <row r="496" spans="1:29" ht="14.25" customHeight="1">
      <c r="A496" s="160"/>
      <c r="B496" s="160"/>
      <c r="C496" s="160"/>
      <c r="D496" s="160"/>
      <c r="E496" s="160"/>
      <c r="F496" s="160"/>
      <c r="G496" s="160"/>
      <c r="H496" s="163"/>
      <c r="I496" s="164"/>
      <c r="J496" s="163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  <c r="AA496" s="160"/>
      <c r="AB496" s="160"/>
      <c r="AC496" s="160"/>
    </row>
    <row r="497" spans="1:29" ht="14.25" customHeight="1">
      <c r="A497" s="160"/>
      <c r="B497" s="160"/>
      <c r="C497" s="160"/>
      <c r="D497" s="160"/>
      <c r="E497" s="160"/>
      <c r="F497" s="160"/>
      <c r="G497" s="160"/>
      <c r="H497" s="163"/>
      <c r="I497" s="164"/>
      <c r="J497" s="163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  <c r="AA497" s="160"/>
      <c r="AB497" s="160"/>
      <c r="AC497" s="160"/>
    </row>
    <row r="498" spans="1:29" ht="14.25" customHeight="1">
      <c r="A498" s="160"/>
      <c r="B498" s="160"/>
      <c r="C498" s="160"/>
      <c r="D498" s="160"/>
      <c r="E498" s="160"/>
      <c r="F498" s="160"/>
      <c r="G498" s="160"/>
      <c r="H498" s="163"/>
      <c r="I498" s="164"/>
      <c r="J498" s="163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  <c r="AA498" s="160"/>
      <c r="AB498" s="160"/>
      <c r="AC498" s="160"/>
    </row>
    <row r="499" spans="1:29" ht="14.25" customHeight="1">
      <c r="A499" s="160"/>
      <c r="B499" s="160"/>
      <c r="C499" s="160"/>
      <c r="D499" s="160"/>
      <c r="E499" s="160"/>
      <c r="F499" s="160"/>
      <c r="G499" s="160"/>
      <c r="H499" s="163"/>
      <c r="I499" s="164"/>
      <c r="J499" s="163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  <c r="AA499" s="160"/>
      <c r="AB499" s="160"/>
      <c r="AC499" s="160"/>
    </row>
    <row r="500" spans="1:29" ht="14.25" customHeight="1">
      <c r="A500" s="160"/>
      <c r="B500" s="160"/>
      <c r="C500" s="160"/>
      <c r="D500" s="160"/>
      <c r="E500" s="160"/>
      <c r="F500" s="160"/>
      <c r="G500" s="160"/>
      <c r="H500" s="163"/>
      <c r="I500" s="164"/>
      <c r="J500" s="163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  <c r="AA500" s="160"/>
      <c r="AB500" s="160"/>
      <c r="AC500" s="160"/>
    </row>
    <row r="501" spans="1:29" ht="14.25" customHeight="1">
      <c r="A501" s="160"/>
      <c r="B501" s="160"/>
      <c r="C501" s="160"/>
      <c r="D501" s="160"/>
      <c r="E501" s="160"/>
      <c r="F501" s="160"/>
      <c r="G501" s="160"/>
      <c r="H501" s="163"/>
      <c r="I501" s="164"/>
      <c r="J501" s="163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  <c r="AA501" s="160"/>
      <c r="AB501" s="160"/>
      <c r="AC501" s="160"/>
    </row>
    <row r="502" spans="1:29" ht="14.25" customHeight="1">
      <c r="A502" s="160"/>
      <c r="B502" s="160"/>
      <c r="C502" s="160"/>
      <c r="D502" s="160"/>
      <c r="E502" s="160"/>
      <c r="F502" s="160"/>
      <c r="G502" s="160"/>
      <c r="H502" s="163"/>
      <c r="I502" s="164"/>
      <c r="J502" s="163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  <c r="AA502" s="160"/>
      <c r="AB502" s="160"/>
      <c r="AC502" s="160"/>
    </row>
    <row r="503" spans="1:29" ht="14.25" customHeight="1">
      <c r="A503" s="160"/>
      <c r="B503" s="160"/>
      <c r="C503" s="160"/>
      <c r="D503" s="160"/>
      <c r="E503" s="160"/>
      <c r="F503" s="160"/>
      <c r="G503" s="160"/>
      <c r="H503" s="163"/>
      <c r="I503" s="164"/>
      <c r="J503" s="163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  <c r="AA503" s="160"/>
      <c r="AB503" s="160"/>
      <c r="AC503" s="160"/>
    </row>
    <row r="504" spans="1:29" ht="14.25" customHeight="1">
      <c r="A504" s="160"/>
      <c r="B504" s="160"/>
      <c r="C504" s="160"/>
      <c r="D504" s="160"/>
      <c r="E504" s="160"/>
      <c r="F504" s="160"/>
      <c r="G504" s="160"/>
      <c r="H504" s="163"/>
      <c r="I504" s="164"/>
      <c r="J504" s="163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  <c r="AA504" s="160"/>
      <c r="AB504" s="160"/>
      <c r="AC504" s="160"/>
    </row>
    <row r="505" spans="1:29" ht="14.25" customHeight="1">
      <c r="A505" s="160"/>
      <c r="B505" s="160"/>
      <c r="C505" s="160"/>
      <c r="D505" s="160"/>
      <c r="E505" s="160"/>
      <c r="F505" s="160"/>
      <c r="G505" s="160"/>
      <c r="H505" s="163"/>
      <c r="I505" s="164"/>
      <c r="J505" s="163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  <c r="AA505" s="160"/>
      <c r="AB505" s="160"/>
      <c r="AC505" s="160"/>
    </row>
    <row r="506" spans="1:29" ht="14.25" customHeight="1">
      <c r="A506" s="160"/>
      <c r="B506" s="160"/>
      <c r="C506" s="160"/>
      <c r="D506" s="160"/>
      <c r="E506" s="160"/>
      <c r="F506" s="160"/>
      <c r="G506" s="160"/>
      <c r="H506" s="163"/>
      <c r="I506" s="164"/>
      <c r="J506" s="163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  <c r="AA506" s="160"/>
      <c r="AB506" s="160"/>
      <c r="AC506" s="160"/>
    </row>
    <row r="507" spans="1:29" ht="14.25" customHeight="1">
      <c r="A507" s="160"/>
      <c r="B507" s="160"/>
      <c r="C507" s="160"/>
      <c r="D507" s="160"/>
      <c r="E507" s="160"/>
      <c r="F507" s="160"/>
      <c r="G507" s="160"/>
      <c r="H507" s="163"/>
      <c r="I507" s="164"/>
      <c r="J507" s="163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  <c r="AA507" s="160"/>
      <c r="AB507" s="160"/>
      <c r="AC507" s="160"/>
    </row>
    <row r="508" spans="1:29" ht="14.25" customHeight="1">
      <c r="A508" s="160"/>
      <c r="B508" s="160"/>
      <c r="C508" s="160"/>
      <c r="D508" s="160"/>
      <c r="E508" s="160"/>
      <c r="F508" s="160"/>
      <c r="G508" s="160"/>
      <c r="H508" s="163"/>
      <c r="I508" s="164"/>
      <c r="J508" s="163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  <c r="AA508" s="160"/>
      <c r="AB508" s="160"/>
      <c r="AC508" s="160"/>
    </row>
    <row r="509" spans="1:29" ht="14.25" customHeight="1">
      <c r="A509" s="160"/>
      <c r="B509" s="160"/>
      <c r="C509" s="160"/>
      <c r="D509" s="160"/>
      <c r="E509" s="160"/>
      <c r="F509" s="160"/>
      <c r="G509" s="160"/>
      <c r="H509" s="163"/>
      <c r="I509" s="164"/>
      <c r="J509" s="163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  <c r="AA509" s="160"/>
      <c r="AB509" s="160"/>
      <c r="AC509" s="160"/>
    </row>
    <row r="510" spans="1:29" ht="14.25" customHeight="1">
      <c r="A510" s="160"/>
      <c r="B510" s="160"/>
      <c r="C510" s="160"/>
      <c r="D510" s="160"/>
      <c r="E510" s="160"/>
      <c r="F510" s="160"/>
      <c r="G510" s="160"/>
      <c r="H510" s="163"/>
      <c r="I510" s="164"/>
      <c r="J510" s="163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  <c r="AA510" s="160"/>
      <c r="AB510" s="160"/>
      <c r="AC510" s="160"/>
    </row>
    <row r="511" spans="1:29" ht="14.25" customHeight="1">
      <c r="A511" s="160"/>
      <c r="B511" s="160"/>
      <c r="C511" s="160"/>
      <c r="D511" s="160"/>
      <c r="E511" s="160"/>
      <c r="F511" s="160"/>
      <c r="G511" s="160"/>
      <c r="H511" s="163"/>
      <c r="I511" s="164"/>
      <c r="J511" s="163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  <c r="AA511" s="160"/>
      <c r="AB511" s="160"/>
      <c r="AC511" s="160"/>
    </row>
    <row r="512" spans="1:29" ht="14.25" customHeight="1">
      <c r="A512" s="160"/>
      <c r="B512" s="160"/>
      <c r="C512" s="160"/>
      <c r="D512" s="160"/>
      <c r="E512" s="160"/>
      <c r="F512" s="160"/>
      <c r="G512" s="160"/>
      <c r="H512" s="163"/>
      <c r="I512" s="164"/>
      <c r="J512" s="163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  <c r="AA512" s="160"/>
      <c r="AB512" s="160"/>
      <c r="AC512" s="160"/>
    </row>
    <row r="513" spans="1:29" ht="14.25" customHeight="1">
      <c r="A513" s="160"/>
      <c r="B513" s="160"/>
      <c r="C513" s="160"/>
      <c r="D513" s="160"/>
      <c r="E513" s="160"/>
      <c r="F513" s="160"/>
      <c r="G513" s="160"/>
      <c r="H513" s="163"/>
      <c r="I513" s="164"/>
      <c r="J513" s="163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  <c r="AA513" s="160"/>
      <c r="AB513" s="160"/>
      <c r="AC513" s="160"/>
    </row>
    <row r="514" spans="1:29" ht="14.25" customHeight="1">
      <c r="A514" s="160"/>
      <c r="B514" s="160"/>
      <c r="C514" s="160"/>
      <c r="D514" s="160"/>
      <c r="E514" s="160"/>
      <c r="F514" s="160"/>
      <c r="G514" s="160"/>
      <c r="H514" s="163"/>
      <c r="I514" s="164"/>
      <c r="J514" s="163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  <c r="AA514" s="160"/>
      <c r="AB514" s="160"/>
      <c r="AC514" s="160"/>
    </row>
    <row r="515" spans="1:29" ht="14.25" customHeight="1">
      <c r="A515" s="160"/>
      <c r="B515" s="160"/>
      <c r="C515" s="160"/>
      <c r="D515" s="160"/>
      <c r="E515" s="160"/>
      <c r="F515" s="160"/>
      <c r="G515" s="160"/>
      <c r="H515" s="163"/>
      <c r="I515" s="164"/>
      <c r="J515" s="163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  <c r="AA515" s="160"/>
      <c r="AB515" s="160"/>
      <c r="AC515" s="160"/>
    </row>
    <row r="516" spans="1:29" ht="14.25" customHeight="1">
      <c r="A516" s="160"/>
      <c r="B516" s="160"/>
      <c r="C516" s="160"/>
      <c r="D516" s="160"/>
      <c r="E516" s="160"/>
      <c r="F516" s="160"/>
      <c r="G516" s="160"/>
      <c r="H516" s="163"/>
      <c r="I516" s="164"/>
      <c r="J516" s="163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  <c r="AA516" s="160"/>
      <c r="AB516" s="160"/>
      <c r="AC516" s="160"/>
    </row>
    <row r="517" spans="1:29" ht="14.25" customHeight="1">
      <c r="A517" s="160"/>
      <c r="B517" s="160"/>
      <c r="C517" s="160"/>
      <c r="D517" s="160"/>
      <c r="E517" s="160"/>
      <c r="F517" s="160"/>
      <c r="G517" s="160"/>
      <c r="H517" s="163"/>
      <c r="I517" s="164"/>
      <c r="J517" s="163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  <c r="AA517" s="160"/>
      <c r="AB517" s="160"/>
      <c r="AC517" s="160"/>
    </row>
    <row r="518" spans="1:29" ht="14.25" customHeight="1">
      <c r="A518" s="160"/>
      <c r="B518" s="160"/>
      <c r="C518" s="160"/>
      <c r="D518" s="160"/>
      <c r="E518" s="160"/>
      <c r="F518" s="160"/>
      <c r="G518" s="160"/>
      <c r="H518" s="163"/>
      <c r="I518" s="164"/>
      <c r="J518" s="163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  <c r="AA518" s="160"/>
      <c r="AB518" s="160"/>
      <c r="AC518" s="160"/>
    </row>
    <row r="519" spans="1:29" ht="14.25" customHeight="1">
      <c r="A519" s="160"/>
      <c r="B519" s="160"/>
      <c r="C519" s="160"/>
      <c r="D519" s="160"/>
      <c r="E519" s="160"/>
      <c r="F519" s="160"/>
      <c r="G519" s="160"/>
      <c r="H519" s="163"/>
      <c r="I519" s="164"/>
      <c r="J519" s="163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  <c r="AA519" s="160"/>
      <c r="AB519" s="160"/>
      <c r="AC519" s="160"/>
    </row>
    <row r="520" spans="1:29" ht="14.25" customHeight="1">
      <c r="A520" s="160"/>
      <c r="B520" s="160"/>
      <c r="C520" s="160"/>
      <c r="D520" s="160"/>
      <c r="E520" s="160"/>
      <c r="F520" s="160"/>
      <c r="G520" s="160"/>
      <c r="H520" s="163"/>
      <c r="I520" s="164"/>
      <c r="J520" s="163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  <c r="AA520" s="160"/>
      <c r="AB520" s="160"/>
      <c r="AC520" s="160"/>
    </row>
    <row r="521" spans="1:29" ht="14.25" customHeight="1">
      <c r="A521" s="160"/>
      <c r="B521" s="160"/>
      <c r="C521" s="160"/>
      <c r="D521" s="160"/>
      <c r="E521" s="160"/>
      <c r="F521" s="160"/>
      <c r="G521" s="160"/>
      <c r="H521" s="163"/>
      <c r="I521" s="164"/>
      <c r="J521" s="163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  <c r="AA521" s="160"/>
      <c r="AB521" s="160"/>
      <c r="AC521" s="160"/>
    </row>
    <row r="522" spans="1:29" ht="14.25" customHeight="1">
      <c r="A522" s="160"/>
      <c r="B522" s="160"/>
      <c r="C522" s="160"/>
      <c r="D522" s="160"/>
      <c r="E522" s="160"/>
      <c r="F522" s="160"/>
      <c r="G522" s="160"/>
      <c r="H522" s="163"/>
      <c r="I522" s="164"/>
      <c r="J522" s="163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  <c r="AA522" s="160"/>
      <c r="AB522" s="160"/>
      <c r="AC522" s="160"/>
    </row>
    <row r="523" spans="1:29" ht="14.25" customHeight="1">
      <c r="A523" s="160"/>
      <c r="B523" s="160"/>
      <c r="C523" s="160"/>
      <c r="D523" s="160"/>
      <c r="E523" s="160"/>
      <c r="F523" s="160"/>
      <c r="G523" s="160"/>
      <c r="H523" s="163"/>
      <c r="I523" s="164"/>
      <c r="J523" s="163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  <c r="AA523" s="160"/>
      <c r="AB523" s="160"/>
      <c r="AC523" s="160"/>
    </row>
    <row r="524" spans="1:29" ht="14.25" customHeight="1">
      <c r="A524" s="160"/>
      <c r="B524" s="160"/>
      <c r="C524" s="160"/>
      <c r="D524" s="160"/>
      <c r="E524" s="160"/>
      <c r="F524" s="160"/>
      <c r="G524" s="160"/>
      <c r="H524" s="163"/>
      <c r="I524" s="164"/>
      <c r="J524" s="163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  <c r="AA524" s="160"/>
      <c r="AB524" s="160"/>
      <c r="AC524" s="160"/>
    </row>
    <row r="525" spans="1:29" ht="14.25" customHeight="1">
      <c r="A525" s="160"/>
      <c r="B525" s="160"/>
      <c r="C525" s="160"/>
      <c r="D525" s="160"/>
      <c r="E525" s="160"/>
      <c r="F525" s="160"/>
      <c r="G525" s="160"/>
      <c r="H525" s="163"/>
      <c r="I525" s="164"/>
      <c r="J525" s="163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  <c r="AA525" s="160"/>
      <c r="AB525" s="160"/>
      <c r="AC525" s="160"/>
    </row>
    <row r="526" spans="1:29" ht="14.25" customHeight="1">
      <c r="A526" s="160"/>
      <c r="B526" s="160"/>
      <c r="C526" s="160"/>
      <c r="D526" s="160"/>
      <c r="E526" s="160"/>
      <c r="F526" s="160"/>
      <c r="G526" s="160"/>
      <c r="H526" s="163"/>
      <c r="I526" s="164"/>
      <c r="J526" s="163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  <c r="AA526" s="160"/>
      <c r="AB526" s="160"/>
      <c r="AC526" s="160"/>
    </row>
    <row r="527" spans="1:29" ht="14.25" customHeight="1">
      <c r="A527" s="160"/>
      <c r="B527" s="160"/>
      <c r="C527" s="160"/>
      <c r="D527" s="160"/>
      <c r="E527" s="160"/>
      <c r="F527" s="160"/>
      <c r="G527" s="160"/>
      <c r="H527" s="163"/>
      <c r="I527" s="164"/>
      <c r="J527" s="163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  <c r="AA527" s="160"/>
      <c r="AB527" s="160"/>
      <c r="AC527" s="160"/>
    </row>
    <row r="528" spans="1:29" ht="14.25" customHeight="1">
      <c r="A528" s="160"/>
      <c r="B528" s="160"/>
      <c r="C528" s="160"/>
      <c r="D528" s="160"/>
      <c r="E528" s="160"/>
      <c r="F528" s="160"/>
      <c r="G528" s="160"/>
      <c r="H528" s="163"/>
      <c r="I528" s="164"/>
      <c r="J528" s="163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  <c r="AA528" s="160"/>
      <c r="AB528" s="160"/>
      <c r="AC528" s="160"/>
    </row>
    <row r="529" spans="1:29" ht="14.25" customHeight="1">
      <c r="A529" s="160"/>
      <c r="B529" s="160"/>
      <c r="C529" s="160"/>
      <c r="D529" s="160"/>
      <c r="E529" s="160"/>
      <c r="F529" s="160"/>
      <c r="G529" s="160"/>
      <c r="H529" s="163"/>
      <c r="I529" s="164"/>
      <c r="J529" s="163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  <c r="AA529" s="160"/>
      <c r="AB529" s="160"/>
      <c r="AC529" s="160"/>
    </row>
    <row r="530" spans="1:29" ht="14.25" customHeight="1">
      <c r="A530" s="160"/>
      <c r="B530" s="160"/>
      <c r="C530" s="160"/>
      <c r="D530" s="160"/>
      <c r="E530" s="160"/>
      <c r="F530" s="160"/>
      <c r="G530" s="160"/>
      <c r="H530" s="163"/>
      <c r="I530" s="164"/>
      <c r="J530" s="163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  <c r="AA530" s="160"/>
      <c r="AB530" s="160"/>
      <c r="AC530" s="160"/>
    </row>
    <row r="531" spans="1:29" ht="14.25" customHeight="1">
      <c r="A531" s="160"/>
      <c r="B531" s="160"/>
      <c r="C531" s="160"/>
      <c r="D531" s="160"/>
      <c r="E531" s="160"/>
      <c r="F531" s="160"/>
      <c r="G531" s="160"/>
      <c r="H531" s="163"/>
      <c r="I531" s="164"/>
      <c r="J531" s="163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  <c r="AA531" s="160"/>
      <c r="AB531" s="160"/>
      <c r="AC531" s="160"/>
    </row>
    <row r="532" spans="1:29" ht="14.25" customHeight="1">
      <c r="A532" s="160"/>
      <c r="B532" s="160"/>
      <c r="C532" s="160"/>
      <c r="D532" s="160"/>
      <c r="E532" s="160"/>
      <c r="F532" s="160"/>
      <c r="G532" s="160"/>
      <c r="H532" s="163"/>
      <c r="I532" s="164"/>
      <c r="J532" s="163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  <c r="AA532" s="160"/>
      <c r="AB532" s="160"/>
      <c r="AC532" s="160"/>
    </row>
    <row r="533" spans="1:29" ht="14.25" customHeight="1">
      <c r="A533" s="160"/>
      <c r="B533" s="160"/>
      <c r="C533" s="160"/>
      <c r="D533" s="160"/>
      <c r="E533" s="160"/>
      <c r="F533" s="160"/>
      <c r="G533" s="160"/>
      <c r="H533" s="163"/>
      <c r="I533" s="164"/>
      <c r="J533" s="163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  <c r="AA533" s="160"/>
      <c r="AB533" s="160"/>
      <c r="AC533" s="160"/>
    </row>
    <row r="534" spans="1:29" ht="14.25" customHeight="1">
      <c r="A534" s="160"/>
      <c r="B534" s="160"/>
      <c r="C534" s="160"/>
      <c r="D534" s="160"/>
      <c r="E534" s="160"/>
      <c r="F534" s="160"/>
      <c r="G534" s="160"/>
      <c r="H534" s="163"/>
      <c r="I534" s="164"/>
      <c r="J534" s="163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  <c r="AA534" s="160"/>
      <c r="AB534" s="160"/>
      <c r="AC534" s="160"/>
    </row>
    <row r="535" spans="1:29" ht="14.25" customHeight="1">
      <c r="A535" s="160"/>
      <c r="B535" s="160"/>
      <c r="C535" s="160"/>
      <c r="D535" s="160"/>
      <c r="E535" s="160"/>
      <c r="F535" s="160"/>
      <c r="G535" s="160"/>
      <c r="H535" s="163"/>
      <c r="I535" s="164"/>
      <c r="J535" s="163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  <c r="AA535" s="160"/>
      <c r="AB535" s="160"/>
      <c r="AC535" s="160"/>
    </row>
    <row r="536" spans="1:29" ht="14.25" customHeight="1">
      <c r="A536" s="160"/>
      <c r="B536" s="160"/>
      <c r="C536" s="160"/>
      <c r="D536" s="160"/>
      <c r="E536" s="160"/>
      <c r="F536" s="160"/>
      <c r="G536" s="160"/>
      <c r="H536" s="163"/>
      <c r="I536" s="164"/>
      <c r="J536" s="163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  <c r="AA536" s="160"/>
      <c r="AB536" s="160"/>
      <c r="AC536" s="160"/>
    </row>
    <row r="537" spans="1:29" ht="14.25" customHeight="1">
      <c r="A537" s="160"/>
      <c r="B537" s="160"/>
      <c r="C537" s="160"/>
      <c r="D537" s="160"/>
      <c r="E537" s="160"/>
      <c r="F537" s="160"/>
      <c r="G537" s="160"/>
      <c r="H537" s="163"/>
      <c r="I537" s="164"/>
      <c r="J537" s="163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  <c r="AA537" s="160"/>
      <c r="AB537" s="160"/>
      <c r="AC537" s="160"/>
    </row>
    <row r="538" spans="1:29" ht="14.25" customHeight="1">
      <c r="A538" s="160"/>
      <c r="B538" s="160"/>
      <c r="C538" s="160"/>
      <c r="D538" s="160"/>
      <c r="E538" s="160"/>
      <c r="F538" s="160"/>
      <c r="G538" s="160"/>
      <c r="H538" s="163"/>
      <c r="I538" s="164"/>
      <c r="J538" s="163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  <c r="AA538" s="160"/>
      <c r="AB538" s="160"/>
      <c r="AC538" s="160"/>
    </row>
    <row r="539" spans="1:29" ht="14.25" customHeight="1">
      <c r="A539" s="160"/>
      <c r="B539" s="160"/>
      <c r="C539" s="160"/>
      <c r="D539" s="160"/>
      <c r="E539" s="160"/>
      <c r="F539" s="160"/>
      <c r="G539" s="160"/>
      <c r="H539" s="163"/>
      <c r="I539" s="164"/>
      <c r="J539" s="163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  <c r="AA539" s="160"/>
      <c r="AB539" s="160"/>
      <c r="AC539" s="160"/>
    </row>
    <row r="540" spans="1:29" ht="14.25" customHeight="1">
      <c r="A540" s="160"/>
      <c r="B540" s="160"/>
      <c r="C540" s="160"/>
      <c r="D540" s="160"/>
      <c r="E540" s="160"/>
      <c r="F540" s="160"/>
      <c r="G540" s="160"/>
      <c r="H540" s="163"/>
      <c r="I540" s="164"/>
      <c r="J540" s="163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  <c r="AA540" s="160"/>
      <c r="AB540" s="160"/>
      <c r="AC540" s="160"/>
    </row>
    <row r="541" spans="1:29" ht="14.25" customHeight="1">
      <c r="A541" s="160"/>
      <c r="B541" s="160"/>
      <c r="C541" s="160"/>
      <c r="D541" s="160"/>
      <c r="E541" s="160"/>
      <c r="F541" s="160"/>
      <c r="G541" s="160"/>
      <c r="H541" s="163"/>
      <c r="I541" s="164"/>
      <c r="J541" s="163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  <c r="AA541" s="160"/>
      <c r="AB541" s="160"/>
      <c r="AC541" s="160"/>
    </row>
    <row r="542" spans="1:29" ht="14.25" customHeight="1">
      <c r="A542" s="160"/>
      <c r="B542" s="160"/>
      <c r="C542" s="160"/>
      <c r="D542" s="160"/>
      <c r="E542" s="160"/>
      <c r="F542" s="160"/>
      <c r="G542" s="160"/>
      <c r="H542" s="163"/>
      <c r="I542" s="164"/>
      <c r="J542" s="163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</row>
    <row r="543" spans="1:29" ht="14.25" customHeight="1">
      <c r="A543" s="160"/>
      <c r="B543" s="160"/>
      <c r="C543" s="160"/>
      <c r="D543" s="160"/>
      <c r="E543" s="160"/>
      <c r="F543" s="160"/>
      <c r="G543" s="160"/>
      <c r="H543" s="163"/>
      <c r="I543" s="164"/>
      <c r="J543" s="163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  <c r="AA543" s="160"/>
      <c r="AB543" s="160"/>
      <c r="AC543" s="160"/>
    </row>
    <row r="544" spans="1:29" ht="14.25" customHeight="1">
      <c r="A544" s="160"/>
      <c r="B544" s="160"/>
      <c r="C544" s="160"/>
      <c r="D544" s="160"/>
      <c r="E544" s="160"/>
      <c r="F544" s="160"/>
      <c r="G544" s="160"/>
      <c r="H544" s="163"/>
      <c r="I544" s="164"/>
      <c r="J544" s="163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  <c r="AA544" s="160"/>
      <c r="AB544" s="160"/>
      <c r="AC544" s="160"/>
    </row>
    <row r="545" spans="1:29" ht="14.25" customHeight="1">
      <c r="A545" s="160"/>
      <c r="B545" s="160"/>
      <c r="C545" s="160"/>
      <c r="D545" s="160"/>
      <c r="E545" s="160"/>
      <c r="F545" s="160"/>
      <c r="G545" s="160"/>
      <c r="H545" s="163"/>
      <c r="I545" s="164"/>
      <c r="J545" s="163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  <c r="AA545" s="160"/>
      <c r="AB545" s="160"/>
      <c r="AC545" s="160"/>
    </row>
    <row r="546" spans="1:29" ht="14.25" customHeight="1">
      <c r="A546" s="160"/>
      <c r="B546" s="160"/>
      <c r="C546" s="160"/>
      <c r="D546" s="160"/>
      <c r="E546" s="160"/>
      <c r="F546" s="160"/>
      <c r="G546" s="160"/>
      <c r="H546" s="163"/>
      <c r="I546" s="164"/>
      <c r="J546" s="163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  <c r="AA546" s="160"/>
      <c r="AB546" s="160"/>
      <c r="AC546" s="160"/>
    </row>
    <row r="547" spans="1:29" ht="14.25" customHeight="1">
      <c r="A547" s="160"/>
      <c r="B547" s="160"/>
      <c r="C547" s="160"/>
      <c r="D547" s="160"/>
      <c r="E547" s="160"/>
      <c r="F547" s="160"/>
      <c r="G547" s="160"/>
      <c r="H547" s="163"/>
      <c r="I547" s="164"/>
      <c r="J547" s="163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  <c r="AA547" s="160"/>
      <c r="AB547" s="160"/>
      <c r="AC547" s="160"/>
    </row>
    <row r="548" spans="1:29" ht="14.25" customHeight="1">
      <c r="A548" s="160"/>
      <c r="B548" s="160"/>
      <c r="C548" s="160"/>
      <c r="D548" s="160"/>
      <c r="E548" s="160"/>
      <c r="F548" s="160"/>
      <c r="G548" s="160"/>
      <c r="H548" s="163"/>
      <c r="I548" s="164"/>
      <c r="J548" s="163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  <c r="AA548" s="160"/>
      <c r="AB548" s="160"/>
      <c r="AC548" s="160"/>
    </row>
    <row r="549" spans="1:29" ht="14.25" customHeight="1">
      <c r="A549" s="160"/>
      <c r="B549" s="160"/>
      <c r="C549" s="160"/>
      <c r="D549" s="160"/>
      <c r="E549" s="160"/>
      <c r="F549" s="160"/>
      <c r="G549" s="160"/>
      <c r="H549" s="163"/>
      <c r="I549" s="164"/>
      <c r="J549" s="163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  <c r="AA549" s="160"/>
      <c r="AB549" s="160"/>
      <c r="AC549" s="160"/>
    </row>
    <row r="550" spans="1:29" ht="14.25" customHeight="1">
      <c r="A550" s="160"/>
      <c r="B550" s="160"/>
      <c r="C550" s="160"/>
      <c r="D550" s="160"/>
      <c r="E550" s="160"/>
      <c r="F550" s="160"/>
      <c r="G550" s="160"/>
      <c r="H550" s="163"/>
      <c r="I550" s="164"/>
      <c r="J550" s="163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  <c r="AA550" s="160"/>
      <c r="AB550" s="160"/>
      <c r="AC550" s="160"/>
    </row>
    <row r="551" spans="1:29" ht="14.25" customHeight="1">
      <c r="A551" s="160"/>
      <c r="B551" s="160"/>
      <c r="C551" s="160"/>
      <c r="D551" s="160"/>
      <c r="E551" s="160"/>
      <c r="F551" s="160"/>
      <c r="G551" s="160"/>
      <c r="H551" s="163"/>
      <c r="I551" s="164"/>
      <c r="J551" s="163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  <c r="AA551" s="160"/>
      <c r="AB551" s="160"/>
      <c r="AC551" s="160"/>
    </row>
    <row r="552" spans="1:29" ht="14.25" customHeight="1">
      <c r="A552" s="160"/>
      <c r="B552" s="160"/>
      <c r="C552" s="160"/>
      <c r="D552" s="160"/>
      <c r="E552" s="160"/>
      <c r="F552" s="160"/>
      <c r="G552" s="160"/>
      <c r="H552" s="163"/>
      <c r="I552" s="164"/>
      <c r="J552" s="163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  <c r="AA552" s="160"/>
      <c r="AB552" s="160"/>
      <c r="AC552" s="160"/>
    </row>
    <row r="553" spans="1:29" ht="14.25" customHeight="1">
      <c r="A553" s="160"/>
      <c r="B553" s="160"/>
      <c r="C553" s="160"/>
      <c r="D553" s="160"/>
      <c r="E553" s="160"/>
      <c r="F553" s="160"/>
      <c r="G553" s="160"/>
      <c r="H553" s="163"/>
      <c r="I553" s="164"/>
      <c r="J553" s="163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  <c r="AA553" s="160"/>
      <c r="AB553" s="160"/>
      <c r="AC553" s="160"/>
    </row>
    <row r="554" spans="1:29" ht="14.25" customHeight="1">
      <c r="A554" s="160"/>
      <c r="B554" s="160"/>
      <c r="C554" s="160"/>
      <c r="D554" s="160"/>
      <c r="E554" s="160"/>
      <c r="F554" s="160"/>
      <c r="G554" s="160"/>
      <c r="H554" s="163"/>
      <c r="I554" s="164"/>
      <c r="J554" s="163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  <c r="AA554" s="160"/>
      <c r="AB554" s="160"/>
      <c r="AC554" s="160"/>
    </row>
    <row r="555" spans="1:29" ht="14.25" customHeight="1">
      <c r="A555" s="160"/>
      <c r="B555" s="160"/>
      <c r="C555" s="160"/>
      <c r="D555" s="160"/>
      <c r="E555" s="160"/>
      <c r="F555" s="160"/>
      <c r="G555" s="160"/>
      <c r="H555" s="163"/>
      <c r="I555" s="164"/>
      <c r="J555" s="163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  <c r="AA555" s="160"/>
      <c r="AB555" s="160"/>
      <c r="AC555" s="160"/>
    </row>
    <row r="556" spans="1:29" ht="14.25" customHeight="1">
      <c r="A556" s="160"/>
      <c r="B556" s="160"/>
      <c r="C556" s="160"/>
      <c r="D556" s="160"/>
      <c r="E556" s="160"/>
      <c r="F556" s="160"/>
      <c r="G556" s="160"/>
      <c r="H556" s="163"/>
      <c r="I556" s="164"/>
      <c r="J556" s="163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  <c r="AA556" s="160"/>
      <c r="AB556" s="160"/>
      <c r="AC556" s="160"/>
    </row>
    <row r="557" spans="1:29" ht="14.25" customHeight="1">
      <c r="A557" s="160"/>
      <c r="B557" s="160"/>
      <c r="C557" s="160"/>
      <c r="D557" s="160"/>
      <c r="E557" s="160"/>
      <c r="F557" s="160"/>
      <c r="G557" s="160"/>
      <c r="H557" s="163"/>
      <c r="I557" s="164"/>
      <c r="J557" s="163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  <c r="AA557" s="160"/>
      <c r="AB557" s="160"/>
      <c r="AC557" s="160"/>
    </row>
    <row r="558" spans="1:29" ht="14.25" customHeight="1">
      <c r="A558" s="160"/>
      <c r="B558" s="160"/>
      <c r="C558" s="160"/>
      <c r="D558" s="160"/>
      <c r="E558" s="160"/>
      <c r="F558" s="160"/>
      <c r="G558" s="160"/>
      <c r="H558" s="163"/>
      <c r="I558" s="164"/>
      <c r="J558" s="163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  <c r="AA558" s="160"/>
      <c r="AB558" s="160"/>
      <c r="AC558" s="160"/>
    </row>
    <row r="559" spans="1:29" ht="14.25" customHeight="1">
      <c r="A559" s="160"/>
      <c r="B559" s="160"/>
      <c r="C559" s="160"/>
      <c r="D559" s="160"/>
      <c r="E559" s="160"/>
      <c r="F559" s="160"/>
      <c r="G559" s="160"/>
      <c r="H559" s="163"/>
      <c r="I559" s="164"/>
      <c r="J559" s="163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  <c r="AA559" s="160"/>
      <c r="AB559" s="160"/>
      <c r="AC559" s="160"/>
    </row>
    <row r="560" spans="1:29" ht="14.25" customHeight="1">
      <c r="A560" s="160"/>
      <c r="B560" s="160"/>
      <c r="C560" s="160"/>
      <c r="D560" s="160"/>
      <c r="E560" s="160"/>
      <c r="F560" s="160"/>
      <c r="G560" s="160"/>
      <c r="H560" s="163"/>
      <c r="I560" s="164"/>
      <c r="J560" s="163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  <c r="AA560" s="160"/>
      <c r="AB560" s="160"/>
      <c r="AC560" s="160"/>
    </row>
    <row r="561" spans="1:29" ht="14.25" customHeight="1">
      <c r="A561" s="160"/>
      <c r="B561" s="160"/>
      <c r="C561" s="160"/>
      <c r="D561" s="160"/>
      <c r="E561" s="160"/>
      <c r="F561" s="160"/>
      <c r="G561" s="160"/>
      <c r="H561" s="163"/>
      <c r="I561" s="164"/>
      <c r="J561" s="163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  <c r="AA561" s="160"/>
      <c r="AB561" s="160"/>
      <c r="AC561" s="160"/>
    </row>
    <row r="562" spans="1:29" ht="14.25" customHeight="1">
      <c r="A562" s="160"/>
      <c r="B562" s="160"/>
      <c r="C562" s="160"/>
      <c r="D562" s="160"/>
      <c r="E562" s="160"/>
      <c r="F562" s="160"/>
      <c r="G562" s="160"/>
      <c r="H562" s="163"/>
      <c r="I562" s="164"/>
      <c r="J562" s="163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  <c r="AA562" s="160"/>
      <c r="AB562" s="160"/>
      <c r="AC562" s="160"/>
    </row>
    <row r="563" spans="1:29" ht="14.25" customHeight="1">
      <c r="A563" s="160"/>
      <c r="B563" s="160"/>
      <c r="C563" s="160"/>
      <c r="D563" s="160"/>
      <c r="E563" s="160"/>
      <c r="F563" s="160"/>
      <c r="G563" s="160"/>
      <c r="H563" s="163"/>
      <c r="I563" s="164"/>
      <c r="J563" s="163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  <c r="AA563" s="160"/>
      <c r="AB563" s="160"/>
      <c r="AC563" s="160"/>
    </row>
    <row r="564" spans="1:29" ht="14.25" customHeight="1">
      <c r="A564" s="160"/>
      <c r="B564" s="160"/>
      <c r="C564" s="160"/>
      <c r="D564" s="160"/>
      <c r="E564" s="160"/>
      <c r="F564" s="160"/>
      <c r="G564" s="160"/>
      <c r="H564" s="163"/>
      <c r="I564" s="164"/>
      <c r="J564" s="163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  <c r="AA564" s="160"/>
      <c r="AB564" s="160"/>
      <c r="AC564" s="160"/>
    </row>
    <row r="565" spans="1:29" ht="14.25" customHeight="1">
      <c r="A565" s="160"/>
      <c r="B565" s="160"/>
      <c r="C565" s="160"/>
      <c r="D565" s="160"/>
      <c r="E565" s="160"/>
      <c r="F565" s="160"/>
      <c r="G565" s="160"/>
      <c r="H565" s="163"/>
      <c r="I565" s="164"/>
      <c r="J565" s="163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  <c r="AA565" s="160"/>
      <c r="AB565" s="160"/>
      <c r="AC565" s="160"/>
    </row>
    <row r="566" spans="1:29" ht="14.25" customHeight="1">
      <c r="A566" s="160"/>
      <c r="B566" s="160"/>
      <c r="C566" s="160"/>
      <c r="D566" s="160"/>
      <c r="E566" s="160"/>
      <c r="F566" s="160"/>
      <c r="G566" s="160"/>
      <c r="H566" s="163"/>
      <c r="I566" s="164"/>
      <c r="J566" s="163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  <c r="AA566" s="160"/>
      <c r="AB566" s="160"/>
      <c r="AC566" s="160"/>
    </row>
    <row r="567" spans="1:29" ht="14.25" customHeight="1">
      <c r="A567" s="160"/>
      <c r="B567" s="160"/>
      <c r="C567" s="160"/>
      <c r="D567" s="160"/>
      <c r="E567" s="160"/>
      <c r="F567" s="160"/>
      <c r="G567" s="160"/>
      <c r="H567" s="163"/>
      <c r="I567" s="164"/>
      <c r="J567" s="163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  <c r="AA567" s="160"/>
      <c r="AB567" s="160"/>
      <c r="AC567" s="160"/>
    </row>
    <row r="568" spans="1:29" ht="14.25" customHeight="1">
      <c r="A568" s="160"/>
      <c r="B568" s="160"/>
      <c r="C568" s="160"/>
      <c r="D568" s="160"/>
      <c r="E568" s="160"/>
      <c r="F568" s="160"/>
      <c r="G568" s="160"/>
      <c r="H568" s="163"/>
      <c r="I568" s="164"/>
      <c r="J568" s="163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  <c r="AA568" s="160"/>
      <c r="AB568" s="160"/>
      <c r="AC568" s="160"/>
    </row>
    <row r="569" spans="1:29" ht="14.25" customHeight="1">
      <c r="A569" s="160"/>
      <c r="B569" s="160"/>
      <c r="C569" s="160"/>
      <c r="D569" s="160"/>
      <c r="E569" s="160"/>
      <c r="F569" s="160"/>
      <c r="G569" s="160"/>
      <c r="H569" s="163"/>
      <c r="I569" s="164"/>
      <c r="J569" s="163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  <c r="AA569" s="160"/>
      <c r="AB569" s="160"/>
      <c r="AC569" s="160"/>
    </row>
    <row r="570" spans="1:29" ht="14.25" customHeight="1">
      <c r="A570" s="160"/>
      <c r="B570" s="160"/>
      <c r="C570" s="160"/>
      <c r="D570" s="160"/>
      <c r="E570" s="160"/>
      <c r="F570" s="160"/>
      <c r="G570" s="160"/>
      <c r="H570" s="163"/>
      <c r="I570" s="164"/>
      <c r="J570" s="163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  <c r="AA570" s="160"/>
      <c r="AB570" s="160"/>
      <c r="AC570" s="160"/>
    </row>
    <row r="571" spans="1:29" ht="14.25" customHeight="1">
      <c r="A571" s="160"/>
      <c r="B571" s="160"/>
      <c r="C571" s="160"/>
      <c r="D571" s="160"/>
      <c r="E571" s="160"/>
      <c r="F571" s="160"/>
      <c r="G571" s="160"/>
      <c r="H571" s="163"/>
      <c r="I571" s="164"/>
      <c r="J571" s="163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  <c r="AA571" s="160"/>
      <c r="AB571" s="160"/>
      <c r="AC571" s="160"/>
    </row>
    <row r="572" spans="1:29" ht="14.25" customHeight="1">
      <c r="A572" s="160"/>
      <c r="B572" s="160"/>
      <c r="C572" s="160"/>
      <c r="D572" s="160"/>
      <c r="E572" s="160"/>
      <c r="F572" s="160"/>
      <c r="G572" s="160"/>
      <c r="H572" s="163"/>
      <c r="I572" s="164"/>
      <c r="J572" s="163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  <c r="AA572" s="160"/>
      <c r="AB572" s="160"/>
      <c r="AC572" s="160"/>
    </row>
    <row r="573" spans="1:29" ht="14.25" customHeight="1">
      <c r="A573" s="160"/>
      <c r="B573" s="160"/>
      <c r="C573" s="160"/>
      <c r="D573" s="160"/>
      <c r="E573" s="160"/>
      <c r="F573" s="160"/>
      <c r="G573" s="160"/>
      <c r="H573" s="163"/>
      <c r="I573" s="164"/>
      <c r="J573" s="163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  <c r="AA573" s="160"/>
      <c r="AB573" s="160"/>
      <c r="AC573" s="160"/>
    </row>
    <row r="574" spans="1:29" ht="14.25" customHeight="1">
      <c r="A574" s="160"/>
      <c r="B574" s="160"/>
      <c r="C574" s="160"/>
      <c r="D574" s="160"/>
      <c r="E574" s="160"/>
      <c r="F574" s="160"/>
      <c r="G574" s="160"/>
      <c r="H574" s="163"/>
      <c r="I574" s="164"/>
      <c r="J574" s="163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  <c r="AA574" s="160"/>
      <c r="AB574" s="160"/>
      <c r="AC574" s="160"/>
    </row>
    <row r="575" spans="1:29" ht="14.25" customHeight="1">
      <c r="A575" s="160"/>
      <c r="B575" s="160"/>
      <c r="C575" s="160"/>
      <c r="D575" s="160"/>
      <c r="E575" s="160"/>
      <c r="F575" s="160"/>
      <c r="G575" s="160"/>
      <c r="H575" s="163"/>
      <c r="I575" s="164"/>
      <c r="J575" s="163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  <c r="AA575" s="160"/>
      <c r="AB575" s="160"/>
      <c r="AC575" s="160"/>
    </row>
    <row r="576" spans="1:29" ht="14.25" customHeight="1">
      <c r="A576" s="160"/>
      <c r="B576" s="160"/>
      <c r="C576" s="160"/>
      <c r="D576" s="160"/>
      <c r="E576" s="160"/>
      <c r="F576" s="160"/>
      <c r="G576" s="160"/>
      <c r="H576" s="163"/>
      <c r="I576" s="164"/>
      <c r="J576" s="163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  <c r="AA576" s="160"/>
      <c r="AB576" s="160"/>
      <c r="AC576" s="160"/>
    </row>
    <row r="577" spans="1:29" ht="14.25" customHeight="1">
      <c r="A577" s="160"/>
      <c r="B577" s="160"/>
      <c r="C577" s="160"/>
      <c r="D577" s="160"/>
      <c r="E577" s="160"/>
      <c r="F577" s="160"/>
      <c r="G577" s="160"/>
      <c r="H577" s="163"/>
      <c r="I577" s="164"/>
      <c r="J577" s="163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  <c r="AA577" s="160"/>
      <c r="AB577" s="160"/>
      <c r="AC577" s="160"/>
    </row>
    <row r="578" spans="1:29" ht="14.25" customHeight="1">
      <c r="A578" s="160"/>
      <c r="B578" s="160"/>
      <c r="C578" s="160"/>
      <c r="D578" s="160"/>
      <c r="E578" s="160"/>
      <c r="F578" s="160"/>
      <c r="G578" s="160"/>
      <c r="H578" s="163"/>
      <c r="I578" s="164"/>
      <c r="J578" s="163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  <c r="AA578" s="160"/>
      <c r="AB578" s="160"/>
      <c r="AC578" s="160"/>
    </row>
    <row r="579" spans="1:29" ht="14.25" customHeight="1">
      <c r="A579" s="160"/>
      <c r="B579" s="160"/>
      <c r="C579" s="160"/>
      <c r="D579" s="160"/>
      <c r="E579" s="160"/>
      <c r="F579" s="160"/>
      <c r="G579" s="160"/>
      <c r="H579" s="163"/>
      <c r="I579" s="164"/>
      <c r="J579" s="163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  <c r="AA579" s="160"/>
      <c r="AB579" s="160"/>
      <c r="AC579" s="160"/>
    </row>
    <row r="580" spans="1:29" ht="14.25" customHeight="1">
      <c r="A580" s="160"/>
      <c r="B580" s="160"/>
      <c r="C580" s="160"/>
      <c r="D580" s="160"/>
      <c r="E580" s="160"/>
      <c r="F580" s="160"/>
      <c r="G580" s="160"/>
      <c r="H580" s="163"/>
      <c r="I580" s="164"/>
      <c r="J580" s="163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  <c r="AA580" s="160"/>
      <c r="AB580" s="160"/>
      <c r="AC580" s="160"/>
    </row>
    <row r="581" spans="1:29" ht="14.25" customHeight="1">
      <c r="A581" s="160"/>
      <c r="B581" s="160"/>
      <c r="C581" s="160"/>
      <c r="D581" s="160"/>
      <c r="E581" s="160"/>
      <c r="F581" s="160"/>
      <c r="G581" s="160"/>
      <c r="H581" s="163"/>
      <c r="I581" s="164"/>
      <c r="J581" s="163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  <c r="AA581" s="160"/>
      <c r="AB581" s="160"/>
      <c r="AC581" s="160"/>
    </row>
    <row r="582" spans="1:29" ht="14.25" customHeight="1">
      <c r="A582" s="160"/>
      <c r="B582" s="160"/>
      <c r="C582" s="160"/>
      <c r="D582" s="160"/>
      <c r="E582" s="160"/>
      <c r="F582" s="160"/>
      <c r="G582" s="160"/>
      <c r="H582" s="163"/>
      <c r="I582" s="164"/>
      <c r="J582" s="163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  <c r="AA582" s="160"/>
      <c r="AB582" s="160"/>
      <c r="AC582" s="160"/>
    </row>
    <row r="583" spans="1:29" ht="14.25" customHeight="1">
      <c r="A583" s="160"/>
      <c r="B583" s="160"/>
      <c r="C583" s="160"/>
      <c r="D583" s="160"/>
      <c r="E583" s="160"/>
      <c r="F583" s="160"/>
      <c r="G583" s="160"/>
      <c r="H583" s="163"/>
      <c r="I583" s="164"/>
      <c r="J583" s="163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  <c r="AA583" s="160"/>
      <c r="AB583" s="160"/>
      <c r="AC583" s="160"/>
    </row>
    <row r="584" spans="1:29" ht="14.25" customHeight="1">
      <c r="A584" s="160"/>
      <c r="B584" s="160"/>
      <c r="C584" s="160"/>
      <c r="D584" s="160"/>
      <c r="E584" s="160"/>
      <c r="F584" s="160"/>
      <c r="G584" s="160"/>
      <c r="H584" s="163"/>
      <c r="I584" s="164"/>
      <c r="J584" s="163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  <c r="AA584" s="160"/>
      <c r="AB584" s="160"/>
      <c r="AC584" s="160"/>
    </row>
    <row r="585" spans="1:29" ht="14.25" customHeight="1">
      <c r="A585" s="160"/>
      <c r="B585" s="160"/>
      <c r="C585" s="160"/>
      <c r="D585" s="160"/>
      <c r="E585" s="160"/>
      <c r="F585" s="160"/>
      <c r="G585" s="160"/>
      <c r="H585" s="163"/>
      <c r="I585" s="164"/>
      <c r="J585" s="163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  <c r="AA585" s="160"/>
      <c r="AB585" s="160"/>
      <c r="AC585" s="160"/>
    </row>
    <row r="586" spans="1:29" ht="14.25" customHeight="1">
      <c r="A586" s="160"/>
      <c r="B586" s="160"/>
      <c r="C586" s="160"/>
      <c r="D586" s="160"/>
      <c r="E586" s="160"/>
      <c r="F586" s="160"/>
      <c r="G586" s="160"/>
      <c r="H586" s="163"/>
      <c r="I586" s="164"/>
      <c r="J586" s="163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  <c r="AA586" s="160"/>
      <c r="AB586" s="160"/>
      <c r="AC586" s="160"/>
    </row>
    <row r="587" spans="1:29" ht="14.25" customHeight="1">
      <c r="A587" s="160"/>
      <c r="B587" s="160"/>
      <c r="C587" s="160"/>
      <c r="D587" s="160"/>
      <c r="E587" s="160"/>
      <c r="F587" s="160"/>
      <c r="G587" s="160"/>
      <c r="H587" s="163"/>
      <c r="I587" s="164"/>
      <c r="J587" s="163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  <c r="AA587" s="160"/>
      <c r="AB587" s="160"/>
      <c r="AC587" s="160"/>
    </row>
    <row r="588" spans="1:29" ht="14.25" customHeight="1">
      <c r="A588" s="160"/>
      <c r="B588" s="160"/>
      <c r="C588" s="160"/>
      <c r="D588" s="160"/>
      <c r="E588" s="160"/>
      <c r="F588" s="160"/>
      <c r="G588" s="160"/>
      <c r="H588" s="163"/>
      <c r="I588" s="164"/>
      <c r="J588" s="163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  <c r="AA588" s="160"/>
      <c r="AB588" s="160"/>
      <c r="AC588" s="160"/>
    </row>
    <row r="589" spans="1:29" ht="14.25" customHeight="1">
      <c r="A589" s="160"/>
      <c r="B589" s="160"/>
      <c r="C589" s="160"/>
      <c r="D589" s="160"/>
      <c r="E589" s="160"/>
      <c r="F589" s="160"/>
      <c r="G589" s="160"/>
      <c r="H589" s="163"/>
      <c r="I589" s="164"/>
      <c r="J589" s="163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  <c r="AA589" s="160"/>
      <c r="AB589" s="160"/>
      <c r="AC589" s="160"/>
    </row>
    <row r="590" spans="1:29" ht="14.25" customHeight="1">
      <c r="A590" s="160"/>
      <c r="B590" s="160"/>
      <c r="C590" s="160"/>
      <c r="D590" s="160"/>
      <c r="E590" s="160"/>
      <c r="F590" s="160"/>
      <c r="G590" s="160"/>
      <c r="H590" s="163"/>
      <c r="I590" s="164"/>
      <c r="J590" s="163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  <c r="AA590" s="160"/>
      <c r="AB590" s="160"/>
      <c r="AC590" s="160"/>
    </row>
    <row r="591" spans="1:29" ht="14.25" customHeight="1">
      <c r="A591" s="160"/>
      <c r="B591" s="160"/>
      <c r="C591" s="160"/>
      <c r="D591" s="160"/>
      <c r="E591" s="160"/>
      <c r="F591" s="160"/>
      <c r="G591" s="160"/>
      <c r="H591" s="163"/>
      <c r="I591" s="164"/>
      <c r="J591" s="163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  <c r="AA591" s="160"/>
      <c r="AB591" s="160"/>
      <c r="AC591" s="160"/>
    </row>
    <row r="592" spans="1:29" ht="14.25" customHeight="1">
      <c r="A592" s="160"/>
      <c r="B592" s="160"/>
      <c r="C592" s="160"/>
      <c r="D592" s="160"/>
      <c r="E592" s="160"/>
      <c r="F592" s="160"/>
      <c r="G592" s="160"/>
      <c r="H592" s="163"/>
      <c r="I592" s="164"/>
      <c r="J592" s="163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  <c r="AA592" s="160"/>
      <c r="AB592" s="160"/>
      <c r="AC592" s="160"/>
    </row>
    <row r="593" spans="1:29" ht="14.25" customHeight="1">
      <c r="A593" s="160"/>
      <c r="B593" s="160"/>
      <c r="C593" s="160"/>
      <c r="D593" s="160"/>
      <c r="E593" s="160"/>
      <c r="F593" s="160"/>
      <c r="G593" s="160"/>
      <c r="H593" s="163"/>
      <c r="I593" s="164"/>
      <c r="J593" s="163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  <c r="AA593" s="160"/>
      <c r="AB593" s="160"/>
      <c r="AC593" s="160"/>
    </row>
    <row r="594" spans="1:29" ht="14.25" customHeight="1">
      <c r="A594" s="160"/>
      <c r="B594" s="160"/>
      <c r="C594" s="160"/>
      <c r="D594" s="160"/>
      <c r="E594" s="160"/>
      <c r="F594" s="160"/>
      <c r="G594" s="160"/>
      <c r="H594" s="163"/>
      <c r="I594" s="164"/>
      <c r="J594" s="163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  <c r="AA594" s="160"/>
      <c r="AB594" s="160"/>
      <c r="AC594" s="160"/>
    </row>
    <row r="595" spans="1:29" ht="14.25" customHeight="1">
      <c r="A595" s="160"/>
      <c r="B595" s="160"/>
      <c r="C595" s="160"/>
      <c r="D595" s="160"/>
      <c r="E595" s="160"/>
      <c r="F595" s="160"/>
      <c r="G595" s="160"/>
      <c r="H595" s="163"/>
      <c r="I595" s="164"/>
      <c r="J595" s="163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</row>
    <row r="596" spans="1:29" ht="14.25" customHeight="1">
      <c r="A596" s="160"/>
      <c r="B596" s="160"/>
      <c r="C596" s="160"/>
      <c r="D596" s="160"/>
      <c r="E596" s="160"/>
      <c r="F596" s="160"/>
      <c r="G596" s="160"/>
      <c r="H596" s="163"/>
      <c r="I596" s="164"/>
      <c r="J596" s="163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  <c r="AA596" s="160"/>
      <c r="AB596" s="160"/>
      <c r="AC596" s="160"/>
    </row>
    <row r="597" spans="1:29" ht="14.25" customHeight="1">
      <c r="A597" s="160"/>
      <c r="B597" s="160"/>
      <c r="C597" s="160"/>
      <c r="D597" s="160"/>
      <c r="E597" s="160"/>
      <c r="F597" s="160"/>
      <c r="G597" s="160"/>
      <c r="H597" s="163"/>
      <c r="I597" s="164"/>
      <c r="J597" s="163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  <c r="AA597" s="160"/>
      <c r="AB597" s="160"/>
      <c r="AC597" s="160"/>
    </row>
    <row r="598" spans="1:29" ht="14.25" customHeight="1">
      <c r="A598" s="160"/>
      <c r="B598" s="160"/>
      <c r="C598" s="160"/>
      <c r="D598" s="160"/>
      <c r="E598" s="160"/>
      <c r="F598" s="160"/>
      <c r="G598" s="160"/>
      <c r="H598" s="163"/>
      <c r="I598" s="164"/>
      <c r="J598" s="163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  <c r="AA598" s="160"/>
      <c r="AB598" s="160"/>
      <c r="AC598" s="160"/>
    </row>
    <row r="599" spans="1:29" ht="14.25" customHeight="1">
      <c r="A599" s="160"/>
      <c r="B599" s="160"/>
      <c r="C599" s="160"/>
      <c r="D599" s="160"/>
      <c r="E599" s="160"/>
      <c r="F599" s="160"/>
      <c r="G599" s="160"/>
      <c r="H599" s="163"/>
      <c r="I599" s="164"/>
      <c r="J599" s="163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  <c r="AA599" s="160"/>
      <c r="AB599" s="160"/>
      <c r="AC599" s="160"/>
    </row>
    <row r="600" spans="1:29" ht="14.25" customHeight="1">
      <c r="A600" s="160"/>
      <c r="B600" s="160"/>
      <c r="C600" s="160"/>
      <c r="D600" s="160"/>
      <c r="E600" s="160"/>
      <c r="F600" s="160"/>
      <c r="G600" s="160"/>
      <c r="H600" s="163"/>
      <c r="I600" s="164"/>
      <c r="J600" s="163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  <c r="AA600" s="160"/>
      <c r="AB600" s="160"/>
      <c r="AC600" s="160"/>
    </row>
    <row r="601" spans="1:29" ht="14.25" customHeight="1">
      <c r="A601" s="160"/>
      <c r="B601" s="160"/>
      <c r="C601" s="160"/>
      <c r="D601" s="160"/>
      <c r="E601" s="160"/>
      <c r="F601" s="160"/>
      <c r="G601" s="160"/>
      <c r="H601" s="163"/>
      <c r="I601" s="164"/>
      <c r="J601" s="163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  <c r="AA601" s="160"/>
      <c r="AB601" s="160"/>
      <c r="AC601" s="160"/>
    </row>
    <row r="602" spans="1:29" ht="14.25" customHeight="1">
      <c r="A602" s="160"/>
      <c r="B602" s="160"/>
      <c r="C602" s="160"/>
      <c r="D602" s="160"/>
      <c r="E602" s="160"/>
      <c r="F602" s="160"/>
      <c r="G602" s="160"/>
      <c r="H602" s="163"/>
      <c r="I602" s="164"/>
      <c r="J602" s="163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  <c r="AA602" s="160"/>
      <c r="AB602" s="160"/>
      <c r="AC602" s="160"/>
    </row>
    <row r="603" spans="1:29" ht="14.25" customHeight="1">
      <c r="A603" s="160"/>
      <c r="B603" s="160"/>
      <c r="C603" s="160"/>
      <c r="D603" s="160"/>
      <c r="E603" s="160"/>
      <c r="F603" s="160"/>
      <c r="G603" s="160"/>
      <c r="H603" s="163"/>
      <c r="I603" s="164"/>
      <c r="J603" s="163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  <c r="AA603" s="160"/>
      <c r="AB603" s="160"/>
      <c r="AC603" s="160"/>
    </row>
    <row r="604" spans="1:29" ht="14.25" customHeight="1">
      <c r="A604" s="160"/>
      <c r="B604" s="160"/>
      <c r="C604" s="160"/>
      <c r="D604" s="160"/>
      <c r="E604" s="160"/>
      <c r="F604" s="160"/>
      <c r="G604" s="160"/>
      <c r="H604" s="163"/>
      <c r="I604" s="164"/>
      <c r="J604" s="163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  <c r="AA604" s="160"/>
      <c r="AB604" s="160"/>
      <c r="AC604" s="160"/>
    </row>
    <row r="605" spans="1:29" ht="14.25" customHeight="1">
      <c r="A605" s="160"/>
      <c r="B605" s="160"/>
      <c r="C605" s="160"/>
      <c r="D605" s="160"/>
      <c r="E605" s="160"/>
      <c r="F605" s="160"/>
      <c r="G605" s="160"/>
      <c r="H605" s="163"/>
      <c r="I605" s="164"/>
      <c r="J605" s="163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  <c r="AA605" s="160"/>
      <c r="AB605" s="160"/>
      <c r="AC605" s="160"/>
    </row>
    <row r="606" spans="1:29" ht="14.25" customHeight="1">
      <c r="A606" s="160"/>
      <c r="B606" s="160"/>
      <c r="C606" s="160"/>
      <c r="D606" s="160"/>
      <c r="E606" s="160"/>
      <c r="F606" s="160"/>
      <c r="G606" s="160"/>
      <c r="H606" s="163"/>
      <c r="I606" s="164"/>
      <c r="J606" s="163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  <c r="AA606" s="160"/>
      <c r="AB606" s="160"/>
      <c r="AC606" s="160"/>
    </row>
    <row r="607" spans="1:29" ht="14.25" customHeight="1">
      <c r="A607" s="160"/>
      <c r="B607" s="160"/>
      <c r="C607" s="160"/>
      <c r="D607" s="160"/>
      <c r="E607" s="160"/>
      <c r="F607" s="160"/>
      <c r="G607" s="160"/>
      <c r="H607" s="163"/>
      <c r="I607" s="164"/>
      <c r="J607" s="163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  <c r="AA607" s="160"/>
      <c r="AB607" s="160"/>
      <c r="AC607" s="160"/>
    </row>
    <row r="608" spans="1:29" ht="14.25" customHeight="1">
      <c r="A608" s="160"/>
      <c r="B608" s="160"/>
      <c r="C608" s="160"/>
      <c r="D608" s="160"/>
      <c r="E608" s="160"/>
      <c r="F608" s="160"/>
      <c r="G608" s="160"/>
      <c r="H608" s="163"/>
      <c r="I608" s="164"/>
      <c r="J608" s="163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  <c r="AA608" s="160"/>
      <c r="AB608" s="160"/>
      <c r="AC608" s="160"/>
    </row>
    <row r="609" spans="1:29" ht="14.25" customHeight="1">
      <c r="A609" s="160"/>
      <c r="B609" s="160"/>
      <c r="C609" s="160"/>
      <c r="D609" s="160"/>
      <c r="E609" s="160"/>
      <c r="F609" s="160"/>
      <c r="G609" s="160"/>
      <c r="H609" s="163"/>
      <c r="I609" s="164"/>
      <c r="J609" s="163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  <c r="AA609" s="160"/>
      <c r="AB609" s="160"/>
      <c r="AC609" s="160"/>
    </row>
    <row r="610" spans="1:29" ht="14.25" customHeight="1">
      <c r="A610" s="160"/>
      <c r="B610" s="160"/>
      <c r="C610" s="160"/>
      <c r="D610" s="160"/>
      <c r="E610" s="160"/>
      <c r="F610" s="160"/>
      <c r="G610" s="160"/>
      <c r="H610" s="163"/>
      <c r="I610" s="164"/>
      <c r="J610" s="163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  <c r="AA610" s="160"/>
      <c r="AB610" s="160"/>
      <c r="AC610" s="160"/>
    </row>
    <row r="611" spans="1:29" ht="14.25" customHeight="1">
      <c r="A611" s="160"/>
      <c r="B611" s="160"/>
      <c r="C611" s="160"/>
      <c r="D611" s="160"/>
      <c r="E611" s="160"/>
      <c r="F611" s="160"/>
      <c r="G611" s="160"/>
      <c r="H611" s="163"/>
      <c r="I611" s="164"/>
      <c r="J611" s="163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  <c r="AA611" s="160"/>
      <c r="AB611" s="160"/>
      <c r="AC611" s="160"/>
    </row>
    <row r="612" spans="1:29" ht="14.25" customHeight="1">
      <c r="A612" s="160"/>
      <c r="B612" s="160"/>
      <c r="C612" s="160"/>
      <c r="D612" s="160"/>
      <c r="E612" s="160"/>
      <c r="F612" s="160"/>
      <c r="G612" s="160"/>
      <c r="H612" s="163"/>
      <c r="I612" s="164"/>
      <c r="J612" s="163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  <c r="AA612" s="160"/>
      <c r="AB612" s="160"/>
      <c r="AC612" s="160"/>
    </row>
    <row r="613" spans="1:29" ht="14.25" customHeight="1">
      <c r="A613" s="160"/>
      <c r="B613" s="160"/>
      <c r="C613" s="160"/>
      <c r="D613" s="160"/>
      <c r="E613" s="160"/>
      <c r="F613" s="160"/>
      <c r="G613" s="160"/>
      <c r="H613" s="163"/>
      <c r="I613" s="164"/>
      <c r="J613" s="163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  <c r="AA613" s="160"/>
      <c r="AB613" s="160"/>
      <c r="AC613" s="160"/>
    </row>
    <row r="614" spans="1:29" ht="14.25" customHeight="1">
      <c r="A614" s="160"/>
      <c r="B614" s="160"/>
      <c r="C614" s="160"/>
      <c r="D614" s="160"/>
      <c r="E614" s="160"/>
      <c r="F614" s="160"/>
      <c r="G614" s="160"/>
      <c r="H614" s="163"/>
      <c r="I614" s="164"/>
      <c r="J614" s="163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  <c r="AA614" s="160"/>
      <c r="AB614" s="160"/>
      <c r="AC614" s="160"/>
    </row>
    <row r="615" spans="1:29" ht="14.25" customHeight="1">
      <c r="A615" s="160"/>
      <c r="B615" s="160"/>
      <c r="C615" s="160"/>
      <c r="D615" s="160"/>
      <c r="E615" s="160"/>
      <c r="F615" s="160"/>
      <c r="G615" s="160"/>
      <c r="H615" s="163"/>
      <c r="I615" s="164"/>
      <c r="J615" s="163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  <c r="AA615" s="160"/>
      <c r="AB615" s="160"/>
      <c r="AC615" s="160"/>
    </row>
    <row r="616" spans="1:29" ht="14.25" customHeight="1">
      <c r="A616" s="160"/>
      <c r="B616" s="160"/>
      <c r="C616" s="160"/>
      <c r="D616" s="160"/>
      <c r="E616" s="160"/>
      <c r="F616" s="160"/>
      <c r="G616" s="160"/>
      <c r="H616" s="163"/>
      <c r="I616" s="164"/>
      <c r="J616" s="163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  <c r="AA616" s="160"/>
      <c r="AB616" s="160"/>
      <c r="AC616" s="160"/>
    </row>
    <row r="617" spans="1:29" ht="14.25" customHeight="1">
      <c r="A617" s="160"/>
      <c r="B617" s="160"/>
      <c r="C617" s="160"/>
      <c r="D617" s="160"/>
      <c r="E617" s="160"/>
      <c r="F617" s="160"/>
      <c r="G617" s="160"/>
      <c r="H617" s="163"/>
      <c r="I617" s="164"/>
      <c r="J617" s="163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  <c r="AA617" s="160"/>
      <c r="AB617" s="160"/>
      <c r="AC617" s="160"/>
    </row>
    <row r="618" spans="1:29" ht="14.25" customHeight="1">
      <c r="A618" s="160"/>
      <c r="B618" s="160"/>
      <c r="C618" s="160"/>
      <c r="D618" s="160"/>
      <c r="E618" s="160"/>
      <c r="F618" s="160"/>
      <c r="G618" s="160"/>
      <c r="H618" s="163"/>
      <c r="I618" s="164"/>
      <c r="J618" s="163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  <c r="AA618" s="160"/>
      <c r="AB618" s="160"/>
      <c r="AC618" s="160"/>
    </row>
    <row r="619" spans="1:29" ht="14.25" customHeight="1">
      <c r="A619" s="160"/>
      <c r="B619" s="160"/>
      <c r="C619" s="160"/>
      <c r="D619" s="160"/>
      <c r="E619" s="160"/>
      <c r="F619" s="160"/>
      <c r="G619" s="160"/>
      <c r="H619" s="163"/>
      <c r="I619" s="164"/>
      <c r="J619" s="163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  <c r="AA619" s="160"/>
      <c r="AB619" s="160"/>
      <c r="AC619" s="160"/>
    </row>
    <row r="620" spans="1:29" ht="14.25" customHeight="1">
      <c r="A620" s="160"/>
      <c r="B620" s="160"/>
      <c r="C620" s="160"/>
      <c r="D620" s="160"/>
      <c r="E620" s="160"/>
      <c r="F620" s="160"/>
      <c r="G620" s="160"/>
      <c r="H620" s="163"/>
      <c r="I620" s="164"/>
      <c r="J620" s="163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  <c r="AA620" s="160"/>
      <c r="AB620" s="160"/>
      <c r="AC620" s="160"/>
    </row>
    <row r="621" spans="1:29" ht="14.25" customHeight="1">
      <c r="A621" s="160"/>
      <c r="B621" s="160"/>
      <c r="C621" s="160"/>
      <c r="D621" s="160"/>
      <c r="E621" s="160"/>
      <c r="F621" s="160"/>
      <c r="G621" s="160"/>
      <c r="H621" s="163"/>
      <c r="I621" s="164"/>
      <c r="J621" s="163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  <c r="AA621" s="160"/>
      <c r="AB621" s="160"/>
      <c r="AC621" s="160"/>
    </row>
    <row r="622" spans="1:29" ht="14.25" customHeight="1">
      <c r="A622" s="160"/>
      <c r="B622" s="160"/>
      <c r="C622" s="160"/>
      <c r="D622" s="160"/>
      <c r="E622" s="160"/>
      <c r="F622" s="160"/>
      <c r="G622" s="160"/>
      <c r="H622" s="163"/>
      <c r="I622" s="164"/>
      <c r="J622" s="163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  <c r="AA622" s="160"/>
      <c r="AB622" s="160"/>
      <c r="AC622" s="160"/>
    </row>
    <row r="623" spans="1:29" ht="14.25" customHeight="1">
      <c r="A623" s="160"/>
      <c r="B623" s="160"/>
      <c r="C623" s="160"/>
      <c r="D623" s="160"/>
      <c r="E623" s="160"/>
      <c r="F623" s="160"/>
      <c r="G623" s="160"/>
      <c r="H623" s="163"/>
      <c r="I623" s="164"/>
      <c r="J623" s="163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  <c r="AA623" s="160"/>
      <c r="AB623" s="160"/>
      <c r="AC623" s="160"/>
    </row>
    <row r="624" spans="1:29" ht="14.25" customHeight="1">
      <c r="A624" s="160"/>
      <c r="B624" s="160"/>
      <c r="C624" s="160"/>
      <c r="D624" s="160"/>
      <c r="E624" s="160"/>
      <c r="F624" s="160"/>
      <c r="G624" s="160"/>
      <c r="H624" s="163"/>
      <c r="I624" s="164"/>
      <c r="J624" s="163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  <c r="AA624" s="160"/>
      <c r="AB624" s="160"/>
      <c r="AC624" s="160"/>
    </row>
    <row r="625" spans="1:29" ht="14.25" customHeight="1">
      <c r="A625" s="160"/>
      <c r="B625" s="160"/>
      <c r="C625" s="160"/>
      <c r="D625" s="160"/>
      <c r="E625" s="160"/>
      <c r="F625" s="160"/>
      <c r="G625" s="160"/>
      <c r="H625" s="163"/>
      <c r="I625" s="164"/>
      <c r="J625" s="163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  <c r="AA625" s="160"/>
      <c r="AB625" s="160"/>
      <c r="AC625" s="160"/>
    </row>
    <row r="626" spans="1:29" ht="14.25" customHeight="1">
      <c r="A626" s="160"/>
      <c r="B626" s="160"/>
      <c r="C626" s="160"/>
      <c r="D626" s="160"/>
      <c r="E626" s="160"/>
      <c r="F626" s="160"/>
      <c r="G626" s="160"/>
      <c r="H626" s="163"/>
      <c r="I626" s="164"/>
      <c r="J626" s="163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  <c r="AA626" s="160"/>
      <c r="AB626" s="160"/>
      <c r="AC626" s="160"/>
    </row>
    <row r="627" spans="1:29" ht="14.25" customHeight="1">
      <c r="A627" s="160"/>
      <c r="B627" s="160"/>
      <c r="C627" s="160"/>
      <c r="D627" s="160"/>
      <c r="E627" s="160"/>
      <c r="F627" s="160"/>
      <c r="G627" s="160"/>
      <c r="H627" s="163"/>
      <c r="I627" s="164"/>
      <c r="J627" s="163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  <c r="AA627" s="160"/>
      <c r="AB627" s="160"/>
      <c r="AC627" s="160"/>
    </row>
    <row r="628" spans="1:29" ht="14.25" customHeight="1">
      <c r="A628" s="160"/>
      <c r="B628" s="160"/>
      <c r="C628" s="160"/>
      <c r="D628" s="160"/>
      <c r="E628" s="160"/>
      <c r="F628" s="160"/>
      <c r="G628" s="160"/>
      <c r="H628" s="163"/>
      <c r="I628" s="164"/>
      <c r="J628" s="163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  <c r="AA628" s="160"/>
      <c r="AB628" s="160"/>
      <c r="AC628" s="160"/>
    </row>
    <row r="629" spans="1:29" ht="14.25" customHeight="1">
      <c r="A629" s="160"/>
      <c r="B629" s="160"/>
      <c r="C629" s="160"/>
      <c r="D629" s="160"/>
      <c r="E629" s="160"/>
      <c r="F629" s="160"/>
      <c r="G629" s="160"/>
      <c r="H629" s="163"/>
      <c r="I629" s="164"/>
      <c r="J629" s="163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  <c r="AA629" s="160"/>
      <c r="AB629" s="160"/>
      <c r="AC629" s="160"/>
    </row>
    <row r="630" spans="1:29" ht="14.25" customHeight="1">
      <c r="A630" s="160"/>
      <c r="B630" s="160"/>
      <c r="C630" s="160"/>
      <c r="D630" s="160"/>
      <c r="E630" s="160"/>
      <c r="F630" s="160"/>
      <c r="G630" s="160"/>
      <c r="H630" s="163"/>
      <c r="I630" s="164"/>
      <c r="J630" s="163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  <c r="AA630" s="160"/>
      <c r="AB630" s="160"/>
      <c r="AC630" s="160"/>
    </row>
    <row r="631" spans="1:29" ht="14.25" customHeight="1">
      <c r="A631" s="160"/>
      <c r="B631" s="160"/>
      <c r="C631" s="160"/>
      <c r="D631" s="160"/>
      <c r="E631" s="160"/>
      <c r="F631" s="160"/>
      <c r="G631" s="160"/>
      <c r="H631" s="163"/>
      <c r="I631" s="164"/>
      <c r="J631" s="163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  <c r="AA631" s="160"/>
      <c r="AB631" s="160"/>
      <c r="AC631" s="160"/>
    </row>
    <row r="632" spans="1:29" ht="14.25" customHeight="1">
      <c r="A632" s="160"/>
      <c r="B632" s="160"/>
      <c r="C632" s="160"/>
      <c r="D632" s="160"/>
      <c r="E632" s="160"/>
      <c r="F632" s="160"/>
      <c r="G632" s="160"/>
      <c r="H632" s="163"/>
      <c r="I632" s="164"/>
      <c r="J632" s="163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  <c r="AA632" s="160"/>
      <c r="AB632" s="160"/>
      <c r="AC632" s="160"/>
    </row>
    <row r="633" spans="1:29" ht="14.25" customHeight="1">
      <c r="A633" s="160"/>
      <c r="B633" s="160"/>
      <c r="C633" s="160"/>
      <c r="D633" s="160"/>
      <c r="E633" s="160"/>
      <c r="F633" s="160"/>
      <c r="G633" s="160"/>
      <c r="H633" s="163"/>
      <c r="I633" s="164"/>
      <c r="J633" s="163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  <c r="AA633" s="160"/>
      <c r="AB633" s="160"/>
      <c r="AC633" s="160"/>
    </row>
    <row r="634" spans="1:29" ht="14.25" customHeight="1">
      <c r="A634" s="160"/>
      <c r="B634" s="160"/>
      <c r="C634" s="160"/>
      <c r="D634" s="160"/>
      <c r="E634" s="160"/>
      <c r="F634" s="160"/>
      <c r="G634" s="160"/>
      <c r="H634" s="163"/>
      <c r="I634" s="164"/>
      <c r="J634" s="163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  <c r="AA634" s="160"/>
      <c r="AB634" s="160"/>
      <c r="AC634" s="160"/>
    </row>
    <row r="635" spans="1:29" ht="14.25" customHeight="1">
      <c r="A635" s="160"/>
      <c r="B635" s="160"/>
      <c r="C635" s="160"/>
      <c r="D635" s="160"/>
      <c r="E635" s="160"/>
      <c r="F635" s="160"/>
      <c r="G635" s="160"/>
      <c r="H635" s="163"/>
      <c r="I635" s="164"/>
      <c r="J635" s="163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  <c r="AA635" s="160"/>
      <c r="AB635" s="160"/>
      <c r="AC635" s="160"/>
    </row>
    <row r="636" spans="1:29" ht="14.25" customHeight="1">
      <c r="A636" s="160"/>
      <c r="B636" s="160"/>
      <c r="C636" s="160"/>
      <c r="D636" s="160"/>
      <c r="E636" s="160"/>
      <c r="F636" s="160"/>
      <c r="G636" s="160"/>
      <c r="H636" s="163"/>
      <c r="I636" s="164"/>
      <c r="J636" s="163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  <c r="AA636" s="160"/>
      <c r="AB636" s="160"/>
      <c r="AC636" s="160"/>
    </row>
    <row r="637" spans="1:29" ht="14.25" customHeight="1">
      <c r="A637" s="160"/>
      <c r="B637" s="160"/>
      <c r="C637" s="160"/>
      <c r="D637" s="160"/>
      <c r="E637" s="160"/>
      <c r="F637" s="160"/>
      <c r="G637" s="160"/>
      <c r="H637" s="163"/>
      <c r="I637" s="164"/>
      <c r="J637" s="163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  <c r="AA637" s="160"/>
      <c r="AB637" s="160"/>
      <c r="AC637" s="160"/>
    </row>
    <row r="638" spans="1:29" ht="14.25" customHeight="1">
      <c r="A638" s="160"/>
      <c r="B638" s="160"/>
      <c r="C638" s="160"/>
      <c r="D638" s="160"/>
      <c r="E638" s="160"/>
      <c r="F638" s="160"/>
      <c r="G638" s="160"/>
      <c r="H638" s="163"/>
      <c r="I638" s="164"/>
      <c r="J638" s="163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  <c r="AA638" s="160"/>
      <c r="AB638" s="160"/>
      <c r="AC638" s="160"/>
    </row>
    <row r="639" spans="1:29" ht="14.25" customHeight="1">
      <c r="A639" s="160"/>
      <c r="B639" s="160"/>
      <c r="C639" s="160"/>
      <c r="D639" s="160"/>
      <c r="E639" s="160"/>
      <c r="F639" s="160"/>
      <c r="G639" s="160"/>
      <c r="H639" s="163"/>
      <c r="I639" s="164"/>
      <c r="J639" s="163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  <c r="AA639" s="160"/>
      <c r="AB639" s="160"/>
      <c r="AC639" s="160"/>
    </row>
    <row r="640" spans="1:29" ht="14.25" customHeight="1">
      <c r="A640" s="160"/>
      <c r="B640" s="160"/>
      <c r="C640" s="160"/>
      <c r="D640" s="160"/>
      <c r="E640" s="160"/>
      <c r="F640" s="160"/>
      <c r="G640" s="160"/>
      <c r="H640" s="163"/>
      <c r="I640" s="164"/>
      <c r="J640" s="163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  <c r="AA640" s="160"/>
      <c r="AB640" s="160"/>
      <c r="AC640" s="160"/>
    </row>
    <row r="641" spans="1:29" ht="14.25" customHeight="1">
      <c r="A641" s="160"/>
      <c r="B641" s="160"/>
      <c r="C641" s="160"/>
      <c r="D641" s="160"/>
      <c r="E641" s="160"/>
      <c r="F641" s="160"/>
      <c r="G641" s="160"/>
      <c r="H641" s="163"/>
      <c r="I641" s="164"/>
      <c r="J641" s="163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  <c r="AA641" s="160"/>
      <c r="AB641" s="160"/>
      <c r="AC641" s="160"/>
    </row>
    <row r="642" spans="1:29" ht="14.25" customHeight="1">
      <c r="A642" s="160"/>
      <c r="B642" s="160"/>
      <c r="C642" s="160"/>
      <c r="D642" s="160"/>
      <c r="E642" s="160"/>
      <c r="F642" s="160"/>
      <c r="G642" s="160"/>
      <c r="H642" s="163"/>
      <c r="I642" s="164"/>
      <c r="J642" s="163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  <c r="AA642" s="160"/>
      <c r="AB642" s="160"/>
      <c r="AC642" s="160"/>
    </row>
    <row r="643" spans="1:29" ht="14.25" customHeight="1">
      <c r="A643" s="160"/>
      <c r="B643" s="160"/>
      <c r="C643" s="160"/>
      <c r="D643" s="160"/>
      <c r="E643" s="160"/>
      <c r="F643" s="160"/>
      <c r="G643" s="160"/>
      <c r="H643" s="163"/>
      <c r="I643" s="164"/>
      <c r="J643" s="163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  <c r="AA643" s="160"/>
      <c r="AB643" s="160"/>
      <c r="AC643" s="160"/>
    </row>
    <row r="644" spans="1:29" ht="14.25" customHeight="1">
      <c r="A644" s="160"/>
      <c r="B644" s="160"/>
      <c r="C644" s="160"/>
      <c r="D644" s="160"/>
      <c r="E644" s="160"/>
      <c r="F644" s="160"/>
      <c r="G644" s="160"/>
      <c r="H644" s="163"/>
      <c r="I644" s="164"/>
      <c r="J644" s="163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  <c r="AA644" s="160"/>
      <c r="AB644" s="160"/>
      <c r="AC644" s="160"/>
    </row>
    <row r="645" spans="1:29" ht="14.25" customHeight="1">
      <c r="A645" s="160"/>
      <c r="B645" s="160"/>
      <c r="C645" s="160"/>
      <c r="D645" s="160"/>
      <c r="E645" s="160"/>
      <c r="F645" s="160"/>
      <c r="G645" s="160"/>
      <c r="H645" s="163"/>
      <c r="I645" s="164"/>
      <c r="J645" s="163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  <c r="AA645" s="160"/>
      <c r="AB645" s="160"/>
      <c r="AC645" s="160"/>
    </row>
    <row r="646" spans="1:29" ht="14.25" customHeight="1">
      <c r="A646" s="160"/>
      <c r="B646" s="160"/>
      <c r="C646" s="160"/>
      <c r="D646" s="160"/>
      <c r="E646" s="160"/>
      <c r="F646" s="160"/>
      <c r="G646" s="160"/>
      <c r="H646" s="163"/>
      <c r="I646" s="164"/>
      <c r="J646" s="163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  <c r="AA646" s="160"/>
      <c r="AB646" s="160"/>
      <c r="AC646" s="160"/>
    </row>
    <row r="647" spans="1:29" ht="14.25" customHeight="1">
      <c r="A647" s="160"/>
      <c r="B647" s="160"/>
      <c r="C647" s="160"/>
      <c r="D647" s="160"/>
      <c r="E647" s="160"/>
      <c r="F647" s="160"/>
      <c r="G647" s="160"/>
      <c r="H647" s="163"/>
      <c r="I647" s="164"/>
      <c r="J647" s="163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  <c r="AA647" s="160"/>
      <c r="AB647" s="160"/>
      <c r="AC647" s="160"/>
    </row>
    <row r="648" spans="1:29" ht="14.25" customHeight="1">
      <c r="A648" s="160"/>
      <c r="B648" s="160"/>
      <c r="C648" s="160"/>
      <c r="D648" s="160"/>
      <c r="E648" s="160"/>
      <c r="F648" s="160"/>
      <c r="G648" s="160"/>
      <c r="H648" s="163"/>
      <c r="I648" s="164"/>
      <c r="J648" s="163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  <c r="AA648" s="160"/>
      <c r="AB648" s="160"/>
      <c r="AC648" s="160"/>
    </row>
    <row r="649" spans="1:29" ht="14.25" customHeight="1">
      <c r="A649" s="160"/>
      <c r="B649" s="160"/>
      <c r="C649" s="160"/>
      <c r="D649" s="160"/>
      <c r="E649" s="160"/>
      <c r="F649" s="160"/>
      <c r="G649" s="160"/>
      <c r="H649" s="163"/>
      <c r="I649" s="164"/>
      <c r="J649" s="163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  <c r="AA649" s="160"/>
      <c r="AB649" s="160"/>
      <c r="AC649" s="160"/>
    </row>
    <row r="650" spans="1:29" ht="14.25" customHeight="1">
      <c r="A650" s="160"/>
      <c r="B650" s="160"/>
      <c r="C650" s="160"/>
      <c r="D650" s="160"/>
      <c r="E650" s="160"/>
      <c r="F650" s="160"/>
      <c r="G650" s="160"/>
      <c r="H650" s="163"/>
      <c r="I650" s="164"/>
      <c r="J650" s="163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  <c r="AA650" s="160"/>
      <c r="AB650" s="160"/>
      <c r="AC650" s="160"/>
    </row>
    <row r="651" spans="1:29" ht="14.25" customHeight="1">
      <c r="A651" s="160"/>
      <c r="B651" s="160"/>
      <c r="C651" s="160"/>
      <c r="D651" s="160"/>
      <c r="E651" s="160"/>
      <c r="F651" s="160"/>
      <c r="G651" s="160"/>
      <c r="H651" s="163"/>
      <c r="I651" s="164"/>
      <c r="J651" s="163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  <c r="AA651" s="160"/>
      <c r="AB651" s="160"/>
      <c r="AC651" s="160"/>
    </row>
    <row r="652" spans="1:29" ht="14.25" customHeight="1">
      <c r="A652" s="160"/>
      <c r="B652" s="160"/>
      <c r="C652" s="160"/>
      <c r="D652" s="160"/>
      <c r="E652" s="160"/>
      <c r="F652" s="160"/>
      <c r="G652" s="160"/>
      <c r="H652" s="163"/>
      <c r="I652" s="164"/>
      <c r="J652" s="163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  <c r="AA652" s="160"/>
      <c r="AB652" s="160"/>
      <c r="AC652" s="160"/>
    </row>
    <row r="653" spans="1:29" ht="14.25" customHeight="1">
      <c r="A653" s="160"/>
      <c r="B653" s="160"/>
      <c r="C653" s="160"/>
      <c r="D653" s="160"/>
      <c r="E653" s="160"/>
      <c r="F653" s="160"/>
      <c r="G653" s="160"/>
      <c r="H653" s="163"/>
      <c r="I653" s="164"/>
      <c r="J653" s="163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  <c r="AA653" s="160"/>
      <c r="AB653" s="160"/>
      <c r="AC653" s="160"/>
    </row>
    <row r="654" spans="1:29" ht="14.25" customHeight="1">
      <c r="A654" s="160"/>
      <c r="B654" s="160"/>
      <c r="C654" s="160"/>
      <c r="D654" s="160"/>
      <c r="E654" s="160"/>
      <c r="F654" s="160"/>
      <c r="G654" s="160"/>
      <c r="H654" s="163"/>
      <c r="I654" s="164"/>
      <c r="J654" s="163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  <c r="AA654" s="160"/>
      <c r="AB654" s="160"/>
      <c r="AC654" s="160"/>
    </row>
    <row r="655" spans="1:29" ht="14.25" customHeight="1">
      <c r="A655" s="160"/>
      <c r="B655" s="160"/>
      <c r="C655" s="160"/>
      <c r="D655" s="160"/>
      <c r="E655" s="160"/>
      <c r="F655" s="160"/>
      <c r="G655" s="160"/>
      <c r="H655" s="163"/>
      <c r="I655" s="164"/>
      <c r="J655" s="163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  <c r="AA655" s="160"/>
      <c r="AB655" s="160"/>
      <c r="AC655" s="160"/>
    </row>
    <row r="656" spans="1:29" ht="14.25" customHeight="1">
      <c r="A656" s="160"/>
      <c r="B656" s="160"/>
      <c r="C656" s="160"/>
      <c r="D656" s="160"/>
      <c r="E656" s="160"/>
      <c r="F656" s="160"/>
      <c r="G656" s="160"/>
      <c r="H656" s="163"/>
      <c r="I656" s="164"/>
      <c r="J656" s="163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  <c r="AA656" s="160"/>
      <c r="AB656" s="160"/>
      <c r="AC656" s="160"/>
    </row>
    <row r="657" spans="1:29" ht="14.25" customHeight="1">
      <c r="A657" s="160"/>
      <c r="B657" s="160"/>
      <c r="C657" s="160"/>
      <c r="D657" s="160"/>
      <c r="E657" s="160"/>
      <c r="F657" s="160"/>
      <c r="G657" s="160"/>
      <c r="H657" s="163"/>
      <c r="I657" s="164"/>
      <c r="J657" s="163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  <c r="AA657" s="160"/>
      <c r="AB657" s="160"/>
      <c r="AC657" s="160"/>
    </row>
    <row r="658" spans="1:29" ht="14.25" customHeight="1">
      <c r="A658" s="160"/>
      <c r="B658" s="160"/>
      <c r="C658" s="160"/>
      <c r="D658" s="160"/>
      <c r="E658" s="160"/>
      <c r="F658" s="160"/>
      <c r="G658" s="160"/>
      <c r="H658" s="163"/>
      <c r="I658" s="164"/>
      <c r="J658" s="163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  <c r="AA658" s="160"/>
      <c r="AB658" s="160"/>
      <c r="AC658" s="160"/>
    </row>
    <row r="659" spans="1:29" ht="14.25" customHeight="1">
      <c r="A659" s="160"/>
      <c r="B659" s="160"/>
      <c r="C659" s="160"/>
      <c r="D659" s="160"/>
      <c r="E659" s="160"/>
      <c r="F659" s="160"/>
      <c r="G659" s="160"/>
      <c r="H659" s="163"/>
      <c r="I659" s="164"/>
      <c r="J659" s="163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  <c r="AA659" s="160"/>
      <c r="AB659" s="160"/>
      <c r="AC659" s="160"/>
    </row>
    <row r="660" spans="1:29" ht="14.25" customHeight="1">
      <c r="A660" s="160"/>
      <c r="B660" s="160"/>
      <c r="C660" s="160"/>
      <c r="D660" s="160"/>
      <c r="E660" s="160"/>
      <c r="F660" s="160"/>
      <c r="G660" s="160"/>
      <c r="H660" s="163"/>
      <c r="I660" s="164"/>
      <c r="J660" s="163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  <c r="AA660" s="160"/>
      <c r="AB660" s="160"/>
      <c r="AC660" s="160"/>
    </row>
    <row r="661" spans="1:29" ht="14.25" customHeight="1">
      <c r="A661" s="160"/>
      <c r="B661" s="160"/>
      <c r="C661" s="160"/>
      <c r="D661" s="160"/>
      <c r="E661" s="160"/>
      <c r="F661" s="160"/>
      <c r="G661" s="160"/>
      <c r="H661" s="163"/>
      <c r="I661" s="164"/>
      <c r="J661" s="163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  <c r="AA661" s="160"/>
      <c r="AB661" s="160"/>
      <c r="AC661" s="160"/>
    </row>
    <row r="662" spans="1:29" ht="14.25" customHeight="1">
      <c r="A662" s="160"/>
      <c r="B662" s="160"/>
      <c r="C662" s="160"/>
      <c r="D662" s="160"/>
      <c r="E662" s="160"/>
      <c r="F662" s="160"/>
      <c r="G662" s="160"/>
      <c r="H662" s="163"/>
      <c r="I662" s="164"/>
      <c r="J662" s="163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  <c r="AA662" s="160"/>
      <c r="AB662" s="160"/>
      <c r="AC662" s="160"/>
    </row>
    <row r="663" spans="1:29" ht="14.25" customHeight="1">
      <c r="A663" s="160"/>
      <c r="B663" s="160"/>
      <c r="C663" s="160"/>
      <c r="D663" s="160"/>
      <c r="E663" s="160"/>
      <c r="F663" s="160"/>
      <c r="G663" s="160"/>
      <c r="H663" s="163"/>
      <c r="I663" s="164"/>
      <c r="J663" s="163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  <c r="AA663" s="160"/>
      <c r="AB663" s="160"/>
      <c r="AC663" s="160"/>
    </row>
    <row r="664" spans="1:29" ht="14.25" customHeight="1">
      <c r="A664" s="160"/>
      <c r="B664" s="160"/>
      <c r="C664" s="160"/>
      <c r="D664" s="160"/>
      <c r="E664" s="160"/>
      <c r="F664" s="160"/>
      <c r="G664" s="160"/>
      <c r="H664" s="163"/>
      <c r="I664" s="164"/>
      <c r="J664" s="163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  <c r="AA664" s="160"/>
      <c r="AB664" s="160"/>
      <c r="AC664" s="160"/>
    </row>
    <row r="665" spans="1:29" ht="14.25" customHeight="1">
      <c r="A665" s="160"/>
      <c r="B665" s="160"/>
      <c r="C665" s="160"/>
      <c r="D665" s="160"/>
      <c r="E665" s="160"/>
      <c r="F665" s="160"/>
      <c r="G665" s="160"/>
      <c r="H665" s="163"/>
      <c r="I665" s="164"/>
      <c r="J665" s="163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  <c r="AA665" s="160"/>
      <c r="AB665" s="160"/>
      <c r="AC665" s="160"/>
    </row>
    <row r="666" spans="1:29" ht="14.25" customHeight="1">
      <c r="A666" s="160"/>
      <c r="B666" s="160"/>
      <c r="C666" s="160"/>
      <c r="D666" s="160"/>
      <c r="E666" s="160"/>
      <c r="F666" s="160"/>
      <c r="G666" s="160"/>
      <c r="H666" s="163"/>
      <c r="I666" s="164"/>
      <c r="J666" s="163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  <c r="AA666" s="160"/>
      <c r="AB666" s="160"/>
      <c r="AC666" s="160"/>
    </row>
    <row r="667" spans="1:29" ht="14.25" customHeight="1">
      <c r="A667" s="160"/>
      <c r="B667" s="160"/>
      <c r="C667" s="160"/>
      <c r="D667" s="160"/>
      <c r="E667" s="160"/>
      <c r="F667" s="160"/>
      <c r="G667" s="160"/>
      <c r="H667" s="163"/>
      <c r="I667" s="164"/>
      <c r="J667" s="163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  <c r="AA667" s="160"/>
      <c r="AB667" s="160"/>
      <c r="AC667" s="160"/>
    </row>
    <row r="668" spans="1:29" ht="14.25" customHeight="1">
      <c r="A668" s="160"/>
      <c r="B668" s="160"/>
      <c r="C668" s="160"/>
      <c r="D668" s="160"/>
      <c r="E668" s="160"/>
      <c r="F668" s="160"/>
      <c r="G668" s="160"/>
      <c r="H668" s="163"/>
      <c r="I668" s="164"/>
      <c r="J668" s="163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  <c r="AA668" s="160"/>
      <c r="AB668" s="160"/>
      <c r="AC668" s="160"/>
    </row>
    <row r="669" spans="1:29" ht="14.25" customHeight="1">
      <c r="A669" s="160"/>
      <c r="B669" s="160"/>
      <c r="C669" s="160"/>
      <c r="D669" s="160"/>
      <c r="E669" s="160"/>
      <c r="F669" s="160"/>
      <c r="G669" s="160"/>
      <c r="H669" s="163"/>
      <c r="I669" s="164"/>
      <c r="J669" s="163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  <c r="AA669" s="160"/>
      <c r="AB669" s="160"/>
      <c r="AC669" s="160"/>
    </row>
    <row r="670" spans="1:29" ht="14.25" customHeight="1">
      <c r="A670" s="160"/>
      <c r="B670" s="160"/>
      <c r="C670" s="160"/>
      <c r="D670" s="160"/>
      <c r="E670" s="160"/>
      <c r="F670" s="160"/>
      <c r="G670" s="160"/>
      <c r="H670" s="163"/>
      <c r="I670" s="164"/>
      <c r="J670" s="163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  <c r="AA670" s="160"/>
      <c r="AB670" s="160"/>
      <c r="AC670" s="160"/>
    </row>
    <row r="671" spans="1:29" ht="14.25" customHeight="1">
      <c r="A671" s="160"/>
      <c r="B671" s="160"/>
      <c r="C671" s="160"/>
      <c r="D671" s="160"/>
      <c r="E671" s="160"/>
      <c r="F671" s="160"/>
      <c r="G671" s="160"/>
      <c r="H671" s="163"/>
      <c r="I671" s="164"/>
      <c r="J671" s="163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  <c r="AA671" s="160"/>
      <c r="AB671" s="160"/>
      <c r="AC671" s="160"/>
    </row>
    <row r="672" spans="1:29" ht="14.25" customHeight="1">
      <c r="A672" s="160"/>
      <c r="B672" s="160"/>
      <c r="C672" s="160"/>
      <c r="D672" s="160"/>
      <c r="E672" s="160"/>
      <c r="F672" s="160"/>
      <c r="G672" s="160"/>
      <c r="H672" s="163"/>
      <c r="I672" s="164"/>
      <c r="J672" s="163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  <c r="AA672" s="160"/>
      <c r="AB672" s="160"/>
      <c r="AC672" s="160"/>
    </row>
    <row r="673" spans="1:29" ht="14.25" customHeight="1">
      <c r="A673" s="160"/>
      <c r="B673" s="160"/>
      <c r="C673" s="160"/>
      <c r="D673" s="160"/>
      <c r="E673" s="160"/>
      <c r="F673" s="160"/>
      <c r="G673" s="160"/>
      <c r="H673" s="163"/>
      <c r="I673" s="164"/>
      <c r="J673" s="163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  <c r="AA673" s="160"/>
      <c r="AB673" s="160"/>
      <c r="AC673" s="160"/>
    </row>
    <row r="674" spans="1:29" ht="14.25" customHeight="1">
      <c r="A674" s="160"/>
      <c r="B674" s="160"/>
      <c r="C674" s="160"/>
      <c r="D674" s="160"/>
      <c r="E674" s="160"/>
      <c r="F674" s="160"/>
      <c r="G674" s="160"/>
      <c r="H674" s="163"/>
      <c r="I674" s="164"/>
      <c r="J674" s="163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  <c r="AA674" s="160"/>
      <c r="AB674" s="160"/>
      <c r="AC674" s="160"/>
    </row>
    <row r="675" spans="1:29" ht="14.25" customHeight="1">
      <c r="A675" s="160"/>
      <c r="B675" s="160"/>
      <c r="C675" s="160"/>
      <c r="D675" s="160"/>
      <c r="E675" s="160"/>
      <c r="F675" s="160"/>
      <c r="G675" s="160"/>
      <c r="H675" s="163"/>
      <c r="I675" s="164"/>
      <c r="J675" s="163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  <c r="AA675" s="160"/>
      <c r="AB675" s="160"/>
      <c r="AC675" s="160"/>
    </row>
    <row r="676" spans="1:29" ht="14.25" customHeight="1">
      <c r="A676" s="160"/>
      <c r="B676" s="160"/>
      <c r="C676" s="160"/>
      <c r="D676" s="160"/>
      <c r="E676" s="160"/>
      <c r="F676" s="160"/>
      <c r="G676" s="160"/>
      <c r="H676" s="163"/>
      <c r="I676" s="164"/>
      <c r="J676" s="163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  <c r="AA676" s="160"/>
      <c r="AB676" s="160"/>
      <c r="AC676" s="160"/>
    </row>
    <row r="677" spans="1:29" ht="14.25" customHeight="1">
      <c r="A677" s="160"/>
      <c r="B677" s="160"/>
      <c r="C677" s="160"/>
      <c r="D677" s="160"/>
      <c r="E677" s="160"/>
      <c r="F677" s="160"/>
      <c r="G677" s="160"/>
      <c r="H677" s="163"/>
      <c r="I677" s="164"/>
      <c r="J677" s="163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  <c r="AA677" s="160"/>
      <c r="AB677" s="160"/>
      <c r="AC677" s="160"/>
    </row>
    <row r="678" spans="1:29" ht="14.25" customHeight="1">
      <c r="A678" s="160"/>
      <c r="B678" s="160"/>
      <c r="C678" s="160"/>
      <c r="D678" s="160"/>
      <c r="E678" s="160"/>
      <c r="F678" s="160"/>
      <c r="G678" s="160"/>
      <c r="H678" s="163"/>
      <c r="I678" s="164"/>
      <c r="J678" s="163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  <c r="AA678" s="160"/>
      <c r="AB678" s="160"/>
      <c r="AC678" s="160"/>
    </row>
    <row r="679" spans="1:29" ht="14.25" customHeight="1">
      <c r="A679" s="160"/>
      <c r="B679" s="160"/>
      <c r="C679" s="160"/>
      <c r="D679" s="160"/>
      <c r="E679" s="160"/>
      <c r="F679" s="160"/>
      <c r="G679" s="160"/>
      <c r="H679" s="163"/>
      <c r="I679" s="164"/>
      <c r="J679" s="163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  <c r="AA679" s="160"/>
      <c r="AB679" s="160"/>
      <c r="AC679" s="160"/>
    </row>
    <row r="680" spans="1:29" ht="14.25" customHeight="1">
      <c r="A680" s="160"/>
      <c r="B680" s="160"/>
      <c r="C680" s="160"/>
      <c r="D680" s="160"/>
      <c r="E680" s="160"/>
      <c r="F680" s="160"/>
      <c r="G680" s="160"/>
      <c r="H680" s="163"/>
      <c r="I680" s="164"/>
      <c r="J680" s="163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  <c r="AA680" s="160"/>
      <c r="AB680" s="160"/>
      <c r="AC680" s="160"/>
    </row>
    <row r="681" spans="1:29" ht="14.25" customHeight="1">
      <c r="A681" s="160"/>
      <c r="B681" s="160"/>
      <c r="C681" s="160"/>
      <c r="D681" s="160"/>
      <c r="E681" s="160"/>
      <c r="F681" s="160"/>
      <c r="G681" s="160"/>
      <c r="H681" s="163"/>
      <c r="I681" s="164"/>
      <c r="J681" s="163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  <c r="AA681" s="160"/>
      <c r="AB681" s="160"/>
      <c r="AC681" s="160"/>
    </row>
    <row r="682" spans="1:29" ht="14.25" customHeight="1">
      <c r="A682" s="160"/>
      <c r="B682" s="160"/>
      <c r="C682" s="160"/>
      <c r="D682" s="160"/>
      <c r="E682" s="160"/>
      <c r="F682" s="160"/>
      <c r="G682" s="160"/>
      <c r="H682" s="163"/>
      <c r="I682" s="164"/>
      <c r="J682" s="163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  <c r="AA682" s="160"/>
      <c r="AB682" s="160"/>
      <c r="AC682" s="160"/>
    </row>
    <row r="683" spans="1:29" ht="14.25" customHeight="1">
      <c r="A683" s="160"/>
      <c r="B683" s="160"/>
      <c r="C683" s="160"/>
      <c r="D683" s="160"/>
      <c r="E683" s="160"/>
      <c r="F683" s="160"/>
      <c r="G683" s="160"/>
      <c r="H683" s="163"/>
      <c r="I683" s="164"/>
      <c r="J683" s="163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  <c r="AA683" s="160"/>
      <c r="AB683" s="160"/>
      <c r="AC683" s="160"/>
    </row>
    <row r="684" spans="1:29" ht="14.25" customHeight="1">
      <c r="A684" s="160"/>
      <c r="B684" s="160"/>
      <c r="C684" s="160"/>
      <c r="D684" s="160"/>
      <c r="E684" s="160"/>
      <c r="F684" s="160"/>
      <c r="G684" s="160"/>
      <c r="H684" s="163"/>
      <c r="I684" s="164"/>
      <c r="J684" s="163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  <c r="AA684" s="160"/>
      <c r="AB684" s="160"/>
      <c r="AC684" s="160"/>
    </row>
    <row r="685" spans="1:29" ht="14.25" customHeight="1">
      <c r="A685" s="160"/>
      <c r="B685" s="160"/>
      <c r="C685" s="160"/>
      <c r="D685" s="160"/>
      <c r="E685" s="160"/>
      <c r="F685" s="160"/>
      <c r="G685" s="160"/>
      <c r="H685" s="163"/>
      <c r="I685" s="164"/>
      <c r="J685" s="163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  <c r="AA685" s="160"/>
      <c r="AB685" s="160"/>
      <c r="AC685" s="160"/>
    </row>
    <row r="686" spans="1:29" ht="14.25" customHeight="1">
      <c r="A686" s="160"/>
      <c r="B686" s="160"/>
      <c r="C686" s="160"/>
      <c r="D686" s="160"/>
      <c r="E686" s="160"/>
      <c r="F686" s="160"/>
      <c r="G686" s="160"/>
      <c r="H686" s="163"/>
      <c r="I686" s="164"/>
      <c r="J686" s="163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  <c r="AA686" s="160"/>
      <c r="AB686" s="160"/>
      <c r="AC686" s="160"/>
    </row>
    <row r="687" spans="1:29" ht="14.25" customHeight="1">
      <c r="A687" s="160"/>
      <c r="B687" s="160"/>
      <c r="C687" s="160"/>
      <c r="D687" s="160"/>
      <c r="E687" s="160"/>
      <c r="F687" s="160"/>
      <c r="G687" s="160"/>
      <c r="H687" s="163"/>
      <c r="I687" s="164"/>
      <c r="J687" s="163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  <c r="AA687" s="160"/>
      <c r="AB687" s="160"/>
      <c r="AC687" s="160"/>
    </row>
    <row r="688" spans="1:29" ht="14.25" customHeight="1">
      <c r="A688" s="160"/>
      <c r="B688" s="160"/>
      <c r="C688" s="160"/>
      <c r="D688" s="160"/>
      <c r="E688" s="160"/>
      <c r="F688" s="160"/>
      <c r="G688" s="160"/>
      <c r="H688" s="163"/>
      <c r="I688" s="164"/>
      <c r="J688" s="163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  <c r="AA688" s="160"/>
      <c r="AB688" s="160"/>
      <c r="AC688" s="160"/>
    </row>
    <row r="689" spans="1:29" ht="14.25" customHeight="1">
      <c r="A689" s="160"/>
      <c r="B689" s="160"/>
      <c r="C689" s="160"/>
      <c r="D689" s="160"/>
      <c r="E689" s="160"/>
      <c r="F689" s="160"/>
      <c r="G689" s="160"/>
      <c r="H689" s="163"/>
      <c r="I689" s="164"/>
      <c r="J689" s="163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  <c r="AA689" s="160"/>
      <c r="AB689" s="160"/>
      <c r="AC689" s="160"/>
    </row>
    <row r="690" spans="1:29" ht="14.25" customHeight="1">
      <c r="A690" s="160"/>
      <c r="B690" s="160"/>
      <c r="C690" s="160"/>
      <c r="D690" s="160"/>
      <c r="E690" s="160"/>
      <c r="F690" s="160"/>
      <c r="G690" s="160"/>
      <c r="H690" s="163"/>
      <c r="I690" s="164"/>
      <c r="J690" s="163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  <c r="AA690" s="160"/>
      <c r="AB690" s="160"/>
      <c r="AC690" s="160"/>
    </row>
    <row r="691" spans="1:29" ht="14.25" customHeight="1">
      <c r="A691" s="160"/>
      <c r="B691" s="160"/>
      <c r="C691" s="160"/>
      <c r="D691" s="160"/>
      <c r="E691" s="160"/>
      <c r="F691" s="160"/>
      <c r="G691" s="160"/>
      <c r="H691" s="163"/>
      <c r="I691" s="164"/>
      <c r="J691" s="163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  <c r="AA691" s="160"/>
      <c r="AB691" s="160"/>
      <c r="AC691" s="160"/>
    </row>
    <row r="692" spans="1:29" ht="14.25" customHeight="1">
      <c r="A692" s="160"/>
      <c r="B692" s="160"/>
      <c r="C692" s="160"/>
      <c r="D692" s="160"/>
      <c r="E692" s="160"/>
      <c r="F692" s="160"/>
      <c r="G692" s="160"/>
      <c r="H692" s="163"/>
      <c r="I692" s="164"/>
      <c r="J692" s="163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  <c r="AA692" s="160"/>
      <c r="AB692" s="160"/>
      <c r="AC692" s="160"/>
    </row>
    <row r="693" spans="1:29" ht="14.25" customHeight="1">
      <c r="A693" s="160"/>
      <c r="B693" s="160"/>
      <c r="C693" s="160"/>
      <c r="D693" s="160"/>
      <c r="E693" s="160"/>
      <c r="F693" s="160"/>
      <c r="G693" s="160"/>
      <c r="H693" s="163"/>
      <c r="I693" s="164"/>
      <c r="J693" s="163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  <c r="AA693" s="160"/>
      <c r="AB693" s="160"/>
      <c r="AC693" s="160"/>
    </row>
    <row r="694" spans="1:29" ht="14.25" customHeight="1">
      <c r="A694" s="160"/>
      <c r="B694" s="160"/>
      <c r="C694" s="160"/>
      <c r="D694" s="160"/>
      <c r="E694" s="160"/>
      <c r="F694" s="160"/>
      <c r="G694" s="160"/>
      <c r="H694" s="163"/>
      <c r="I694" s="164"/>
      <c r="J694" s="163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  <c r="AA694" s="160"/>
      <c r="AB694" s="160"/>
      <c r="AC694" s="160"/>
    </row>
    <row r="695" spans="1:29" ht="14.25" customHeight="1">
      <c r="A695" s="160"/>
      <c r="B695" s="160"/>
      <c r="C695" s="160"/>
      <c r="D695" s="160"/>
      <c r="E695" s="160"/>
      <c r="F695" s="160"/>
      <c r="G695" s="160"/>
      <c r="H695" s="163"/>
      <c r="I695" s="164"/>
      <c r="J695" s="163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  <c r="AA695" s="160"/>
      <c r="AB695" s="160"/>
      <c r="AC695" s="160"/>
    </row>
    <row r="696" spans="1:29" ht="14.25" customHeight="1">
      <c r="A696" s="160"/>
      <c r="B696" s="160"/>
      <c r="C696" s="160"/>
      <c r="D696" s="160"/>
      <c r="E696" s="160"/>
      <c r="F696" s="160"/>
      <c r="G696" s="160"/>
      <c r="H696" s="163"/>
      <c r="I696" s="164"/>
      <c r="J696" s="163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  <c r="AA696" s="160"/>
      <c r="AB696" s="160"/>
      <c r="AC696" s="160"/>
    </row>
    <row r="697" spans="1:29" ht="14.25" customHeight="1">
      <c r="A697" s="160"/>
      <c r="B697" s="160"/>
      <c r="C697" s="160"/>
      <c r="D697" s="160"/>
      <c r="E697" s="160"/>
      <c r="F697" s="160"/>
      <c r="G697" s="160"/>
      <c r="H697" s="163"/>
      <c r="I697" s="164"/>
      <c r="J697" s="163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  <c r="AA697" s="160"/>
      <c r="AB697" s="160"/>
      <c r="AC697" s="160"/>
    </row>
    <row r="698" spans="1:29" ht="14.25" customHeight="1">
      <c r="A698" s="160"/>
      <c r="B698" s="160"/>
      <c r="C698" s="160"/>
      <c r="D698" s="160"/>
      <c r="E698" s="160"/>
      <c r="F698" s="160"/>
      <c r="G698" s="160"/>
      <c r="H698" s="163"/>
      <c r="I698" s="164"/>
      <c r="J698" s="163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  <c r="AA698" s="160"/>
      <c r="AB698" s="160"/>
      <c r="AC698" s="160"/>
    </row>
    <row r="699" spans="1:29" ht="14.25" customHeight="1">
      <c r="A699" s="160"/>
      <c r="B699" s="160"/>
      <c r="C699" s="160"/>
      <c r="D699" s="160"/>
      <c r="E699" s="160"/>
      <c r="F699" s="160"/>
      <c r="G699" s="160"/>
      <c r="H699" s="163"/>
      <c r="I699" s="164"/>
      <c r="J699" s="163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  <c r="AA699" s="160"/>
      <c r="AB699" s="160"/>
      <c r="AC699" s="160"/>
    </row>
    <row r="700" spans="1:29" ht="14.25" customHeight="1">
      <c r="A700" s="160"/>
      <c r="B700" s="160"/>
      <c r="C700" s="160"/>
      <c r="D700" s="160"/>
      <c r="E700" s="160"/>
      <c r="F700" s="160"/>
      <c r="G700" s="160"/>
      <c r="H700" s="163"/>
      <c r="I700" s="164"/>
      <c r="J700" s="163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  <c r="AA700" s="160"/>
      <c r="AB700" s="160"/>
      <c r="AC700" s="160"/>
    </row>
    <row r="701" spans="1:29" ht="14.25" customHeight="1">
      <c r="A701" s="160"/>
      <c r="B701" s="160"/>
      <c r="C701" s="160"/>
      <c r="D701" s="160"/>
      <c r="E701" s="160"/>
      <c r="F701" s="160"/>
      <c r="G701" s="160"/>
      <c r="H701" s="163"/>
      <c r="I701" s="164"/>
      <c r="J701" s="163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  <c r="AA701" s="160"/>
      <c r="AB701" s="160"/>
      <c r="AC701" s="160"/>
    </row>
    <row r="702" spans="1:29" ht="14.25" customHeight="1">
      <c r="A702" s="160"/>
      <c r="B702" s="160"/>
      <c r="C702" s="160"/>
      <c r="D702" s="160"/>
      <c r="E702" s="160"/>
      <c r="F702" s="160"/>
      <c r="G702" s="160"/>
      <c r="H702" s="163"/>
      <c r="I702" s="164"/>
      <c r="J702" s="163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  <c r="AA702" s="160"/>
      <c r="AB702" s="160"/>
      <c r="AC702" s="160"/>
    </row>
    <row r="703" spans="1:29" ht="14.25" customHeight="1">
      <c r="A703" s="160"/>
      <c r="B703" s="160"/>
      <c r="C703" s="160"/>
      <c r="D703" s="160"/>
      <c r="E703" s="160"/>
      <c r="F703" s="160"/>
      <c r="G703" s="160"/>
      <c r="H703" s="163"/>
      <c r="I703" s="164"/>
      <c r="J703" s="163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  <c r="AA703" s="160"/>
      <c r="AB703" s="160"/>
      <c r="AC703" s="160"/>
    </row>
    <row r="704" spans="1:29" ht="14.25" customHeight="1">
      <c r="A704" s="160"/>
      <c r="B704" s="160"/>
      <c r="C704" s="160"/>
      <c r="D704" s="160"/>
      <c r="E704" s="160"/>
      <c r="F704" s="160"/>
      <c r="G704" s="160"/>
      <c r="H704" s="163"/>
      <c r="I704" s="164"/>
      <c r="J704" s="163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  <c r="AA704" s="160"/>
      <c r="AB704" s="160"/>
      <c r="AC704" s="160"/>
    </row>
    <row r="705" spans="1:29" ht="14.25" customHeight="1">
      <c r="A705" s="160"/>
      <c r="B705" s="160"/>
      <c r="C705" s="160"/>
      <c r="D705" s="160"/>
      <c r="E705" s="160"/>
      <c r="F705" s="160"/>
      <c r="G705" s="160"/>
      <c r="H705" s="163"/>
      <c r="I705" s="164"/>
      <c r="J705" s="163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  <c r="AA705" s="160"/>
      <c r="AB705" s="160"/>
      <c r="AC705" s="160"/>
    </row>
    <row r="706" spans="1:29" ht="14.25" customHeight="1">
      <c r="A706" s="160"/>
      <c r="B706" s="160"/>
      <c r="C706" s="160"/>
      <c r="D706" s="160"/>
      <c r="E706" s="160"/>
      <c r="F706" s="160"/>
      <c r="G706" s="160"/>
      <c r="H706" s="163"/>
      <c r="I706" s="164"/>
      <c r="J706" s="163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  <c r="AA706" s="160"/>
      <c r="AB706" s="160"/>
      <c r="AC706" s="160"/>
    </row>
    <row r="707" spans="1:29" ht="14.25" customHeight="1">
      <c r="A707" s="160"/>
      <c r="B707" s="160"/>
      <c r="C707" s="160"/>
      <c r="D707" s="160"/>
      <c r="E707" s="160"/>
      <c r="F707" s="160"/>
      <c r="G707" s="160"/>
      <c r="H707" s="163"/>
      <c r="I707" s="164"/>
      <c r="J707" s="163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  <c r="AA707" s="160"/>
      <c r="AB707" s="160"/>
      <c r="AC707" s="160"/>
    </row>
    <row r="708" spans="1:29" ht="14.25" customHeight="1">
      <c r="A708" s="160"/>
      <c r="B708" s="160"/>
      <c r="C708" s="160"/>
      <c r="D708" s="160"/>
      <c r="E708" s="160"/>
      <c r="F708" s="160"/>
      <c r="G708" s="160"/>
      <c r="H708" s="163"/>
      <c r="I708" s="164"/>
      <c r="J708" s="163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  <c r="AA708" s="160"/>
      <c r="AB708" s="160"/>
      <c r="AC708" s="160"/>
    </row>
    <row r="709" spans="1:29" ht="14.25" customHeight="1">
      <c r="A709" s="160"/>
      <c r="B709" s="160"/>
      <c r="C709" s="160"/>
      <c r="D709" s="160"/>
      <c r="E709" s="160"/>
      <c r="F709" s="160"/>
      <c r="G709" s="160"/>
      <c r="H709" s="163"/>
      <c r="I709" s="164"/>
      <c r="J709" s="163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  <c r="AA709" s="160"/>
      <c r="AB709" s="160"/>
      <c r="AC709" s="160"/>
    </row>
    <row r="710" spans="1:29" ht="14.25" customHeight="1">
      <c r="A710" s="160"/>
      <c r="B710" s="160"/>
      <c r="C710" s="160"/>
      <c r="D710" s="160"/>
      <c r="E710" s="160"/>
      <c r="F710" s="160"/>
      <c r="G710" s="160"/>
      <c r="H710" s="163"/>
      <c r="I710" s="164"/>
      <c r="J710" s="163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  <c r="AA710" s="160"/>
      <c r="AB710" s="160"/>
      <c r="AC710" s="160"/>
    </row>
    <row r="711" spans="1:29" ht="14.25" customHeight="1">
      <c r="A711" s="160"/>
      <c r="B711" s="160"/>
      <c r="C711" s="160"/>
      <c r="D711" s="160"/>
      <c r="E711" s="160"/>
      <c r="F711" s="160"/>
      <c r="G711" s="160"/>
      <c r="H711" s="163"/>
      <c r="I711" s="164"/>
      <c r="J711" s="163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  <c r="AA711" s="160"/>
      <c r="AB711" s="160"/>
      <c r="AC711" s="160"/>
    </row>
    <row r="712" spans="1:29" ht="14.25" customHeight="1">
      <c r="A712" s="160"/>
      <c r="B712" s="160"/>
      <c r="C712" s="160"/>
      <c r="D712" s="160"/>
      <c r="E712" s="160"/>
      <c r="F712" s="160"/>
      <c r="G712" s="160"/>
      <c r="H712" s="163"/>
      <c r="I712" s="164"/>
      <c r="J712" s="163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  <c r="AA712" s="160"/>
      <c r="AB712" s="160"/>
      <c r="AC712" s="160"/>
    </row>
    <row r="713" spans="1:29" ht="14.25" customHeight="1">
      <c r="A713" s="160"/>
      <c r="B713" s="160"/>
      <c r="C713" s="160"/>
      <c r="D713" s="160"/>
      <c r="E713" s="160"/>
      <c r="F713" s="160"/>
      <c r="G713" s="160"/>
      <c r="H713" s="163"/>
      <c r="I713" s="164"/>
      <c r="J713" s="163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  <c r="AA713" s="160"/>
      <c r="AB713" s="160"/>
      <c r="AC713" s="160"/>
    </row>
    <row r="714" spans="1:29" ht="14.25" customHeight="1">
      <c r="A714" s="160"/>
      <c r="B714" s="160"/>
      <c r="C714" s="160"/>
      <c r="D714" s="160"/>
      <c r="E714" s="160"/>
      <c r="F714" s="160"/>
      <c r="G714" s="160"/>
      <c r="H714" s="163"/>
      <c r="I714" s="164"/>
      <c r="J714" s="163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  <c r="AA714" s="160"/>
      <c r="AB714" s="160"/>
      <c r="AC714" s="160"/>
    </row>
    <row r="715" spans="1:29" ht="14.25" customHeight="1">
      <c r="A715" s="160"/>
      <c r="B715" s="160"/>
      <c r="C715" s="160"/>
      <c r="D715" s="160"/>
      <c r="E715" s="160"/>
      <c r="F715" s="160"/>
      <c r="G715" s="160"/>
      <c r="H715" s="163"/>
      <c r="I715" s="164"/>
      <c r="J715" s="163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  <c r="AA715" s="160"/>
      <c r="AB715" s="160"/>
      <c r="AC715" s="160"/>
    </row>
    <row r="716" spans="1:29" ht="14.25" customHeight="1">
      <c r="A716" s="160"/>
      <c r="B716" s="160"/>
      <c r="C716" s="160"/>
      <c r="D716" s="160"/>
      <c r="E716" s="160"/>
      <c r="F716" s="160"/>
      <c r="G716" s="160"/>
      <c r="H716" s="163"/>
      <c r="I716" s="164"/>
      <c r="J716" s="163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  <c r="AA716" s="160"/>
      <c r="AB716" s="160"/>
      <c r="AC716" s="160"/>
    </row>
    <row r="717" spans="1:29" ht="14.25" customHeight="1">
      <c r="A717" s="160"/>
      <c r="B717" s="160"/>
      <c r="C717" s="160"/>
      <c r="D717" s="160"/>
      <c r="E717" s="160"/>
      <c r="F717" s="160"/>
      <c r="G717" s="160"/>
      <c r="H717" s="163"/>
      <c r="I717" s="164"/>
      <c r="J717" s="163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  <c r="AA717" s="160"/>
      <c r="AB717" s="160"/>
      <c r="AC717" s="160"/>
    </row>
    <row r="718" spans="1:29" ht="14.25" customHeight="1">
      <c r="A718" s="160"/>
      <c r="B718" s="160"/>
      <c r="C718" s="160"/>
      <c r="D718" s="160"/>
      <c r="E718" s="160"/>
      <c r="F718" s="160"/>
      <c r="G718" s="160"/>
      <c r="H718" s="163"/>
      <c r="I718" s="164"/>
      <c r="J718" s="163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  <c r="AA718" s="160"/>
      <c r="AB718" s="160"/>
      <c r="AC718" s="160"/>
    </row>
    <row r="719" spans="1:29" ht="14.25" customHeight="1">
      <c r="A719" s="160"/>
      <c r="B719" s="160"/>
      <c r="C719" s="160"/>
      <c r="D719" s="160"/>
      <c r="E719" s="160"/>
      <c r="F719" s="160"/>
      <c r="G719" s="160"/>
      <c r="H719" s="163"/>
      <c r="I719" s="164"/>
      <c r="J719" s="163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  <c r="AA719" s="160"/>
      <c r="AB719" s="160"/>
      <c r="AC719" s="160"/>
    </row>
    <row r="720" spans="1:29" ht="14.25" customHeight="1">
      <c r="A720" s="160"/>
      <c r="B720" s="160"/>
      <c r="C720" s="160"/>
      <c r="D720" s="160"/>
      <c r="E720" s="160"/>
      <c r="F720" s="160"/>
      <c r="G720" s="160"/>
      <c r="H720" s="163"/>
      <c r="I720" s="164"/>
      <c r="J720" s="163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  <c r="AA720" s="160"/>
      <c r="AB720" s="160"/>
      <c r="AC720" s="160"/>
    </row>
    <row r="721" spans="1:29" ht="14.25" customHeight="1">
      <c r="A721" s="160"/>
      <c r="B721" s="160"/>
      <c r="C721" s="160"/>
      <c r="D721" s="160"/>
      <c r="E721" s="160"/>
      <c r="F721" s="160"/>
      <c r="G721" s="160"/>
      <c r="H721" s="163"/>
      <c r="I721" s="164"/>
      <c r="J721" s="163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  <c r="AA721" s="160"/>
      <c r="AB721" s="160"/>
      <c r="AC721" s="160"/>
    </row>
    <row r="722" spans="1:29" ht="14.25" customHeight="1">
      <c r="A722" s="160"/>
      <c r="B722" s="160"/>
      <c r="C722" s="160"/>
      <c r="D722" s="160"/>
      <c r="E722" s="160"/>
      <c r="F722" s="160"/>
      <c r="G722" s="160"/>
      <c r="H722" s="163"/>
      <c r="I722" s="164"/>
      <c r="J722" s="163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  <c r="AA722" s="160"/>
      <c r="AB722" s="160"/>
      <c r="AC722" s="160"/>
    </row>
    <row r="723" spans="1:29" ht="14.25" customHeight="1">
      <c r="A723" s="160"/>
      <c r="B723" s="160"/>
      <c r="C723" s="160"/>
      <c r="D723" s="160"/>
      <c r="E723" s="160"/>
      <c r="F723" s="160"/>
      <c r="G723" s="160"/>
      <c r="H723" s="163"/>
      <c r="I723" s="164"/>
      <c r="J723" s="163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  <c r="AA723" s="160"/>
      <c r="AB723" s="160"/>
      <c r="AC723" s="160"/>
    </row>
    <row r="724" spans="1:29" ht="14.25" customHeight="1">
      <c r="A724" s="160"/>
      <c r="B724" s="160"/>
      <c r="C724" s="160"/>
      <c r="D724" s="160"/>
      <c r="E724" s="160"/>
      <c r="F724" s="160"/>
      <c r="G724" s="160"/>
      <c r="H724" s="163"/>
      <c r="I724" s="164"/>
      <c r="J724" s="163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  <c r="AA724" s="160"/>
      <c r="AB724" s="160"/>
      <c r="AC724" s="160"/>
    </row>
    <row r="725" spans="1:29" ht="14.25" customHeight="1">
      <c r="A725" s="160"/>
      <c r="B725" s="160"/>
      <c r="C725" s="160"/>
      <c r="D725" s="160"/>
      <c r="E725" s="160"/>
      <c r="F725" s="160"/>
      <c r="G725" s="160"/>
      <c r="H725" s="163"/>
      <c r="I725" s="164"/>
      <c r="J725" s="163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  <c r="AA725" s="160"/>
      <c r="AB725" s="160"/>
      <c r="AC725" s="160"/>
    </row>
    <row r="726" spans="1:29" ht="14.25" customHeight="1">
      <c r="A726" s="160"/>
      <c r="B726" s="160"/>
      <c r="C726" s="160"/>
      <c r="D726" s="160"/>
      <c r="E726" s="160"/>
      <c r="F726" s="160"/>
      <c r="G726" s="160"/>
      <c r="H726" s="163"/>
      <c r="I726" s="164"/>
      <c r="J726" s="163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  <c r="AA726" s="160"/>
      <c r="AB726" s="160"/>
      <c r="AC726" s="160"/>
    </row>
    <row r="727" spans="1:29" ht="14.25" customHeight="1">
      <c r="A727" s="160"/>
      <c r="B727" s="160"/>
      <c r="C727" s="160"/>
      <c r="D727" s="160"/>
      <c r="E727" s="160"/>
      <c r="F727" s="160"/>
      <c r="G727" s="160"/>
      <c r="H727" s="163"/>
      <c r="I727" s="164"/>
      <c r="J727" s="163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  <c r="AA727" s="160"/>
      <c r="AB727" s="160"/>
      <c r="AC727" s="160"/>
    </row>
    <row r="728" spans="1:29" ht="14.25" customHeight="1">
      <c r="A728" s="160"/>
      <c r="B728" s="160"/>
      <c r="C728" s="160"/>
      <c r="D728" s="160"/>
      <c r="E728" s="160"/>
      <c r="F728" s="160"/>
      <c r="G728" s="160"/>
      <c r="H728" s="163"/>
      <c r="I728" s="164"/>
      <c r="J728" s="163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  <c r="AA728" s="160"/>
      <c r="AB728" s="160"/>
      <c r="AC728" s="160"/>
    </row>
    <row r="729" spans="1:29" ht="14.25" customHeight="1">
      <c r="A729" s="160"/>
      <c r="B729" s="160"/>
      <c r="C729" s="160"/>
      <c r="D729" s="160"/>
      <c r="E729" s="160"/>
      <c r="F729" s="160"/>
      <c r="G729" s="160"/>
      <c r="H729" s="163"/>
      <c r="I729" s="164"/>
      <c r="J729" s="163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  <c r="AA729" s="160"/>
      <c r="AB729" s="160"/>
      <c r="AC729" s="160"/>
    </row>
    <row r="730" spans="1:29" ht="14.25" customHeight="1">
      <c r="A730" s="160"/>
      <c r="B730" s="160"/>
      <c r="C730" s="160"/>
      <c r="D730" s="160"/>
      <c r="E730" s="160"/>
      <c r="F730" s="160"/>
      <c r="G730" s="160"/>
      <c r="H730" s="163"/>
      <c r="I730" s="164"/>
      <c r="J730" s="163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  <c r="AA730" s="160"/>
      <c r="AB730" s="160"/>
      <c r="AC730" s="160"/>
    </row>
    <row r="731" spans="1:29" ht="14.25" customHeight="1">
      <c r="A731" s="160"/>
      <c r="B731" s="160"/>
      <c r="C731" s="160"/>
      <c r="D731" s="160"/>
      <c r="E731" s="160"/>
      <c r="F731" s="160"/>
      <c r="G731" s="160"/>
      <c r="H731" s="163"/>
      <c r="I731" s="164"/>
      <c r="J731" s="163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  <c r="AA731" s="160"/>
      <c r="AB731" s="160"/>
      <c r="AC731" s="160"/>
    </row>
    <row r="732" spans="1:29" ht="14.25" customHeight="1">
      <c r="A732" s="160"/>
      <c r="B732" s="160"/>
      <c r="C732" s="160"/>
      <c r="D732" s="160"/>
      <c r="E732" s="160"/>
      <c r="F732" s="160"/>
      <c r="G732" s="160"/>
      <c r="H732" s="163"/>
      <c r="I732" s="164"/>
      <c r="J732" s="163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  <c r="AA732" s="160"/>
      <c r="AB732" s="160"/>
      <c r="AC732" s="160"/>
    </row>
    <row r="733" spans="1:29" ht="14.25" customHeight="1">
      <c r="A733" s="160"/>
      <c r="B733" s="160"/>
      <c r="C733" s="160"/>
      <c r="D733" s="160"/>
      <c r="E733" s="160"/>
      <c r="F733" s="160"/>
      <c r="G733" s="160"/>
      <c r="H733" s="163"/>
      <c r="I733" s="164"/>
      <c r="J733" s="163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  <c r="AA733" s="160"/>
      <c r="AB733" s="160"/>
      <c r="AC733" s="160"/>
    </row>
    <row r="734" spans="1:29" ht="14.25" customHeight="1">
      <c r="A734" s="160"/>
      <c r="B734" s="160"/>
      <c r="C734" s="160"/>
      <c r="D734" s="160"/>
      <c r="E734" s="160"/>
      <c r="F734" s="160"/>
      <c r="G734" s="160"/>
      <c r="H734" s="163"/>
      <c r="I734" s="164"/>
      <c r="J734" s="163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  <c r="AA734" s="160"/>
      <c r="AB734" s="160"/>
      <c r="AC734" s="160"/>
    </row>
    <row r="735" spans="1:29" ht="14.25" customHeight="1">
      <c r="A735" s="160"/>
      <c r="B735" s="160"/>
      <c r="C735" s="160"/>
      <c r="D735" s="160"/>
      <c r="E735" s="160"/>
      <c r="F735" s="160"/>
      <c r="G735" s="160"/>
      <c r="H735" s="163"/>
      <c r="I735" s="164"/>
      <c r="J735" s="163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  <c r="AA735" s="160"/>
      <c r="AB735" s="160"/>
      <c r="AC735" s="160"/>
    </row>
    <row r="736" spans="1:29" ht="14.25" customHeight="1">
      <c r="A736" s="160"/>
      <c r="B736" s="160"/>
      <c r="C736" s="160"/>
      <c r="D736" s="160"/>
      <c r="E736" s="160"/>
      <c r="F736" s="160"/>
      <c r="G736" s="160"/>
      <c r="H736" s="163"/>
      <c r="I736" s="164"/>
      <c r="J736" s="163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  <c r="AA736" s="160"/>
      <c r="AB736" s="160"/>
      <c r="AC736" s="160"/>
    </row>
    <row r="737" spans="1:29" ht="14.25" customHeight="1">
      <c r="A737" s="160"/>
      <c r="B737" s="160"/>
      <c r="C737" s="160"/>
      <c r="D737" s="160"/>
      <c r="E737" s="160"/>
      <c r="F737" s="160"/>
      <c r="G737" s="160"/>
      <c r="H737" s="163"/>
      <c r="I737" s="164"/>
      <c r="J737" s="163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  <c r="AA737" s="160"/>
      <c r="AB737" s="160"/>
      <c r="AC737" s="160"/>
    </row>
    <row r="738" spans="1:29" ht="14.25" customHeight="1">
      <c r="A738" s="160"/>
      <c r="B738" s="160"/>
      <c r="C738" s="160"/>
      <c r="D738" s="160"/>
      <c r="E738" s="160"/>
      <c r="F738" s="160"/>
      <c r="G738" s="160"/>
      <c r="H738" s="163"/>
      <c r="I738" s="164"/>
      <c r="J738" s="163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  <c r="AA738" s="160"/>
      <c r="AB738" s="160"/>
      <c r="AC738" s="160"/>
    </row>
    <row r="739" spans="1:29" ht="14.25" customHeight="1">
      <c r="A739" s="160"/>
      <c r="B739" s="160"/>
      <c r="C739" s="160"/>
      <c r="D739" s="160"/>
      <c r="E739" s="160"/>
      <c r="F739" s="160"/>
      <c r="G739" s="160"/>
      <c r="H739" s="163"/>
      <c r="I739" s="164"/>
      <c r="J739" s="163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  <c r="AA739" s="160"/>
      <c r="AB739" s="160"/>
      <c r="AC739" s="160"/>
    </row>
    <row r="740" spans="1:29" ht="14.25" customHeight="1">
      <c r="A740" s="160"/>
      <c r="B740" s="160"/>
      <c r="C740" s="160"/>
      <c r="D740" s="160"/>
      <c r="E740" s="160"/>
      <c r="F740" s="160"/>
      <c r="G740" s="160"/>
      <c r="H740" s="163"/>
      <c r="I740" s="164"/>
      <c r="J740" s="163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  <c r="AA740" s="160"/>
      <c r="AB740" s="160"/>
      <c r="AC740" s="160"/>
    </row>
    <row r="741" spans="1:29" ht="14.25" customHeight="1">
      <c r="A741" s="160"/>
      <c r="B741" s="160"/>
      <c r="C741" s="160"/>
      <c r="D741" s="160"/>
      <c r="E741" s="160"/>
      <c r="F741" s="160"/>
      <c r="G741" s="160"/>
      <c r="H741" s="163"/>
      <c r="I741" s="164"/>
      <c r="J741" s="163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  <c r="AA741" s="160"/>
      <c r="AB741" s="160"/>
      <c r="AC741" s="160"/>
    </row>
    <row r="742" spans="1:29" ht="14.25" customHeight="1">
      <c r="A742" s="160"/>
      <c r="B742" s="160"/>
      <c r="C742" s="160"/>
      <c r="D742" s="160"/>
      <c r="E742" s="160"/>
      <c r="F742" s="160"/>
      <c r="G742" s="160"/>
      <c r="H742" s="163"/>
      <c r="I742" s="164"/>
      <c r="J742" s="163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  <c r="AA742" s="160"/>
      <c r="AB742" s="160"/>
      <c r="AC742" s="160"/>
    </row>
    <row r="743" spans="1:29" ht="14.25" customHeight="1">
      <c r="A743" s="160"/>
      <c r="B743" s="160"/>
      <c r="C743" s="160"/>
      <c r="D743" s="160"/>
      <c r="E743" s="160"/>
      <c r="F743" s="160"/>
      <c r="G743" s="160"/>
      <c r="H743" s="163"/>
      <c r="I743" s="164"/>
      <c r="J743" s="163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  <c r="AA743" s="160"/>
      <c r="AB743" s="160"/>
      <c r="AC743" s="160"/>
    </row>
    <row r="744" spans="1:29" ht="14.25" customHeight="1">
      <c r="A744" s="160"/>
      <c r="B744" s="160"/>
      <c r="C744" s="160"/>
      <c r="D744" s="160"/>
      <c r="E744" s="160"/>
      <c r="F744" s="160"/>
      <c r="G744" s="160"/>
      <c r="H744" s="163"/>
      <c r="I744" s="164"/>
      <c r="J744" s="163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  <c r="AA744" s="160"/>
      <c r="AB744" s="160"/>
      <c r="AC744" s="160"/>
    </row>
    <row r="745" spans="1:29" ht="14.25" customHeight="1">
      <c r="A745" s="160"/>
      <c r="B745" s="160"/>
      <c r="C745" s="160"/>
      <c r="D745" s="160"/>
      <c r="E745" s="160"/>
      <c r="F745" s="160"/>
      <c r="G745" s="160"/>
      <c r="H745" s="163"/>
      <c r="I745" s="164"/>
      <c r="J745" s="163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  <c r="AA745" s="160"/>
      <c r="AB745" s="160"/>
      <c r="AC745" s="160"/>
    </row>
    <row r="746" spans="1:29" ht="14.25" customHeight="1">
      <c r="A746" s="160"/>
      <c r="B746" s="160"/>
      <c r="C746" s="160"/>
      <c r="D746" s="160"/>
      <c r="E746" s="160"/>
      <c r="F746" s="160"/>
      <c r="G746" s="160"/>
      <c r="H746" s="163"/>
      <c r="I746" s="164"/>
      <c r="J746" s="163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  <c r="AA746" s="160"/>
      <c r="AB746" s="160"/>
      <c r="AC746" s="160"/>
    </row>
    <row r="747" spans="1:29" ht="14.25" customHeight="1">
      <c r="A747" s="160"/>
      <c r="B747" s="160"/>
      <c r="C747" s="160"/>
      <c r="D747" s="160"/>
      <c r="E747" s="160"/>
      <c r="F747" s="160"/>
      <c r="G747" s="160"/>
      <c r="H747" s="163"/>
      <c r="I747" s="164"/>
      <c r="J747" s="163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  <c r="AA747" s="160"/>
      <c r="AB747" s="160"/>
      <c r="AC747" s="160"/>
    </row>
    <row r="748" spans="1:29" ht="14.25" customHeight="1">
      <c r="A748" s="160"/>
      <c r="B748" s="160"/>
      <c r="C748" s="160"/>
      <c r="D748" s="160"/>
      <c r="E748" s="160"/>
      <c r="F748" s="160"/>
      <c r="G748" s="160"/>
      <c r="H748" s="163"/>
      <c r="I748" s="164"/>
      <c r="J748" s="163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  <c r="AA748" s="160"/>
      <c r="AB748" s="160"/>
      <c r="AC748" s="160"/>
    </row>
    <row r="749" spans="1:29" ht="14.25" customHeight="1">
      <c r="A749" s="160"/>
      <c r="B749" s="160"/>
      <c r="C749" s="160"/>
      <c r="D749" s="160"/>
      <c r="E749" s="160"/>
      <c r="F749" s="160"/>
      <c r="G749" s="160"/>
      <c r="H749" s="163"/>
      <c r="I749" s="164"/>
      <c r="J749" s="163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  <c r="AA749" s="160"/>
      <c r="AB749" s="160"/>
      <c r="AC749" s="160"/>
    </row>
    <row r="750" spans="1:29" ht="14.25" customHeight="1">
      <c r="A750" s="160"/>
      <c r="B750" s="160"/>
      <c r="C750" s="160"/>
      <c r="D750" s="160"/>
      <c r="E750" s="160"/>
      <c r="F750" s="160"/>
      <c r="G750" s="160"/>
      <c r="H750" s="163"/>
      <c r="I750" s="164"/>
      <c r="J750" s="163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  <c r="AA750" s="160"/>
      <c r="AB750" s="160"/>
      <c r="AC750" s="160"/>
    </row>
    <row r="751" spans="1:29" ht="14.25" customHeight="1">
      <c r="A751" s="160"/>
      <c r="B751" s="160"/>
      <c r="C751" s="160"/>
      <c r="D751" s="160"/>
      <c r="E751" s="160"/>
      <c r="F751" s="160"/>
      <c r="G751" s="160"/>
      <c r="H751" s="163"/>
      <c r="I751" s="164"/>
      <c r="J751" s="163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  <c r="AA751" s="160"/>
      <c r="AB751" s="160"/>
      <c r="AC751" s="160"/>
    </row>
    <row r="752" spans="1:29" ht="14.25" customHeight="1">
      <c r="A752" s="160"/>
      <c r="B752" s="160"/>
      <c r="C752" s="160"/>
      <c r="D752" s="160"/>
      <c r="E752" s="160"/>
      <c r="F752" s="160"/>
      <c r="G752" s="160"/>
      <c r="H752" s="163"/>
      <c r="I752" s="164"/>
      <c r="J752" s="163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  <c r="AA752" s="160"/>
      <c r="AB752" s="160"/>
      <c r="AC752" s="160"/>
    </row>
    <row r="753" spans="1:29" ht="14.25" customHeight="1">
      <c r="A753" s="160"/>
      <c r="B753" s="160"/>
      <c r="C753" s="160"/>
      <c r="D753" s="160"/>
      <c r="E753" s="160"/>
      <c r="F753" s="160"/>
      <c r="G753" s="160"/>
      <c r="H753" s="163"/>
      <c r="I753" s="164"/>
      <c r="J753" s="163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  <c r="AA753" s="160"/>
      <c r="AB753" s="160"/>
      <c r="AC753" s="160"/>
    </row>
    <row r="754" spans="1:29" ht="14.25" customHeight="1">
      <c r="A754" s="160"/>
      <c r="B754" s="160"/>
      <c r="C754" s="160"/>
      <c r="D754" s="160"/>
      <c r="E754" s="160"/>
      <c r="F754" s="160"/>
      <c r="G754" s="160"/>
      <c r="H754" s="163"/>
      <c r="I754" s="164"/>
      <c r="J754" s="163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  <c r="AA754" s="160"/>
      <c r="AB754" s="160"/>
      <c r="AC754" s="160"/>
    </row>
    <row r="755" spans="1:29" ht="14.25" customHeight="1">
      <c r="A755" s="160"/>
      <c r="B755" s="160"/>
      <c r="C755" s="160"/>
      <c r="D755" s="160"/>
      <c r="E755" s="160"/>
      <c r="F755" s="160"/>
      <c r="G755" s="160"/>
      <c r="H755" s="163"/>
      <c r="I755" s="164"/>
      <c r="J755" s="163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  <c r="AA755" s="160"/>
      <c r="AB755" s="160"/>
      <c r="AC755" s="160"/>
    </row>
    <row r="756" spans="1:29" ht="14.25" customHeight="1">
      <c r="A756" s="160"/>
      <c r="B756" s="160"/>
      <c r="C756" s="160"/>
      <c r="D756" s="160"/>
      <c r="E756" s="160"/>
      <c r="F756" s="160"/>
      <c r="G756" s="160"/>
      <c r="H756" s="163"/>
      <c r="I756" s="164"/>
      <c r="J756" s="163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  <c r="AA756" s="160"/>
      <c r="AB756" s="160"/>
      <c r="AC756" s="160"/>
    </row>
    <row r="757" spans="1:29" ht="14.25" customHeight="1">
      <c r="A757" s="160"/>
      <c r="B757" s="160"/>
      <c r="C757" s="160"/>
      <c r="D757" s="160"/>
      <c r="E757" s="160"/>
      <c r="F757" s="160"/>
      <c r="G757" s="160"/>
      <c r="H757" s="163"/>
      <c r="I757" s="164"/>
      <c r="J757" s="163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  <c r="AA757" s="160"/>
      <c r="AB757" s="160"/>
      <c r="AC757" s="160"/>
    </row>
    <row r="758" spans="1:29" ht="14.25" customHeight="1">
      <c r="A758" s="160"/>
      <c r="B758" s="160"/>
      <c r="C758" s="160"/>
      <c r="D758" s="160"/>
      <c r="E758" s="160"/>
      <c r="F758" s="160"/>
      <c r="G758" s="160"/>
      <c r="H758" s="163"/>
      <c r="I758" s="164"/>
      <c r="J758" s="163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  <c r="AA758" s="160"/>
      <c r="AB758" s="160"/>
      <c r="AC758" s="160"/>
    </row>
    <row r="759" spans="1:29" ht="14.25" customHeight="1">
      <c r="A759" s="160"/>
      <c r="B759" s="160"/>
      <c r="C759" s="160"/>
      <c r="D759" s="160"/>
      <c r="E759" s="160"/>
      <c r="F759" s="160"/>
      <c r="G759" s="160"/>
      <c r="H759" s="163"/>
      <c r="I759" s="164"/>
      <c r="J759" s="163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  <c r="AA759" s="160"/>
      <c r="AB759" s="160"/>
      <c r="AC759" s="160"/>
    </row>
    <row r="760" spans="1:29" ht="14.25" customHeight="1">
      <c r="A760" s="160"/>
      <c r="B760" s="160"/>
      <c r="C760" s="160"/>
      <c r="D760" s="160"/>
      <c r="E760" s="160"/>
      <c r="F760" s="160"/>
      <c r="G760" s="160"/>
      <c r="H760" s="163"/>
      <c r="I760" s="164"/>
      <c r="J760" s="163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  <c r="AA760" s="160"/>
      <c r="AB760" s="160"/>
      <c r="AC760" s="160"/>
    </row>
    <row r="761" spans="1:29" ht="14.25" customHeight="1">
      <c r="A761" s="160"/>
      <c r="B761" s="160"/>
      <c r="C761" s="160"/>
      <c r="D761" s="160"/>
      <c r="E761" s="160"/>
      <c r="F761" s="160"/>
      <c r="G761" s="160"/>
      <c r="H761" s="163"/>
      <c r="I761" s="164"/>
      <c r="J761" s="163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  <c r="AA761" s="160"/>
      <c r="AB761" s="160"/>
      <c r="AC761" s="160"/>
    </row>
    <row r="762" spans="1:29" ht="14.25" customHeight="1">
      <c r="A762" s="160"/>
      <c r="B762" s="160"/>
      <c r="C762" s="160"/>
      <c r="D762" s="160"/>
      <c r="E762" s="160"/>
      <c r="F762" s="160"/>
      <c r="G762" s="160"/>
      <c r="H762" s="163"/>
      <c r="I762" s="164"/>
      <c r="J762" s="163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  <c r="AA762" s="160"/>
      <c r="AB762" s="160"/>
      <c r="AC762" s="160"/>
    </row>
    <row r="763" spans="1:29" ht="14.25" customHeight="1">
      <c r="A763" s="160"/>
      <c r="B763" s="160"/>
      <c r="C763" s="160"/>
      <c r="D763" s="160"/>
      <c r="E763" s="160"/>
      <c r="F763" s="160"/>
      <c r="G763" s="160"/>
      <c r="H763" s="163"/>
      <c r="I763" s="164"/>
      <c r="J763" s="163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  <c r="AA763" s="160"/>
      <c r="AB763" s="160"/>
      <c r="AC763" s="160"/>
    </row>
    <row r="764" spans="1:29" ht="14.25" customHeight="1">
      <c r="A764" s="160"/>
      <c r="B764" s="160"/>
      <c r="C764" s="160"/>
      <c r="D764" s="160"/>
      <c r="E764" s="160"/>
      <c r="F764" s="160"/>
      <c r="G764" s="160"/>
      <c r="H764" s="163"/>
      <c r="I764" s="164"/>
      <c r="J764" s="163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  <c r="AA764" s="160"/>
      <c r="AB764" s="160"/>
      <c r="AC764" s="160"/>
    </row>
    <row r="765" spans="1:29" ht="14.25" customHeight="1">
      <c r="A765" s="160"/>
      <c r="B765" s="160"/>
      <c r="C765" s="160"/>
      <c r="D765" s="160"/>
      <c r="E765" s="160"/>
      <c r="F765" s="160"/>
      <c r="G765" s="160"/>
      <c r="H765" s="163"/>
      <c r="I765" s="164"/>
      <c r="J765" s="163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  <c r="AA765" s="160"/>
      <c r="AB765" s="160"/>
      <c r="AC765" s="160"/>
    </row>
    <row r="766" spans="1:29" ht="14.25" customHeight="1">
      <c r="A766" s="160"/>
      <c r="B766" s="160"/>
      <c r="C766" s="160"/>
      <c r="D766" s="160"/>
      <c r="E766" s="160"/>
      <c r="F766" s="160"/>
      <c r="G766" s="160"/>
      <c r="H766" s="163"/>
      <c r="I766" s="164"/>
      <c r="J766" s="163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  <c r="AA766" s="160"/>
      <c r="AB766" s="160"/>
      <c r="AC766" s="160"/>
    </row>
    <row r="767" spans="1:29" ht="14.25" customHeight="1">
      <c r="A767" s="160"/>
      <c r="B767" s="160"/>
      <c r="C767" s="160"/>
      <c r="D767" s="160"/>
      <c r="E767" s="160"/>
      <c r="F767" s="160"/>
      <c r="G767" s="160"/>
      <c r="H767" s="163"/>
      <c r="I767" s="164"/>
      <c r="J767" s="163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  <c r="AA767" s="160"/>
      <c r="AB767" s="160"/>
      <c r="AC767" s="160"/>
    </row>
    <row r="768" spans="1:29" ht="14.25" customHeight="1">
      <c r="A768" s="160"/>
      <c r="B768" s="160"/>
      <c r="C768" s="160"/>
      <c r="D768" s="160"/>
      <c r="E768" s="160"/>
      <c r="F768" s="160"/>
      <c r="G768" s="160"/>
      <c r="H768" s="163"/>
      <c r="I768" s="164"/>
      <c r="J768" s="163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  <c r="AA768" s="160"/>
      <c r="AB768" s="160"/>
      <c r="AC768" s="160"/>
    </row>
    <row r="769" spans="1:29" ht="14.25" customHeight="1">
      <c r="A769" s="160"/>
      <c r="B769" s="160"/>
      <c r="C769" s="160"/>
      <c r="D769" s="160"/>
      <c r="E769" s="160"/>
      <c r="F769" s="160"/>
      <c r="G769" s="160"/>
      <c r="H769" s="163"/>
      <c r="I769" s="164"/>
      <c r="J769" s="163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  <c r="AA769" s="160"/>
      <c r="AB769" s="160"/>
      <c r="AC769" s="160"/>
    </row>
    <row r="770" spans="1:29" ht="14.25" customHeight="1">
      <c r="A770" s="160"/>
      <c r="B770" s="160"/>
      <c r="C770" s="160"/>
      <c r="D770" s="160"/>
      <c r="E770" s="160"/>
      <c r="F770" s="160"/>
      <c r="G770" s="160"/>
      <c r="H770" s="163"/>
      <c r="I770" s="164"/>
      <c r="J770" s="163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  <c r="AA770" s="160"/>
      <c r="AB770" s="160"/>
      <c r="AC770" s="160"/>
    </row>
    <row r="771" spans="1:29" ht="14.25" customHeight="1">
      <c r="A771" s="160"/>
      <c r="B771" s="160"/>
      <c r="C771" s="160"/>
      <c r="D771" s="160"/>
      <c r="E771" s="160"/>
      <c r="F771" s="160"/>
      <c r="G771" s="160"/>
      <c r="H771" s="163"/>
      <c r="I771" s="164"/>
      <c r="J771" s="163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  <c r="AA771" s="160"/>
      <c r="AB771" s="160"/>
      <c r="AC771" s="160"/>
    </row>
    <row r="772" spans="1:29" ht="14.25" customHeight="1">
      <c r="A772" s="160"/>
      <c r="B772" s="160"/>
      <c r="C772" s="160"/>
      <c r="D772" s="160"/>
      <c r="E772" s="160"/>
      <c r="F772" s="160"/>
      <c r="G772" s="160"/>
      <c r="H772" s="163"/>
      <c r="I772" s="164"/>
      <c r="J772" s="163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  <c r="AA772" s="160"/>
      <c r="AB772" s="160"/>
      <c r="AC772" s="160"/>
    </row>
    <row r="773" spans="1:29" ht="14.25" customHeight="1">
      <c r="A773" s="160"/>
      <c r="B773" s="160"/>
      <c r="C773" s="160"/>
      <c r="D773" s="160"/>
      <c r="E773" s="160"/>
      <c r="F773" s="160"/>
      <c r="G773" s="160"/>
      <c r="H773" s="163"/>
      <c r="I773" s="164"/>
      <c r="J773" s="163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  <c r="AA773" s="160"/>
      <c r="AB773" s="160"/>
      <c r="AC773" s="160"/>
    </row>
    <row r="774" spans="1:29" ht="14.25" customHeight="1">
      <c r="A774" s="160"/>
      <c r="B774" s="160"/>
      <c r="C774" s="160"/>
      <c r="D774" s="160"/>
      <c r="E774" s="160"/>
      <c r="F774" s="160"/>
      <c r="G774" s="160"/>
      <c r="H774" s="163"/>
      <c r="I774" s="164"/>
      <c r="J774" s="163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  <c r="AA774" s="160"/>
      <c r="AB774" s="160"/>
      <c r="AC774" s="160"/>
    </row>
    <row r="775" spans="1:29" ht="14.25" customHeight="1">
      <c r="A775" s="160"/>
      <c r="B775" s="160"/>
      <c r="C775" s="160"/>
      <c r="D775" s="160"/>
      <c r="E775" s="160"/>
      <c r="F775" s="160"/>
      <c r="G775" s="160"/>
      <c r="H775" s="163"/>
      <c r="I775" s="164"/>
      <c r="J775" s="163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  <c r="AA775" s="160"/>
      <c r="AB775" s="160"/>
      <c r="AC775" s="160"/>
    </row>
    <row r="776" spans="1:29" ht="14.25" customHeight="1">
      <c r="A776" s="160"/>
      <c r="B776" s="160"/>
      <c r="C776" s="160"/>
      <c r="D776" s="160"/>
      <c r="E776" s="160"/>
      <c r="F776" s="160"/>
      <c r="G776" s="160"/>
      <c r="H776" s="163"/>
      <c r="I776" s="164"/>
      <c r="J776" s="163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  <c r="AA776" s="160"/>
      <c r="AB776" s="160"/>
      <c r="AC776" s="160"/>
    </row>
    <row r="777" spans="1:29" ht="14.25" customHeight="1">
      <c r="A777" s="160"/>
      <c r="B777" s="160"/>
      <c r="C777" s="160"/>
      <c r="D777" s="160"/>
      <c r="E777" s="160"/>
      <c r="F777" s="160"/>
      <c r="G777" s="160"/>
      <c r="H777" s="163"/>
      <c r="I777" s="164"/>
      <c r="J777" s="163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  <c r="AA777" s="160"/>
      <c r="AB777" s="160"/>
      <c r="AC777" s="160"/>
    </row>
    <row r="778" spans="1:29" ht="14.25" customHeight="1">
      <c r="A778" s="160"/>
      <c r="B778" s="160"/>
      <c r="C778" s="160"/>
      <c r="D778" s="160"/>
      <c r="E778" s="160"/>
      <c r="F778" s="160"/>
      <c r="G778" s="160"/>
      <c r="H778" s="163"/>
      <c r="I778" s="164"/>
      <c r="J778" s="163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  <c r="AA778" s="160"/>
      <c r="AB778" s="160"/>
      <c r="AC778" s="160"/>
    </row>
    <row r="779" spans="1:29" ht="14.25" customHeight="1">
      <c r="A779" s="160"/>
      <c r="B779" s="160"/>
      <c r="C779" s="160"/>
      <c r="D779" s="160"/>
      <c r="E779" s="160"/>
      <c r="F779" s="160"/>
      <c r="G779" s="160"/>
      <c r="H779" s="163"/>
      <c r="I779" s="164"/>
      <c r="J779" s="163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  <c r="AA779" s="160"/>
      <c r="AB779" s="160"/>
      <c r="AC779" s="160"/>
    </row>
    <row r="780" spans="1:29" ht="14.25" customHeight="1">
      <c r="A780" s="160"/>
      <c r="B780" s="160"/>
      <c r="C780" s="160"/>
      <c r="D780" s="160"/>
      <c r="E780" s="160"/>
      <c r="F780" s="160"/>
      <c r="G780" s="160"/>
      <c r="H780" s="163"/>
      <c r="I780" s="164"/>
      <c r="J780" s="163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  <c r="AA780" s="160"/>
      <c r="AB780" s="160"/>
      <c r="AC780" s="160"/>
    </row>
    <row r="781" spans="1:29" ht="14.25" customHeight="1">
      <c r="A781" s="160"/>
      <c r="B781" s="160"/>
      <c r="C781" s="160"/>
      <c r="D781" s="160"/>
      <c r="E781" s="160"/>
      <c r="F781" s="160"/>
      <c r="G781" s="160"/>
      <c r="H781" s="163"/>
      <c r="I781" s="164"/>
      <c r="J781" s="163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  <c r="AA781" s="160"/>
      <c r="AB781" s="160"/>
      <c r="AC781" s="160"/>
    </row>
    <row r="782" spans="1:29" ht="14.25" customHeight="1">
      <c r="A782" s="160"/>
      <c r="B782" s="160"/>
      <c r="C782" s="160"/>
      <c r="D782" s="160"/>
      <c r="E782" s="160"/>
      <c r="F782" s="160"/>
      <c r="G782" s="160"/>
      <c r="H782" s="163"/>
      <c r="I782" s="164"/>
      <c r="J782" s="163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  <c r="AA782" s="160"/>
      <c r="AB782" s="160"/>
      <c r="AC782" s="160"/>
    </row>
    <row r="783" spans="1:29" ht="14.25" customHeight="1">
      <c r="A783" s="160"/>
      <c r="B783" s="160"/>
      <c r="C783" s="160"/>
      <c r="D783" s="160"/>
      <c r="E783" s="160"/>
      <c r="F783" s="160"/>
      <c r="G783" s="160"/>
      <c r="H783" s="163"/>
      <c r="I783" s="164"/>
      <c r="J783" s="163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  <c r="AA783" s="160"/>
      <c r="AB783" s="160"/>
      <c r="AC783" s="160"/>
    </row>
    <row r="784" spans="1:29" ht="14.25" customHeight="1">
      <c r="A784" s="160"/>
      <c r="B784" s="160"/>
      <c r="C784" s="160"/>
      <c r="D784" s="160"/>
      <c r="E784" s="160"/>
      <c r="F784" s="160"/>
      <c r="G784" s="160"/>
      <c r="H784" s="163"/>
      <c r="I784" s="164"/>
      <c r="J784" s="163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  <c r="AA784" s="160"/>
      <c r="AB784" s="160"/>
      <c r="AC784" s="160"/>
    </row>
    <row r="785" spans="1:29" ht="14.25" customHeight="1">
      <c r="A785" s="160"/>
      <c r="B785" s="160"/>
      <c r="C785" s="160"/>
      <c r="D785" s="160"/>
      <c r="E785" s="160"/>
      <c r="F785" s="160"/>
      <c r="G785" s="160"/>
      <c r="H785" s="163"/>
      <c r="I785" s="164"/>
      <c r="J785" s="163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  <c r="AA785" s="160"/>
      <c r="AB785" s="160"/>
      <c r="AC785" s="160"/>
    </row>
    <row r="786" spans="1:29" ht="14.25" customHeight="1">
      <c r="A786" s="160"/>
      <c r="B786" s="160"/>
      <c r="C786" s="160"/>
      <c r="D786" s="160"/>
      <c r="E786" s="160"/>
      <c r="F786" s="160"/>
      <c r="G786" s="160"/>
      <c r="H786" s="163"/>
      <c r="I786" s="164"/>
      <c r="J786" s="163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  <c r="AA786" s="160"/>
      <c r="AB786" s="160"/>
      <c r="AC786" s="160"/>
    </row>
    <row r="787" spans="1:29" ht="14.25" customHeight="1">
      <c r="A787" s="160"/>
      <c r="B787" s="160"/>
      <c r="C787" s="160"/>
      <c r="D787" s="160"/>
      <c r="E787" s="160"/>
      <c r="F787" s="160"/>
      <c r="G787" s="160"/>
      <c r="H787" s="163"/>
      <c r="I787" s="164"/>
      <c r="J787" s="163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  <c r="AA787" s="160"/>
      <c r="AB787" s="160"/>
      <c r="AC787" s="160"/>
    </row>
    <row r="788" spans="1:29" ht="14.25" customHeight="1">
      <c r="A788" s="160"/>
      <c r="B788" s="160"/>
      <c r="C788" s="160"/>
      <c r="D788" s="160"/>
      <c r="E788" s="160"/>
      <c r="F788" s="160"/>
      <c r="G788" s="160"/>
      <c r="H788" s="163"/>
      <c r="I788" s="164"/>
      <c r="J788" s="163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  <c r="AA788" s="160"/>
      <c r="AB788" s="160"/>
      <c r="AC788" s="160"/>
    </row>
    <row r="789" spans="1:29" ht="14.25" customHeight="1">
      <c r="A789" s="160"/>
      <c r="B789" s="160"/>
      <c r="C789" s="160"/>
      <c r="D789" s="160"/>
      <c r="E789" s="160"/>
      <c r="F789" s="160"/>
      <c r="G789" s="160"/>
      <c r="H789" s="163"/>
      <c r="I789" s="164"/>
      <c r="J789" s="163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  <c r="AA789" s="160"/>
      <c r="AB789" s="160"/>
      <c r="AC789" s="160"/>
    </row>
    <row r="790" spans="1:29" ht="14.25" customHeight="1">
      <c r="A790" s="160"/>
      <c r="B790" s="160"/>
      <c r="C790" s="160"/>
      <c r="D790" s="160"/>
      <c r="E790" s="160"/>
      <c r="F790" s="160"/>
      <c r="G790" s="160"/>
      <c r="H790" s="163"/>
      <c r="I790" s="164"/>
      <c r="J790" s="163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  <c r="AA790" s="160"/>
      <c r="AB790" s="160"/>
      <c r="AC790" s="160"/>
    </row>
    <row r="791" spans="1:29" ht="14.25" customHeight="1">
      <c r="A791" s="160"/>
      <c r="B791" s="160"/>
      <c r="C791" s="160"/>
      <c r="D791" s="160"/>
      <c r="E791" s="160"/>
      <c r="F791" s="160"/>
      <c r="G791" s="160"/>
      <c r="H791" s="163"/>
      <c r="I791" s="164"/>
      <c r="J791" s="163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  <c r="AA791" s="160"/>
      <c r="AB791" s="160"/>
      <c r="AC791" s="160"/>
    </row>
    <row r="792" spans="1:29" ht="14.25" customHeight="1">
      <c r="A792" s="160"/>
      <c r="B792" s="160"/>
      <c r="C792" s="160"/>
      <c r="D792" s="160"/>
      <c r="E792" s="160"/>
      <c r="F792" s="160"/>
      <c r="G792" s="160"/>
      <c r="H792" s="163"/>
      <c r="I792" s="164"/>
      <c r="J792" s="163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  <c r="AA792" s="160"/>
      <c r="AB792" s="160"/>
      <c r="AC792" s="160"/>
    </row>
    <row r="793" spans="1:29" ht="14.25" customHeight="1">
      <c r="A793" s="160"/>
      <c r="B793" s="160"/>
      <c r="C793" s="160"/>
      <c r="D793" s="160"/>
      <c r="E793" s="160"/>
      <c r="F793" s="160"/>
      <c r="G793" s="160"/>
      <c r="H793" s="163"/>
      <c r="I793" s="164"/>
      <c r="J793" s="163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  <c r="AA793" s="160"/>
      <c r="AB793" s="160"/>
      <c r="AC793" s="160"/>
    </row>
    <row r="794" spans="1:29" ht="14.25" customHeight="1">
      <c r="A794" s="160"/>
      <c r="B794" s="160"/>
      <c r="C794" s="160"/>
      <c r="D794" s="160"/>
      <c r="E794" s="160"/>
      <c r="F794" s="160"/>
      <c r="G794" s="160"/>
      <c r="H794" s="163"/>
      <c r="I794" s="164"/>
      <c r="J794" s="163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  <c r="AA794" s="160"/>
      <c r="AB794" s="160"/>
      <c r="AC794" s="160"/>
    </row>
    <row r="795" spans="1:29" ht="14.25" customHeight="1">
      <c r="A795" s="160"/>
      <c r="B795" s="160"/>
      <c r="C795" s="160"/>
      <c r="D795" s="160"/>
      <c r="E795" s="160"/>
      <c r="F795" s="160"/>
      <c r="G795" s="160"/>
      <c r="H795" s="163"/>
      <c r="I795" s="164"/>
      <c r="J795" s="163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  <c r="AA795" s="160"/>
      <c r="AB795" s="160"/>
      <c r="AC795" s="160"/>
    </row>
    <row r="796" spans="1:29" ht="14.25" customHeight="1">
      <c r="A796" s="160"/>
      <c r="B796" s="160"/>
      <c r="C796" s="160"/>
      <c r="D796" s="160"/>
      <c r="E796" s="160"/>
      <c r="F796" s="160"/>
      <c r="G796" s="160"/>
      <c r="H796" s="163"/>
      <c r="I796" s="164"/>
      <c r="J796" s="163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  <c r="AA796" s="160"/>
      <c r="AB796" s="160"/>
      <c r="AC796" s="160"/>
    </row>
    <row r="797" spans="1:29" ht="14.25" customHeight="1">
      <c r="A797" s="160"/>
      <c r="B797" s="160"/>
      <c r="C797" s="160"/>
      <c r="D797" s="160"/>
      <c r="E797" s="160"/>
      <c r="F797" s="160"/>
      <c r="G797" s="160"/>
      <c r="H797" s="163"/>
      <c r="I797" s="164"/>
      <c r="J797" s="163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  <c r="AA797" s="160"/>
      <c r="AB797" s="160"/>
      <c r="AC797" s="160"/>
    </row>
    <row r="798" spans="1:29" ht="14.25" customHeight="1">
      <c r="A798" s="160"/>
      <c r="B798" s="160"/>
      <c r="C798" s="160"/>
      <c r="D798" s="160"/>
      <c r="E798" s="160"/>
      <c r="F798" s="160"/>
      <c r="G798" s="160"/>
      <c r="H798" s="163"/>
      <c r="I798" s="164"/>
      <c r="J798" s="163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  <c r="AA798" s="160"/>
      <c r="AB798" s="160"/>
      <c r="AC798" s="160"/>
    </row>
    <row r="799" spans="1:29" ht="14.25" customHeight="1">
      <c r="A799" s="160"/>
      <c r="B799" s="160"/>
      <c r="C799" s="160"/>
      <c r="D799" s="160"/>
      <c r="E799" s="160"/>
      <c r="F799" s="160"/>
      <c r="G799" s="160"/>
      <c r="H799" s="163"/>
      <c r="I799" s="164"/>
      <c r="J799" s="163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  <c r="AA799" s="160"/>
      <c r="AB799" s="160"/>
      <c r="AC799" s="160"/>
    </row>
    <row r="800" spans="1:29" ht="14.25" customHeight="1">
      <c r="A800" s="160"/>
      <c r="B800" s="160"/>
      <c r="C800" s="160"/>
      <c r="D800" s="160"/>
      <c r="E800" s="160"/>
      <c r="F800" s="160"/>
      <c r="G800" s="160"/>
      <c r="H800" s="163"/>
      <c r="I800" s="164"/>
      <c r="J800" s="163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  <c r="AA800" s="160"/>
      <c r="AB800" s="160"/>
      <c r="AC800" s="160"/>
    </row>
    <row r="801" spans="1:29" ht="14.25" customHeight="1">
      <c r="A801" s="160"/>
      <c r="B801" s="160"/>
      <c r="C801" s="160"/>
      <c r="D801" s="160"/>
      <c r="E801" s="160"/>
      <c r="F801" s="160"/>
      <c r="G801" s="160"/>
      <c r="H801" s="163"/>
      <c r="I801" s="164"/>
      <c r="J801" s="163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  <c r="AA801" s="160"/>
      <c r="AB801" s="160"/>
      <c r="AC801" s="160"/>
    </row>
    <row r="802" spans="1:29" ht="14.25" customHeight="1">
      <c r="A802" s="160"/>
      <c r="B802" s="160"/>
      <c r="C802" s="160"/>
      <c r="D802" s="160"/>
      <c r="E802" s="160"/>
      <c r="F802" s="160"/>
      <c r="G802" s="160"/>
      <c r="H802" s="163"/>
      <c r="I802" s="164"/>
      <c r="J802" s="163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  <c r="AA802" s="160"/>
      <c r="AB802" s="160"/>
      <c r="AC802" s="160"/>
    </row>
    <row r="803" spans="1:29" ht="14.25" customHeight="1">
      <c r="A803" s="160"/>
      <c r="B803" s="160"/>
      <c r="C803" s="160"/>
      <c r="D803" s="160"/>
      <c r="E803" s="160"/>
      <c r="F803" s="160"/>
      <c r="G803" s="160"/>
      <c r="H803" s="163"/>
      <c r="I803" s="164"/>
      <c r="J803" s="163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  <c r="AA803" s="160"/>
      <c r="AB803" s="160"/>
      <c r="AC803" s="160"/>
    </row>
    <row r="804" spans="1:29" ht="14.25" customHeight="1">
      <c r="A804" s="160"/>
      <c r="B804" s="160"/>
      <c r="C804" s="160"/>
      <c r="D804" s="160"/>
      <c r="E804" s="160"/>
      <c r="F804" s="160"/>
      <c r="G804" s="160"/>
      <c r="H804" s="163"/>
      <c r="I804" s="164"/>
      <c r="J804" s="163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  <c r="AA804" s="160"/>
      <c r="AB804" s="160"/>
      <c r="AC804" s="160"/>
    </row>
    <row r="805" spans="1:29" ht="14.25" customHeight="1">
      <c r="A805" s="160"/>
      <c r="B805" s="160"/>
      <c r="C805" s="160"/>
      <c r="D805" s="160"/>
      <c r="E805" s="160"/>
      <c r="F805" s="160"/>
      <c r="G805" s="160"/>
      <c r="H805" s="163"/>
      <c r="I805" s="164"/>
      <c r="J805" s="163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  <c r="AA805" s="160"/>
      <c r="AB805" s="160"/>
      <c r="AC805" s="160"/>
    </row>
    <row r="806" spans="1:29" ht="14.25" customHeight="1">
      <c r="A806" s="160"/>
      <c r="B806" s="160"/>
      <c r="C806" s="160"/>
      <c r="D806" s="160"/>
      <c r="E806" s="160"/>
      <c r="F806" s="160"/>
      <c r="G806" s="160"/>
      <c r="H806" s="163"/>
      <c r="I806" s="164"/>
      <c r="J806" s="163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  <c r="AA806" s="160"/>
      <c r="AB806" s="160"/>
      <c r="AC806" s="160"/>
    </row>
    <row r="807" spans="1:29" ht="14.25" customHeight="1">
      <c r="A807" s="160"/>
      <c r="B807" s="160"/>
      <c r="C807" s="160"/>
      <c r="D807" s="160"/>
      <c r="E807" s="160"/>
      <c r="F807" s="160"/>
      <c r="G807" s="160"/>
      <c r="H807" s="163"/>
      <c r="I807" s="164"/>
      <c r="J807" s="163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  <c r="AA807" s="160"/>
      <c r="AB807" s="160"/>
      <c r="AC807" s="160"/>
    </row>
    <row r="808" spans="1:29" ht="14.25" customHeight="1">
      <c r="A808" s="160"/>
      <c r="B808" s="160"/>
      <c r="C808" s="160"/>
      <c r="D808" s="160"/>
      <c r="E808" s="160"/>
      <c r="F808" s="160"/>
      <c r="G808" s="160"/>
      <c r="H808" s="163"/>
      <c r="I808" s="164"/>
      <c r="J808" s="163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  <c r="AA808" s="160"/>
      <c r="AB808" s="160"/>
      <c r="AC808" s="160"/>
    </row>
    <row r="809" spans="1:29" ht="14.25" customHeight="1">
      <c r="A809" s="160"/>
      <c r="B809" s="160"/>
      <c r="C809" s="160"/>
      <c r="D809" s="160"/>
      <c r="E809" s="160"/>
      <c r="F809" s="160"/>
      <c r="G809" s="160"/>
      <c r="H809" s="163"/>
      <c r="I809" s="164"/>
      <c r="J809" s="163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  <c r="AA809" s="160"/>
      <c r="AB809" s="160"/>
      <c r="AC809" s="160"/>
    </row>
    <row r="810" spans="1:29" ht="14.25" customHeight="1">
      <c r="A810" s="160"/>
      <c r="B810" s="160"/>
      <c r="C810" s="160"/>
      <c r="D810" s="160"/>
      <c r="E810" s="160"/>
      <c r="F810" s="160"/>
      <c r="G810" s="160"/>
      <c r="H810" s="163"/>
      <c r="I810" s="164"/>
      <c r="J810" s="163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  <c r="AA810" s="160"/>
      <c r="AB810" s="160"/>
      <c r="AC810" s="160"/>
    </row>
    <row r="811" spans="1:29" ht="14.25" customHeight="1">
      <c r="A811" s="160"/>
      <c r="B811" s="160"/>
      <c r="C811" s="160"/>
      <c r="D811" s="160"/>
      <c r="E811" s="160"/>
      <c r="F811" s="160"/>
      <c r="G811" s="160"/>
      <c r="H811" s="163"/>
      <c r="I811" s="164"/>
      <c r="J811" s="163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  <c r="AA811" s="160"/>
      <c r="AB811" s="160"/>
      <c r="AC811" s="160"/>
    </row>
    <row r="812" spans="1:29" ht="14.25" customHeight="1">
      <c r="A812" s="160"/>
      <c r="B812" s="160"/>
      <c r="C812" s="160"/>
      <c r="D812" s="160"/>
      <c r="E812" s="160"/>
      <c r="F812" s="160"/>
      <c r="G812" s="160"/>
      <c r="H812" s="163"/>
      <c r="I812" s="164"/>
      <c r="J812" s="163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  <c r="AA812" s="160"/>
      <c r="AB812" s="160"/>
      <c r="AC812" s="160"/>
    </row>
    <row r="813" spans="1:29" ht="14.25" customHeight="1">
      <c r="A813" s="160"/>
      <c r="B813" s="160"/>
      <c r="C813" s="160"/>
      <c r="D813" s="160"/>
      <c r="E813" s="160"/>
      <c r="F813" s="160"/>
      <c r="G813" s="160"/>
      <c r="H813" s="163"/>
      <c r="I813" s="164"/>
      <c r="J813" s="163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  <c r="AA813" s="160"/>
      <c r="AB813" s="160"/>
      <c r="AC813" s="160"/>
    </row>
    <row r="814" spans="1:29" ht="14.25" customHeight="1">
      <c r="A814" s="160"/>
      <c r="B814" s="160"/>
      <c r="C814" s="160"/>
      <c r="D814" s="160"/>
      <c r="E814" s="160"/>
      <c r="F814" s="160"/>
      <c r="G814" s="160"/>
      <c r="H814" s="163"/>
      <c r="I814" s="164"/>
      <c r="J814" s="163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  <c r="AA814" s="160"/>
      <c r="AB814" s="160"/>
      <c r="AC814" s="160"/>
    </row>
    <row r="815" spans="1:29" ht="14.25" customHeight="1">
      <c r="A815" s="160"/>
      <c r="B815" s="160"/>
      <c r="C815" s="160"/>
      <c r="D815" s="160"/>
      <c r="E815" s="160"/>
      <c r="F815" s="160"/>
      <c r="G815" s="160"/>
      <c r="H815" s="163"/>
      <c r="I815" s="164"/>
      <c r="J815" s="163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  <c r="AA815" s="160"/>
      <c r="AB815" s="160"/>
      <c r="AC815" s="160"/>
    </row>
    <row r="816" spans="1:29" ht="14.25" customHeight="1">
      <c r="A816" s="160"/>
      <c r="B816" s="160"/>
      <c r="C816" s="160"/>
      <c r="D816" s="160"/>
      <c r="E816" s="160"/>
      <c r="F816" s="160"/>
      <c r="G816" s="160"/>
      <c r="H816" s="163"/>
      <c r="I816" s="164"/>
      <c r="J816" s="163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  <c r="AA816" s="160"/>
      <c r="AB816" s="160"/>
      <c r="AC816" s="160"/>
    </row>
    <row r="817" spans="1:29" ht="14.25" customHeight="1">
      <c r="A817" s="160"/>
      <c r="B817" s="160"/>
      <c r="C817" s="160"/>
      <c r="D817" s="160"/>
      <c r="E817" s="160"/>
      <c r="F817" s="160"/>
      <c r="G817" s="160"/>
      <c r="H817" s="163"/>
      <c r="I817" s="164"/>
      <c r="J817" s="163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  <c r="AA817" s="160"/>
      <c r="AB817" s="160"/>
      <c r="AC817" s="160"/>
    </row>
    <row r="818" spans="1:29" ht="14.25" customHeight="1">
      <c r="A818" s="160"/>
      <c r="B818" s="160"/>
      <c r="C818" s="160"/>
      <c r="D818" s="160"/>
      <c r="E818" s="160"/>
      <c r="F818" s="160"/>
      <c r="G818" s="160"/>
      <c r="H818" s="163"/>
      <c r="I818" s="164"/>
      <c r="J818" s="163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  <c r="AA818" s="160"/>
      <c r="AB818" s="160"/>
      <c r="AC818" s="160"/>
    </row>
    <row r="819" spans="1:29" ht="14.25" customHeight="1">
      <c r="A819" s="160"/>
      <c r="B819" s="160"/>
      <c r="C819" s="160"/>
      <c r="D819" s="160"/>
      <c r="E819" s="160"/>
      <c r="F819" s="160"/>
      <c r="G819" s="160"/>
      <c r="H819" s="163"/>
      <c r="I819" s="164"/>
      <c r="J819" s="163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  <c r="AA819" s="160"/>
      <c r="AB819" s="160"/>
      <c r="AC819" s="160"/>
    </row>
    <row r="820" spans="1:29" ht="14.25" customHeight="1">
      <c r="A820" s="160"/>
      <c r="B820" s="160"/>
      <c r="C820" s="160"/>
      <c r="D820" s="160"/>
      <c r="E820" s="160"/>
      <c r="F820" s="160"/>
      <c r="G820" s="160"/>
      <c r="H820" s="163"/>
      <c r="I820" s="164"/>
      <c r="J820" s="163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  <c r="AA820" s="160"/>
      <c r="AB820" s="160"/>
      <c r="AC820" s="160"/>
    </row>
    <row r="821" spans="1:29" ht="14.25" customHeight="1">
      <c r="A821" s="160"/>
      <c r="B821" s="160"/>
      <c r="C821" s="160"/>
      <c r="D821" s="160"/>
      <c r="E821" s="160"/>
      <c r="F821" s="160"/>
      <c r="G821" s="160"/>
      <c r="H821" s="163"/>
      <c r="I821" s="164"/>
      <c r="J821" s="163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  <c r="AA821" s="160"/>
      <c r="AB821" s="160"/>
      <c r="AC821" s="160"/>
    </row>
    <row r="822" spans="1:29" ht="14.25" customHeight="1">
      <c r="A822" s="160"/>
      <c r="B822" s="160"/>
      <c r="C822" s="160"/>
      <c r="D822" s="160"/>
      <c r="E822" s="160"/>
      <c r="F822" s="160"/>
      <c r="G822" s="160"/>
      <c r="H822" s="163"/>
      <c r="I822" s="164"/>
      <c r="J822" s="163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  <c r="AA822" s="160"/>
      <c r="AB822" s="160"/>
      <c r="AC822" s="160"/>
    </row>
    <row r="823" spans="1:29" ht="14.25" customHeight="1">
      <c r="A823" s="160"/>
      <c r="B823" s="160"/>
      <c r="C823" s="160"/>
      <c r="D823" s="160"/>
      <c r="E823" s="160"/>
      <c r="F823" s="160"/>
      <c r="G823" s="160"/>
      <c r="H823" s="163"/>
      <c r="I823" s="164"/>
      <c r="J823" s="163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  <c r="AA823" s="160"/>
      <c r="AB823" s="160"/>
      <c r="AC823" s="160"/>
    </row>
    <row r="824" spans="1:29" ht="14.25" customHeight="1">
      <c r="A824" s="160"/>
      <c r="B824" s="160"/>
      <c r="C824" s="160"/>
      <c r="D824" s="160"/>
      <c r="E824" s="160"/>
      <c r="F824" s="160"/>
      <c r="G824" s="160"/>
      <c r="H824" s="163"/>
      <c r="I824" s="164"/>
      <c r="J824" s="163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  <c r="AA824" s="160"/>
      <c r="AB824" s="160"/>
      <c r="AC824" s="160"/>
    </row>
    <row r="825" spans="1:29" ht="14.25" customHeight="1">
      <c r="A825" s="160"/>
      <c r="B825" s="160"/>
      <c r="C825" s="160"/>
      <c r="D825" s="160"/>
      <c r="E825" s="160"/>
      <c r="F825" s="160"/>
      <c r="G825" s="160"/>
      <c r="H825" s="163"/>
      <c r="I825" s="164"/>
      <c r="J825" s="163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  <c r="AA825" s="160"/>
      <c r="AB825" s="160"/>
      <c r="AC825" s="160"/>
    </row>
    <row r="826" spans="1:29" ht="14.25" customHeight="1">
      <c r="A826" s="160"/>
      <c r="B826" s="160"/>
      <c r="C826" s="160"/>
      <c r="D826" s="160"/>
      <c r="E826" s="160"/>
      <c r="F826" s="160"/>
      <c r="G826" s="160"/>
      <c r="H826" s="163"/>
      <c r="I826" s="164"/>
      <c r="J826" s="163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  <c r="AA826" s="160"/>
      <c r="AB826" s="160"/>
      <c r="AC826" s="160"/>
    </row>
    <row r="827" spans="1:29" ht="14.25" customHeight="1">
      <c r="A827" s="160"/>
      <c r="B827" s="160"/>
      <c r="C827" s="160"/>
      <c r="D827" s="160"/>
      <c r="E827" s="160"/>
      <c r="F827" s="160"/>
      <c r="G827" s="160"/>
      <c r="H827" s="163"/>
      <c r="I827" s="164"/>
      <c r="J827" s="163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  <c r="AA827" s="160"/>
      <c r="AB827" s="160"/>
      <c r="AC827" s="160"/>
    </row>
    <row r="828" spans="1:29" ht="14.25" customHeight="1">
      <c r="A828" s="160"/>
      <c r="B828" s="160"/>
      <c r="C828" s="160"/>
      <c r="D828" s="160"/>
      <c r="E828" s="160"/>
      <c r="F828" s="160"/>
      <c r="G828" s="160"/>
      <c r="H828" s="163"/>
      <c r="I828" s="164"/>
      <c r="J828" s="163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  <c r="AA828" s="160"/>
      <c r="AB828" s="160"/>
      <c r="AC828" s="160"/>
    </row>
    <row r="829" spans="1:29" ht="14.25" customHeight="1">
      <c r="A829" s="160"/>
      <c r="B829" s="160"/>
      <c r="C829" s="160"/>
      <c r="D829" s="160"/>
      <c r="E829" s="160"/>
      <c r="F829" s="160"/>
      <c r="G829" s="160"/>
      <c r="H829" s="163"/>
      <c r="I829" s="164"/>
      <c r="J829" s="163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  <c r="AA829" s="160"/>
      <c r="AB829" s="160"/>
      <c r="AC829" s="160"/>
    </row>
    <row r="830" spans="1:29" ht="14.25" customHeight="1">
      <c r="A830" s="160"/>
      <c r="B830" s="160"/>
      <c r="C830" s="160"/>
      <c r="D830" s="160"/>
      <c r="E830" s="160"/>
      <c r="F830" s="160"/>
      <c r="G830" s="160"/>
      <c r="H830" s="163"/>
      <c r="I830" s="164"/>
      <c r="J830" s="163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  <c r="AA830" s="160"/>
      <c r="AB830" s="160"/>
      <c r="AC830" s="160"/>
    </row>
    <row r="831" spans="1:29" ht="14.25" customHeight="1">
      <c r="A831" s="160"/>
      <c r="B831" s="160"/>
      <c r="C831" s="160"/>
      <c r="D831" s="160"/>
      <c r="E831" s="160"/>
      <c r="F831" s="160"/>
      <c r="G831" s="160"/>
      <c r="H831" s="163"/>
      <c r="I831" s="164"/>
      <c r="J831" s="163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  <c r="AA831" s="160"/>
      <c r="AB831" s="160"/>
      <c r="AC831" s="160"/>
    </row>
    <row r="832" spans="1:29" ht="14.25" customHeight="1">
      <c r="A832" s="160"/>
      <c r="B832" s="160"/>
      <c r="C832" s="160"/>
      <c r="D832" s="160"/>
      <c r="E832" s="160"/>
      <c r="F832" s="160"/>
      <c r="G832" s="160"/>
      <c r="H832" s="163"/>
      <c r="I832" s="164"/>
      <c r="J832" s="163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  <c r="AA832" s="160"/>
      <c r="AB832" s="160"/>
      <c r="AC832" s="160"/>
    </row>
    <row r="833" spans="1:29" ht="14.25" customHeight="1">
      <c r="A833" s="160"/>
      <c r="B833" s="160"/>
      <c r="C833" s="160"/>
      <c r="D833" s="160"/>
      <c r="E833" s="160"/>
      <c r="F833" s="160"/>
      <c r="G833" s="160"/>
      <c r="H833" s="163"/>
      <c r="I833" s="164"/>
      <c r="J833" s="163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  <c r="AA833" s="160"/>
      <c r="AB833" s="160"/>
      <c r="AC833" s="160"/>
    </row>
    <row r="834" spans="1:29" ht="14.25" customHeight="1">
      <c r="A834" s="160"/>
      <c r="B834" s="160"/>
      <c r="C834" s="160"/>
      <c r="D834" s="160"/>
      <c r="E834" s="160"/>
      <c r="F834" s="160"/>
      <c r="G834" s="160"/>
      <c r="H834" s="163"/>
      <c r="I834" s="164"/>
      <c r="J834" s="163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  <c r="AA834" s="160"/>
      <c r="AB834" s="160"/>
      <c r="AC834" s="160"/>
    </row>
    <row r="835" spans="1:29" ht="14.25" customHeight="1">
      <c r="A835" s="160"/>
      <c r="B835" s="160"/>
      <c r="C835" s="160"/>
      <c r="D835" s="160"/>
      <c r="E835" s="160"/>
      <c r="F835" s="160"/>
      <c r="G835" s="160"/>
      <c r="H835" s="163"/>
      <c r="I835" s="164"/>
      <c r="J835" s="163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  <c r="AA835" s="160"/>
      <c r="AB835" s="160"/>
      <c r="AC835" s="160"/>
    </row>
    <row r="836" spans="1:29" ht="14.25" customHeight="1">
      <c r="A836" s="160"/>
      <c r="B836" s="160"/>
      <c r="C836" s="160"/>
      <c r="D836" s="160"/>
      <c r="E836" s="160"/>
      <c r="F836" s="160"/>
      <c r="G836" s="160"/>
      <c r="H836" s="163"/>
      <c r="I836" s="164"/>
      <c r="J836" s="163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  <c r="AA836" s="160"/>
      <c r="AB836" s="160"/>
      <c r="AC836" s="160"/>
    </row>
    <row r="837" spans="1:29" ht="14.25" customHeight="1">
      <c r="A837" s="160"/>
      <c r="B837" s="160"/>
      <c r="C837" s="160"/>
      <c r="D837" s="160"/>
      <c r="E837" s="160"/>
      <c r="F837" s="160"/>
      <c r="G837" s="160"/>
      <c r="H837" s="163"/>
      <c r="I837" s="164"/>
      <c r="J837" s="163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  <c r="AA837" s="160"/>
      <c r="AB837" s="160"/>
      <c r="AC837" s="160"/>
    </row>
    <row r="838" spans="1:29" ht="14.25" customHeight="1">
      <c r="A838" s="160"/>
      <c r="B838" s="160"/>
      <c r="C838" s="160"/>
      <c r="D838" s="160"/>
      <c r="E838" s="160"/>
      <c r="F838" s="160"/>
      <c r="G838" s="160"/>
      <c r="H838" s="163"/>
      <c r="I838" s="164"/>
      <c r="J838" s="163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  <c r="AA838" s="160"/>
      <c r="AB838" s="160"/>
      <c r="AC838" s="160"/>
    </row>
    <row r="839" spans="1:29" ht="14.25" customHeight="1">
      <c r="A839" s="160"/>
      <c r="B839" s="160"/>
      <c r="C839" s="160"/>
      <c r="D839" s="160"/>
      <c r="E839" s="160"/>
      <c r="F839" s="160"/>
      <c r="G839" s="160"/>
      <c r="H839" s="163"/>
      <c r="I839" s="164"/>
      <c r="J839" s="163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  <c r="AA839" s="160"/>
      <c r="AB839" s="160"/>
      <c r="AC839" s="160"/>
    </row>
    <row r="840" spans="1:29" ht="14.25" customHeight="1">
      <c r="A840" s="160"/>
      <c r="B840" s="160"/>
      <c r="C840" s="160"/>
      <c r="D840" s="160"/>
      <c r="E840" s="160"/>
      <c r="F840" s="160"/>
      <c r="G840" s="160"/>
      <c r="H840" s="163"/>
      <c r="I840" s="164"/>
      <c r="J840" s="163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  <c r="AA840" s="160"/>
      <c r="AB840" s="160"/>
      <c r="AC840" s="160"/>
    </row>
    <row r="841" spans="1:29" ht="14.25" customHeight="1">
      <c r="A841" s="160"/>
      <c r="B841" s="160"/>
      <c r="C841" s="160"/>
      <c r="D841" s="160"/>
      <c r="E841" s="160"/>
      <c r="F841" s="160"/>
      <c r="G841" s="160"/>
      <c r="H841" s="163"/>
      <c r="I841" s="164"/>
      <c r="J841" s="163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  <c r="AA841" s="160"/>
      <c r="AB841" s="160"/>
      <c r="AC841" s="160"/>
    </row>
    <row r="842" spans="1:29" ht="14.25" customHeight="1">
      <c r="A842" s="160"/>
      <c r="B842" s="160"/>
      <c r="C842" s="160"/>
      <c r="D842" s="160"/>
      <c r="E842" s="160"/>
      <c r="F842" s="160"/>
      <c r="G842" s="160"/>
      <c r="H842" s="163"/>
      <c r="I842" s="164"/>
      <c r="J842" s="163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  <c r="AA842" s="160"/>
      <c r="AB842" s="160"/>
      <c r="AC842" s="160"/>
    </row>
    <row r="843" spans="1:29" ht="14.25" customHeight="1">
      <c r="A843" s="160"/>
      <c r="B843" s="160"/>
      <c r="C843" s="160"/>
      <c r="D843" s="160"/>
      <c r="E843" s="160"/>
      <c r="F843" s="160"/>
      <c r="G843" s="160"/>
      <c r="H843" s="163"/>
      <c r="I843" s="164"/>
      <c r="J843" s="163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  <c r="AA843" s="160"/>
      <c r="AB843" s="160"/>
      <c r="AC843" s="160"/>
    </row>
    <row r="844" spans="1:29" ht="14.25" customHeight="1">
      <c r="A844" s="160"/>
      <c r="B844" s="160"/>
      <c r="C844" s="160"/>
      <c r="D844" s="160"/>
      <c r="E844" s="160"/>
      <c r="F844" s="160"/>
      <c r="G844" s="160"/>
      <c r="H844" s="163"/>
      <c r="I844" s="164"/>
      <c r="J844" s="163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  <c r="AA844" s="160"/>
      <c r="AB844" s="160"/>
      <c r="AC844" s="160"/>
    </row>
    <row r="845" spans="1:29" ht="14.25" customHeight="1">
      <c r="A845" s="160"/>
      <c r="B845" s="160"/>
      <c r="C845" s="160"/>
      <c r="D845" s="160"/>
      <c r="E845" s="160"/>
      <c r="F845" s="160"/>
      <c r="G845" s="160"/>
      <c r="H845" s="163"/>
      <c r="I845" s="164"/>
      <c r="J845" s="163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  <c r="AA845" s="160"/>
      <c r="AB845" s="160"/>
      <c r="AC845" s="160"/>
    </row>
    <row r="846" spans="1:29" ht="14.25" customHeight="1">
      <c r="A846" s="160"/>
      <c r="B846" s="160"/>
      <c r="C846" s="160"/>
      <c r="D846" s="160"/>
      <c r="E846" s="160"/>
      <c r="F846" s="160"/>
      <c r="G846" s="160"/>
      <c r="H846" s="163"/>
      <c r="I846" s="164"/>
      <c r="J846" s="163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  <c r="AA846" s="160"/>
      <c r="AB846" s="160"/>
      <c r="AC846" s="160"/>
    </row>
    <row r="847" spans="1:29" ht="14.25" customHeight="1">
      <c r="A847" s="160"/>
      <c r="B847" s="160"/>
      <c r="C847" s="160"/>
      <c r="D847" s="160"/>
      <c r="E847" s="160"/>
      <c r="F847" s="160"/>
      <c r="G847" s="160"/>
      <c r="H847" s="163"/>
      <c r="I847" s="164"/>
      <c r="J847" s="163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  <c r="AA847" s="160"/>
      <c r="AB847" s="160"/>
      <c r="AC847" s="160"/>
    </row>
    <row r="848" spans="1:29" ht="14.25" customHeight="1">
      <c r="A848" s="160"/>
      <c r="B848" s="160"/>
      <c r="C848" s="160"/>
      <c r="D848" s="160"/>
      <c r="E848" s="160"/>
      <c r="F848" s="160"/>
      <c r="G848" s="160"/>
      <c r="H848" s="163"/>
      <c r="I848" s="164"/>
      <c r="J848" s="163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  <c r="AA848" s="160"/>
      <c r="AB848" s="160"/>
      <c r="AC848" s="160"/>
    </row>
    <row r="849" spans="1:29" ht="14.25" customHeight="1">
      <c r="A849" s="160"/>
      <c r="B849" s="160"/>
      <c r="C849" s="160"/>
      <c r="D849" s="160"/>
      <c r="E849" s="160"/>
      <c r="F849" s="160"/>
      <c r="G849" s="160"/>
      <c r="H849" s="163"/>
      <c r="I849" s="164"/>
      <c r="J849" s="163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  <c r="AA849" s="160"/>
      <c r="AB849" s="160"/>
      <c r="AC849" s="160"/>
    </row>
    <row r="850" spans="1:29" ht="14.25" customHeight="1">
      <c r="A850" s="160"/>
      <c r="B850" s="160"/>
      <c r="C850" s="160"/>
      <c r="D850" s="160"/>
      <c r="E850" s="160"/>
      <c r="F850" s="160"/>
      <c r="G850" s="160"/>
      <c r="H850" s="163"/>
      <c r="I850" s="164"/>
      <c r="J850" s="163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  <c r="AA850" s="160"/>
      <c r="AB850" s="160"/>
      <c r="AC850" s="160"/>
    </row>
    <row r="851" spans="1:29" ht="14.25" customHeight="1">
      <c r="A851" s="160"/>
      <c r="B851" s="160"/>
      <c r="C851" s="160"/>
      <c r="D851" s="160"/>
      <c r="E851" s="160"/>
      <c r="F851" s="160"/>
      <c r="G851" s="160"/>
      <c r="H851" s="163"/>
      <c r="I851" s="164"/>
      <c r="J851" s="163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  <c r="AA851" s="160"/>
      <c r="AB851" s="160"/>
      <c r="AC851" s="160"/>
    </row>
    <row r="852" spans="1:29" ht="14.25" customHeight="1">
      <c r="A852" s="160"/>
      <c r="B852" s="160"/>
      <c r="C852" s="160"/>
      <c r="D852" s="160"/>
      <c r="E852" s="160"/>
      <c r="F852" s="160"/>
      <c r="G852" s="160"/>
      <c r="H852" s="163"/>
      <c r="I852" s="164"/>
      <c r="J852" s="163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  <c r="AA852" s="160"/>
      <c r="AB852" s="160"/>
      <c r="AC852" s="160"/>
    </row>
    <row r="853" spans="1:29" ht="14.25" customHeight="1">
      <c r="A853" s="160"/>
      <c r="B853" s="160"/>
      <c r="C853" s="160"/>
      <c r="D853" s="160"/>
      <c r="E853" s="160"/>
      <c r="F853" s="160"/>
      <c r="G853" s="160"/>
      <c r="H853" s="163"/>
      <c r="I853" s="164"/>
      <c r="J853" s="163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  <c r="AA853" s="160"/>
      <c r="AB853" s="160"/>
      <c r="AC853" s="160"/>
    </row>
    <row r="854" spans="1:29" ht="14.25" customHeight="1">
      <c r="A854" s="160"/>
      <c r="B854" s="160"/>
      <c r="C854" s="160"/>
      <c r="D854" s="160"/>
      <c r="E854" s="160"/>
      <c r="F854" s="160"/>
      <c r="G854" s="160"/>
      <c r="H854" s="163"/>
      <c r="I854" s="164"/>
      <c r="J854" s="163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  <c r="AA854" s="160"/>
      <c r="AB854" s="160"/>
      <c r="AC854" s="160"/>
    </row>
    <row r="855" spans="1:29" ht="14.25" customHeight="1">
      <c r="A855" s="160"/>
      <c r="B855" s="160"/>
      <c r="C855" s="160"/>
      <c r="D855" s="160"/>
      <c r="E855" s="160"/>
      <c r="F855" s="160"/>
      <c r="G855" s="160"/>
      <c r="H855" s="163"/>
      <c r="I855" s="164"/>
      <c r="J855" s="163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  <c r="AA855" s="160"/>
      <c r="AB855" s="160"/>
      <c r="AC855" s="160"/>
    </row>
    <row r="856" spans="1:29" ht="14.25" customHeight="1">
      <c r="A856" s="160"/>
      <c r="B856" s="160"/>
      <c r="C856" s="160"/>
      <c r="D856" s="160"/>
      <c r="E856" s="160"/>
      <c r="F856" s="160"/>
      <c r="G856" s="160"/>
      <c r="H856" s="163"/>
      <c r="I856" s="164"/>
      <c r="J856" s="163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  <c r="AA856" s="160"/>
      <c r="AB856" s="160"/>
      <c r="AC856" s="160"/>
    </row>
    <row r="857" spans="1:29" ht="14.25" customHeight="1">
      <c r="A857" s="160"/>
      <c r="B857" s="160"/>
      <c r="C857" s="160"/>
      <c r="D857" s="160"/>
      <c r="E857" s="160"/>
      <c r="F857" s="160"/>
      <c r="G857" s="160"/>
      <c r="H857" s="163"/>
      <c r="I857" s="164"/>
      <c r="J857" s="163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  <c r="AA857" s="160"/>
      <c r="AB857" s="160"/>
      <c r="AC857" s="160"/>
    </row>
    <row r="858" spans="1:29" ht="14.25" customHeight="1">
      <c r="A858" s="160"/>
      <c r="B858" s="160"/>
      <c r="C858" s="160"/>
      <c r="D858" s="160"/>
      <c r="E858" s="160"/>
      <c r="F858" s="160"/>
      <c r="G858" s="160"/>
      <c r="H858" s="163"/>
      <c r="I858" s="164"/>
      <c r="J858" s="163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  <c r="AA858" s="160"/>
      <c r="AB858" s="160"/>
      <c r="AC858" s="160"/>
    </row>
    <row r="859" spans="1:29" ht="14.25" customHeight="1">
      <c r="A859" s="160"/>
      <c r="B859" s="160"/>
      <c r="C859" s="160"/>
      <c r="D859" s="160"/>
      <c r="E859" s="160"/>
      <c r="F859" s="160"/>
      <c r="G859" s="160"/>
      <c r="H859" s="163"/>
      <c r="I859" s="164"/>
      <c r="J859" s="163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  <c r="AA859" s="160"/>
      <c r="AB859" s="160"/>
      <c r="AC859" s="160"/>
    </row>
    <row r="860" spans="1:29" ht="14.25" customHeight="1">
      <c r="A860" s="160"/>
      <c r="B860" s="160"/>
      <c r="C860" s="160"/>
      <c r="D860" s="160"/>
      <c r="E860" s="160"/>
      <c r="F860" s="160"/>
      <c r="G860" s="160"/>
      <c r="H860" s="163"/>
      <c r="I860" s="164"/>
      <c r="J860" s="163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  <c r="AA860" s="160"/>
      <c r="AB860" s="160"/>
      <c r="AC860" s="160"/>
    </row>
    <row r="861" spans="1:29" ht="14.25" customHeight="1">
      <c r="A861" s="160"/>
      <c r="B861" s="160"/>
      <c r="C861" s="160"/>
      <c r="D861" s="160"/>
      <c r="E861" s="160"/>
      <c r="F861" s="160"/>
      <c r="G861" s="160"/>
      <c r="H861" s="163"/>
      <c r="I861" s="164"/>
      <c r="J861" s="163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  <c r="AA861" s="160"/>
      <c r="AB861" s="160"/>
      <c r="AC861" s="160"/>
    </row>
    <row r="862" spans="1:29" ht="14.25" customHeight="1">
      <c r="A862" s="160"/>
      <c r="B862" s="160"/>
      <c r="C862" s="160"/>
      <c r="D862" s="160"/>
      <c r="E862" s="160"/>
      <c r="F862" s="160"/>
      <c r="G862" s="160"/>
      <c r="H862" s="163"/>
      <c r="I862" s="164"/>
      <c r="J862" s="163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  <c r="AA862" s="160"/>
      <c r="AB862" s="160"/>
      <c r="AC862" s="160"/>
    </row>
    <row r="863" spans="1:29" ht="14.25" customHeight="1">
      <c r="A863" s="160"/>
      <c r="B863" s="160"/>
      <c r="C863" s="160"/>
      <c r="D863" s="160"/>
      <c r="E863" s="160"/>
      <c r="F863" s="160"/>
      <c r="G863" s="160"/>
      <c r="H863" s="163"/>
      <c r="I863" s="164"/>
      <c r="J863" s="163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  <c r="AA863" s="160"/>
      <c r="AB863" s="160"/>
      <c r="AC863" s="160"/>
    </row>
    <row r="864" spans="1:29" ht="14.25" customHeight="1">
      <c r="A864" s="160"/>
      <c r="B864" s="160"/>
      <c r="C864" s="160"/>
      <c r="D864" s="160"/>
      <c r="E864" s="160"/>
      <c r="F864" s="160"/>
      <c r="G864" s="160"/>
      <c r="H864" s="163"/>
      <c r="I864" s="164"/>
      <c r="J864" s="163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  <c r="AA864" s="160"/>
      <c r="AB864" s="160"/>
      <c r="AC864" s="160"/>
    </row>
    <row r="865" spans="1:29" ht="14.25" customHeight="1">
      <c r="A865" s="160"/>
      <c r="B865" s="160"/>
      <c r="C865" s="160"/>
      <c r="D865" s="160"/>
      <c r="E865" s="160"/>
      <c r="F865" s="160"/>
      <c r="G865" s="160"/>
      <c r="H865" s="163"/>
      <c r="I865" s="164"/>
      <c r="J865" s="163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  <c r="AA865" s="160"/>
      <c r="AB865" s="160"/>
      <c r="AC865" s="160"/>
    </row>
    <row r="866" spans="1:29" ht="14.25" customHeight="1">
      <c r="A866" s="160"/>
      <c r="B866" s="160"/>
      <c r="C866" s="160"/>
      <c r="D866" s="160"/>
      <c r="E866" s="160"/>
      <c r="F866" s="160"/>
      <c r="G866" s="160"/>
      <c r="H866" s="163"/>
      <c r="I866" s="164"/>
      <c r="J866" s="163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  <c r="AA866" s="160"/>
      <c r="AB866" s="160"/>
      <c r="AC866" s="160"/>
    </row>
    <row r="867" spans="1:29" ht="14.25" customHeight="1">
      <c r="A867" s="160"/>
      <c r="B867" s="160"/>
      <c r="C867" s="160"/>
      <c r="D867" s="160"/>
      <c r="E867" s="160"/>
      <c r="F867" s="160"/>
      <c r="G867" s="160"/>
      <c r="H867" s="163"/>
      <c r="I867" s="164"/>
      <c r="J867" s="163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  <c r="AA867" s="160"/>
      <c r="AB867" s="160"/>
      <c r="AC867" s="160"/>
    </row>
    <row r="868" spans="1:29" ht="14.25" customHeight="1">
      <c r="A868" s="160"/>
      <c r="B868" s="160"/>
      <c r="C868" s="160"/>
      <c r="D868" s="160"/>
      <c r="E868" s="160"/>
      <c r="F868" s="160"/>
      <c r="G868" s="160"/>
      <c r="H868" s="163"/>
      <c r="I868" s="164"/>
      <c r="J868" s="163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  <c r="AA868" s="160"/>
      <c r="AB868" s="160"/>
      <c r="AC868" s="160"/>
    </row>
    <row r="869" spans="1:29" ht="14.25" customHeight="1">
      <c r="A869" s="160"/>
      <c r="B869" s="160"/>
      <c r="C869" s="160"/>
      <c r="D869" s="160"/>
      <c r="E869" s="160"/>
      <c r="F869" s="160"/>
      <c r="G869" s="160"/>
      <c r="H869" s="163"/>
      <c r="I869" s="164"/>
      <c r="J869" s="163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  <c r="AA869" s="160"/>
      <c r="AB869" s="160"/>
      <c r="AC869" s="160"/>
    </row>
    <row r="870" spans="1:29" ht="14.25" customHeight="1">
      <c r="A870" s="160"/>
      <c r="B870" s="160"/>
      <c r="C870" s="160"/>
      <c r="D870" s="160"/>
      <c r="E870" s="160"/>
      <c r="F870" s="160"/>
      <c r="G870" s="160"/>
      <c r="H870" s="163"/>
      <c r="I870" s="164"/>
      <c r="J870" s="163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  <c r="AA870" s="160"/>
      <c r="AB870" s="160"/>
      <c r="AC870" s="160"/>
    </row>
    <row r="871" spans="1:29" ht="14.25" customHeight="1">
      <c r="A871" s="160"/>
      <c r="B871" s="160"/>
      <c r="C871" s="160"/>
      <c r="D871" s="160"/>
      <c r="E871" s="160"/>
      <c r="F871" s="160"/>
      <c r="G871" s="160"/>
      <c r="H871" s="163"/>
      <c r="I871" s="164"/>
      <c r="J871" s="163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  <c r="AA871" s="160"/>
      <c r="AB871" s="160"/>
      <c r="AC871" s="160"/>
    </row>
    <row r="872" spans="1:29" ht="14.25" customHeight="1">
      <c r="A872" s="160"/>
      <c r="B872" s="160"/>
      <c r="C872" s="160"/>
      <c r="D872" s="160"/>
      <c r="E872" s="160"/>
      <c r="F872" s="160"/>
      <c r="G872" s="160"/>
      <c r="H872" s="163"/>
      <c r="I872" s="164"/>
      <c r="J872" s="163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  <c r="AA872" s="160"/>
      <c r="AB872" s="160"/>
      <c r="AC872" s="160"/>
    </row>
    <row r="873" spans="1:29" ht="14.25" customHeight="1">
      <c r="A873" s="160"/>
      <c r="B873" s="160"/>
      <c r="C873" s="160"/>
      <c r="D873" s="160"/>
      <c r="E873" s="160"/>
      <c r="F873" s="160"/>
      <c r="G873" s="160"/>
      <c r="H873" s="163"/>
      <c r="I873" s="164"/>
      <c r="J873" s="163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  <c r="AA873" s="160"/>
      <c r="AB873" s="160"/>
      <c r="AC873" s="160"/>
    </row>
    <row r="874" spans="1:29" ht="14.25" customHeight="1">
      <c r="A874" s="160"/>
      <c r="B874" s="160"/>
      <c r="C874" s="160"/>
      <c r="D874" s="160"/>
      <c r="E874" s="160"/>
      <c r="F874" s="160"/>
      <c r="G874" s="160"/>
      <c r="H874" s="163"/>
      <c r="I874" s="164"/>
      <c r="J874" s="163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  <c r="AA874" s="160"/>
      <c r="AB874" s="160"/>
      <c r="AC874" s="160"/>
    </row>
    <row r="875" spans="1:29" ht="14.25" customHeight="1">
      <c r="A875" s="160"/>
      <c r="B875" s="160"/>
      <c r="C875" s="160"/>
      <c r="D875" s="160"/>
      <c r="E875" s="160"/>
      <c r="F875" s="160"/>
      <c r="G875" s="160"/>
      <c r="H875" s="163"/>
      <c r="I875" s="164"/>
      <c r="J875" s="163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  <c r="AA875" s="160"/>
      <c r="AB875" s="160"/>
      <c r="AC875" s="160"/>
    </row>
    <row r="876" spans="1:29" ht="14.25" customHeight="1">
      <c r="A876" s="160"/>
      <c r="B876" s="160"/>
      <c r="C876" s="160"/>
      <c r="D876" s="160"/>
      <c r="E876" s="160"/>
      <c r="F876" s="160"/>
      <c r="G876" s="160"/>
      <c r="H876" s="163"/>
      <c r="I876" s="164"/>
      <c r="J876" s="163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  <c r="AA876" s="160"/>
      <c r="AB876" s="160"/>
      <c r="AC876" s="160"/>
    </row>
    <row r="877" spans="1:29" ht="14.25" customHeight="1">
      <c r="A877" s="160"/>
      <c r="B877" s="160"/>
      <c r="C877" s="160"/>
      <c r="D877" s="160"/>
      <c r="E877" s="160"/>
      <c r="F877" s="160"/>
      <c r="G877" s="160"/>
      <c r="H877" s="163"/>
      <c r="I877" s="164"/>
      <c r="J877" s="163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  <c r="AA877" s="160"/>
      <c r="AB877" s="160"/>
      <c r="AC877" s="160"/>
    </row>
    <row r="878" spans="1:29" ht="14.25" customHeight="1">
      <c r="A878" s="160"/>
      <c r="B878" s="160"/>
      <c r="C878" s="160"/>
      <c r="D878" s="160"/>
      <c r="E878" s="160"/>
      <c r="F878" s="160"/>
      <c r="G878" s="160"/>
      <c r="H878" s="163"/>
      <c r="I878" s="164"/>
      <c r="J878" s="163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  <c r="AA878" s="160"/>
      <c r="AB878" s="160"/>
      <c r="AC878" s="160"/>
    </row>
    <row r="879" spans="1:29" ht="14.25" customHeight="1">
      <c r="A879" s="160"/>
      <c r="B879" s="160"/>
      <c r="C879" s="160"/>
      <c r="D879" s="160"/>
      <c r="E879" s="160"/>
      <c r="F879" s="160"/>
      <c r="G879" s="160"/>
      <c r="H879" s="163"/>
      <c r="I879" s="164"/>
      <c r="J879" s="163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  <c r="AA879" s="160"/>
      <c r="AB879" s="160"/>
      <c r="AC879" s="160"/>
    </row>
    <row r="880" spans="1:29" ht="14.25" customHeight="1">
      <c r="A880" s="160"/>
      <c r="B880" s="160"/>
      <c r="C880" s="160"/>
      <c r="D880" s="160"/>
      <c r="E880" s="160"/>
      <c r="F880" s="160"/>
      <c r="G880" s="160"/>
      <c r="H880" s="163"/>
      <c r="I880" s="164"/>
      <c r="J880" s="163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  <c r="AA880" s="160"/>
      <c r="AB880" s="160"/>
      <c r="AC880" s="160"/>
    </row>
    <row r="881" spans="1:29" ht="14.25" customHeight="1">
      <c r="A881" s="160"/>
      <c r="B881" s="160"/>
      <c r="C881" s="160"/>
      <c r="D881" s="160"/>
      <c r="E881" s="160"/>
      <c r="F881" s="160"/>
      <c r="G881" s="160"/>
      <c r="H881" s="163"/>
      <c r="I881" s="164"/>
      <c r="J881" s="163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  <c r="AA881" s="160"/>
      <c r="AB881" s="160"/>
      <c r="AC881" s="160"/>
    </row>
    <row r="882" spans="1:29" ht="14.25" customHeight="1">
      <c r="A882" s="160"/>
      <c r="B882" s="160"/>
      <c r="C882" s="160"/>
      <c r="D882" s="160"/>
      <c r="E882" s="160"/>
      <c r="F882" s="160"/>
      <c r="G882" s="160"/>
      <c r="H882" s="163"/>
      <c r="I882" s="164"/>
      <c r="J882" s="163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  <c r="AA882" s="160"/>
      <c r="AB882" s="160"/>
      <c r="AC882" s="160"/>
    </row>
    <row r="883" spans="1:29" ht="14.25" customHeight="1">
      <c r="A883" s="160"/>
      <c r="B883" s="160"/>
      <c r="C883" s="160"/>
      <c r="D883" s="160"/>
      <c r="E883" s="160"/>
      <c r="F883" s="160"/>
      <c r="G883" s="160"/>
      <c r="H883" s="163"/>
      <c r="I883" s="164"/>
      <c r="J883" s="163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  <c r="AA883" s="160"/>
      <c r="AB883" s="160"/>
      <c r="AC883" s="160"/>
    </row>
    <row r="884" spans="1:29" ht="14.25" customHeight="1">
      <c r="A884" s="160"/>
      <c r="B884" s="160"/>
      <c r="C884" s="160"/>
      <c r="D884" s="160"/>
      <c r="E884" s="160"/>
      <c r="F884" s="160"/>
      <c r="G884" s="160"/>
      <c r="H884" s="163"/>
      <c r="I884" s="164"/>
      <c r="J884" s="163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  <c r="AA884" s="160"/>
      <c r="AB884" s="160"/>
      <c r="AC884" s="160"/>
    </row>
    <row r="885" spans="1:29" ht="14.25" customHeight="1">
      <c r="A885" s="160"/>
      <c r="B885" s="160"/>
      <c r="C885" s="160"/>
      <c r="D885" s="160"/>
      <c r="E885" s="160"/>
      <c r="F885" s="160"/>
      <c r="G885" s="160"/>
      <c r="H885" s="163"/>
      <c r="I885" s="164"/>
      <c r="J885" s="163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  <c r="AA885" s="160"/>
      <c r="AB885" s="160"/>
      <c r="AC885" s="160"/>
    </row>
    <row r="886" spans="1:29" ht="14.25" customHeight="1">
      <c r="A886" s="160"/>
      <c r="B886" s="160"/>
      <c r="C886" s="160"/>
      <c r="D886" s="160"/>
      <c r="E886" s="160"/>
      <c r="F886" s="160"/>
      <c r="G886" s="160"/>
      <c r="H886" s="163"/>
      <c r="I886" s="164"/>
      <c r="J886" s="163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  <c r="AA886" s="160"/>
      <c r="AB886" s="160"/>
      <c r="AC886" s="160"/>
    </row>
    <row r="887" spans="1:29" ht="14.25" customHeight="1">
      <c r="A887" s="160"/>
      <c r="B887" s="160"/>
      <c r="C887" s="160"/>
      <c r="D887" s="160"/>
      <c r="E887" s="160"/>
      <c r="F887" s="160"/>
      <c r="G887" s="160"/>
      <c r="H887" s="163"/>
      <c r="I887" s="164"/>
      <c r="J887" s="163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  <c r="AA887" s="160"/>
      <c r="AB887" s="160"/>
      <c r="AC887" s="160"/>
    </row>
    <row r="888" spans="1:29" ht="14.25" customHeight="1">
      <c r="A888" s="160"/>
      <c r="B888" s="160"/>
      <c r="C888" s="160"/>
      <c r="D888" s="160"/>
      <c r="E888" s="160"/>
      <c r="F888" s="160"/>
      <c r="G888" s="160"/>
      <c r="H888" s="163"/>
      <c r="I888" s="164"/>
      <c r="J888" s="163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  <c r="AA888" s="160"/>
      <c r="AB888" s="160"/>
      <c r="AC888" s="160"/>
    </row>
    <row r="889" spans="1:29" ht="14.25" customHeight="1">
      <c r="A889" s="160"/>
      <c r="B889" s="160"/>
      <c r="C889" s="160"/>
      <c r="D889" s="160"/>
      <c r="E889" s="160"/>
      <c r="F889" s="160"/>
      <c r="G889" s="160"/>
      <c r="H889" s="163"/>
      <c r="I889" s="164"/>
      <c r="J889" s="163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  <c r="AA889" s="160"/>
      <c r="AB889" s="160"/>
      <c r="AC889" s="160"/>
    </row>
    <row r="890" spans="1:29" ht="14.25" customHeight="1">
      <c r="A890" s="160"/>
      <c r="B890" s="160"/>
      <c r="C890" s="160"/>
      <c r="D890" s="160"/>
      <c r="E890" s="160"/>
      <c r="F890" s="160"/>
      <c r="G890" s="160"/>
      <c r="H890" s="163"/>
      <c r="I890" s="164"/>
      <c r="J890" s="163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  <c r="AA890" s="160"/>
      <c r="AB890" s="160"/>
      <c r="AC890" s="160"/>
    </row>
    <row r="891" spans="1:29" ht="14.25" customHeight="1">
      <c r="A891" s="160"/>
      <c r="B891" s="160"/>
      <c r="C891" s="160"/>
      <c r="D891" s="160"/>
      <c r="E891" s="160"/>
      <c r="F891" s="160"/>
      <c r="G891" s="160"/>
      <c r="H891" s="163"/>
      <c r="I891" s="164"/>
      <c r="J891" s="163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  <c r="AA891" s="160"/>
      <c r="AB891" s="160"/>
      <c r="AC891" s="160"/>
    </row>
    <row r="892" spans="1:29" ht="14.25" customHeight="1">
      <c r="A892" s="160"/>
      <c r="B892" s="160"/>
      <c r="C892" s="160"/>
      <c r="D892" s="160"/>
      <c r="E892" s="160"/>
      <c r="F892" s="160"/>
      <c r="G892" s="160"/>
      <c r="H892" s="163"/>
      <c r="I892" s="164"/>
      <c r="J892" s="163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  <c r="AA892" s="160"/>
      <c r="AB892" s="160"/>
      <c r="AC892" s="160"/>
    </row>
    <row r="893" spans="1:29" ht="14.25" customHeight="1">
      <c r="A893" s="160"/>
      <c r="B893" s="160"/>
      <c r="C893" s="160"/>
      <c r="D893" s="160"/>
      <c r="E893" s="160"/>
      <c r="F893" s="160"/>
      <c r="G893" s="160"/>
      <c r="H893" s="163"/>
      <c r="I893" s="164"/>
      <c r="J893" s="163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  <c r="AA893" s="160"/>
      <c r="AB893" s="160"/>
      <c r="AC893" s="160"/>
    </row>
    <row r="894" spans="1:29" ht="14.25" customHeight="1">
      <c r="A894" s="160"/>
      <c r="B894" s="160"/>
      <c r="C894" s="160"/>
      <c r="D894" s="160"/>
      <c r="E894" s="160"/>
      <c r="F894" s="160"/>
      <c r="G894" s="160"/>
      <c r="H894" s="163"/>
      <c r="I894" s="164"/>
      <c r="J894" s="163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  <c r="AA894" s="160"/>
      <c r="AB894" s="160"/>
      <c r="AC894" s="160"/>
    </row>
    <row r="895" spans="1:29" ht="14.25" customHeight="1">
      <c r="A895" s="160"/>
      <c r="B895" s="160"/>
      <c r="C895" s="160"/>
      <c r="D895" s="160"/>
      <c r="E895" s="160"/>
      <c r="F895" s="160"/>
      <c r="G895" s="160"/>
      <c r="H895" s="163"/>
      <c r="I895" s="164"/>
      <c r="J895" s="163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  <c r="AA895" s="160"/>
      <c r="AB895" s="160"/>
      <c r="AC895" s="160"/>
    </row>
    <row r="896" spans="1:29" ht="14.25" customHeight="1">
      <c r="A896" s="160"/>
      <c r="B896" s="160"/>
      <c r="C896" s="160"/>
      <c r="D896" s="160"/>
      <c r="E896" s="160"/>
      <c r="F896" s="160"/>
      <c r="G896" s="160"/>
      <c r="H896" s="163"/>
      <c r="I896" s="164"/>
      <c r="J896" s="163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  <c r="AA896" s="160"/>
      <c r="AB896" s="160"/>
      <c r="AC896" s="160"/>
    </row>
    <row r="897" spans="1:29" ht="14.25" customHeight="1">
      <c r="A897" s="160"/>
      <c r="B897" s="160"/>
      <c r="C897" s="160"/>
      <c r="D897" s="160"/>
      <c r="E897" s="160"/>
      <c r="F897" s="160"/>
      <c r="G897" s="160"/>
      <c r="H897" s="163"/>
      <c r="I897" s="164"/>
      <c r="J897" s="163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  <c r="AA897" s="160"/>
      <c r="AB897" s="160"/>
      <c r="AC897" s="160"/>
    </row>
    <row r="898" spans="1:29" ht="14.25" customHeight="1">
      <c r="A898" s="160"/>
      <c r="B898" s="160"/>
      <c r="C898" s="160"/>
      <c r="D898" s="160"/>
      <c r="E898" s="160"/>
      <c r="F898" s="160"/>
      <c r="G898" s="160"/>
      <c r="H898" s="163"/>
      <c r="I898" s="164"/>
      <c r="J898" s="163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  <c r="AA898" s="160"/>
      <c r="AB898" s="160"/>
      <c r="AC898" s="160"/>
    </row>
    <row r="899" spans="1:29" ht="14.25" customHeight="1">
      <c r="A899" s="160"/>
      <c r="B899" s="160"/>
      <c r="C899" s="160"/>
      <c r="D899" s="160"/>
      <c r="E899" s="160"/>
      <c r="F899" s="160"/>
      <c r="G899" s="160"/>
      <c r="H899" s="163"/>
      <c r="I899" s="164"/>
      <c r="J899" s="163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  <c r="AA899" s="160"/>
      <c r="AB899" s="160"/>
      <c r="AC899" s="160"/>
    </row>
    <row r="900" spans="1:29" ht="14.25" customHeight="1">
      <c r="A900" s="160"/>
      <c r="B900" s="160"/>
      <c r="C900" s="160"/>
      <c r="D900" s="160"/>
      <c r="E900" s="160"/>
      <c r="F900" s="160"/>
      <c r="G900" s="160"/>
      <c r="H900" s="163"/>
      <c r="I900" s="164"/>
      <c r="J900" s="163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  <c r="AA900" s="160"/>
      <c r="AB900" s="160"/>
      <c r="AC900" s="160"/>
    </row>
    <row r="901" spans="1:29" ht="14.25" customHeight="1">
      <c r="A901" s="160"/>
      <c r="B901" s="160"/>
      <c r="C901" s="160"/>
      <c r="D901" s="160"/>
      <c r="E901" s="160"/>
      <c r="F901" s="160"/>
      <c r="G901" s="160"/>
      <c r="H901" s="163"/>
      <c r="I901" s="164"/>
      <c r="J901" s="163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  <c r="AA901" s="160"/>
      <c r="AB901" s="160"/>
      <c r="AC901" s="160"/>
    </row>
    <row r="902" spans="1:29" ht="14.25" customHeight="1">
      <c r="A902" s="160"/>
      <c r="B902" s="160"/>
      <c r="C902" s="160"/>
      <c r="D902" s="160"/>
      <c r="E902" s="160"/>
      <c r="F902" s="160"/>
      <c r="G902" s="160"/>
      <c r="H902" s="163"/>
      <c r="I902" s="164"/>
      <c r="J902" s="163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  <c r="AA902" s="160"/>
      <c r="AB902" s="160"/>
      <c r="AC902" s="160"/>
    </row>
    <row r="903" spans="1:29" ht="14.25" customHeight="1">
      <c r="A903" s="160"/>
      <c r="B903" s="160"/>
      <c r="C903" s="160"/>
      <c r="D903" s="160"/>
      <c r="E903" s="160"/>
      <c r="F903" s="160"/>
      <c r="G903" s="160"/>
      <c r="H903" s="163"/>
      <c r="I903" s="164"/>
      <c r="J903" s="163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  <c r="AA903" s="160"/>
      <c r="AB903" s="160"/>
      <c r="AC903" s="160"/>
    </row>
    <row r="904" spans="1:29" ht="14.25" customHeight="1">
      <c r="A904" s="160"/>
      <c r="B904" s="160"/>
      <c r="C904" s="160"/>
      <c r="D904" s="160"/>
      <c r="E904" s="160"/>
      <c r="F904" s="160"/>
      <c r="G904" s="160"/>
      <c r="H904" s="163"/>
      <c r="I904" s="164"/>
      <c r="J904" s="163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  <c r="AA904" s="160"/>
      <c r="AB904" s="160"/>
      <c r="AC904" s="160"/>
    </row>
    <row r="905" spans="1:29" ht="14.25" customHeight="1">
      <c r="A905" s="160"/>
      <c r="B905" s="160"/>
      <c r="C905" s="160"/>
      <c r="D905" s="160"/>
      <c r="E905" s="160"/>
      <c r="F905" s="160"/>
      <c r="G905" s="160"/>
      <c r="H905" s="163"/>
      <c r="I905" s="164"/>
      <c r="J905" s="163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  <c r="AA905" s="160"/>
      <c r="AB905" s="160"/>
      <c r="AC905" s="160"/>
    </row>
    <row r="906" spans="1:29" ht="14.25" customHeight="1">
      <c r="A906" s="160"/>
      <c r="B906" s="160"/>
      <c r="C906" s="160"/>
      <c r="D906" s="160"/>
      <c r="E906" s="160"/>
      <c r="F906" s="160"/>
      <c r="G906" s="160"/>
      <c r="H906" s="163"/>
      <c r="I906" s="164"/>
      <c r="J906" s="163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  <c r="AA906" s="160"/>
      <c r="AB906" s="160"/>
      <c r="AC906" s="160"/>
    </row>
    <row r="907" spans="1:29" ht="14.25" customHeight="1">
      <c r="A907" s="160"/>
      <c r="B907" s="160"/>
      <c r="C907" s="160"/>
      <c r="D907" s="160"/>
      <c r="E907" s="160"/>
      <c r="F907" s="160"/>
      <c r="G907" s="160"/>
      <c r="H907" s="163"/>
      <c r="I907" s="164"/>
      <c r="J907" s="163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  <c r="AA907" s="160"/>
      <c r="AB907" s="160"/>
      <c r="AC907" s="160"/>
    </row>
    <row r="908" spans="1:29" ht="14.25" customHeight="1">
      <c r="A908" s="160"/>
      <c r="B908" s="160"/>
      <c r="C908" s="160"/>
      <c r="D908" s="160"/>
      <c r="E908" s="160"/>
      <c r="F908" s="160"/>
      <c r="G908" s="160"/>
      <c r="H908" s="163"/>
      <c r="I908" s="164"/>
      <c r="J908" s="163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  <c r="AA908" s="160"/>
      <c r="AB908" s="160"/>
      <c r="AC908" s="160"/>
    </row>
    <row r="909" spans="1:29" ht="14.25" customHeight="1">
      <c r="A909" s="160"/>
      <c r="B909" s="160"/>
      <c r="C909" s="160"/>
      <c r="D909" s="160"/>
      <c r="E909" s="160"/>
      <c r="F909" s="160"/>
      <c r="G909" s="160"/>
      <c r="H909" s="163"/>
      <c r="I909" s="164"/>
      <c r="J909" s="163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  <c r="AA909" s="160"/>
      <c r="AB909" s="160"/>
      <c r="AC909" s="160"/>
    </row>
    <row r="910" spans="1:29" ht="14.25" customHeight="1">
      <c r="A910" s="160"/>
      <c r="B910" s="160"/>
      <c r="C910" s="160"/>
      <c r="D910" s="160"/>
      <c r="E910" s="160"/>
      <c r="F910" s="160"/>
      <c r="G910" s="160"/>
      <c r="H910" s="163"/>
      <c r="I910" s="164"/>
      <c r="J910" s="163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  <c r="AA910" s="160"/>
      <c r="AB910" s="160"/>
      <c r="AC910" s="160"/>
    </row>
    <row r="911" spans="1:29" ht="14.25" customHeight="1">
      <c r="A911" s="160"/>
      <c r="B911" s="160"/>
      <c r="C911" s="160"/>
      <c r="D911" s="160"/>
      <c r="E911" s="160"/>
      <c r="F911" s="160"/>
      <c r="G911" s="160"/>
      <c r="H911" s="163"/>
      <c r="I911" s="164"/>
      <c r="J911" s="163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  <c r="AA911" s="160"/>
      <c r="AB911" s="160"/>
      <c r="AC911" s="160"/>
    </row>
    <row r="912" spans="1:29" ht="14.25" customHeight="1">
      <c r="A912" s="160"/>
      <c r="B912" s="160"/>
      <c r="C912" s="160"/>
      <c r="D912" s="160"/>
      <c r="E912" s="160"/>
      <c r="F912" s="160"/>
      <c r="G912" s="160"/>
      <c r="H912" s="163"/>
      <c r="I912" s="164"/>
      <c r="J912" s="163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  <c r="AA912" s="160"/>
      <c r="AB912" s="160"/>
      <c r="AC912" s="160"/>
    </row>
    <row r="913" spans="1:29" ht="14.25" customHeight="1">
      <c r="A913" s="160"/>
      <c r="B913" s="160"/>
      <c r="C913" s="160"/>
      <c r="D913" s="160"/>
      <c r="E913" s="160"/>
      <c r="F913" s="160"/>
      <c r="G913" s="160"/>
      <c r="H913" s="163"/>
      <c r="I913" s="164"/>
      <c r="J913" s="163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  <c r="AA913" s="160"/>
      <c r="AB913" s="160"/>
      <c r="AC913" s="160"/>
    </row>
    <row r="914" spans="1:29" ht="14.25" customHeight="1">
      <c r="A914" s="160"/>
      <c r="B914" s="160"/>
      <c r="C914" s="160"/>
      <c r="D914" s="160"/>
      <c r="E914" s="160"/>
      <c r="F914" s="160"/>
      <c r="G914" s="160"/>
      <c r="H914" s="163"/>
      <c r="I914" s="164"/>
      <c r="J914" s="163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  <c r="AA914" s="160"/>
      <c r="AB914" s="160"/>
      <c r="AC914" s="160"/>
    </row>
    <row r="915" spans="1:29" ht="14.25" customHeight="1">
      <c r="A915" s="160"/>
      <c r="B915" s="160"/>
      <c r="C915" s="160"/>
      <c r="D915" s="160"/>
      <c r="E915" s="160"/>
      <c r="F915" s="160"/>
      <c r="G915" s="160"/>
      <c r="H915" s="163"/>
      <c r="I915" s="164"/>
      <c r="J915" s="163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  <c r="AA915" s="160"/>
      <c r="AB915" s="160"/>
      <c r="AC915" s="160"/>
    </row>
    <row r="916" spans="1:29" ht="14.25" customHeight="1">
      <c r="A916" s="160"/>
      <c r="B916" s="160"/>
      <c r="C916" s="160"/>
      <c r="D916" s="160"/>
      <c r="E916" s="160"/>
      <c r="F916" s="160"/>
      <c r="G916" s="160"/>
      <c r="H916" s="163"/>
      <c r="I916" s="164"/>
      <c r="J916" s="163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  <c r="AA916" s="160"/>
      <c r="AB916" s="160"/>
      <c r="AC916" s="160"/>
    </row>
    <row r="917" spans="1:29" ht="14.25" customHeight="1">
      <c r="A917" s="160"/>
      <c r="B917" s="160"/>
      <c r="C917" s="160"/>
      <c r="D917" s="160"/>
      <c r="E917" s="160"/>
      <c r="F917" s="160"/>
      <c r="G917" s="160"/>
      <c r="H917" s="163"/>
      <c r="I917" s="164"/>
      <c r="J917" s="163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  <c r="AA917" s="160"/>
      <c r="AB917" s="160"/>
      <c r="AC917" s="160"/>
    </row>
    <row r="918" spans="1:29" ht="14.25" customHeight="1">
      <c r="A918" s="160"/>
      <c r="B918" s="160"/>
      <c r="C918" s="160"/>
      <c r="D918" s="160"/>
      <c r="E918" s="160"/>
      <c r="F918" s="160"/>
      <c r="G918" s="160"/>
      <c r="H918" s="163"/>
      <c r="I918" s="164"/>
      <c r="J918" s="163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  <c r="AA918" s="160"/>
      <c r="AB918" s="160"/>
      <c r="AC918" s="160"/>
    </row>
    <row r="919" spans="1:29" ht="14.25" customHeight="1">
      <c r="A919" s="160"/>
      <c r="B919" s="160"/>
      <c r="C919" s="160"/>
      <c r="D919" s="160"/>
      <c r="E919" s="160"/>
      <c r="F919" s="160"/>
      <c r="G919" s="160"/>
      <c r="H919" s="163"/>
      <c r="I919" s="164"/>
      <c r="J919" s="163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  <c r="AA919" s="160"/>
      <c r="AB919" s="160"/>
      <c r="AC919" s="160"/>
    </row>
    <row r="920" spans="1:29" ht="14.25" customHeight="1">
      <c r="A920" s="160"/>
      <c r="B920" s="160"/>
      <c r="C920" s="160"/>
      <c r="D920" s="160"/>
      <c r="E920" s="160"/>
      <c r="F920" s="160"/>
      <c r="G920" s="160"/>
      <c r="H920" s="163"/>
      <c r="I920" s="164"/>
      <c r="J920" s="163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  <c r="AA920" s="160"/>
      <c r="AB920" s="160"/>
      <c r="AC920" s="160"/>
    </row>
    <row r="921" spans="1:29" ht="14.25" customHeight="1">
      <c r="A921" s="160"/>
      <c r="B921" s="160"/>
      <c r="C921" s="160"/>
      <c r="D921" s="160"/>
      <c r="E921" s="160"/>
      <c r="F921" s="160"/>
      <c r="G921" s="160"/>
      <c r="H921" s="163"/>
      <c r="I921" s="164"/>
      <c r="J921" s="163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  <c r="AA921" s="160"/>
      <c r="AB921" s="160"/>
      <c r="AC921" s="160"/>
    </row>
    <row r="922" spans="1:29" ht="14.25" customHeight="1">
      <c r="A922" s="160"/>
      <c r="B922" s="160"/>
      <c r="C922" s="160"/>
      <c r="D922" s="160"/>
      <c r="E922" s="160"/>
      <c r="F922" s="160"/>
      <c r="G922" s="160"/>
      <c r="H922" s="163"/>
      <c r="I922" s="164"/>
      <c r="J922" s="163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  <c r="AA922" s="160"/>
      <c r="AB922" s="160"/>
      <c r="AC922" s="160"/>
    </row>
    <row r="923" spans="1:29" ht="14.25" customHeight="1">
      <c r="A923" s="160"/>
      <c r="B923" s="160"/>
      <c r="C923" s="160"/>
      <c r="D923" s="160"/>
      <c r="E923" s="160"/>
      <c r="F923" s="160"/>
      <c r="G923" s="160"/>
      <c r="H923" s="163"/>
      <c r="I923" s="164"/>
      <c r="J923" s="163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  <c r="AA923" s="160"/>
      <c r="AB923" s="160"/>
      <c r="AC923" s="160"/>
    </row>
    <row r="924" spans="1:29" ht="14.25" customHeight="1">
      <c r="A924" s="160"/>
      <c r="B924" s="160"/>
      <c r="C924" s="160"/>
      <c r="D924" s="160"/>
      <c r="E924" s="160"/>
      <c r="F924" s="160"/>
      <c r="G924" s="160"/>
      <c r="H924" s="163"/>
      <c r="I924" s="164"/>
      <c r="J924" s="163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  <c r="AA924" s="160"/>
      <c r="AB924" s="160"/>
      <c r="AC924" s="160"/>
    </row>
    <row r="925" spans="1:29" ht="14.25" customHeight="1">
      <c r="A925" s="160"/>
      <c r="B925" s="160"/>
      <c r="C925" s="160"/>
      <c r="D925" s="160"/>
      <c r="E925" s="160"/>
      <c r="F925" s="160"/>
      <c r="G925" s="160"/>
      <c r="H925" s="163"/>
      <c r="I925" s="164"/>
      <c r="J925" s="163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  <c r="AA925" s="160"/>
      <c r="AB925" s="160"/>
      <c r="AC925" s="160"/>
    </row>
    <row r="926" spans="1:29" ht="14.25" customHeight="1">
      <c r="A926" s="160"/>
      <c r="B926" s="160"/>
      <c r="C926" s="160"/>
      <c r="D926" s="160"/>
      <c r="E926" s="160"/>
      <c r="F926" s="160"/>
      <c r="G926" s="160"/>
      <c r="H926" s="163"/>
      <c r="I926" s="164"/>
      <c r="J926" s="163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  <c r="AA926" s="160"/>
      <c r="AB926" s="160"/>
      <c r="AC926" s="160"/>
    </row>
    <row r="927" spans="1:29" ht="14.25" customHeight="1">
      <c r="A927" s="160"/>
      <c r="B927" s="160"/>
      <c r="C927" s="160"/>
      <c r="D927" s="160"/>
      <c r="E927" s="160"/>
      <c r="F927" s="160"/>
      <c r="G927" s="160"/>
      <c r="H927" s="163"/>
      <c r="I927" s="164"/>
      <c r="J927" s="163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  <c r="AA927" s="160"/>
      <c r="AB927" s="160"/>
      <c r="AC927" s="160"/>
    </row>
    <row r="928" spans="1:29" ht="14.25" customHeight="1">
      <c r="A928" s="160"/>
      <c r="B928" s="160"/>
      <c r="C928" s="160"/>
      <c r="D928" s="160"/>
      <c r="E928" s="160"/>
      <c r="F928" s="160"/>
      <c r="G928" s="160"/>
      <c r="H928" s="163"/>
      <c r="I928" s="164"/>
      <c r="J928" s="163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  <c r="AA928" s="160"/>
      <c r="AB928" s="160"/>
      <c r="AC928" s="160"/>
    </row>
    <row r="929" spans="1:29" ht="14.25" customHeight="1">
      <c r="A929" s="160"/>
      <c r="B929" s="160"/>
      <c r="C929" s="160"/>
      <c r="D929" s="160"/>
      <c r="E929" s="160"/>
      <c r="F929" s="160"/>
      <c r="G929" s="160"/>
      <c r="H929" s="163"/>
      <c r="I929" s="164"/>
      <c r="J929" s="163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  <c r="AA929" s="160"/>
      <c r="AB929" s="160"/>
      <c r="AC929" s="160"/>
    </row>
    <row r="930" spans="1:29" ht="14.25" customHeight="1">
      <c r="A930" s="160"/>
      <c r="B930" s="160"/>
      <c r="C930" s="160"/>
      <c r="D930" s="160"/>
      <c r="E930" s="160"/>
      <c r="F930" s="160"/>
      <c r="G930" s="160"/>
      <c r="H930" s="163"/>
      <c r="I930" s="164"/>
      <c r="J930" s="163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  <c r="AA930" s="160"/>
      <c r="AB930" s="160"/>
      <c r="AC930" s="160"/>
    </row>
    <row r="931" spans="1:29" ht="14.25" customHeight="1">
      <c r="A931" s="160"/>
      <c r="B931" s="160"/>
      <c r="C931" s="160"/>
      <c r="D931" s="160"/>
      <c r="E931" s="160"/>
      <c r="F931" s="160"/>
      <c r="G931" s="160"/>
      <c r="H931" s="163"/>
      <c r="I931" s="164"/>
      <c r="J931" s="163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  <c r="AA931" s="160"/>
      <c r="AB931" s="160"/>
      <c r="AC931" s="160"/>
    </row>
    <row r="932" spans="1:29" ht="14.25" customHeight="1">
      <c r="A932" s="160"/>
      <c r="B932" s="160"/>
      <c r="C932" s="160"/>
      <c r="D932" s="160"/>
      <c r="E932" s="160"/>
      <c r="F932" s="160"/>
      <c r="G932" s="160"/>
      <c r="H932" s="163"/>
      <c r="I932" s="164"/>
      <c r="J932" s="163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  <c r="AA932" s="160"/>
      <c r="AB932" s="160"/>
      <c r="AC932" s="160"/>
    </row>
    <row r="933" spans="1:29" ht="14.25" customHeight="1">
      <c r="A933" s="160"/>
      <c r="B933" s="160"/>
      <c r="C933" s="160"/>
      <c r="D933" s="160"/>
      <c r="E933" s="160"/>
      <c r="F933" s="160"/>
      <c r="G933" s="160"/>
      <c r="H933" s="163"/>
      <c r="I933" s="164"/>
      <c r="J933" s="163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  <c r="AA933" s="160"/>
      <c r="AB933" s="160"/>
      <c r="AC933" s="160"/>
    </row>
    <row r="934" spans="1:29" ht="14.25" customHeight="1">
      <c r="A934" s="160"/>
      <c r="B934" s="160"/>
      <c r="C934" s="160"/>
      <c r="D934" s="160"/>
      <c r="E934" s="160"/>
      <c r="F934" s="160"/>
      <c r="G934" s="160"/>
      <c r="H934" s="163"/>
      <c r="I934" s="164"/>
      <c r="J934" s="163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  <c r="AA934" s="160"/>
      <c r="AB934" s="160"/>
      <c r="AC934" s="160"/>
    </row>
    <row r="935" spans="1:29" ht="14.25" customHeight="1">
      <c r="A935" s="160"/>
      <c r="B935" s="160"/>
      <c r="C935" s="160"/>
      <c r="D935" s="160"/>
      <c r="E935" s="160"/>
      <c r="F935" s="160"/>
      <c r="G935" s="160"/>
      <c r="H935" s="163"/>
      <c r="I935" s="164"/>
      <c r="J935" s="163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  <c r="AA935" s="160"/>
      <c r="AB935" s="160"/>
      <c r="AC935" s="160"/>
    </row>
    <row r="936" spans="1:29" ht="14.25" customHeight="1">
      <c r="A936" s="160"/>
      <c r="B936" s="160"/>
      <c r="C936" s="160"/>
      <c r="D936" s="160"/>
      <c r="E936" s="160"/>
      <c r="F936" s="160"/>
      <c r="G936" s="160"/>
      <c r="H936" s="163"/>
      <c r="I936" s="164"/>
      <c r="J936" s="163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  <c r="AA936" s="160"/>
      <c r="AB936" s="160"/>
      <c r="AC936" s="160"/>
    </row>
    <row r="937" spans="1:29" ht="14.25" customHeight="1">
      <c r="A937" s="160"/>
      <c r="B937" s="160"/>
      <c r="C937" s="160"/>
      <c r="D937" s="160"/>
      <c r="E937" s="160"/>
      <c r="F937" s="160"/>
      <c r="G937" s="160"/>
      <c r="H937" s="163"/>
      <c r="I937" s="164"/>
      <c r="J937" s="163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  <c r="AA937" s="160"/>
      <c r="AB937" s="160"/>
      <c r="AC937" s="160"/>
    </row>
    <row r="938" spans="1:29" ht="14.25" customHeight="1">
      <c r="A938" s="160"/>
      <c r="B938" s="160"/>
      <c r="C938" s="160"/>
      <c r="D938" s="160"/>
      <c r="E938" s="160"/>
      <c r="F938" s="160"/>
      <c r="G938" s="160"/>
      <c r="H938" s="163"/>
      <c r="I938" s="164"/>
      <c r="J938" s="163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  <c r="AA938" s="160"/>
      <c r="AB938" s="160"/>
      <c r="AC938" s="160"/>
    </row>
    <row r="939" spans="1:29" ht="14.25" customHeight="1">
      <c r="A939" s="160"/>
      <c r="B939" s="160"/>
      <c r="C939" s="160"/>
      <c r="D939" s="160"/>
      <c r="E939" s="160"/>
      <c r="F939" s="160"/>
      <c r="G939" s="160"/>
      <c r="H939" s="163"/>
      <c r="I939" s="164"/>
      <c r="J939" s="163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  <c r="AA939" s="160"/>
      <c r="AB939" s="160"/>
      <c r="AC939" s="160"/>
    </row>
    <row r="940" spans="1:29" ht="14.25" customHeight="1">
      <c r="A940" s="160"/>
      <c r="B940" s="160"/>
      <c r="C940" s="160"/>
      <c r="D940" s="160"/>
      <c r="E940" s="160"/>
      <c r="F940" s="160"/>
      <c r="G940" s="160"/>
      <c r="H940" s="163"/>
      <c r="I940" s="164"/>
      <c r="J940" s="163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  <c r="AA940" s="160"/>
      <c r="AB940" s="160"/>
      <c r="AC940" s="160"/>
    </row>
    <row r="941" spans="1:29" ht="14.25" customHeight="1">
      <c r="A941" s="160"/>
      <c r="B941" s="160"/>
      <c r="C941" s="160"/>
      <c r="D941" s="160"/>
      <c r="E941" s="160"/>
      <c r="F941" s="160"/>
      <c r="G941" s="160"/>
      <c r="H941" s="163"/>
      <c r="I941" s="164"/>
      <c r="J941" s="163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  <c r="AA941" s="160"/>
      <c r="AB941" s="160"/>
      <c r="AC941" s="160"/>
    </row>
    <row r="942" spans="1:29" ht="14.25" customHeight="1">
      <c r="A942" s="160"/>
      <c r="B942" s="160"/>
      <c r="C942" s="160"/>
      <c r="D942" s="160"/>
      <c r="E942" s="160"/>
      <c r="F942" s="160"/>
      <c r="G942" s="160"/>
      <c r="H942" s="163"/>
      <c r="I942" s="164"/>
      <c r="J942" s="163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  <c r="AA942" s="160"/>
      <c r="AB942" s="160"/>
      <c r="AC942" s="160"/>
    </row>
    <row r="943" spans="1:29" ht="14.25" customHeight="1">
      <c r="A943" s="160"/>
      <c r="B943" s="160"/>
      <c r="C943" s="160"/>
      <c r="D943" s="160"/>
      <c r="E943" s="160"/>
      <c r="F943" s="160"/>
      <c r="G943" s="160"/>
      <c r="H943" s="163"/>
      <c r="I943" s="164"/>
      <c r="J943" s="163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  <c r="AA943" s="160"/>
      <c r="AB943" s="160"/>
      <c r="AC943" s="160"/>
    </row>
    <row r="944" spans="1:29" ht="14.25" customHeight="1">
      <c r="A944" s="160"/>
      <c r="B944" s="160"/>
      <c r="C944" s="160"/>
      <c r="D944" s="160"/>
      <c r="E944" s="160"/>
      <c r="F944" s="160"/>
      <c r="G944" s="160"/>
      <c r="H944" s="163"/>
      <c r="I944" s="164"/>
      <c r="J944" s="163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  <c r="AA944" s="160"/>
      <c r="AB944" s="160"/>
      <c r="AC944" s="160"/>
    </row>
    <row r="945" spans="1:29" ht="14.25" customHeight="1">
      <c r="A945" s="160"/>
      <c r="B945" s="160"/>
      <c r="C945" s="160"/>
      <c r="D945" s="160"/>
      <c r="E945" s="160"/>
      <c r="F945" s="160"/>
      <c r="G945" s="160"/>
      <c r="H945" s="163"/>
      <c r="I945" s="164"/>
      <c r="J945" s="163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  <c r="AA945" s="160"/>
      <c r="AB945" s="160"/>
      <c r="AC945" s="160"/>
    </row>
    <row r="946" spans="1:29" ht="14.25" customHeight="1">
      <c r="A946" s="160"/>
      <c r="B946" s="160"/>
      <c r="C946" s="160"/>
      <c r="D946" s="160"/>
      <c r="E946" s="160"/>
      <c r="F946" s="160"/>
      <c r="G946" s="160"/>
      <c r="H946" s="163"/>
      <c r="I946" s="164"/>
      <c r="J946" s="163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  <c r="AA946" s="160"/>
      <c r="AB946" s="160"/>
      <c r="AC946" s="160"/>
    </row>
    <row r="947" spans="1:29" ht="14.25" customHeight="1">
      <c r="A947" s="160"/>
      <c r="B947" s="160"/>
      <c r="C947" s="160"/>
      <c r="D947" s="160"/>
      <c r="E947" s="160"/>
      <c r="F947" s="160"/>
      <c r="G947" s="160"/>
      <c r="H947" s="163"/>
      <c r="I947" s="164"/>
      <c r="J947" s="163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  <c r="AA947" s="160"/>
      <c r="AB947" s="160"/>
      <c r="AC947" s="160"/>
    </row>
    <row r="948" spans="1:29" ht="14.25" customHeight="1">
      <c r="A948" s="160"/>
      <c r="B948" s="160"/>
      <c r="C948" s="160"/>
      <c r="D948" s="160"/>
      <c r="E948" s="160"/>
      <c r="F948" s="160"/>
      <c r="G948" s="160"/>
      <c r="H948" s="163"/>
      <c r="I948" s="164"/>
      <c r="J948" s="163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  <c r="AA948" s="160"/>
      <c r="AB948" s="160"/>
      <c r="AC948" s="160"/>
    </row>
    <row r="949" spans="1:29" ht="14.25" customHeight="1">
      <c r="A949" s="160"/>
      <c r="B949" s="160"/>
      <c r="C949" s="160"/>
      <c r="D949" s="160"/>
      <c r="E949" s="160"/>
      <c r="F949" s="160"/>
      <c r="G949" s="160"/>
      <c r="H949" s="163"/>
      <c r="I949" s="164"/>
      <c r="J949" s="163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  <c r="AA949" s="160"/>
      <c r="AB949" s="160"/>
      <c r="AC949" s="160"/>
    </row>
    <row r="950" spans="1:29" ht="14.25" customHeight="1">
      <c r="A950" s="160"/>
      <c r="B950" s="160"/>
      <c r="C950" s="160"/>
      <c r="D950" s="160"/>
      <c r="E950" s="160"/>
      <c r="F950" s="160"/>
      <c r="G950" s="160"/>
      <c r="H950" s="163"/>
      <c r="I950" s="164"/>
      <c r="J950" s="163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  <c r="AA950" s="160"/>
      <c r="AB950" s="160"/>
      <c r="AC950" s="160"/>
    </row>
    <row r="951" spans="1:29" ht="14.25" customHeight="1">
      <c r="A951" s="160"/>
      <c r="B951" s="160"/>
      <c r="C951" s="160"/>
      <c r="D951" s="160"/>
      <c r="E951" s="160"/>
      <c r="F951" s="160"/>
      <c r="G951" s="160"/>
      <c r="H951" s="163"/>
      <c r="I951" s="164"/>
      <c r="J951" s="163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  <c r="AA951" s="160"/>
      <c r="AB951" s="160"/>
      <c r="AC951" s="160"/>
    </row>
    <row r="952" spans="1:29" ht="14.25" customHeight="1">
      <c r="A952" s="160"/>
      <c r="B952" s="160"/>
      <c r="C952" s="160"/>
      <c r="D952" s="160"/>
      <c r="E952" s="160"/>
      <c r="F952" s="160"/>
      <c r="G952" s="160"/>
      <c r="H952" s="163"/>
      <c r="I952" s="164"/>
      <c r="J952" s="163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  <c r="AA952" s="160"/>
      <c r="AB952" s="160"/>
      <c r="AC952" s="160"/>
    </row>
    <row r="953" spans="1:29" ht="14.25" customHeight="1">
      <c r="A953" s="160"/>
      <c r="B953" s="160"/>
      <c r="C953" s="160"/>
      <c r="D953" s="160"/>
      <c r="E953" s="160"/>
      <c r="F953" s="160"/>
      <c r="G953" s="160"/>
      <c r="H953" s="163"/>
      <c r="I953" s="164"/>
      <c r="J953" s="163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  <c r="AA953" s="160"/>
      <c r="AB953" s="160"/>
      <c r="AC953" s="160"/>
    </row>
    <row r="954" spans="1:29" ht="14.25" customHeight="1">
      <c r="A954" s="160"/>
      <c r="B954" s="160"/>
      <c r="C954" s="160"/>
      <c r="D954" s="160"/>
      <c r="E954" s="160"/>
      <c r="F954" s="160"/>
      <c r="G954" s="160"/>
      <c r="H954" s="163"/>
      <c r="I954" s="164"/>
      <c r="J954" s="163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  <c r="AA954" s="160"/>
      <c r="AB954" s="160"/>
      <c r="AC954" s="160"/>
    </row>
    <row r="955" spans="1:29" ht="14.25" customHeight="1">
      <c r="A955" s="160"/>
      <c r="B955" s="160"/>
      <c r="C955" s="160"/>
      <c r="D955" s="160"/>
      <c r="E955" s="160"/>
      <c r="F955" s="160"/>
      <c r="G955" s="160"/>
      <c r="H955" s="163"/>
      <c r="I955" s="164"/>
      <c r="J955" s="163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  <c r="AA955" s="160"/>
      <c r="AB955" s="160"/>
      <c r="AC955" s="160"/>
    </row>
    <row r="956" spans="1:29" ht="14.25" customHeight="1">
      <c r="A956" s="160"/>
      <c r="B956" s="160"/>
      <c r="C956" s="160"/>
      <c r="D956" s="160"/>
      <c r="E956" s="160"/>
      <c r="F956" s="160"/>
      <c r="G956" s="160"/>
      <c r="H956" s="163"/>
      <c r="I956" s="164"/>
      <c r="J956" s="163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  <c r="AA956" s="160"/>
      <c r="AB956" s="160"/>
      <c r="AC956" s="160"/>
    </row>
    <row r="957" spans="1:29" ht="14.25" customHeight="1">
      <c r="A957" s="160"/>
      <c r="B957" s="160"/>
      <c r="C957" s="160"/>
      <c r="D957" s="160"/>
      <c r="E957" s="160"/>
      <c r="F957" s="160"/>
      <c r="G957" s="160"/>
      <c r="H957" s="163"/>
      <c r="I957" s="164"/>
      <c r="J957" s="163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  <c r="AA957" s="160"/>
      <c r="AB957" s="160"/>
      <c r="AC957" s="160"/>
    </row>
    <row r="958" spans="1:29" ht="14.25" customHeight="1">
      <c r="A958" s="160"/>
      <c r="B958" s="160"/>
      <c r="C958" s="160"/>
      <c r="D958" s="160"/>
      <c r="E958" s="160"/>
      <c r="F958" s="160"/>
      <c r="G958" s="160"/>
      <c r="H958" s="163"/>
      <c r="I958" s="164"/>
      <c r="J958" s="163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  <c r="AA958" s="160"/>
      <c r="AB958" s="160"/>
      <c r="AC958" s="160"/>
    </row>
    <row r="959" spans="1:29" ht="14.25" customHeight="1">
      <c r="A959" s="160"/>
      <c r="B959" s="160"/>
      <c r="C959" s="160"/>
      <c r="D959" s="160"/>
      <c r="E959" s="160"/>
      <c r="F959" s="160"/>
      <c r="G959" s="160"/>
      <c r="H959" s="163"/>
      <c r="I959" s="164"/>
      <c r="J959" s="163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  <c r="AA959" s="160"/>
      <c r="AB959" s="160"/>
      <c r="AC959" s="160"/>
    </row>
    <row r="960" spans="1:29" ht="14.25" customHeight="1">
      <c r="A960" s="160"/>
      <c r="B960" s="160"/>
      <c r="C960" s="160"/>
      <c r="D960" s="160"/>
      <c r="E960" s="160"/>
      <c r="F960" s="160"/>
      <c r="G960" s="160"/>
      <c r="H960" s="163"/>
      <c r="I960" s="164"/>
      <c r="J960" s="163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  <c r="AA960" s="160"/>
      <c r="AB960" s="160"/>
      <c r="AC960" s="160"/>
    </row>
    <row r="961" spans="1:29" ht="14.25" customHeight="1">
      <c r="A961" s="160"/>
      <c r="B961" s="160"/>
      <c r="C961" s="160"/>
      <c r="D961" s="160"/>
      <c r="E961" s="160"/>
      <c r="F961" s="160"/>
      <c r="G961" s="160"/>
      <c r="H961" s="163"/>
      <c r="I961" s="164"/>
      <c r="J961" s="163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  <c r="AA961" s="160"/>
      <c r="AB961" s="160"/>
      <c r="AC961" s="160"/>
    </row>
    <row r="962" spans="1:29" ht="14.25" customHeight="1">
      <c r="A962" s="160"/>
      <c r="B962" s="160"/>
      <c r="C962" s="160"/>
      <c r="D962" s="160"/>
      <c r="E962" s="160"/>
      <c r="F962" s="160"/>
      <c r="G962" s="160"/>
      <c r="H962" s="163"/>
      <c r="I962" s="164"/>
      <c r="J962" s="163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  <c r="AA962" s="160"/>
      <c r="AB962" s="160"/>
      <c r="AC962" s="160"/>
    </row>
    <row r="963" spans="1:29" ht="14.25" customHeight="1">
      <c r="A963" s="160"/>
      <c r="B963" s="160"/>
      <c r="C963" s="160"/>
      <c r="D963" s="160"/>
      <c r="E963" s="160"/>
      <c r="F963" s="160"/>
      <c r="G963" s="160"/>
      <c r="H963" s="163"/>
      <c r="I963" s="164"/>
      <c r="J963" s="163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160"/>
      <c r="AA963" s="160"/>
      <c r="AB963" s="160"/>
      <c r="AC963" s="160"/>
    </row>
    <row r="964" spans="1:29" ht="14.25" customHeight="1">
      <c r="A964" s="160"/>
      <c r="B964" s="160"/>
      <c r="C964" s="160"/>
      <c r="D964" s="160"/>
      <c r="E964" s="160"/>
      <c r="F964" s="160"/>
      <c r="G964" s="160"/>
      <c r="H964" s="163"/>
      <c r="I964" s="164"/>
      <c r="J964" s="163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  <c r="AA964" s="160"/>
      <c r="AB964" s="160"/>
      <c r="AC964" s="160"/>
    </row>
    <row r="965" spans="1:29" ht="14.25" customHeight="1">
      <c r="A965" s="160"/>
      <c r="B965" s="160"/>
      <c r="C965" s="160"/>
      <c r="D965" s="160"/>
      <c r="E965" s="160"/>
      <c r="F965" s="160"/>
      <c r="G965" s="160"/>
      <c r="H965" s="163"/>
      <c r="I965" s="164"/>
      <c r="J965" s="163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160"/>
      <c r="AA965" s="160"/>
      <c r="AB965" s="160"/>
      <c r="AC965" s="160"/>
    </row>
    <row r="966" spans="1:29" ht="14.25" customHeight="1">
      <c r="A966" s="160"/>
      <c r="B966" s="160"/>
      <c r="C966" s="160"/>
      <c r="D966" s="160"/>
      <c r="E966" s="160"/>
      <c r="F966" s="160"/>
      <c r="G966" s="160"/>
      <c r="H966" s="163"/>
      <c r="I966" s="164"/>
      <c r="J966" s="163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  <c r="AA966" s="160"/>
      <c r="AB966" s="160"/>
      <c r="AC966" s="160"/>
    </row>
    <row r="967" spans="1:29" ht="14.25" customHeight="1">
      <c r="A967" s="160"/>
      <c r="B967" s="160"/>
      <c r="C967" s="160"/>
      <c r="D967" s="160"/>
      <c r="E967" s="160"/>
      <c r="F967" s="160"/>
      <c r="G967" s="160"/>
      <c r="H967" s="163"/>
      <c r="I967" s="164"/>
      <c r="J967" s="163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160"/>
      <c r="AA967" s="160"/>
      <c r="AB967" s="160"/>
      <c r="AC967" s="160"/>
    </row>
    <row r="968" spans="1:29" ht="14.25" customHeight="1">
      <c r="A968" s="160"/>
      <c r="B968" s="160"/>
      <c r="C968" s="160"/>
      <c r="D968" s="160"/>
      <c r="E968" s="160"/>
      <c r="F968" s="160"/>
      <c r="G968" s="160"/>
      <c r="H968" s="163"/>
      <c r="I968" s="164"/>
      <c r="J968" s="163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  <c r="AA968" s="160"/>
      <c r="AB968" s="160"/>
      <c r="AC968" s="160"/>
    </row>
    <row r="969" spans="1:29" ht="14.25" customHeight="1">
      <c r="A969" s="160"/>
      <c r="B969" s="160"/>
      <c r="C969" s="160"/>
      <c r="D969" s="160"/>
      <c r="E969" s="160"/>
      <c r="F969" s="160"/>
      <c r="G969" s="160"/>
      <c r="H969" s="163"/>
      <c r="I969" s="164"/>
      <c r="J969" s="163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  <c r="AA969" s="160"/>
      <c r="AB969" s="160"/>
      <c r="AC969" s="160"/>
    </row>
    <row r="970" spans="1:29" ht="14.25" customHeight="1">
      <c r="A970" s="160"/>
      <c r="B970" s="160"/>
      <c r="C970" s="160"/>
      <c r="D970" s="160"/>
      <c r="E970" s="160"/>
      <c r="F970" s="160"/>
      <c r="G970" s="160"/>
      <c r="H970" s="163"/>
      <c r="I970" s="164"/>
      <c r="J970" s="163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  <c r="AA970" s="160"/>
      <c r="AB970" s="160"/>
      <c r="AC970" s="160"/>
    </row>
    <row r="971" spans="1:29" ht="14.25" customHeight="1">
      <c r="A971" s="160"/>
      <c r="B971" s="160"/>
      <c r="C971" s="160"/>
      <c r="D971" s="160"/>
      <c r="E971" s="160"/>
      <c r="F971" s="160"/>
      <c r="G971" s="160"/>
      <c r="H971" s="163"/>
      <c r="I971" s="164"/>
      <c r="J971" s="163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  <c r="AA971" s="160"/>
      <c r="AB971" s="160"/>
      <c r="AC971" s="160"/>
    </row>
    <row r="972" spans="1:29" ht="14.25" customHeight="1">
      <c r="A972" s="160"/>
      <c r="B972" s="160"/>
      <c r="C972" s="160"/>
      <c r="D972" s="160"/>
      <c r="E972" s="160"/>
      <c r="F972" s="160"/>
      <c r="G972" s="160"/>
      <c r="H972" s="163"/>
      <c r="I972" s="164"/>
      <c r="J972" s="163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  <c r="AA972" s="160"/>
      <c r="AB972" s="160"/>
      <c r="AC972" s="160"/>
    </row>
    <row r="973" spans="1:29" ht="14.25" customHeight="1">
      <c r="A973" s="160"/>
      <c r="B973" s="160"/>
      <c r="C973" s="160"/>
      <c r="D973" s="160"/>
      <c r="E973" s="160"/>
      <c r="F973" s="160"/>
      <c r="G973" s="160"/>
      <c r="H973" s="163"/>
      <c r="I973" s="164"/>
      <c r="J973" s="163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160"/>
      <c r="AA973" s="160"/>
      <c r="AB973" s="160"/>
      <c r="AC973" s="160"/>
    </row>
    <row r="974" spans="1:29" ht="14.25" customHeight="1">
      <c r="A974" s="160"/>
      <c r="B974" s="160"/>
      <c r="C974" s="160"/>
      <c r="D974" s="160"/>
      <c r="E974" s="160"/>
      <c r="F974" s="160"/>
      <c r="G974" s="160"/>
      <c r="H974" s="163"/>
      <c r="I974" s="164"/>
      <c r="J974" s="163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  <c r="AA974" s="160"/>
      <c r="AB974" s="160"/>
      <c r="AC974" s="160"/>
    </row>
    <row r="975" spans="1:29" ht="14.25" customHeight="1">
      <c r="A975" s="160"/>
      <c r="B975" s="160"/>
      <c r="C975" s="160"/>
      <c r="D975" s="160"/>
      <c r="E975" s="160"/>
      <c r="F975" s="160"/>
      <c r="G975" s="160"/>
      <c r="H975" s="163"/>
      <c r="I975" s="164"/>
      <c r="J975" s="163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  <c r="AA975" s="160"/>
      <c r="AB975" s="160"/>
      <c r="AC975" s="160"/>
    </row>
    <row r="976" spans="1:29" ht="14.25" customHeight="1">
      <c r="A976" s="160"/>
      <c r="B976" s="160"/>
      <c r="C976" s="160"/>
      <c r="D976" s="160"/>
      <c r="E976" s="160"/>
      <c r="F976" s="160"/>
      <c r="G976" s="160"/>
      <c r="H976" s="163"/>
      <c r="I976" s="164"/>
      <c r="J976" s="163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  <c r="AA976" s="160"/>
      <c r="AB976" s="160"/>
      <c r="AC976" s="160"/>
    </row>
    <row r="977" spans="1:29" ht="14.25" customHeight="1">
      <c r="A977" s="160"/>
      <c r="B977" s="160"/>
      <c r="C977" s="160"/>
      <c r="D977" s="160"/>
      <c r="E977" s="160"/>
      <c r="F977" s="160"/>
      <c r="G977" s="160"/>
      <c r="H977" s="163"/>
      <c r="I977" s="164"/>
      <c r="J977" s="163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160"/>
      <c r="AA977" s="160"/>
      <c r="AB977" s="160"/>
      <c r="AC977" s="160"/>
    </row>
    <row r="978" spans="1:29" ht="14.25" customHeight="1">
      <c r="A978" s="160"/>
      <c r="B978" s="160"/>
      <c r="C978" s="160"/>
      <c r="D978" s="160"/>
      <c r="E978" s="160"/>
      <c r="F978" s="160"/>
      <c r="G978" s="160"/>
      <c r="H978" s="163"/>
      <c r="I978" s="164"/>
      <c r="J978" s="163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  <c r="AA978" s="160"/>
      <c r="AB978" s="160"/>
      <c r="AC978" s="160"/>
    </row>
    <row r="979" spans="1:29" ht="14.25" customHeight="1">
      <c r="A979" s="160"/>
      <c r="B979" s="160"/>
      <c r="C979" s="160"/>
      <c r="D979" s="160"/>
      <c r="E979" s="160"/>
      <c r="F979" s="160"/>
      <c r="G979" s="160"/>
      <c r="H979" s="163"/>
      <c r="I979" s="164"/>
      <c r="J979" s="163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  <c r="Z979" s="160"/>
      <c r="AA979" s="160"/>
      <c r="AB979" s="160"/>
      <c r="AC979" s="160"/>
    </row>
    <row r="980" spans="1:29" ht="14.25" customHeight="1">
      <c r="A980" s="160"/>
      <c r="B980" s="160"/>
      <c r="C980" s="160"/>
      <c r="D980" s="160"/>
      <c r="E980" s="160"/>
      <c r="F980" s="160"/>
      <c r="G980" s="160"/>
      <c r="H980" s="163"/>
      <c r="I980" s="164"/>
      <c r="J980" s="163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  <c r="Z980" s="160"/>
      <c r="AA980" s="160"/>
      <c r="AB980" s="160"/>
      <c r="AC980" s="160"/>
    </row>
    <row r="981" spans="1:29" ht="14.25" customHeight="1">
      <c r="A981" s="160"/>
      <c r="B981" s="160"/>
      <c r="C981" s="160"/>
      <c r="D981" s="160"/>
      <c r="E981" s="160"/>
      <c r="F981" s="160"/>
      <c r="G981" s="160"/>
      <c r="H981" s="163"/>
      <c r="I981" s="164"/>
      <c r="J981" s="163"/>
      <c r="K981" s="160"/>
      <c r="L981" s="160"/>
      <c r="M981" s="160"/>
      <c r="N981" s="160"/>
      <c r="O981" s="160"/>
      <c r="P981" s="160"/>
      <c r="Q981" s="160"/>
      <c r="R981" s="160"/>
      <c r="S981" s="160"/>
      <c r="T981" s="160"/>
      <c r="U981" s="160"/>
      <c r="V981" s="160"/>
      <c r="W981" s="160"/>
      <c r="X981" s="160"/>
      <c r="Y981" s="160"/>
      <c r="Z981" s="160"/>
      <c r="AA981" s="160"/>
      <c r="AB981" s="160"/>
      <c r="AC981" s="160"/>
    </row>
    <row r="982" spans="1:29" ht="14.25" customHeight="1">
      <c r="A982" s="160"/>
      <c r="B982" s="160"/>
      <c r="C982" s="160"/>
      <c r="D982" s="160"/>
      <c r="E982" s="160"/>
      <c r="F982" s="160"/>
      <c r="G982" s="160"/>
      <c r="H982" s="163"/>
      <c r="I982" s="164"/>
      <c r="J982" s="163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  <c r="U982" s="160"/>
      <c r="V982" s="160"/>
      <c r="W982" s="160"/>
      <c r="X982" s="160"/>
      <c r="Y982" s="160"/>
      <c r="Z982" s="160"/>
      <c r="AA982" s="160"/>
      <c r="AB982" s="160"/>
      <c r="AC982" s="160"/>
    </row>
    <row r="983" spans="1:29" ht="14.25" customHeight="1">
      <c r="A983" s="160"/>
      <c r="B983" s="160"/>
      <c r="C983" s="160"/>
      <c r="D983" s="160"/>
      <c r="E983" s="160"/>
      <c r="F983" s="160"/>
      <c r="G983" s="160"/>
      <c r="H983" s="163"/>
      <c r="I983" s="164"/>
      <c r="J983" s="163"/>
      <c r="K983" s="160"/>
      <c r="L983" s="160"/>
      <c r="M983" s="160"/>
      <c r="N983" s="160"/>
      <c r="O983" s="160"/>
      <c r="P983" s="160"/>
      <c r="Q983" s="160"/>
      <c r="R983" s="160"/>
      <c r="S983" s="160"/>
      <c r="T983" s="160"/>
      <c r="U983" s="160"/>
      <c r="V983" s="160"/>
      <c r="W983" s="160"/>
      <c r="X983" s="160"/>
      <c r="Y983" s="160"/>
      <c r="Z983" s="160"/>
      <c r="AA983" s="160"/>
      <c r="AB983" s="160"/>
      <c r="AC983" s="160"/>
    </row>
    <row r="984" spans="1:29" ht="14.25" customHeight="1">
      <c r="A984" s="160"/>
      <c r="B984" s="160"/>
      <c r="C984" s="160"/>
      <c r="D984" s="160"/>
      <c r="E984" s="160"/>
      <c r="F984" s="160"/>
      <c r="G984" s="160"/>
      <c r="H984" s="163"/>
      <c r="I984" s="164"/>
      <c r="J984" s="163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  <c r="U984" s="160"/>
      <c r="V984" s="160"/>
      <c r="W984" s="160"/>
      <c r="X984" s="160"/>
      <c r="Y984" s="160"/>
      <c r="Z984" s="160"/>
      <c r="AA984" s="160"/>
      <c r="AB984" s="160"/>
      <c r="AC984" s="160"/>
    </row>
    <row r="985" spans="1:29" ht="14.25" customHeight="1">
      <c r="A985" s="160"/>
      <c r="B985" s="160"/>
      <c r="C985" s="160"/>
      <c r="D985" s="160"/>
      <c r="E985" s="160"/>
      <c r="F985" s="160"/>
      <c r="G985" s="160"/>
      <c r="H985" s="163"/>
      <c r="I985" s="164"/>
      <c r="J985" s="163"/>
      <c r="K985" s="160"/>
      <c r="L985" s="160"/>
      <c r="M985" s="160"/>
      <c r="N985" s="160"/>
      <c r="O985" s="160"/>
      <c r="P985" s="160"/>
      <c r="Q985" s="160"/>
      <c r="R985" s="160"/>
      <c r="S985" s="160"/>
      <c r="T985" s="160"/>
      <c r="U985" s="160"/>
      <c r="V985" s="160"/>
      <c r="W985" s="160"/>
      <c r="X985" s="160"/>
      <c r="Y985" s="160"/>
      <c r="Z985" s="160"/>
      <c r="AA985" s="160"/>
      <c r="AB985" s="160"/>
      <c r="AC985" s="160"/>
    </row>
    <row r="986" spans="1:29" ht="14.25" customHeight="1">
      <c r="A986" s="160"/>
      <c r="B986" s="160"/>
      <c r="C986" s="160"/>
      <c r="D986" s="160"/>
      <c r="E986" s="160"/>
      <c r="F986" s="160"/>
      <c r="G986" s="160"/>
      <c r="H986" s="163"/>
      <c r="I986" s="164"/>
      <c r="J986" s="163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  <c r="U986" s="160"/>
      <c r="V986" s="160"/>
      <c r="W986" s="160"/>
      <c r="X986" s="160"/>
      <c r="Y986" s="160"/>
      <c r="Z986" s="160"/>
      <c r="AA986" s="160"/>
      <c r="AB986" s="160"/>
      <c r="AC986" s="160"/>
    </row>
    <row r="987" spans="1:29" ht="14.25" customHeight="1">
      <c r="A987" s="160"/>
      <c r="B987" s="160"/>
      <c r="C987" s="160"/>
      <c r="D987" s="160"/>
      <c r="E987" s="160"/>
      <c r="F987" s="160"/>
      <c r="G987" s="160"/>
      <c r="H987" s="163"/>
      <c r="I987" s="164"/>
      <c r="J987" s="163"/>
      <c r="K987" s="160"/>
      <c r="L987" s="160"/>
      <c r="M987" s="160"/>
      <c r="N987" s="160"/>
      <c r="O987" s="160"/>
      <c r="P987" s="160"/>
      <c r="Q987" s="160"/>
      <c r="R987" s="160"/>
      <c r="S987" s="160"/>
      <c r="T987" s="160"/>
      <c r="U987" s="160"/>
      <c r="V987" s="160"/>
      <c r="W987" s="160"/>
      <c r="X987" s="160"/>
      <c r="Y987" s="160"/>
      <c r="Z987" s="160"/>
      <c r="AA987" s="160"/>
      <c r="AB987" s="160"/>
      <c r="AC987" s="160"/>
    </row>
    <row r="988" spans="1:29" ht="14.25" customHeight="1">
      <c r="A988" s="160"/>
      <c r="B988" s="160"/>
      <c r="C988" s="160"/>
      <c r="D988" s="160"/>
      <c r="E988" s="160"/>
      <c r="F988" s="160"/>
      <c r="G988" s="160"/>
      <c r="H988" s="163"/>
      <c r="I988" s="164"/>
      <c r="J988" s="163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  <c r="X988" s="160"/>
      <c r="Y988" s="160"/>
      <c r="Z988" s="160"/>
      <c r="AA988" s="160"/>
      <c r="AB988" s="160"/>
      <c r="AC988" s="160"/>
    </row>
    <row r="989" spans="1:29" ht="14.25" customHeight="1">
      <c r="A989" s="160"/>
      <c r="B989" s="160"/>
      <c r="C989" s="160"/>
      <c r="D989" s="160"/>
      <c r="E989" s="160"/>
      <c r="F989" s="160"/>
      <c r="G989" s="160"/>
      <c r="H989" s="163"/>
      <c r="I989" s="164"/>
      <c r="J989" s="163"/>
      <c r="K989" s="160"/>
      <c r="L989" s="160"/>
      <c r="M989" s="160"/>
      <c r="N989" s="160"/>
      <c r="O989" s="160"/>
      <c r="P989" s="160"/>
      <c r="Q989" s="160"/>
      <c r="R989" s="160"/>
      <c r="S989" s="160"/>
      <c r="T989" s="160"/>
      <c r="U989" s="160"/>
      <c r="V989" s="160"/>
      <c r="W989" s="160"/>
      <c r="X989" s="160"/>
      <c r="Y989" s="160"/>
      <c r="Z989" s="160"/>
      <c r="AA989" s="160"/>
      <c r="AB989" s="160"/>
      <c r="AC989" s="160"/>
    </row>
    <row r="990" spans="1:29" ht="14.25" customHeight="1">
      <c r="A990" s="160"/>
      <c r="B990" s="160"/>
      <c r="C990" s="160"/>
      <c r="D990" s="160"/>
      <c r="E990" s="160"/>
      <c r="F990" s="160"/>
      <c r="G990" s="160"/>
      <c r="H990" s="163"/>
      <c r="I990" s="164"/>
      <c r="J990" s="163"/>
      <c r="K990" s="160"/>
      <c r="L990" s="160"/>
      <c r="M990" s="160"/>
      <c r="N990" s="160"/>
      <c r="O990" s="160"/>
      <c r="P990" s="160"/>
      <c r="Q990" s="160"/>
      <c r="R990" s="160"/>
      <c r="S990" s="160"/>
      <c r="T990" s="160"/>
      <c r="U990" s="160"/>
      <c r="V990" s="160"/>
      <c r="W990" s="160"/>
      <c r="X990" s="160"/>
      <c r="Y990" s="160"/>
      <c r="Z990" s="160"/>
      <c r="AA990" s="160"/>
      <c r="AB990" s="160"/>
      <c r="AC990" s="160"/>
    </row>
    <row r="991" spans="1:29" ht="14.25" customHeight="1">
      <c r="A991" s="160"/>
      <c r="B991" s="160"/>
      <c r="C991" s="160"/>
      <c r="D991" s="160"/>
      <c r="E991" s="160"/>
      <c r="F991" s="160"/>
      <c r="G991" s="160"/>
      <c r="H991" s="163"/>
      <c r="I991" s="164"/>
      <c r="J991" s="163"/>
      <c r="K991" s="160"/>
      <c r="L991" s="160"/>
      <c r="M991" s="160"/>
      <c r="N991" s="160"/>
      <c r="O991" s="160"/>
      <c r="P991" s="160"/>
      <c r="Q991" s="160"/>
      <c r="R991" s="160"/>
      <c r="S991" s="160"/>
      <c r="T991" s="160"/>
      <c r="U991" s="160"/>
      <c r="V991" s="160"/>
      <c r="W991" s="160"/>
      <c r="X991" s="160"/>
      <c r="Y991" s="160"/>
      <c r="Z991" s="160"/>
      <c r="AA991" s="160"/>
      <c r="AB991" s="160"/>
      <c r="AC991" s="160"/>
    </row>
    <row r="992" spans="1:29" ht="14.25" customHeight="1">
      <c r="A992" s="160"/>
      <c r="B992" s="160"/>
      <c r="C992" s="160"/>
      <c r="D992" s="160"/>
      <c r="E992" s="160"/>
      <c r="F992" s="160"/>
      <c r="G992" s="160"/>
      <c r="H992" s="163"/>
      <c r="I992" s="164"/>
      <c r="J992" s="163"/>
      <c r="K992" s="160"/>
      <c r="L992" s="160"/>
      <c r="M992" s="160"/>
      <c r="N992" s="160"/>
      <c r="O992" s="160"/>
      <c r="P992" s="160"/>
      <c r="Q992" s="160"/>
      <c r="R992" s="160"/>
      <c r="S992" s="160"/>
      <c r="T992" s="160"/>
      <c r="U992" s="160"/>
      <c r="V992" s="160"/>
      <c r="W992" s="160"/>
      <c r="X992" s="160"/>
      <c r="Y992" s="160"/>
      <c r="Z992" s="160"/>
      <c r="AA992" s="160"/>
      <c r="AB992" s="160"/>
      <c r="AC992" s="160"/>
    </row>
    <row r="993" spans="1:29" ht="14.25" customHeight="1">
      <c r="A993" s="160"/>
      <c r="B993" s="160"/>
      <c r="C993" s="160"/>
      <c r="D993" s="160"/>
      <c r="E993" s="160"/>
      <c r="F993" s="160"/>
      <c r="G993" s="160"/>
      <c r="H993" s="163"/>
      <c r="I993" s="164"/>
      <c r="J993" s="163"/>
      <c r="K993" s="160"/>
      <c r="L993" s="160"/>
      <c r="M993" s="160"/>
      <c r="N993" s="160"/>
      <c r="O993" s="160"/>
      <c r="P993" s="160"/>
      <c r="Q993" s="160"/>
      <c r="R993" s="160"/>
      <c r="S993" s="160"/>
      <c r="T993" s="160"/>
      <c r="U993" s="160"/>
      <c r="V993" s="160"/>
      <c r="W993" s="160"/>
      <c r="X993" s="160"/>
      <c r="Y993" s="160"/>
      <c r="Z993" s="160"/>
      <c r="AA993" s="160"/>
      <c r="AB993" s="160"/>
      <c r="AC993" s="160"/>
    </row>
    <row r="994" spans="1:29" ht="14.25" customHeight="1">
      <c r="A994" s="160"/>
      <c r="B994" s="160"/>
      <c r="C994" s="160"/>
      <c r="D994" s="160"/>
      <c r="E994" s="160"/>
      <c r="F994" s="160"/>
      <c r="G994" s="160"/>
      <c r="H994" s="163"/>
      <c r="I994" s="164"/>
      <c r="J994" s="163"/>
      <c r="K994" s="160"/>
      <c r="L994" s="160"/>
      <c r="M994" s="160"/>
      <c r="N994" s="160"/>
      <c r="O994" s="160"/>
      <c r="P994" s="160"/>
      <c r="Q994" s="160"/>
      <c r="R994" s="160"/>
      <c r="S994" s="160"/>
      <c r="T994" s="160"/>
      <c r="U994" s="160"/>
      <c r="V994" s="160"/>
      <c r="W994" s="160"/>
      <c r="X994" s="160"/>
      <c r="Y994" s="160"/>
      <c r="Z994" s="160"/>
      <c r="AA994" s="160"/>
      <c r="AB994" s="160"/>
      <c r="AC994" s="160"/>
    </row>
    <row r="995" spans="1:29" ht="14.25" customHeight="1">
      <c r="A995" s="160"/>
      <c r="B995" s="160"/>
      <c r="C995" s="160"/>
      <c r="D995" s="160"/>
      <c r="E995" s="160"/>
      <c r="F995" s="160"/>
      <c r="G995" s="160"/>
      <c r="H995" s="163"/>
      <c r="I995" s="164"/>
      <c r="J995" s="163"/>
      <c r="K995" s="160"/>
      <c r="L995" s="160"/>
      <c r="M995" s="160"/>
      <c r="N995" s="160"/>
      <c r="O995" s="160"/>
      <c r="P995" s="160"/>
      <c r="Q995" s="160"/>
      <c r="R995" s="160"/>
      <c r="S995" s="160"/>
      <c r="T995" s="160"/>
      <c r="U995" s="160"/>
      <c r="V995" s="160"/>
      <c r="W995" s="160"/>
      <c r="X995" s="160"/>
      <c r="Y995" s="160"/>
      <c r="Z995" s="160"/>
      <c r="AA995" s="160"/>
      <c r="AB995" s="160"/>
      <c r="AC995" s="160"/>
    </row>
    <row r="996" spans="1:29" ht="14.25" customHeight="1">
      <c r="A996" s="160"/>
      <c r="B996" s="160"/>
      <c r="C996" s="160"/>
      <c r="D996" s="160"/>
      <c r="E996" s="160"/>
      <c r="F996" s="160"/>
      <c r="G996" s="160"/>
      <c r="H996" s="163"/>
      <c r="I996" s="164"/>
      <c r="J996" s="163"/>
      <c r="K996" s="160"/>
      <c r="L996" s="160"/>
      <c r="M996" s="160"/>
      <c r="N996" s="160"/>
      <c r="O996" s="160"/>
      <c r="P996" s="160"/>
      <c r="Q996" s="160"/>
      <c r="R996" s="160"/>
      <c r="S996" s="160"/>
      <c r="T996" s="160"/>
      <c r="U996" s="160"/>
      <c r="V996" s="160"/>
      <c r="W996" s="160"/>
      <c r="X996" s="160"/>
      <c r="Y996" s="160"/>
      <c r="Z996" s="160"/>
      <c r="AA996" s="160"/>
      <c r="AB996" s="160"/>
      <c r="AC996" s="160"/>
    </row>
    <row r="997" spans="1:29" ht="14.25" customHeight="1">
      <c r="A997" s="160"/>
      <c r="B997" s="160"/>
      <c r="C997" s="160"/>
      <c r="D997" s="160"/>
      <c r="E997" s="160"/>
      <c r="F997" s="160"/>
      <c r="G997" s="160"/>
      <c r="H997" s="163"/>
      <c r="I997" s="164"/>
      <c r="J997" s="163"/>
      <c r="K997" s="160"/>
      <c r="L997" s="160"/>
      <c r="M997" s="160"/>
      <c r="N997" s="160"/>
      <c r="O997" s="160"/>
      <c r="P997" s="160"/>
      <c r="Q997" s="160"/>
      <c r="R997" s="160"/>
      <c r="S997" s="160"/>
      <c r="T997" s="160"/>
      <c r="U997" s="160"/>
      <c r="V997" s="160"/>
      <c r="W997" s="160"/>
      <c r="X997" s="160"/>
      <c r="Y997" s="160"/>
      <c r="Z997" s="160"/>
      <c r="AA997" s="160"/>
      <c r="AB997" s="160"/>
      <c r="AC997" s="160"/>
    </row>
    <row r="998" spans="1:29" ht="14.25" customHeight="1">
      <c r="A998" s="160"/>
      <c r="B998" s="160"/>
      <c r="C998" s="160"/>
      <c r="D998" s="160"/>
      <c r="E998" s="160"/>
      <c r="F998" s="160"/>
      <c r="G998" s="160"/>
      <c r="H998" s="163"/>
      <c r="I998" s="164"/>
      <c r="J998" s="163"/>
      <c r="K998" s="160"/>
      <c r="L998" s="160"/>
      <c r="M998" s="160"/>
      <c r="N998" s="160"/>
      <c r="O998" s="160"/>
      <c r="P998" s="160"/>
      <c r="Q998" s="160"/>
      <c r="R998" s="160"/>
      <c r="S998" s="160"/>
      <c r="T998" s="160"/>
      <c r="U998" s="160"/>
      <c r="V998" s="160"/>
      <c r="W998" s="160"/>
      <c r="X998" s="160"/>
      <c r="Y998" s="160"/>
      <c r="Z998" s="160"/>
      <c r="AA998" s="160"/>
      <c r="AB998" s="160"/>
      <c r="AC998" s="160"/>
    </row>
    <row r="999" spans="1:29" ht="14.25" customHeight="1">
      <c r="A999" s="160"/>
      <c r="B999" s="160"/>
      <c r="C999" s="160"/>
      <c r="D999" s="160"/>
      <c r="E999" s="160"/>
      <c r="F999" s="160"/>
      <c r="G999" s="160"/>
      <c r="H999" s="163"/>
      <c r="I999" s="164"/>
      <c r="J999" s="163"/>
      <c r="K999" s="160"/>
      <c r="L999" s="160"/>
      <c r="M999" s="160"/>
      <c r="N999" s="160"/>
      <c r="O999" s="160"/>
      <c r="P999" s="160"/>
      <c r="Q999" s="160"/>
      <c r="R999" s="160"/>
      <c r="S999" s="160"/>
      <c r="T999" s="160"/>
      <c r="U999" s="160"/>
      <c r="V999" s="160"/>
      <c r="W999" s="160"/>
      <c r="X999" s="160"/>
      <c r="Y999" s="160"/>
      <c r="Z999" s="160"/>
      <c r="AA999" s="160"/>
      <c r="AB999" s="160"/>
      <c r="AC999" s="160"/>
    </row>
    <row r="1000" spans="1:29" ht="14.25" customHeight="1">
      <c r="A1000" s="160"/>
      <c r="B1000" s="160"/>
      <c r="C1000" s="160"/>
      <c r="D1000" s="160"/>
      <c r="E1000" s="160"/>
      <c r="F1000" s="160"/>
      <c r="G1000" s="160"/>
      <c r="H1000" s="163"/>
      <c r="I1000" s="164"/>
      <c r="J1000" s="163"/>
      <c r="K1000" s="160"/>
      <c r="L1000" s="160"/>
      <c r="M1000" s="160"/>
      <c r="N1000" s="160"/>
      <c r="O1000" s="160"/>
      <c r="P1000" s="160"/>
      <c r="Q1000" s="160"/>
      <c r="R1000" s="160"/>
      <c r="S1000" s="160"/>
      <c r="T1000" s="160"/>
      <c r="U1000" s="160"/>
      <c r="V1000" s="160"/>
      <c r="W1000" s="160"/>
      <c r="X1000" s="160"/>
      <c r="Y1000" s="160"/>
      <c r="Z1000" s="160"/>
      <c r="AA1000" s="160"/>
      <c r="AB1000" s="160"/>
      <c r="AC1000" s="160"/>
    </row>
  </sheetData>
  <autoFilter ref="A2:J22" xr:uid="{00000000-0009-0000-0000-000007000000}"/>
  <mergeCells count="1">
    <mergeCell ref="A1:H1"/>
  </mergeCells>
  <dataValidations count="1">
    <dataValidation type="list" allowBlank="1" showErrorMessage="1" sqref="F3:F21" xr:uid="{00000000-0002-0000-0700-000000000000}">
      <formula1>"Василеостровский,Калининский,Красносельский,Петроградский,Приморский,Фрунзенский,Центральный"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0"/>
  <sheetViews>
    <sheetView workbookViewId="0"/>
  </sheetViews>
  <sheetFormatPr defaultColWidth="12.5703125" defaultRowHeight="15" customHeight="1"/>
  <cols>
    <col min="1" max="1" width="5.140625" customWidth="1"/>
    <col min="2" max="2" width="13.7109375" customWidth="1"/>
    <col min="3" max="3" width="11.28515625" customWidth="1"/>
    <col min="4" max="4" width="13.7109375" customWidth="1"/>
    <col min="5" max="5" width="11.42578125" customWidth="1"/>
    <col min="6" max="6" width="16.85546875" customWidth="1"/>
    <col min="7" max="7" width="12.42578125" customWidth="1"/>
    <col min="8" max="8" width="22.42578125" customWidth="1"/>
    <col min="9" max="9" width="25.5703125" customWidth="1"/>
    <col min="10" max="10" width="16.85546875" customWidth="1"/>
    <col min="11" max="28" width="11.5703125" customWidth="1"/>
  </cols>
  <sheetData>
    <row r="1" spans="1:28" ht="14.25" customHeight="1">
      <c r="A1" s="189" t="s">
        <v>725</v>
      </c>
      <c r="B1" s="176"/>
      <c r="C1" s="176"/>
      <c r="D1" s="176"/>
      <c r="E1" s="176"/>
      <c r="F1" s="176"/>
      <c r="G1" s="176"/>
      <c r="H1" s="177"/>
      <c r="I1" s="165"/>
      <c r="J1" s="166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ht="14.25" customHeight="1">
      <c r="A2" s="145" t="s">
        <v>11</v>
      </c>
      <c r="B2" s="145" t="s">
        <v>13</v>
      </c>
      <c r="C2" s="145" t="s">
        <v>14</v>
      </c>
      <c r="D2" s="145" t="s">
        <v>15</v>
      </c>
      <c r="E2" s="145" t="s">
        <v>16</v>
      </c>
      <c r="F2" s="145" t="s">
        <v>17</v>
      </c>
      <c r="G2" s="145" t="s">
        <v>18</v>
      </c>
      <c r="H2" s="145" t="s">
        <v>9</v>
      </c>
      <c r="I2" s="117" t="s">
        <v>19</v>
      </c>
      <c r="J2" s="19" t="s">
        <v>24</v>
      </c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</row>
    <row r="3" spans="1:28" ht="14.25" customHeight="1">
      <c r="A3" s="23">
        <v>1</v>
      </c>
      <c r="B3" s="23" t="s">
        <v>728</v>
      </c>
      <c r="C3" s="23">
        <v>1</v>
      </c>
      <c r="D3" s="25">
        <v>13.9</v>
      </c>
      <c r="E3" s="25">
        <v>21.4</v>
      </c>
      <c r="F3" s="25" t="s">
        <v>36</v>
      </c>
      <c r="G3" s="41" t="s">
        <v>104</v>
      </c>
      <c r="H3" s="150" t="s">
        <v>61</v>
      </c>
      <c r="I3" s="127"/>
      <c r="J3" s="150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14.25" customHeight="1">
      <c r="A4" s="23">
        <v>2</v>
      </c>
      <c r="B4" s="23" t="s">
        <v>728</v>
      </c>
      <c r="C4" s="23">
        <v>2</v>
      </c>
      <c r="D4" s="25">
        <v>8.6999999999999993</v>
      </c>
      <c r="E4" s="25" t="s">
        <v>61</v>
      </c>
      <c r="F4" s="25" t="s">
        <v>150</v>
      </c>
      <c r="G4" s="41" t="s">
        <v>104</v>
      </c>
      <c r="H4" s="150" t="s">
        <v>730</v>
      </c>
      <c r="I4" s="127"/>
      <c r="J4" s="150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14.25" customHeight="1">
      <c r="A5" s="23">
        <v>3</v>
      </c>
      <c r="B5" s="23" t="s">
        <v>728</v>
      </c>
      <c r="C5" s="23">
        <v>3</v>
      </c>
      <c r="D5" s="25">
        <v>9.6</v>
      </c>
      <c r="E5" s="25" t="s">
        <v>61</v>
      </c>
      <c r="F5" s="25" t="s">
        <v>150</v>
      </c>
      <c r="G5" s="41" t="s">
        <v>104</v>
      </c>
      <c r="H5" s="150" t="s">
        <v>730</v>
      </c>
      <c r="I5" s="127"/>
      <c r="J5" s="150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 ht="14.25" customHeight="1">
      <c r="A6" s="23">
        <v>4</v>
      </c>
      <c r="B6" s="23" t="s">
        <v>728</v>
      </c>
      <c r="C6" s="23">
        <v>4</v>
      </c>
      <c r="D6" s="25">
        <v>13.8</v>
      </c>
      <c r="E6" s="25">
        <v>11.1</v>
      </c>
      <c r="F6" s="25" t="s">
        <v>88</v>
      </c>
      <c r="G6" s="111" t="s">
        <v>104</v>
      </c>
      <c r="H6" s="150" t="s">
        <v>61</v>
      </c>
      <c r="I6" s="127"/>
      <c r="J6" s="150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ht="14.25" customHeight="1">
      <c r="A7" s="23">
        <v>5</v>
      </c>
      <c r="B7" s="23" t="s">
        <v>728</v>
      </c>
      <c r="C7" s="23">
        <v>5</v>
      </c>
      <c r="D7" s="25">
        <v>9</v>
      </c>
      <c r="E7" s="25" t="s">
        <v>61</v>
      </c>
      <c r="F7" s="25" t="s">
        <v>36</v>
      </c>
      <c r="G7" s="111" t="s">
        <v>104</v>
      </c>
      <c r="H7" s="150" t="s">
        <v>732</v>
      </c>
      <c r="I7" s="127"/>
      <c r="J7" s="150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ht="14.25" customHeight="1">
      <c r="A8" s="23">
        <v>6</v>
      </c>
      <c r="B8" s="23" t="s">
        <v>728</v>
      </c>
      <c r="C8" s="23">
        <v>6</v>
      </c>
      <c r="D8" s="25">
        <v>8.9</v>
      </c>
      <c r="E8" s="25" t="s">
        <v>61</v>
      </c>
      <c r="F8" s="25" t="s">
        <v>36</v>
      </c>
      <c r="G8" s="111" t="s">
        <v>104</v>
      </c>
      <c r="H8" s="150" t="s">
        <v>733</v>
      </c>
      <c r="I8" s="127"/>
      <c r="J8" s="150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ht="14.25" customHeight="1">
      <c r="A9" s="23">
        <v>7</v>
      </c>
      <c r="B9" s="23" t="s">
        <v>734</v>
      </c>
      <c r="C9" s="23">
        <v>1</v>
      </c>
      <c r="D9" s="25">
        <v>10.4</v>
      </c>
      <c r="E9" s="25" t="s">
        <v>61</v>
      </c>
      <c r="F9" s="25" t="s">
        <v>77</v>
      </c>
      <c r="G9" s="29" t="s">
        <v>54</v>
      </c>
      <c r="H9" s="150" t="s">
        <v>61</v>
      </c>
      <c r="I9" s="127"/>
      <c r="J9" s="150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 ht="14.25" customHeight="1">
      <c r="A10" s="23">
        <v>8</v>
      </c>
      <c r="B10" s="23" t="s">
        <v>734</v>
      </c>
      <c r="C10" s="23">
        <v>2</v>
      </c>
      <c r="D10" s="25">
        <v>10.6</v>
      </c>
      <c r="E10" s="25" t="s">
        <v>61</v>
      </c>
      <c r="F10" s="25" t="s">
        <v>77</v>
      </c>
      <c r="G10" s="29" t="s">
        <v>54</v>
      </c>
      <c r="H10" s="150" t="s">
        <v>61</v>
      </c>
      <c r="I10" s="127"/>
      <c r="J10" s="150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 ht="14.25" customHeight="1">
      <c r="A11" s="23">
        <v>9</v>
      </c>
      <c r="B11" s="23" t="s">
        <v>734</v>
      </c>
      <c r="C11" s="23">
        <v>3</v>
      </c>
      <c r="D11" s="25">
        <v>8.9</v>
      </c>
      <c r="E11" s="25" t="s">
        <v>61</v>
      </c>
      <c r="F11" s="25" t="s">
        <v>77</v>
      </c>
      <c r="G11" s="29" t="s">
        <v>54</v>
      </c>
      <c r="H11" s="150" t="s">
        <v>61</v>
      </c>
      <c r="I11" s="127"/>
      <c r="J11" s="150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ht="14.25" customHeight="1">
      <c r="A12" s="23">
        <v>10</v>
      </c>
      <c r="B12" s="23" t="s">
        <v>734</v>
      </c>
      <c r="C12" s="23">
        <v>4</v>
      </c>
      <c r="D12" s="25">
        <v>8.6</v>
      </c>
      <c r="E12" s="25" t="s">
        <v>61</v>
      </c>
      <c r="F12" s="25" t="s">
        <v>77</v>
      </c>
      <c r="G12" s="29" t="s">
        <v>54</v>
      </c>
      <c r="H12" s="150" t="s">
        <v>61</v>
      </c>
      <c r="I12" s="127"/>
      <c r="J12" s="150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t="14.25" customHeight="1">
      <c r="A13" s="23">
        <v>11</v>
      </c>
      <c r="B13" s="23" t="s">
        <v>734</v>
      </c>
      <c r="C13" s="23">
        <v>5</v>
      </c>
      <c r="D13" s="25">
        <v>6</v>
      </c>
      <c r="E13" s="25" t="s">
        <v>61</v>
      </c>
      <c r="F13" s="25" t="s">
        <v>89</v>
      </c>
      <c r="G13" s="41" t="s">
        <v>104</v>
      </c>
      <c r="H13" s="150" t="s">
        <v>61</v>
      </c>
      <c r="I13" s="127"/>
      <c r="J13" s="150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t="14.25" customHeight="1">
      <c r="A14" s="23">
        <v>12</v>
      </c>
      <c r="B14" s="23" t="s">
        <v>734</v>
      </c>
      <c r="C14" s="23">
        <v>6</v>
      </c>
      <c r="D14" s="25">
        <v>9.9</v>
      </c>
      <c r="E14" s="25" t="s">
        <v>61</v>
      </c>
      <c r="F14" s="25" t="s">
        <v>89</v>
      </c>
      <c r="G14" s="41" t="s">
        <v>104</v>
      </c>
      <c r="H14" s="150" t="s">
        <v>61</v>
      </c>
      <c r="I14" s="127"/>
      <c r="J14" s="150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t="14.25" customHeight="1">
      <c r="A15" s="23">
        <v>13</v>
      </c>
      <c r="B15" s="23" t="s">
        <v>734</v>
      </c>
      <c r="C15" s="23">
        <v>7</v>
      </c>
      <c r="D15" s="25">
        <v>10.3</v>
      </c>
      <c r="E15" s="25" t="s">
        <v>61</v>
      </c>
      <c r="F15" s="25" t="s">
        <v>89</v>
      </c>
      <c r="G15" s="41" t="s">
        <v>104</v>
      </c>
      <c r="H15" s="150" t="s">
        <v>61</v>
      </c>
      <c r="I15" s="127"/>
      <c r="J15" s="150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t="14.25" customHeight="1">
      <c r="A16" s="23">
        <v>14</v>
      </c>
      <c r="B16" s="23" t="s">
        <v>737</v>
      </c>
      <c r="C16" s="23">
        <v>3</v>
      </c>
      <c r="D16" s="25">
        <v>11.7</v>
      </c>
      <c r="E16" s="25">
        <v>11.1</v>
      </c>
      <c r="F16" s="25" t="s">
        <v>55</v>
      </c>
      <c r="G16" s="29" t="s">
        <v>54</v>
      </c>
      <c r="H16" s="150" t="s">
        <v>61</v>
      </c>
      <c r="I16" s="127"/>
      <c r="J16" s="150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t="14.25" customHeight="1">
      <c r="A17" s="23">
        <v>15</v>
      </c>
      <c r="B17" s="23" t="s">
        <v>738</v>
      </c>
      <c r="C17" s="23">
        <v>1</v>
      </c>
      <c r="D17" s="25">
        <v>7.2</v>
      </c>
      <c r="E17" s="25">
        <v>11.4</v>
      </c>
      <c r="F17" s="25" t="s">
        <v>112</v>
      </c>
      <c r="G17" s="41" t="s">
        <v>104</v>
      </c>
      <c r="H17" s="150" t="s">
        <v>740</v>
      </c>
      <c r="I17" s="127"/>
      <c r="J17" s="150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t="14.25" customHeight="1">
      <c r="A18" s="23">
        <v>16</v>
      </c>
      <c r="B18" s="23" t="s">
        <v>738</v>
      </c>
      <c r="C18" s="23">
        <v>2</v>
      </c>
      <c r="D18" s="25">
        <v>8.6999999999999993</v>
      </c>
      <c r="E18" s="25" t="s">
        <v>61</v>
      </c>
      <c r="F18" s="25" t="s">
        <v>112</v>
      </c>
      <c r="G18" s="41" t="s">
        <v>104</v>
      </c>
      <c r="H18" s="150" t="s">
        <v>740</v>
      </c>
      <c r="I18" s="127"/>
      <c r="J18" s="150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t="14.25" customHeight="1">
      <c r="A19" s="23">
        <v>17</v>
      </c>
      <c r="B19" s="23" t="s">
        <v>738</v>
      </c>
      <c r="C19" s="23">
        <v>3</v>
      </c>
      <c r="D19" s="25">
        <v>12.5</v>
      </c>
      <c r="E19" s="25">
        <v>12.8</v>
      </c>
      <c r="F19" s="25" t="s">
        <v>47</v>
      </c>
      <c r="G19" s="41" t="s">
        <v>104</v>
      </c>
      <c r="H19" s="150" t="s">
        <v>61</v>
      </c>
      <c r="I19" s="127"/>
      <c r="J19" s="150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t="14.25" customHeight="1">
      <c r="A20" s="23">
        <v>18</v>
      </c>
      <c r="B20" s="23" t="s">
        <v>738</v>
      </c>
      <c r="C20" s="23">
        <v>4</v>
      </c>
      <c r="D20" s="25">
        <v>8</v>
      </c>
      <c r="E20" s="25" t="s">
        <v>61</v>
      </c>
      <c r="F20" s="25" t="s">
        <v>47</v>
      </c>
      <c r="G20" s="41" t="s">
        <v>104</v>
      </c>
      <c r="H20" s="150" t="s">
        <v>61</v>
      </c>
      <c r="I20" s="127"/>
      <c r="J20" s="150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spans="1:28" ht="14.25" customHeight="1">
      <c r="A21" s="23">
        <v>19</v>
      </c>
      <c r="B21" s="23" t="s">
        <v>738</v>
      </c>
      <c r="C21" s="23">
        <v>5</v>
      </c>
      <c r="D21" s="25">
        <v>8.4</v>
      </c>
      <c r="E21" s="25" t="s">
        <v>61</v>
      </c>
      <c r="F21" s="25" t="s">
        <v>47</v>
      </c>
      <c r="G21" s="41" t="s">
        <v>104</v>
      </c>
      <c r="H21" s="150" t="s">
        <v>61</v>
      </c>
      <c r="I21" s="127"/>
      <c r="J21" s="150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spans="1:28" ht="14.25" customHeight="1">
      <c r="A22" s="23">
        <v>20</v>
      </c>
      <c r="B22" s="23" t="s">
        <v>738</v>
      </c>
      <c r="C22" s="23">
        <v>6</v>
      </c>
      <c r="D22" s="25">
        <v>13.5</v>
      </c>
      <c r="E22" s="25">
        <v>6.3</v>
      </c>
      <c r="F22" s="25" t="s">
        <v>47</v>
      </c>
      <c r="G22" s="41" t="s">
        <v>104</v>
      </c>
      <c r="H22" s="150" t="s">
        <v>61</v>
      </c>
      <c r="I22" s="127"/>
      <c r="J22" s="150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spans="1:28" ht="14.25" customHeight="1">
      <c r="A23" s="23">
        <v>21</v>
      </c>
      <c r="B23" s="23" t="s">
        <v>738</v>
      </c>
      <c r="C23" s="23">
        <v>7</v>
      </c>
      <c r="D23" s="25">
        <v>8.3000000000000007</v>
      </c>
      <c r="E23" s="25" t="s">
        <v>61</v>
      </c>
      <c r="F23" s="25" t="s">
        <v>55</v>
      </c>
      <c r="G23" s="29" t="s">
        <v>54</v>
      </c>
      <c r="H23" s="150" t="s">
        <v>61</v>
      </c>
      <c r="I23" s="127"/>
      <c r="J23" s="150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spans="1:28" ht="14.25" customHeight="1">
      <c r="A24" s="23">
        <v>22</v>
      </c>
      <c r="B24" s="23" t="s">
        <v>742</v>
      </c>
      <c r="C24" s="23">
        <v>3</v>
      </c>
      <c r="D24" s="25">
        <v>15</v>
      </c>
      <c r="E24" s="25">
        <v>12.6</v>
      </c>
      <c r="F24" s="25" t="s">
        <v>51</v>
      </c>
      <c r="G24" s="25"/>
      <c r="H24" s="150" t="s">
        <v>61</v>
      </c>
      <c r="I24" s="127"/>
      <c r="J24" s="150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spans="1:28" ht="14.25" customHeight="1">
      <c r="A25" s="23">
        <v>23</v>
      </c>
      <c r="B25" s="23" t="s">
        <v>743</v>
      </c>
      <c r="C25" s="23">
        <v>1</v>
      </c>
      <c r="D25" s="25">
        <v>11</v>
      </c>
      <c r="E25" s="25" t="s">
        <v>61</v>
      </c>
      <c r="F25" s="25" t="s">
        <v>124</v>
      </c>
      <c r="G25" s="26" t="s">
        <v>104</v>
      </c>
      <c r="H25" s="150" t="s">
        <v>61</v>
      </c>
      <c r="I25" s="127"/>
      <c r="J25" s="150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spans="1:28" ht="14.25" customHeight="1">
      <c r="A26" s="23">
        <v>24</v>
      </c>
      <c r="B26" s="23" t="s">
        <v>743</v>
      </c>
      <c r="C26" s="23">
        <v>10</v>
      </c>
      <c r="D26" s="25">
        <v>10.3</v>
      </c>
      <c r="E26" s="25" t="s">
        <v>61</v>
      </c>
      <c r="F26" s="41" t="s">
        <v>150</v>
      </c>
      <c r="G26" s="41" t="s">
        <v>104</v>
      </c>
      <c r="H26" s="150" t="s">
        <v>745</v>
      </c>
      <c r="I26" s="122" t="s">
        <v>422</v>
      </c>
      <c r="J26" s="150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spans="1:28" ht="14.25" customHeight="1">
      <c r="A27" s="23">
        <v>25</v>
      </c>
      <c r="B27" s="23" t="s">
        <v>743</v>
      </c>
      <c r="C27" s="23">
        <v>11</v>
      </c>
      <c r="D27" s="25">
        <v>11.3</v>
      </c>
      <c r="E27" s="25" t="s">
        <v>61</v>
      </c>
      <c r="F27" s="41" t="s">
        <v>150</v>
      </c>
      <c r="G27" s="41" t="s">
        <v>104</v>
      </c>
      <c r="H27" s="150" t="s">
        <v>745</v>
      </c>
      <c r="I27" s="122" t="s">
        <v>422</v>
      </c>
      <c r="J27" s="150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spans="1:28" ht="14.25" customHeight="1">
      <c r="A28" s="23">
        <v>26</v>
      </c>
      <c r="B28" s="23" t="s">
        <v>743</v>
      </c>
      <c r="C28" s="23">
        <v>6</v>
      </c>
      <c r="D28" s="25">
        <v>10.6</v>
      </c>
      <c r="E28" s="25" t="s">
        <v>61</v>
      </c>
      <c r="F28" s="41" t="s">
        <v>150</v>
      </c>
      <c r="G28" s="41" t="s">
        <v>104</v>
      </c>
      <c r="H28" s="150" t="s">
        <v>61</v>
      </c>
      <c r="I28" s="122" t="s">
        <v>422</v>
      </c>
      <c r="J28" s="150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spans="1:28" ht="14.25" customHeight="1">
      <c r="A29" s="23">
        <v>27</v>
      </c>
      <c r="B29" s="23" t="s">
        <v>743</v>
      </c>
      <c r="C29" s="23">
        <v>7</v>
      </c>
      <c r="D29" s="25">
        <v>11.1</v>
      </c>
      <c r="E29" s="25" t="s">
        <v>61</v>
      </c>
      <c r="F29" s="25" t="s">
        <v>36</v>
      </c>
      <c r="G29" s="41" t="s">
        <v>104</v>
      </c>
      <c r="H29" s="150" t="s">
        <v>747</v>
      </c>
      <c r="I29" s="127"/>
      <c r="J29" s="150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spans="1:28" ht="14.25" customHeight="1">
      <c r="A30" s="23">
        <v>28</v>
      </c>
      <c r="B30" s="23" t="s">
        <v>743</v>
      </c>
      <c r="C30" s="23">
        <v>8</v>
      </c>
      <c r="D30" s="25">
        <v>10.5</v>
      </c>
      <c r="E30" s="25" t="s">
        <v>61</v>
      </c>
      <c r="F30" s="25" t="s">
        <v>36</v>
      </c>
      <c r="G30" s="41" t="s">
        <v>104</v>
      </c>
      <c r="H30" s="150" t="s">
        <v>747</v>
      </c>
      <c r="I30" s="127"/>
      <c r="J30" s="150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spans="1:28" ht="14.25" customHeight="1">
      <c r="A31" s="23">
        <v>29</v>
      </c>
      <c r="B31" s="23" t="s">
        <v>743</v>
      </c>
      <c r="C31" s="23">
        <v>9</v>
      </c>
      <c r="D31" s="25">
        <v>12.4</v>
      </c>
      <c r="E31" s="25">
        <v>6.2</v>
      </c>
      <c r="F31" s="41" t="s">
        <v>88</v>
      </c>
      <c r="G31" s="111" t="s">
        <v>104</v>
      </c>
      <c r="H31" s="150" t="s">
        <v>61</v>
      </c>
      <c r="I31" s="122" t="s">
        <v>600</v>
      </c>
      <c r="J31" s="150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spans="1:28" ht="14.25" customHeight="1">
      <c r="A32" s="23">
        <v>30</v>
      </c>
      <c r="B32" s="23" t="s">
        <v>749</v>
      </c>
      <c r="C32" s="23">
        <v>1</v>
      </c>
      <c r="D32" s="25">
        <v>12.5</v>
      </c>
      <c r="E32" s="25" t="s">
        <v>61</v>
      </c>
      <c r="F32" s="25" t="s">
        <v>55</v>
      </c>
      <c r="G32" s="29" t="s">
        <v>54</v>
      </c>
      <c r="H32" s="150" t="s">
        <v>61</v>
      </c>
      <c r="I32" s="127"/>
      <c r="J32" s="150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spans="1:28" ht="14.25" customHeight="1">
      <c r="A33" s="23">
        <v>31</v>
      </c>
      <c r="B33" s="23" t="s">
        <v>749</v>
      </c>
      <c r="C33" s="23">
        <v>10</v>
      </c>
      <c r="D33" s="25">
        <v>11.3</v>
      </c>
      <c r="E33" s="25" t="s">
        <v>61</v>
      </c>
      <c r="F33" s="25" t="s">
        <v>79</v>
      </c>
      <c r="G33" s="41" t="s">
        <v>104</v>
      </c>
      <c r="H33" s="150" t="s">
        <v>61</v>
      </c>
      <c r="I33" s="127"/>
      <c r="J33" s="150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spans="1:28" ht="14.25" customHeight="1">
      <c r="A34" s="23">
        <v>32</v>
      </c>
      <c r="B34" s="23" t="s">
        <v>749</v>
      </c>
      <c r="C34" s="23">
        <v>11</v>
      </c>
      <c r="D34" s="25">
        <v>11.8</v>
      </c>
      <c r="E34" s="25" t="s">
        <v>61</v>
      </c>
      <c r="F34" s="25" t="s">
        <v>112</v>
      </c>
      <c r="G34" s="41" t="s">
        <v>104</v>
      </c>
      <c r="H34" s="150" t="s">
        <v>61</v>
      </c>
      <c r="I34" s="127"/>
      <c r="J34" s="150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spans="1:28" ht="14.25" customHeight="1">
      <c r="A35" s="23">
        <v>33</v>
      </c>
      <c r="B35" s="23" t="s">
        <v>749</v>
      </c>
      <c r="C35" s="23">
        <v>2</v>
      </c>
      <c r="D35" s="25">
        <v>8.6</v>
      </c>
      <c r="E35" s="25" t="s">
        <v>61</v>
      </c>
      <c r="F35" s="25" t="s">
        <v>47</v>
      </c>
      <c r="G35" s="41" t="s">
        <v>104</v>
      </c>
      <c r="H35" s="150" t="s">
        <v>730</v>
      </c>
      <c r="I35" s="127"/>
      <c r="J35" s="150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spans="1:28" ht="14.25" customHeight="1">
      <c r="A36" s="23">
        <v>34</v>
      </c>
      <c r="B36" s="23" t="s">
        <v>749</v>
      </c>
      <c r="C36" s="23">
        <v>3</v>
      </c>
      <c r="D36" s="25">
        <v>10.9</v>
      </c>
      <c r="E36" s="25">
        <v>7.5</v>
      </c>
      <c r="F36" s="25" t="s">
        <v>47</v>
      </c>
      <c r="G36" s="41" t="s">
        <v>104</v>
      </c>
      <c r="H36" s="150" t="s">
        <v>730</v>
      </c>
      <c r="I36" s="127"/>
      <c r="J36" s="150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spans="1:28" ht="14.25" customHeight="1">
      <c r="A37" s="23">
        <v>35</v>
      </c>
      <c r="B37" s="23" t="s">
        <v>749</v>
      </c>
      <c r="C37" s="23">
        <v>4</v>
      </c>
      <c r="D37" s="25">
        <v>18.3</v>
      </c>
      <c r="E37" s="25">
        <v>7.5</v>
      </c>
      <c r="F37" s="25" t="s">
        <v>112</v>
      </c>
      <c r="G37" s="41" t="s">
        <v>104</v>
      </c>
      <c r="H37" s="150" t="s">
        <v>61</v>
      </c>
      <c r="I37" s="127"/>
      <c r="J37" s="150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spans="1:28" ht="14.25" customHeight="1">
      <c r="A38" s="23">
        <v>36</v>
      </c>
      <c r="B38" s="23" t="s">
        <v>749</v>
      </c>
      <c r="C38" s="23">
        <v>5</v>
      </c>
      <c r="D38" s="25">
        <v>11.5</v>
      </c>
      <c r="E38" s="25" t="s">
        <v>61</v>
      </c>
      <c r="F38" s="41" t="s">
        <v>150</v>
      </c>
      <c r="G38" s="41" t="s">
        <v>104</v>
      </c>
      <c r="H38" s="150" t="s">
        <v>61</v>
      </c>
      <c r="I38" s="122" t="s">
        <v>468</v>
      </c>
      <c r="J38" s="150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spans="1:28" ht="14.25" customHeight="1">
      <c r="A39" s="23">
        <v>37</v>
      </c>
      <c r="B39" s="23" t="s">
        <v>749</v>
      </c>
      <c r="C39" s="23">
        <v>6</v>
      </c>
      <c r="D39" s="25">
        <v>10.4</v>
      </c>
      <c r="E39" s="25" t="s">
        <v>61</v>
      </c>
      <c r="F39" s="25" t="s">
        <v>89</v>
      </c>
      <c r="G39" s="41" t="s">
        <v>104</v>
      </c>
      <c r="H39" s="150" t="s">
        <v>61</v>
      </c>
      <c r="I39" s="127"/>
      <c r="J39" s="150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spans="1:28" ht="14.25" customHeight="1">
      <c r="A40" s="23">
        <v>38</v>
      </c>
      <c r="B40" s="23" t="s">
        <v>749</v>
      </c>
      <c r="C40" s="23">
        <v>7</v>
      </c>
      <c r="D40" s="25">
        <v>18.3</v>
      </c>
      <c r="E40" s="25" t="s">
        <v>61</v>
      </c>
      <c r="F40" s="25" t="s">
        <v>62</v>
      </c>
      <c r="G40" s="29" t="s">
        <v>54</v>
      </c>
      <c r="H40" s="150" t="s">
        <v>61</v>
      </c>
      <c r="I40" s="127"/>
      <c r="J40" s="150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spans="1:28" ht="14.25" customHeight="1">
      <c r="A41" s="23">
        <v>39</v>
      </c>
      <c r="B41" s="23" t="s">
        <v>749</v>
      </c>
      <c r="C41" s="23">
        <v>8</v>
      </c>
      <c r="D41" s="25">
        <v>8</v>
      </c>
      <c r="E41" s="25" t="s">
        <v>61</v>
      </c>
      <c r="F41" s="25" t="s">
        <v>79</v>
      </c>
      <c r="G41" s="41" t="s">
        <v>104</v>
      </c>
      <c r="H41" s="150" t="s">
        <v>61</v>
      </c>
      <c r="I41" s="127"/>
      <c r="J41" s="150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spans="1:28" ht="14.25" customHeight="1">
      <c r="A42" s="23">
        <v>40</v>
      </c>
      <c r="B42" s="23" t="s">
        <v>749</v>
      </c>
      <c r="C42" s="23">
        <v>9</v>
      </c>
      <c r="D42" s="25">
        <v>17.600000000000001</v>
      </c>
      <c r="E42" s="25">
        <v>6.5</v>
      </c>
      <c r="F42" s="25" t="s">
        <v>79</v>
      </c>
      <c r="G42" s="41" t="s">
        <v>104</v>
      </c>
      <c r="H42" s="150" t="s">
        <v>61</v>
      </c>
      <c r="I42" s="127"/>
      <c r="J42" s="150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spans="1:28" ht="14.25" customHeight="1">
      <c r="A43" s="23">
        <v>41</v>
      </c>
      <c r="B43" s="23" t="s">
        <v>759</v>
      </c>
      <c r="C43" s="23">
        <v>1</v>
      </c>
      <c r="D43" s="25">
        <v>15.5</v>
      </c>
      <c r="E43" s="25" t="s">
        <v>61</v>
      </c>
      <c r="F43" s="25" t="s">
        <v>77</v>
      </c>
      <c r="G43" s="29" t="s">
        <v>54</v>
      </c>
      <c r="H43" s="150" t="s">
        <v>61</v>
      </c>
      <c r="I43" s="127"/>
      <c r="J43" s="150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spans="1:28" ht="14.25" customHeight="1">
      <c r="A44" s="23">
        <v>42</v>
      </c>
      <c r="B44" s="23" t="s">
        <v>759</v>
      </c>
      <c r="C44" s="23">
        <v>10</v>
      </c>
      <c r="D44" s="25">
        <v>10.199999999999999</v>
      </c>
      <c r="E44" s="25" t="s">
        <v>61</v>
      </c>
      <c r="F44" s="25" t="s">
        <v>36</v>
      </c>
      <c r="G44" s="29" t="s">
        <v>54</v>
      </c>
      <c r="H44" s="150" t="s">
        <v>745</v>
      </c>
      <c r="I44" s="127"/>
      <c r="J44" s="150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spans="1:28" ht="14.25" customHeight="1">
      <c r="A45" s="23">
        <v>43</v>
      </c>
      <c r="B45" s="23" t="s">
        <v>759</v>
      </c>
      <c r="C45" s="23">
        <v>11</v>
      </c>
      <c r="D45" s="25">
        <v>9.1</v>
      </c>
      <c r="E45" s="25" t="s">
        <v>61</v>
      </c>
      <c r="F45" s="25" t="s">
        <v>36</v>
      </c>
      <c r="G45" s="29" t="s">
        <v>54</v>
      </c>
      <c r="H45" s="150" t="s">
        <v>745</v>
      </c>
      <c r="I45" s="127"/>
      <c r="J45" s="150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spans="1:28" ht="14.25" customHeight="1">
      <c r="A46" s="23">
        <v>44</v>
      </c>
      <c r="B46" s="23" t="s">
        <v>759</v>
      </c>
      <c r="C46" s="23">
        <v>12</v>
      </c>
      <c r="D46" s="25">
        <v>11.9</v>
      </c>
      <c r="E46" s="25" t="s">
        <v>61</v>
      </c>
      <c r="F46" s="25" t="s">
        <v>150</v>
      </c>
      <c r="G46" s="41" t="s">
        <v>104</v>
      </c>
      <c r="H46" s="150" t="s">
        <v>61</v>
      </c>
      <c r="I46" s="127"/>
      <c r="J46" s="150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spans="1:28" ht="14.25" customHeight="1">
      <c r="A47" s="23">
        <v>45</v>
      </c>
      <c r="B47" s="23" t="s">
        <v>759</v>
      </c>
      <c r="C47" s="23">
        <v>13</v>
      </c>
      <c r="D47" s="25">
        <v>15.1</v>
      </c>
      <c r="E47" s="25" t="s">
        <v>61</v>
      </c>
      <c r="F47" s="25" t="s">
        <v>36</v>
      </c>
      <c r="G47" s="111" t="s">
        <v>104</v>
      </c>
      <c r="H47" s="150" t="s">
        <v>61</v>
      </c>
      <c r="I47" s="127"/>
      <c r="J47" s="150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spans="1:28" ht="14.25" customHeight="1">
      <c r="A48" s="23">
        <v>46</v>
      </c>
      <c r="B48" s="126" t="s">
        <v>759</v>
      </c>
      <c r="C48" s="126">
        <v>14</v>
      </c>
      <c r="D48" s="129">
        <v>10.7</v>
      </c>
      <c r="E48" s="129" t="s">
        <v>61</v>
      </c>
      <c r="F48" s="129" t="s">
        <v>88</v>
      </c>
      <c r="G48" s="111" t="s">
        <v>104</v>
      </c>
      <c r="H48" s="150" t="s">
        <v>763</v>
      </c>
      <c r="I48" s="127"/>
      <c r="J48" s="150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spans="1:28" ht="14.25" customHeight="1">
      <c r="A49" s="23">
        <v>47</v>
      </c>
      <c r="B49" s="126" t="s">
        <v>759</v>
      </c>
      <c r="C49" s="126">
        <v>15</v>
      </c>
      <c r="D49" s="129">
        <v>10.1</v>
      </c>
      <c r="E49" s="129" t="s">
        <v>61</v>
      </c>
      <c r="F49" s="129" t="s">
        <v>88</v>
      </c>
      <c r="G49" s="111" t="s">
        <v>104</v>
      </c>
      <c r="H49" s="150" t="s">
        <v>763</v>
      </c>
      <c r="I49" s="127"/>
      <c r="J49" s="150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spans="1:28" ht="14.25" customHeight="1">
      <c r="A50" s="23">
        <v>48</v>
      </c>
      <c r="B50" s="126" t="s">
        <v>759</v>
      </c>
      <c r="C50" s="126">
        <v>2</v>
      </c>
      <c r="D50" s="129">
        <v>7.9</v>
      </c>
      <c r="E50" s="129" t="s">
        <v>61</v>
      </c>
      <c r="F50" s="129" t="s">
        <v>77</v>
      </c>
      <c r="G50" s="29" t="s">
        <v>54</v>
      </c>
      <c r="H50" s="150" t="s">
        <v>61</v>
      </c>
      <c r="I50" s="127"/>
      <c r="J50" s="150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spans="1:28" ht="14.25" customHeight="1">
      <c r="A51" s="23">
        <v>49</v>
      </c>
      <c r="B51" s="126" t="s">
        <v>759</v>
      </c>
      <c r="C51" s="126">
        <v>3</v>
      </c>
      <c r="D51" s="129">
        <v>9.4</v>
      </c>
      <c r="E51" s="129" t="s">
        <v>61</v>
      </c>
      <c r="F51" s="129" t="s">
        <v>62</v>
      </c>
      <c r="G51" s="29" t="s">
        <v>54</v>
      </c>
      <c r="H51" s="150"/>
      <c r="I51" s="127"/>
      <c r="J51" s="150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spans="1:28" ht="14.25" customHeight="1">
      <c r="A52" s="23">
        <v>50</v>
      </c>
      <c r="B52" s="126" t="s">
        <v>759</v>
      </c>
      <c r="C52" s="126">
        <v>4</v>
      </c>
      <c r="D52" s="129">
        <v>10.3</v>
      </c>
      <c r="E52" s="129" t="s">
        <v>61</v>
      </c>
      <c r="F52" s="129" t="s">
        <v>62</v>
      </c>
      <c r="G52" s="29" t="s">
        <v>54</v>
      </c>
      <c r="H52" s="150"/>
      <c r="I52" s="127"/>
      <c r="J52" s="150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spans="1:28" ht="14.25" customHeight="1">
      <c r="A53" s="23">
        <v>51</v>
      </c>
      <c r="B53" s="126" t="s">
        <v>759</v>
      </c>
      <c r="C53" s="126">
        <v>5</v>
      </c>
      <c r="D53" s="129">
        <v>14.8</v>
      </c>
      <c r="E53" s="129">
        <v>11.8</v>
      </c>
      <c r="F53" s="129" t="s">
        <v>36</v>
      </c>
      <c r="G53" s="41" t="s">
        <v>104</v>
      </c>
      <c r="H53" s="150"/>
      <c r="I53" s="127"/>
      <c r="J53" s="150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spans="1:28" ht="14.25" customHeight="1">
      <c r="A54" s="23">
        <v>52</v>
      </c>
      <c r="B54" s="126" t="s">
        <v>759</v>
      </c>
      <c r="C54" s="126">
        <v>6</v>
      </c>
      <c r="D54" s="129">
        <v>24.6</v>
      </c>
      <c r="E54" s="129">
        <v>21.9</v>
      </c>
      <c r="F54" s="129" t="s">
        <v>47</v>
      </c>
      <c r="G54" s="41" t="s">
        <v>104</v>
      </c>
      <c r="H54" s="150" t="s">
        <v>61</v>
      </c>
      <c r="I54" s="127"/>
      <c r="J54" s="150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spans="1:28" ht="14.25" customHeight="1">
      <c r="A55" s="23">
        <v>53</v>
      </c>
      <c r="B55" s="126" t="s">
        <v>759</v>
      </c>
      <c r="C55" s="126">
        <v>7</v>
      </c>
      <c r="D55" s="129">
        <v>14.1</v>
      </c>
      <c r="E55" s="129">
        <v>8.1999999999999993</v>
      </c>
      <c r="F55" s="129" t="s">
        <v>150</v>
      </c>
      <c r="G55" s="41" t="s">
        <v>104</v>
      </c>
      <c r="H55" s="150" t="s">
        <v>61</v>
      </c>
      <c r="I55" s="127"/>
      <c r="J55" s="150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spans="1:28" ht="14.25" customHeight="1">
      <c r="A56" s="23">
        <v>54</v>
      </c>
      <c r="B56" s="23" t="s">
        <v>759</v>
      </c>
      <c r="C56" s="23">
        <v>8</v>
      </c>
      <c r="D56" s="25">
        <v>9.6</v>
      </c>
      <c r="E56" s="25" t="s">
        <v>61</v>
      </c>
      <c r="F56" s="25" t="s">
        <v>77</v>
      </c>
      <c r="G56" s="29" t="s">
        <v>54</v>
      </c>
      <c r="H56" s="150" t="s">
        <v>61</v>
      </c>
      <c r="I56" s="127"/>
      <c r="J56" s="150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spans="1:28" ht="14.25" customHeight="1">
      <c r="A57" s="23">
        <v>55</v>
      </c>
      <c r="B57" s="23" t="s">
        <v>759</v>
      </c>
      <c r="C57" s="23">
        <v>9</v>
      </c>
      <c r="D57" s="25">
        <v>12.7</v>
      </c>
      <c r="E57" s="25" t="s">
        <v>61</v>
      </c>
      <c r="F57" s="25" t="s">
        <v>77</v>
      </c>
      <c r="G57" s="29" t="s">
        <v>54</v>
      </c>
      <c r="H57" s="150" t="s">
        <v>61</v>
      </c>
      <c r="I57" s="127"/>
      <c r="J57" s="150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spans="1:28" ht="14.25" customHeight="1">
      <c r="A58" s="23">
        <v>56</v>
      </c>
      <c r="B58" s="23" t="s">
        <v>770</v>
      </c>
      <c r="C58" s="23">
        <v>1</v>
      </c>
      <c r="D58" s="25">
        <v>8.9</v>
      </c>
      <c r="E58" s="25" t="s">
        <v>61</v>
      </c>
      <c r="F58" s="25" t="s">
        <v>55</v>
      </c>
      <c r="G58" s="29" t="s">
        <v>54</v>
      </c>
      <c r="H58" s="150" t="s">
        <v>61</v>
      </c>
      <c r="I58" s="127"/>
      <c r="J58" s="150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spans="1:28" ht="14.25" customHeight="1">
      <c r="A59" s="23">
        <v>57</v>
      </c>
      <c r="B59" s="23" t="s">
        <v>770</v>
      </c>
      <c r="C59" s="23">
        <v>2</v>
      </c>
      <c r="D59" s="25">
        <v>12.5</v>
      </c>
      <c r="E59" s="25" t="s">
        <v>61</v>
      </c>
      <c r="F59" s="25" t="s">
        <v>77</v>
      </c>
      <c r="G59" s="29" t="s">
        <v>54</v>
      </c>
      <c r="H59" s="150" t="s">
        <v>61</v>
      </c>
      <c r="I59" s="127"/>
      <c r="J59" s="150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spans="1:28" ht="14.25" customHeight="1">
      <c r="A60" s="23">
        <v>58</v>
      </c>
      <c r="B60" s="23" t="s">
        <v>770</v>
      </c>
      <c r="C60" s="23">
        <v>3</v>
      </c>
      <c r="D60" s="25">
        <v>14.4</v>
      </c>
      <c r="E60" s="25" t="s">
        <v>61</v>
      </c>
      <c r="F60" s="25" t="s">
        <v>47</v>
      </c>
      <c r="G60" s="41" t="s">
        <v>104</v>
      </c>
      <c r="H60" s="150" t="s">
        <v>61</v>
      </c>
      <c r="I60" s="127"/>
      <c r="J60" s="150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spans="1:28" ht="14.25" customHeight="1">
      <c r="A61" s="23">
        <v>59</v>
      </c>
      <c r="B61" s="23" t="s">
        <v>770</v>
      </c>
      <c r="C61" s="23">
        <v>4</v>
      </c>
      <c r="D61" s="25">
        <v>12.7</v>
      </c>
      <c r="E61" s="25">
        <v>12.2</v>
      </c>
      <c r="F61" s="25" t="s">
        <v>112</v>
      </c>
      <c r="G61" s="41" t="s">
        <v>104</v>
      </c>
      <c r="H61" s="150" t="s">
        <v>61</v>
      </c>
      <c r="I61" s="127"/>
      <c r="J61" s="150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spans="1:28" ht="14.25" customHeight="1">
      <c r="A62" s="23">
        <v>60</v>
      </c>
      <c r="B62" s="23" t="s">
        <v>770</v>
      </c>
      <c r="C62" s="23">
        <v>5</v>
      </c>
      <c r="D62" s="25">
        <v>9.8000000000000007</v>
      </c>
      <c r="E62" s="25" t="s">
        <v>61</v>
      </c>
      <c r="F62" s="25" t="s">
        <v>89</v>
      </c>
      <c r="G62" s="41" t="s">
        <v>104</v>
      </c>
      <c r="H62" s="150" t="s">
        <v>61</v>
      </c>
      <c r="I62" s="127"/>
      <c r="J62" s="150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spans="1:28" ht="14.25" customHeight="1">
      <c r="A63" s="23">
        <v>61</v>
      </c>
      <c r="B63" s="23" t="s">
        <v>770</v>
      </c>
      <c r="C63" s="23">
        <v>6</v>
      </c>
      <c r="D63" s="25">
        <v>18.5</v>
      </c>
      <c r="E63" s="25" t="s">
        <v>61</v>
      </c>
      <c r="F63" s="25" t="s">
        <v>88</v>
      </c>
      <c r="G63" s="111" t="s">
        <v>104</v>
      </c>
      <c r="H63" s="150" t="s">
        <v>61</v>
      </c>
      <c r="I63" s="127"/>
      <c r="J63" s="150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spans="1:28" ht="14.25" customHeight="1">
      <c r="A64" s="23">
        <v>62</v>
      </c>
      <c r="B64" s="23" t="s">
        <v>770</v>
      </c>
      <c r="C64" s="23">
        <v>7</v>
      </c>
      <c r="D64" s="25">
        <v>9.3000000000000007</v>
      </c>
      <c r="E64" s="25" t="s">
        <v>61</v>
      </c>
      <c r="F64" s="25" t="s">
        <v>88</v>
      </c>
      <c r="G64" s="111" t="s">
        <v>104</v>
      </c>
      <c r="H64" s="150" t="s">
        <v>61</v>
      </c>
      <c r="I64" s="127"/>
      <c r="J64" s="150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spans="1:28" ht="14.25" customHeight="1">
      <c r="A65" s="23">
        <v>63</v>
      </c>
      <c r="B65" s="23" t="s">
        <v>770</v>
      </c>
      <c r="C65" s="23">
        <v>8</v>
      </c>
      <c r="D65" s="25">
        <v>13.2</v>
      </c>
      <c r="E65" s="25" t="s">
        <v>61</v>
      </c>
      <c r="F65" s="25" t="s">
        <v>62</v>
      </c>
      <c r="G65" s="29" t="s">
        <v>54</v>
      </c>
      <c r="H65" s="150" t="s">
        <v>61</v>
      </c>
      <c r="I65" s="127"/>
      <c r="J65" s="150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spans="1:28" ht="14.25" customHeight="1">
      <c r="A66" s="23">
        <v>64</v>
      </c>
      <c r="B66" s="23" t="s">
        <v>770</v>
      </c>
      <c r="C66" s="23">
        <v>9</v>
      </c>
      <c r="D66" s="25">
        <v>18.8</v>
      </c>
      <c r="E66" s="25" t="s">
        <v>61</v>
      </c>
      <c r="F66" s="25" t="s">
        <v>118</v>
      </c>
      <c r="G66" s="29" t="s">
        <v>54</v>
      </c>
      <c r="H66" s="150" t="s">
        <v>61</v>
      </c>
      <c r="I66" s="127"/>
      <c r="J66" s="150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spans="1:28" ht="14.25" customHeight="1">
      <c r="A67" s="23">
        <v>65</v>
      </c>
      <c r="B67" s="23" t="s">
        <v>773</v>
      </c>
      <c r="C67" s="23">
        <v>1</v>
      </c>
      <c r="D67" s="25">
        <v>7.8</v>
      </c>
      <c r="E67" s="25" t="s">
        <v>61</v>
      </c>
      <c r="F67" s="25" t="s">
        <v>112</v>
      </c>
      <c r="G67" s="41" t="s">
        <v>104</v>
      </c>
      <c r="H67" s="150" t="s">
        <v>61</v>
      </c>
      <c r="I67" s="127"/>
      <c r="J67" s="150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spans="1:28" ht="14.25" customHeight="1">
      <c r="A68" s="23">
        <v>66</v>
      </c>
      <c r="B68" s="23" t="s">
        <v>773</v>
      </c>
      <c r="C68" s="23">
        <v>2</v>
      </c>
      <c r="D68" s="25">
        <v>10.199999999999999</v>
      </c>
      <c r="E68" s="25">
        <v>9.3000000000000007</v>
      </c>
      <c r="F68" s="25" t="s">
        <v>112</v>
      </c>
      <c r="G68" s="41" t="s">
        <v>104</v>
      </c>
      <c r="H68" s="150" t="s">
        <v>61</v>
      </c>
      <c r="I68" s="127"/>
      <c r="J68" s="150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spans="1:28" ht="14.25" customHeight="1">
      <c r="A69" s="23">
        <v>67</v>
      </c>
      <c r="B69" s="23" t="s">
        <v>773</v>
      </c>
      <c r="C69" s="23">
        <v>3</v>
      </c>
      <c r="D69" s="25">
        <v>11.8</v>
      </c>
      <c r="E69" s="25" t="s">
        <v>61</v>
      </c>
      <c r="F69" s="25" t="s">
        <v>12</v>
      </c>
      <c r="G69" s="25"/>
      <c r="H69" s="150" t="s">
        <v>61</v>
      </c>
      <c r="I69" s="127"/>
      <c r="J69" s="150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 spans="1:28" ht="14.25" customHeight="1">
      <c r="A70" s="23">
        <v>68</v>
      </c>
      <c r="B70" s="23" t="s">
        <v>773</v>
      </c>
      <c r="C70" s="23">
        <v>4</v>
      </c>
      <c r="D70" s="25">
        <v>9.6999999999999993</v>
      </c>
      <c r="E70" s="25" t="s">
        <v>61</v>
      </c>
      <c r="F70" s="25" t="s">
        <v>12</v>
      </c>
      <c r="G70" s="25"/>
      <c r="H70" s="150" t="s">
        <v>61</v>
      </c>
      <c r="I70" s="127"/>
      <c r="J70" s="150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spans="1:28" ht="14.25" customHeight="1">
      <c r="A71" s="23">
        <v>69</v>
      </c>
      <c r="B71" s="23" t="s">
        <v>773</v>
      </c>
      <c r="C71" s="23">
        <v>5</v>
      </c>
      <c r="D71" s="25">
        <v>6.6</v>
      </c>
      <c r="E71" s="25" t="s">
        <v>61</v>
      </c>
      <c r="F71" s="25" t="s">
        <v>12</v>
      </c>
      <c r="G71" s="25"/>
      <c r="H71" s="150" t="s">
        <v>61</v>
      </c>
      <c r="I71" s="127"/>
      <c r="J71" s="150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spans="1:28" ht="14.25" customHeight="1">
      <c r="A72" s="23">
        <v>70</v>
      </c>
      <c r="B72" s="23" t="s">
        <v>775</v>
      </c>
      <c r="C72" s="23">
        <v>1</v>
      </c>
      <c r="D72" s="25">
        <v>10.1</v>
      </c>
      <c r="E72" s="25" t="s">
        <v>61</v>
      </c>
      <c r="F72" s="25" t="s">
        <v>89</v>
      </c>
      <c r="G72" s="41" t="s">
        <v>104</v>
      </c>
      <c r="H72" s="150" t="s">
        <v>61</v>
      </c>
      <c r="I72" s="127"/>
      <c r="J72" s="150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spans="1:28" ht="14.25" customHeight="1">
      <c r="A73" s="23">
        <v>71</v>
      </c>
      <c r="B73" s="23" t="s">
        <v>775</v>
      </c>
      <c r="C73" s="23">
        <v>2</v>
      </c>
      <c r="D73" s="25">
        <v>9.4</v>
      </c>
      <c r="E73" s="25" t="s">
        <v>61</v>
      </c>
      <c r="F73" s="25" t="s">
        <v>12</v>
      </c>
      <c r="G73" s="25"/>
      <c r="H73" s="150" t="s">
        <v>61</v>
      </c>
      <c r="I73" s="127"/>
      <c r="J73" s="150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spans="1:28" ht="14.25" customHeight="1">
      <c r="A74" s="23">
        <v>72</v>
      </c>
      <c r="B74" s="23" t="s">
        <v>776</v>
      </c>
      <c r="C74" s="23">
        <v>1</v>
      </c>
      <c r="D74" s="25">
        <v>16.2</v>
      </c>
      <c r="E74" s="25" t="s">
        <v>61</v>
      </c>
      <c r="F74" s="25" t="s">
        <v>12</v>
      </c>
      <c r="G74" s="25"/>
      <c r="H74" s="150" t="s">
        <v>61</v>
      </c>
      <c r="I74" s="127"/>
      <c r="J74" s="150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 spans="1:28" ht="14.25" customHeight="1">
      <c r="A75" s="23">
        <v>73</v>
      </c>
      <c r="B75" s="23" t="s">
        <v>776</v>
      </c>
      <c r="C75" s="23">
        <v>2</v>
      </c>
      <c r="D75" s="25">
        <v>6.7</v>
      </c>
      <c r="E75" s="25" t="s">
        <v>61</v>
      </c>
      <c r="F75" s="25" t="s">
        <v>77</v>
      </c>
      <c r="G75" s="29" t="s">
        <v>54</v>
      </c>
      <c r="H75" s="150" t="s">
        <v>778</v>
      </c>
      <c r="I75" s="127"/>
      <c r="J75" s="150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spans="1:28" ht="14.25" customHeight="1">
      <c r="A76" s="23">
        <v>74</v>
      </c>
      <c r="B76" s="23" t="s">
        <v>776</v>
      </c>
      <c r="C76" s="23">
        <v>3</v>
      </c>
      <c r="D76" s="25">
        <v>10.5</v>
      </c>
      <c r="E76" s="25" t="s">
        <v>61</v>
      </c>
      <c r="F76" s="25" t="s">
        <v>77</v>
      </c>
      <c r="G76" s="29" t="s">
        <v>54</v>
      </c>
      <c r="H76" s="150" t="s">
        <v>779</v>
      </c>
      <c r="I76" s="127"/>
      <c r="J76" s="150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 spans="1:28" ht="14.25" customHeight="1">
      <c r="A77" s="23">
        <v>75</v>
      </c>
      <c r="B77" s="23" t="s">
        <v>780</v>
      </c>
      <c r="C77" s="23">
        <v>1</v>
      </c>
      <c r="D77" s="25">
        <v>13.1</v>
      </c>
      <c r="E77" s="25">
        <v>8.4</v>
      </c>
      <c r="F77" s="25" t="s">
        <v>150</v>
      </c>
      <c r="G77" s="41" t="s">
        <v>104</v>
      </c>
      <c r="H77" s="150" t="s">
        <v>781</v>
      </c>
      <c r="I77" s="127"/>
      <c r="J77" s="150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spans="1:28" ht="14.25" customHeight="1">
      <c r="A78" s="23">
        <v>76</v>
      </c>
      <c r="B78" s="23" t="s">
        <v>780</v>
      </c>
      <c r="C78" s="23">
        <v>2</v>
      </c>
      <c r="D78" s="25">
        <v>12.4</v>
      </c>
      <c r="E78" s="25" t="s">
        <v>61</v>
      </c>
      <c r="F78" s="25" t="s">
        <v>150</v>
      </c>
      <c r="G78" s="41" t="s">
        <v>104</v>
      </c>
      <c r="H78" s="150" t="s">
        <v>781</v>
      </c>
      <c r="I78" s="127"/>
      <c r="J78" s="150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spans="1:28" ht="14.25" customHeight="1">
      <c r="A79" s="23">
        <v>77</v>
      </c>
      <c r="B79" s="23" t="s">
        <v>783</v>
      </c>
      <c r="C79" s="23">
        <v>1</v>
      </c>
      <c r="D79" s="25">
        <v>14.9</v>
      </c>
      <c r="E79" s="25">
        <v>10.8</v>
      </c>
      <c r="F79" s="25" t="s">
        <v>36</v>
      </c>
      <c r="G79" s="41" t="s">
        <v>104</v>
      </c>
      <c r="H79" s="150" t="s">
        <v>61</v>
      </c>
      <c r="I79" s="127"/>
      <c r="J79" s="150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spans="1:28" ht="14.25" customHeight="1">
      <c r="A80" s="23">
        <v>78</v>
      </c>
      <c r="B80" s="23" t="s">
        <v>783</v>
      </c>
      <c r="C80" s="23">
        <v>2</v>
      </c>
      <c r="D80" s="25">
        <v>15.4</v>
      </c>
      <c r="E80" s="25" t="s">
        <v>61</v>
      </c>
      <c r="F80" s="25" t="s">
        <v>88</v>
      </c>
      <c r="G80" s="111" t="s">
        <v>104</v>
      </c>
      <c r="H80" s="150" t="s">
        <v>61</v>
      </c>
      <c r="I80" s="127"/>
      <c r="J80" s="150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spans="1:28" ht="14.25" customHeight="1">
      <c r="A81" s="23">
        <v>79</v>
      </c>
      <c r="B81" s="23" t="s">
        <v>783</v>
      </c>
      <c r="C81" s="23">
        <v>3</v>
      </c>
      <c r="D81" s="25">
        <v>13.4</v>
      </c>
      <c r="E81" s="25">
        <v>10.8</v>
      </c>
      <c r="F81" s="25" t="s">
        <v>118</v>
      </c>
      <c r="G81" s="29" t="s">
        <v>54</v>
      </c>
      <c r="H81" s="150" t="s">
        <v>61</v>
      </c>
      <c r="I81" s="127"/>
      <c r="J81" s="150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spans="1:28" ht="14.25" customHeight="1">
      <c r="A82" s="23">
        <v>80</v>
      </c>
      <c r="B82" s="23" t="s">
        <v>784</v>
      </c>
      <c r="C82" s="23">
        <v>1</v>
      </c>
      <c r="D82" s="25">
        <v>16</v>
      </c>
      <c r="E82" s="25">
        <v>10.8</v>
      </c>
      <c r="F82" s="25" t="s">
        <v>55</v>
      </c>
      <c r="G82" s="29" t="s">
        <v>54</v>
      </c>
      <c r="H82" s="150" t="s">
        <v>61</v>
      </c>
      <c r="I82" s="127"/>
      <c r="J82" s="150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spans="1:28" ht="14.25" customHeight="1">
      <c r="A83" s="23">
        <v>81</v>
      </c>
      <c r="B83" s="23" t="s">
        <v>784</v>
      </c>
      <c r="C83" s="23">
        <v>2</v>
      </c>
      <c r="D83" s="25">
        <v>11.4</v>
      </c>
      <c r="E83" s="25">
        <v>10.7</v>
      </c>
      <c r="F83" s="25" t="s">
        <v>55</v>
      </c>
      <c r="G83" s="29" t="s">
        <v>54</v>
      </c>
      <c r="H83" s="150" t="s">
        <v>61</v>
      </c>
      <c r="I83" s="127"/>
      <c r="J83" s="150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spans="1:28" ht="14.25" customHeight="1">
      <c r="A84" s="23">
        <v>82</v>
      </c>
      <c r="B84" s="23" t="s">
        <v>784</v>
      </c>
      <c r="C84" s="23">
        <v>3</v>
      </c>
      <c r="D84" s="25">
        <v>14.9</v>
      </c>
      <c r="E84" s="25" t="s">
        <v>61</v>
      </c>
      <c r="F84" s="25" t="s">
        <v>79</v>
      </c>
      <c r="G84" s="41" t="s">
        <v>104</v>
      </c>
      <c r="H84" s="150" t="s">
        <v>61</v>
      </c>
      <c r="I84" s="127"/>
      <c r="J84" s="150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spans="1:28" ht="14.25" customHeight="1">
      <c r="A85" s="23">
        <v>83</v>
      </c>
      <c r="B85" s="23" t="s">
        <v>786</v>
      </c>
      <c r="C85" s="23">
        <v>1</v>
      </c>
      <c r="D85" s="25">
        <v>16.899999999999999</v>
      </c>
      <c r="E85" s="25">
        <v>10.9</v>
      </c>
      <c r="F85" s="25" t="s">
        <v>124</v>
      </c>
      <c r="G85" s="26" t="s">
        <v>104</v>
      </c>
      <c r="H85" s="150" t="s">
        <v>61</v>
      </c>
      <c r="I85" s="127"/>
      <c r="J85" s="150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spans="1:28" ht="14.25" customHeight="1">
      <c r="A86" s="23">
        <v>84</v>
      </c>
      <c r="B86" s="23" t="s">
        <v>786</v>
      </c>
      <c r="C86" s="23">
        <v>2</v>
      </c>
      <c r="D86" s="25">
        <v>12.6</v>
      </c>
      <c r="E86" s="25">
        <v>11</v>
      </c>
      <c r="F86" s="25" t="s">
        <v>62</v>
      </c>
      <c r="G86" s="29" t="s">
        <v>54</v>
      </c>
      <c r="H86" s="150" t="s">
        <v>61</v>
      </c>
      <c r="I86" s="127"/>
      <c r="J86" s="150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spans="1:28" ht="14.25" customHeight="1">
      <c r="A87" s="23">
        <v>85</v>
      </c>
      <c r="B87" s="23" t="s">
        <v>786</v>
      </c>
      <c r="C87" s="23">
        <v>3</v>
      </c>
      <c r="D87" s="25">
        <v>16.899999999999999</v>
      </c>
      <c r="E87" s="25" t="s">
        <v>61</v>
      </c>
      <c r="F87" s="25" t="s">
        <v>62</v>
      </c>
      <c r="G87" s="29" t="s">
        <v>54</v>
      </c>
      <c r="H87" s="150" t="s">
        <v>61</v>
      </c>
      <c r="I87" s="127"/>
      <c r="J87" s="150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spans="1:28" ht="14.25" customHeight="1">
      <c r="A88" s="23">
        <v>86</v>
      </c>
      <c r="B88" s="23" t="s">
        <v>787</v>
      </c>
      <c r="C88" s="23">
        <v>1</v>
      </c>
      <c r="D88" s="25">
        <v>17.2</v>
      </c>
      <c r="E88" s="25">
        <v>13.8</v>
      </c>
      <c r="F88" s="25" t="s">
        <v>77</v>
      </c>
      <c r="G88" s="29" t="s">
        <v>54</v>
      </c>
      <c r="H88" s="150" t="s">
        <v>61</v>
      </c>
      <c r="I88" s="127"/>
      <c r="J88" s="150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spans="1:28" ht="14.25" customHeight="1">
      <c r="A89" s="23">
        <v>87</v>
      </c>
      <c r="B89" s="23" t="s">
        <v>787</v>
      </c>
      <c r="C89" s="23">
        <v>2</v>
      </c>
      <c r="D89" s="25">
        <v>12.7</v>
      </c>
      <c r="E89" s="25">
        <v>10.8</v>
      </c>
      <c r="F89" s="25" t="s">
        <v>77</v>
      </c>
      <c r="G89" s="29" t="s">
        <v>54</v>
      </c>
      <c r="H89" s="150" t="s">
        <v>61</v>
      </c>
      <c r="I89" s="127"/>
      <c r="J89" s="150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spans="1:28" ht="14.25" customHeight="1">
      <c r="A90" s="23">
        <v>88</v>
      </c>
      <c r="B90" s="23" t="s">
        <v>787</v>
      </c>
      <c r="C90" s="23">
        <v>3</v>
      </c>
      <c r="D90" s="25">
        <v>16.7</v>
      </c>
      <c r="E90" s="25" t="s">
        <v>61</v>
      </c>
      <c r="F90" s="25" t="s">
        <v>77</v>
      </c>
      <c r="G90" s="29" t="s">
        <v>54</v>
      </c>
      <c r="H90" s="150" t="s">
        <v>61</v>
      </c>
      <c r="I90" s="127"/>
      <c r="J90" s="150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spans="1:28" ht="14.25" customHeight="1">
      <c r="A91" s="23">
        <v>89</v>
      </c>
      <c r="B91" s="23" t="s">
        <v>789</v>
      </c>
      <c r="C91" s="23">
        <v>1</v>
      </c>
      <c r="D91" s="25">
        <v>16.899999999999999</v>
      </c>
      <c r="E91" s="25" t="s">
        <v>61</v>
      </c>
      <c r="F91" s="25" t="s">
        <v>47</v>
      </c>
      <c r="G91" s="41" t="s">
        <v>104</v>
      </c>
      <c r="H91" s="150" t="s">
        <v>61</v>
      </c>
      <c r="I91" s="127"/>
      <c r="J91" s="150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spans="1:28" ht="14.25" customHeight="1">
      <c r="A92" s="23">
        <v>90</v>
      </c>
      <c r="B92" s="23" t="s">
        <v>789</v>
      </c>
      <c r="C92" s="23">
        <v>2</v>
      </c>
      <c r="D92" s="25">
        <v>12.7</v>
      </c>
      <c r="E92" s="25">
        <v>10.6</v>
      </c>
      <c r="F92" s="25" t="s">
        <v>118</v>
      </c>
      <c r="G92" s="29" t="s">
        <v>54</v>
      </c>
      <c r="H92" s="150" t="s">
        <v>61</v>
      </c>
      <c r="I92" s="127"/>
      <c r="J92" s="150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spans="1:28" ht="14.25" customHeight="1">
      <c r="A93" s="23">
        <v>91</v>
      </c>
      <c r="B93" s="23" t="s">
        <v>789</v>
      </c>
      <c r="C93" s="23">
        <v>3</v>
      </c>
      <c r="D93" s="25">
        <v>17</v>
      </c>
      <c r="E93" s="25">
        <v>10.9</v>
      </c>
      <c r="F93" s="25" t="s">
        <v>118</v>
      </c>
      <c r="G93" s="29" t="s">
        <v>54</v>
      </c>
      <c r="H93" s="150" t="s">
        <v>61</v>
      </c>
      <c r="I93" s="127"/>
      <c r="J93" s="150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spans="1:28" ht="14.25" customHeight="1">
      <c r="A94" s="23">
        <v>92</v>
      </c>
      <c r="B94" s="23" t="s">
        <v>791</v>
      </c>
      <c r="C94" s="23">
        <v>1</v>
      </c>
      <c r="D94" s="25">
        <v>17</v>
      </c>
      <c r="E94" s="25" t="s">
        <v>61</v>
      </c>
      <c r="F94" s="25" t="s">
        <v>47</v>
      </c>
      <c r="G94" s="25"/>
      <c r="H94" s="150" t="s">
        <v>61</v>
      </c>
      <c r="I94" s="127"/>
      <c r="J94" s="150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spans="1:28" ht="14.25" customHeight="1">
      <c r="A95" s="23">
        <v>93</v>
      </c>
      <c r="B95" s="23" t="s">
        <v>791</v>
      </c>
      <c r="C95" s="23">
        <v>2</v>
      </c>
      <c r="D95" s="25">
        <v>12.9</v>
      </c>
      <c r="E95" s="25">
        <v>10.8</v>
      </c>
      <c r="F95" s="25" t="s">
        <v>55</v>
      </c>
      <c r="G95" s="29" t="s">
        <v>54</v>
      </c>
      <c r="H95" s="150" t="s">
        <v>61</v>
      </c>
      <c r="I95" s="127"/>
      <c r="J95" s="150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spans="1:28" ht="14.25" customHeight="1">
      <c r="A96" s="23">
        <v>94</v>
      </c>
      <c r="B96" s="23" t="s">
        <v>791</v>
      </c>
      <c r="C96" s="23">
        <v>3</v>
      </c>
      <c r="D96" s="25">
        <v>17.399999999999999</v>
      </c>
      <c r="E96" s="25">
        <v>10.7</v>
      </c>
      <c r="F96" s="25" t="s">
        <v>77</v>
      </c>
      <c r="G96" s="29" t="s">
        <v>54</v>
      </c>
      <c r="H96" s="150" t="s">
        <v>61</v>
      </c>
      <c r="I96" s="127"/>
      <c r="J96" s="150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spans="1:28" ht="14.25" customHeight="1">
      <c r="A97" s="23">
        <v>95</v>
      </c>
      <c r="B97" s="23" t="s">
        <v>792</v>
      </c>
      <c r="C97" s="23">
        <v>1</v>
      </c>
      <c r="D97" s="25">
        <v>12.6</v>
      </c>
      <c r="E97" s="25">
        <v>10.5</v>
      </c>
      <c r="F97" s="25" t="s">
        <v>55</v>
      </c>
      <c r="G97" s="29" t="s">
        <v>54</v>
      </c>
      <c r="H97" s="150" t="s">
        <v>61</v>
      </c>
      <c r="I97" s="127"/>
      <c r="J97" s="150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spans="1:28" ht="14.25" customHeight="1">
      <c r="A98" s="23">
        <v>96</v>
      </c>
      <c r="B98" s="23" t="s">
        <v>792</v>
      </c>
      <c r="C98" s="23">
        <v>2</v>
      </c>
      <c r="D98" s="25">
        <v>16.5</v>
      </c>
      <c r="E98" s="25" t="s">
        <v>61</v>
      </c>
      <c r="F98" s="25" t="s">
        <v>124</v>
      </c>
      <c r="G98" s="26" t="s">
        <v>104</v>
      </c>
      <c r="H98" s="150" t="s">
        <v>61</v>
      </c>
      <c r="I98" s="127"/>
      <c r="J98" s="150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spans="1:28" ht="14.25" customHeight="1">
      <c r="A99" s="23">
        <v>97</v>
      </c>
      <c r="B99" s="23" t="s">
        <v>792</v>
      </c>
      <c r="C99" s="23">
        <v>3</v>
      </c>
      <c r="D99" s="25">
        <v>16.5</v>
      </c>
      <c r="E99" s="25">
        <v>10.7</v>
      </c>
      <c r="F99" s="25" t="s">
        <v>150</v>
      </c>
      <c r="G99" s="41" t="s">
        <v>104</v>
      </c>
      <c r="H99" s="150" t="s">
        <v>61</v>
      </c>
      <c r="I99" s="127"/>
      <c r="J99" s="150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spans="1:28" ht="14.25" customHeight="1">
      <c r="A100" s="23">
        <v>98</v>
      </c>
      <c r="B100" s="23" t="s">
        <v>794</v>
      </c>
      <c r="C100" s="23">
        <v>1</v>
      </c>
      <c r="D100" s="25">
        <v>13</v>
      </c>
      <c r="E100" s="25">
        <v>10.9</v>
      </c>
      <c r="F100" s="25" t="s">
        <v>88</v>
      </c>
      <c r="G100" s="111" t="s">
        <v>104</v>
      </c>
      <c r="H100" s="150" t="s">
        <v>61</v>
      </c>
      <c r="I100" s="127"/>
      <c r="J100" s="150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spans="1:28" ht="14.25" customHeight="1">
      <c r="A101" s="23">
        <v>99</v>
      </c>
      <c r="B101" s="23" t="s">
        <v>794</v>
      </c>
      <c r="C101" s="23">
        <v>2</v>
      </c>
      <c r="D101" s="25">
        <v>15.9</v>
      </c>
      <c r="E101" s="25" t="s">
        <v>61</v>
      </c>
      <c r="F101" s="25" t="s">
        <v>88</v>
      </c>
      <c r="G101" s="111" t="s">
        <v>104</v>
      </c>
      <c r="H101" s="150" t="s">
        <v>61</v>
      </c>
      <c r="I101" s="127"/>
      <c r="J101" s="150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spans="1:28" ht="14.25" customHeight="1">
      <c r="A102" s="23">
        <v>100</v>
      </c>
      <c r="B102" s="23" t="s">
        <v>796</v>
      </c>
      <c r="C102" s="23">
        <v>1</v>
      </c>
      <c r="D102" s="25">
        <v>12.1</v>
      </c>
      <c r="E102" s="25" t="s">
        <v>61</v>
      </c>
      <c r="F102" s="25" t="s">
        <v>89</v>
      </c>
      <c r="G102" s="41" t="s">
        <v>104</v>
      </c>
      <c r="H102" s="150" t="s">
        <v>61</v>
      </c>
      <c r="I102" s="127"/>
      <c r="J102" s="150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spans="1:28" ht="14.25" customHeight="1">
      <c r="A103" s="23">
        <v>101</v>
      </c>
      <c r="B103" s="23" t="s">
        <v>796</v>
      </c>
      <c r="C103" s="23">
        <v>2</v>
      </c>
      <c r="D103" s="25">
        <v>16.100000000000001</v>
      </c>
      <c r="E103" s="25">
        <v>12.1</v>
      </c>
      <c r="F103" s="25" t="s">
        <v>118</v>
      </c>
      <c r="G103" s="29" t="s">
        <v>54</v>
      </c>
      <c r="H103" s="150" t="s">
        <v>61</v>
      </c>
      <c r="I103" s="127"/>
      <c r="J103" s="150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spans="1:28" ht="14.25" customHeight="1">
      <c r="A104" s="23">
        <v>102</v>
      </c>
      <c r="B104" s="23" t="s">
        <v>796</v>
      </c>
      <c r="C104" s="23">
        <v>3</v>
      </c>
      <c r="D104" s="25">
        <v>12.9</v>
      </c>
      <c r="E104" s="25">
        <v>12.1</v>
      </c>
      <c r="F104" s="25" t="s">
        <v>150</v>
      </c>
      <c r="G104" s="41" t="s">
        <v>104</v>
      </c>
      <c r="H104" s="150" t="s">
        <v>61</v>
      </c>
      <c r="I104" s="127"/>
      <c r="J104" s="150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spans="1:28" ht="14.25" customHeight="1">
      <c r="A105" s="69"/>
      <c r="B105" s="69"/>
      <c r="C105" s="69"/>
      <c r="D105" s="155">
        <f t="shared" ref="D105:E105" si="0">SUM(D3:D104)</f>
        <v>1255.4000000000003</v>
      </c>
      <c r="E105" s="155">
        <f t="shared" si="0"/>
        <v>375.1</v>
      </c>
      <c r="F105" s="69"/>
      <c r="G105" s="69"/>
      <c r="H105" s="128"/>
      <c r="I105" s="127"/>
      <c r="J105" s="150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spans="1:28" ht="14.25" customHeight="1">
      <c r="A106" s="13"/>
      <c r="B106" s="13"/>
      <c r="C106" s="13"/>
      <c r="D106" s="13"/>
      <c r="E106" s="13"/>
      <c r="F106" s="13"/>
      <c r="G106" s="13"/>
      <c r="H106" s="12"/>
      <c r="I106" s="165"/>
      <c r="J106" s="166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spans="1:28" ht="14.25" customHeight="1">
      <c r="A107" s="13"/>
      <c r="B107" s="13"/>
      <c r="C107" s="13"/>
      <c r="D107" s="13"/>
      <c r="E107" s="13"/>
      <c r="F107" s="13"/>
      <c r="G107" s="13"/>
      <c r="H107" s="12"/>
      <c r="I107" s="165"/>
      <c r="J107" s="166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spans="1:28" ht="14.25" customHeight="1">
      <c r="A108" s="13"/>
      <c r="B108" s="13"/>
      <c r="C108" s="13"/>
      <c r="D108" s="13"/>
      <c r="E108" s="13"/>
      <c r="F108" s="13"/>
      <c r="G108" s="13"/>
      <c r="H108" s="12"/>
      <c r="I108" s="165"/>
      <c r="J108" s="166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spans="1:28" ht="14.25" customHeight="1">
      <c r="A109" s="13"/>
      <c r="B109" s="13"/>
      <c r="C109" s="13"/>
      <c r="D109" s="13"/>
      <c r="E109" s="13"/>
      <c r="F109" s="13"/>
      <c r="G109" s="13"/>
      <c r="H109" s="12"/>
      <c r="I109" s="165"/>
      <c r="J109" s="166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spans="1:28" ht="14.25" customHeight="1">
      <c r="A110" s="13"/>
      <c r="B110" s="13"/>
      <c r="C110" s="13"/>
      <c r="D110" s="13"/>
      <c r="E110" s="13"/>
      <c r="F110" s="13"/>
      <c r="G110" s="13"/>
      <c r="H110" s="12"/>
      <c r="I110" s="165"/>
      <c r="J110" s="166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spans="1:28" ht="14.25" customHeight="1">
      <c r="A111" s="13"/>
      <c r="B111" s="13"/>
      <c r="C111" s="13"/>
      <c r="D111" s="13"/>
      <c r="E111" s="13"/>
      <c r="F111" s="13"/>
      <c r="G111" s="13"/>
      <c r="H111" s="12"/>
      <c r="I111" s="165"/>
      <c r="J111" s="166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spans="1:28" ht="14.25" customHeight="1">
      <c r="A112" s="13"/>
      <c r="B112" s="13"/>
      <c r="C112" s="13"/>
      <c r="D112" s="13"/>
      <c r="E112" s="13"/>
      <c r="F112" s="13"/>
      <c r="G112" s="13"/>
      <c r="H112" s="12"/>
      <c r="I112" s="165"/>
      <c r="J112" s="166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spans="1:28" ht="14.25" customHeight="1">
      <c r="A113" s="13"/>
      <c r="B113" s="13"/>
      <c r="C113" s="13"/>
      <c r="D113" s="13"/>
      <c r="E113" s="13"/>
      <c r="F113" s="13"/>
      <c r="G113" s="13"/>
      <c r="H113" s="12"/>
      <c r="I113" s="165"/>
      <c r="J113" s="166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spans="1:28" ht="14.25" customHeight="1">
      <c r="A114" s="13"/>
      <c r="B114" s="13"/>
      <c r="C114" s="13"/>
      <c r="D114" s="13"/>
      <c r="E114" s="13"/>
      <c r="F114" s="13"/>
      <c r="G114" s="13"/>
      <c r="H114" s="12"/>
      <c r="I114" s="165"/>
      <c r="J114" s="166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spans="1:28" ht="14.25" customHeight="1">
      <c r="A115" s="13"/>
      <c r="B115" s="13"/>
      <c r="C115" s="13"/>
      <c r="D115" s="13"/>
      <c r="E115" s="13"/>
      <c r="F115" s="13"/>
      <c r="G115" s="13"/>
      <c r="H115" s="12"/>
      <c r="I115" s="165"/>
      <c r="J115" s="166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spans="1:28" ht="14.25" customHeight="1">
      <c r="A116" s="13"/>
      <c r="B116" s="13"/>
      <c r="C116" s="13"/>
      <c r="D116" s="13"/>
      <c r="E116" s="13"/>
      <c r="F116" s="13"/>
      <c r="G116" s="13"/>
      <c r="H116" s="12"/>
      <c r="I116" s="165"/>
      <c r="J116" s="166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spans="1:28" ht="14.25" customHeight="1">
      <c r="A117" s="13"/>
      <c r="B117" s="13"/>
      <c r="C117" s="13"/>
      <c r="D117" s="13"/>
      <c r="E117" s="13"/>
      <c r="F117" s="13"/>
      <c r="G117" s="13"/>
      <c r="H117" s="12"/>
      <c r="I117" s="165"/>
      <c r="J117" s="166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spans="1:28" ht="14.25" customHeight="1">
      <c r="A118" s="13"/>
      <c r="B118" s="13"/>
      <c r="C118" s="13"/>
      <c r="D118" s="13"/>
      <c r="E118" s="13"/>
      <c r="F118" s="13"/>
      <c r="G118" s="13"/>
      <c r="H118" s="12"/>
      <c r="I118" s="165"/>
      <c r="J118" s="166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spans="1:28" ht="14.25" customHeight="1">
      <c r="A119" s="13"/>
      <c r="B119" s="13"/>
      <c r="C119" s="13"/>
      <c r="D119" s="13"/>
      <c r="E119" s="13"/>
      <c r="F119" s="13"/>
      <c r="G119" s="13"/>
      <c r="H119" s="12"/>
      <c r="I119" s="165"/>
      <c r="J119" s="166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spans="1:28" ht="14.25" customHeight="1">
      <c r="A120" s="13"/>
      <c r="B120" s="13"/>
      <c r="C120" s="13"/>
      <c r="D120" s="13"/>
      <c r="E120" s="13"/>
      <c r="F120" s="13"/>
      <c r="G120" s="13"/>
      <c r="H120" s="12"/>
      <c r="I120" s="165"/>
      <c r="J120" s="166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spans="1:28" ht="14.25" customHeight="1">
      <c r="A121" s="13"/>
      <c r="B121" s="13"/>
      <c r="C121" s="13"/>
      <c r="D121" s="13"/>
      <c r="E121" s="13"/>
      <c r="F121" s="13"/>
      <c r="G121" s="13"/>
      <c r="H121" s="12"/>
      <c r="I121" s="165"/>
      <c r="J121" s="166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spans="1:28" ht="14.25" customHeight="1">
      <c r="A122" s="13"/>
      <c r="B122" s="13"/>
      <c r="C122" s="13"/>
      <c r="D122" s="13"/>
      <c r="E122" s="13"/>
      <c r="F122" s="13"/>
      <c r="G122" s="13"/>
      <c r="H122" s="12"/>
      <c r="I122" s="165"/>
      <c r="J122" s="166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spans="1:28" ht="14.25" customHeight="1">
      <c r="A123" s="13"/>
      <c r="B123" s="13"/>
      <c r="C123" s="13"/>
      <c r="D123" s="13"/>
      <c r="E123" s="13"/>
      <c r="F123" s="13"/>
      <c r="G123" s="13"/>
      <c r="H123" s="12"/>
      <c r="I123" s="165"/>
      <c r="J123" s="166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spans="1:28" ht="14.25" customHeight="1">
      <c r="A124" s="13"/>
      <c r="B124" s="13"/>
      <c r="C124" s="13"/>
      <c r="D124" s="13"/>
      <c r="E124" s="13"/>
      <c r="F124" s="13"/>
      <c r="G124" s="13"/>
      <c r="H124" s="12"/>
      <c r="I124" s="165"/>
      <c r="J124" s="166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spans="1:28" ht="14.25" customHeight="1">
      <c r="A125" s="13"/>
      <c r="B125" s="13"/>
      <c r="C125" s="13"/>
      <c r="D125" s="13"/>
      <c r="E125" s="13"/>
      <c r="F125" s="13"/>
      <c r="G125" s="13"/>
      <c r="H125" s="12"/>
      <c r="I125" s="165"/>
      <c r="J125" s="166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spans="1:28" ht="14.25" customHeight="1">
      <c r="A126" s="13"/>
      <c r="B126" s="13"/>
      <c r="C126" s="13"/>
      <c r="D126" s="13"/>
      <c r="E126" s="13"/>
      <c r="F126" s="13"/>
      <c r="G126" s="13"/>
      <c r="H126" s="12"/>
      <c r="I126" s="165"/>
      <c r="J126" s="166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spans="1:28" ht="14.25" customHeight="1">
      <c r="A127" s="13"/>
      <c r="B127" s="13"/>
      <c r="C127" s="13"/>
      <c r="D127" s="13"/>
      <c r="E127" s="13"/>
      <c r="F127" s="13"/>
      <c r="G127" s="13"/>
      <c r="H127" s="12"/>
      <c r="I127" s="165"/>
      <c r="J127" s="166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spans="1:28" ht="14.25" customHeight="1">
      <c r="A128" s="13"/>
      <c r="B128" s="13"/>
      <c r="C128" s="13"/>
      <c r="D128" s="13"/>
      <c r="E128" s="13"/>
      <c r="F128" s="13"/>
      <c r="G128" s="13"/>
      <c r="H128" s="12"/>
      <c r="I128" s="165"/>
      <c r="J128" s="166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spans="1:28" ht="14.25" customHeight="1">
      <c r="A129" s="13"/>
      <c r="B129" s="13"/>
      <c r="C129" s="13"/>
      <c r="D129" s="13"/>
      <c r="E129" s="13"/>
      <c r="F129" s="13"/>
      <c r="G129" s="13"/>
      <c r="H129" s="12"/>
      <c r="I129" s="165"/>
      <c r="J129" s="166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spans="1:28" ht="14.25" customHeight="1">
      <c r="A130" s="13"/>
      <c r="B130" s="13"/>
      <c r="C130" s="13"/>
      <c r="D130" s="13"/>
      <c r="E130" s="13"/>
      <c r="F130" s="13"/>
      <c r="G130" s="13"/>
      <c r="H130" s="12"/>
      <c r="I130" s="165"/>
      <c r="J130" s="166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spans="1:28" ht="14.25" customHeight="1">
      <c r="A131" s="13"/>
      <c r="B131" s="13"/>
      <c r="C131" s="13"/>
      <c r="D131" s="13"/>
      <c r="E131" s="13"/>
      <c r="F131" s="13"/>
      <c r="G131" s="13"/>
      <c r="H131" s="12"/>
      <c r="I131" s="165"/>
      <c r="J131" s="166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spans="1:28" ht="14.25" customHeight="1">
      <c r="A132" s="13"/>
      <c r="B132" s="13"/>
      <c r="C132" s="13"/>
      <c r="D132" s="13"/>
      <c r="E132" s="13"/>
      <c r="F132" s="13"/>
      <c r="G132" s="13"/>
      <c r="H132" s="12"/>
      <c r="I132" s="165"/>
      <c r="J132" s="166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spans="1:28" ht="14.25" customHeight="1">
      <c r="A133" s="13"/>
      <c r="B133" s="13"/>
      <c r="C133" s="13"/>
      <c r="D133" s="13"/>
      <c r="E133" s="13"/>
      <c r="F133" s="13"/>
      <c r="G133" s="13"/>
      <c r="H133" s="12"/>
      <c r="I133" s="165"/>
      <c r="J133" s="166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spans="1:28" ht="14.25" customHeight="1">
      <c r="A134" s="13"/>
      <c r="B134" s="13"/>
      <c r="C134" s="13"/>
      <c r="D134" s="13"/>
      <c r="E134" s="13"/>
      <c r="F134" s="13"/>
      <c r="G134" s="13"/>
      <c r="H134" s="12"/>
      <c r="I134" s="165"/>
      <c r="J134" s="166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spans="1:28" ht="14.25" customHeight="1">
      <c r="A135" s="13"/>
      <c r="B135" s="13"/>
      <c r="C135" s="13"/>
      <c r="D135" s="13"/>
      <c r="E135" s="13"/>
      <c r="F135" s="13"/>
      <c r="G135" s="13"/>
      <c r="H135" s="12"/>
      <c r="I135" s="165"/>
      <c r="J135" s="166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spans="1:28" ht="14.25" customHeight="1">
      <c r="A136" s="13"/>
      <c r="B136" s="13"/>
      <c r="C136" s="13"/>
      <c r="D136" s="13"/>
      <c r="E136" s="13"/>
      <c r="F136" s="13"/>
      <c r="G136" s="13"/>
      <c r="H136" s="12"/>
      <c r="I136" s="165"/>
      <c r="J136" s="166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spans="1:28" ht="14.25" customHeight="1">
      <c r="A137" s="13"/>
      <c r="B137" s="13"/>
      <c r="C137" s="13"/>
      <c r="D137" s="13"/>
      <c r="E137" s="13"/>
      <c r="F137" s="13"/>
      <c r="G137" s="13"/>
      <c r="H137" s="12"/>
      <c r="I137" s="165"/>
      <c r="J137" s="166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spans="1:28" ht="14.25" customHeight="1">
      <c r="A138" s="13"/>
      <c r="B138" s="13"/>
      <c r="C138" s="13"/>
      <c r="D138" s="13"/>
      <c r="E138" s="13"/>
      <c r="F138" s="13"/>
      <c r="G138" s="13"/>
      <c r="H138" s="12"/>
      <c r="I138" s="165"/>
      <c r="J138" s="166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spans="1:28" ht="14.25" customHeight="1">
      <c r="A139" s="13"/>
      <c r="B139" s="13"/>
      <c r="C139" s="13"/>
      <c r="D139" s="13"/>
      <c r="E139" s="13"/>
      <c r="F139" s="13"/>
      <c r="G139" s="13"/>
      <c r="H139" s="12"/>
      <c r="I139" s="165"/>
      <c r="J139" s="166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spans="1:28" ht="14.25" customHeight="1">
      <c r="A140" s="13"/>
      <c r="B140" s="13"/>
      <c r="C140" s="13"/>
      <c r="D140" s="13"/>
      <c r="E140" s="13"/>
      <c r="F140" s="13"/>
      <c r="G140" s="13"/>
      <c r="H140" s="12"/>
      <c r="I140" s="165"/>
      <c r="J140" s="166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spans="1:28" ht="14.25" customHeight="1">
      <c r="A141" s="13"/>
      <c r="B141" s="13"/>
      <c r="C141" s="13"/>
      <c r="D141" s="13"/>
      <c r="E141" s="13"/>
      <c r="F141" s="13"/>
      <c r="G141" s="13"/>
      <c r="H141" s="12"/>
      <c r="I141" s="165"/>
      <c r="J141" s="166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spans="1:28" ht="14.25" customHeight="1">
      <c r="A142" s="13"/>
      <c r="B142" s="13"/>
      <c r="C142" s="13"/>
      <c r="D142" s="13"/>
      <c r="E142" s="13"/>
      <c r="F142" s="13"/>
      <c r="G142" s="13"/>
      <c r="H142" s="12"/>
      <c r="I142" s="165"/>
      <c r="J142" s="166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spans="1:28" ht="14.25" customHeight="1">
      <c r="A143" s="13"/>
      <c r="B143" s="13"/>
      <c r="C143" s="13"/>
      <c r="D143" s="13"/>
      <c r="E143" s="13"/>
      <c r="F143" s="13"/>
      <c r="G143" s="13"/>
      <c r="H143" s="12"/>
      <c r="I143" s="165"/>
      <c r="J143" s="166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spans="1:28" ht="14.25" customHeight="1">
      <c r="A144" s="13"/>
      <c r="B144" s="13"/>
      <c r="C144" s="13"/>
      <c r="D144" s="13"/>
      <c r="E144" s="13"/>
      <c r="F144" s="13"/>
      <c r="G144" s="13"/>
      <c r="H144" s="12"/>
      <c r="I144" s="165"/>
      <c r="J144" s="166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spans="1:28" ht="14.25" customHeight="1">
      <c r="A145" s="13"/>
      <c r="B145" s="13"/>
      <c r="C145" s="13"/>
      <c r="D145" s="13"/>
      <c r="E145" s="13"/>
      <c r="F145" s="13"/>
      <c r="G145" s="13"/>
      <c r="H145" s="12"/>
      <c r="I145" s="165"/>
      <c r="J145" s="166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spans="1:28" ht="14.25" customHeight="1">
      <c r="A146" s="13"/>
      <c r="B146" s="13"/>
      <c r="C146" s="13"/>
      <c r="D146" s="13"/>
      <c r="E146" s="13"/>
      <c r="F146" s="13"/>
      <c r="G146" s="13"/>
      <c r="H146" s="12"/>
      <c r="I146" s="165"/>
      <c r="J146" s="166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spans="1:28" ht="14.25" customHeight="1">
      <c r="A147" s="13"/>
      <c r="B147" s="13"/>
      <c r="C147" s="13"/>
      <c r="D147" s="13"/>
      <c r="E147" s="13"/>
      <c r="F147" s="13"/>
      <c r="G147" s="13"/>
      <c r="H147" s="12"/>
      <c r="I147" s="165"/>
      <c r="J147" s="166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spans="1:28" ht="14.25" customHeight="1">
      <c r="A148" s="13"/>
      <c r="B148" s="13"/>
      <c r="C148" s="13"/>
      <c r="D148" s="13"/>
      <c r="E148" s="13"/>
      <c r="F148" s="13"/>
      <c r="G148" s="13"/>
      <c r="H148" s="12"/>
      <c r="I148" s="165"/>
      <c r="J148" s="166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spans="1:28" ht="14.25" customHeight="1">
      <c r="A149" s="13"/>
      <c r="B149" s="13"/>
      <c r="C149" s="13"/>
      <c r="D149" s="13"/>
      <c r="E149" s="13"/>
      <c r="F149" s="13"/>
      <c r="G149" s="13"/>
      <c r="H149" s="12"/>
      <c r="I149" s="165"/>
      <c r="J149" s="166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spans="1:28" ht="14.25" customHeight="1">
      <c r="A150" s="13"/>
      <c r="B150" s="13"/>
      <c r="C150" s="13"/>
      <c r="D150" s="13"/>
      <c r="E150" s="13"/>
      <c r="F150" s="13"/>
      <c r="G150" s="13"/>
      <c r="H150" s="12"/>
      <c r="I150" s="165"/>
      <c r="J150" s="166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spans="1:28" ht="14.25" customHeight="1">
      <c r="A151" s="13"/>
      <c r="B151" s="13"/>
      <c r="C151" s="13"/>
      <c r="D151" s="13"/>
      <c r="E151" s="13"/>
      <c r="F151" s="13"/>
      <c r="G151" s="13"/>
      <c r="H151" s="12"/>
      <c r="I151" s="165"/>
      <c r="J151" s="166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spans="1:28" ht="14.25" customHeight="1">
      <c r="A152" s="13"/>
      <c r="B152" s="13"/>
      <c r="C152" s="13"/>
      <c r="D152" s="13"/>
      <c r="E152" s="13"/>
      <c r="F152" s="13"/>
      <c r="G152" s="13"/>
      <c r="H152" s="12"/>
      <c r="I152" s="165"/>
      <c r="J152" s="166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spans="1:28" ht="14.25" customHeight="1">
      <c r="A153" s="13"/>
      <c r="B153" s="13"/>
      <c r="C153" s="13"/>
      <c r="D153" s="13"/>
      <c r="E153" s="13"/>
      <c r="F153" s="13"/>
      <c r="G153" s="13"/>
      <c r="H153" s="12"/>
      <c r="I153" s="165"/>
      <c r="J153" s="166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spans="1:28" ht="14.25" customHeight="1">
      <c r="A154" s="13"/>
      <c r="B154" s="13"/>
      <c r="C154" s="13"/>
      <c r="D154" s="13"/>
      <c r="E154" s="13"/>
      <c r="F154" s="13"/>
      <c r="G154" s="13"/>
      <c r="H154" s="12"/>
      <c r="I154" s="165"/>
      <c r="J154" s="166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spans="1:28" ht="14.25" customHeight="1">
      <c r="A155" s="13"/>
      <c r="B155" s="13"/>
      <c r="C155" s="13"/>
      <c r="D155" s="13"/>
      <c r="E155" s="13"/>
      <c r="F155" s="13"/>
      <c r="G155" s="13"/>
      <c r="H155" s="12"/>
      <c r="I155" s="165"/>
      <c r="J155" s="166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spans="1:28" ht="14.25" customHeight="1">
      <c r="A156" s="13"/>
      <c r="B156" s="13"/>
      <c r="C156" s="13"/>
      <c r="D156" s="13"/>
      <c r="E156" s="13"/>
      <c r="F156" s="13"/>
      <c r="G156" s="13"/>
      <c r="H156" s="12"/>
      <c r="I156" s="165"/>
      <c r="J156" s="166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spans="1:28" ht="14.25" customHeight="1">
      <c r="A157" s="13"/>
      <c r="B157" s="13"/>
      <c r="C157" s="13"/>
      <c r="D157" s="13"/>
      <c r="E157" s="13"/>
      <c r="F157" s="13"/>
      <c r="G157" s="13"/>
      <c r="H157" s="12"/>
      <c r="I157" s="165"/>
      <c r="J157" s="166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spans="1:28" ht="14.25" customHeight="1">
      <c r="A158" s="13"/>
      <c r="B158" s="13"/>
      <c r="C158" s="13"/>
      <c r="D158" s="13"/>
      <c r="E158" s="13"/>
      <c r="F158" s="13"/>
      <c r="G158" s="13"/>
      <c r="H158" s="12"/>
      <c r="I158" s="165"/>
      <c r="J158" s="166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spans="1:28" ht="14.25" customHeight="1">
      <c r="A159" s="13"/>
      <c r="B159" s="13"/>
      <c r="C159" s="13"/>
      <c r="D159" s="13"/>
      <c r="E159" s="13"/>
      <c r="F159" s="13"/>
      <c r="G159" s="13"/>
      <c r="H159" s="12"/>
      <c r="I159" s="165"/>
      <c r="J159" s="166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spans="1:28" ht="14.25" customHeight="1">
      <c r="A160" s="13"/>
      <c r="B160" s="13"/>
      <c r="C160" s="13"/>
      <c r="D160" s="13"/>
      <c r="E160" s="13"/>
      <c r="F160" s="13"/>
      <c r="G160" s="13"/>
      <c r="H160" s="12"/>
      <c r="I160" s="165"/>
      <c r="J160" s="166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spans="1:28" ht="14.25" customHeight="1">
      <c r="A161" s="13"/>
      <c r="B161" s="13"/>
      <c r="C161" s="13"/>
      <c r="D161" s="13"/>
      <c r="E161" s="13"/>
      <c r="F161" s="13"/>
      <c r="G161" s="13"/>
      <c r="H161" s="12"/>
      <c r="I161" s="165"/>
      <c r="J161" s="166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spans="1:28" ht="14.25" customHeight="1">
      <c r="A162" s="13"/>
      <c r="B162" s="13"/>
      <c r="C162" s="13"/>
      <c r="D162" s="13"/>
      <c r="E162" s="13"/>
      <c r="F162" s="13"/>
      <c r="G162" s="13"/>
      <c r="H162" s="12"/>
      <c r="I162" s="165"/>
      <c r="J162" s="166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spans="1:28" ht="14.25" customHeight="1">
      <c r="A163" s="13"/>
      <c r="B163" s="13"/>
      <c r="C163" s="13"/>
      <c r="D163" s="13"/>
      <c r="E163" s="13"/>
      <c r="F163" s="13"/>
      <c r="G163" s="13"/>
      <c r="H163" s="12"/>
      <c r="I163" s="165"/>
      <c r="J163" s="166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spans="1:28" ht="14.25" customHeight="1">
      <c r="A164" s="13"/>
      <c r="B164" s="13"/>
      <c r="C164" s="13"/>
      <c r="D164" s="13"/>
      <c r="E164" s="13"/>
      <c r="F164" s="13"/>
      <c r="G164" s="13"/>
      <c r="H164" s="12"/>
      <c r="I164" s="165"/>
      <c r="J164" s="166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spans="1:28" ht="14.25" customHeight="1">
      <c r="A165" s="13"/>
      <c r="B165" s="13"/>
      <c r="C165" s="13"/>
      <c r="D165" s="13"/>
      <c r="E165" s="13"/>
      <c r="F165" s="13"/>
      <c r="G165" s="13"/>
      <c r="H165" s="12"/>
      <c r="I165" s="165"/>
      <c r="J165" s="166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spans="1:28" ht="14.25" customHeight="1">
      <c r="A166" s="13"/>
      <c r="B166" s="13"/>
      <c r="C166" s="13"/>
      <c r="D166" s="13"/>
      <c r="E166" s="13"/>
      <c r="F166" s="13"/>
      <c r="G166" s="13"/>
      <c r="H166" s="12"/>
      <c r="I166" s="165"/>
      <c r="J166" s="166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spans="1:28" ht="14.25" customHeight="1">
      <c r="A167" s="13"/>
      <c r="B167" s="13"/>
      <c r="C167" s="13"/>
      <c r="D167" s="13"/>
      <c r="E167" s="13"/>
      <c r="F167" s="13"/>
      <c r="G167" s="13"/>
      <c r="H167" s="12"/>
      <c r="I167" s="165"/>
      <c r="J167" s="166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spans="1:28" ht="14.25" customHeight="1">
      <c r="A168" s="13"/>
      <c r="B168" s="13"/>
      <c r="C168" s="13"/>
      <c r="D168" s="13"/>
      <c r="E168" s="13"/>
      <c r="F168" s="13"/>
      <c r="G168" s="13"/>
      <c r="H168" s="12"/>
      <c r="I168" s="165"/>
      <c r="J168" s="166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spans="1:28" ht="14.25" customHeight="1">
      <c r="A169" s="13"/>
      <c r="B169" s="13"/>
      <c r="C169" s="13"/>
      <c r="D169" s="13"/>
      <c r="E169" s="13"/>
      <c r="F169" s="13"/>
      <c r="G169" s="13"/>
      <c r="H169" s="12"/>
      <c r="I169" s="165"/>
      <c r="J169" s="166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spans="1:28" ht="14.25" customHeight="1">
      <c r="A170" s="13"/>
      <c r="B170" s="13"/>
      <c r="C170" s="13"/>
      <c r="D170" s="13"/>
      <c r="E170" s="13"/>
      <c r="F170" s="13"/>
      <c r="G170" s="13"/>
      <c r="H170" s="12"/>
      <c r="I170" s="165"/>
      <c r="J170" s="166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spans="1:28" ht="14.25" customHeight="1">
      <c r="A171" s="13"/>
      <c r="B171" s="13"/>
      <c r="C171" s="13"/>
      <c r="D171" s="13"/>
      <c r="E171" s="13"/>
      <c r="F171" s="13"/>
      <c r="G171" s="13"/>
      <c r="H171" s="12"/>
      <c r="I171" s="165"/>
      <c r="J171" s="166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spans="1:28" ht="14.25" customHeight="1">
      <c r="A172" s="13"/>
      <c r="B172" s="13"/>
      <c r="C172" s="13"/>
      <c r="D172" s="13"/>
      <c r="E172" s="13"/>
      <c r="F172" s="13"/>
      <c r="G172" s="13"/>
      <c r="H172" s="12"/>
      <c r="I172" s="165"/>
      <c r="J172" s="166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spans="1:28" ht="14.25" customHeight="1">
      <c r="A173" s="13"/>
      <c r="B173" s="13"/>
      <c r="C173" s="13"/>
      <c r="D173" s="13"/>
      <c r="E173" s="13"/>
      <c r="F173" s="13"/>
      <c r="G173" s="13"/>
      <c r="H173" s="12"/>
      <c r="I173" s="165"/>
      <c r="J173" s="166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spans="1:28" ht="14.25" customHeight="1">
      <c r="A174" s="13"/>
      <c r="B174" s="13"/>
      <c r="C174" s="13"/>
      <c r="D174" s="13"/>
      <c r="E174" s="13"/>
      <c r="F174" s="13"/>
      <c r="G174" s="13"/>
      <c r="H174" s="12"/>
      <c r="I174" s="165"/>
      <c r="J174" s="166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spans="1:28" ht="14.25" customHeight="1">
      <c r="A175" s="13"/>
      <c r="B175" s="13"/>
      <c r="C175" s="13"/>
      <c r="D175" s="13"/>
      <c r="E175" s="13"/>
      <c r="F175" s="13"/>
      <c r="G175" s="13"/>
      <c r="H175" s="12"/>
      <c r="I175" s="165"/>
      <c r="J175" s="166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spans="1:28" ht="14.25" customHeight="1">
      <c r="A176" s="13"/>
      <c r="B176" s="13"/>
      <c r="C176" s="13"/>
      <c r="D176" s="13"/>
      <c r="E176" s="13"/>
      <c r="F176" s="13"/>
      <c r="G176" s="13"/>
      <c r="H176" s="12"/>
      <c r="I176" s="165"/>
      <c r="J176" s="166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spans="1:28" ht="14.25" customHeight="1">
      <c r="A177" s="13"/>
      <c r="B177" s="13"/>
      <c r="C177" s="13"/>
      <c r="D177" s="13"/>
      <c r="E177" s="13"/>
      <c r="F177" s="13"/>
      <c r="G177" s="13"/>
      <c r="H177" s="12"/>
      <c r="I177" s="165"/>
      <c r="J177" s="166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spans="1:28" ht="14.25" customHeight="1">
      <c r="A178" s="13"/>
      <c r="B178" s="13"/>
      <c r="C178" s="13"/>
      <c r="D178" s="13"/>
      <c r="E178" s="13"/>
      <c r="F178" s="13"/>
      <c r="G178" s="13"/>
      <c r="H178" s="12"/>
      <c r="I178" s="165"/>
      <c r="J178" s="166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spans="1:28" ht="14.25" customHeight="1">
      <c r="A179" s="13"/>
      <c r="B179" s="13"/>
      <c r="C179" s="13"/>
      <c r="D179" s="13"/>
      <c r="E179" s="13"/>
      <c r="F179" s="13"/>
      <c r="G179" s="13"/>
      <c r="H179" s="12"/>
      <c r="I179" s="165"/>
      <c r="J179" s="166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spans="1:28" ht="14.25" customHeight="1">
      <c r="A180" s="13"/>
      <c r="B180" s="13"/>
      <c r="C180" s="13"/>
      <c r="D180" s="13"/>
      <c r="E180" s="13"/>
      <c r="F180" s="13"/>
      <c r="G180" s="13"/>
      <c r="H180" s="12"/>
      <c r="I180" s="165"/>
      <c r="J180" s="166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spans="1:28" ht="14.25" customHeight="1">
      <c r="A181" s="13"/>
      <c r="B181" s="13"/>
      <c r="C181" s="13"/>
      <c r="D181" s="13"/>
      <c r="E181" s="13"/>
      <c r="F181" s="13"/>
      <c r="G181" s="13"/>
      <c r="H181" s="12"/>
      <c r="I181" s="165"/>
      <c r="J181" s="166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spans="1:28" ht="14.25" customHeight="1">
      <c r="A182" s="13"/>
      <c r="B182" s="13"/>
      <c r="C182" s="13"/>
      <c r="D182" s="13"/>
      <c r="E182" s="13"/>
      <c r="F182" s="13"/>
      <c r="G182" s="13"/>
      <c r="H182" s="12"/>
      <c r="I182" s="165"/>
      <c r="J182" s="166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spans="1:28" ht="14.25" customHeight="1">
      <c r="A183" s="13"/>
      <c r="B183" s="13"/>
      <c r="C183" s="13"/>
      <c r="D183" s="13"/>
      <c r="E183" s="13"/>
      <c r="F183" s="13"/>
      <c r="G183" s="13"/>
      <c r="H183" s="12"/>
      <c r="I183" s="165"/>
      <c r="J183" s="166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spans="1:28" ht="14.25" customHeight="1">
      <c r="A184" s="13"/>
      <c r="B184" s="13"/>
      <c r="C184" s="13"/>
      <c r="D184" s="13"/>
      <c r="E184" s="13"/>
      <c r="F184" s="13"/>
      <c r="G184" s="13"/>
      <c r="H184" s="12"/>
      <c r="I184" s="165"/>
      <c r="J184" s="166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spans="1:28" ht="14.25" customHeight="1">
      <c r="A185" s="13"/>
      <c r="B185" s="13"/>
      <c r="C185" s="13"/>
      <c r="D185" s="13"/>
      <c r="E185" s="13"/>
      <c r="F185" s="13"/>
      <c r="G185" s="13"/>
      <c r="H185" s="12"/>
      <c r="I185" s="165"/>
      <c r="J185" s="166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spans="1:28" ht="14.25" customHeight="1">
      <c r="A186" s="13"/>
      <c r="B186" s="13"/>
      <c r="C186" s="13"/>
      <c r="D186" s="13"/>
      <c r="E186" s="13"/>
      <c r="F186" s="13"/>
      <c r="G186" s="13"/>
      <c r="H186" s="12"/>
      <c r="I186" s="165"/>
      <c r="J186" s="166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spans="1:28" ht="14.25" customHeight="1">
      <c r="A187" s="13"/>
      <c r="B187" s="13"/>
      <c r="C187" s="13"/>
      <c r="D187" s="13"/>
      <c r="E187" s="13"/>
      <c r="F187" s="13"/>
      <c r="G187" s="13"/>
      <c r="H187" s="12"/>
      <c r="I187" s="165"/>
      <c r="J187" s="166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spans="1:28" ht="14.25" customHeight="1">
      <c r="A188" s="13"/>
      <c r="B188" s="13"/>
      <c r="C188" s="13"/>
      <c r="D188" s="13"/>
      <c r="E188" s="13"/>
      <c r="F188" s="13"/>
      <c r="G188" s="13"/>
      <c r="H188" s="12"/>
      <c r="I188" s="165"/>
      <c r="J188" s="166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spans="1:28" ht="14.25" customHeight="1">
      <c r="A189" s="13"/>
      <c r="B189" s="13"/>
      <c r="C189" s="13"/>
      <c r="D189" s="13"/>
      <c r="E189" s="13"/>
      <c r="F189" s="13"/>
      <c r="G189" s="13"/>
      <c r="H189" s="12"/>
      <c r="I189" s="165"/>
      <c r="J189" s="166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spans="1:28" ht="14.25" customHeight="1">
      <c r="A190" s="13"/>
      <c r="B190" s="13"/>
      <c r="C190" s="13"/>
      <c r="D190" s="13"/>
      <c r="E190" s="13"/>
      <c r="F190" s="13"/>
      <c r="G190" s="13"/>
      <c r="H190" s="12"/>
      <c r="I190" s="165"/>
      <c r="J190" s="166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spans="1:28" ht="14.25" customHeight="1">
      <c r="A191" s="13"/>
      <c r="B191" s="13"/>
      <c r="C191" s="13"/>
      <c r="D191" s="13"/>
      <c r="E191" s="13"/>
      <c r="F191" s="13"/>
      <c r="G191" s="13"/>
      <c r="H191" s="12"/>
      <c r="I191" s="165"/>
      <c r="J191" s="166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spans="1:28" ht="14.25" customHeight="1">
      <c r="A192" s="13"/>
      <c r="B192" s="13"/>
      <c r="C192" s="13"/>
      <c r="D192" s="13"/>
      <c r="E192" s="13"/>
      <c r="F192" s="13"/>
      <c r="G192" s="13"/>
      <c r="H192" s="12"/>
      <c r="I192" s="165"/>
      <c r="J192" s="166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spans="1:28" ht="14.25" customHeight="1">
      <c r="A193" s="13"/>
      <c r="B193" s="13"/>
      <c r="C193" s="13"/>
      <c r="D193" s="13"/>
      <c r="E193" s="13"/>
      <c r="F193" s="13"/>
      <c r="G193" s="13"/>
      <c r="H193" s="12"/>
      <c r="I193" s="165"/>
      <c r="J193" s="166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spans="1:28" ht="14.25" customHeight="1">
      <c r="A194" s="13"/>
      <c r="B194" s="13"/>
      <c r="C194" s="13"/>
      <c r="D194" s="13"/>
      <c r="E194" s="13"/>
      <c r="F194" s="13"/>
      <c r="G194" s="13"/>
      <c r="H194" s="12"/>
      <c r="I194" s="165"/>
      <c r="J194" s="166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spans="1:28" ht="14.25" customHeight="1">
      <c r="A195" s="13"/>
      <c r="B195" s="13"/>
      <c r="C195" s="13"/>
      <c r="D195" s="13"/>
      <c r="E195" s="13"/>
      <c r="F195" s="13"/>
      <c r="G195" s="13"/>
      <c r="H195" s="12"/>
      <c r="I195" s="165"/>
      <c r="J195" s="166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spans="1:28" ht="14.25" customHeight="1">
      <c r="A196" s="13"/>
      <c r="B196" s="13"/>
      <c r="C196" s="13"/>
      <c r="D196" s="13"/>
      <c r="E196" s="13"/>
      <c r="F196" s="13"/>
      <c r="G196" s="13"/>
      <c r="H196" s="12"/>
      <c r="I196" s="165"/>
      <c r="J196" s="166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spans="1:28" ht="14.25" customHeight="1">
      <c r="A197" s="13"/>
      <c r="B197" s="13"/>
      <c r="C197" s="13"/>
      <c r="D197" s="13"/>
      <c r="E197" s="13"/>
      <c r="F197" s="13"/>
      <c r="G197" s="13"/>
      <c r="H197" s="12"/>
      <c r="I197" s="165"/>
      <c r="J197" s="166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spans="1:28" ht="14.25" customHeight="1">
      <c r="A198" s="13"/>
      <c r="B198" s="13"/>
      <c r="C198" s="13"/>
      <c r="D198" s="13"/>
      <c r="E198" s="13"/>
      <c r="F198" s="13"/>
      <c r="G198" s="13"/>
      <c r="H198" s="12"/>
      <c r="I198" s="165"/>
      <c r="J198" s="166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spans="1:28" ht="14.25" customHeight="1">
      <c r="A199" s="13"/>
      <c r="B199" s="13"/>
      <c r="C199" s="13"/>
      <c r="D199" s="13"/>
      <c r="E199" s="13"/>
      <c r="F199" s="13"/>
      <c r="G199" s="13"/>
      <c r="H199" s="12"/>
      <c r="I199" s="165"/>
      <c r="J199" s="166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spans="1:28" ht="14.25" customHeight="1">
      <c r="A200" s="13"/>
      <c r="B200" s="13"/>
      <c r="C200" s="13"/>
      <c r="D200" s="13"/>
      <c r="E200" s="13"/>
      <c r="F200" s="13"/>
      <c r="G200" s="13"/>
      <c r="H200" s="12"/>
      <c r="I200" s="165"/>
      <c r="J200" s="166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spans="1:28" ht="14.25" customHeight="1">
      <c r="A201" s="13"/>
      <c r="B201" s="13"/>
      <c r="C201" s="13"/>
      <c r="D201" s="13"/>
      <c r="E201" s="13"/>
      <c r="F201" s="13"/>
      <c r="G201" s="13"/>
      <c r="H201" s="12"/>
      <c r="I201" s="165"/>
      <c r="J201" s="166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spans="1:28" ht="14.25" customHeight="1">
      <c r="A202" s="13"/>
      <c r="B202" s="13"/>
      <c r="C202" s="13"/>
      <c r="D202" s="13"/>
      <c r="E202" s="13"/>
      <c r="F202" s="13"/>
      <c r="G202" s="13"/>
      <c r="H202" s="12"/>
      <c r="I202" s="165"/>
      <c r="J202" s="166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spans="1:28" ht="14.25" customHeight="1">
      <c r="A203" s="13"/>
      <c r="B203" s="13"/>
      <c r="C203" s="13"/>
      <c r="D203" s="13"/>
      <c r="E203" s="13"/>
      <c r="F203" s="13"/>
      <c r="G203" s="13"/>
      <c r="H203" s="12"/>
      <c r="I203" s="165"/>
      <c r="J203" s="166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spans="1:28" ht="14.25" customHeight="1">
      <c r="A204" s="13"/>
      <c r="B204" s="13"/>
      <c r="C204" s="13"/>
      <c r="D204" s="13"/>
      <c r="E204" s="13"/>
      <c r="F204" s="13"/>
      <c r="G204" s="13"/>
      <c r="H204" s="12"/>
      <c r="I204" s="165"/>
      <c r="J204" s="166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spans="1:28" ht="14.25" customHeight="1">
      <c r="A205" s="13"/>
      <c r="B205" s="13"/>
      <c r="C205" s="13"/>
      <c r="D205" s="13"/>
      <c r="E205" s="13"/>
      <c r="F205" s="13"/>
      <c r="G205" s="13"/>
      <c r="H205" s="12"/>
      <c r="I205" s="165"/>
      <c r="J205" s="166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spans="1:28" ht="14.25" customHeight="1">
      <c r="A206" s="13"/>
      <c r="B206" s="13"/>
      <c r="C206" s="13"/>
      <c r="D206" s="13"/>
      <c r="E206" s="13"/>
      <c r="F206" s="13"/>
      <c r="G206" s="13"/>
      <c r="H206" s="12"/>
      <c r="I206" s="165"/>
      <c r="J206" s="166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spans="1:28" ht="14.25" customHeight="1">
      <c r="A207" s="13"/>
      <c r="B207" s="13"/>
      <c r="C207" s="13"/>
      <c r="D207" s="13"/>
      <c r="E207" s="13"/>
      <c r="F207" s="13"/>
      <c r="G207" s="13"/>
      <c r="H207" s="12"/>
      <c r="I207" s="165"/>
      <c r="J207" s="166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spans="1:28" ht="14.25" customHeight="1">
      <c r="A208" s="13"/>
      <c r="B208" s="13"/>
      <c r="C208" s="13"/>
      <c r="D208" s="13"/>
      <c r="E208" s="13"/>
      <c r="F208" s="13"/>
      <c r="G208" s="13"/>
      <c r="H208" s="12"/>
      <c r="I208" s="165"/>
      <c r="J208" s="166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spans="1:28" ht="14.25" customHeight="1">
      <c r="A209" s="13"/>
      <c r="B209" s="13"/>
      <c r="C209" s="13"/>
      <c r="D209" s="13"/>
      <c r="E209" s="13"/>
      <c r="F209" s="13"/>
      <c r="G209" s="13"/>
      <c r="H209" s="12"/>
      <c r="I209" s="165"/>
      <c r="J209" s="166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spans="1:28" ht="14.25" customHeight="1">
      <c r="A210" s="13"/>
      <c r="B210" s="13"/>
      <c r="C210" s="13"/>
      <c r="D210" s="13"/>
      <c r="E210" s="13"/>
      <c r="F210" s="13"/>
      <c r="G210" s="13"/>
      <c r="H210" s="12"/>
      <c r="I210" s="165"/>
      <c r="J210" s="166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spans="1:28" ht="14.25" customHeight="1">
      <c r="A211" s="13"/>
      <c r="B211" s="13"/>
      <c r="C211" s="13"/>
      <c r="D211" s="13"/>
      <c r="E211" s="13"/>
      <c r="F211" s="13"/>
      <c r="G211" s="13"/>
      <c r="H211" s="12"/>
      <c r="I211" s="165"/>
      <c r="J211" s="166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spans="1:28" ht="14.25" customHeight="1">
      <c r="A212" s="13"/>
      <c r="B212" s="13"/>
      <c r="C212" s="13"/>
      <c r="D212" s="13"/>
      <c r="E212" s="13"/>
      <c r="F212" s="13"/>
      <c r="G212" s="13"/>
      <c r="H212" s="12"/>
      <c r="I212" s="165"/>
      <c r="J212" s="166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spans="1:28" ht="14.25" customHeight="1">
      <c r="A213" s="13"/>
      <c r="B213" s="13"/>
      <c r="C213" s="13"/>
      <c r="D213" s="13"/>
      <c r="E213" s="13"/>
      <c r="F213" s="13"/>
      <c r="G213" s="13"/>
      <c r="H213" s="12"/>
      <c r="I213" s="165"/>
      <c r="J213" s="166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spans="1:28" ht="14.25" customHeight="1">
      <c r="A214" s="13"/>
      <c r="B214" s="13"/>
      <c r="C214" s="13"/>
      <c r="D214" s="13"/>
      <c r="E214" s="13"/>
      <c r="F214" s="13"/>
      <c r="G214" s="13"/>
      <c r="H214" s="12"/>
      <c r="I214" s="165"/>
      <c r="J214" s="166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spans="1:28" ht="14.25" customHeight="1">
      <c r="A215" s="13"/>
      <c r="B215" s="13"/>
      <c r="C215" s="13"/>
      <c r="D215" s="13"/>
      <c r="E215" s="13"/>
      <c r="F215" s="13"/>
      <c r="G215" s="13"/>
      <c r="H215" s="12"/>
      <c r="I215" s="165"/>
      <c r="J215" s="166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spans="1:28" ht="14.25" customHeight="1">
      <c r="A216" s="13"/>
      <c r="B216" s="13"/>
      <c r="C216" s="13"/>
      <c r="D216" s="13"/>
      <c r="E216" s="13"/>
      <c r="F216" s="13"/>
      <c r="G216" s="13"/>
      <c r="H216" s="12"/>
      <c r="I216" s="165"/>
      <c r="J216" s="166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spans="1:28" ht="14.25" customHeight="1">
      <c r="A217" s="13"/>
      <c r="B217" s="13"/>
      <c r="C217" s="13"/>
      <c r="D217" s="13"/>
      <c r="E217" s="13"/>
      <c r="F217" s="13"/>
      <c r="G217" s="13"/>
      <c r="H217" s="12"/>
      <c r="I217" s="165"/>
      <c r="J217" s="166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spans="1:28" ht="14.25" customHeight="1">
      <c r="A218" s="13"/>
      <c r="B218" s="13"/>
      <c r="C218" s="13"/>
      <c r="D218" s="13"/>
      <c r="E218" s="13"/>
      <c r="F218" s="13"/>
      <c r="G218" s="13"/>
      <c r="H218" s="12"/>
      <c r="I218" s="165"/>
      <c r="J218" s="166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spans="1:28" ht="14.25" customHeight="1">
      <c r="A219" s="13"/>
      <c r="B219" s="13"/>
      <c r="C219" s="13"/>
      <c r="D219" s="13"/>
      <c r="E219" s="13"/>
      <c r="F219" s="13"/>
      <c r="G219" s="13"/>
      <c r="H219" s="12"/>
      <c r="I219" s="165"/>
      <c r="J219" s="166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spans="1:28" ht="14.25" customHeight="1">
      <c r="A220" s="13"/>
      <c r="B220" s="13"/>
      <c r="C220" s="13"/>
      <c r="D220" s="13"/>
      <c r="E220" s="13"/>
      <c r="F220" s="13"/>
      <c r="G220" s="13"/>
      <c r="H220" s="12"/>
      <c r="I220" s="165"/>
      <c r="J220" s="166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spans="1:28" ht="14.25" customHeight="1">
      <c r="A221" s="13"/>
      <c r="B221" s="13"/>
      <c r="C221" s="13"/>
      <c r="D221" s="13"/>
      <c r="E221" s="13"/>
      <c r="F221" s="13"/>
      <c r="G221" s="13"/>
      <c r="H221" s="12"/>
      <c r="I221" s="165"/>
      <c r="J221" s="166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spans="1:28" ht="14.25" customHeight="1">
      <c r="A222" s="13"/>
      <c r="B222" s="13"/>
      <c r="C222" s="13"/>
      <c r="D222" s="13"/>
      <c r="E222" s="13"/>
      <c r="F222" s="13"/>
      <c r="G222" s="13"/>
      <c r="H222" s="12"/>
      <c r="I222" s="165"/>
      <c r="J222" s="166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spans="1:28" ht="14.25" customHeight="1">
      <c r="A223" s="13"/>
      <c r="B223" s="13"/>
      <c r="C223" s="13"/>
      <c r="D223" s="13"/>
      <c r="E223" s="13"/>
      <c r="F223" s="13"/>
      <c r="G223" s="13"/>
      <c r="H223" s="12"/>
      <c r="I223" s="165"/>
      <c r="J223" s="166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spans="1:28" ht="14.25" customHeight="1">
      <c r="A224" s="13"/>
      <c r="B224" s="13"/>
      <c r="C224" s="13"/>
      <c r="D224" s="13"/>
      <c r="E224" s="13"/>
      <c r="F224" s="13"/>
      <c r="G224" s="13"/>
      <c r="H224" s="12"/>
      <c r="I224" s="165"/>
      <c r="J224" s="166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spans="1:28" ht="14.25" customHeight="1">
      <c r="A225" s="13"/>
      <c r="B225" s="13"/>
      <c r="C225" s="13"/>
      <c r="D225" s="13"/>
      <c r="E225" s="13"/>
      <c r="F225" s="13"/>
      <c r="G225" s="13"/>
      <c r="H225" s="12"/>
      <c r="I225" s="165"/>
      <c r="J225" s="166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spans="1:28" ht="14.25" customHeight="1">
      <c r="A226" s="13"/>
      <c r="B226" s="13"/>
      <c r="C226" s="13"/>
      <c r="D226" s="13"/>
      <c r="E226" s="13"/>
      <c r="F226" s="13"/>
      <c r="G226" s="13"/>
      <c r="H226" s="12"/>
      <c r="I226" s="165"/>
      <c r="J226" s="166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spans="1:28" ht="14.25" customHeight="1">
      <c r="A227" s="13"/>
      <c r="B227" s="13"/>
      <c r="C227" s="13"/>
      <c r="D227" s="13"/>
      <c r="E227" s="13"/>
      <c r="F227" s="13"/>
      <c r="G227" s="13"/>
      <c r="H227" s="12"/>
      <c r="I227" s="165"/>
      <c r="J227" s="166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spans="1:28" ht="14.25" customHeight="1">
      <c r="A228" s="13"/>
      <c r="B228" s="13"/>
      <c r="C228" s="13"/>
      <c r="D228" s="13"/>
      <c r="E228" s="13"/>
      <c r="F228" s="13"/>
      <c r="G228" s="13"/>
      <c r="H228" s="12"/>
      <c r="I228" s="165"/>
      <c r="J228" s="166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spans="1:28" ht="14.25" customHeight="1">
      <c r="A229" s="13"/>
      <c r="B229" s="13"/>
      <c r="C229" s="13"/>
      <c r="D229" s="13"/>
      <c r="E229" s="13"/>
      <c r="F229" s="13"/>
      <c r="G229" s="13"/>
      <c r="H229" s="12"/>
      <c r="I229" s="165"/>
      <c r="J229" s="166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spans="1:28" ht="14.25" customHeight="1">
      <c r="A230" s="13"/>
      <c r="B230" s="13"/>
      <c r="C230" s="13"/>
      <c r="D230" s="13"/>
      <c r="E230" s="13"/>
      <c r="F230" s="13"/>
      <c r="G230" s="13"/>
      <c r="H230" s="12"/>
      <c r="I230" s="165"/>
      <c r="J230" s="166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spans="1:28" ht="14.25" customHeight="1">
      <c r="A231" s="13"/>
      <c r="B231" s="13"/>
      <c r="C231" s="13"/>
      <c r="D231" s="13"/>
      <c r="E231" s="13"/>
      <c r="F231" s="13"/>
      <c r="G231" s="13"/>
      <c r="H231" s="12"/>
      <c r="I231" s="165"/>
      <c r="J231" s="166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spans="1:28" ht="14.25" customHeight="1">
      <c r="A232" s="13"/>
      <c r="B232" s="13"/>
      <c r="C232" s="13"/>
      <c r="D232" s="13"/>
      <c r="E232" s="13"/>
      <c r="F232" s="13"/>
      <c r="G232" s="13"/>
      <c r="H232" s="12"/>
      <c r="I232" s="165"/>
      <c r="J232" s="166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spans="1:28" ht="14.25" customHeight="1">
      <c r="A233" s="13"/>
      <c r="B233" s="13"/>
      <c r="C233" s="13"/>
      <c r="D233" s="13"/>
      <c r="E233" s="13"/>
      <c r="F233" s="13"/>
      <c r="G233" s="13"/>
      <c r="H233" s="12"/>
      <c r="I233" s="165"/>
      <c r="J233" s="166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spans="1:28" ht="14.25" customHeight="1">
      <c r="A234" s="13"/>
      <c r="B234" s="13"/>
      <c r="C234" s="13"/>
      <c r="D234" s="13"/>
      <c r="E234" s="13"/>
      <c r="F234" s="13"/>
      <c r="G234" s="13"/>
      <c r="H234" s="12"/>
      <c r="I234" s="165"/>
      <c r="J234" s="166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spans="1:28" ht="14.25" customHeight="1">
      <c r="A235" s="13"/>
      <c r="B235" s="13"/>
      <c r="C235" s="13"/>
      <c r="D235" s="13"/>
      <c r="E235" s="13"/>
      <c r="F235" s="13"/>
      <c r="G235" s="13"/>
      <c r="H235" s="12"/>
      <c r="I235" s="165"/>
      <c r="J235" s="166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spans="1:28" ht="14.25" customHeight="1">
      <c r="A236" s="13"/>
      <c r="B236" s="13"/>
      <c r="C236" s="13"/>
      <c r="D236" s="13"/>
      <c r="E236" s="13"/>
      <c r="F236" s="13"/>
      <c r="G236" s="13"/>
      <c r="H236" s="12"/>
      <c r="I236" s="165"/>
      <c r="J236" s="166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spans="1:28" ht="14.25" customHeight="1">
      <c r="A237" s="13"/>
      <c r="B237" s="13"/>
      <c r="C237" s="13"/>
      <c r="D237" s="13"/>
      <c r="E237" s="13"/>
      <c r="F237" s="13"/>
      <c r="G237" s="13"/>
      <c r="H237" s="12"/>
      <c r="I237" s="165"/>
      <c r="J237" s="166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spans="1:28" ht="14.25" customHeight="1">
      <c r="A238" s="13"/>
      <c r="B238" s="13"/>
      <c r="C238" s="13"/>
      <c r="D238" s="13"/>
      <c r="E238" s="13"/>
      <c r="F238" s="13"/>
      <c r="G238" s="13"/>
      <c r="H238" s="12"/>
      <c r="I238" s="165"/>
      <c r="J238" s="166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spans="1:28" ht="14.25" customHeight="1">
      <c r="A239" s="13"/>
      <c r="B239" s="13"/>
      <c r="C239" s="13"/>
      <c r="D239" s="13"/>
      <c r="E239" s="13"/>
      <c r="F239" s="13"/>
      <c r="G239" s="13"/>
      <c r="H239" s="12"/>
      <c r="I239" s="165"/>
      <c r="J239" s="166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spans="1:28" ht="14.25" customHeight="1">
      <c r="A240" s="13"/>
      <c r="B240" s="13"/>
      <c r="C240" s="13"/>
      <c r="D240" s="13"/>
      <c r="E240" s="13"/>
      <c r="F240" s="13"/>
      <c r="G240" s="13"/>
      <c r="H240" s="12"/>
      <c r="I240" s="165"/>
      <c r="J240" s="166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spans="1:28" ht="14.25" customHeight="1">
      <c r="A241" s="13"/>
      <c r="B241" s="13"/>
      <c r="C241" s="13"/>
      <c r="D241" s="13"/>
      <c r="E241" s="13"/>
      <c r="F241" s="13"/>
      <c r="G241" s="13"/>
      <c r="H241" s="12"/>
      <c r="I241" s="165"/>
      <c r="J241" s="166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spans="1:28" ht="14.25" customHeight="1">
      <c r="A242" s="13"/>
      <c r="B242" s="13"/>
      <c r="C242" s="13"/>
      <c r="D242" s="13"/>
      <c r="E242" s="13"/>
      <c r="F242" s="13"/>
      <c r="G242" s="13"/>
      <c r="H242" s="12"/>
      <c r="I242" s="165"/>
      <c r="J242" s="166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spans="1:28" ht="14.25" customHeight="1">
      <c r="A243" s="13"/>
      <c r="B243" s="13"/>
      <c r="C243" s="13"/>
      <c r="D243" s="13"/>
      <c r="E243" s="13"/>
      <c r="F243" s="13"/>
      <c r="G243" s="13"/>
      <c r="H243" s="12"/>
      <c r="I243" s="165"/>
      <c r="J243" s="166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spans="1:28" ht="14.25" customHeight="1">
      <c r="A244" s="13"/>
      <c r="B244" s="13"/>
      <c r="C244" s="13"/>
      <c r="D244" s="13"/>
      <c r="E244" s="13"/>
      <c r="F244" s="13"/>
      <c r="G244" s="13"/>
      <c r="H244" s="12"/>
      <c r="I244" s="165"/>
      <c r="J244" s="166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spans="1:28" ht="14.25" customHeight="1">
      <c r="A245" s="13"/>
      <c r="B245" s="13"/>
      <c r="C245" s="13"/>
      <c r="D245" s="13"/>
      <c r="E245" s="13"/>
      <c r="F245" s="13"/>
      <c r="G245" s="13"/>
      <c r="H245" s="12"/>
      <c r="I245" s="165"/>
      <c r="J245" s="166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spans="1:28" ht="14.25" customHeight="1">
      <c r="A246" s="13"/>
      <c r="B246" s="13"/>
      <c r="C246" s="13"/>
      <c r="D246" s="13"/>
      <c r="E246" s="13"/>
      <c r="F246" s="13"/>
      <c r="G246" s="13"/>
      <c r="H246" s="12"/>
      <c r="I246" s="165"/>
      <c r="J246" s="166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spans="1:28" ht="14.25" customHeight="1">
      <c r="A247" s="13"/>
      <c r="B247" s="13"/>
      <c r="C247" s="13"/>
      <c r="D247" s="13"/>
      <c r="E247" s="13"/>
      <c r="F247" s="13"/>
      <c r="G247" s="13"/>
      <c r="H247" s="12"/>
      <c r="I247" s="165"/>
      <c r="J247" s="166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spans="1:28" ht="14.25" customHeight="1">
      <c r="A248" s="13"/>
      <c r="B248" s="13"/>
      <c r="C248" s="13"/>
      <c r="D248" s="13"/>
      <c r="E248" s="13"/>
      <c r="F248" s="13"/>
      <c r="G248" s="13"/>
      <c r="H248" s="12"/>
      <c r="I248" s="165"/>
      <c r="J248" s="166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spans="1:28" ht="14.25" customHeight="1">
      <c r="A249" s="13"/>
      <c r="B249" s="13"/>
      <c r="C249" s="13"/>
      <c r="D249" s="13"/>
      <c r="E249" s="13"/>
      <c r="F249" s="13"/>
      <c r="G249" s="13"/>
      <c r="H249" s="12"/>
      <c r="I249" s="165"/>
      <c r="J249" s="166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 spans="1:28" ht="14.25" customHeight="1">
      <c r="A250" s="13"/>
      <c r="B250" s="13"/>
      <c r="C250" s="13"/>
      <c r="D250" s="13"/>
      <c r="E250" s="13"/>
      <c r="F250" s="13"/>
      <c r="G250" s="13"/>
      <c r="H250" s="12"/>
      <c r="I250" s="165"/>
      <c r="J250" s="166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spans="1:28" ht="14.25" customHeight="1">
      <c r="A251" s="13"/>
      <c r="B251" s="13"/>
      <c r="C251" s="13"/>
      <c r="D251" s="13"/>
      <c r="E251" s="13"/>
      <c r="F251" s="13"/>
      <c r="G251" s="13"/>
      <c r="H251" s="12"/>
      <c r="I251" s="165"/>
      <c r="J251" s="166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spans="1:28" ht="14.25" customHeight="1">
      <c r="A252" s="13"/>
      <c r="B252" s="13"/>
      <c r="C252" s="13"/>
      <c r="D252" s="13"/>
      <c r="E252" s="13"/>
      <c r="F252" s="13"/>
      <c r="G252" s="13"/>
      <c r="H252" s="12"/>
      <c r="I252" s="165"/>
      <c r="J252" s="166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 spans="1:28" ht="14.25" customHeight="1">
      <c r="A253" s="13"/>
      <c r="B253" s="13"/>
      <c r="C253" s="13"/>
      <c r="D253" s="13"/>
      <c r="E253" s="13"/>
      <c r="F253" s="13"/>
      <c r="G253" s="13"/>
      <c r="H253" s="12"/>
      <c r="I253" s="165"/>
      <c r="J253" s="166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spans="1:28" ht="14.25" customHeight="1">
      <c r="A254" s="13"/>
      <c r="B254" s="13"/>
      <c r="C254" s="13"/>
      <c r="D254" s="13"/>
      <c r="E254" s="13"/>
      <c r="F254" s="13"/>
      <c r="G254" s="13"/>
      <c r="H254" s="12"/>
      <c r="I254" s="165"/>
      <c r="J254" s="166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 spans="1:28" ht="14.25" customHeight="1">
      <c r="A255" s="13"/>
      <c r="B255" s="13"/>
      <c r="C255" s="13"/>
      <c r="D255" s="13"/>
      <c r="E255" s="13"/>
      <c r="F255" s="13"/>
      <c r="G255" s="13"/>
      <c r="H255" s="12"/>
      <c r="I255" s="165"/>
      <c r="J255" s="166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spans="1:28" ht="14.25" customHeight="1">
      <c r="A256" s="13"/>
      <c r="B256" s="13"/>
      <c r="C256" s="13"/>
      <c r="D256" s="13"/>
      <c r="E256" s="13"/>
      <c r="F256" s="13"/>
      <c r="G256" s="13"/>
      <c r="H256" s="12"/>
      <c r="I256" s="165"/>
      <c r="J256" s="166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spans="1:28" ht="14.25" customHeight="1">
      <c r="A257" s="13"/>
      <c r="B257" s="13"/>
      <c r="C257" s="13"/>
      <c r="D257" s="13"/>
      <c r="E257" s="13"/>
      <c r="F257" s="13"/>
      <c r="G257" s="13"/>
      <c r="H257" s="12"/>
      <c r="I257" s="165"/>
      <c r="J257" s="166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 spans="1:28" ht="14.25" customHeight="1">
      <c r="A258" s="13"/>
      <c r="B258" s="13"/>
      <c r="C258" s="13"/>
      <c r="D258" s="13"/>
      <c r="E258" s="13"/>
      <c r="F258" s="13"/>
      <c r="G258" s="13"/>
      <c r="H258" s="12"/>
      <c r="I258" s="165"/>
      <c r="J258" s="166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spans="1:28" ht="14.25" customHeight="1">
      <c r="A259" s="13"/>
      <c r="B259" s="13"/>
      <c r="C259" s="13"/>
      <c r="D259" s="13"/>
      <c r="E259" s="13"/>
      <c r="F259" s="13"/>
      <c r="G259" s="13"/>
      <c r="H259" s="12"/>
      <c r="I259" s="165"/>
      <c r="J259" s="166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 spans="1:28" ht="14.25" customHeight="1">
      <c r="A260" s="13"/>
      <c r="B260" s="13"/>
      <c r="C260" s="13"/>
      <c r="D260" s="13"/>
      <c r="E260" s="13"/>
      <c r="F260" s="13"/>
      <c r="G260" s="13"/>
      <c r="H260" s="12"/>
      <c r="I260" s="165"/>
      <c r="J260" s="166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spans="1:28" ht="14.25" customHeight="1">
      <c r="A261" s="13"/>
      <c r="B261" s="13"/>
      <c r="C261" s="13"/>
      <c r="D261" s="13"/>
      <c r="E261" s="13"/>
      <c r="F261" s="13"/>
      <c r="G261" s="13"/>
      <c r="H261" s="12"/>
      <c r="I261" s="165"/>
      <c r="J261" s="166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spans="1:28" ht="14.25" customHeight="1">
      <c r="A262" s="13"/>
      <c r="B262" s="13"/>
      <c r="C262" s="13"/>
      <c r="D262" s="13"/>
      <c r="E262" s="13"/>
      <c r="F262" s="13"/>
      <c r="G262" s="13"/>
      <c r="H262" s="12"/>
      <c r="I262" s="165"/>
      <c r="J262" s="166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 spans="1:28" ht="14.25" customHeight="1">
      <c r="A263" s="13"/>
      <c r="B263" s="13"/>
      <c r="C263" s="13"/>
      <c r="D263" s="13"/>
      <c r="E263" s="13"/>
      <c r="F263" s="13"/>
      <c r="G263" s="13"/>
      <c r="H263" s="12"/>
      <c r="I263" s="165"/>
      <c r="J263" s="166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spans="1:28" ht="14.25" customHeight="1">
      <c r="A264" s="13"/>
      <c r="B264" s="13"/>
      <c r="C264" s="13"/>
      <c r="D264" s="13"/>
      <c r="E264" s="13"/>
      <c r="F264" s="13"/>
      <c r="G264" s="13"/>
      <c r="H264" s="12"/>
      <c r="I264" s="165"/>
      <c r="J264" s="166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spans="1:28" ht="14.25" customHeight="1">
      <c r="A265" s="13"/>
      <c r="B265" s="13"/>
      <c r="C265" s="13"/>
      <c r="D265" s="13"/>
      <c r="E265" s="13"/>
      <c r="F265" s="13"/>
      <c r="G265" s="13"/>
      <c r="H265" s="12"/>
      <c r="I265" s="165"/>
      <c r="J265" s="166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spans="1:28" ht="14.25" customHeight="1">
      <c r="A266" s="13"/>
      <c r="B266" s="13"/>
      <c r="C266" s="13"/>
      <c r="D266" s="13"/>
      <c r="E266" s="13"/>
      <c r="F266" s="13"/>
      <c r="G266" s="13"/>
      <c r="H266" s="12"/>
      <c r="I266" s="165"/>
      <c r="J266" s="166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spans="1:28" ht="14.25" customHeight="1">
      <c r="A267" s="13"/>
      <c r="B267" s="13"/>
      <c r="C267" s="13"/>
      <c r="D267" s="13"/>
      <c r="E267" s="13"/>
      <c r="F267" s="13"/>
      <c r="G267" s="13"/>
      <c r="H267" s="12"/>
      <c r="I267" s="165"/>
      <c r="J267" s="166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spans="1:28" ht="14.25" customHeight="1">
      <c r="A268" s="13"/>
      <c r="B268" s="13"/>
      <c r="C268" s="13"/>
      <c r="D268" s="13"/>
      <c r="E268" s="13"/>
      <c r="F268" s="13"/>
      <c r="G268" s="13"/>
      <c r="H268" s="12"/>
      <c r="I268" s="165"/>
      <c r="J268" s="166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spans="1:28" ht="14.25" customHeight="1">
      <c r="A269" s="13"/>
      <c r="B269" s="13"/>
      <c r="C269" s="13"/>
      <c r="D269" s="13"/>
      <c r="E269" s="13"/>
      <c r="F269" s="13"/>
      <c r="G269" s="13"/>
      <c r="H269" s="12"/>
      <c r="I269" s="165"/>
      <c r="J269" s="166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spans="1:28" ht="14.25" customHeight="1">
      <c r="A270" s="13"/>
      <c r="B270" s="13"/>
      <c r="C270" s="13"/>
      <c r="D270" s="13"/>
      <c r="E270" s="13"/>
      <c r="F270" s="13"/>
      <c r="G270" s="13"/>
      <c r="H270" s="12"/>
      <c r="I270" s="165"/>
      <c r="J270" s="166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spans="1:28" ht="14.25" customHeight="1">
      <c r="A271" s="13"/>
      <c r="B271" s="13"/>
      <c r="C271" s="13"/>
      <c r="D271" s="13"/>
      <c r="E271" s="13"/>
      <c r="F271" s="13"/>
      <c r="G271" s="13"/>
      <c r="H271" s="12"/>
      <c r="I271" s="165"/>
      <c r="J271" s="166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spans="1:28" ht="14.25" customHeight="1">
      <c r="A272" s="13"/>
      <c r="B272" s="13"/>
      <c r="C272" s="13"/>
      <c r="D272" s="13"/>
      <c r="E272" s="13"/>
      <c r="F272" s="13"/>
      <c r="G272" s="13"/>
      <c r="H272" s="12"/>
      <c r="I272" s="165"/>
      <c r="J272" s="166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spans="1:28" ht="14.25" customHeight="1">
      <c r="A273" s="13"/>
      <c r="B273" s="13"/>
      <c r="C273" s="13"/>
      <c r="D273" s="13"/>
      <c r="E273" s="13"/>
      <c r="F273" s="13"/>
      <c r="G273" s="13"/>
      <c r="H273" s="12"/>
      <c r="I273" s="165"/>
      <c r="J273" s="166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spans="1:28" ht="14.25" customHeight="1">
      <c r="A274" s="13"/>
      <c r="B274" s="13"/>
      <c r="C274" s="13"/>
      <c r="D274" s="13"/>
      <c r="E274" s="13"/>
      <c r="F274" s="13"/>
      <c r="G274" s="13"/>
      <c r="H274" s="12"/>
      <c r="I274" s="165"/>
      <c r="J274" s="166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spans="1:28" ht="14.25" customHeight="1">
      <c r="A275" s="13"/>
      <c r="B275" s="13"/>
      <c r="C275" s="13"/>
      <c r="D275" s="13"/>
      <c r="E275" s="13"/>
      <c r="F275" s="13"/>
      <c r="G275" s="13"/>
      <c r="H275" s="12"/>
      <c r="I275" s="165"/>
      <c r="J275" s="166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spans="1:28" ht="14.25" customHeight="1">
      <c r="A276" s="13"/>
      <c r="B276" s="13"/>
      <c r="C276" s="13"/>
      <c r="D276" s="13"/>
      <c r="E276" s="13"/>
      <c r="F276" s="13"/>
      <c r="G276" s="13"/>
      <c r="H276" s="12"/>
      <c r="I276" s="165"/>
      <c r="J276" s="166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spans="1:28" ht="14.25" customHeight="1">
      <c r="A277" s="13"/>
      <c r="B277" s="13"/>
      <c r="C277" s="13"/>
      <c r="D277" s="13"/>
      <c r="E277" s="13"/>
      <c r="F277" s="13"/>
      <c r="G277" s="13"/>
      <c r="H277" s="12"/>
      <c r="I277" s="165"/>
      <c r="J277" s="166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spans="1:28" ht="14.25" customHeight="1">
      <c r="A278" s="13"/>
      <c r="B278" s="13"/>
      <c r="C278" s="13"/>
      <c r="D278" s="13"/>
      <c r="E278" s="13"/>
      <c r="F278" s="13"/>
      <c r="G278" s="13"/>
      <c r="H278" s="12"/>
      <c r="I278" s="165"/>
      <c r="J278" s="166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 spans="1:28" ht="14.25" customHeight="1">
      <c r="A279" s="13"/>
      <c r="B279" s="13"/>
      <c r="C279" s="13"/>
      <c r="D279" s="13"/>
      <c r="E279" s="13"/>
      <c r="F279" s="13"/>
      <c r="G279" s="13"/>
      <c r="H279" s="12"/>
      <c r="I279" s="165"/>
      <c r="J279" s="166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spans="1:28" ht="14.25" customHeight="1">
      <c r="A280" s="13"/>
      <c r="B280" s="13"/>
      <c r="C280" s="13"/>
      <c r="D280" s="13"/>
      <c r="E280" s="13"/>
      <c r="F280" s="13"/>
      <c r="G280" s="13"/>
      <c r="H280" s="12"/>
      <c r="I280" s="165"/>
      <c r="J280" s="166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spans="1:28" ht="14.25" customHeight="1">
      <c r="A281" s="13"/>
      <c r="B281" s="13"/>
      <c r="C281" s="13"/>
      <c r="D281" s="13"/>
      <c r="E281" s="13"/>
      <c r="F281" s="13"/>
      <c r="G281" s="13"/>
      <c r="H281" s="12"/>
      <c r="I281" s="165"/>
      <c r="J281" s="166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spans="1:28" ht="14.25" customHeight="1">
      <c r="A282" s="13"/>
      <c r="B282" s="13"/>
      <c r="C282" s="13"/>
      <c r="D282" s="13"/>
      <c r="E282" s="13"/>
      <c r="F282" s="13"/>
      <c r="G282" s="13"/>
      <c r="H282" s="12"/>
      <c r="I282" s="165"/>
      <c r="J282" s="166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spans="1:28" ht="14.25" customHeight="1">
      <c r="A283" s="13"/>
      <c r="B283" s="13"/>
      <c r="C283" s="13"/>
      <c r="D283" s="13"/>
      <c r="E283" s="13"/>
      <c r="F283" s="13"/>
      <c r="G283" s="13"/>
      <c r="H283" s="12"/>
      <c r="I283" s="165"/>
      <c r="J283" s="166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spans="1:28" ht="14.25" customHeight="1">
      <c r="A284" s="13"/>
      <c r="B284" s="13"/>
      <c r="C284" s="13"/>
      <c r="D284" s="13"/>
      <c r="E284" s="13"/>
      <c r="F284" s="13"/>
      <c r="G284" s="13"/>
      <c r="H284" s="12"/>
      <c r="I284" s="165"/>
      <c r="J284" s="166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spans="1:28" ht="14.25" customHeight="1">
      <c r="A285" s="13"/>
      <c r="B285" s="13"/>
      <c r="C285" s="13"/>
      <c r="D285" s="13"/>
      <c r="E285" s="13"/>
      <c r="F285" s="13"/>
      <c r="G285" s="13"/>
      <c r="H285" s="12"/>
      <c r="I285" s="165"/>
      <c r="J285" s="166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spans="1:28" ht="14.25" customHeight="1">
      <c r="A286" s="13"/>
      <c r="B286" s="13"/>
      <c r="C286" s="13"/>
      <c r="D286" s="13"/>
      <c r="E286" s="13"/>
      <c r="F286" s="13"/>
      <c r="G286" s="13"/>
      <c r="H286" s="12"/>
      <c r="I286" s="165"/>
      <c r="J286" s="166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spans="1:28" ht="14.25" customHeight="1">
      <c r="A287" s="13"/>
      <c r="B287" s="13"/>
      <c r="C287" s="13"/>
      <c r="D287" s="13"/>
      <c r="E287" s="13"/>
      <c r="F287" s="13"/>
      <c r="G287" s="13"/>
      <c r="H287" s="12"/>
      <c r="I287" s="165"/>
      <c r="J287" s="166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spans="1:28" ht="14.25" customHeight="1">
      <c r="A288" s="13"/>
      <c r="B288" s="13"/>
      <c r="C288" s="13"/>
      <c r="D288" s="13"/>
      <c r="E288" s="13"/>
      <c r="F288" s="13"/>
      <c r="G288" s="13"/>
      <c r="H288" s="12"/>
      <c r="I288" s="165"/>
      <c r="J288" s="166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spans="1:28" ht="14.25" customHeight="1">
      <c r="A289" s="13"/>
      <c r="B289" s="13"/>
      <c r="C289" s="13"/>
      <c r="D289" s="13"/>
      <c r="E289" s="13"/>
      <c r="F289" s="13"/>
      <c r="G289" s="13"/>
      <c r="H289" s="12"/>
      <c r="I289" s="165"/>
      <c r="J289" s="166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 spans="1:28" ht="14.25" customHeight="1">
      <c r="A290" s="13"/>
      <c r="B290" s="13"/>
      <c r="C290" s="13"/>
      <c r="D290" s="13"/>
      <c r="E290" s="13"/>
      <c r="F290" s="13"/>
      <c r="G290" s="13"/>
      <c r="H290" s="12"/>
      <c r="I290" s="165"/>
      <c r="J290" s="166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spans="1:28" ht="14.25" customHeight="1">
      <c r="A291" s="13"/>
      <c r="B291" s="13"/>
      <c r="C291" s="13"/>
      <c r="D291" s="13"/>
      <c r="E291" s="13"/>
      <c r="F291" s="13"/>
      <c r="G291" s="13"/>
      <c r="H291" s="12"/>
      <c r="I291" s="165"/>
      <c r="J291" s="166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spans="1:28" ht="14.25" customHeight="1">
      <c r="A292" s="13"/>
      <c r="B292" s="13"/>
      <c r="C292" s="13"/>
      <c r="D292" s="13"/>
      <c r="E292" s="13"/>
      <c r="F292" s="13"/>
      <c r="G292" s="13"/>
      <c r="H292" s="12"/>
      <c r="I292" s="165"/>
      <c r="J292" s="166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 spans="1:28" ht="14.25" customHeight="1">
      <c r="A293" s="13"/>
      <c r="B293" s="13"/>
      <c r="C293" s="13"/>
      <c r="D293" s="13"/>
      <c r="E293" s="13"/>
      <c r="F293" s="13"/>
      <c r="G293" s="13"/>
      <c r="H293" s="12"/>
      <c r="I293" s="165"/>
      <c r="J293" s="166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spans="1:28" ht="14.25" customHeight="1">
      <c r="A294" s="13"/>
      <c r="B294" s="13"/>
      <c r="C294" s="13"/>
      <c r="D294" s="13"/>
      <c r="E294" s="13"/>
      <c r="F294" s="13"/>
      <c r="G294" s="13"/>
      <c r="H294" s="12"/>
      <c r="I294" s="165"/>
      <c r="J294" s="166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spans="1:28" ht="14.25" customHeight="1">
      <c r="A295" s="13"/>
      <c r="B295" s="13"/>
      <c r="C295" s="13"/>
      <c r="D295" s="13"/>
      <c r="E295" s="13"/>
      <c r="F295" s="13"/>
      <c r="G295" s="13"/>
      <c r="H295" s="12"/>
      <c r="I295" s="165"/>
      <c r="J295" s="166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spans="1:28" ht="14.25" customHeight="1">
      <c r="A296" s="13"/>
      <c r="B296" s="13"/>
      <c r="C296" s="13"/>
      <c r="D296" s="13"/>
      <c r="E296" s="13"/>
      <c r="F296" s="13"/>
      <c r="G296" s="13"/>
      <c r="H296" s="12"/>
      <c r="I296" s="165"/>
      <c r="J296" s="166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spans="1:28" ht="14.25" customHeight="1">
      <c r="A297" s="13"/>
      <c r="B297" s="13"/>
      <c r="C297" s="13"/>
      <c r="D297" s="13"/>
      <c r="E297" s="13"/>
      <c r="F297" s="13"/>
      <c r="G297" s="13"/>
      <c r="H297" s="12"/>
      <c r="I297" s="165"/>
      <c r="J297" s="166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spans="1:28" ht="14.25" customHeight="1">
      <c r="A298" s="13"/>
      <c r="B298" s="13"/>
      <c r="C298" s="13"/>
      <c r="D298" s="13"/>
      <c r="E298" s="13"/>
      <c r="F298" s="13"/>
      <c r="G298" s="13"/>
      <c r="H298" s="12"/>
      <c r="I298" s="165"/>
      <c r="J298" s="166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 spans="1:28" ht="14.25" customHeight="1">
      <c r="A299" s="13"/>
      <c r="B299" s="13"/>
      <c r="C299" s="13"/>
      <c r="D299" s="13"/>
      <c r="E299" s="13"/>
      <c r="F299" s="13"/>
      <c r="G299" s="13"/>
      <c r="H299" s="12"/>
      <c r="I299" s="165"/>
      <c r="J299" s="166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spans="1:28" ht="14.25" customHeight="1">
      <c r="A300" s="13"/>
      <c r="B300" s="13"/>
      <c r="C300" s="13"/>
      <c r="D300" s="13"/>
      <c r="E300" s="13"/>
      <c r="F300" s="13"/>
      <c r="G300" s="13"/>
      <c r="H300" s="12"/>
      <c r="I300" s="165"/>
      <c r="J300" s="166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spans="1:28" ht="14.25" customHeight="1">
      <c r="A301" s="13"/>
      <c r="B301" s="13"/>
      <c r="C301" s="13"/>
      <c r="D301" s="13"/>
      <c r="E301" s="13"/>
      <c r="F301" s="13"/>
      <c r="G301" s="13"/>
      <c r="H301" s="12"/>
      <c r="I301" s="165"/>
      <c r="J301" s="166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spans="1:28" ht="14.25" customHeight="1">
      <c r="A302" s="13"/>
      <c r="B302" s="13"/>
      <c r="C302" s="13"/>
      <c r="D302" s="13"/>
      <c r="E302" s="13"/>
      <c r="F302" s="13"/>
      <c r="G302" s="13"/>
      <c r="H302" s="12"/>
      <c r="I302" s="165"/>
      <c r="J302" s="166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spans="1:28" ht="14.25" customHeight="1">
      <c r="A303" s="13"/>
      <c r="B303" s="13"/>
      <c r="C303" s="13"/>
      <c r="D303" s="13"/>
      <c r="E303" s="13"/>
      <c r="F303" s="13"/>
      <c r="G303" s="13"/>
      <c r="H303" s="12"/>
      <c r="I303" s="165"/>
      <c r="J303" s="166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spans="1:28" ht="14.25" customHeight="1">
      <c r="A304" s="13"/>
      <c r="B304" s="13"/>
      <c r="C304" s="13"/>
      <c r="D304" s="13"/>
      <c r="E304" s="13"/>
      <c r="F304" s="13"/>
      <c r="G304" s="13"/>
      <c r="H304" s="12"/>
      <c r="I304" s="165"/>
      <c r="J304" s="166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spans="1:28" ht="14.25" customHeight="1">
      <c r="A305" s="13"/>
      <c r="B305" s="13"/>
      <c r="C305" s="13"/>
      <c r="D305" s="13"/>
      <c r="E305" s="13"/>
      <c r="F305" s="13"/>
      <c r="G305" s="13"/>
      <c r="H305" s="12"/>
      <c r="I305" s="165"/>
      <c r="J305" s="166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spans="1:28" ht="14.25" customHeight="1">
      <c r="A306" s="13"/>
      <c r="B306" s="13"/>
      <c r="C306" s="13"/>
      <c r="D306" s="13"/>
      <c r="E306" s="13"/>
      <c r="F306" s="13"/>
      <c r="G306" s="13"/>
      <c r="H306" s="12"/>
      <c r="I306" s="165"/>
      <c r="J306" s="166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spans="1:28" ht="14.25" customHeight="1">
      <c r="A307" s="13"/>
      <c r="B307" s="13"/>
      <c r="C307" s="13"/>
      <c r="D307" s="13"/>
      <c r="E307" s="13"/>
      <c r="F307" s="13"/>
      <c r="G307" s="13"/>
      <c r="H307" s="12"/>
      <c r="I307" s="165"/>
      <c r="J307" s="166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spans="1:28" ht="14.25" customHeight="1">
      <c r="A308" s="13"/>
      <c r="B308" s="13"/>
      <c r="C308" s="13"/>
      <c r="D308" s="13"/>
      <c r="E308" s="13"/>
      <c r="F308" s="13"/>
      <c r="G308" s="13"/>
      <c r="H308" s="12"/>
      <c r="I308" s="165"/>
      <c r="J308" s="166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spans="1:28" ht="14.25" customHeight="1">
      <c r="A309" s="13"/>
      <c r="B309" s="13"/>
      <c r="C309" s="13"/>
      <c r="D309" s="13"/>
      <c r="E309" s="13"/>
      <c r="F309" s="13"/>
      <c r="G309" s="13"/>
      <c r="H309" s="12"/>
      <c r="I309" s="165"/>
      <c r="J309" s="166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spans="1:28" ht="14.25" customHeight="1">
      <c r="A310" s="13"/>
      <c r="B310" s="13"/>
      <c r="C310" s="13"/>
      <c r="D310" s="13"/>
      <c r="E310" s="13"/>
      <c r="F310" s="13"/>
      <c r="G310" s="13"/>
      <c r="H310" s="12"/>
      <c r="I310" s="165"/>
      <c r="J310" s="166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spans="1:28" ht="14.25" customHeight="1">
      <c r="A311" s="13"/>
      <c r="B311" s="13"/>
      <c r="C311" s="13"/>
      <c r="D311" s="13"/>
      <c r="E311" s="13"/>
      <c r="F311" s="13"/>
      <c r="G311" s="13"/>
      <c r="H311" s="12"/>
      <c r="I311" s="165"/>
      <c r="J311" s="166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spans="1:28" ht="14.25" customHeight="1">
      <c r="A312" s="13"/>
      <c r="B312" s="13"/>
      <c r="C312" s="13"/>
      <c r="D312" s="13"/>
      <c r="E312" s="13"/>
      <c r="F312" s="13"/>
      <c r="G312" s="13"/>
      <c r="H312" s="12"/>
      <c r="I312" s="165"/>
      <c r="J312" s="166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spans="1:28" ht="14.25" customHeight="1">
      <c r="A313" s="13"/>
      <c r="B313" s="13"/>
      <c r="C313" s="13"/>
      <c r="D313" s="13"/>
      <c r="E313" s="13"/>
      <c r="F313" s="13"/>
      <c r="G313" s="13"/>
      <c r="H313" s="12"/>
      <c r="I313" s="165"/>
      <c r="J313" s="166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spans="1:28" ht="14.25" customHeight="1">
      <c r="A314" s="13"/>
      <c r="B314" s="13"/>
      <c r="C314" s="13"/>
      <c r="D314" s="13"/>
      <c r="E314" s="13"/>
      <c r="F314" s="13"/>
      <c r="G314" s="13"/>
      <c r="H314" s="12"/>
      <c r="I314" s="165"/>
      <c r="J314" s="166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spans="1:28" ht="14.25" customHeight="1">
      <c r="A315" s="13"/>
      <c r="B315" s="13"/>
      <c r="C315" s="13"/>
      <c r="D315" s="13"/>
      <c r="E315" s="13"/>
      <c r="F315" s="13"/>
      <c r="G315" s="13"/>
      <c r="H315" s="12"/>
      <c r="I315" s="165"/>
      <c r="J315" s="166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spans="1:28" ht="14.25" customHeight="1">
      <c r="A316" s="13"/>
      <c r="B316" s="13"/>
      <c r="C316" s="13"/>
      <c r="D316" s="13"/>
      <c r="E316" s="13"/>
      <c r="F316" s="13"/>
      <c r="G316" s="13"/>
      <c r="H316" s="12"/>
      <c r="I316" s="165"/>
      <c r="J316" s="166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spans="1:28" ht="14.25" customHeight="1">
      <c r="A317" s="13"/>
      <c r="B317" s="13"/>
      <c r="C317" s="13"/>
      <c r="D317" s="13"/>
      <c r="E317" s="13"/>
      <c r="F317" s="13"/>
      <c r="G317" s="13"/>
      <c r="H317" s="12"/>
      <c r="I317" s="165"/>
      <c r="J317" s="166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spans="1:28" ht="14.25" customHeight="1">
      <c r="A318" s="13"/>
      <c r="B318" s="13"/>
      <c r="C318" s="13"/>
      <c r="D318" s="13"/>
      <c r="E318" s="13"/>
      <c r="F318" s="13"/>
      <c r="G318" s="13"/>
      <c r="H318" s="12"/>
      <c r="I318" s="165"/>
      <c r="J318" s="166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spans="1:28" ht="14.25" customHeight="1">
      <c r="A319" s="13"/>
      <c r="B319" s="13"/>
      <c r="C319" s="13"/>
      <c r="D319" s="13"/>
      <c r="E319" s="13"/>
      <c r="F319" s="13"/>
      <c r="G319" s="13"/>
      <c r="H319" s="12"/>
      <c r="I319" s="165"/>
      <c r="J319" s="166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spans="1:28" ht="14.25" customHeight="1">
      <c r="A320" s="13"/>
      <c r="B320" s="13"/>
      <c r="C320" s="13"/>
      <c r="D320" s="13"/>
      <c r="E320" s="13"/>
      <c r="F320" s="13"/>
      <c r="G320" s="13"/>
      <c r="H320" s="12"/>
      <c r="I320" s="165"/>
      <c r="J320" s="166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spans="1:28" ht="14.25" customHeight="1">
      <c r="A321" s="13"/>
      <c r="B321" s="13"/>
      <c r="C321" s="13"/>
      <c r="D321" s="13"/>
      <c r="E321" s="13"/>
      <c r="F321" s="13"/>
      <c r="G321" s="13"/>
      <c r="H321" s="12"/>
      <c r="I321" s="165"/>
      <c r="J321" s="166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spans="1:28" ht="14.25" customHeight="1">
      <c r="A322" s="13"/>
      <c r="B322" s="13"/>
      <c r="C322" s="13"/>
      <c r="D322" s="13"/>
      <c r="E322" s="13"/>
      <c r="F322" s="13"/>
      <c r="G322" s="13"/>
      <c r="H322" s="12"/>
      <c r="I322" s="165"/>
      <c r="J322" s="166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spans="1:28" ht="14.25" customHeight="1">
      <c r="A323" s="13"/>
      <c r="B323" s="13"/>
      <c r="C323" s="13"/>
      <c r="D323" s="13"/>
      <c r="E323" s="13"/>
      <c r="F323" s="13"/>
      <c r="G323" s="13"/>
      <c r="H323" s="12"/>
      <c r="I323" s="165"/>
      <c r="J323" s="166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spans="1:28" ht="14.25" customHeight="1">
      <c r="A324" s="13"/>
      <c r="B324" s="13"/>
      <c r="C324" s="13"/>
      <c r="D324" s="13"/>
      <c r="E324" s="13"/>
      <c r="F324" s="13"/>
      <c r="G324" s="13"/>
      <c r="H324" s="12"/>
      <c r="I324" s="165"/>
      <c r="J324" s="166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spans="1:28" ht="14.25" customHeight="1">
      <c r="A325" s="13"/>
      <c r="B325" s="13"/>
      <c r="C325" s="13"/>
      <c r="D325" s="13"/>
      <c r="E325" s="13"/>
      <c r="F325" s="13"/>
      <c r="G325" s="13"/>
      <c r="H325" s="12"/>
      <c r="I325" s="165"/>
      <c r="J325" s="166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spans="1:28" ht="14.25" customHeight="1">
      <c r="A326" s="13"/>
      <c r="B326" s="13"/>
      <c r="C326" s="13"/>
      <c r="D326" s="13"/>
      <c r="E326" s="13"/>
      <c r="F326" s="13"/>
      <c r="G326" s="13"/>
      <c r="H326" s="12"/>
      <c r="I326" s="165"/>
      <c r="J326" s="166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spans="1:28" ht="14.25" customHeight="1">
      <c r="A327" s="13"/>
      <c r="B327" s="13"/>
      <c r="C327" s="13"/>
      <c r="D327" s="13"/>
      <c r="E327" s="13"/>
      <c r="F327" s="13"/>
      <c r="G327" s="13"/>
      <c r="H327" s="12"/>
      <c r="I327" s="165"/>
      <c r="J327" s="166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spans="1:28" ht="14.25" customHeight="1">
      <c r="A328" s="13"/>
      <c r="B328" s="13"/>
      <c r="C328" s="13"/>
      <c r="D328" s="13"/>
      <c r="E328" s="13"/>
      <c r="F328" s="13"/>
      <c r="G328" s="13"/>
      <c r="H328" s="12"/>
      <c r="I328" s="165"/>
      <c r="J328" s="166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spans="1:28" ht="14.25" customHeight="1">
      <c r="A329" s="13"/>
      <c r="B329" s="13"/>
      <c r="C329" s="13"/>
      <c r="D329" s="13"/>
      <c r="E329" s="13"/>
      <c r="F329" s="13"/>
      <c r="G329" s="13"/>
      <c r="H329" s="12"/>
      <c r="I329" s="165"/>
      <c r="J329" s="166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spans="1:28" ht="14.25" customHeight="1">
      <c r="A330" s="13"/>
      <c r="B330" s="13"/>
      <c r="C330" s="13"/>
      <c r="D330" s="13"/>
      <c r="E330" s="13"/>
      <c r="F330" s="13"/>
      <c r="G330" s="13"/>
      <c r="H330" s="12"/>
      <c r="I330" s="165"/>
      <c r="J330" s="166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spans="1:28" ht="14.25" customHeight="1">
      <c r="A331" s="13"/>
      <c r="B331" s="13"/>
      <c r="C331" s="13"/>
      <c r="D331" s="13"/>
      <c r="E331" s="13"/>
      <c r="F331" s="13"/>
      <c r="G331" s="13"/>
      <c r="H331" s="12"/>
      <c r="I331" s="165"/>
      <c r="J331" s="166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spans="1:28" ht="14.25" customHeight="1">
      <c r="A332" s="13"/>
      <c r="B332" s="13"/>
      <c r="C332" s="13"/>
      <c r="D332" s="13"/>
      <c r="E332" s="13"/>
      <c r="F332" s="13"/>
      <c r="G332" s="13"/>
      <c r="H332" s="12"/>
      <c r="I332" s="165"/>
      <c r="J332" s="166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spans="1:28" ht="14.25" customHeight="1">
      <c r="A333" s="13"/>
      <c r="B333" s="13"/>
      <c r="C333" s="13"/>
      <c r="D333" s="13"/>
      <c r="E333" s="13"/>
      <c r="F333" s="13"/>
      <c r="G333" s="13"/>
      <c r="H333" s="12"/>
      <c r="I333" s="165"/>
      <c r="J333" s="166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spans="1:28" ht="14.25" customHeight="1">
      <c r="A334" s="13"/>
      <c r="B334" s="13"/>
      <c r="C334" s="13"/>
      <c r="D334" s="13"/>
      <c r="E334" s="13"/>
      <c r="F334" s="13"/>
      <c r="G334" s="13"/>
      <c r="H334" s="12"/>
      <c r="I334" s="165"/>
      <c r="J334" s="166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spans="1:28" ht="14.25" customHeight="1">
      <c r="A335" s="13"/>
      <c r="B335" s="13"/>
      <c r="C335" s="13"/>
      <c r="D335" s="13"/>
      <c r="E335" s="13"/>
      <c r="F335" s="13"/>
      <c r="G335" s="13"/>
      <c r="H335" s="12"/>
      <c r="I335" s="165"/>
      <c r="J335" s="166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spans="1:28" ht="14.25" customHeight="1">
      <c r="A336" s="13"/>
      <c r="B336" s="13"/>
      <c r="C336" s="13"/>
      <c r="D336" s="13"/>
      <c r="E336" s="13"/>
      <c r="F336" s="13"/>
      <c r="G336" s="13"/>
      <c r="H336" s="12"/>
      <c r="I336" s="165"/>
      <c r="J336" s="166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spans="1:28" ht="14.25" customHeight="1">
      <c r="A337" s="13"/>
      <c r="B337" s="13"/>
      <c r="C337" s="13"/>
      <c r="D337" s="13"/>
      <c r="E337" s="13"/>
      <c r="F337" s="13"/>
      <c r="G337" s="13"/>
      <c r="H337" s="12"/>
      <c r="I337" s="165"/>
      <c r="J337" s="166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spans="1:28" ht="14.25" customHeight="1">
      <c r="A338" s="13"/>
      <c r="B338" s="13"/>
      <c r="C338" s="13"/>
      <c r="D338" s="13"/>
      <c r="E338" s="13"/>
      <c r="F338" s="13"/>
      <c r="G338" s="13"/>
      <c r="H338" s="12"/>
      <c r="I338" s="165"/>
      <c r="J338" s="166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spans="1:28" ht="14.25" customHeight="1">
      <c r="A339" s="13"/>
      <c r="B339" s="13"/>
      <c r="C339" s="13"/>
      <c r="D339" s="13"/>
      <c r="E339" s="13"/>
      <c r="F339" s="13"/>
      <c r="G339" s="13"/>
      <c r="H339" s="12"/>
      <c r="I339" s="165"/>
      <c r="J339" s="166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spans="1:28" ht="14.25" customHeight="1">
      <c r="A340" s="13"/>
      <c r="B340" s="13"/>
      <c r="C340" s="13"/>
      <c r="D340" s="13"/>
      <c r="E340" s="13"/>
      <c r="F340" s="13"/>
      <c r="G340" s="13"/>
      <c r="H340" s="12"/>
      <c r="I340" s="165"/>
      <c r="J340" s="166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spans="1:28" ht="14.25" customHeight="1">
      <c r="A341" s="13"/>
      <c r="B341" s="13"/>
      <c r="C341" s="13"/>
      <c r="D341" s="13"/>
      <c r="E341" s="13"/>
      <c r="F341" s="13"/>
      <c r="G341" s="13"/>
      <c r="H341" s="12"/>
      <c r="I341" s="165"/>
      <c r="J341" s="166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spans="1:28" ht="14.25" customHeight="1">
      <c r="A342" s="13"/>
      <c r="B342" s="13"/>
      <c r="C342" s="13"/>
      <c r="D342" s="13"/>
      <c r="E342" s="13"/>
      <c r="F342" s="13"/>
      <c r="G342" s="13"/>
      <c r="H342" s="12"/>
      <c r="I342" s="165"/>
      <c r="J342" s="166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spans="1:28" ht="14.25" customHeight="1">
      <c r="A343" s="13"/>
      <c r="B343" s="13"/>
      <c r="C343" s="13"/>
      <c r="D343" s="13"/>
      <c r="E343" s="13"/>
      <c r="F343" s="13"/>
      <c r="G343" s="13"/>
      <c r="H343" s="12"/>
      <c r="I343" s="165"/>
      <c r="J343" s="166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spans="1:28" ht="14.25" customHeight="1">
      <c r="A344" s="13"/>
      <c r="B344" s="13"/>
      <c r="C344" s="13"/>
      <c r="D344" s="13"/>
      <c r="E344" s="13"/>
      <c r="F344" s="13"/>
      <c r="G344" s="13"/>
      <c r="H344" s="12"/>
      <c r="I344" s="165"/>
      <c r="J344" s="166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spans="1:28" ht="14.25" customHeight="1">
      <c r="A345" s="13"/>
      <c r="B345" s="13"/>
      <c r="C345" s="13"/>
      <c r="D345" s="13"/>
      <c r="E345" s="13"/>
      <c r="F345" s="13"/>
      <c r="G345" s="13"/>
      <c r="H345" s="12"/>
      <c r="I345" s="165"/>
      <c r="J345" s="166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spans="1:28" ht="14.25" customHeight="1">
      <c r="A346" s="13"/>
      <c r="B346" s="13"/>
      <c r="C346" s="13"/>
      <c r="D346" s="13"/>
      <c r="E346" s="13"/>
      <c r="F346" s="13"/>
      <c r="G346" s="13"/>
      <c r="H346" s="12"/>
      <c r="I346" s="165"/>
      <c r="J346" s="166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spans="1:28" ht="14.25" customHeight="1">
      <c r="A347" s="13"/>
      <c r="B347" s="13"/>
      <c r="C347" s="13"/>
      <c r="D347" s="13"/>
      <c r="E347" s="13"/>
      <c r="F347" s="13"/>
      <c r="G347" s="13"/>
      <c r="H347" s="12"/>
      <c r="I347" s="165"/>
      <c r="J347" s="166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spans="1:28" ht="14.25" customHeight="1">
      <c r="A348" s="13"/>
      <c r="B348" s="13"/>
      <c r="C348" s="13"/>
      <c r="D348" s="13"/>
      <c r="E348" s="13"/>
      <c r="F348" s="13"/>
      <c r="G348" s="13"/>
      <c r="H348" s="12"/>
      <c r="I348" s="165"/>
      <c r="J348" s="166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spans="1:28" ht="14.25" customHeight="1">
      <c r="A349" s="13"/>
      <c r="B349" s="13"/>
      <c r="C349" s="13"/>
      <c r="D349" s="13"/>
      <c r="E349" s="13"/>
      <c r="F349" s="13"/>
      <c r="G349" s="13"/>
      <c r="H349" s="12"/>
      <c r="I349" s="165"/>
      <c r="J349" s="166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spans="1:28" ht="14.25" customHeight="1">
      <c r="A350" s="13"/>
      <c r="B350" s="13"/>
      <c r="C350" s="13"/>
      <c r="D350" s="13"/>
      <c r="E350" s="13"/>
      <c r="F350" s="13"/>
      <c r="G350" s="13"/>
      <c r="H350" s="12"/>
      <c r="I350" s="165"/>
      <c r="J350" s="166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spans="1:28" ht="14.25" customHeight="1">
      <c r="A351" s="13"/>
      <c r="B351" s="13"/>
      <c r="C351" s="13"/>
      <c r="D351" s="13"/>
      <c r="E351" s="13"/>
      <c r="F351" s="13"/>
      <c r="G351" s="13"/>
      <c r="H351" s="12"/>
      <c r="I351" s="165"/>
      <c r="J351" s="166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spans="1:28" ht="14.25" customHeight="1">
      <c r="A352" s="13"/>
      <c r="B352" s="13"/>
      <c r="C352" s="13"/>
      <c r="D352" s="13"/>
      <c r="E352" s="13"/>
      <c r="F352" s="13"/>
      <c r="G352" s="13"/>
      <c r="H352" s="12"/>
      <c r="I352" s="165"/>
      <c r="J352" s="166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spans="1:28" ht="14.25" customHeight="1">
      <c r="A353" s="13"/>
      <c r="B353" s="13"/>
      <c r="C353" s="13"/>
      <c r="D353" s="13"/>
      <c r="E353" s="13"/>
      <c r="F353" s="13"/>
      <c r="G353" s="13"/>
      <c r="H353" s="12"/>
      <c r="I353" s="165"/>
      <c r="J353" s="166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spans="1:28" ht="14.25" customHeight="1">
      <c r="A354" s="13"/>
      <c r="B354" s="13"/>
      <c r="C354" s="13"/>
      <c r="D354" s="13"/>
      <c r="E354" s="13"/>
      <c r="F354" s="13"/>
      <c r="G354" s="13"/>
      <c r="H354" s="12"/>
      <c r="I354" s="165"/>
      <c r="J354" s="166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spans="1:28" ht="14.25" customHeight="1">
      <c r="A355" s="13"/>
      <c r="B355" s="13"/>
      <c r="C355" s="13"/>
      <c r="D355" s="13"/>
      <c r="E355" s="13"/>
      <c r="F355" s="13"/>
      <c r="G355" s="13"/>
      <c r="H355" s="12"/>
      <c r="I355" s="165"/>
      <c r="J355" s="166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spans="1:28" ht="14.25" customHeight="1">
      <c r="A356" s="13"/>
      <c r="B356" s="13"/>
      <c r="C356" s="13"/>
      <c r="D356" s="13"/>
      <c r="E356" s="13"/>
      <c r="F356" s="13"/>
      <c r="G356" s="13"/>
      <c r="H356" s="12"/>
      <c r="I356" s="165"/>
      <c r="J356" s="166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spans="1:28" ht="14.25" customHeight="1">
      <c r="A357" s="13"/>
      <c r="B357" s="13"/>
      <c r="C357" s="13"/>
      <c r="D357" s="13"/>
      <c r="E357" s="13"/>
      <c r="F357" s="13"/>
      <c r="G357" s="13"/>
      <c r="H357" s="12"/>
      <c r="I357" s="165"/>
      <c r="J357" s="166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spans="1:28" ht="14.25" customHeight="1">
      <c r="A358" s="13"/>
      <c r="B358" s="13"/>
      <c r="C358" s="13"/>
      <c r="D358" s="13"/>
      <c r="E358" s="13"/>
      <c r="F358" s="13"/>
      <c r="G358" s="13"/>
      <c r="H358" s="12"/>
      <c r="I358" s="165"/>
      <c r="J358" s="166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spans="1:28" ht="14.25" customHeight="1">
      <c r="A359" s="13"/>
      <c r="B359" s="13"/>
      <c r="C359" s="13"/>
      <c r="D359" s="13"/>
      <c r="E359" s="13"/>
      <c r="F359" s="13"/>
      <c r="G359" s="13"/>
      <c r="H359" s="12"/>
      <c r="I359" s="165"/>
      <c r="J359" s="166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spans="1:28" ht="14.25" customHeight="1">
      <c r="A360" s="13"/>
      <c r="B360" s="13"/>
      <c r="C360" s="13"/>
      <c r="D360" s="13"/>
      <c r="E360" s="13"/>
      <c r="F360" s="13"/>
      <c r="G360" s="13"/>
      <c r="H360" s="12"/>
      <c r="I360" s="165"/>
      <c r="J360" s="166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spans="1:28" ht="14.25" customHeight="1">
      <c r="A361" s="13"/>
      <c r="B361" s="13"/>
      <c r="C361" s="13"/>
      <c r="D361" s="13"/>
      <c r="E361" s="13"/>
      <c r="F361" s="13"/>
      <c r="G361" s="13"/>
      <c r="H361" s="12"/>
      <c r="I361" s="165"/>
      <c r="J361" s="166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spans="1:28" ht="14.25" customHeight="1">
      <c r="A362" s="13"/>
      <c r="B362" s="13"/>
      <c r="C362" s="13"/>
      <c r="D362" s="13"/>
      <c r="E362" s="13"/>
      <c r="F362" s="13"/>
      <c r="G362" s="13"/>
      <c r="H362" s="12"/>
      <c r="I362" s="165"/>
      <c r="J362" s="166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spans="1:28" ht="14.25" customHeight="1">
      <c r="A363" s="13"/>
      <c r="B363" s="13"/>
      <c r="C363" s="13"/>
      <c r="D363" s="13"/>
      <c r="E363" s="13"/>
      <c r="F363" s="13"/>
      <c r="G363" s="13"/>
      <c r="H363" s="12"/>
      <c r="I363" s="165"/>
      <c r="J363" s="166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spans="1:28" ht="14.25" customHeight="1">
      <c r="A364" s="13"/>
      <c r="B364" s="13"/>
      <c r="C364" s="13"/>
      <c r="D364" s="13"/>
      <c r="E364" s="13"/>
      <c r="F364" s="13"/>
      <c r="G364" s="13"/>
      <c r="H364" s="12"/>
      <c r="I364" s="165"/>
      <c r="J364" s="166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spans="1:28" ht="14.25" customHeight="1">
      <c r="A365" s="13"/>
      <c r="B365" s="13"/>
      <c r="C365" s="13"/>
      <c r="D365" s="13"/>
      <c r="E365" s="13"/>
      <c r="F365" s="13"/>
      <c r="G365" s="13"/>
      <c r="H365" s="12"/>
      <c r="I365" s="165"/>
      <c r="J365" s="166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spans="1:28" ht="14.25" customHeight="1">
      <c r="A366" s="13"/>
      <c r="B366" s="13"/>
      <c r="C366" s="13"/>
      <c r="D366" s="13"/>
      <c r="E366" s="13"/>
      <c r="F366" s="13"/>
      <c r="G366" s="13"/>
      <c r="H366" s="12"/>
      <c r="I366" s="165"/>
      <c r="J366" s="166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spans="1:28" ht="14.25" customHeight="1">
      <c r="A367" s="13"/>
      <c r="B367" s="13"/>
      <c r="C367" s="13"/>
      <c r="D367" s="13"/>
      <c r="E367" s="13"/>
      <c r="F367" s="13"/>
      <c r="G367" s="13"/>
      <c r="H367" s="12"/>
      <c r="I367" s="165"/>
      <c r="J367" s="166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spans="1:28" ht="14.25" customHeight="1">
      <c r="A368" s="13"/>
      <c r="B368" s="13"/>
      <c r="C368" s="13"/>
      <c r="D368" s="13"/>
      <c r="E368" s="13"/>
      <c r="F368" s="13"/>
      <c r="G368" s="13"/>
      <c r="H368" s="12"/>
      <c r="I368" s="165"/>
      <c r="J368" s="166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spans="1:28" ht="14.25" customHeight="1">
      <c r="A369" s="13"/>
      <c r="B369" s="13"/>
      <c r="C369" s="13"/>
      <c r="D369" s="13"/>
      <c r="E369" s="13"/>
      <c r="F369" s="13"/>
      <c r="G369" s="13"/>
      <c r="H369" s="12"/>
      <c r="I369" s="165"/>
      <c r="J369" s="166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spans="1:28" ht="14.25" customHeight="1">
      <c r="A370" s="13"/>
      <c r="B370" s="13"/>
      <c r="C370" s="13"/>
      <c r="D370" s="13"/>
      <c r="E370" s="13"/>
      <c r="F370" s="13"/>
      <c r="G370" s="13"/>
      <c r="H370" s="12"/>
      <c r="I370" s="165"/>
      <c r="J370" s="166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spans="1:28" ht="14.25" customHeight="1">
      <c r="A371" s="13"/>
      <c r="B371" s="13"/>
      <c r="C371" s="13"/>
      <c r="D371" s="13"/>
      <c r="E371" s="13"/>
      <c r="F371" s="13"/>
      <c r="G371" s="13"/>
      <c r="H371" s="12"/>
      <c r="I371" s="165"/>
      <c r="J371" s="166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spans="1:28" ht="14.25" customHeight="1">
      <c r="A372" s="13"/>
      <c r="B372" s="13"/>
      <c r="C372" s="13"/>
      <c r="D372" s="13"/>
      <c r="E372" s="13"/>
      <c r="F372" s="13"/>
      <c r="G372" s="13"/>
      <c r="H372" s="12"/>
      <c r="I372" s="165"/>
      <c r="J372" s="166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spans="1:28" ht="14.25" customHeight="1">
      <c r="A373" s="13"/>
      <c r="B373" s="13"/>
      <c r="C373" s="13"/>
      <c r="D373" s="13"/>
      <c r="E373" s="13"/>
      <c r="F373" s="13"/>
      <c r="G373" s="13"/>
      <c r="H373" s="12"/>
      <c r="I373" s="165"/>
      <c r="J373" s="166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spans="1:28" ht="14.25" customHeight="1">
      <c r="A374" s="13"/>
      <c r="B374" s="13"/>
      <c r="C374" s="13"/>
      <c r="D374" s="13"/>
      <c r="E374" s="13"/>
      <c r="F374" s="13"/>
      <c r="G374" s="13"/>
      <c r="H374" s="12"/>
      <c r="I374" s="165"/>
      <c r="J374" s="166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spans="1:28" ht="14.25" customHeight="1">
      <c r="A375" s="13"/>
      <c r="B375" s="13"/>
      <c r="C375" s="13"/>
      <c r="D375" s="13"/>
      <c r="E375" s="13"/>
      <c r="F375" s="13"/>
      <c r="G375" s="13"/>
      <c r="H375" s="12"/>
      <c r="I375" s="165"/>
      <c r="J375" s="166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spans="1:28" ht="14.25" customHeight="1">
      <c r="A376" s="13"/>
      <c r="B376" s="13"/>
      <c r="C376" s="13"/>
      <c r="D376" s="13"/>
      <c r="E376" s="13"/>
      <c r="F376" s="13"/>
      <c r="G376" s="13"/>
      <c r="H376" s="12"/>
      <c r="I376" s="165"/>
      <c r="J376" s="166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spans="1:28" ht="14.25" customHeight="1">
      <c r="A377" s="13"/>
      <c r="B377" s="13"/>
      <c r="C377" s="13"/>
      <c r="D377" s="13"/>
      <c r="E377" s="13"/>
      <c r="F377" s="13"/>
      <c r="G377" s="13"/>
      <c r="H377" s="12"/>
      <c r="I377" s="165"/>
      <c r="J377" s="166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spans="1:28" ht="14.25" customHeight="1">
      <c r="A378" s="13"/>
      <c r="B378" s="13"/>
      <c r="C378" s="13"/>
      <c r="D378" s="13"/>
      <c r="E378" s="13"/>
      <c r="F378" s="13"/>
      <c r="G378" s="13"/>
      <c r="H378" s="12"/>
      <c r="I378" s="165"/>
      <c r="J378" s="166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spans="1:28" ht="14.25" customHeight="1">
      <c r="A379" s="13"/>
      <c r="B379" s="13"/>
      <c r="C379" s="13"/>
      <c r="D379" s="13"/>
      <c r="E379" s="13"/>
      <c r="F379" s="13"/>
      <c r="G379" s="13"/>
      <c r="H379" s="12"/>
      <c r="I379" s="165"/>
      <c r="J379" s="166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spans="1:28" ht="14.25" customHeight="1">
      <c r="A380" s="13"/>
      <c r="B380" s="13"/>
      <c r="C380" s="13"/>
      <c r="D380" s="13"/>
      <c r="E380" s="13"/>
      <c r="F380" s="13"/>
      <c r="G380" s="13"/>
      <c r="H380" s="12"/>
      <c r="I380" s="165"/>
      <c r="J380" s="166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spans="1:28" ht="14.25" customHeight="1">
      <c r="A381" s="13"/>
      <c r="B381" s="13"/>
      <c r="C381" s="13"/>
      <c r="D381" s="13"/>
      <c r="E381" s="13"/>
      <c r="F381" s="13"/>
      <c r="G381" s="13"/>
      <c r="H381" s="12"/>
      <c r="I381" s="165"/>
      <c r="J381" s="166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spans="1:28" ht="14.25" customHeight="1">
      <c r="A382" s="13"/>
      <c r="B382" s="13"/>
      <c r="C382" s="13"/>
      <c r="D382" s="13"/>
      <c r="E382" s="13"/>
      <c r="F382" s="13"/>
      <c r="G382" s="13"/>
      <c r="H382" s="12"/>
      <c r="I382" s="165"/>
      <c r="J382" s="166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spans="1:28" ht="14.25" customHeight="1">
      <c r="A383" s="13"/>
      <c r="B383" s="13"/>
      <c r="C383" s="13"/>
      <c r="D383" s="13"/>
      <c r="E383" s="13"/>
      <c r="F383" s="13"/>
      <c r="G383" s="13"/>
      <c r="H383" s="12"/>
      <c r="I383" s="165"/>
      <c r="J383" s="166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spans="1:28" ht="14.25" customHeight="1">
      <c r="A384" s="13"/>
      <c r="B384" s="13"/>
      <c r="C384" s="13"/>
      <c r="D384" s="13"/>
      <c r="E384" s="13"/>
      <c r="F384" s="13"/>
      <c r="G384" s="13"/>
      <c r="H384" s="12"/>
      <c r="I384" s="165"/>
      <c r="J384" s="166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spans="1:28" ht="14.25" customHeight="1">
      <c r="A385" s="13"/>
      <c r="B385" s="13"/>
      <c r="C385" s="13"/>
      <c r="D385" s="13"/>
      <c r="E385" s="13"/>
      <c r="F385" s="13"/>
      <c r="G385" s="13"/>
      <c r="H385" s="12"/>
      <c r="I385" s="165"/>
      <c r="J385" s="166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spans="1:28" ht="14.25" customHeight="1">
      <c r="A386" s="13"/>
      <c r="B386" s="13"/>
      <c r="C386" s="13"/>
      <c r="D386" s="13"/>
      <c r="E386" s="13"/>
      <c r="F386" s="13"/>
      <c r="G386" s="13"/>
      <c r="H386" s="12"/>
      <c r="I386" s="165"/>
      <c r="J386" s="166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spans="1:28" ht="14.25" customHeight="1">
      <c r="A387" s="13"/>
      <c r="B387" s="13"/>
      <c r="C387" s="13"/>
      <c r="D387" s="13"/>
      <c r="E387" s="13"/>
      <c r="F387" s="13"/>
      <c r="G387" s="13"/>
      <c r="H387" s="12"/>
      <c r="I387" s="165"/>
      <c r="J387" s="166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spans="1:28" ht="14.25" customHeight="1">
      <c r="A388" s="13"/>
      <c r="B388" s="13"/>
      <c r="C388" s="13"/>
      <c r="D388" s="13"/>
      <c r="E388" s="13"/>
      <c r="F388" s="13"/>
      <c r="G388" s="13"/>
      <c r="H388" s="12"/>
      <c r="I388" s="165"/>
      <c r="J388" s="166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spans="1:28" ht="14.25" customHeight="1">
      <c r="A389" s="13"/>
      <c r="B389" s="13"/>
      <c r="C389" s="13"/>
      <c r="D389" s="13"/>
      <c r="E389" s="13"/>
      <c r="F389" s="13"/>
      <c r="G389" s="13"/>
      <c r="H389" s="12"/>
      <c r="I389" s="165"/>
      <c r="J389" s="166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spans="1:28" ht="14.25" customHeight="1">
      <c r="A390" s="13"/>
      <c r="B390" s="13"/>
      <c r="C390" s="13"/>
      <c r="D390" s="13"/>
      <c r="E390" s="13"/>
      <c r="F390" s="13"/>
      <c r="G390" s="13"/>
      <c r="H390" s="12"/>
      <c r="I390" s="165"/>
      <c r="J390" s="166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spans="1:28" ht="14.25" customHeight="1">
      <c r="A391" s="13"/>
      <c r="B391" s="13"/>
      <c r="C391" s="13"/>
      <c r="D391" s="13"/>
      <c r="E391" s="13"/>
      <c r="F391" s="13"/>
      <c r="G391" s="13"/>
      <c r="H391" s="12"/>
      <c r="I391" s="165"/>
      <c r="J391" s="166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spans="1:28" ht="14.25" customHeight="1">
      <c r="A392" s="13"/>
      <c r="B392" s="13"/>
      <c r="C392" s="13"/>
      <c r="D392" s="13"/>
      <c r="E392" s="13"/>
      <c r="F392" s="13"/>
      <c r="G392" s="13"/>
      <c r="H392" s="12"/>
      <c r="I392" s="165"/>
      <c r="J392" s="166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spans="1:28" ht="14.25" customHeight="1">
      <c r="A393" s="13"/>
      <c r="B393" s="13"/>
      <c r="C393" s="13"/>
      <c r="D393" s="13"/>
      <c r="E393" s="13"/>
      <c r="F393" s="13"/>
      <c r="G393" s="13"/>
      <c r="H393" s="12"/>
      <c r="I393" s="165"/>
      <c r="J393" s="166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spans="1:28" ht="14.25" customHeight="1">
      <c r="A394" s="13"/>
      <c r="B394" s="13"/>
      <c r="C394" s="13"/>
      <c r="D394" s="13"/>
      <c r="E394" s="13"/>
      <c r="F394" s="13"/>
      <c r="G394" s="13"/>
      <c r="H394" s="12"/>
      <c r="I394" s="165"/>
      <c r="J394" s="166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spans="1:28" ht="14.25" customHeight="1">
      <c r="A395" s="13"/>
      <c r="B395" s="13"/>
      <c r="C395" s="13"/>
      <c r="D395" s="13"/>
      <c r="E395" s="13"/>
      <c r="F395" s="13"/>
      <c r="G395" s="13"/>
      <c r="H395" s="12"/>
      <c r="I395" s="165"/>
      <c r="J395" s="166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spans="1:28" ht="14.25" customHeight="1">
      <c r="A396" s="13"/>
      <c r="B396" s="13"/>
      <c r="C396" s="13"/>
      <c r="D396" s="13"/>
      <c r="E396" s="13"/>
      <c r="F396" s="13"/>
      <c r="G396" s="13"/>
      <c r="H396" s="12"/>
      <c r="I396" s="165"/>
      <c r="J396" s="166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spans="1:28" ht="14.25" customHeight="1">
      <c r="A397" s="13"/>
      <c r="B397" s="13"/>
      <c r="C397" s="13"/>
      <c r="D397" s="13"/>
      <c r="E397" s="13"/>
      <c r="F397" s="13"/>
      <c r="G397" s="13"/>
      <c r="H397" s="12"/>
      <c r="I397" s="165"/>
      <c r="J397" s="166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spans="1:28" ht="14.25" customHeight="1">
      <c r="A398" s="13"/>
      <c r="B398" s="13"/>
      <c r="C398" s="13"/>
      <c r="D398" s="13"/>
      <c r="E398" s="13"/>
      <c r="F398" s="13"/>
      <c r="G398" s="13"/>
      <c r="H398" s="12"/>
      <c r="I398" s="165"/>
      <c r="J398" s="166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spans="1:28" ht="14.25" customHeight="1">
      <c r="A399" s="13"/>
      <c r="B399" s="13"/>
      <c r="C399" s="13"/>
      <c r="D399" s="13"/>
      <c r="E399" s="13"/>
      <c r="F399" s="13"/>
      <c r="G399" s="13"/>
      <c r="H399" s="12"/>
      <c r="I399" s="165"/>
      <c r="J399" s="166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spans="1:28" ht="14.25" customHeight="1">
      <c r="A400" s="13"/>
      <c r="B400" s="13"/>
      <c r="C400" s="13"/>
      <c r="D400" s="13"/>
      <c r="E400" s="13"/>
      <c r="F400" s="13"/>
      <c r="G400" s="13"/>
      <c r="H400" s="12"/>
      <c r="I400" s="165"/>
      <c r="J400" s="166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spans="1:28" ht="14.25" customHeight="1">
      <c r="A401" s="13"/>
      <c r="B401" s="13"/>
      <c r="C401" s="13"/>
      <c r="D401" s="13"/>
      <c r="E401" s="13"/>
      <c r="F401" s="13"/>
      <c r="G401" s="13"/>
      <c r="H401" s="12"/>
      <c r="I401" s="165"/>
      <c r="J401" s="166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spans="1:28" ht="14.25" customHeight="1">
      <c r="A402" s="13"/>
      <c r="B402" s="13"/>
      <c r="C402" s="13"/>
      <c r="D402" s="13"/>
      <c r="E402" s="13"/>
      <c r="F402" s="13"/>
      <c r="G402" s="13"/>
      <c r="H402" s="12"/>
      <c r="I402" s="165"/>
      <c r="J402" s="166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spans="1:28" ht="14.25" customHeight="1">
      <c r="A403" s="13"/>
      <c r="B403" s="13"/>
      <c r="C403" s="13"/>
      <c r="D403" s="13"/>
      <c r="E403" s="13"/>
      <c r="F403" s="13"/>
      <c r="G403" s="13"/>
      <c r="H403" s="12"/>
      <c r="I403" s="165"/>
      <c r="J403" s="166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spans="1:28" ht="14.25" customHeight="1">
      <c r="A404" s="13"/>
      <c r="B404" s="13"/>
      <c r="C404" s="13"/>
      <c r="D404" s="13"/>
      <c r="E404" s="13"/>
      <c r="F404" s="13"/>
      <c r="G404" s="13"/>
      <c r="H404" s="12"/>
      <c r="I404" s="165"/>
      <c r="J404" s="166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spans="1:28" ht="14.25" customHeight="1">
      <c r="A405" s="13"/>
      <c r="B405" s="13"/>
      <c r="C405" s="13"/>
      <c r="D405" s="13"/>
      <c r="E405" s="13"/>
      <c r="F405" s="13"/>
      <c r="G405" s="13"/>
      <c r="H405" s="12"/>
      <c r="I405" s="165"/>
      <c r="J405" s="166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spans="1:28" ht="14.25" customHeight="1">
      <c r="A406" s="13"/>
      <c r="B406" s="13"/>
      <c r="C406" s="13"/>
      <c r="D406" s="13"/>
      <c r="E406" s="13"/>
      <c r="F406" s="13"/>
      <c r="G406" s="13"/>
      <c r="H406" s="12"/>
      <c r="I406" s="165"/>
      <c r="J406" s="166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spans="1:28" ht="14.25" customHeight="1">
      <c r="A407" s="13"/>
      <c r="B407" s="13"/>
      <c r="C407" s="13"/>
      <c r="D407" s="13"/>
      <c r="E407" s="13"/>
      <c r="F407" s="13"/>
      <c r="G407" s="13"/>
      <c r="H407" s="12"/>
      <c r="I407" s="165"/>
      <c r="J407" s="166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spans="1:28" ht="14.25" customHeight="1">
      <c r="A408" s="13"/>
      <c r="B408" s="13"/>
      <c r="C408" s="13"/>
      <c r="D408" s="13"/>
      <c r="E408" s="13"/>
      <c r="F408" s="13"/>
      <c r="G408" s="13"/>
      <c r="H408" s="12"/>
      <c r="I408" s="165"/>
      <c r="J408" s="166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spans="1:28" ht="14.25" customHeight="1">
      <c r="A409" s="13"/>
      <c r="B409" s="13"/>
      <c r="C409" s="13"/>
      <c r="D409" s="13"/>
      <c r="E409" s="13"/>
      <c r="F409" s="13"/>
      <c r="G409" s="13"/>
      <c r="H409" s="12"/>
      <c r="I409" s="165"/>
      <c r="J409" s="166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spans="1:28" ht="14.25" customHeight="1">
      <c r="A410" s="13"/>
      <c r="B410" s="13"/>
      <c r="C410" s="13"/>
      <c r="D410" s="13"/>
      <c r="E410" s="13"/>
      <c r="F410" s="13"/>
      <c r="G410" s="13"/>
      <c r="H410" s="12"/>
      <c r="I410" s="165"/>
      <c r="J410" s="166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spans="1:28" ht="14.25" customHeight="1">
      <c r="A411" s="13"/>
      <c r="B411" s="13"/>
      <c r="C411" s="13"/>
      <c r="D411" s="13"/>
      <c r="E411" s="13"/>
      <c r="F411" s="13"/>
      <c r="G411" s="13"/>
      <c r="H411" s="12"/>
      <c r="I411" s="165"/>
      <c r="J411" s="166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spans="1:28" ht="14.25" customHeight="1">
      <c r="A412" s="13"/>
      <c r="B412" s="13"/>
      <c r="C412" s="13"/>
      <c r="D412" s="13"/>
      <c r="E412" s="13"/>
      <c r="F412" s="13"/>
      <c r="G412" s="13"/>
      <c r="H412" s="12"/>
      <c r="I412" s="165"/>
      <c r="J412" s="166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spans="1:28" ht="14.25" customHeight="1">
      <c r="A413" s="13"/>
      <c r="B413" s="13"/>
      <c r="C413" s="13"/>
      <c r="D413" s="13"/>
      <c r="E413" s="13"/>
      <c r="F413" s="13"/>
      <c r="G413" s="13"/>
      <c r="H413" s="12"/>
      <c r="I413" s="165"/>
      <c r="J413" s="166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spans="1:28" ht="14.25" customHeight="1">
      <c r="A414" s="13"/>
      <c r="B414" s="13"/>
      <c r="C414" s="13"/>
      <c r="D414" s="13"/>
      <c r="E414" s="13"/>
      <c r="F414" s="13"/>
      <c r="G414" s="13"/>
      <c r="H414" s="12"/>
      <c r="I414" s="165"/>
      <c r="J414" s="166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spans="1:28" ht="14.25" customHeight="1">
      <c r="A415" s="13"/>
      <c r="B415" s="13"/>
      <c r="C415" s="13"/>
      <c r="D415" s="13"/>
      <c r="E415" s="13"/>
      <c r="F415" s="13"/>
      <c r="G415" s="13"/>
      <c r="H415" s="12"/>
      <c r="I415" s="165"/>
      <c r="J415" s="166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spans="1:28" ht="14.25" customHeight="1">
      <c r="A416" s="13"/>
      <c r="B416" s="13"/>
      <c r="C416" s="13"/>
      <c r="D416" s="13"/>
      <c r="E416" s="13"/>
      <c r="F416" s="13"/>
      <c r="G416" s="13"/>
      <c r="H416" s="12"/>
      <c r="I416" s="165"/>
      <c r="J416" s="166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spans="1:28" ht="14.25" customHeight="1">
      <c r="A417" s="13"/>
      <c r="B417" s="13"/>
      <c r="C417" s="13"/>
      <c r="D417" s="13"/>
      <c r="E417" s="13"/>
      <c r="F417" s="13"/>
      <c r="G417" s="13"/>
      <c r="H417" s="12"/>
      <c r="I417" s="165"/>
      <c r="J417" s="166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spans="1:28" ht="14.25" customHeight="1">
      <c r="A418" s="13"/>
      <c r="B418" s="13"/>
      <c r="C418" s="13"/>
      <c r="D418" s="13"/>
      <c r="E418" s="13"/>
      <c r="F418" s="13"/>
      <c r="G418" s="13"/>
      <c r="H418" s="12"/>
      <c r="I418" s="165"/>
      <c r="J418" s="166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spans="1:28" ht="14.25" customHeight="1">
      <c r="A419" s="13"/>
      <c r="B419" s="13"/>
      <c r="C419" s="13"/>
      <c r="D419" s="13"/>
      <c r="E419" s="13"/>
      <c r="F419" s="13"/>
      <c r="G419" s="13"/>
      <c r="H419" s="12"/>
      <c r="I419" s="165"/>
      <c r="J419" s="166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spans="1:28" ht="14.25" customHeight="1">
      <c r="A420" s="13"/>
      <c r="B420" s="13"/>
      <c r="C420" s="13"/>
      <c r="D420" s="13"/>
      <c r="E420" s="13"/>
      <c r="F420" s="13"/>
      <c r="G420" s="13"/>
      <c r="H420" s="12"/>
      <c r="I420" s="165"/>
      <c r="J420" s="166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spans="1:28" ht="14.25" customHeight="1">
      <c r="A421" s="13"/>
      <c r="B421" s="13"/>
      <c r="C421" s="13"/>
      <c r="D421" s="13"/>
      <c r="E421" s="13"/>
      <c r="F421" s="13"/>
      <c r="G421" s="13"/>
      <c r="H421" s="12"/>
      <c r="I421" s="165"/>
      <c r="J421" s="166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spans="1:28" ht="14.25" customHeight="1">
      <c r="A422" s="13"/>
      <c r="B422" s="13"/>
      <c r="C422" s="13"/>
      <c r="D422" s="13"/>
      <c r="E422" s="13"/>
      <c r="F422" s="13"/>
      <c r="G422" s="13"/>
      <c r="H422" s="12"/>
      <c r="I422" s="165"/>
      <c r="J422" s="166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spans="1:28" ht="14.25" customHeight="1">
      <c r="A423" s="13"/>
      <c r="B423" s="13"/>
      <c r="C423" s="13"/>
      <c r="D423" s="13"/>
      <c r="E423" s="13"/>
      <c r="F423" s="13"/>
      <c r="G423" s="13"/>
      <c r="H423" s="12"/>
      <c r="I423" s="165"/>
      <c r="J423" s="166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spans="1:28" ht="14.25" customHeight="1">
      <c r="A424" s="13"/>
      <c r="B424" s="13"/>
      <c r="C424" s="13"/>
      <c r="D424" s="13"/>
      <c r="E424" s="13"/>
      <c r="F424" s="13"/>
      <c r="G424" s="13"/>
      <c r="H424" s="12"/>
      <c r="I424" s="165"/>
      <c r="J424" s="166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spans="1:28" ht="14.25" customHeight="1">
      <c r="A425" s="13"/>
      <c r="B425" s="13"/>
      <c r="C425" s="13"/>
      <c r="D425" s="13"/>
      <c r="E425" s="13"/>
      <c r="F425" s="13"/>
      <c r="G425" s="13"/>
      <c r="H425" s="12"/>
      <c r="I425" s="165"/>
      <c r="J425" s="166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spans="1:28" ht="14.25" customHeight="1">
      <c r="A426" s="13"/>
      <c r="B426" s="13"/>
      <c r="C426" s="13"/>
      <c r="D426" s="13"/>
      <c r="E426" s="13"/>
      <c r="F426" s="13"/>
      <c r="G426" s="13"/>
      <c r="H426" s="12"/>
      <c r="I426" s="165"/>
      <c r="J426" s="166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spans="1:28" ht="14.25" customHeight="1">
      <c r="A427" s="13"/>
      <c r="B427" s="13"/>
      <c r="C427" s="13"/>
      <c r="D427" s="13"/>
      <c r="E427" s="13"/>
      <c r="F427" s="13"/>
      <c r="G427" s="13"/>
      <c r="H427" s="12"/>
      <c r="I427" s="165"/>
      <c r="J427" s="166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spans="1:28" ht="14.25" customHeight="1">
      <c r="A428" s="13"/>
      <c r="B428" s="13"/>
      <c r="C428" s="13"/>
      <c r="D428" s="13"/>
      <c r="E428" s="13"/>
      <c r="F428" s="13"/>
      <c r="G428" s="13"/>
      <c r="H428" s="12"/>
      <c r="I428" s="165"/>
      <c r="J428" s="166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spans="1:28" ht="14.25" customHeight="1">
      <c r="A429" s="13"/>
      <c r="B429" s="13"/>
      <c r="C429" s="13"/>
      <c r="D429" s="13"/>
      <c r="E429" s="13"/>
      <c r="F429" s="13"/>
      <c r="G429" s="13"/>
      <c r="H429" s="12"/>
      <c r="I429" s="165"/>
      <c r="J429" s="166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spans="1:28" ht="14.25" customHeight="1">
      <c r="A430" s="13"/>
      <c r="B430" s="13"/>
      <c r="C430" s="13"/>
      <c r="D430" s="13"/>
      <c r="E430" s="13"/>
      <c r="F430" s="13"/>
      <c r="G430" s="13"/>
      <c r="H430" s="12"/>
      <c r="I430" s="165"/>
      <c r="J430" s="166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spans="1:28" ht="14.25" customHeight="1">
      <c r="A431" s="13"/>
      <c r="B431" s="13"/>
      <c r="C431" s="13"/>
      <c r="D431" s="13"/>
      <c r="E431" s="13"/>
      <c r="F431" s="13"/>
      <c r="G431" s="13"/>
      <c r="H431" s="12"/>
      <c r="I431" s="165"/>
      <c r="J431" s="166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spans="1:28" ht="14.25" customHeight="1">
      <c r="A432" s="13"/>
      <c r="B432" s="13"/>
      <c r="C432" s="13"/>
      <c r="D432" s="13"/>
      <c r="E432" s="13"/>
      <c r="F432" s="13"/>
      <c r="G432" s="13"/>
      <c r="H432" s="12"/>
      <c r="I432" s="165"/>
      <c r="J432" s="166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spans="1:28" ht="14.25" customHeight="1">
      <c r="A433" s="13"/>
      <c r="B433" s="13"/>
      <c r="C433" s="13"/>
      <c r="D433" s="13"/>
      <c r="E433" s="13"/>
      <c r="F433" s="13"/>
      <c r="G433" s="13"/>
      <c r="H433" s="12"/>
      <c r="I433" s="165"/>
      <c r="J433" s="166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spans="1:28" ht="14.25" customHeight="1">
      <c r="A434" s="13"/>
      <c r="B434" s="13"/>
      <c r="C434" s="13"/>
      <c r="D434" s="13"/>
      <c r="E434" s="13"/>
      <c r="F434" s="13"/>
      <c r="G434" s="13"/>
      <c r="H434" s="12"/>
      <c r="I434" s="165"/>
      <c r="J434" s="166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spans="1:28" ht="14.25" customHeight="1">
      <c r="A435" s="13"/>
      <c r="B435" s="13"/>
      <c r="C435" s="13"/>
      <c r="D435" s="13"/>
      <c r="E435" s="13"/>
      <c r="F435" s="13"/>
      <c r="G435" s="13"/>
      <c r="H435" s="12"/>
      <c r="I435" s="165"/>
      <c r="J435" s="166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spans="1:28" ht="14.25" customHeight="1">
      <c r="A436" s="13"/>
      <c r="B436" s="13"/>
      <c r="C436" s="13"/>
      <c r="D436" s="13"/>
      <c r="E436" s="13"/>
      <c r="F436" s="13"/>
      <c r="G436" s="13"/>
      <c r="H436" s="12"/>
      <c r="I436" s="165"/>
      <c r="J436" s="166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spans="1:28" ht="14.25" customHeight="1">
      <c r="A437" s="13"/>
      <c r="B437" s="13"/>
      <c r="C437" s="13"/>
      <c r="D437" s="13"/>
      <c r="E437" s="13"/>
      <c r="F437" s="13"/>
      <c r="G437" s="13"/>
      <c r="H437" s="12"/>
      <c r="I437" s="165"/>
      <c r="J437" s="166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spans="1:28" ht="14.25" customHeight="1">
      <c r="A438" s="13"/>
      <c r="B438" s="13"/>
      <c r="C438" s="13"/>
      <c r="D438" s="13"/>
      <c r="E438" s="13"/>
      <c r="F438" s="13"/>
      <c r="G438" s="13"/>
      <c r="H438" s="12"/>
      <c r="I438" s="165"/>
      <c r="J438" s="166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spans="1:28" ht="14.25" customHeight="1">
      <c r="A439" s="13"/>
      <c r="B439" s="13"/>
      <c r="C439" s="13"/>
      <c r="D439" s="13"/>
      <c r="E439" s="13"/>
      <c r="F439" s="13"/>
      <c r="G439" s="13"/>
      <c r="H439" s="12"/>
      <c r="I439" s="165"/>
      <c r="J439" s="166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spans="1:28" ht="14.25" customHeight="1">
      <c r="A440" s="13"/>
      <c r="B440" s="13"/>
      <c r="C440" s="13"/>
      <c r="D440" s="13"/>
      <c r="E440" s="13"/>
      <c r="F440" s="13"/>
      <c r="G440" s="13"/>
      <c r="H440" s="12"/>
      <c r="I440" s="165"/>
      <c r="J440" s="166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spans="1:28" ht="14.25" customHeight="1">
      <c r="A441" s="13"/>
      <c r="B441" s="13"/>
      <c r="C441" s="13"/>
      <c r="D441" s="13"/>
      <c r="E441" s="13"/>
      <c r="F441" s="13"/>
      <c r="G441" s="13"/>
      <c r="H441" s="12"/>
      <c r="I441" s="165"/>
      <c r="J441" s="166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spans="1:28" ht="14.25" customHeight="1">
      <c r="A442" s="13"/>
      <c r="B442" s="13"/>
      <c r="C442" s="13"/>
      <c r="D442" s="13"/>
      <c r="E442" s="13"/>
      <c r="F442" s="13"/>
      <c r="G442" s="13"/>
      <c r="H442" s="12"/>
      <c r="I442" s="165"/>
      <c r="J442" s="166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spans="1:28" ht="14.25" customHeight="1">
      <c r="A443" s="13"/>
      <c r="B443" s="13"/>
      <c r="C443" s="13"/>
      <c r="D443" s="13"/>
      <c r="E443" s="13"/>
      <c r="F443" s="13"/>
      <c r="G443" s="13"/>
      <c r="H443" s="12"/>
      <c r="I443" s="165"/>
      <c r="J443" s="166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spans="1:28" ht="14.25" customHeight="1">
      <c r="A444" s="13"/>
      <c r="B444" s="13"/>
      <c r="C444" s="13"/>
      <c r="D444" s="13"/>
      <c r="E444" s="13"/>
      <c r="F444" s="13"/>
      <c r="G444" s="13"/>
      <c r="H444" s="12"/>
      <c r="I444" s="165"/>
      <c r="J444" s="166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spans="1:28" ht="14.25" customHeight="1">
      <c r="A445" s="13"/>
      <c r="B445" s="13"/>
      <c r="C445" s="13"/>
      <c r="D445" s="13"/>
      <c r="E445" s="13"/>
      <c r="F445" s="13"/>
      <c r="G445" s="13"/>
      <c r="H445" s="12"/>
      <c r="I445" s="165"/>
      <c r="J445" s="166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spans="1:28" ht="14.25" customHeight="1">
      <c r="A446" s="13"/>
      <c r="B446" s="13"/>
      <c r="C446" s="13"/>
      <c r="D446" s="13"/>
      <c r="E446" s="13"/>
      <c r="F446" s="13"/>
      <c r="G446" s="13"/>
      <c r="H446" s="12"/>
      <c r="I446" s="165"/>
      <c r="J446" s="166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spans="1:28" ht="14.25" customHeight="1">
      <c r="A447" s="13"/>
      <c r="B447" s="13"/>
      <c r="C447" s="13"/>
      <c r="D447" s="13"/>
      <c r="E447" s="13"/>
      <c r="F447" s="13"/>
      <c r="G447" s="13"/>
      <c r="H447" s="12"/>
      <c r="I447" s="165"/>
      <c r="J447" s="166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spans="1:28" ht="14.25" customHeight="1">
      <c r="A448" s="13"/>
      <c r="B448" s="13"/>
      <c r="C448" s="13"/>
      <c r="D448" s="13"/>
      <c r="E448" s="13"/>
      <c r="F448" s="13"/>
      <c r="G448" s="13"/>
      <c r="H448" s="12"/>
      <c r="I448" s="165"/>
      <c r="J448" s="166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spans="1:28" ht="14.25" customHeight="1">
      <c r="A449" s="13"/>
      <c r="B449" s="13"/>
      <c r="C449" s="13"/>
      <c r="D449" s="13"/>
      <c r="E449" s="13"/>
      <c r="F449" s="13"/>
      <c r="G449" s="13"/>
      <c r="H449" s="12"/>
      <c r="I449" s="165"/>
      <c r="J449" s="166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spans="1:28" ht="14.25" customHeight="1">
      <c r="A450" s="13"/>
      <c r="B450" s="13"/>
      <c r="C450" s="13"/>
      <c r="D450" s="13"/>
      <c r="E450" s="13"/>
      <c r="F450" s="13"/>
      <c r="G450" s="13"/>
      <c r="H450" s="12"/>
      <c r="I450" s="165"/>
      <c r="J450" s="166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spans="1:28" ht="14.25" customHeight="1">
      <c r="A451" s="13"/>
      <c r="B451" s="13"/>
      <c r="C451" s="13"/>
      <c r="D451" s="13"/>
      <c r="E451" s="13"/>
      <c r="F451" s="13"/>
      <c r="G451" s="13"/>
      <c r="H451" s="12"/>
      <c r="I451" s="165"/>
      <c r="J451" s="166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spans="1:28" ht="14.25" customHeight="1">
      <c r="A452" s="13"/>
      <c r="B452" s="13"/>
      <c r="C452" s="13"/>
      <c r="D452" s="13"/>
      <c r="E452" s="13"/>
      <c r="F452" s="13"/>
      <c r="G452" s="13"/>
      <c r="H452" s="12"/>
      <c r="I452" s="165"/>
      <c r="J452" s="166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spans="1:28" ht="14.25" customHeight="1">
      <c r="A453" s="13"/>
      <c r="B453" s="13"/>
      <c r="C453" s="13"/>
      <c r="D453" s="13"/>
      <c r="E453" s="13"/>
      <c r="F453" s="13"/>
      <c r="G453" s="13"/>
      <c r="H453" s="12"/>
      <c r="I453" s="165"/>
      <c r="J453" s="166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spans="1:28" ht="14.25" customHeight="1">
      <c r="A454" s="13"/>
      <c r="B454" s="13"/>
      <c r="C454" s="13"/>
      <c r="D454" s="13"/>
      <c r="E454" s="13"/>
      <c r="F454" s="13"/>
      <c r="G454" s="13"/>
      <c r="H454" s="12"/>
      <c r="I454" s="165"/>
      <c r="J454" s="166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spans="1:28" ht="14.25" customHeight="1">
      <c r="A455" s="13"/>
      <c r="B455" s="13"/>
      <c r="C455" s="13"/>
      <c r="D455" s="13"/>
      <c r="E455" s="13"/>
      <c r="F455" s="13"/>
      <c r="G455" s="13"/>
      <c r="H455" s="12"/>
      <c r="I455" s="165"/>
      <c r="J455" s="166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spans="1:28" ht="14.25" customHeight="1">
      <c r="A456" s="13"/>
      <c r="B456" s="13"/>
      <c r="C456" s="13"/>
      <c r="D456" s="13"/>
      <c r="E456" s="13"/>
      <c r="F456" s="13"/>
      <c r="G456" s="13"/>
      <c r="H456" s="12"/>
      <c r="I456" s="165"/>
      <c r="J456" s="166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spans="1:28" ht="14.25" customHeight="1">
      <c r="A457" s="13"/>
      <c r="B457" s="13"/>
      <c r="C457" s="13"/>
      <c r="D457" s="13"/>
      <c r="E457" s="13"/>
      <c r="F457" s="13"/>
      <c r="G457" s="13"/>
      <c r="H457" s="12"/>
      <c r="I457" s="165"/>
      <c r="J457" s="166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spans="1:28" ht="14.25" customHeight="1">
      <c r="A458" s="13"/>
      <c r="B458" s="13"/>
      <c r="C458" s="13"/>
      <c r="D458" s="13"/>
      <c r="E458" s="13"/>
      <c r="F458" s="13"/>
      <c r="G458" s="13"/>
      <c r="H458" s="12"/>
      <c r="I458" s="165"/>
      <c r="J458" s="166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spans="1:28" ht="14.25" customHeight="1">
      <c r="A459" s="13"/>
      <c r="B459" s="13"/>
      <c r="C459" s="13"/>
      <c r="D459" s="13"/>
      <c r="E459" s="13"/>
      <c r="F459" s="13"/>
      <c r="G459" s="13"/>
      <c r="H459" s="12"/>
      <c r="I459" s="165"/>
      <c r="J459" s="166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spans="1:28" ht="14.25" customHeight="1">
      <c r="A460" s="13"/>
      <c r="B460" s="13"/>
      <c r="C460" s="13"/>
      <c r="D460" s="13"/>
      <c r="E460" s="13"/>
      <c r="F460" s="13"/>
      <c r="G460" s="13"/>
      <c r="H460" s="12"/>
      <c r="I460" s="165"/>
      <c r="J460" s="166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spans="1:28" ht="14.25" customHeight="1">
      <c r="A461" s="13"/>
      <c r="B461" s="13"/>
      <c r="C461" s="13"/>
      <c r="D461" s="13"/>
      <c r="E461" s="13"/>
      <c r="F461" s="13"/>
      <c r="G461" s="13"/>
      <c r="H461" s="12"/>
      <c r="I461" s="165"/>
      <c r="J461" s="166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spans="1:28" ht="14.25" customHeight="1">
      <c r="A462" s="13"/>
      <c r="B462" s="13"/>
      <c r="C462" s="13"/>
      <c r="D462" s="13"/>
      <c r="E462" s="13"/>
      <c r="F462" s="13"/>
      <c r="G462" s="13"/>
      <c r="H462" s="12"/>
      <c r="I462" s="165"/>
      <c r="J462" s="166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spans="1:28" ht="14.25" customHeight="1">
      <c r="A463" s="13"/>
      <c r="B463" s="13"/>
      <c r="C463" s="13"/>
      <c r="D463" s="13"/>
      <c r="E463" s="13"/>
      <c r="F463" s="13"/>
      <c r="G463" s="13"/>
      <c r="H463" s="12"/>
      <c r="I463" s="165"/>
      <c r="J463" s="166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spans="1:28" ht="14.25" customHeight="1">
      <c r="A464" s="13"/>
      <c r="B464" s="13"/>
      <c r="C464" s="13"/>
      <c r="D464" s="13"/>
      <c r="E464" s="13"/>
      <c r="F464" s="13"/>
      <c r="G464" s="13"/>
      <c r="H464" s="12"/>
      <c r="I464" s="165"/>
      <c r="J464" s="166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spans="1:28" ht="14.25" customHeight="1">
      <c r="A465" s="13"/>
      <c r="B465" s="13"/>
      <c r="C465" s="13"/>
      <c r="D465" s="13"/>
      <c r="E465" s="13"/>
      <c r="F465" s="13"/>
      <c r="G465" s="13"/>
      <c r="H465" s="12"/>
      <c r="I465" s="165"/>
      <c r="J465" s="166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spans="1:28" ht="14.25" customHeight="1">
      <c r="A466" s="13"/>
      <c r="B466" s="13"/>
      <c r="C466" s="13"/>
      <c r="D466" s="13"/>
      <c r="E466" s="13"/>
      <c r="F466" s="13"/>
      <c r="G466" s="13"/>
      <c r="H466" s="12"/>
      <c r="I466" s="165"/>
      <c r="J466" s="166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spans="1:28" ht="14.25" customHeight="1">
      <c r="A467" s="13"/>
      <c r="B467" s="13"/>
      <c r="C467" s="13"/>
      <c r="D467" s="13"/>
      <c r="E467" s="13"/>
      <c r="F467" s="13"/>
      <c r="G467" s="13"/>
      <c r="H467" s="12"/>
      <c r="I467" s="165"/>
      <c r="J467" s="166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spans="1:28" ht="14.25" customHeight="1">
      <c r="A468" s="13"/>
      <c r="B468" s="13"/>
      <c r="C468" s="13"/>
      <c r="D468" s="13"/>
      <c r="E468" s="13"/>
      <c r="F468" s="13"/>
      <c r="G468" s="13"/>
      <c r="H468" s="12"/>
      <c r="I468" s="165"/>
      <c r="J468" s="166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spans="1:28" ht="14.25" customHeight="1">
      <c r="A469" s="13"/>
      <c r="B469" s="13"/>
      <c r="C469" s="13"/>
      <c r="D469" s="13"/>
      <c r="E469" s="13"/>
      <c r="F469" s="13"/>
      <c r="G469" s="13"/>
      <c r="H469" s="12"/>
      <c r="I469" s="165"/>
      <c r="J469" s="166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spans="1:28" ht="14.25" customHeight="1">
      <c r="A470" s="13"/>
      <c r="B470" s="13"/>
      <c r="C470" s="13"/>
      <c r="D470" s="13"/>
      <c r="E470" s="13"/>
      <c r="F470" s="13"/>
      <c r="G470" s="13"/>
      <c r="H470" s="12"/>
      <c r="I470" s="165"/>
      <c r="J470" s="166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spans="1:28" ht="14.25" customHeight="1">
      <c r="A471" s="13"/>
      <c r="B471" s="13"/>
      <c r="C471" s="13"/>
      <c r="D471" s="13"/>
      <c r="E471" s="13"/>
      <c r="F471" s="13"/>
      <c r="G471" s="13"/>
      <c r="H471" s="12"/>
      <c r="I471" s="165"/>
      <c r="J471" s="166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spans="1:28" ht="14.25" customHeight="1">
      <c r="A472" s="13"/>
      <c r="B472" s="13"/>
      <c r="C472" s="13"/>
      <c r="D472" s="13"/>
      <c r="E472" s="13"/>
      <c r="F472" s="13"/>
      <c r="G472" s="13"/>
      <c r="H472" s="12"/>
      <c r="I472" s="165"/>
      <c r="J472" s="166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spans="1:28" ht="14.25" customHeight="1">
      <c r="A473" s="13"/>
      <c r="B473" s="13"/>
      <c r="C473" s="13"/>
      <c r="D473" s="13"/>
      <c r="E473" s="13"/>
      <c r="F473" s="13"/>
      <c r="G473" s="13"/>
      <c r="H473" s="12"/>
      <c r="I473" s="165"/>
      <c r="J473" s="166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spans="1:28" ht="14.25" customHeight="1">
      <c r="A474" s="13"/>
      <c r="B474" s="13"/>
      <c r="C474" s="13"/>
      <c r="D474" s="13"/>
      <c r="E474" s="13"/>
      <c r="F474" s="13"/>
      <c r="G474" s="13"/>
      <c r="H474" s="12"/>
      <c r="I474" s="165"/>
      <c r="J474" s="166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spans="1:28" ht="14.25" customHeight="1">
      <c r="A475" s="13"/>
      <c r="B475" s="13"/>
      <c r="C475" s="13"/>
      <c r="D475" s="13"/>
      <c r="E475" s="13"/>
      <c r="F475" s="13"/>
      <c r="G475" s="13"/>
      <c r="H475" s="12"/>
      <c r="I475" s="165"/>
      <c r="J475" s="166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spans="1:28" ht="14.25" customHeight="1">
      <c r="A476" s="13"/>
      <c r="B476" s="13"/>
      <c r="C476" s="13"/>
      <c r="D476" s="13"/>
      <c r="E476" s="13"/>
      <c r="F476" s="13"/>
      <c r="G476" s="13"/>
      <c r="H476" s="12"/>
      <c r="I476" s="165"/>
      <c r="J476" s="166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spans="1:28" ht="14.25" customHeight="1">
      <c r="A477" s="13"/>
      <c r="B477" s="13"/>
      <c r="C477" s="13"/>
      <c r="D477" s="13"/>
      <c r="E477" s="13"/>
      <c r="F477" s="13"/>
      <c r="G477" s="13"/>
      <c r="H477" s="12"/>
      <c r="I477" s="165"/>
      <c r="J477" s="166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spans="1:28" ht="14.25" customHeight="1">
      <c r="A478" s="13"/>
      <c r="B478" s="13"/>
      <c r="C478" s="13"/>
      <c r="D478" s="13"/>
      <c r="E478" s="13"/>
      <c r="F478" s="13"/>
      <c r="G478" s="13"/>
      <c r="H478" s="12"/>
      <c r="I478" s="165"/>
      <c r="J478" s="166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spans="1:28" ht="14.25" customHeight="1">
      <c r="A479" s="13"/>
      <c r="B479" s="13"/>
      <c r="C479" s="13"/>
      <c r="D479" s="13"/>
      <c r="E479" s="13"/>
      <c r="F479" s="13"/>
      <c r="G479" s="13"/>
      <c r="H479" s="12"/>
      <c r="I479" s="165"/>
      <c r="J479" s="166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spans="1:28" ht="14.25" customHeight="1">
      <c r="A480" s="13"/>
      <c r="B480" s="13"/>
      <c r="C480" s="13"/>
      <c r="D480" s="13"/>
      <c r="E480" s="13"/>
      <c r="F480" s="13"/>
      <c r="G480" s="13"/>
      <c r="H480" s="12"/>
      <c r="I480" s="165"/>
      <c r="J480" s="166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spans="1:28" ht="14.25" customHeight="1">
      <c r="A481" s="13"/>
      <c r="B481" s="13"/>
      <c r="C481" s="13"/>
      <c r="D481" s="13"/>
      <c r="E481" s="13"/>
      <c r="F481" s="13"/>
      <c r="G481" s="13"/>
      <c r="H481" s="12"/>
      <c r="I481" s="165"/>
      <c r="J481" s="166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spans="1:28" ht="14.25" customHeight="1">
      <c r="A482" s="13"/>
      <c r="B482" s="13"/>
      <c r="C482" s="13"/>
      <c r="D482" s="13"/>
      <c r="E482" s="13"/>
      <c r="F482" s="13"/>
      <c r="G482" s="13"/>
      <c r="H482" s="12"/>
      <c r="I482" s="165"/>
      <c r="J482" s="166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spans="1:28" ht="14.25" customHeight="1">
      <c r="A483" s="13"/>
      <c r="B483" s="13"/>
      <c r="C483" s="13"/>
      <c r="D483" s="13"/>
      <c r="E483" s="13"/>
      <c r="F483" s="13"/>
      <c r="G483" s="13"/>
      <c r="H483" s="12"/>
      <c r="I483" s="165"/>
      <c r="J483" s="166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spans="1:28" ht="14.25" customHeight="1">
      <c r="A484" s="13"/>
      <c r="B484" s="13"/>
      <c r="C484" s="13"/>
      <c r="D484" s="13"/>
      <c r="E484" s="13"/>
      <c r="F484" s="13"/>
      <c r="G484" s="13"/>
      <c r="H484" s="12"/>
      <c r="I484" s="165"/>
      <c r="J484" s="166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spans="1:28" ht="14.25" customHeight="1">
      <c r="A485" s="13"/>
      <c r="B485" s="13"/>
      <c r="C485" s="13"/>
      <c r="D485" s="13"/>
      <c r="E485" s="13"/>
      <c r="F485" s="13"/>
      <c r="G485" s="13"/>
      <c r="H485" s="12"/>
      <c r="I485" s="165"/>
      <c r="J485" s="166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spans="1:28" ht="14.25" customHeight="1">
      <c r="A486" s="13"/>
      <c r="B486" s="13"/>
      <c r="C486" s="13"/>
      <c r="D486" s="13"/>
      <c r="E486" s="13"/>
      <c r="F486" s="13"/>
      <c r="G486" s="13"/>
      <c r="H486" s="12"/>
      <c r="I486" s="165"/>
      <c r="J486" s="166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spans="1:28" ht="14.25" customHeight="1">
      <c r="A487" s="13"/>
      <c r="B487" s="13"/>
      <c r="C487" s="13"/>
      <c r="D487" s="13"/>
      <c r="E487" s="13"/>
      <c r="F487" s="13"/>
      <c r="G487" s="13"/>
      <c r="H487" s="12"/>
      <c r="I487" s="165"/>
      <c r="J487" s="166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spans="1:28" ht="14.25" customHeight="1">
      <c r="A488" s="13"/>
      <c r="B488" s="13"/>
      <c r="C488" s="13"/>
      <c r="D488" s="13"/>
      <c r="E488" s="13"/>
      <c r="F488" s="13"/>
      <c r="G488" s="13"/>
      <c r="H488" s="12"/>
      <c r="I488" s="165"/>
      <c r="J488" s="166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spans="1:28" ht="14.25" customHeight="1">
      <c r="A489" s="13"/>
      <c r="B489" s="13"/>
      <c r="C489" s="13"/>
      <c r="D489" s="13"/>
      <c r="E489" s="13"/>
      <c r="F489" s="13"/>
      <c r="G489" s="13"/>
      <c r="H489" s="12"/>
      <c r="I489" s="165"/>
      <c r="J489" s="166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spans="1:28" ht="14.25" customHeight="1">
      <c r="A490" s="13"/>
      <c r="B490" s="13"/>
      <c r="C490" s="13"/>
      <c r="D490" s="13"/>
      <c r="E490" s="13"/>
      <c r="F490" s="13"/>
      <c r="G490" s="13"/>
      <c r="H490" s="12"/>
      <c r="I490" s="165"/>
      <c r="J490" s="166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spans="1:28" ht="14.25" customHeight="1">
      <c r="A491" s="13"/>
      <c r="B491" s="13"/>
      <c r="C491" s="13"/>
      <c r="D491" s="13"/>
      <c r="E491" s="13"/>
      <c r="F491" s="13"/>
      <c r="G491" s="13"/>
      <c r="H491" s="12"/>
      <c r="I491" s="165"/>
      <c r="J491" s="166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spans="1:28" ht="14.25" customHeight="1">
      <c r="A492" s="13"/>
      <c r="B492" s="13"/>
      <c r="C492" s="13"/>
      <c r="D492" s="13"/>
      <c r="E492" s="13"/>
      <c r="F492" s="13"/>
      <c r="G492" s="13"/>
      <c r="H492" s="12"/>
      <c r="I492" s="165"/>
      <c r="J492" s="166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spans="1:28" ht="14.25" customHeight="1">
      <c r="A493" s="13"/>
      <c r="B493" s="13"/>
      <c r="C493" s="13"/>
      <c r="D493" s="13"/>
      <c r="E493" s="13"/>
      <c r="F493" s="13"/>
      <c r="G493" s="13"/>
      <c r="H493" s="12"/>
      <c r="I493" s="165"/>
      <c r="J493" s="166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spans="1:28" ht="14.25" customHeight="1">
      <c r="A494" s="13"/>
      <c r="B494" s="13"/>
      <c r="C494" s="13"/>
      <c r="D494" s="13"/>
      <c r="E494" s="13"/>
      <c r="F494" s="13"/>
      <c r="G494" s="13"/>
      <c r="H494" s="12"/>
      <c r="I494" s="165"/>
      <c r="J494" s="166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spans="1:28" ht="14.25" customHeight="1">
      <c r="A495" s="13"/>
      <c r="B495" s="13"/>
      <c r="C495" s="13"/>
      <c r="D495" s="13"/>
      <c r="E495" s="13"/>
      <c r="F495" s="13"/>
      <c r="G495" s="13"/>
      <c r="H495" s="12"/>
      <c r="I495" s="165"/>
      <c r="J495" s="166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spans="1:28" ht="14.25" customHeight="1">
      <c r="A496" s="13"/>
      <c r="B496" s="13"/>
      <c r="C496" s="13"/>
      <c r="D496" s="13"/>
      <c r="E496" s="13"/>
      <c r="F496" s="13"/>
      <c r="G496" s="13"/>
      <c r="H496" s="12"/>
      <c r="I496" s="165"/>
      <c r="J496" s="166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spans="1:28" ht="14.25" customHeight="1">
      <c r="A497" s="13"/>
      <c r="B497" s="13"/>
      <c r="C497" s="13"/>
      <c r="D497" s="13"/>
      <c r="E497" s="13"/>
      <c r="F497" s="13"/>
      <c r="G497" s="13"/>
      <c r="H497" s="12"/>
      <c r="I497" s="165"/>
      <c r="J497" s="166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spans="1:28" ht="14.25" customHeight="1">
      <c r="A498" s="13"/>
      <c r="B498" s="13"/>
      <c r="C498" s="13"/>
      <c r="D498" s="13"/>
      <c r="E498" s="13"/>
      <c r="F498" s="13"/>
      <c r="G498" s="13"/>
      <c r="H498" s="12"/>
      <c r="I498" s="165"/>
      <c r="J498" s="166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spans="1:28" ht="14.25" customHeight="1">
      <c r="A499" s="13"/>
      <c r="B499" s="13"/>
      <c r="C499" s="13"/>
      <c r="D499" s="13"/>
      <c r="E499" s="13"/>
      <c r="F499" s="13"/>
      <c r="G499" s="13"/>
      <c r="H499" s="12"/>
      <c r="I499" s="165"/>
      <c r="J499" s="166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spans="1:28" ht="14.25" customHeight="1">
      <c r="A500" s="13"/>
      <c r="B500" s="13"/>
      <c r="C500" s="13"/>
      <c r="D500" s="13"/>
      <c r="E500" s="13"/>
      <c r="F500" s="13"/>
      <c r="G500" s="13"/>
      <c r="H500" s="12"/>
      <c r="I500" s="165"/>
      <c r="J500" s="166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spans="1:28" ht="14.25" customHeight="1">
      <c r="A501" s="13"/>
      <c r="B501" s="13"/>
      <c r="C501" s="13"/>
      <c r="D501" s="13"/>
      <c r="E501" s="13"/>
      <c r="F501" s="13"/>
      <c r="G501" s="13"/>
      <c r="H501" s="12"/>
      <c r="I501" s="165"/>
      <c r="J501" s="166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spans="1:28" ht="14.25" customHeight="1">
      <c r="A502" s="13"/>
      <c r="B502" s="13"/>
      <c r="C502" s="13"/>
      <c r="D502" s="13"/>
      <c r="E502" s="13"/>
      <c r="F502" s="13"/>
      <c r="G502" s="13"/>
      <c r="H502" s="12"/>
      <c r="I502" s="165"/>
      <c r="J502" s="166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spans="1:28" ht="14.25" customHeight="1">
      <c r="A503" s="13"/>
      <c r="B503" s="13"/>
      <c r="C503" s="13"/>
      <c r="D503" s="13"/>
      <c r="E503" s="13"/>
      <c r="F503" s="13"/>
      <c r="G503" s="13"/>
      <c r="H503" s="12"/>
      <c r="I503" s="165"/>
      <c r="J503" s="166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spans="1:28" ht="14.25" customHeight="1">
      <c r="A504" s="13"/>
      <c r="B504" s="13"/>
      <c r="C504" s="13"/>
      <c r="D504" s="13"/>
      <c r="E504" s="13"/>
      <c r="F504" s="13"/>
      <c r="G504" s="13"/>
      <c r="H504" s="12"/>
      <c r="I504" s="165"/>
      <c r="J504" s="166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spans="1:28" ht="14.25" customHeight="1">
      <c r="A505" s="13"/>
      <c r="B505" s="13"/>
      <c r="C505" s="13"/>
      <c r="D505" s="13"/>
      <c r="E505" s="13"/>
      <c r="F505" s="13"/>
      <c r="G505" s="13"/>
      <c r="H505" s="12"/>
      <c r="I505" s="165"/>
      <c r="J505" s="166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spans="1:28" ht="14.25" customHeight="1">
      <c r="A506" s="13"/>
      <c r="B506" s="13"/>
      <c r="C506" s="13"/>
      <c r="D506" s="13"/>
      <c r="E506" s="13"/>
      <c r="F506" s="13"/>
      <c r="G506" s="13"/>
      <c r="H506" s="12"/>
      <c r="I506" s="165"/>
      <c r="J506" s="166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spans="1:28" ht="14.25" customHeight="1">
      <c r="A507" s="13"/>
      <c r="B507" s="13"/>
      <c r="C507" s="13"/>
      <c r="D507" s="13"/>
      <c r="E507" s="13"/>
      <c r="F507" s="13"/>
      <c r="G507" s="13"/>
      <c r="H507" s="12"/>
      <c r="I507" s="165"/>
      <c r="J507" s="166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spans="1:28" ht="14.25" customHeight="1">
      <c r="A508" s="13"/>
      <c r="B508" s="13"/>
      <c r="C508" s="13"/>
      <c r="D508" s="13"/>
      <c r="E508" s="13"/>
      <c r="F508" s="13"/>
      <c r="G508" s="13"/>
      <c r="H508" s="12"/>
      <c r="I508" s="165"/>
      <c r="J508" s="166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spans="1:28" ht="14.25" customHeight="1">
      <c r="A509" s="13"/>
      <c r="B509" s="13"/>
      <c r="C509" s="13"/>
      <c r="D509" s="13"/>
      <c r="E509" s="13"/>
      <c r="F509" s="13"/>
      <c r="G509" s="13"/>
      <c r="H509" s="12"/>
      <c r="I509" s="165"/>
      <c r="J509" s="166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spans="1:28" ht="14.25" customHeight="1">
      <c r="A510" s="13"/>
      <c r="B510" s="13"/>
      <c r="C510" s="13"/>
      <c r="D510" s="13"/>
      <c r="E510" s="13"/>
      <c r="F510" s="13"/>
      <c r="G510" s="13"/>
      <c r="H510" s="12"/>
      <c r="I510" s="165"/>
      <c r="J510" s="166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spans="1:28" ht="14.25" customHeight="1">
      <c r="A511" s="13"/>
      <c r="B511" s="13"/>
      <c r="C511" s="13"/>
      <c r="D511" s="13"/>
      <c r="E511" s="13"/>
      <c r="F511" s="13"/>
      <c r="G511" s="13"/>
      <c r="H511" s="12"/>
      <c r="I511" s="165"/>
      <c r="J511" s="166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spans="1:28" ht="14.25" customHeight="1">
      <c r="A512" s="13"/>
      <c r="B512" s="13"/>
      <c r="C512" s="13"/>
      <c r="D512" s="13"/>
      <c r="E512" s="13"/>
      <c r="F512" s="13"/>
      <c r="G512" s="13"/>
      <c r="H512" s="12"/>
      <c r="I512" s="165"/>
      <c r="J512" s="166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spans="1:28" ht="14.25" customHeight="1">
      <c r="A513" s="13"/>
      <c r="B513" s="13"/>
      <c r="C513" s="13"/>
      <c r="D513" s="13"/>
      <c r="E513" s="13"/>
      <c r="F513" s="13"/>
      <c r="G513" s="13"/>
      <c r="H513" s="12"/>
      <c r="I513" s="165"/>
      <c r="J513" s="166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spans="1:28" ht="14.25" customHeight="1">
      <c r="A514" s="13"/>
      <c r="B514" s="13"/>
      <c r="C514" s="13"/>
      <c r="D514" s="13"/>
      <c r="E514" s="13"/>
      <c r="F514" s="13"/>
      <c r="G514" s="13"/>
      <c r="H514" s="12"/>
      <c r="I514" s="165"/>
      <c r="J514" s="166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spans="1:28" ht="14.25" customHeight="1">
      <c r="A515" s="13"/>
      <c r="B515" s="13"/>
      <c r="C515" s="13"/>
      <c r="D515" s="13"/>
      <c r="E515" s="13"/>
      <c r="F515" s="13"/>
      <c r="G515" s="13"/>
      <c r="H515" s="12"/>
      <c r="I515" s="165"/>
      <c r="J515" s="166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spans="1:28" ht="14.25" customHeight="1">
      <c r="A516" s="13"/>
      <c r="B516" s="13"/>
      <c r="C516" s="13"/>
      <c r="D516" s="13"/>
      <c r="E516" s="13"/>
      <c r="F516" s="13"/>
      <c r="G516" s="13"/>
      <c r="H516" s="12"/>
      <c r="I516" s="165"/>
      <c r="J516" s="166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spans="1:28" ht="14.25" customHeight="1">
      <c r="A517" s="13"/>
      <c r="B517" s="13"/>
      <c r="C517" s="13"/>
      <c r="D517" s="13"/>
      <c r="E517" s="13"/>
      <c r="F517" s="13"/>
      <c r="G517" s="13"/>
      <c r="H517" s="12"/>
      <c r="I517" s="165"/>
      <c r="J517" s="166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spans="1:28" ht="14.25" customHeight="1">
      <c r="A518" s="13"/>
      <c r="B518" s="13"/>
      <c r="C518" s="13"/>
      <c r="D518" s="13"/>
      <c r="E518" s="13"/>
      <c r="F518" s="13"/>
      <c r="G518" s="13"/>
      <c r="H518" s="12"/>
      <c r="I518" s="165"/>
      <c r="J518" s="166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spans="1:28" ht="14.25" customHeight="1">
      <c r="A519" s="13"/>
      <c r="B519" s="13"/>
      <c r="C519" s="13"/>
      <c r="D519" s="13"/>
      <c r="E519" s="13"/>
      <c r="F519" s="13"/>
      <c r="G519" s="13"/>
      <c r="H519" s="12"/>
      <c r="I519" s="165"/>
      <c r="J519" s="166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spans="1:28" ht="14.25" customHeight="1">
      <c r="A520" s="13"/>
      <c r="B520" s="13"/>
      <c r="C520" s="13"/>
      <c r="D520" s="13"/>
      <c r="E520" s="13"/>
      <c r="F520" s="13"/>
      <c r="G520" s="13"/>
      <c r="H520" s="12"/>
      <c r="I520" s="165"/>
      <c r="J520" s="166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spans="1:28" ht="14.25" customHeight="1">
      <c r="A521" s="13"/>
      <c r="B521" s="13"/>
      <c r="C521" s="13"/>
      <c r="D521" s="13"/>
      <c r="E521" s="13"/>
      <c r="F521" s="13"/>
      <c r="G521" s="13"/>
      <c r="H521" s="12"/>
      <c r="I521" s="165"/>
      <c r="J521" s="166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spans="1:28" ht="14.25" customHeight="1">
      <c r="A522" s="13"/>
      <c r="B522" s="13"/>
      <c r="C522" s="13"/>
      <c r="D522" s="13"/>
      <c r="E522" s="13"/>
      <c r="F522" s="13"/>
      <c r="G522" s="13"/>
      <c r="H522" s="12"/>
      <c r="I522" s="165"/>
      <c r="J522" s="166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spans="1:28" ht="14.25" customHeight="1">
      <c r="A523" s="13"/>
      <c r="B523" s="13"/>
      <c r="C523" s="13"/>
      <c r="D523" s="13"/>
      <c r="E523" s="13"/>
      <c r="F523" s="13"/>
      <c r="G523" s="13"/>
      <c r="H523" s="12"/>
      <c r="I523" s="165"/>
      <c r="J523" s="166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spans="1:28" ht="14.25" customHeight="1">
      <c r="A524" s="13"/>
      <c r="B524" s="13"/>
      <c r="C524" s="13"/>
      <c r="D524" s="13"/>
      <c r="E524" s="13"/>
      <c r="F524" s="13"/>
      <c r="G524" s="13"/>
      <c r="H524" s="12"/>
      <c r="I524" s="165"/>
      <c r="J524" s="166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spans="1:28" ht="14.25" customHeight="1">
      <c r="A525" s="13"/>
      <c r="B525" s="13"/>
      <c r="C525" s="13"/>
      <c r="D525" s="13"/>
      <c r="E525" s="13"/>
      <c r="F525" s="13"/>
      <c r="G525" s="13"/>
      <c r="H525" s="12"/>
      <c r="I525" s="165"/>
      <c r="J525" s="166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spans="1:28" ht="14.25" customHeight="1">
      <c r="A526" s="13"/>
      <c r="B526" s="13"/>
      <c r="C526" s="13"/>
      <c r="D526" s="13"/>
      <c r="E526" s="13"/>
      <c r="F526" s="13"/>
      <c r="G526" s="13"/>
      <c r="H526" s="12"/>
      <c r="I526" s="165"/>
      <c r="J526" s="166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spans="1:28" ht="14.25" customHeight="1">
      <c r="A527" s="13"/>
      <c r="B527" s="13"/>
      <c r="C527" s="13"/>
      <c r="D527" s="13"/>
      <c r="E527" s="13"/>
      <c r="F527" s="13"/>
      <c r="G527" s="13"/>
      <c r="H527" s="12"/>
      <c r="I527" s="165"/>
      <c r="J527" s="166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spans="1:28" ht="14.25" customHeight="1">
      <c r="A528" s="13"/>
      <c r="B528" s="13"/>
      <c r="C528" s="13"/>
      <c r="D528" s="13"/>
      <c r="E528" s="13"/>
      <c r="F528" s="13"/>
      <c r="G528" s="13"/>
      <c r="H528" s="12"/>
      <c r="I528" s="165"/>
      <c r="J528" s="166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spans="1:28" ht="14.25" customHeight="1">
      <c r="A529" s="13"/>
      <c r="B529" s="13"/>
      <c r="C529" s="13"/>
      <c r="D529" s="13"/>
      <c r="E529" s="13"/>
      <c r="F529" s="13"/>
      <c r="G529" s="13"/>
      <c r="H529" s="12"/>
      <c r="I529" s="165"/>
      <c r="J529" s="166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spans="1:28" ht="14.25" customHeight="1">
      <c r="A530" s="13"/>
      <c r="B530" s="13"/>
      <c r="C530" s="13"/>
      <c r="D530" s="13"/>
      <c r="E530" s="13"/>
      <c r="F530" s="13"/>
      <c r="G530" s="13"/>
      <c r="H530" s="12"/>
      <c r="I530" s="165"/>
      <c r="J530" s="166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spans="1:28" ht="14.25" customHeight="1">
      <c r="A531" s="13"/>
      <c r="B531" s="13"/>
      <c r="C531" s="13"/>
      <c r="D531" s="13"/>
      <c r="E531" s="13"/>
      <c r="F531" s="13"/>
      <c r="G531" s="13"/>
      <c r="H531" s="12"/>
      <c r="I531" s="165"/>
      <c r="J531" s="166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spans="1:28" ht="14.25" customHeight="1">
      <c r="A532" s="13"/>
      <c r="B532" s="13"/>
      <c r="C532" s="13"/>
      <c r="D532" s="13"/>
      <c r="E532" s="13"/>
      <c r="F532" s="13"/>
      <c r="G532" s="13"/>
      <c r="H532" s="12"/>
      <c r="I532" s="165"/>
      <c r="J532" s="166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spans="1:28" ht="14.25" customHeight="1">
      <c r="A533" s="13"/>
      <c r="B533" s="13"/>
      <c r="C533" s="13"/>
      <c r="D533" s="13"/>
      <c r="E533" s="13"/>
      <c r="F533" s="13"/>
      <c r="G533" s="13"/>
      <c r="H533" s="12"/>
      <c r="I533" s="165"/>
      <c r="J533" s="166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spans="1:28" ht="14.25" customHeight="1">
      <c r="A534" s="13"/>
      <c r="B534" s="13"/>
      <c r="C534" s="13"/>
      <c r="D534" s="13"/>
      <c r="E534" s="13"/>
      <c r="F534" s="13"/>
      <c r="G534" s="13"/>
      <c r="H534" s="12"/>
      <c r="I534" s="165"/>
      <c r="J534" s="166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spans="1:28" ht="14.25" customHeight="1">
      <c r="A535" s="13"/>
      <c r="B535" s="13"/>
      <c r="C535" s="13"/>
      <c r="D535" s="13"/>
      <c r="E535" s="13"/>
      <c r="F535" s="13"/>
      <c r="G535" s="13"/>
      <c r="H535" s="12"/>
      <c r="I535" s="165"/>
      <c r="J535" s="166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spans="1:28" ht="14.25" customHeight="1">
      <c r="A536" s="13"/>
      <c r="B536" s="13"/>
      <c r="C536" s="13"/>
      <c r="D536" s="13"/>
      <c r="E536" s="13"/>
      <c r="F536" s="13"/>
      <c r="G536" s="13"/>
      <c r="H536" s="12"/>
      <c r="I536" s="165"/>
      <c r="J536" s="166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spans="1:28" ht="14.25" customHeight="1">
      <c r="A537" s="13"/>
      <c r="B537" s="13"/>
      <c r="C537" s="13"/>
      <c r="D537" s="13"/>
      <c r="E537" s="13"/>
      <c r="F537" s="13"/>
      <c r="G537" s="13"/>
      <c r="H537" s="12"/>
      <c r="I537" s="165"/>
      <c r="J537" s="166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spans="1:28" ht="14.25" customHeight="1">
      <c r="A538" s="13"/>
      <c r="B538" s="13"/>
      <c r="C538" s="13"/>
      <c r="D538" s="13"/>
      <c r="E538" s="13"/>
      <c r="F538" s="13"/>
      <c r="G538" s="13"/>
      <c r="H538" s="12"/>
      <c r="I538" s="165"/>
      <c r="J538" s="166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spans="1:28" ht="14.25" customHeight="1">
      <c r="A539" s="13"/>
      <c r="B539" s="13"/>
      <c r="C539" s="13"/>
      <c r="D539" s="13"/>
      <c r="E539" s="13"/>
      <c r="F539" s="13"/>
      <c r="G539" s="13"/>
      <c r="H539" s="12"/>
      <c r="I539" s="165"/>
      <c r="J539" s="166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spans="1:28" ht="14.25" customHeight="1">
      <c r="A540" s="13"/>
      <c r="B540" s="13"/>
      <c r="C540" s="13"/>
      <c r="D540" s="13"/>
      <c r="E540" s="13"/>
      <c r="F540" s="13"/>
      <c r="G540" s="13"/>
      <c r="H540" s="12"/>
      <c r="I540" s="165"/>
      <c r="J540" s="166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spans="1:28" ht="14.25" customHeight="1">
      <c r="A541" s="13"/>
      <c r="B541" s="13"/>
      <c r="C541" s="13"/>
      <c r="D541" s="13"/>
      <c r="E541" s="13"/>
      <c r="F541" s="13"/>
      <c r="G541" s="13"/>
      <c r="H541" s="12"/>
      <c r="I541" s="165"/>
      <c r="J541" s="166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spans="1:28" ht="14.25" customHeight="1">
      <c r="A542" s="13"/>
      <c r="B542" s="13"/>
      <c r="C542" s="13"/>
      <c r="D542" s="13"/>
      <c r="E542" s="13"/>
      <c r="F542" s="13"/>
      <c r="G542" s="13"/>
      <c r="H542" s="12"/>
      <c r="I542" s="165"/>
      <c r="J542" s="166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spans="1:28" ht="14.25" customHeight="1">
      <c r="A543" s="13"/>
      <c r="B543" s="13"/>
      <c r="C543" s="13"/>
      <c r="D543" s="13"/>
      <c r="E543" s="13"/>
      <c r="F543" s="13"/>
      <c r="G543" s="13"/>
      <c r="H543" s="12"/>
      <c r="I543" s="165"/>
      <c r="J543" s="166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spans="1:28" ht="14.25" customHeight="1">
      <c r="A544" s="13"/>
      <c r="B544" s="13"/>
      <c r="C544" s="13"/>
      <c r="D544" s="13"/>
      <c r="E544" s="13"/>
      <c r="F544" s="13"/>
      <c r="G544" s="13"/>
      <c r="H544" s="12"/>
      <c r="I544" s="165"/>
      <c r="J544" s="166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spans="1:28" ht="14.25" customHeight="1">
      <c r="A545" s="13"/>
      <c r="B545" s="13"/>
      <c r="C545" s="13"/>
      <c r="D545" s="13"/>
      <c r="E545" s="13"/>
      <c r="F545" s="13"/>
      <c r="G545" s="13"/>
      <c r="H545" s="12"/>
      <c r="I545" s="165"/>
      <c r="J545" s="166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spans="1:28" ht="14.25" customHeight="1">
      <c r="A546" s="13"/>
      <c r="B546" s="13"/>
      <c r="C546" s="13"/>
      <c r="D546" s="13"/>
      <c r="E546" s="13"/>
      <c r="F546" s="13"/>
      <c r="G546" s="13"/>
      <c r="H546" s="12"/>
      <c r="I546" s="165"/>
      <c r="J546" s="166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spans="1:28" ht="14.25" customHeight="1">
      <c r="A547" s="13"/>
      <c r="B547" s="13"/>
      <c r="C547" s="13"/>
      <c r="D547" s="13"/>
      <c r="E547" s="13"/>
      <c r="F547" s="13"/>
      <c r="G547" s="13"/>
      <c r="H547" s="12"/>
      <c r="I547" s="165"/>
      <c r="J547" s="166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spans="1:28" ht="14.25" customHeight="1">
      <c r="A548" s="13"/>
      <c r="B548" s="13"/>
      <c r="C548" s="13"/>
      <c r="D548" s="13"/>
      <c r="E548" s="13"/>
      <c r="F548" s="13"/>
      <c r="G548" s="13"/>
      <c r="H548" s="12"/>
      <c r="I548" s="165"/>
      <c r="J548" s="166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spans="1:28" ht="14.25" customHeight="1">
      <c r="A549" s="13"/>
      <c r="B549" s="13"/>
      <c r="C549" s="13"/>
      <c r="D549" s="13"/>
      <c r="E549" s="13"/>
      <c r="F549" s="13"/>
      <c r="G549" s="13"/>
      <c r="H549" s="12"/>
      <c r="I549" s="165"/>
      <c r="J549" s="166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spans="1:28" ht="14.25" customHeight="1">
      <c r="A550" s="13"/>
      <c r="B550" s="13"/>
      <c r="C550" s="13"/>
      <c r="D550" s="13"/>
      <c r="E550" s="13"/>
      <c r="F550" s="13"/>
      <c r="G550" s="13"/>
      <c r="H550" s="12"/>
      <c r="I550" s="165"/>
      <c r="J550" s="166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spans="1:28" ht="14.25" customHeight="1">
      <c r="A551" s="13"/>
      <c r="B551" s="13"/>
      <c r="C551" s="13"/>
      <c r="D551" s="13"/>
      <c r="E551" s="13"/>
      <c r="F551" s="13"/>
      <c r="G551" s="13"/>
      <c r="H551" s="12"/>
      <c r="I551" s="165"/>
      <c r="J551" s="166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spans="1:28" ht="14.25" customHeight="1">
      <c r="A552" s="13"/>
      <c r="B552" s="13"/>
      <c r="C552" s="13"/>
      <c r="D552" s="13"/>
      <c r="E552" s="13"/>
      <c r="F552" s="13"/>
      <c r="G552" s="13"/>
      <c r="H552" s="12"/>
      <c r="I552" s="165"/>
      <c r="J552" s="166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spans="1:28" ht="14.25" customHeight="1">
      <c r="A553" s="13"/>
      <c r="B553" s="13"/>
      <c r="C553" s="13"/>
      <c r="D553" s="13"/>
      <c r="E553" s="13"/>
      <c r="F553" s="13"/>
      <c r="G553" s="13"/>
      <c r="H553" s="12"/>
      <c r="I553" s="165"/>
      <c r="J553" s="166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spans="1:28" ht="14.25" customHeight="1">
      <c r="A554" s="13"/>
      <c r="B554" s="13"/>
      <c r="C554" s="13"/>
      <c r="D554" s="13"/>
      <c r="E554" s="13"/>
      <c r="F554" s="13"/>
      <c r="G554" s="13"/>
      <c r="H554" s="12"/>
      <c r="I554" s="165"/>
      <c r="J554" s="166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spans="1:28" ht="14.25" customHeight="1">
      <c r="A555" s="13"/>
      <c r="B555" s="13"/>
      <c r="C555" s="13"/>
      <c r="D555" s="13"/>
      <c r="E555" s="13"/>
      <c r="F555" s="13"/>
      <c r="G555" s="13"/>
      <c r="H555" s="12"/>
      <c r="I555" s="165"/>
      <c r="J555" s="166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spans="1:28" ht="14.25" customHeight="1">
      <c r="A556" s="13"/>
      <c r="B556" s="13"/>
      <c r="C556" s="13"/>
      <c r="D556" s="13"/>
      <c r="E556" s="13"/>
      <c r="F556" s="13"/>
      <c r="G556" s="13"/>
      <c r="H556" s="12"/>
      <c r="I556" s="165"/>
      <c r="J556" s="166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spans="1:28" ht="14.25" customHeight="1">
      <c r="A557" s="13"/>
      <c r="B557" s="13"/>
      <c r="C557" s="13"/>
      <c r="D557" s="13"/>
      <c r="E557" s="13"/>
      <c r="F557" s="13"/>
      <c r="G557" s="13"/>
      <c r="H557" s="12"/>
      <c r="I557" s="165"/>
      <c r="J557" s="166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spans="1:28" ht="14.25" customHeight="1">
      <c r="A558" s="13"/>
      <c r="B558" s="13"/>
      <c r="C558" s="13"/>
      <c r="D558" s="13"/>
      <c r="E558" s="13"/>
      <c r="F558" s="13"/>
      <c r="G558" s="13"/>
      <c r="H558" s="12"/>
      <c r="I558" s="165"/>
      <c r="J558" s="166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spans="1:28" ht="14.25" customHeight="1">
      <c r="A559" s="13"/>
      <c r="B559" s="13"/>
      <c r="C559" s="13"/>
      <c r="D559" s="13"/>
      <c r="E559" s="13"/>
      <c r="F559" s="13"/>
      <c r="G559" s="13"/>
      <c r="H559" s="12"/>
      <c r="I559" s="165"/>
      <c r="J559" s="166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spans="1:28" ht="14.25" customHeight="1">
      <c r="A560" s="13"/>
      <c r="B560" s="13"/>
      <c r="C560" s="13"/>
      <c r="D560" s="13"/>
      <c r="E560" s="13"/>
      <c r="F560" s="13"/>
      <c r="G560" s="13"/>
      <c r="H560" s="12"/>
      <c r="I560" s="165"/>
      <c r="J560" s="166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spans="1:28" ht="14.25" customHeight="1">
      <c r="A561" s="13"/>
      <c r="B561" s="13"/>
      <c r="C561" s="13"/>
      <c r="D561" s="13"/>
      <c r="E561" s="13"/>
      <c r="F561" s="13"/>
      <c r="G561" s="13"/>
      <c r="H561" s="12"/>
      <c r="I561" s="165"/>
      <c r="J561" s="166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spans="1:28" ht="14.25" customHeight="1">
      <c r="A562" s="13"/>
      <c r="B562" s="13"/>
      <c r="C562" s="13"/>
      <c r="D562" s="13"/>
      <c r="E562" s="13"/>
      <c r="F562" s="13"/>
      <c r="G562" s="13"/>
      <c r="H562" s="12"/>
      <c r="I562" s="165"/>
      <c r="J562" s="166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spans="1:28" ht="14.25" customHeight="1">
      <c r="A563" s="13"/>
      <c r="B563" s="13"/>
      <c r="C563" s="13"/>
      <c r="D563" s="13"/>
      <c r="E563" s="13"/>
      <c r="F563" s="13"/>
      <c r="G563" s="13"/>
      <c r="H563" s="12"/>
      <c r="I563" s="165"/>
      <c r="J563" s="166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spans="1:28" ht="14.25" customHeight="1">
      <c r="A564" s="13"/>
      <c r="B564" s="13"/>
      <c r="C564" s="13"/>
      <c r="D564" s="13"/>
      <c r="E564" s="13"/>
      <c r="F564" s="13"/>
      <c r="G564" s="13"/>
      <c r="H564" s="12"/>
      <c r="I564" s="165"/>
      <c r="J564" s="166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spans="1:28" ht="14.25" customHeight="1">
      <c r="A565" s="13"/>
      <c r="B565" s="13"/>
      <c r="C565" s="13"/>
      <c r="D565" s="13"/>
      <c r="E565" s="13"/>
      <c r="F565" s="13"/>
      <c r="G565" s="13"/>
      <c r="H565" s="12"/>
      <c r="I565" s="165"/>
      <c r="J565" s="166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spans="1:28" ht="14.25" customHeight="1">
      <c r="A566" s="13"/>
      <c r="B566" s="13"/>
      <c r="C566" s="13"/>
      <c r="D566" s="13"/>
      <c r="E566" s="13"/>
      <c r="F566" s="13"/>
      <c r="G566" s="13"/>
      <c r="H566" s="12"/>
      <c r="I566" s="165"/>
      <c r="J566" s="166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spans="1:28" ht="14.25" customHeight="1">
      <c r="A567" s="13"/>
      <c r="B567" s="13"/>
      <c r="C567" s="13"/>
      <c r="D567" s="13"/>
      <c r="E567" s="13"/>
      <c r="F567" s="13"/>
      <c r="G567" s="13"/>
      <c r="H567" s="12"/>
      <c r="I567" s="165"/>
      <c r="J567" s="166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spans="1:28" ht="14.25" customHeight="1">
      <c r="A568" s="13"/>
      <c r="B568" s="13"/>
      <c r="C568" s="13"/>
      <c r="D568" s="13"/>
      <c r="E568" s="13"/>
      <c r="F568" s="13"/>
      <c r="G568" s="13"/>
      <c r="H568" s="12"/>
      <c r="I568" s="165"/>
      <c r="J568" s="166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spans="1:28" ht="14.25" customHeight="1">
      <c r="A569" s="13"/>
      <c r="B569" s="13"/>
      <c r="C569" s="13"/>
      <c r="D569" s="13"/>
      <c r="E569" s="13"/>
      <c r="F569" s="13"/>
      <c r="G569" s="13"/>
      <c r="H569" s="12"/>
      <c r="I569" s="165"/>
      <c r="J569" s="166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spans="1:28" ht="14.25" customHeight="1">
      <c r="A570" s="13"/>
      <c r="B570" s="13"/>
      <c r="C570" s="13"/>
      <c r="D570" s="13"/>
      <c r="E570" s="13"/>
      <c r="F570" s="13"/>
      <c r="G570" s="13"/>
      <c r="H570" s="12"/>
      <c r="I570" s="165"/>
      <c r="J570" s="166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spans="1:28" ht="14.25" customHeight="1">
      <c r="A571" s="13"/>
      <c r="B571" s="13"/>
      <c r="C571" s="13"/>
      <c r="D571" s="13"/>
      <c r="E571" s="13"/>
      <c r="F571" s="13"/>
      <c r="G571" s="13"/>
      <c r="H571" s="12"/>
      <c r="I571" s="165"/>
      <c r="J571" s="166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spans="1:28" ht="14.25" customHeight="1">
      <c r="A572" s="13"/>
      <c r="B572" s="13"/>
      <c r="C572" s="13"/>
      <c r="D572" s="13"/>
      <c r="E572" s="13"/>
      <c r="F572" s="13"/>
      <c r="G572" s="13"/>
      <c r="H572" s="12"/>
      <c r="I572" s="165"/>
      <c r="J572" s="166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spans="1:28" ht="14.25" customHeight="1">
      <c r="A573" s="13"/>
      <c r="B573" s="13"/>
      <c r="C573" s="13"/>
      <c r="D573" s="13"/>
      <c r="E573" s="13"/>
      <c r="F573" s="13"/>
      <c r="G573" s="13"/>
      <c r="H573" s="12"/>
      <c r="I573" s="165"/>
      <c r="J573" s="166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spans="1:28" ht="14.25" customHeight="1">
      <c r="A574" s="13"/>
      <c r="B574" s="13"/>
      <c r="C574" s="13"/>
      <c r="D574" s="13"/>
      <c r="E574" s="13"/>
      <c r="F574" s="13"/>
      <c r="G574" s="13"/>
      <c r="H574" s="12"/>
      <c r="I574" s="165"/>
      <c r="J574" s="166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spans="1:28" ht="14.25" customHeight="1">
      <c r="A575" s="13"/>
      <c r="B575" s="13"/>
      <c r="C575" s="13"/>
      <c r="D575" s="13"/>
      <c r="E575" s="13"/>
      <c r="F575" s="13"/>
      <c r="G575" s="13"/>
      <c r="H575" s="12"/>
      <c r="I575" s="165"/>
      <c r="J575" s="166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spans="1:28" ht="14.25" customHeight="1">
      <c r="A576" s="13"/>
      <c r="B576" s="13"/>
      <c r="C576" s="13"/>
      <c r="D576" s="13"/>
      <c r="E576" s="13"/>
      <c r="F576" s="13"/>
      <c r="G576" s="13"/>
      <c r="H576" s="12"/>
      <c r="I576" s="165"/>
      <c r="J576" s="166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spans="1:28" ht="14.25" customHeight="1">
      <c r="A577" s="13"/>
      <c r="B577" s="13"/>
      <c r="C577" s="13"/>
      <c r="D577" s="13"/>
      <c r="E577" s="13"/>
      <c r="F577" s="13"/>
      <c r="G577" s="13"/>
      <c r="H577" s="12"/>
      <c r="I577" s="165"/>
      <c r="J577" s="166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spans="1:28" ht="14.25" customHeight="1">
      <c r="A578" s="13"/>
      <c r="B578" s="13"/>
      <c r="C578" s="13"/>
      <c r="D578" s="13"/>
      <c r="E578" s="13"/>
      <c r="F578" s="13"/>
      <c r="G578" s="13"/>
      <c r="H578" s="12"/>
      <c r="I578" s="165"/>
      <c r="J578" s="166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spans="1:28" ht="14.25" customHeight="1">
      <c r="A579" s="13"/>
      <c r="B579" s="13"/>
      <c r="C579" s="13"/>
      <c r="D579" s="13"/>
      <c r="E579" s="13"/>
      <c r="F579" s="13"/>
      <c r="G579" s="13"/>
      <c r="H579" s="12"/>
      <c r="I579" s="165"/>
      <c r="J579" s="166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spans="1:28" ht="14.25" customHeight="1">
      <c r="A580" s="13"/>
      <c r="B580" s="13"/>
      <c r="C580" s="13"/>
      <c r="D580" s="13"/>
      <c r="E580" s="13"/>
      <c r="F580" s="13"/>
      <c r="G580" s="13"/>
      <c r="H580" s="12"/>
      <c r="I580" s="165"/>
      <c r="J580" s="166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spans="1:28" ht="14.25" customHeight="1">
      <c r="A581" s="13"/>
      <c r="B581" s="13"/>
      <c r="C581" s="13"/>
      <c r="D581" s="13"/>
      <c r="E581" s="13"/>
      <c r="F581" s="13"/>
      <c r="G581" s="13"/>
      <c r="H581" s="12"/>
      <c r="I581" s="165"/>
      <c r="J581" s="166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spans="1:28" ht="14.25" customHeight="1">
      <c r="A582" s="13"/>
      <c r="B582" s="13"/>
      <c r="C582" s="13"/>
      <c r="D582" s="13"/>
      <c r="E582" s="13"/>
      <c r="F582" s="13"/>
      <c r="G582" s="13"/>
      <c r="H582" s="12"/>
      <c r="I582" s="165"/>
      <c r="J582" s="166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spans="1:28" ht="14.25" customHeight="1">
      <c r="A583" s="13"/>
      <c r="B583" s="13"/>
      <c r="C583" s="13"/>
      <c r="D583" s="13"/>
      <c r="E583" s="13"/>
      <c r="F583" s="13"/>
      <c r="G583" s="13"/>
      <c r="H583" s="12"/>
      <c r="I583" s="165"/>
      <c r="J583" s="166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spans="1:28" ht="14.25" customHeight="1">
      <c r="A584" s="13"/>
      <c r="B584" s="13"/>
      <c r="C584" s="13"/>
      <c r="D584" s="13"/>
      <c r="E584" s="13"/>
      <c r="F584" s="13"/>
      <c r="G584" s="13"/>
      <c r="H584" s="12"/>
      <c r="I584" s="165"/>
      <c r="J584" s="166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spans="1:28" ht="14.25" customHeight="1">
      <c r="A585" s="13"/>
      <c r="B585" s="13"/>
      <c r="C585" s="13"/>
      <c r="D585" s="13"/>
      <c r="E585" s="13"/>
      <c r="F585" s="13"/>
      <c r="G585" s="13"/>
      <c r="H585" s="12"/>
      <c r="I585" s="165"/>
      <c r="J585" s="166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spans="1:28" ht="14.25" customHeight="1">
      <c r="A586" s="13"/>
      <c r="B586" s="13"/>
      <c r="C586" s="13"/>
      <c r="D586" s="13"/>
      <c r="E586" s="13"/>
      <c r="F586" s="13"/>
      <c r="G586" s="13"/>
      <c r="H586" s="12"/>
      <c r="I586" s="165"/>
      <c r="J586" s="166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spans="1:28" ht="14.25" customHeight="1">
      <c r="A587" s="13"/>
      <c r="B587" s="13"/>
      <c r="C587" s="13"/>
      <c r="D587" s="13"/>
      <c r="E587" s="13"/>
      <c r="F587" s="13"/>
      <c r="G587" s="13"/>
      <c r="H587" s="12"/>
      <c r="I587" s="165"/>
      <c r="J587" s="166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spans="1:28" ht="14.25" customHeight="1">
      <c r="A588" s="13"/>
      <c r="B588" s="13"/>
      <c r="C588" s="13"/>
      <c r="D588" s="13"/>
      <c r="E588" s="13"/>
      <c r="F588" s="13"/>
      <c r="G588" s="13"/>
      <c r="H588" s="12"/>
      <c r="I588" s="165"/>
      <c r="J588" s="166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spans="1:28" ht="14.25" customHeight="1">
      <c r="A589" s="13"/>
      <c r="B589" s="13"/>
      <c r="C589" s="13"/>
      <c r="D589" s="13"/>
      <c r="E589" s="13"/>
      <c r="F589" s="13"/>
      <c r="G589" s="13"/>
      <c r="H589" s="12"/>
      <c r="I589" s="165"/>
      <c r="J589" s="166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spans="1:28" ht="14.25" customHeight="1">
      <c r="A590" s="13"/>
      <c r="B590" s="13"/>
      <c r="C590" s="13"/>
      <c r="D590" s="13"/>
      <c r="E590" s="13"/>
      <c r="F590" s="13"/>
      <c r="G590" s="13"/>
      <c r="H590" s="12"/>
      <c r="I590" s="165"/>
      <c r="J590" s="166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spans="1:28" ht="14.25" customHeight="1">
      <c r="A591" s="13"/>
      <c r="B591" s="13"/>
      <c r="C591" s="13"/>
      <c r="D591" s="13"/>
      <c r="E591" s="13"/>
      <c r="F591" s="13"/>
      <c r="G591" s="13"/>
      <c r="H591" s="12"/>
      <c r="I591" s="165"/>
      <c r="J591" s="166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spans="1:28" ht="14.25" customHeight="1">
      <c r="A592" s="13"/>
      <c r="B592" s="13"/>
      <c r="C592" s="13"/>
      <c r="D592" s="13"/>
      <c r="E592" s="13"/>
      <c r="F592" s="13"/>
      <c r="G592" s="13"/>
      <c r="H592" s="12"/>
      <c r="I592" s="165"/>
      <c r="J592" s="166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spans="1:28" ht="14.25" customHeight="1">
      <c r="A593" s="13"/>
      <c r="B593" s="13"/>
      <c r="C593" s="13"/>
      <c r="D593" s="13"/>
      <c r="E593" s="13"/>
      <c r="F593" s="13"/>
      <c r="G593" s="13"/>
      <c r="H593" s="12"/>
      <c r="I593" s="165"/>
      <c r="J593" s="166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spans="1:28" ht="14.25" customHeight="1">
      <c r="A594" s="13"/>
      <c r="B594" s="13"/>
      <c r="C594" s="13"/>
      <c r="D594" s="13"/>
      <c r="E594" s="13"/>
      <c r="F594" s="13"/>
      <c r="G594" s="13"/>
      <c r="H594" s="12"/>
      <c r="I594" s="165"/>
      <c r="J594" s="166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spans="1:28" ht="14.25" customHeight="1">
      <c r="A595" s="13"/>
      <c r="B595" s="13"/>
      <c r="C595" s="13"/>
      <c r="D595" s="13"/>
      <c r="E595" s="13"/>
      <c r="F595" s="13"/>
      <c r="G595" s="13"/>
      <c r="H595" s="12"/>
      <c r="I595" s="165"/>
      <c r="J595" s="166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spans="1:28" ht="14.25" customHeight="1">
      <c r="A596" s="13"/>
      <c r="B596" s="13"/>
      <c r="C596" s="13"/>
      <c r="D596" s="13"/>
      <c r="E596" s="13"/>
      <c r="F596" s="13"/>
      <c r="G596" s="13"/>
      <c r="H596" s="12"/>
      <c r="I596" s="165"/>
      <c r="J596" s="166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spans="1:28" ht="14.25" customHeight="1">
      <c r="A597" s="13"/>
      <c r="B597" s="13"/>
      <c r="C597" s="13"/>
      <c r="D597" s="13"/>
      <c r="E597" s="13"/>
      <c r="F597" s="13"/>
      <c r="G597" s="13"/>
      <c r="H597" s="12"/>
      <c r="I597" s="165"/>
      <c r="J597" s="166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spans="1:28" ht="14.25" customHeight="1">
      <c r="A598" s="13"/>
      <c r="B598" s="13"/>
      <c r="C598" s="13"/>
      <c r="D598" s="13"/>
      <c r="E598" s="13"/>
      <c r="F598" s="13"/>
      <c r="G598" s="13"/>
      <c r="H598" s="12"/>
      <c r="I598" s="165"/>
      <c r="J598" s="166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spans="1:28" ht="14.25" customHeight="1">
      <c r="A599" s="13"/>
      <c r="B599" s="13"/>
      <c r="C599" s="13"/>
      <c r="D599" s="13"/>
      <c r="E599" s="13"/>
      <c r="F599" s="13"/>
      <c r="G599" s="13"/>
      <c r="H599" s="12"/>
      <c r="I599" s="165"/>
      <c r="J599" s="166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spans="1:28" ht="14.25" customHeight="1">
      <c r="A600" s="13"/>
      <c r="B600" s="13"/>
      <c r="C600" s="13"/>
      <c r="D600" s="13"/>
      <c r="E600" s="13"/>
      <c r="F600" s="13"/>
      <c r="G600" s="13"/>
      <c r="H600" s="12"/>
      <c r="I600" s="165"/>
      <c r="J600" s="166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spans="1:28" ht="14.25" customHeight="1">
      <c r="A601" s="13"/>
      <c r="B601" s="13"/>
      <c r="C601" s="13"/>
      <c r="D601" s="13"/>
      <c r="E601" s="13"/>
      <c r="F601" s="13"/>
      <c r="G601" s="13"/>
      <c r="H601" s="12"/>
      <c r="I601" s="165"/>
      <c r="J601" s="166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spans="1:28" ht="14.25" customHeight="1">
      <c r="A602" s="13"/>
      <c r="B602" s="13"/>
      <c r="C602" s="13"/>
      <c r="D602" s="13"/>
      <c r="E602" s="13"/>
      <c r="F602" s="13"/>
      <c r="G602" s="13"/>
      <c r="H602" s="12"/>
      <c r="I602" s="165"/>
      <c r="J602" s="166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spans="1:28" ht="14.25" customHeight="1">
      <c r="A603" s="13"/>
      <c r="B603" s="13"/>
      <c r="C603" s="13"/>
      <c r="D603" s="13"/>
      <c r="E603" s="13"/>
      <c r="F603" s="13"/>
      <c r="G603" s="13"/>
      <c r="H603" s="12"/>
      <c r="I603" s="165"/>
      <c r="J603" s="166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spans="1:28" ht="14.25" customHeight="1">
      <c r="A604" s="13"/>
      <c r="B604" s="13"/>
      <c r="C604" s="13"/>
      <c r="D604" s="13"/>
      <c r="E604" s="13"/>
      <c r="F604" s="13"/>
      <c r="G604" s="13"/>
      <c r="H604" s="12"/>
      <c r="I604" s="165"/>
      <c r="J604" s="166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spans="1:28" ht="14.25" customHeight="1">
      <c r="A605" s="13"/>
      <c r="B605" s="13"/>
      <c r="C605" s="13"/>
      <c r="D605" s="13"/>
      <c r="E605" s="13"/>
      <c r="F605" s="13"/>
      <c r="G605" s="13"/>
      <c r="H605" s="12"/>
      <c r="I605" s="165"/>
      <c r="J605" s="166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spans="1:28" ht="14.25" customHeight="1">
      <c r="A606" s="13"/>
      <c r="B606" s="13"/>
      <c r="C606" s="13"/>
      <c r="D606" s="13"/>
      <c r="E606" s="13"/>
      <c r="F606" s="13"/>
      <c r="G606" s="13"/>
      <c r="H606" s="12"/>
      <c r="I606" s="165"/>
      <c r="J606" s="166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spans="1:28" ht="14.25" customHeight="1">
      <c r="A607" s="13"/>
      <c r="B607" s="13"/>
      <c r="C607" s="13"/>
      <c r="D607" s="13"/>
      <c r="E607" s="13"/>
      <c r="F607" s="13"/>
      <c r="G607" s="13"/>
      <c r="H607" s="12"/>
      <c r="I607" s="165"/>
      <c r="J607" s="166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spans="1:28" ht="14.25" customHeight="1">
      <c r="A608" s="13"/>
      <c r="B608" s="13"/>
      <c r="C608" s="13"/>
      <c r="D608" s="13"/>
      <c r="E608" s="13"/>
      <c r="F608" s="13"/>
      <c r="G608" s="13"/>
      <c r="H608" s="12"/>
      <c r="I608" s="165"/>
      <c r="J608" s="166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spans="1:28" ht="14.25" customHeight="1">
      <c r="A609" s="13"/>
      <c r="B609" s="13"/>
      <c r="C609" s="13"/>
      <c r="D609" s="13"/>
      <c r="E609" s="13"/>
      <c r="F609" s="13"/>
      <c r="G609" s="13"/>
      <c r="H609" s="12"/>
      <c r="I609" s="165"/>
      <c r="J609" s="166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spans="1:28" ht="14.25" customHeight="1">
      <c r="A610" s="13"/>
      <c r="B610" s="13"/>
      <c r="C610" s="13"/>
      <c r="D610" s="13"/>
      <c r="E610" s="13"/>
      <c r="F610" s="13"/>
      <c r="G610" s="13"/>
      <c r="H610" s="12"/>
      <c r="I610" s="165"/>
      <c r="J610" s="166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spans="1:28" ht="14.25" customHeight="1">
      <c r="A611" s="13"/>
      <c r="B611" s="13"/>
      <c r="C611" s="13"/>
      <c r="D611" s="13"/>
      <c r="E611" s="13"/>
      <c r="F611" s="13"/>
      <c r="G611" s="13"/>
      <c r="H611" s="12"/>
      <c r="I611" s="165"/>
      <c r="J611" s="166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spans="1:28" ht="14.25" customHeight="1">
      <c r="A612" s="13"/>
      <c r="B612" s="13"/>
      <c r="C612" s="13"/>
      <c r="D612" s="13"/>
      <c r="E612" s="13"/>
      <c r="F612" s="13"/>
      <c r="G612" s="13"/>
      <c r="H612" s="12"/>
      <c r="I612" s="165"/>
      <c r="J612" s="166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spans="1:28" ht="14.25" customHeight="1">
      <c r="A613" s="13"/>
      <c r="B613" s="13"/>
      <c r="C613" s="13"/>
      <c r="D613" s="13"/>
      <c r="E613" s="13"/>
      <c r="F613" s="13"/>
      <c r="G613" s="13"/>
      <c r="H613" s="12"/>
      <c r="I613" s="165"/>
      <c r="J613" s="166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spans="1:28" ht="14.25" customHeight="1">
      <c r="A614" s="13"/>
      <c r="B614" s="13"/>
      <c r="C614" s="13"/>
      <c r="D614" s="13"/>
      <c r="E614" s="13"/>
      <c r="F614" s="13"/>
      <c r="G614" s="13"/>
      <c r="H614" s="12"/>
      <c r="I614" s="165"/>
      <c r="J614" s="166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spans="1:28" ht="14.25" customHeight="1">
      <c r="A615" s="13"/>
      <c r="B615" s="13"/>
      <c r="C615" s="13"/>
      <c r="D615" s="13"/>
      <c r="E615" s="13"/>
      <c r="F615" s="13"/>
      <c r="G615" s="13"/>
      <c r="H615" s="12"/>
      <c r="I615" s="165"/>
      <c r="J615" s="166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spans="1:28" ht="14.25" customHeight="1">
      <c r="A616" s="13"/>
      <c r="B616" s="13"/>
      <c r="C616" s="13"/>
      <c r="D616" s="13"/>
      <c r="E616" s="13"/>
      <c r="F616" s="13"/>
      <c r="G616" s="13"/>
      <c r="H616" s="12"/>
      <c r="I616" s="165"/>
      <c r="J616" s="166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spans="1:28" ht="14.25" customHeight="1">
      <c r="A617" s="13"/>
      <c r="B617" s="13"/>
      <c r="C617" s="13"/>
      <c r="D617" s="13"/>
      <c r="E617" s="13"/>
      <c r="F617" s="13"/>
      <c r="G617" s="13"/>
      <c r="H617" s="12"/>
      <c r="I617" s="165"/>
      <c r="J617" s="166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spans="1:28" ht="14.25" customHeight="1">
      <c r="A618" s="13"/>
      <c r="B618" s="13"/>
      <c r="C618" s="13"/>
      <c r="D618" s="13"/>
      <c r="E618" s="13"/>
      <c r="F618" s="13"/>
      <c r="G618" s="13"/>
      <c r="H618" s="12"/>
      <c r="I618" s="165"/>
      <c r="J618" s="166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spans="1:28" ht="14.25" customHeight="1">
      <c r="A619" s="13"/>
      <c r="B619" s="13"/>
      <c r="C619" s="13"/>
      <c r="D619" s="13"/>
      <c r="E619" s="13"/>
      <c r="F619" s="13"/>
      <c r="G619" s="13"/>
      <c r="H619" s="12"/>
      <c r="I619" s="165"/>
      <c r="J619" s="166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spans="1:28" ht="14.25" customHeight="1">
      <c r="A620" s="13"/>
      <c r="B620" s="13"/>
      <c r="C620" s="13"/>
      <c r="D620" s="13"/>
      <c r="E620" s="13"/>
      <c r="F620" s="13"/>
      <c r="G620" s="13"/>
      <c r="H620" s="12"/>
      <c r="I620" s="165"/>
      <c r="J620" s="166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spans="1:28" ht="14.25" customHeight="1">
      <c r="A621" s="13"/>
      <c r="B621" s="13"/>
      <c r="C621" s="13"/>
      <c r="D621" s="13"/>
      <c r="E621" s="13"/>
      <c r="F621" s="13"/>
      <c r="G621" s="13"/>
      <c r="H621" s="12"/>
      <c r="I621" s="165"/>
      <c r="J621" s="166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spans="1:28" ht="14.25" customHeight="1">
      <c r="A622" s="13"/>
      <c r="B622" s="13"/>
      <c r="C622" s="13"/>
      <c r="D622" s="13"/>
      <c r="E622" s="13"/>
      <c r="F622" s="13"/>
      <c r="G622" s="13"/>
      <c r="H622" s="12"/>
      <c r="I622" s="165"/>
      <c r="J622" s="166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spans="1:28" ht="14.25" customHeight="1">
      <c r="A623" s="13"/>
      <c r="B623" s="13"/>
      <c r="C623" s="13"/>
      <c r="D623" s="13"/>
      <c r="E623" s="13"/>
      <c r="F623" s="13"/>
      <c r="G623" s="13"/>
      <c r="H623" s="12"/>
      <c r="I623" s="165"/>
      <c r="J623" s="166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spans="1:28" ht="14.25" customHeight="1">
      <c r="A624" s="13"/>
      <c r="B624" s="13"/>
      <c r="C624" s="13"/>
      <c r="D624" s="13"/>
      <c r="E624" s="13"/>
      <c r="F624" s="13"/>
      <c r="G624" s="13"/>
      <c r="H624" s="12"/>
      <c r="I624" s="165"/>
      <c r="J624" s="166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spans="1:28" ht="14.25" customHeight="1">
      <c r="A625" s="13"/>
      <c r="B625" s="13"/>
      <c r="C625" s="13"/>
      <c r="D625" s="13"/>
      <c r="E625" s="13"/>
      <c r="F625" s="13"/>
      <c r="G625" s="13"/>
      <c r="H625" s="12"/>
      <c r="I625" s="165"/>
      <c r="J625" s="166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spans="1:28" ht="14.25" customHeight="1">
      <c r="A626" s="13"/>
      <c r="B626" s="13"/>
      <c r="C626" s="13"/>
      <c r="D626" s="13"/>
      <c r="E626" s="13"/>
      <c r="F626" s="13"/>
      <c r="G626" s="13"/>
      <c r="H626" s="12"/>
      <c r="I626" s="165"/>
      <c r="J626" s="166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spans="1:28" ht="14.25" customHeight="1">
      <c r="A627" s="13"/>
      <c r="B627" s="13"/>
      <c r="C627" s="13"/>
      <c r="D627" s="13"/>
      <c r="E627" s="13"/>
      <c r="F627" s="13"/>
      <c r="G627" s="13"/>
      <c r="H627" s="12"/>
      <c r="I627" s="165"/>
      <c r="J627" s="166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spans="1:28" ht="14.25" customHeight="1">
      <c r="A628" s="13"/>
      <c r="B628" s="13"/>
      <c r="C628" s="13"/>
      <c r="D628" s="13"/>
      <c r="E628" s="13"/>
      <c r="F628" s="13"/>
      <c r="G628" s="13"/>
      <c r="H628" s="12"/>
      <c r="I628" s="165"/>
      <c r="J628" s="166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spans="1:28" ht="14.25" customHeight="1">
      <c r="A629" s="13"/>
      <c r="B629" s="13"/>
      <c r="C629" s="13"/>
      <c r="D629" s="13"/>
      <c r="E629" s="13"/>
      <c r="F629" s="13"/>
      <c r="G629" s="13"/>
      <c r="H629" s="12"/>
      <c r="I629" s="165"/>
      <c r="J629" s="166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spans="1:28" ht="14.25" customHeight="1">
      <c r="A630" s="13"/>
      <c r="B630" s="13"/>
      <c r="C630" s="13"/>
      <c r="D630" s="13"/>
      <c r="E630" s="13"/>
      <c r="F630" s="13"/>
      <c r="G630" s="13"/>
      <c r="H630" s="12"/>
      <c r="I630" s="165"/>
      <c r="J630" s="166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spans="1:28" ht="14.25" customHeight="1">
      <c r="A631" s="13"/>
      <c r="B631" s="13"/>
      <c r="C631" s="13"/>
      <c r="D631" s="13"/>
      <c r="E631" s="13"/>
      <c r="F631" s="13"/>
      <c r="G631" s="13"/>
      <c r="H631" s="12"/>
      <c r="I631" s="165"/>
      <c r="J631" s="166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spans="1:28" ht="14.25" customHeight="1">
      <c r="A632" s="13"/>
      <c r="B632" s="13"/>
      <c r="C632" s="13"/>
      <c r="D632" s="13"/>
      <c r="E632" s="13"/>
      <c r="F632" s="13"/>
      <c r="G632" s="13"/>
      <c r="H632" s="12"/>
      <c r="I632" s="165"/>
      <c r="J632" s="166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spans="1:28" ht="14.25" customHeight="1">
      <c r="A633" s="13"/>
      <c r="B633" s="13"/>
      <c r="C633" s="13"/>
      <c r="D633" s="13"/>
      <c r="E633" s="13"/>
      <c r="F633" s="13"/>
      <c r="G633" s="13"/>
      <c r="H633" s="12"/>
      <c r="I633" s="165"/>
      <c r="J633" s="166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spans="1:28" ht="14.25" customHeight="1">
      <c r="A634" s="13"/>
      <c r="B634" s="13"/>
      <c r="C634" s="13"/>
      <c r="D634" s="13"/>
      <c r="E634" s="13"/>
      <c r="F634" s="13"/>
      <c r="G634" s="13"/>
      <c r="H634" s="12"/>
      <c r="I634" s="165"/>
      <c r="J634" s="166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spans="1:28" ht="14.25" customHeight="1">
      <c r="A635" s="13"/>
      <c r="B635" s="13"/>
      <c r="C635" s="13"/>
      <c r="D635" s="13"/>
      <c r="E635" s="13"/>
      <c r="F635" s="13"/>
      <c r="G635" s="13"/>
      <c r="H635" s="12"/>
      <c r="I635" s="165"/>
      <c r="J635" s="166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spans="1:28" ht="14.25" customHeight="1">
      <c r="A636" s="13"/>
      <c r="B636" s="13"/>
      <c r="C636" s="13"/>
      <c r="D636" s="13"/>
      <c r="E636" s="13"/>
      <c r="F636" s="13"/>
      <c r="G636" s="13"/>
      <c r="H636" s="12"/>
      <c r="I636" s="165"/>
      <c r="J636" s="166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spans="1:28" ht="14.25" customHeight="1">
      <c r="A637" s="13"/>
      <c r="B637" s="13"/>
      <c r="C637" s="13"/>
      <c r="D637" s="13"/>
      <c r="E637" s="13"/>
      <c r="F637" s="13"/>
      <c r="G637" s="13"/>
      <c r="H637" s="12"/>
      <c r="I637" s="165"/>
      <c r="J637" s="166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spans="1:28" ht="14.25" customHeight="1">
      <c r="A638" s="13"/>
      <c r="B638" s="13"/>
      <c r="C638" s="13"/>
      <c r="D638" s="13"/>
      <c r="E638" s="13"/>
      <c r="F638" s="13"/>
      <c r="G638" s="13"/>
      <c r="H638" s="12"/>
      <c r="I638" s="165"/>
      <c r="J638" s="166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spans="1:28" ht="14.25" customHeight="1">
      <c r="A639" s="13"/>
      <c r="B639" s="13"/>
      <c r="C639" s="13"/>
      <c r="D639" s="13"/>
      <c r="E639" s="13"/>
      <c r="F639" s="13"/>
      <c r="G639" s="13"/>
      <c r="H639" s="12"/>
      <c r="I639" s="165"/>
      <c r="J639" s="166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spans="1:28" ht="14.25" customHeight="1">
      <c r="A640" s="13"/>
      <c r="B640" s="13"/>
      <c r="C640" s="13"/>
      <c r="D640" s="13"/>
      <c r="E640" s="13"/>
      <c r="F640" s="13"/>
      <c r="G640" s="13"/>
      <c r="H640" s="12"/>
      <c r="I640" s="165"/>
      <c r="J640" s="166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spans="1:28" ht="14.25" customHeight="1">
      <c r="A641" s="13"/>
      <c r="B641" s="13"/>
      <c r="C641" s="13"/>
      <c r="D641" s="13"/>
      <c r="E641" s="13"/>
      <c r="F641" s="13"/>
      <c r="G641" s="13"/>
      <c r="H641" s="12"/>
      <c r="I641" s="165"/>
      <c r="J641" s="166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spans="1:28" ht="14.25" customHeight="1">
      <c r="A642" s="13"/>
      <c r="B642" s="13"/>
      <c r="C642" s="13"/>
      <c r="D642" s="13"/>
      <c r="E642" s="13"/>
      <c r="F642" s="13"/>
      <c r="G642" s="13"/>
      <c r="H642" s="12"/>
      <c r="I642" s="165"/>
      <c r="J642" s="166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spans="1:28" ht="14.25" customHeight="1">
      <c r="A643" s="13"/>
      <c r="B643" s="13"/>
      <c r="C643" s="13"/>
      <c r="D643" s="13"/>
      <c r="E643" s="13"/>
      <c r="F643" s="13"/>
      <c r="G643" s="13"/>
      <c r="H643" s="12"/>
      <c r="I643" s="165"/>
      <c r="J643" s="166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spans="1:28" ht="14.25" customHeight="1">
      <c r="A644" s="13"/>
      <c r="B644" s="13"/>
      <c r="C644" s="13"/>
      <c r="D644" s="13"/>
      <c r="E644" s="13"/>
      <c r="F644" s="13"/>
      <c r="G644" s="13"/>
      <c r="H644" s="12"/>
      <c r="I644" s="165"/>
      <c r="J644" s="166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spans="1:28" ht="14.25" customHeight="1">
      <c r="A645" s="13"/>
      <c r="B645" s="13"/>
      <c r="C645" s="13"/>
      <c r="D645" s="13"/>
      <c r="E645" s="13"/>
      <c r="F645" s="13"/>
      <c r="G645" s="13"/>
      <c r="H645" s="12"/>
      <c r="I645" s="165"/>
      <c r="J645" s="166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spans="1:28" ht="14.25" customHeight="1">
      <c r="A646" s="13"/>
      <c r="B646" s="13"/>
      <c r="C646" s="13"/>
      <c r="D646" s="13"/>
      <c r="E646" s="13"/>
      <c r="F646" s="13"/>
      <c r="G646" s="13"/>
      <c r="H646" s="12"/>
      <c r="I646" s="165"/>
      <c r="J646" s="166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spans="1:28" ht="14.25" customHeight="1">
      <c r="A647" s="13"/>
      <c r="B647" s="13"/>
      <c r="C647" s="13"/>
      <c r="D647" s="13"/>
      <c r="E647" s="13"/>
      <c r="F647" s="13"/>
      <c r="G647" s="13"/>
      <c r="H647" s="12"/>
      <c r="I647" s="165"/>
      <c r="J647" s="166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spans="1:28" ht="14.25" customHeight="1">
      <c r="A648" s="13"/>
      <c r="B648" s="13"/>
      <c r="C648" s="13"/>
      <c r="D648" s="13"/>
      <c r="E648" s="13"/>
      <c r="F648" s="13"/>
      <c r="G648" s="13"/>
      <c r="H648" s="12"/>
      <c r="I648" s="165"/>
      <c r="J648" s="166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spans="1:28" ht="14.25" customHeight="1">
      <c r="A649" s="13"/>
      <c r="B649" s="13"/>
      <c r="C649" s="13"/>
      <c r="D649" s="13"/>
      <c r="E649" s="13"/>
      <c r="F649" s="13"/>
      <c r="G649" s="13"/>
      <c r="H649" s="12"/>
      <c r="I649" s="165"/>
      <c r="J649" s="166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spans="1:28" ht="14.25" customHeight="1">
      <c r="A650" s="13"/>
      <c r="B650" s="13"/>
      <c r="C650" s="13"/>
      <c r="D650" s="13"/>
      <c r="E650" s="13"/>
      <c r="F650" s="13"/>
      <c r="G650" s="13"/>
      <c r="H650" s="12"/>
      <c r="I650" s="165"/>
      <c r="J650" s="166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spans="1:28" ht="14.25" customHeight="1">
      <c r="A651" s="13"/>
      <c r="B651" s="13"/>
      <c r="C651" s="13"/>
      <c r="D651" s="13"/>
      <c r="E651" s="13"/>
      <c r="F651" s="13"/>
      <c r="G651" s="13"/>
      <c r="H651" s="12"/>
      <c r="I651" s="165"/>
      <c r="J651" s="166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spans="1:28" ht="14.25" customHeight="1">
      <c r="A652" s="13"/>
      <c r="B652" s="13"/>
      <c r="C652" s="13"/>
      <c r="D652" s="13"/>
      <c r="E652" s="13"/>
      <c r="F652" s="13"/>
      <c r="G652" s="13"/>
      <c r="H652" s="12"/>
      <c r="I652" s="165"/>
      <c r="J652" s="166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spans="1:28" ht="14.25" customHeight="1">
      <c r="A653" s="13"/>
      <c r="B653" s="13"/>
      <c r="C653" s="13"/>
      <c r="D653" s="13"/>
      <c r="E653" s="13"/>
      <c r="F653" s="13"/>
      <c r="G653" s="13"/>
      <c r="H653" s="12"/>
      <c r="I653" s="165"/>
      <c r="J653" s="166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spans="1:28" ht="14.25" customHeight="1">
      <c r="A654" s="13"/>
      <c r="B654" s="13"/>
      <c r="C654" s="13"/>
      <c r="D654" s="13"/>
      <c r="E654" s="13"/>
      <c r="F654" s="13"/>
      <c r="G654" s="13"/>
      <c r="H654" s="12"/>
      <c r="I654" s="165"/>
      <c r="J654" s="166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spans="1:28" ht="14.25" customHeight="1">
      <c r="A655" s="13"/>
      <c r="B655" s="13"/>
      <c r="C655" s="13"/>
      <c r="D655" s="13"/>
      <c r="E655" s="13"/>
      <c r="F655" s="13"/>
      <c r="G655" s="13"/>
      <c r="H655" s="12"/>
      <c r="I655" s="165"/>
      <c r="J655" s="166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spans="1:28" ht="14.25" customHeight="1">
      <c r="A656" s="13"/>
      <c r="B656" s="13"/>
      <c r="C656" s="13"/>
      <c r="D656" s="13"/>
      <c r="E656" s="13"/>
      <c r="F656" s="13"/>
      <c r="G656" s="13"/>
      <c r="H656" s="12"/>
      <c r="I656" s="165"/>
      <c r="J656" s="166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spans="1:28" ht="14.25" customHeight="1">
      <c r="A657" s="13"/>
      <c r="B657" s="13"/>
      <c r="C657" s="13"/>
      <c r="D657" s="13"/>
      <c r="E657" s="13"/>
      <c r="F657" s="13"/>
      <c r="G657" s="13"/>
      <c r="H657" s="12"/>
      <c r="I657" s="165"/>
      <c r="J657" s="166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spans="1:28" ht="14.25" customHeight="1">
      <c r="A658" s="13"/>
      <c r="B658" s="13"/>
      <c r="C658" s="13"/>
      <c r="D658" s="13"/>
      <c r="E658" s="13"/>
      <c r="F658" s="13"/>
      <c r="G658" s="13"/>
      <c r="H658" s="12"/>
      <c r="I658" s="165"/>
      <c r="J658" s="166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spans="1:28" ht="14.25" customHeight="1">
      <c r="A659" s="13"/>
      <c r="B659" s="13"/>
      <c r="C659" s="13"/>
      <c r="D659" s="13"/>
      <c r="E659" s="13"/>
      <c r="F659" s="13"/>
      <c r="G659" s="13"/>
      <c r="H659" s="12"/>
      <c r="I659" s="165"/>
      <c r="J659" s="166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spans="1:28" ht="14.25" customHeight="1">
      <c r="A660" s="13"/>
      <c r="B660" s="13"/>
      <c r="C660" s="13"/>
      <c r="D660" s="13"/>
      <c r="E660" s="13"/>
      <c r="F660" s="13"/>
      <c r="G660" s="13"/>
      <c r="H660" s="12"/>
      <c r="I660" s="165"/>
      <c r="J660" s="166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spans="1:28" ht="14.25" customHeight="1">
      <c r="A661" s="13"/>
      <c r="B661" s="13"/>
      <c r="C661" s="13"/>
      <c r="D661" s="13"/>
      <c r="E661" s="13"/>
      <c r="F661" s="13"/>
      <c r="G661" s="13"/>
      <c r="H661" s="12"/>
      <c r="I661" s="165"/>
      <c r="J661" s="166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spans="1:28" ht="14.25" customHeight="1">
      <c r="A662" s="13"/>
      <c r="B662" s="13"/>
      <c r="C662" s="13"/>
      <c r="D662" s="13"/>
      <c r="E662" s="13"/>
      <c r="F662" s="13"/>
      <c r="G662" s="13"/>
      <c r="H662" s="12"/>
      <c r="I662" s="165"/>
      <c r="J662" s="166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spans="1:28" ht="14.25" customHeight="1">
      <c r="A663" s="13"/>
      <c r="B663" s="13"/>
      <c r="C663" s="13"/>
      <c r="D663" s="13"/>
      <c r="E663" s="13"/>
      <c r="F663" s="13"/>
      <c r="G663" s="13"/>
      <c r="H663" s="12"/>
      <c r="I663" s="165"/>
      <c r="J663" s="166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spans="1:28" ht="14.25" customHeight="1">
      <c r="A664" s="13"/>
      <c r="B664" s="13"/>
      <c r="C664" s="13"/>
      <c r="D664" s="13"/>
      <c r="E664" s="13"/>
      <c r="F664" s="13"/>
      <c r="G664" s="13"/>
      <c r="H664" s="12"/>
      <c r="I664" s="165"/>
      <c r="J664" s="166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spans="1:28" ht="14.25" customHeight="1">
      <c r="A665" s="13"/>
      <c r="B665" s="13"/>
      <c r="C665" s="13"/>
      <c r="D665" s="13"/>
      <c r="E665" s="13"/>
      <c r="F665" s="13"/>
      <c r="G665" s="13"/>
      <c r="H665" s="12"/>
      <c r="I665" s="165"/>
      <c r="J665" s="166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spans="1:28" ht="14.25" customHeight="1">
      <c r="A666" s="13"/>
      <c r="B666" s="13"/>
      <c r="C666" s="13"/>
      <c r="D666" s="13"/>
      <c r="E666" s="13"/>
      <c r="F666" s="13"/>
      <c r="G666" s="13"/>
      <c r="H666" s="12"/>
      <c r="I666" s="165"/>
      <c r="J666" s="166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spans="1:28" ht="14.25" customHeight="1">
      <c r="A667" s="13"/>
      <c r="B667" s="13"/>
      <c r="C667" s="13"/>
      <c r="D667" s="13"/>
      <c r="E667" s="13"/>
      <c r="F667" s="13"/>
      <c r="G667" s="13"/>
      <c r="H667" s="12"/>
      <c r="I667" s="165"/>
      <c r="J667" s="166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spans="1:28" ht="14.25" customHeight="1">
      <c r="A668" s="13"/>
      <c r="B668" s="13"/>
      <c r="C668" s="13"/>
      <c r="D668" s="13"/>
      <c r="E668" s="13"/>
      <c r="F668" s="13"/>
      <c r="G668" s="13"/>
      <c r="H668" s="12"/>
      <c r="I668" s="165"/>
      <c r="J668" s="166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spans="1:28" ht="14.25" customHeight="1">
      <c r="A669" s="13"/>
      <c r="B669" s="13"/>
      <c r="C669" s="13"/>
      <c r="D669" s="13"/>
      <c r="E669" s="13"/>
      <c r="F669" s="13"/>
      <c r="G669" s="13"/>
      <c r="H669" s="12"/>
      <c r="I669" s="165"/>
      <c r="J669" s="166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spans="1:28" ht="14.25" customHeight="1">
      <c r="A670" s="13"/>
      <c r="B670" s="13"/>
      <c r="C670" s="13"/>
      <c r="D670" s="13"/>
      <c r="E670" s="13"/>
      <c r="F670" s="13"/>
      <c r="G670" s="13"/>
      <c r="H670" s="12"/>
      <c r="I670" s="165"/>
      <c r="J670" s="166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spans="1:28" ht="14.25" customHeight="1">
      <c r="A671" s="13"/>
      <c r="B671" s="13"/>
      <c r="C671" s="13"/>
      <c r="D671" s="13"/>
      <c r="E671" s="13"/>
      <c r="F671" s="13"/>
      <c r="G671" s="13"/>
      <c r="H671" s="12"/>
      <c r="I671" s="165"/>
      <c r="J671" s="166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spans="1:28" ht="14.25" customHeight="1">
      <c r="A672" s="13"/>
      <c r="B672" s="13"/>
      <c r="C672" s="13"/>
      <c r="D672" s="13"/>
      <c r="E672" s="13"/>
      <c r="F672" s="13"/>
      <c r="G672" s="13"/>
      <c r="H672" s="12"/>
      <c r="I672" s="165"/>
      <c r="J672" s="166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spans="1:28" ht="14.25" customHeight="1">
      <c r="A673" s="13"/>
      <c r="B673" s="13"/>
      <c r="C673" s="13"/>
      <c r="D673" s="13"/>
      <c r="E673" s="13"/>
      <c r="F673" s="13"/>
      <c r="G673" s="13"/>
      <c r="H673" s="12"/>
      <c r="I673" s="165"/>
      <c r="J673" s="166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spans="1:28" ht="14.25" customHeight="1">
      <c r="A674" s="13"/>
      <c r="B674" s="13"/>
      <c r="C674" s="13"/>
      <c r="D674" s="13"/>
      <c r="E674" s="13"/>
      <c r="F674" s="13"/>
      <c r="G674" s="13"/>
      <c r="H674" s="12"/>
      <c r="I674" s="165"/>
      <c r="J674" s="166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spans="1:28" ht="14.25" customHeight="1">
      <c r="A675" s="13"/>
      <c r="B675" s="13"/>
      <c r="C675" s="13"/>
      <c r="D675" s="13"/>
      <c r="E675" s="13"/>
      <c r="F675" s="13"/>
      <c r="G675" s="13"/>
      <c r="H675" s="12"/>
      <c r="I675" s="165"/>
      <c r="J675" s="166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spans="1:28" ht="14.25" customHeight="1">
      <c r="A676" s="13"/>
      <c r="B676" s="13"/>
      <c r="C676" s="13"/>
      <c r="D676" s="13"/>
      <c r="E676" s="13"/>
      <c r="F676" s="13"/>
      <c r="G676" s="13"/>
      <c r="H676" s="12"/>
      <c r="I676" s="165"/>
      <c r="J676" s="166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spans="1:28" ht="14.25" customHeight="1">
      <c r="A677" s="13"/>
      <c r="B677" s="13"/>
      <c r="C677" s="13"/>
      <c r="D677" s="13"/>
      <c r="E677" s="13"/>
      <c r="F677" s="13"/>
      <c r="G677" s="13"/>
      <c r="H677" s="12"/>
      <c r="I677" s="165"/>
      <c r="J677" s="166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spans="1:28" ht="14.25" customHeight="1">
      <c r="A678" s="13"/>
      <c r="B678" s="13"/>
      <c r="C678" s="13"/>
      <c r="D678" s="13"/>
      <c r="E678" s="13"/>
      <c r="F678" s="13"/>
      <c r="G678" s="13"/>
      <c r="H678" s="12"/>
      <c r="I678" s="165"/>
      <c r="J678" s="166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spans="1:28" ht="14.25" customHeight="1">
      <c r="A679" s="13"/>
      <c r="B679" s="13"/>
      <c r="C679" s="13"/>
      <c r="D679" s="13"/>
      <c r="E679" s="13"/>
      <c r="F679" s="13"/>
      <c r="G679" s="13"/>
      <c r="H679" s="12"/>
      <c r="I679" s="165"/>
      <c r="J679" s="166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spans="1:28" ht="14.25" customHeight="1">
      <c r="A680" s="13"/>
      <c r="B680" s="13"/>
      <c r="C680" s="13"/>
      <c r="D680" s="13"/>
      <c r="E680" s="13"/>
      <c r="F680" s="13"/>
      <c r="G680" s="13"/>
      <c r="H680" s="12"/>
      <c r="I680" s="165"/>
      <c r="J680" s="166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spans="1:28" ht="14.25" customHeight="1">
      <c r="A681" s="13"/>
      <c r="B681" s="13"/>
      <c r="C681" s="13"/>
      <c r="D681" s="13"/>
      <c r="E681" s="13"/>
      <c r="F681" s="13"/>
      <c r="G681" s="13"/>
      <c r="H681" s="12"/>
      <c r="I681" s="165"/>
      <c r="J681" s="166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spans="1:28" ht="14.25" customHeight="1">
      <c r="A682" s="13"/>
      <c r="B682" s="13"/>
      <c r="C682" s="13"/>
      <c r="D682" s="13"/>
      <c r="E682" s="13"/>
      <c r="F682" s="13"/>
      <c r="G682" s="13"/>
      <c r="H682" s="12"/>
      <c r="I682" s="165"/>
      <c r="J682" s="166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spans="1:28" ht="14.25" customHeight="1">
      <c r="A683" s="13"/>
      <c r="B683" s="13"/>
      <c r="C683" s="13"/>
      <c r="D683" s="13"/>
      <c r="E683" s="13"/>
      <c r="F683" s="13"/>
      <c r="G683" s="13"/>
      <c r="H683" s="12"/>
      <c r="I683" s="165"/>
      <c r="J683" s="166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spans="1:28" ht="14.25" customHeight="1">
      <c r="A684" s="13"/>
      <c r="B684" s="13"/>
      <c r="C684" s="13"/>
      <c r="D684" s="13"/>
      <c r="E684" s="13"/>
      <c r="F684" s="13"/>
      <c r="G684" s="13"/>
      <c r="H684" s="12"/>
      <c r="I684" s="165"/>
      <c r="J684" s="166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spans="1:28" ht="14.25" customHeight="1">
      <c r="A685" s="13"/>
      <c r="B685" s="13"/>
      <c r="C685" s="13"/>
      <c r="D685" s="13"/>
      <c r="E685" s="13"/>
      <c r="F685" s="13"/>
      <c r="G685" s="13"/>
      <c r="H685" s="12"/>
      <c r="I685" s="165"/>
      <c r="J685" s="166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spans="1:28" ht="14.25" customHeight="1">
      <c r="A686" s="13"/>
      <c r="B686" s="13"/>
      <c r="C686" s="13"/>
      <c r="D686" s="13"/>
      <c r="E686" s="13"/>
      <c r="F686" s="13"/>
      <c r="G686" s="13"/>
      <c r="H686" s="12"/>
      <c r="I686" s="165"/>
      <c r="J686" s="166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spans="1:28" ht="14.25" customHeight="1">
      <c r="A687" s="13"/>
      <c r="B687" s="13"/>
      <c r="C687" s="13"/>
      <c r="D687" s="13"/>
      <c r="E687" s="13"/>
      <c r="F687" s="13"/>
      <c r="G687" s="13"/>
      <c r="H687" s="12"/>
      <c r="I687" s="165"/>
      <c r="J687" s="166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spans="1:28" ht="14.25" customHeight="1">
      <c r="A688" s="13"/>
      <c r="B688" s="13"/>
      <c r="C688" s="13"/>
      <c r="D688" s="13"/>
      <c r="E688" s="13"/>
      <c r="F688" s="13"/>
      <c r="G688" s="13"/>
      <c r="H688" s="12"/>
      <c r="I688" s="165"/>
      <c r="J688" s="166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spans="1:28" ht="14.25" customHeight="1">
      <c r="A689" s="13"/>
      <c r="B689" s="13"/>
      <c r="C689" s="13"/>
      <c r="D689" s="13"/>
      <c r="E689" s="13"/>
      <c r="F689" s="13"/>
      <c r="G689" s="13"/>
      <c r="H689" s="12"/>
      <c r="I689" s="165"/>
      <c r="J689" s="166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spans="1:28" ht="14.25" customHeight="1">
      <c r="A690" s="13"/>
      <c r="B690" s="13"/>
      <c r="C690" s="13"/>
      <c r="D690" s="13"/>
      <c r="E690" s="13"/>
      <c r="F690" s="13"/>
      <c r="G690" s="13"/>
      <c r="H690" s="12"/>
      <c r="I690" s="165"/>
      <c r="J690" s="166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spans="1:28" ht="14.25" customHeight="1">
      <c r="A691" s="13"/>
      <c r="B691" s="13"/>
      <c r="C691" s="13"/>
      <c r="D691" s="13"/>
      <c r="E691" s="13"/>
      <c r="F691" s="13"/>
      <c r="G691" s="13"/>
      <c r="H691" s="12"/>
      <c r="I691" s="165"/>
      <c r="J691" s="166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spans="1:28" ht="14.25" customHeight="1">
      <c r="A692" s="13"/>
      <c r="B692" s="13"/>
      <c r="C692" s="13"/>
      <c r="D692" s="13"/>
      <c r="E692" s="13"/>
      <c r="F692" s="13"/>
      <c r="G692" s="13"/>
      <c r="H692" s="12"/>
      <c r="I692" s="165"/>
      <c r="J692" s="166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spans="1:28" ht="14.25" customHeight="1">
      <c r="A693" s="13"/>
      <c r="B693" s="13"/>
      <c r="C693" s="13"/>
      <c r="D693" s="13"/>
      <c r="E693" s="13"/>
      <c r="F693" s="13"/>
      <c r="G693" s="13"/>
      <c r="H693" s="12"/>
      <c r="I693" s="165"/>
      <c r="J693" s="166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spans="1:28" ht="14.25" customHeight="1">
      <c r="A694" s="13"/>
      <c r="B694" s="13"/>
      <c r="C694" s="13"/>
      <c r="D694" s="13"/>
      <c r="E694" s="13"/>
      <c r="F694" s="13"/>
      <c r="G694" s="13"/>
      <c r="H694" s="12"/>
      <c r="I694" s="165"/>
      <c r="J694" s="166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spans="1:28" ht="14.25" customHeight="1">
      <c r="A695" s="13"/>
      <c r="B695" s="13"/>
      <c r="C695" s="13"/>
      <c r="D695" s="13"/>
      <c r="E695" s="13"/>
      <c r="F695" s="13"/>
      <c r="G695" s="13"/>
      <c r="H695" s="12"/>
      <c r="I695" s="165"/>
      <c r="J695" s="166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spans="1:28" ht="14.25" customHeight="1">
      <c r="A696" s="13"/>
      <c r="B696" s="13"/>
      <c r="C696" s="13"/>
      <c r="D696" s="13"/>
      <c r="E696" s="13"/>
      <c r="F696" s="13"/>
      <c r="G696" s="13"/>
      <c r="H696" s="12"/>
      <c r="I696" s="165"/>
      <c r="J696" s="166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spans="1:28" ht="14.25" customHeight="1">
      <c r="A697" s="13"/>
      <c r="B697" s="13"/>
      <c r="C697" s="13"/>
      <c r="D697" s="13"/>
      <c r="E697" s="13"/>
      <c r="F697" s="13"/>
      <c r="G697" s="13"/>
      <c r="H697" s="12"/>
      <c r="I697" s="165"/>
      <c r="J697" s="166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spans="1:28" ht="14.25" customHeight="1">
      <c r="A698" s="13"/>
      <c r="B698" s="13"/>
      <c r="C698" s="13"/>
      <c r="D698" s="13"/>
      <c r="E698" s="13"/>
      <c r="F698" s="13"/>
      <c r="G698" s="13"/>
      <c r="H698" s="12"/>
      <c r="I698" s="165"/>
      <c r="J698" s="166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spans="1:28" ht="14.25" customHeight="1">
      <c r="A699" s="13"/>
      <c r="B699" s="13"/>
      <c r="C699" s="13"/>
      <c r="D699" s="13"/>
      <c r="E699" s="13"/>
      <c r="F699" s="13"/>
      <c r="G699" s="13"/>
      <c r="H699" s="12"/>
      <c r="I699" s="165"/>
      <c r="J699" s="166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spans="1:28" ht="14.25" customHeight="1">
      <c r="A700" s="13"/>
      <c r="B700" s="13"/>
      <c r="C700" s="13"/>
      <c r="D700" s="13"/>
      <c r="E700" s="13"/>
      <c r="F700" s="13"/>
      <c r="G700" s="13"/>
      <c r="H700" s="12"/>
      <c r="I700" s="165"/>
      <c r="J700" s="166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spans="1:28" ht="14.25" customHeight="1">
      <c r="A701" s="13"/>
      <c r="B701" s="13"/>
      <c r="C701" s="13"/>
      <c r="D701" s="13"/>
      <c r="E701" s="13"/>
      <c r="F701" s="13"/>
      <c r="G701" s="13"/>
      <c r="H701" s="12"/>
      <c r="I701" s="165"/>
      <c r="J701" s="166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spans="1:28" ht="14.25" customHeight="1">
      <c r="A702" s="13"/>
      <c r="B702" s="13"/>
      <c r="C702" s="13"/>
      <c r="D702" s="13"/>
      <c r="E702" s="13"/>
      <c r="F702" s="13"/>
      <c r="G702" s="13"/>
      <c r="H702" s="12"/>
      <c r="I702" s="165"/>
      <c r="J702" s="166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spans="1:28" ht="14.25" customHeight="1">
      <c r="A703" s="13"/>
      <c r="B703" s="13"/>
      <c r="C703" s="13"/>
      <c r="D703" s="13"/>
      <c r="E703" s="13"/>
      <c r="F703" s="13"/>
      <c r="G703" s="13"/>
      <c r="H703" s="12"/>
      <c r="I703" s="165"/>
      <c r="J703" s="166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spans="1:28" ht="14.25" customHeight="1">
      <c r="A704" s="13"/>
      <c r="B704" s="13"/>
      <c r="C704" s="13"/>
      <c r="D704" s="13"/>
      <c r="E704" s="13"/>
      <c r="F704" s="13"/>
      <c r="G704" s="13"/>
      <c r="H704" s="12"/>
      <c r="I704" s="165"/>
      <c r="J704" s="166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spans="1:28" ht="14.25" customHeight="1">
      <c r="A705" s="13"/>
      <c r="B705" s="13"/>
      <c r="C705" s="13"/>
      <c r="D705" s="13"/>
      <c r="E705" s="13"/>
      <c r="F705" s="13"/>
      <c r="G705" s="13"/>
      <c r="H705" s="12"/>
      <c r="I705" s="165"/>
      <c r="J705" s="166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spans="1:28" ht="14.25" customHeight="1">
      <c r="A706" s="13"/>
      <c r="B706" s="13"/>
      <c r="C706" s="13"/>
      <c r="D706" s="13"/>
      <c r="E706" s="13"/>
      <c r="F706" s="13"/>
      <c r="G706" s="13"/>
      <c r="H706" s="12"/>
      <c r="I706" s="165"/>
      <c r="J706" s="166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spans="1:28" ht="14.25" customHeight="1">
      <c r="A707" s="13"/>
      <c r="B707" s="13"/>
      <c r="C707" s="13"/>
      <c r="D707" s="13"/>
      <c r="E707" s="13"/>
      <c r="F707" s="13"/>
      <c r="G707" s="13"/>
      <c r="H707" s="12"/>
      <c r="I707" s="165"/>
      <c r="J707" s="166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spans="1:28" ht="14.25" customHeight="1">
      <c r="A708" s="13"/>
      <c r="B708" s="13"/>
      <c r="C708" s="13"/>
      <c r="D708" s="13"/>
      <c r="E708" s="13"/>
      <c r="F708" s="13"/>
      <c r="G708" s="13"/>
      <c r="H708" s="12"/>
      <c r="I708" s="165"/>
      <c r="J708" s="166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spans="1:28" ht="14.25" customHeight="1">
      <c r="A709" s="13"/>
      <c r="B709" s="13"/>
      <c r="C709" s="13"/>
      <c r="D709" s="13"/>
      <c r="E709" s="13"/>
      <c r="F709" s="13"/>
      <c r="G709" s="13"/>
      <c r="H709" s="12"/>
      <c r="I709" s="165"/>
      <c r="J709" s="166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spans="1:28" ht="14.25" customHeight="1">
      <c r="A710" s="13"/>
      <c r="B710" s="13"/>
      <c r="C710" s="13"/>
      <c r="D710" s="13"/>
      <c r="E710" s="13"/>
      <c r="F710" s="13"/>
      <c r="G710" s="13"/>
      <c r="H710" s="12"/>
      <c r="I710" s="165"/>
      <c r="J710" s="166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spans="1:28" ht="14.25" customHeight="1">
      <c r="A711" s="13"/>
      <c r="B711" s="13"/>
      <c r="C711" s="13"/>
      <c r="D711" s="13"/>
      <c r="E711" s="13"/>
      <c r="F711" s="13"/>
      <c r="G711" s="13"/>
      <c r="H711" s="12"/>
      <c r="I711" s="165"/>
      <c r="J711" s="166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spans="1:28" ht="14.25" customHeight="1">
      <c r="A712" s="13"/>
      <c r="B712" s="13"/>
      <c r="C712" s="13"/>
      <c r="D712" s="13"/>
      <c r="E712" s="13"/>
      <c r="F712" s="13"/>
      <c r="G712" s="13"/>
      <c r="H712" s="12"/>
      <c r="I712" s="165"/>
      <c r="J712" s="166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spans="1:28" ht="14.25" customHeight="1">
      <c r="A713" s="13"/>
      <c r="B713" s="13"/>
      <c r="C713" s="13"/>
      <c r="D713" s="13"/>
      <c r="E713" s="13"/>
      <c r="F713" s="13"/>
      <c r="G713" s="13"/>
      <c r="H713" s="12"/>
      <c r="I713" s="165"/>
      <c r="J713" s="166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spans="1:28" ht="14.25" customHeight="1">
      <c r="A714" s="13"/>
      <c r="B714" s="13"/>
      <c r="C714" s="13"/>
      <c r="D714" s="13"/>
      <c r="E714" s="13"/>
      <c r="F714" s="13"/>
      <c r="G714" s="13"/>
      <c r="H714" s="12"/>
      <c r="I714" s="165"/>
      <c r="J714" s="166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spans="1:28" ht="14.25" customHeight="1">
      <c r="A715" s="13"/>
      <c r="B715" s="13"/>
      <c r="C715" s="13"/>
      <c r="D715" s="13"/>
      <c r="E715" s="13"/>
      <c r="F715" s="13"/>
      <c r="G715" s="13"/>
      <c r="H715" s="12"/>
      <c r="I715" s="165"/>
      <c r="J715" s="166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spans="1:28" ht="14.25" customHeight="1">
      <c r="A716" s="13"/>
      <c r="B716" s="13"/>
      <c r="C716" s="13"/>
      <c r="D716" s="13"/>
      <c r="E716" s="13"/>
      <c r="F716" s="13"/>
      <c r="G716" s="13"/>
      <c r="H716" s="12"/>
      <c r="I716" s="165"/>
      <c r="J716" s="166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spans="1:28" ht="14.25" customHeight="1">
      <c r="A717" s="13"/>
      <c r="B717" s="13"/>
      <c r="C717" s="13"/>
      <c r="D717" s="13"/>
      <c r="E717" s="13"/>
      <c r="F717" s="13"/>
      <c r="G717" s="13"/>
      <c r="H717" s="12"/>
      <c r="I717" s="165"/>
      <c r="J717" s="166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spans="1:28" ht="14.25" customHeight="1">
      <c r="A718" s="13"/>
      <c r="B718" s="13"/>
      <c r="C718" s="13"/>
      <c r="D718" s="13"/>
      <c r="E718" s="13"/>
      <c r="F718" s="13"/>
      <c r="G718" s="13"/>
      <c r="H718" s="12"/>
      <c r="I718" s="165"/>
      <c r="J718" s="166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spans="1:28" ht="14.25" customHeight="1">
      <c r="A719" s="13"/>
      <c r="B719" s="13"/>
      <c r="C719" s="13"/>
      <c r="D719" s="13"/>
      <c r="E719" s="13"/>
      <c r="F719" s="13"/>
      <c r="G719" s="13"/>
      <c r="H719" s="12"/>
      <c r="I719" s="165"/>
      <c r="J719" s="166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spans="1:28" ht="14.25" customHeight="1">
      <c r="A720" s="13"/>
      <c r="B720" s="13"/>
      <c r="C720" s="13"/>
      <c r="D720" s="13"/>
      <c r="E720" s="13"/>
      <c r="F720" s="13"/>
      <c r="G720" s="13"/>
      <c r="H720" s="12"/>
      <c r="I720" s="165"/>
      <c r="J720" s="166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spans="1:28" ht="14.25" customHeight="1">
      <c r="A721" s="13"/>
      <c r="B721" s="13"/>
      <c r="C721" s="13"/>
      <c r="D721" s="13"/>
      <c r="E721" s="13"/>
      <c r="F721" s="13"/>
      <c r="G721" s="13"/>
      <c r="H721" s="12"/>
      <c r="I721" s="165"/>
      <c r="J721" s="166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spans="1:28" ht="14.25" customHeight="1">
      <c r="A722" s="13"/>
      <c r="B722" s="13"/>
      <c r="C722" s="13"/>
      <c r="D722" s="13"/>
      <c r="E722" s="13"/>
      <c r="F722" s="13"/>
      <c r="G722" s="13"/>
      <c r="H722" s="12"/>
      <c r="I722" s="165"/>
      <c r="J722" s="166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spans="1:28" ht="14.25" customHeight="1">
      <c r="A723" s="13"/>
      <c r="B723" s="13"/>
      <c r="C723" s="13"/>
      <c r="D723" s="13"/>
      <c r="E723" s="13"/>
      <c r="F723" s="13"/>
      <c r="G723" s="13"/>
      <c r="H723" s="12"/>
      <c r="I723" s="165"/>
      <c r="J723" s="166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spans="1:28" ht="14.25" customHeight="1">
      <c r="A724" s="13"/>
      <c r="B724" s="13"/>
      <c r="C724" s="13"/>
      <c r="D724" s="13"/>
      <c r="E724" s="13"/>
      <c r="F724" s="13"/>
      <c r="G724" s="13"/>
      <c r="H724" s="12"/>
      <c r="I724" s="165"/>
      <c r="J724" s="166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spans="1:28" ht="14.25" customHeight="1">
      <c r="A725" s="13"/>
      <c r="B725" s="13"/>
      <c r="C725" s="13"/>
      <c r="D725" s="13"/>
      <c r="E725" s="13"/>
      <c r="F725" s="13"/>
      <c r="G725" s="13"/>
      <c r="H725" s="12"/>
      <c r="I725" s="165"/>
      <c r="J725" s="166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spans="1:28" ht="14.25" customHeight="1">
      <c r="A726" s="13"/>
      <c r="B726" s="13"/>
      <c r="C726" s="13"/>
      <c r="D726" s="13"/>
      <c r="E726" s="13"/>
      <c r="F726" s="13"/>
      <c r="G726" s="13"/>
      <c r="H726" s="12"/>
      <c r="I726" s="165"/>
      <c r="J726" s="166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spans="1:28" ht="14.25" customHeight="1">
      <c r="A727" s="13"/>
      <c r="B727" s="13"/>
      <c r="C727" s="13"/>
      <c r="D727" s="13"/>
      <c r="E727" s="13"/>
      <c r="F727" s="13"/>
      <c r="G727" s="13"/>
      <c r="H727" s="12"/>
      <c r="I727" s="165"/>
      <c r="J727" s="166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spans="1:28" ht="14.25" customHeight="1">
      <c r="A728" s="13"/>
      <c r="B728" s="13"/>
      <c r="C728" s="13"/>
      <c r="D728" s="13"/>
      <c r="E728" s="13"/>
      <c r="F728" s="13"/>
      <c r="G728" s="13"/>
      <c r="H728" s="12"/>
      <c r="I728" s="165"/>
      <c r="J728" s="166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spans="1:28" ht="14.25" customHeight="1">
      <c r="A729" s="13"/>
      <c r="B729" s="13"/>
      <c r="C729" s="13"/>
      <c r="D729" s="13"/>
      <c r="E729" s="13"/>
      <c r="F729" s="13"/>
      <c r="G729" s="13"/>
      <c r="H729" s="12"/>
      <c r="I729" s="165"/>
      <c r="J729" s="166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spans="1:28" ht="14.25" customHeight="1">
      <c r="A730" s="13"/>
      <c r="B730" s="13"/>
      <c r="C730" s="13"/>
      <c r="D730" s="13"/>
      <c r="E730" s="13"/>
      <c r="F730" s="13"/>
      <c r="G730" s="13"/>
      <c r="H730" s="12"/>
      <c r="I730" s="165"/>
      <c r="J730" s="166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spans="1:28" ht="14.25" customHeight="1">
      <c r="A731" s="13"/>
      <c r="B731" s="13"/>
      <c r="C731" s="13"/>
      <c r="D731" s="13"/>
      <c r="E731" s="13"/>
      <c r="F731" s="13"/>
      <c r="G731" s="13"/>
      <c r="H731" s="12"/>
      <c r="I731" s="165"/>
      <c r="J731" s="166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spans="1:28" ht="14.25" customHeight="1">
      <c r="A732" s="13"/>
      <c r="B732" s="13"/>
      <c r="C732" s="13"/>
      <c r="D732" s="13"/>
      <c r="E732" s="13"/>
      <c r="F732" s="13"/>
      <c r="G732" s="13"/>
      <c r="H732" s="12"/>
      <c r="I732" s="165"/>
      <c r="J732" s="166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spans="1:28" ht="14.25" customHeight="1">
      <c r="A733" s="13"/>
      <c r="B733" s="13"/>
      <c r="C733" s="13"/>
      <c r="D733" s="13"/>
      <c r="E733" s="13"/>
      <c r="F733" s="13"/>
      <c r="G733" s="13"/>
      <c r="H733" s="12"/>
      <c r="I733" s="165"/>
      <c r="J733" s="166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spans="1:28" ht="14.25" customHeight="1">
      <c r="A734" s="13"/>
      <c r="B734" s="13"/>
      <c r="C734" s="13"/>
      <c r="D734" s="13"/>
      <c r="E734" s="13"/>
      <c r="F734" s="13"/>
      <c r="G734" s="13"/>
      <c r="H734" s="12"/>
      <c r="I734" s="165"/>
      <c r="J734" s="166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spans="1:28" ht="14.25" customHeight="1">
      <c r="A735" s="13"/>
      <c r="B735" s="13"/>
      <c r="C735" s="13"/>
      <c r="D735" s="13"/>
      <c r="E735" s="13"/>
      <c r="F735" s="13"/>
      <c r="G735" s="13"/>
      <c r="H735" s="12"/>
      <c r="I735" s="165"/>
      <c r="J735" s="166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spans="1:28" ht="14.25" customHeight="1">
      <c r="A736" s="13"/>
      <c r="B736" s="13"/>
      <c r="C736" s="13"/>
      <c r="D736" s="13"/>
      <c r="E736" s="13"/>
      <c r="F736" s="13"/>
      <c r="G736" s="13"/>
      <c r="H736" s="12"/>
      <c r="I736" s="165"/>
      <c r="J736" s="166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spans="1:28" ht="14.25" customHeight="1">
      <c r="A737" s="13"/>
      <c r="B737" s="13"/>
      <c r="C737" s="13"/>
      <c r="D737" s="13"/>
      <c r="E737" s="13"/>
      <c r="F737" s="13"/>
      <c r="G737" s="13"/>
      <c r="H737" s="12"/>
      <c r="I737" s="165"/>
      <c r="J737" s="166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spans="1:28" ht="14.25" customHeight="1">
      <c r="A738" s="13"/>
      <c r="B738" s="13"/>
      <c r="C738" s="13"/>
      <c r="D738" s="13"/>
      <c r="E738" s="13"/>
      <c r="F738" s="13"/>
      <c r="G738" s="13"/>
      <c r="H738" s="12"/>
      <c r="I738" s="165"/>
      <c r="J738" s="166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spans="1:28" ht="14.25" customHeight="1">
      <c r="A739" s="13"/>
      <c r="B739" s="13"/>
      <c r="C739" s="13"/>
      <c r="D739" s="13"/>
      <c r="E739" s="13"/>
      <c r="F739" s="13"/>
      <c r="G739" s="13"/>
      <c r="H739" s="12"/>
      <c r="I739" s="165"/>
      <c r="J739" s="166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spans="1:28" ht="14.25" customHeight="1">
      <c r="A740" s="13"/>
      <c r="B740" s="13"/>
      <c r="C740" s="13"/>
      <c r="D740" s="13"/>
      <c r="E740" s="13"/>
      <c r="F740" s="13"/>
      <c r="G740" s="13"/>
      <c r="H740" s="12"/>
      <c r="I740" s="165"/>
      <c r="J740" s="166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spans="1:28" ht="14.25" customHeight="1">
      <c r="A741" s="13"/>
      <c r="B741" s="13"/>
      <c r="C741" s="13"/>
      <c r="D741" s="13"/>
      <c r="E741" s="13"/>
      <c r="F741" s="13"/>
      <c r="G741" s="13"/>
      <c r="H741" s="12"/>
      <c r="I741" s="165"/>
      <c r="J741" s="166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spans="1:28" ht="14.25" customHeight="1">
      <c r="A742" s="13"/>
      <c r="B742" s="13"/>
      <c r="C742" s="13"/>
      <c r="D742" s="13"/>
      <c r="E742" s="13"/>
      <c r="F742" s="13"/>
      <c r="G742" s="13"/>
      <c r="H742" s="12"/>
      <c r="I742" s="165"/>
      <c r="J742" s="166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spans="1:28" ht="14.25" customHeight="1">
      <c r="A743" s="13"/>
      <c r="B743" s="13"/>
      <c r="C743" s="13"/>
      <c r="D743" s="13"/>
      <c r="E743" s="13"/>
      <c r="F743" s="13"/>
      <c r="G743" s="13"/>
      <c r="H743" s="12"/>
      <c r="I743" s="165"/>
      <c r="J743" s="166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spans="1:28" ht="14.25" customHeight="1">
      <c r="A744" s="13"/>
      <c r="B744" s="13"/>
      <c r="C744" s="13"/>
      <c r="D744" s="13"/>
      <c r="E744" s="13"/>
      <c r="F744" s="13"/>
      <c r="G744" s="13"/>
      <c r="H744" s="12"/>
      <c r="I744" s="165"/>
      <c r="J744" s="166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spans="1:28" ht="14.25" customHeight="1">
      <c r="A745" s="13"/>
      <c r="B745" s="13"/>
      <c r="C745" s="13"/>
      <c r="D745" s="13"/>
      <c r="E745" s="13"/>
      <c r="F745" s="13"/>
      <c r="G745" s="13"/>
      <c r="H745" s="12"/>
      <c r="I745" s="165"/>
      <c r="J745" s="166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spans="1:28" ht="14.25" customHeight="1">
      <c r="A746" s="13"/>
      <c r="B746" s="13"/>
      <c r="C746" s="13"/>
      <c r="D746" s="13"/>
      <c r="E746" s="13"/>
      <c r="F746" s="13"/>
      <c r="G746" s="13"/>
      <c r="H746" s="12"/>
      <c r="I746" s="165"/>
      <c r="J746" s="166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spans="1:28" ht="14.25" customHeight="1">
      <c r="A747" s="13"/>
      <c r="B747" s="13"/>
      <c r="C747" s="13"/>
      <c r="D747" s="13"/>
      <c r="E747" s="13"/>
      <c r="F747" s="13"/>
      <c r="G747" s="13"/>
      <c r="H747" s="12"/>
      <c r="I747" s="165"/>
      <c r="J747" s="166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spans="1:28" ht="14.25" customHeight="1">
      <c r="A748" s="13"/>
      <c r="B748" s="13"/>
      <c r="C748" s="13"/>
      <c r="D748" s="13"/>
      <c r="E748" s="13"/>
      <c r="F748" s="13"/>
      <c r="G748" s="13"/>
      <c r="H748" s="12"/>
      <c r="I748" s="165"/>
      <c r="J748" s="166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spans="1:28" ht="14.25" customHeight="1">
      <c r="A749" s="13"/>
      <c r="B749" s="13"/>
      <c r="C749" s="13"/>
      <c r="D749" s="13"/>
      <c r="E749" s="13"/>
      <c r="F749" s="13"/>
      <c r="G749" s="13"/>
      <c r="H749" s="12"/>
      <c r="I749" s="165"/>
      <c r="J749" s="166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spans="1:28" ht="14.25" customHeight="1">
      <c r="A750" s="13"/>
      <c r="B750" s="13"/>
      <c r="C750" s="13"/>
      <c r="D750" s="13"/>
      <c r="E750" s="13"/>
      <c r="F750" s="13"/>
      <c r="G750" s="13"/>
      <c r="H750" s="12"/>
      <c r="I750" s="165"/>
      <c r="J750" s="166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spans="1:28" ht="14.25" customHeight="1">
      <c r="A751" s="13"/>
      <c r="B751" s="13"/>
      <c r="C751" s="13"/>
      <c r="D751" s="13"/>
      <c r="E751" s="13"/>
      <c r="F751" s="13"/>
      <c r="G751" s="13"/>
      <c r="H751" s="12"/>
      <c r="I751" s="165"/>
      <c r="J751" s="166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spans="1:28" ht="14.25" customHeight="1">
      <c r="A752" s="13"/>
      <c r="B752" s="13"/>
      <c r="C752" s="13"/>
      <c r="D752" s="13"/>
      <c r="E752" s="13"/>
      <c r="F752" s="13"/>
      <c r="G752" s="13"/>
      <c r="H752" s="12"/>
      <c r="I752" s="165"/>
      <c r="J752" s="166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spans="1:28" ht="14.25" customHeight="1">
      <c r="A753" s="13"/>
      <c r="B753" s="13"/>
      <c r="C753" s="13"/>
      <c r="D753" s="13"/>
      <c r="E753" s="13"/>
      <c r="F753" s="13"/>
      <c r="G753" s="13"/>
      <c r="H753" s="12"/>
      <c r="I753" s="165"/>
      <c r="J753" s="166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spans="1:28" ht="14.25" customHeight="1">
      <c r="A754" s="13"/>
      <c r="B754" s="13"/>
      <c r="C754" s="13"/>
      <c r="D754" s="13"/>
      <c r="E754" s="13"/>
      <c r="F754" s="13"/>
      <c r="G754" s="13"/>
      <c r="H754" s="12"/>
      <c r="I754" s="165"/>
      <c r="J754" s="166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spans="1:28" ht="14.25" customHeight="1">
      <c r="A755" s="13"/>
      <c r="B755" s="13"/>
      <c r="C755" s="13"/>
      <c r="D755" s="13"/>
      <c r="E755" s="13"/>
      <c r="F755" s="13"/>
      <c r="G755" s="13"/>
      <c r="H755" s="12"/>
      <c r="I755" s="165"/>
      <c r="J755" s="166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spans="1:28" ht="14.25" customHeight="1">
      <c r="A756" s="13"/>
      <c r="B756" s="13"/>
      <c r="C756" s="13"/>
      <c r="D756" s="13"/>
      <c r="E756" s="13"/>
      <c r="F756" s="13"/>
      <c r="G756" s="13"/>
      <c r="H756" s="12"/>
      <c r="I756" s="165"/>
      <c r="J756" s="166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spans="1:28" ht="14.25" customHeight="1">
      <c r="A757" s="13"/>
      <c r="B757" s="13"/>
      <c r="C757" s="13"/>
      <c r="D757" s="13"/>
      <c r="E757" s="13"/>
      <c r="F757" s="13"/>
      <c r="G757" s="13"/>
      <c r="H757" s="12"/>
      <c r="I757" s="165"/>
      <c r="J757" s="166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spans="1:28" ht="14.25" customHeight="1">
      <c r="A758" s="13"/>
      <c r="B758" s="13"/>
      <c r="C758" s="13"/>
      <c r="D758" s="13"/>
      <c r="E758" s="13"/>
      <c r="F758" s="13"/>
      <c r="G758" s="13"/>
      <c r="H758" s="12"/>
      <c r="I758" s="165"/>
      <c r="J758" s="166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spans="1:28" ht="14.25" customHeight="1">
      <c r="A759" s="13"/>
      <c r="B759" s="13"/>
      <c r="C759" s="13"/>
      <c r="D759" s="13"/>
      <c r="E759" s="13"/>
      <c r="F759" s="13"/>
      <c r="G759" s="13"/>
      <c r="H759" s="12"/>
      <c r="I759" s="165"/>
      <c r="J759" s="166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spans="1:28" ht="14.25" customHeight="1">
      <c r="A760" s="13"/>
      <c r="B760" s="13"/>
      <c r="C760" s="13"/>
      <c r="D760" s="13"/>
      <c r="E760" s="13"/>
      <c r="F760" s="13"/>
      <c r="G760" s="13"/>
      <c r="H760" s="12"/>
      <c r="I760" s="165"/>
      <c r="J760" s="166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spans="1:28" ht="14.25" customHeight="1">
      <c r="A761" s="13"/>
      <c r="B761" s="13"/>
      <c r="C761" s="13"/>
      <c r="D761" s="13"/>
      <c r="E761" s="13"/>
      <c r="F761" s="13"/>
      <c r="G761" s="13"/>
      <c r="H761" s="12"/>
      <c r="I761" s="165"/>
      <c r="J761" s="166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spans="1:28" ht="14.25" customHeight="1">
      <c r="A762" s="13"/>
      <c r="B762" s="13"/>
      <c r="C762" s="13"/>
      <c r="D762" s="13"/>
      <c r="E762" s="13"/>
      <c r="F762" s="13"/>
      <c r="G762" s="13"/>
      <c r="H762" s="12"/>
      <c r="I762" s="165"/>
      <c r="J762" s="166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spans="1:28" ht="14.25" customHeight="1">
      <c r="A763" s="13"/>
      <c r="B763" s="13"/>
      <c r="C763" s="13"/>
      <c r="D763" s="13"/>
      <c r="E763" s="13"/>
      <c r="F763" s="13"/>
      <c r="G763" s="13"/>
      <c r="H763" s="12"/>
      <c r="I763" s="165"/>
      <c r="J763" s="166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spans="1:28" ht="14.25" customHeight="1">
      <c r="A764" s="13"/>
      <c r="B764" s="13"/>
      <c r="C764" s="13"/>
      <c r="D764" s="13"/>
      <c r="E764" s="13"/>
      <c r="F764" s="13"/>
      <c r="G764" s="13"/>
      <c r="H764" s="12"/>
      <c r="I764" s="165"/>
      <c r="J764" s="166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spans="1:28" ht="14.25" customHeight="1">
      <c r="A765" s="13"/>
      <c r="B765" s="13"/>
      <c r="C765" s="13"/>
      <c r="D765" s="13"/>
      <c r="E765" s="13"/>
      <c r="F765" s="13"/>
      <c r="G765" s="13"/>
      <c r="H765" s="12"/>
      <c r="I765" s="165"/>
      <c r="J765" s="166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spans="1:28" ht="14.25" customHeight="1">
      <c r="A766" s="13"/>
      <c r="B766" s="13"/>
      <c r="C766" s="13"/>
      <c r="D766" s="13"/>
      <c r="E766" s="13"/>
      <c r="F766" s="13"/>
      <c r="G766" s="13"/>
      <c r="H766" s="12"/>
      <c r="I766" s="165"/>
      <c r="J766" s="166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spans="1:28" ht="14.25" customHeight="1">
      <c r="A767" s="13"/>
      <c r="B767" s="13"/>
      <c r="C767" s="13"/>
      <c r="D767" s="13"/>
      <c r="E767" s="13"/>
      <c r="F767" s="13"/>
      <c r="G767" s="13"/>
      <c r="H767" s="12"/>
      <c r="I767" s="165"/>
      <c r="J767" s="166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spans="1:28" ht="14.25" customHeight="1">
      <c r="A768" s="13"/>
      <c r="B768" s="13"/>
      <c r="C768" s="13"/>
      <c r="D768" s="13"/>
      <c r="E768" s="13"/>
      <c r="F768" s="13"/>
      <c r="G768" s="13"/>
      <c r="H768" s="12"/>
      <c r="I768" s="165"/>
      <c r="J768" s="166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spans="1:28" ht="14.25" customHeight="1">
      <c r="A769" s="13"/>
      <c r="B769" s="13"/>
      <c r="C769" s="13"/>
      <c r="D769" s="13"/>
      <c r="E769" s="13"/>
      <c r="F769" s="13"/>
      <c r="G769" s="13"/>
      <c r="H769" s="12"/>
      <c r="I769" s="165"/>
      <c r="J769" s="166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spans="1:28" ht="14.25" customHeight="1">
      <c r="A770" s="13"/>
      <c r="B770" s="13"/>
      <c r="C770" s="13"/>
      <c r="D770" s="13"/>
      <c r="E770" s="13"/>
      <c r="F770" s="13"/>
      <c r="G770" s="13"/>
      <c r="H770" s="12"/>
      <c r="I770" s="165"/>
      <c r="J770" s="166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spans="1:28" ht="14.25" customHeight="1">
      <c r="A771" s="13"/>
      <c r="B771" s="13"/>
      <c r="C771" s="13"/>
      <c r="D771" s="13"/>
      <c r="E771" s="13"/>
      <c r="F771" s="13"/>
      <c r="G771" s="13"/>
      <c r="H771" s="12"/>
      <c r="I771" s="165"/>
      <c r="J771" s="166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spans="1:28" ht="14.25" customHeight="1">
      <c r="A772" s="13"/>
      <c r="B772" s="13"/>
      <c r="C772" s="13"/>
      <c r="D772" s="13"/>
      <c r="E772" s="13"/>
      <c r="F772" s="13"/>
      <c r="G772" s="13"/>
      <c r="H772" s="12"/>
      <c r="I772" s="165"/>
      <c r="J772" s="166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spans="1:28" ht="14.25" customHeight="1">
      <c r="A773" s="13"/>
      <c r="B773" s="13"/>
      <c r="C773" s="13"/>
      <c r="D773" s="13"/>
      <c r="E773" s="13"/>
      <c r="F773" s="13"/>
      <c r="G773" s="13"/>
      <c r="H773" s="12"/>
      <c r="I773" s="165"/>
      <c r="J773" s="166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spans="1:28" ht="14.25" customHeight="1">
      <c r="A774" s="13"/>
      <c r="B774" s="13"/>
      <c r="C774" s="13"/>
      <c r="D774" s="13"/>
      <c r="E774" s="13"/>
      <c r="F774" s="13"/>
      <c r="G774" s="13"/>
      <c r="H774" s="12"/>
      <c r="I774" s="165"/>
      <c r="J774" s="166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spans="1:28" ht="14.25" customHeight="1">
      <c r="A775" s="13"/>
      <c r="B775" s="13"/>
      <c r="C775" s="13"/>
      <c r="D775" s="13"/>
      <c r="E775" s="13"/>
      <c r="F775" s="13"/>
      <c r="G775" s="13"/>
      <c r="H775" s="12"/>
      <c r="I775" s="165"/>
      <c r="J775" s="166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spans="1:28" ht="14.25" customHeight="1">
      <c r="A776" s="13"/>
      <c r="B776" s="13"/>
      <c r="C776" s="13"/>
      <c r="D776" s="13"/>
      <c r="E776" s="13"/>
      <c r="F776" s="13"/>
      <c r="G776" s="13"/>
      <c r="H776" s="12"/>
      <c r="I776" s="165"/>
      <c r="J776" s="166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spans="1:28" ht="14.25" customHeight="1">
      <c r="A777" s="13"/>
      <c r="B777" s="13"/>
      <c r="C777" s="13"/>
      <c r="D777" s="13"/>
      <c r="E777" s="13"/>
      <c r="F777" s="13"/>
      <c r="G777" s="13"/>
      <c r="H777" s="12"/>
      <c r="I777" s="165"/>
      <c r="J777" s="166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spans="1:28" ht="14.25" customHeight="1">
      <c r="A778" s="13"/>
      <c r="B778" s="13"/>
      <c r="C778" s="13"/>
      <c r="D778" s="13"/>
      <c r="E778" s="13"/>
      <c r="F778" s="13"/>
      <c r="G778" s="13"/>
      <c r="H778" s="12"/>
      <c r="I778" s="165"/>
      <c r="J778" s="166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spans="1:28" ht="14.25" customHeight="1">
      <c r="A779" s="13"/>
      <c r="B779" s="13"/>
      <c r="C779" s="13"/>
      <c r="D779" s="13"/>
      <c r="E779" s="13"/>
      <c r="F779" s="13"/>
      <c r="G779" s="13"/>
      <c r="H779" s="12"/>
      <c r="I779" s="165"/>
      <c r="J779" s="166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spans="1:28" ht="14.25" customHeight="1">
      <c r="A780" s="13"/>
      <c r="B780" s="13"/>
      <c r="C780" s="13"/>
      <c r="D780" s="13"/>
      <c r="E780" s="13"/>
      <c r="F780" s="13"/>
      <c r="G780" s="13"/>
      <c r="H780" s="12"/>
      <c r="I780" s="165"/>
      <c r="J780" s="166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spans="1:28" ht="14.25" customHeight="1">
      <c r="A781" s="13"/>
      <c r="B781" s="13"/>
      <c r="C781" s="13"/>
      <c r="D781" s="13"/>
      <c r="E781" s="13"/>
      <c r="F781" s="13"/>
      <c r="G781" s="13"/>
      <c r="H781" s="12"/>
      <c r="I781" s="165"/>
      <c r="J781" s="166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spans="1:28" ht="14.25" customHeight="1">
      <c r="A782" s="13"/>
      <c r="B782" s="13"/>
      <c r="C782" s="13"/>
      <c r="D782" s="13"/>
      <c r="E782" s="13"/>
      <c r="F782" s="13"/>
      <c r="G782" s="13"/>
      <c r="H782" s="12"/>
      <c r="I782" s="165"/>
      <c r="J782" s="166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spans="1:28" ht="14.25" customHeight="1">
      <c r="A783" s="13"/>
      <c r="B783" s="13"/>
      <c r="C783" s="13"/>
      <c r="D783" s="13"/>
      <c r="E783" s="13"/>
      <c r="F783" s="13"/>
      <c r="G783" s="13"/>
      <c r="H783" s="12"/>
      <c r="I783" s="165"/>
      <c r="J783" s="166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spans="1:28" ht="14.25" customHeight="1">
      <c r="A784" s="13"/>
      <c r="B784" s="13"/>
      <c r="C784" s="13"/>
      <c r="D784" s="13"/>
      <c r="E784" s="13"/>
      <c r="F784" s="13"/>
      <c r="G784" s="13"/>
      <c r="H784" s="12"/>
      <c r="I784" s="165"/>
      <c r="J784" s="166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spans="1:28" ht="14.25" customHeight="1">
      <c r="A785" s="13"/>
      <c r="B785" s="13"/>
      <c r="C785" s="13"/>
      <c r="D785" s="13"/>
      <c r="E785" s="13"/>
      <c r="F785" s="13"/>
      <c r="G785" s="13"/>
      <c r="H785" s="12"/>
      <c r="I785" s="165"/>
      <c r="J785" s="166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spans="1:28" ht="14.25" customHeight="1">
      <c r="A786" s="13"/>
      <c r="B786" s="13"/>
      <c r="C786" s="13"/>
      <c r="D786" s="13"/>
      <c r="E786" s="13"/>
      <c r="F786" s="13"/>
      <c r="G786" s="13"/>
      <c r="H786" s="12"/>
      <c r="I786" s="165"/>
      <c r="J786" s="166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spans="1:28" ht="14.25" customHeight="1">
      <c r="A787" s="13"/>
      <c r="B787" s="13"/>
      <c r="C787" s="13"/>
      <c r="D787" s="13"/>
      <c r="E787" s="13"/>
      <c r="F787" s="13"/>
      <c r="G787" s="13"/>
      <c r="H787" s="12"/>
      <c r="I787" s="165"/>
      <c r="J787" s="166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spans="1:28" ht="14.25" customHeight="1">
      <c r="A788" s="13"/>
      <c r="B788" s="13"/>
      <c r="C788" s="13"/>
      <c r="D788" s="13"/>
      <c r="E788" s="13"/>
      <c r="F788" s="13"/>
      <c r="G788" s="13"/>
      <c r="H788" s="12"/>
      <c r="I788" s="165"/>
      <c r="J788" s="166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spans="1:28" ht="14.25" customHeight="1">
      <c r="A789" s="13"/>
      <c r="B789" s="13"/>
      <c r="C789" s="13"/>
      <c r="D789" s="13"/>
      <c r="E789" s="13"/>
      <c r="F789" s="13"/>
      <c r="G789" s="13"/>
      <c r="H789" s="12"/>
      <c r="I789" s="165"/>
      <c r="J789" s="166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spans="1:28" ht="14.25" customHeight="1">
      <c r="A790" s="13"/>
      <c r="B790" s="13"/>
      <c r="C790" s="13"/>
      <c r="D790" s="13"/>
      <c r="E790" s="13"/>
      <c r="F790" s="13"/>
      <c r="G790" s="13"/>
      <c r="H790" s="12"/>
      <c r="I790" s="165"/>
      <c r="J790" s="166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spans="1:28" ht="14.25" customHeight="1">
      <c r="A791" s="13"/>
      <c r="B791" s="13"/>
      <c r="C791" s="13"/>
      <c r="D791" s="13"/>
      <c r="E791" s="13"/>
      <c r="F791" s="13"/>
      <c r="G791" s="13"/>
      <c r="H791" s="12"/>
      <c r="I791" s="165"/>
      <c r="J791" s="166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spans="1:28" ht="14.25" customHeight="1">
      <c r="A792" s="13"/>
      <c r="B792" s="13"/>
      <c r="C792" s="13"/>
      <c r="D792" s="13"/>
      <c r="E792" s="13"/>
      <c r="F792" s="13"/>
      <c r="G792" s="13"/>
      <c r="H792" s="12"/>
      <c r="I792" s="165"/>
      <c r="J792" s="166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spans="1:28" ht="14.25" customHeight="1">
      <c r="A793" s="13"/>
      <c r="B793" s="13"/>
      <c r="C793" s="13"/>
      <c r="D793" s="13"/>
      <c r="E793" s="13"/>
      <c r="F793" s="13"/>
      <c r="G793" s="13"/>
      <c r="H793" s="12"/>
      <c r="I793" s="165"/>
      <c r="J793" s="166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spans="1:28" ht="14.25" customHeight="1">
      <c r="A794" s="13"/>
      <c r="B794" s="13"/>
      <c r="C794" s="13"/>
      <c r="D794" s="13"/>
      <c r="E794" s="13"/>
      <c r="F794" s="13"/>
      <c r="G794" s="13"/>
      <c r="H794" s="12"/>
      <c r="I794" s="165"/>
      <c r="J794" s="166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spans="1:28" ht="14.25" customHeight="1">
      <c r="A795" s="13"/>
      <c r="B795" s="13"/>
      <c r="C795" s="13"/>
      <c r="D795" s="13"/>
      <c r="E795" s="13"/>
      <c r="F795" s="13"/>
      <c r="G795" s="13"/>
      <c r="H795" s="12"/>
      <c r="I795" s="165"/>
      <c r="J795" s="166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spans="1:28" ht="14.25" customHeight="1">
      <c r="A796" s="13"/>
      <c r="B796" s="13"/>
      <c r="C796" s="13"/>
      <c r="D796" s="13"/>
      <c r="E796" s="13"/>
      <c r="F796" s="13"/>
      <c r="G796" s="13"/>
      <c r="H796" s="12"/>
      <c r="I796" s="165"/>
      <c r="J796" s="166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spans="1:28" ht="14.25" customHeight="1">
      <c r="A797" s="13"/>
      <c r="B797" s="13"/>
      <c r="C797" s="13"/>
      <c r="D797" s="13"/>
      <c r="E797" s="13"/>
      <c r="F797" s="13"/>
      <c r="G797" s="13"/>
      <c r="H797" s="12"/>
      <c r="I797" s="165"/>
      <c r="J797" s="166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spans="1:28" ht="14.25" customHeight="1">
      <c r="A798" s="13"/>
      <c r="B798" s="13"/>
      <c r="C798" s="13"/>
      <c r="D798" s="13"/>
      <c r="E798" s="13"/>
      <c r="F798" s="13"/>
      <c r="G798" s="13"/>
      <c r="H798" s="12"/>
      <c r="I798" s="165"/>
      <c r="J798" s="166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spans="1:28" ht="14.25" customHeight="1">
      <c r="A799" s="13"/>
      <c r="B799" s="13"/>
      <c r="C799" s="13"/>
      <c r="D799" s="13"/>
      <c r="E799" s="13"/>
      <c r="F799" s="13"/>
      <c r="G799" s="13"/>
      <c r="H799" s="12"/>
      <c r="I799" s="165"/>
      <c r="J799" s="166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spans="1:28" ht="14.25" customHeight="1">
      <c r="A800" s="13"/>
      <c r="B800" s="13"/>
      <c r="C800" s="13"/>
      <c r="D800" s="13"/>
      <c r="E800" s="13"/>
      <c r="F800" s="13"/>
      <c r="G800" s="13"/>
      <c r="H800" s="12"/>
      <c r="I800" s="165"/>
      <c r="J800" s="166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spans="1:28" ht="14.25" customHeight="1">
      <c r="A801" s="13"/>
      <c r="B801" s="13"/>
      <c r="C801" s="13"/>
      <c r="D801" s="13"/>
      <c r="E801" s="13"/>
      <c r="F801" s="13"/>
      <c r="G801" s="13"/>
      <c r="H801" s="12"/>
      <c r="I801" s="165"/>
      <c r="J801" s="166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spans="1:28" ht="14.25" customHeight="1">
      <c r="A802" s="13"/>
      <c r="B802" s="13"/>
      <c r="C802" s="13"/>
      <c r="D802" s="13"/>
      <c r="E802" s="13"/>
      <c r="F802" s="13"/>
      <c r="G802" s="13"/>
      <c r="H802" s="12"/>
      <c r="I802" s="165"/>
      <c r="J802" s="166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spans="1:28" ht="14.25" customHeight="1">
      <c r="A803" s="13"/>
      <c r="B803" s="13"/>
      <c r="C803" s="13"/>
      <c r="D803" s="13"/>
      <c r="E803" s="13"/>
      <c r="F803" s="13"/>
      <c r="G803" s="13"/>
      <c r="H803" s="12"/>
      <c r="I803" s="165"/>
      <c r="J803" s="166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spans="1:28" ht="14.25" customHeight="1">
      <c r="A804" s="13"/>
      <c r="B804" s="13"/>
      <c r="C804" s="13"/>
      <c r="D804" s="13"/>
      <c r="E804" s="13"/>
      <c r="F804" s="13"/>
      <c r="G804" s="13"/>
      <c r="H804" s="12"/>
      <c r="I804" s="165"/>
      <c r="J804" s="166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spans="1:28" ht="14.25" customHeight="1">
      <c r="A805" s="13"/>
      <c r="B805" s="13"/>
      <c r="C805" s="13"/>
      <c r="D805" s="13"/>
      <c r="E805" s="13"/>
      <c r="F805" s="13"/>
      <c r="G805" s="13"/>
      <c r="H805" s="12"/>
      <c r="I805" s="165"/>
      <c r="J805" s="166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spans="1:28" ht="14.25" customHeight="1">
      <c r="A806" s="13"/>
      <c r="B806" s="13"/>
      <c r="C806" s="13"/>
      <c r="D806" s="13"/>
      <c r="E806" s="13"/>
      <c r="F806" s="13"/>
      <c r="G806" s="13"/>
      <c r="H806" s="12"/>
      <c r="I806" s="165"/>
      <c r="J806" s="166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spans="1:28" ht="14.25" customHeight="1">
      <c r="A807" s="13"/>
      <c r="B807" s="13"/>
      <c r="C807" s="13"/>
      <c r="D807" s="13"/>
      <c r="E807" s="13"/>
      <c r="F807" s="13"/>
      <c r="G807" s="13"/>
      <c r="H807" s="12"/>
      <c r="I807" s="165"/>
      <c r="J807" s="166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spans="1:28" ht="14.25" customHeight="1">
      <c r="A808" s="13"/>
      <c r="B808" s="13"/>
      <c r="C808" s="13"/>
      <c r="D808" s="13"/>
      <c r="E808" s="13"/>
      <c r="F808" s="13"/>
      <c r="G808" s="13"/>
      <c r="H808" s="12"/>
      <c r="I808" s="165"/>
      <c r="J808" s="166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spans="1:28" ht="14.25" customHeight="1">
      <c r="A809" s="13"/>
      <c r="B809" s="13"/>
      <c r="C809" s="13"/>
      <c r="D809" s="13"/>
      <c r="E809" s="13"/>
      <c r="F809" s="13"/>
      <c r="G809" s="13"/>
      <c r="H809" s="12"/>
      <c r="I809" s="165"/>
      <c r="J809" s="166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spans="1:28" ht="14.25" customHeight="1">
      <c r="A810" s="13"/>
      <c r="B810" s="13"/>
      <c r="C810" s="13"/>
      <c r="D810" s="13"/>
      <c r="E810" s="13"/>
      <c r="F810" s="13"/>
      <c r="G810" s="13"/>
      <c r="H810" s="12"/>
      <c r="I810" s="165"/>
      <c r="J810" s="166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spans="1:28" ht="14.25" customHeight="1">
      <c r="A811" s="13"/>
      <c r="B811" s="13"/>
      <c r="C811" s="13"/>
      <c r="D811" s="13"/>
      <c r="E811" s="13"/>
      <c r="F811" s="13"/>
      <c r="G811" s="13"/>
      <c r="H811" s="12"/>
      <c r="I811" s="165"/>
      <c r="J811" s="166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spans="1:28" ht="14.25" customHeight="1">
      <c r="A812" s="13"/>
      <c r="B812" s="13"/>
      <c r="C812" s="13"/>
      <c r="D812" s="13"/>
      <c r="E812" s="13"/>
      <c r="F812" s="13"/>
      <c r="G812" s="13"/>
      <c r="H812" s="12"/>
      <c r="I812" s="165"/>
      <c r="J812" s="166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spans="1:28" ht="14.25" customHeight="1">
      <c r="A813" s="13"/>
      <c r="B813" s="13"/>
      <c r="C813" s="13"/>
      <c r="D813" s="13"/>
      <c r="E813" s="13"/>
      <c r="F813" s="13"/>
      <c r="G813" s="13"/>
      <c r="H813" s="12"/>
      <c r="I813" s="165"/>
      <c r="J813" s="166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spans="1:28" ht="14.25" customHeight="1">
      <c r="A814" s="13"/>
      <c r="B814" s="13"/>
      <c r="C814" s="13"/>
      <c r="D814" s="13"/>
      <c r="E814" s="13"/>
      <c r="F814" s="13"/>
      <c r="G814" s="13"/>
      <c r="H814" s="12"/>
      <c r="I814" s="165"/>
      <c r="J814" s="166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spans="1:28" ht="14.25" customHeight="1">
      <c r="A815" s="13"/>
      <c r="B815" s="13"/>
      <c r="C815" s="13"/>
      <c r="D815" s="13"/>
      <c r="E815" s="13"/>
      <c r="F815" s="13"/>
      <c r="G815" s="13"/>
      <c r="H815" s="12"/>
      <c r="I815" s="165"/>
      <c r="J815" s="166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spans="1:28" ht="14.25" customHeight="1">
      <c r="A816" s="13"/>
      <c r="B816" s="13"/>
      <c r="C816" s="13"/>
      <c r="D816" s="13"/>
      <c r="E816" s="13"/>
      <c r="F816" s="13"/>
      <c r="G816" s="13"/>
      <c r="H816" s="12"/>
      <c r="I816" s="165"/>
      <c r="J816" s="166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spans="1:28" ht="14.25" customHeight="1">
      <c r="A817" s="13"/>
      <c r="B817" s="13"/>
      <c r="C817" s="13"/>
      <c r="D817" s="13"/>
      <c r="E817" s="13"/>
      <c r="F817" s="13"/>
      <c r="G817" s="13"/>
      <c r="H817" s="12"/>
      <c r="I817" s="165"/>
      <c r="J817" s="166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spans="1:28" ht="14.25" customHeight="1">
      <c r="A818" s="13"/>
      <c r="B818" s="13"/>
      <c r="C818" s="13"/>
      <c r="D818" s="13"/>
      <c r="E818" s="13"/>
      <c r="F818" s="13"/>
      <c r="G818" s="13"/>
      <c r="H818" s="12"/>
      <c r="I818" s="165"/>
      <c r="J818" s="166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spans="1:28" ht="14.25" customHeight="1">
      <c r="A819" s="13"/>
      <c r="B819" s="13"/>
      <c r="C819" s="13"/>
      <c r="D819" s="13"/>
      <c r="E819" s="13"/>
      <c r="F819" s="13"/>
      <c r="G819" s="13"/>
      <c r="H819" s="12"/>
      <c r="I819" s="165"/>
      <c r="J819" s="166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spans="1:28" ht="14.25" customHeight="1">
      <c r="A820" s="13"/>
      <c r="B820" s="13"/>
      <c r="C820" s="13"/>
      <c r="D820" s="13"/>
      <c r="E820" s="13"/>
      <c r="F820" s="13"/>
      <c r="G820" s="13"/>
      <c r="H820" s="12"/>
      <c r="I820" s="165"/>
      <c r="J820" s="166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spans="1:28" ht="14.25" customHeight="1">
      <c r="A821" s="13"/>
      <c r="B821" s="13"/>
      <c r="C821" s="13"/>
      <c r="D821" s="13"/>
      <c r="E821" s="13"/>
      <c r="F821" s="13"/>
      <c r="G821" s="13"/>
      <c r="H821" s="12"/>
      <c r="I821" s="165"/>
      <c r="J821" s="166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spans="1:28" ht="14.25" customHeight="1">
      <c r="A822" s="13"/>
      <c r="B822" s="13"/>
      <c r="C822" s="13"/>
      <c r="D822" s="13"/>
      <c r="E822" s="13"/>
      <c r="F822" s="13"/>
      <c r="G822" s="13"/>
      <c r="H822" s="12"/>
      <c r="I822" s="165"/>
      <c r="J822" s="166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spans="1:28" ht="14.25" customHeight="1">
      <c r="A823" s="13"/>
      <c r="B823" s="13"/>
      <c r="C823" s="13"/>
      <c r="D823" s="13"/>
      <c r="E823" s="13"/>
      <c r="F823" s="13"/>
      <c r="G823" s="13"/>
      <c r="H823" s="12"/>
      <c r="I823" s="165"/>
      <c r="J823" s="166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spans="1:28" ht="14.25" customHeight="1">
      <c r="A824" s="13"/>
      <c r="B824" s="13"/>
      <c r="C824" s="13"/>
      <c r="D824" s="13"/>
      <c r="E824" s="13"/>
      <c r="F824" s="13"/>
      <c r="G824" s="13"/>
      <c r="H824" s="12"/>
      <c r="I824" s="165"/>
      <c r="J824" s="166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spans="1:28" ht="14.25" customHeight="1">
      <c r="A825" s="13"/>
      <c r="B825" s="13"/>
      <c r="C825" s="13"/>
      <c r="D825" s="13"/>
      <c r="E825" s="13"/>
      <c r="F825" s="13"/>
      <c r="G825" s="13"/>
      <c r="H825" s="12"/>
      <c r="I825" s="165"/>
      <c r="J825" s="166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spans="1:28" ht="14.25" customHeight="1">
      <c r="A826" s="13"/>
      <c r="B826" s="13"/>
      <c r="C826" s="13"/>
      <c r="D826" s="13"/>
      <c r="E826" s="13"/>
      <c r="F826" s="13"/>
      <c r="G826" s="13"/>
      <c r="H826" s="12"/>
      <c r="I826" s="165"/>
      <c r="J826" s="166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spans="1:28" ht="14.25" customHeight="1">
      <c r="A827" s="13"/>
      <c r="B827" s="13"/>
      <c r="C827" s="13"/>
      <c r="D827" s="13"/>
      <c r="E827" s="13"/>
      <c r="F827" s="13"/>
      <c r="G827" s="13"/>
      <c r="H827" s="12"/>
      <c r="I827" s="165"/>
      <c r="J827" s="166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spans="1:28" ht="14.25" customHeight="1">
      <c r="A828" s="13"/>
      <c r="B828" s="13"/>
      <c r="C828" s="13"/>
      <c r="D828" s="13"/>
      <c r="E828" s="13"/>
      <c r="F828" s="13"/>
      <c r="G828" s="13"/>
      <c r="H828" s="12"/>
      <c r="I828" s="165"/>
      <c r="J828" s="166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spans="1:28" ht="14.25" customHeight="1">
      <c r="A829" s="13"/>
      <c r="B829" s="13"/>
      <c r="C829" s="13"/>
      <c r="D829" s="13"/>
      <c r="E829" s="13"/>
      <c r="F829" s="13"/>
      <c r="G829" s="13"/>
      <c r="H829" s="12"/>
      <c r="I829" s="165"/>
      <c r="J829" s="166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spans="1:28" ht="14.25" customHeight="1">
      <c r="A830" s="13"/>
      <c r="B830" s="13"/>
      <c r="C830" s="13"/>
      <c r="D830" s="13"/>
      <c r="E830" s="13"/>
      <c r="F830" s="13"/>
      <c r="G830" s="13"/>
      <c r="H830" s="12"/>
      <c r="I830" s="165"/>
      <c r="J830" s="166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spans="1:28" ht="14.25" customHeight="1">
      <c r="A831" s="13"/>
      <c r="B831" s="13"/>
      <c r="C831" s="13"/>
      <c r="D831" s="13"/>
      <c r="E831" s="13"/>
      <c r="F831" s="13"/>
      <c r="G831" s="13"/>
      <c r="H831" s="12"/>
      <c r="I831" s="165"/>
      <c r="J831" s="166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spans="1:28" ht="14.25" customHeight="1">
      <c r="A832" s="13"/>
      <c r="B832" s="13"/>
      <c r="C832" s="13"/>
      <c r="D832" s="13"/>
      <c r="E832" s="13"/>
      <c r="F832" s="13"/>
      <c r="G832" s="13"/>
      <c r="H832" s="12"/>
      <c r="I832" s="165"/>
      <c r="J832" s="166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spans="1:28" ht="14.25" customHeight="1">
      <c r="A833" s="13"/>
      <c r="B833" s="13"/>
      <c r="C833" s="13"/>
      <c r="D833" s="13"/>
      <c r="E833" s="13"/>
      <c r="F833" s="13"/>
      <c r="G833" s="13"/>
      <c r="H833" s="12"/>
      <c r="I833" s="165"/>
      <c r="J833" s="166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spans="1:28" ht="14.25" customHeight="1">
      <c r="A834" s="13"/>
      <c r="B834" s="13"/>
      <c r="C834" s="13"/>
      <c r="D834" s="13"/>
      <c r="E834" s="13"/>
      <c r="F834" s="13"/>
      <c r="G834" s="13"/>
      <c r="H834" s="12"/>
      <c r="I834" s="165"/>
      <c r="J834" s="166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spans="1:28" ht="14.25" customHeight="1">
      <c r="A835" s="13"/>
      <c r="B835" s="13"/>
      <c r="C835" s="13"/>
      <c r="D835" s="13"/>
      <c r="E835" s="13"/>
      <c r="F835" s="13"/>
      <c r="G835" s="13"/>
      <c r="H835" s="12"/>
      <c r="I835" s="165"/>
      <c r="J835" s="166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spans="1:28" ht="14.25" customHeight="1">
      <c r="A836" s="13"/>
      <c r="B836" s="13"/>
      <c r="C836" s="13"/>
      <c r="D836" s="13"/>
      <c r="E836" s="13"/>
      <c r="F836" s="13"/>
      <c r="G836" s="13"/>
      <c r="H836" s="12"/>
      <c r="I836" s="165"/>
      <c r="J836" s="166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spans="1:28" ht="14.25" customHeight="1">
      <c r="A837" s="13"/>
      <c r="B837" s="13"/>
      <c r="C837" s="13"/>
      <c r="D837" s="13"/>
      <c r="E837" s="13"/>
      <c r="F837" s="13"/>
      <c r="G837" s="13"/>
      <c r="H837" s="12"/>
      <c r="I837" s="165"/>
      <c r="J837" s="166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spans="1:28" ht="14.25" customHeight="1">
      <c r="A838" s="13"/>
      <c r="B838" s="13"/>
      <c r="C838" s="13"/>
      <c r="D838" s="13"/>
      <c r="E838" s="13"/>
      <c r="F838" s="13"/>
      <c r="G838" s="13"/>
      <c r="H838" s="12"/>
      <c r="I838" s="165"/>
      <c r="J838" s="166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spans="1:28" ht="14.25" customHeight="1">
      <c r="A839" s="13"/>
      <c r="B839" s="13"/>
      <c r="C839" s="13"/>
      <c r="D839" s="13"/>
      <c r="E839" s="13"/>
      <c r="F839" s="13"/>
      <c r="G839" s="13"/>
      <c r="H839" s="12"/>
      <c r="I839" s="165"/>
      <c r="J839" s="166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spans="1:28" ht="14.25" customHeight="1">
      <c r="A840" s="13"/>
      <c r="B840" s="13"/>
      <c r="C840" s="13"/>
      <c r="D840" s="13"/>
      <c r="E840" s="13"/>
      <c r="F840" s="13"/>
      <c r="G840" s="13"/>
      <c r="H840" s="12"/>
      <c r="I840" s="165"/>
      <c r="J840" s="166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spans="1:28" ht="14.25" customHeight="1">
      <c r="A841" s="13"/>
      <c r="B841" s="13"/>
      <c r="C841" s="13"/>
      <c r="D841" s="13"/>
      <c r="E841" s="13"/>
      <c r="F841" s="13"/>
      <c r="G841" s="13"/>
      <c r="H841" s="12"/>
      <c r="I841" s="165"/>
      <c r="J841" s="166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spans="1:28" ht="14.25" customHeight="1">
      <c r="A842" s="13"/>
      <c r="B842" s="13"/>
      <c r="C842" s="13"/>
      <c r="D842" s="13"/>
      <c r="E842" s="13"/>
      <c r="F842" s="13"/>
      <c r="G842" s="13"/>
      <c r="H842" s="12"/>
      <c r="I842" s="165"/>
      <c r="J842" s="166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spans="1:28" ht="14.25" customHeight="1">
      <c r="A843" s="13"/>
      <c r="B843" s="13"/>
      <c r="C843" s="13"/>
      <c r="D843" s="13"/>
      <c r="E843" s="13"/>
      <c r="F843" s="13"/>
      <c r="G843" s="13"/>
      <c r="H843" s="12"/>
      <c r="I843" s="165"/>
      <c r="J843" s="166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spans="1:28" ht="14.25" customHeight="1">
      <c r="A844" s="13"/>
      <c r="B844" s="13"/>
      <c r="C844" s="13"/>
      <c r="D844" s="13"/>
      <c r="E844" s="13"/>
      <c r="F844" s="13"/>
      <c r="G844" s="13"/>
      <c r="H844" s="12"/>
      <c r="I844" s="165"/>
      <c r="J844" s="166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spans="1:28" ht="14.25" customHeight="1">
      <c r="A845" s="13"/>
      <c r="B845" s="13"/>
      <c r="C845" s="13"/>
      <c r="D845" s="13"/>
      <c r="E845" s="13"/>
      <c r="F845" s="13"/>
      <c r="G845" s="13"/>
      <c r="H845" s="12"/>
      <c r="I845" s="165"/>
      <c r="J845" s="166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spans="1:28" ht="14.25" customHeight="1">
      <c r="A846" s="13"/>
      <c r="B846" s="13"/>
      <c r="C846" s="13"/>
      <c r="D846" s="13"/>
      <c r="E846" s="13"/>
      <c r="F846" s="13"/>
      <c r="G846" s="13"/>
      <c r="H846" s="12"/>
      <c r="I846" s="165"/>
      <c r="J846" s="166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spans="1:28" ht="14.25" customHeight="1">
      <c r="A847" s="13"/>
      <c r="B847" s="13"/>
      <c r="C847" s="13"/>
      <c r="D847" s="13"/>
      <c r="E847" s="13"/>
      <c r="F847" s="13"/>
      <c r="G847" s="13"/>
      <c r="H847" s="12"/>
      <c r="I847" s="165"/>
      <c r="J847" s="166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spans="1:28" ht="14.25" customHeight="1">
      <c r="A848" s="13"/>
      <c r="B848" s="13"/>
      <c r="C848" s="13"/>
      <c r="D848" s="13"/>
      <c r="E848" s="13"/>
      <c r="F848" s="13"/>
      <c r="G848" s="13"/>
      <c r="H848" s="12"/>
      <c r="I848" s="165"/>
      <c r="J848" s="166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spans="1:28" ht="14.25" customHeight="1">
      <c r="A849" s="13"/>
      <c r="B849" s="13"/>
      <c r="C849" s="13"/>
      <c r="D849" s="13"/>
      <c r="E849" s="13"/>
      <c r="F849" s="13"/>
      <c r="G849" s="13"/>
      <c r="H849" s="12"/>
      <c r="I849" s="165"/>
      <c r="J849" s="166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spans="1:28" ht="14.25" customHeight="1">
      <c r="A850" s="13"/>
      <c r="B850" s="13"/>
      <c r="C850" s="13"/>
      <c r="D850" s="13"/>
      <c r="E850" s="13"/>
      <c r="F850" s="13"/>
      <c r="G850" s="13"/>
      <c r="H850" s="12"/>
      <c r="I850" s="165"/>
      <c r="J850" s="166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spans="1:28" ht="14.25" customHeight="1">
      <c r="A851" s="13"/>
      <c r="B851" s="13"/>
      <c r="C851" s="13"/>
      <c r="D851" s="13"/>
      <c r="E851" s="13"/>
      <c r="F851" s="13"/>
      <c r="G851" s="13"/>
      <c r="H851" s="12"/>
      <c r="I851" s="165"/>
      <c r="J851" s="166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spans="1:28" ht="14.25" customHeight="1">
      <c r="A852" s="13"/>
      <c r="B852" s="13"/>
      <c r="C852" s="13"/>
      <c r="D852" s="13"/>
      <c r="E852" s="13"/>
      <c r="F852" s="13"/>
      <c r="G852" s="13"/>
      <c r="H852" s="12"/>
      <c r="I852" s="165"/>
      <c r="J852" s="166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spans="1:28" ht="14.25" customHeight="1">
      <c r="A853" s="13"/>
      <c r="B853" s="13"/>
      <c r="C853" s="13"/>
      <c r="D853" s="13"/>
      <c r="E853" s="13"/>
      <c r="F853" s="13"/>
      <c r="G853" s="13"/>
      <c r="H853" s="12"/>
      <c r="I853" s="165"/>
      <c r="J853" s="166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spans="1:28" ht="14.25" customHeight="1">
      <c r="A854" s="13"/>
      <c r="B854" s="13"/>
      <c r="C854" s="13"/>
      <c r="D854" s="13"/>
      <c r="E854" s="13"/>
      <c r="F854" s="13"/>
      <c r="G854" s="13"/>
      <c r="H854" s="12"/>
      <c r="I854" s="165"/>
      <c r="J854" s="166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spans="1:28" ht="14.25" customHeight="1">
      <c r="A855" s="13"/>
      <c r="B855" s="13"/>
      <c r="C855" s="13"/>
      <c r="D855" s="13"/>
      <c r="E855" s="13"/>
      <c r="F855" s="13"/>
      <c r="G855" s="13"/>
      <c r="H855" s="12"/>
      <c r="I855" s="165"/>
      <c r="J855" s="166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spans="1:28" ht="14.25" customHeight="1">
      <c r="A856" s="13"/>
      <c r="B856" s="13"/>
      <c r="C856" s="13"/>
      <c r="D856" s="13"/>
      <c r="E856" s="13"/>
      <c r="F856" s="13"/>
      <c r="G856" s="13"/>
      <c r="H856" s="12"/>
      <c r="I856" s="165"/>
      <c r="J856" s="166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spans="1:28" ht="14.25" customHeight="1">
      <c r="A857" s="13"/>
      <c r="B857" s="13"/>
      <c r="C857" s="13"/>
      <c r="D857" s="13"/>
      <c r="E857" s="13"/>
      <c r="F857" s="13"/>
      <c r="G857" s="13"/>
      <c r="H857" s="12"/>
      <c r="I857" s="165"/>
      <c r="J857" s="166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spans="1:28" ht="14.25" customHeight="1">
      <c r="A858" s="13"/>
      <c r="B858" s="13"/>
      <c r="C858" s="13"/>
      <c r="D858" s="13"/>
      <c r="E858" s="13"/>
      <c r="F858" s="13"/>
      <c r="G858" s="13"/>
      <c r="H858" s="12"/>
      <c r="I858" s="165"/>
      <c r="J858" s="166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spans="1:28" ht="14.25" customHeight="1">
      <c r="A859" s="13"/>
      <c r="B859" s="13"/>
      <c r="C859" s="13"/>
      <c r="D859" s="13"/>
      <c r="E859" s="13"/>
      <c r="F859" s="13"/>
      <c r="G859" s="13"/>
      <c r="H859" s="12"/>
      <c r="I859" s="165"/>
      <c r="J859" s="166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spans="1:28" ht="14.25" customHeight="1">
      <c r="A860" s="13"/>
      <c r="B860" s="13"/>
      <c r="C860" s="13"/>
      <c r="D860" s="13"/>
      <c r="E860" s="13"/>
      <c r="F860" s="13"/>
      <c r="G860" s="13"/>
      <c r="H860" s="12"/>
      <c r="I860" s="165"/>
      <c r="J860" s="166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spans="1:28" ht="14.25" customHeight="1">
      <c r="A861" s="13"/>
      <c r="B861" s="13"/>
      <c r="C861" s="13"/>
      <c r="D861" s="13"/>
      <c r="E861" s="13"/>
      <c r="F861" s="13"/>
      <c r="G861" s="13"/>
      <c r="H861" s="12"/>
      <c r="I861" s="165"/>
      <c r="J861" s="166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spans="1:28" ht="14.25" customHeight="1">
      <c r="A862" s="13"/>
      <c r="B862" s="13"/>
      <c r="C862" s="13"/>
      <c r="D862" s="13"/>
      <c r="E862" s="13"/>
      <c r="F862" s="13"/>
      <c r="G862" s="13"/>
      <c r="H862" s="12"/>
      <c r="I862" s="165"/>
      <c r="J862" s="166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spans="1:28" ht="14.25" customHeight="1">
      <c r="A863" s="13"/>
      <c r="B863" s="13"/>
      <c r="C863" s="13"/>
      <c r="D863" s="13"/>
      <c r="E863" s="13"/>
      <c r="F863" s="13"/>
      <c r="G863" s="13"/>
      <c r="H863" s="12"/>
      <c r="I863" s="165"/>
      <c r="J863" s="166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spans="1:28" ht="14.25" customHeight="1">
      <c r="A864" s="13"/>
      <c r="B864" s="13"/>
      <c r="C864" s="13"/>
      <c r="D864" s="13"/>
      <c r="E864" s="13"/>
      <c r="F864" s="13"/>
      <c r="G864" s="13"/>
      <c r="H864" s="12"/>
      <c r="I864" s="165"/>
      <c r="J864" s="166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spans="1:28" ht="14.25" customHeight="1">
      <c r="A865" s="13"/>
      <c r="B865" s="13"/>
      <c r="C865" s="13"/>
      <c r="D865" s="13"/>
      <c r="E865" s="13"/>
      <c r="F865" s="13"/>
      <c r="G865" s="13"/>
      <c r="H865" s="12"/>
      <c r="I865" s="165"/>
      <c r="J865" s="166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spans="1:28" ht="14.25" customHeight="1">
      <c r="A866" s="13"/>
      <c r="B866" s="13"/>
      <c r="C866" s="13"/>
      <c r="D866" s="13"/>
      <c r="E866" s="13"/>
      <c r="F866" s="13"/>
      <c r="G866" s="13"/>
      <c r="H866" s="12"/>
      <c r="I866" s="165"/>
      <c r="J866" s="166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spans="1:28" ht="14.25" customHeight="1">
      <c r="A867" s="13"/>
      <c r="B867" s="13"/>
      <c r="C867" s="13"/>
      <c r="D867" s="13"/>
      <c r="E867" s="13"/>
      <c r="F867" s="13"/>
      <c r="G867" s="13"/>
      <c r="H867" s="12"/>
      <c r="I867" s="165"/>
      <c r="J867" s="166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spans="1:28" ht="14.25" customHeight="1">
      <c r="A868" s="13"/>
      <c r="B868" s="13"/>
      <c r="C868" s="13"/>
      <c r="D868" s="13"/>
      <c r="E868" s="13"/>
      <c r="F868" s="13"/>
      <c r="G868" s="13"/>
      <c r="H868" s="12"/>
      <c r="I868" s="165"/>
      <c r="J868" s="166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spans="1:28" ht="14.25" customHeight="1">
      <c r="A869" s="13"/>
      <c r="B869" s="13"/>
      <c r="C869" s="13"/>
      <c r="D869" s="13"/>
      <c r="E869" s="13"/>
      <c r="F869" s="13"/>
      <c r="G869" s="13"/>
      <c r="H869" s="12"/>
      <c r="I869" s="165"/>
      <c r="J869" s="166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spans="1:28" ht="14.25" customHeight="1">
      <c r="A870" s="13"/>
      <c r="B870" s="13"/>
      <c r="C870" s="13"/>
      <c r="D870" s="13"/>
      <c r="E870" s="13"/>
      <c r="F870" s="13"/>
      <c r="G870" s="13"/>
      <c r="H870" s="12"/>
      <c r="I870" s="165"/>
      <c r="J870" s="166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spans="1:28" ht="14.25" customHeight="1">
      <c r="A871" s="13"/>
      <c r="B871" s="13"/>
      <c r="C871" s="13"/>
      <c r="D871" s="13"/>
      <c r="E871" s="13"/>
      <c r="F871" s="13"/>
      <c r="G871" s="13"/>
      <c r="H871" s="12"/>
      <c r="I871" s="165"/>
      <c r="J871" s="166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spans="1:28" ht="14.25" customHeight="1">
      <c r="A872" s="13"/>
      <c r="B872" s="13"/>
      <c r="C872" s="13"/>
      <c r="D872" s="13"/>
      <c r="E872" s="13"/>
      <c r="F872" s="13"/>
      <c r="G872" s="13"/>
      <c r="H872" s="12"/>
      <c r="I872" s="165"/>
      <c r="J872" s="166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spans="1:28" ht="14.25" customHeight="1">
      <c r="A873" s="13"/>
      <c r="B873" s="13"/>
      <c r="C873" s="13"/>
      <c r="D873" s="13"/>
      <c r="E873" s="13"/>
      <c r="F873" s="13"/>
      <c r="G873" s="13"/>
      <c r="H873" s="12"/>
      <c r="I873" s="165"/>
      <c r="J873" s="166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spans="1:28" ht="14.25" customHeight="1">
      <c r="A874" s="13"/>
      <c r="B874" s="13"/>
      <c r="C874" s="13"/>
      <c r="D874" s="13"/>
      <c r="E874" s="13"/>
      <c r="F874" s="13"/>
      <c r="G874" s="13"/>
      <c r="H874" s="12"/>
      <c r="I874" s="165"/>
      <c r="J874" s="166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spans="1:28" ht="14.25" customHeight="1">
      <c r="A875" s="13"/>
      <c r="B875" s="13"/>
      <c r="C875" s="13"/>
      <c r="D875" s="13"/>
      <c r="E875" s="13"/>
      <c r="F875" s="13"/>
      <c r="G875" s="13"/>
      <c r="H875" s="12"/>
      <c r="I875" s="165"/>
      <c r="J875" s="166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spans="1:28" ht="14.25" customHeight="1">
      <c r="A876" s="13"/>
      <c r="B876" s="13"/>
      <c r="C876" s="13"/>
      <c r="D876" s="13"/>
      <c r="E876" s="13"/>
      <c r="F876" s="13"/>
      <c r="G876" s="13"/>
      <c r="H876" s="12"/>
      <c r="I876" s="165"/>
      <c r="J876" s="166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spans="1:28" ht="14.25" customHeight="1">
      <c r="A877" s="13"/>
      <c r="B877" s="13"/>
      <c r="C877" s="13"/>
      <c r="D877" s="13"/>
      <c r="E877" s="13"/>
      <c r="F877" s="13"/>
      <c r="G877" s="13"/>
      <c r="H877" s="12"/>
      <c r="I877" s="165"/>
      <c r="J877" s="166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spans="1:28" ht="14.25" customHeight="1">
      <c r="A878" s="13"/>
      <c r="B878" s="13"/>
      <c r="C878" s="13"/>
      <c r="D878" s="13"/>
      <c r="E878" s="13"/>
      <c r="F878" s="13"/>
      <c r="G878" s="13"/>
      <c r="H878" s="12"/>
      <c r="I878" s="165"/>
      <c r="J878" s="166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spans="1:28" ht="14.25" customHeight="1">
      <c r="A879" s="13"/>
      <c r="B879" s="13"/>
      <c r="C879" s="13"/>
      <c r="D879" s="13"/>
      <c r="E879" s="13"/>
      <c r="F879" s="13"/>
      <c r="G879" s="13"/>
      <c r="H879" s="12"/>
      <c r="I879" s="165"/>
      <c r="J879" s="166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spans="1:28" ht="14.25" customHeight="1">
      <c r="A880" s="13"/>
      <c r="B880" s="13"/>
      <c r="C880" s="13"/>
      <c r="D880" s="13"/>
      <c r="E880" s="13"/>
      <c r="F880" s="13"/>
      <c r="G880" s="13"/>
      <c r="H880" s="12"/>
      <c r="I880" s="165"/>
      <c r="J880" s="166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spans="1:28" ht="14.25" customHeight="1">
      <c r="A881" s="13"/>
      <c r="B881" s="13"/>
      <c r="C881" s="13"/>
      <c r="D881" s="13"/>
      <c r="E881" s="13"/>
      <c r="F881" s="13"/>
      <c r="G881" s="13"/>
      <c r="H881" s="12"/>
      <c r="I881" s="165"/>
      <c r="J881" s="166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spans="1:28" ht="14.25" customHeight="1">
      <c r="A882" s="13"/>
      <c r="B882" s="13"/>
      <c r="C882" s="13"/>
      <c r="D882" s="13"/>
      <c r="E882" s="13"/>
      <c r="F882" s="13"/>
      <c r="G882" s="13"/>
      <c r="H882" s="12"/>
      <c r="I882" s="165"/>
      <c r="J882" s="166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spans="1:28" ht="14.25" customHeight="1">
      <c r="A883" s="13"/>
      <c r="B883" s="13"/>
      <c r="C883" s="13"/>
      <c r="D883" s="13"/>
      <c r="E883" s="13"/>
      <c r="F883" s="13"/>
      <c r="G883" s="13"/>
      <c r="H883" s="12"/>
      <c r="I883" s="165"/>
      <c r="J883" s="166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spans="1:28" ht="14.25" customHeight="1">
      <c r="A884" s="13"/>
      <c r="B884" s="13"/>
      <c r="C884" s="13"/>
      <c r="D884" s="13"/>
      <c r="E884" s="13"/>
      <c r="F884" s="13"/>
      <c r="G884" s="13"/>
      <c r="H884" s="12"/>
      <c r="I884" s="165"/>
      <c r="J884" s="166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spans="1:28" ht="14.25" customHeight="1">
      <c r="A885" s="13"/>
      <c r="B885" s="13"/>
      <c r="C885" s="13"/>
      <c r="D885" s="13"/>
      <c r="E885" s="13"/>
      <c r="F885" s="13"/>
      <c r="G885" s="13"/>
      <c r="H885" s="12"/>
      <c r="I885" s="165"/>
      <c r="J885" s="166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spans="1:28" ht="14.25" customHeight="1">
      <c r="A886" s="13"/>
      <c r="B886" s="13"/>
      <c r="C886" s="13"/>
      <c r="D886" s="13"/>
      <c r="E886" s="13"/>
      <c r="F886" s="13"/>
      <c r="G886" s="13"/>
      <c r="H886" s="12"/>
      <c r="I886" s="165"/>
      <c r="J886" s="166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spans="1:28" ht="14.25" customHeight="1">
      <c r="A887" s="13"/>
      <c r="B887" s="13"/>
      <c r="C887" s="13"/>
      <c r="D887" s="13"/>
      <c r="E887" s="13"/>
      <c r="F887" s="13"/>
      <c r="G887" s="13"/>
      <c r="H887" s="12"/>
      <c r="I887" s="165"/>
      <c r="J887" s="166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spans="1:28" ht="14.25" customHeight="1">
      <c r="A888" s="13"/>
      <c r="B888" s="13"/>
      <c r="C888" s="13"/>
      <c r="D888" s="13"/>
      <c r="E888" s="13"/>
      <c r="F888" s="13"/>
      <c r="G888" s="13"/>
      <c r="H888" s="12"/>
      <c r="I888" s="165"/>
      <c r="J888" s="166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spans="1:28" ht="14.25" customHeight="1">
      <c r="A889" s="13"/>
      <c r="B889" s="13"/>
      <c r="C889" s="13"/>
      <c r="D889" s="13"/>
      <c r="E889" s="13"/>
      <c r="F889" s="13"/>
      <c r="G889" s="13"/>
      <c r="H889" s="12"/>
      <c r="I889" s="165"/>
      <c r="J889" s="166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spans="1:28" ht="14.25" customHeight="1">
      <c r="A890" s="13"/>
      <c r="B890" s="13"/>
      <c r="C890" s="13"/>
      <c r="D890" s="13"/>
      <c r="E890" s="13"/>
      <c r="F890" s="13"/>
      <c r="G890" s="13"/>
      <c r="H890" s="12"/>
      <c r="I890" s="165"/>
      <c r="J890" s="166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spans="1:28" ht="14.25" customHeight="1">
      <c r="A891" s="13"/>
      <c r="B891" s="13"/>
      <c r="C891" s="13"/>
      <c r="D891" s="13"/>
      <c r="E891" s="13"/>
      <c r="F891" s="13"/>
      <c r="G891" s="13"/>
      <c r="H891" s="12"/>
      <c r="I891" s="165"/>
      <c r="J891" s="166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spans="1:28" ht="14.25" customHeight="1">
      <c r="A892" s="13"/>
      <c r="B892" s="13"/>
      <c r="C892" s="13"/>
      <c r="D892" s="13"/>
      <c r="E892" s="13"/>
      <c r="F892" s="13"/>
      <c r="G892" s="13"/>
      <c r="H892" s="12"/>
      <c r="I892" s="165"/>
      <c r="J892" s="166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spans="1:28" ht="14.25" customHeight="1">
      <c r="A893" s="13"/>
      <c r="B893" s="13"/>
      <c r="C893" s="13"/>
      <c r="D893" s="13"/>
      <c r="E893" s="13"/>
      <c r="F893" s="13"/>
      <c r="G893" s="13"/>
      <c r="H893" s="12"/>
      <c r="I893" s="165"/>
      <c r="J893" s="166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spans="1:28" ht="14.25" customHeight="1">
      <c r="A894" s="13"/>
      <c r="B894" s="13"/>
      <c r="C894" s="13"/>
      <c r="D894" s="13"/>
      <c r="E894" s="13"/>
      <c r="F894" s="13"/>
      <c r="G894" s="13"/>
      <c r="H894" s="12"/>
      <c r="I894" s="165"/>
      <c r="J894" s="166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spans="1:28" ht="14.25" customHeight="1">
      <c r="A895" s="13"/>
      <c r="B895" s="13"/>
      <c r="C895" s="13"/>
      <c r="D895" s="13"/>
      <c r="E895" s="13"/>
      <c r="F895" s="13"/>
      <c r="G895" s="13"/>
      <c r="H895" s="12"/>
      <c r="I895" s="165"/>
      <c r="J895" s="166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spans="1:28" ht="14.25" customHeight="1">
      <c r="A896" s="13"/>
      <c r="B896" s="13"/>
      <c r="C896" s="13"/>
      <c r="D896" s="13"/>
      <c r="E896" s="13"/>
      <c r="F896" s="13"/>
      <c r="G896" s="13"/>
      <c r="H896" s="12"/>
      <c r="I896" s="165"/>
      <c r="J896" s="166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spans="1:28" ht="14.25" customHeight="1">
      <c r="A897" s="13"/>
      <c r="B897" s="13"/>
      <c r="C897" s="13"/>
      <c r="D897" s="13"/>
      <c r="E897" s="13"/>
      <c r="F897" s="13"/>
      <c r="G897" s="13"/>
      <c r="H897" s="12"/>
      <c r="I897" s="165"/>
      <c r="J897" s="166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spans="1:28" ht="14.25" customHeight="1">
      <c r="A898" s="13"/>
      <c r="B898" s="13"/>
      <c r="C898" s="13"/>
      <c r="D898" s="13"/>
      <c r="E898" s="13"/>
      <c r="F898" s="13"/>
      <c r="G898" s="13"/>
      <c r="H898" s="12"/>
      <c r="I898" s="165"/>
      <c r="J898" s="166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spans="1:28" ht="14.25" customHeight="1">
      <c r="A899" s="13"/>
      <c r="B899" s="13"/>
      <c r="C899" s="13"/>
      <c r="D899" s="13"/>
      <c r="E899" s="13"/>
      <c r="F899" s="13"/>
      <c r="G899" s="13"/>
      <c r="H899" s="12"/>
      <c r="I899" s="165"/>
      <c r="J899" s="166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spans="1:28" ht="14.25" customHeight="1">
      <c r="A900" s="13"/>
      <c r="B900" s="13"/>
      <c r="C900" s="13"/>
      <c r="D900" s="13"/>
      <c r="E900" s="13"/>
      <c r="F900" s="13"/>
      <c r="G900" s="13"/>
      <c r="H900" s="12"/>
      <c r="I900" s="165"/>
      <c r="J900" s="166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spans="1:28" ht="14.25" customHeight="1">
      <c r="A901" s="13"/>
      <c r="B901" s="13"/>
      <c r="C901" s="13"/>
      <c r="D901" s="13"/>
      <c r="E901" s="13"/>
      <c r="F901" s="13"/>
      <c r="G901" s="13"/>
      <c r="H901" s="12"/>
      <c r="I901" s="165"/>
      <c r="J901" s="166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spans="1:28" ht="14.25" customHeight="1">
      <c r="A902" s="13"/>
      <c r="B902" s="13"/>
      <c r="C902" s="13"/>
      <c r="D902" s="13"/>
      <c r="E902" s="13"/>
      <c r="F902" s="13"/>
      <c r="G902" s="13"/>
      <c r="H902" s="12"/>
      <c r="I902" s="165"/>
      <c r="J902" s="166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spans="1:28" ht="14.25" customHeight="1">
      <c r="A903" s="13"/>
      <c r="B903" s="13"/>
      <c r="C903" s="13"/>
      <c r="D903" s="13"/>
      <c r="E903" s="13"/>
      <c r="F903" s="13"/>
      <c r="G903" s="13"/>
      <c r="H903" s="12"/>
      <c r="I903" s="165"/>
      <c r="J903" s="166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spans="1:28" ht="14.25" customHeight="1">
      <c r="A904" s="13"/>
      <c r="B904" s="13"/>
      <c r="C904" s="13"/>
      <c r="D904" s="13"/>
      <c r="E904" s="13"/>
      <c r="F904" s="13"/>
      <c r="G904" s="13"/>
      <c r="H904" s="12"/>
      <c r="I904" s="165"/>
      <c r="J904" s="166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spans="1:28" ht="14.25" customHeight="1">
      <c r="A905" s="13"/>
      <c r="B905" s="13"/>
      <c r="C905" s="13"/>
      <c r="D905" s="13"/>
      <c r="E905" s="13"/>
      <c r="F905" s="13"/>
      <c r="G905" s="13"/>
      <c r="H905" s="12"/>
      <c r="I905" s="165"/>
      <c r="J905" s="166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spans="1:28" ht="14.25" customHeight="1">
      <c r="A906" s="13"/>
      <c r="B906" s="13"/>
      <c r="C906" s="13"/>
      <c r="D906" s="13"/>
      <c r="E906" s="13"/>
      <c r="F906" s="13"/>
      <c r="G906" s="13"/>
      <c r="H906" s="12"/>
      <c r="I906" s="165"/>
      <c r="J906" s="166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spans="1:28" ht="14.25" customHeight="1">
      <c r="A907" s="13"/>
      <c r="B907" s="13"/>
      <c r="C907" s="13"/>
      <c r="D907" s="13"/>
      <c r="E907" s="13"/>
      <c r="F907" s="13"/>
      <c r="G907" s="13"/>
      <c r="H907" s="12"/>
      <c r="I907" s="165"/>
      <c r="J907" s="166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spans="1:28" ht="14.25" customHeight="1">
      <c r="A908" s="13"/>
      <c r="B908" s="13"/>
      <c r="C908" s="13"/>
      <c r="D908" s="13"/>
      <c r="E908" s="13"/>
      <c r="F908" s="13"/>
      <c r="G908" s="13"/>
      <c r="H908" s="12"/>
      <c r="I908" s="165"/>
      <c r="J908" s="166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spans="1:28" ht="14.25" customHeight="1">
      <c r="A909" s="13"/>
      <c r="B909" s="13"/>
      <c r="C909" s="13"/>
      <c r="D909" s="13"/>
      <c r="E909" s="13"/>
      <c r="F909" s="13"/>
      <c r="G909" s="13"/>
      <c r="H909" s="12"/>
      <c r="I909" s="165"/>
      <c r="J909" s="166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spans="1:28" ht="14.25" customHeight="1">
      <c r="A910" s="13"/>
      <c r="B910" s="13"/>
      <c r="C910" s="13"/>
      <c r="D910" s="13"/>
      <c r="E910" s="13"/>
      <c r="F910" s="13"/>
      <c r="G910" s="13"/>
      <c r="H910" s="12"/>
      <c r="I910" s="165"/>
      <c r="J910" s="166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spans="1:28" ht="14.25" customHeight="1">
      <c r="A911" s="13"/>
      <c r="B911" s="13"/>
      <c r="C911" s="13"/>
      <c r="D911" s="13"/>
      <c r="E911" s="13"/>
      <c r="F911" s="13"/>
      <c r="G911" s="13"/>
      <c r="H911" s="12"/>
      <c r="I911" s="165"/>
      <c r="J911" s="166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spans="1:28" ht="14.25" customHeight="1">
      <c r="A912" s="13"/>
      <c r="B912" s="13"/>
      <c r="C912" s="13"/>
      <c r="D912" s="13"/>
      <c r="E912" s="13"/>
      <c r="F912" s="13"/>
      <c r="G912" s="13"/>
      <c r="H912" s="12"/>
      <c r="I912" s="165"/>
      <c r="J912" s="166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spans="1:28" ht="14.25" customHeight="1">
      <c r="A913" s="13"/>
      <c r="B913" s="13"/>
      <c r="C913" s="13"/>
      <c r="D913" s="13"/>
      <c r="E913" s="13"/>
      <c r="F913" s="13"/>
      <c r="G913" s="13"/>
      <c r="H913" s="12"/>
      <c r="I913" s="165"/>
      <c r="J913" s="166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spans="1:28" ht="14.25" customHeight="1">
      <c r="A914" s="13"/>
      <c r="B914" s="13"/>
      <c r="C914" s="13"/>
      <c r="D914" s="13"/>
      <c r="E914" s="13"/>
      <c r="F914" s="13"/>
      <c r="G914" s="13"/>
      <c r="H914" s="12"/>
      <c r="I914" s="165"/>
      <c r="J914" s="166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spans="1:28" ht="14.25" customHeight="1">
      <c r="A915" s="13"/>
      <c r="B915" s="13"/>
      <c r="C915" s="13"/>
      <c r="D915" s="13"/>
      <c r="E915" s="13"/>
      <c r="F915" s="13"/>
      <c r="G915" s="13"/>
      <c r="H915" s="12"/>
      <c r="I915" s="165"/>
      <c r="J915" s="166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spans="1:28" ht="14.25" customHeight="1">
      <c r="A916" s="13"/>
      <c r="B916" s="13"/>
      <c r="C916" s="13"/>
      <c r="D916" s="13"/>
      <c r="E916" s="13"/>
      <c r="F916" s="13"/>
      <c r="G916" s="13"/>
      <c r="H916" s="12"/>
      <c r="I916" s="165"/>
      <c r="J916" s="166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spans="1:28" ht="14.25" customHeight="1">
      <c r="A917" s="13"/>
      <c r="B917" s="13"/>
      <c r="C917" s="13"/>
      <c r="D917" s="13"/>
      <c r="E917" s="13"/>
      <c r="F917" s="13"/>
      <c r="G917" s="13"/>
      <c r="H917" s="12"/>
      <c r="I917" s="165"/>
      <c r="J917" s="166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spans="1:28" ht="14.25" customHeight="1">
      <c r="A918" s="13"/>
      <c r="B918" s="13"/>
      <c r="C918" s="13"/>
      <c r="D918" s="13"/>
      <c r="E918" s="13"/>
      <c r="F918" s="13"/>
      <c r="G918" s="13"/>
      <c r="H918" s="12"/>
      <c r="I918" s="165"/>
      <c r="J918" s="166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spans="1:28" ht="14.25" customHeight="1">
      <c r="A919" s="13"/>
      <c r="B919" s="13"/>
      <c r="C919" s="13"/>
      <c r="D919" s="13"/>
      <c r="E919" s="13"/>
      <c r="F919" s="13"/>
      <c r="G919" s="13"/>
      <c r="H919" s="12"/>
      <c r="I919" s="165"/>
      <c r="J919" s="166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spans="1:28" ht="14.25" customHeight="1">
      <c r="A920" s="13"/>
      <c r="B920" s="13"/>
      <c r="C920" s="13"/>
      <c r="D920" s="13"/>
      <c r="E920" s="13"/>
      <c r="F920" s="13"/>
      <c r="G920" s="13"/>
      <c r="H920" s="12"/>
      <c r="I920" s="165"/>
      <c r="J920" s="166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spans="1:28" ht="14.25" customHeight="1">
      <c r="A921" s="13"/>
      <c r="B921" s="13"/>
      <c r="C921" s="13"/>
      <c r="D921" s="13"/>
      <c r="E921" s="13"/>
      <c r="F921" s="13"/>
      <c r="G921" s="13"/>
      <c r="H921" s="12"/>
      <c r="I921" s="165"/>
      <c r="J921" s="166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spans="1:28" ht="14.25" customHeight="1">
      <c r="A922" s="13"/>
      <c r="B922" s="13"/>
      <c r="C922" s="13"/>
      <c r="D922" s="13"/>
      <c r="E922" s="13"/>
      <c r="F922" s="13"/>
      <c r="G922" s="13"/>
      <c r="H922" s="12"/>
      <c r="I922" s="165"/>
      <c r="J922" s="166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spans="1:28" ht="14.25" customHeight="1">
      <c r="A923" s="13"/>
      <c r="B923" s="13"/>
      <c r="C923" s="13"/>
      <c r="D923" s="13"/>
      <c r="E923" s="13"/>
      <c r="F923" s="13"/>
      <c r="G923" s="13"/>
      <c r="H923" s="12"/>
      <c r="I923" s="165"/>
      <c r="J923" s="166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spans="1:28" ht="14.25" customHeight="1">
      <c r="A924" s="13"/>
      <c r="B924" s="13"/>
      <c r="C924" s="13"/>
      <c r="D924" s="13"/>
      <c r="E924" s="13"/>
      <c r="F924" s="13"/>
      <c r="G924" s="13"/>
      <c r="H924" s="12"/>
      <c r="I924" s="165"/>
      <c r="J924" s="166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spans="1:28" ht="14.25" customHeight="1">
      <c r="A925" s="13"/>
      <c r="B925" s="13"/>
      <c r="C925" s="13"/>
      <c r="D925" s="13"/>
      <c r="E925" s="13"/>
      <c r="F925" s="13"/>
      <c r="G925" s="13"/>
      <c r="H925" s="12"/>
      <c r="I925" s="165"/>
      <c r="J925" s="166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spans="1:28" ht="14.25" customHeight="1">
      <c r="A926" s="13"/>
      <c r="B926" s="13"/>
      <c r="C926" s="13"/>
      <c r="D926" s="13"/>
      <c r="E926" s="13"/>
      <c r="F926" s="13"/>
      <c r="G926" s="13"/>
      <c r="H926" s="12"/>
      <c r="I926" s="165"/>
      <c r="J926" s="166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spans="1:28" ht="14.25" customHeight="1">
      <c r="A927" s="13"/>
      <c r="B927" s="13"/>
      <c r="C927" s="13"/>
      <c r="D927" s="13"/>
      <c r="E927" s="13"/>
      <c r="F927" s="13"/>
      <c r="G927" s="13"/>
      <c r="H927" s="12"/>
      <c r="I927" s="165"/>
      <c r="J927" s="166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spans="1:28" ht="14.25" customHeight="1">
      <c r="A928" s="13"/>
      <c r="B928" s="13"/>
      <c r="C928" s="13"/>
      <c r="D928" s="13"/>
      <c r="E928" s="13"/>
      <c r="F928" s="13"/>
      <c r="G928" s="13"/>
      <c r="H928" s="12"/>
      <c r="I928" s="165"/>
      <c r="J928" s="166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spans="1:28" ht="14.25" customHeight="1">
      <c r="A929" s="13"/>
      <c r="B929" s="13"/>
      <c r="C929" s="13"/>
      <c r="D929" s="13"/>
      <c r="E929" s="13"/>
      <c r="F929" s="13"/>
      <c r="G929" s="13"/>
      <c r="H929" s="12"/>
      <c r="I929" s="165"/>
      <c r="J929" s="166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spans="1:28" ht="14.25" customHeight="1">
      <c r="A930" s="13"/>
      <c r="B930" s="13"/>
      <c r="C930" s="13"/>
      <c r="D930" s="13"/>
      <c r="E930" s="13"/>
      <c r="F930" s="13"/>
      <c r="G930" s="13"/>
      <c r="H930" s="12"/>
      <c r="I930" s="165"/>
      <c r="J930" s="166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spans="1:28" ht="14.25" customHeight="1">
      <c r="A931" s="13"/>
      <c r="B931" s="13"/>
      <c r="C931" s="13"/>
      <c r="D931" s="13"/>
      <c r="E931" s="13"/>
      <c r="F931" s="13"/>
      <c r="G931" s="13"/>
      <c r="H931" s="12"/>
      <c r="I931" s="165"/>
      <c r="J931" s="166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spans="1:28" ht="14.25" customHeight="1">
      <c r="A932" s="13"/>
      <c r="B932" s="13"/>
      <c r="C932" s="13"/>
      <c r="D932" s="13"/>
      <c r="E932" s="13"/>
      <c r="F932" s="13"/>
      <c r="G932" s="13"/>
      <c r="H932" s="12"/>
      <c r="I932" s="165"/>
      <c r="J932" s="166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spans="1:28" ht="14.25" customHeight="1">
      <c r="A933" s="13"/>
      <c r="B933" s="13"/>
      <c r="C933" s="13"/>
      <c r="D933" s="13"/>
      <c r="E933" s="13"/>
      <c r="F933" s="13"/>
      <c r="G933" s="13"/>
      <c r="H933" s="12"/>
      <c r="I933" s="165"/>
      <c r="J933" s="166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spans="1:28" ht="14.25" customHeight="1">
      <c r="A934" s="13"/>
      <c r="B934" s="13"/>
      <c r="C934" s="13"/>
      <c r="D934" s="13"/>
      <c r="E934" s="13"/>
      <c r="F934" s="13"/>
      <c r="G934" s="13"/>
      <c r="H934" s="12"/>
      <c r="I934" s="165"/>
      <c r="J934" s="166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spans="1:28" ht="14.25" customHeight="1">
      <c r="A935" s="13"/>
      <c r="B935" s="13"/>
      <c r="C935" s="13"/>
      <c r="D935" s="13"/>
      <c r="E935" s="13"/>
      <c r="F935" s="13"/>
      <c r="G935" s="13"/>
      <c r="H935" s="12"/>
      <c r="I935" s="165"/>
      <c r="J935" s="166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spans="1:28" ht="14.25" customHeight="1">
      <c r="A936" s="13"/>
      <c r="B936" s="13"/>
      <c r="C936" s="13"/>
      <c r="D936" s="13"/>
      <c r="E936" s="13"/>
      <c r="F936" s="13"/>
      <c r="G936" s="13"/>
      <c r="H936" s="12"/>
      <c r="I936" s="165"/>
      <c r="J936" s="166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spans="1:28" ht="14.25" customHeight="1">
      <c r="A937" s="13"/>
      <c r="B937" s="13"/>
      <c r="C937" s="13"/>
      <c r="D937" s="13"/>
      <c r="E937" s="13"/>
      <c r="F937" s="13"/>
      <c r="G937" s="13"/>
      <c r="H937" s="12"/>
      <c r="I937" s="165"/>
      <c r="J937" s="166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spans="1:28" ht="14.25" customHeight="1">
      <c r="A938" s="13"/>
      <c r="B938" s="13"/>
      <c r="C938" s="13"/>
      <c r="D938" s="13"/>
      <c r="E938" s="13"/>
      <c r="F938" s="13"/>
      <c r="G938" s="13"/>
      <c r="H938" s="12"/>
      <c r="I938" s="165"/>
      <c r="J938" s="166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spans="1:28" ht="14.25" customHeight="1">
      <c r="A939" s="13"/>
      <c r="B939" s="13"/>
      <c r="C939" s="13"/>
      <c r="D939" s="13"/>
      <c r="E939" s="13"/>
      <c r="F939" s="13"/>
      <c r="G939" s="13"/>
      <c r="H939" s="12"/>
      <c r="I939" s="165"/>
      <c r="J939" s="166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spans="1:28" ht="14.25" customHeight="1">
      <c r="A940" s="13"/>
      <c r="B940" s="13"/>
      <c r="C940" s="13"/>
      <c r="D940" s="13"/>
      <c r="E940" s="13"/>
      <c r="F940" s="13"/>
      <c r="G940" s="13"/>
      <c r="H940" s="12"/>
      <c r="I940" s="165"/>
      <c r="J940" s="166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spans="1:28" ht="14.25" customHeight="1">
      <c r="A941" s="13"/>
      <c r="B941" s="13"/>
      <c r="C941" s="13"/>
      <c r="D941" s="13"/>
      <c r="E941" s="13"/>
      <c r="F941" s="13"/>
      <c r="G941" s="13"/>
      <c r="H941" s="12"/>
      <c r="I941" s="165"/>
      <c r="J941" s="166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spans="1:28" ht="14.25" customHeight="1">
      <c r="A942" s="13"/>
      <c r="B942" s="13"/>
      <c r="C942" s="13"/>
      <c r="D942" s="13"/>
      <c r="E942" s="13"/>
      <c r="F942" s="13"/>
      <c r="G942" s="13"/>
      <c r="H942" s="12"/>
      <c r="I942" s="165"/>
      <c r="J942" s="166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spans="1:28" ht="14.25" customHeight="1">
      <c r="A943" s="13"/>
      <c r="B943" s="13"/>
      <c r="C943" s="13"/>
      <c r="D943" s="13"/>
      <c r="E943" s="13"/>
      <c r="F943" s="13"/>
      <c r="G943" s="13"/>
      <c r="H943" s="12"/>
      <c r="I943" s="165"/>
      <c r="J943" s="166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spans="1:28" ht="14.25" customHeight="1">
      <c r="A944" s="13"/>
      <c r="B944" s="13"/>
      <c r="C944" s="13"/>
      <c r="D944" s="13"/>
      <c r="E944" s="13"/>
      <c r="F944" s="13"/>
      <c r="G944" s="13"/>
      <c r="H944" s="12"/>
      <c r="I944" s="165"/>
      <c r="J944" s="166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spans="1:28" ht="14.25" customHeight="1">
      <c r="A945" s="13"/>
      <c r="B945" s="13"/>
      <c r="C945" s="13"/>
      <c r="D945" s="13"/>
      <c r="E945" s="13"/>
      <c r="F945" s="13"/>
      <c r="G945" s="13"/>
      <c r="H945" s="12"/>
      <c r="I945" s="165"/>
      <c r="J945" s="166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spans="1:28" ht="14.25" customHeight="1">
      <c r="A946" s="13"/>
      <c r="B946" s="13"/>
      <c r="C946" s="13"/>
      <c r="D946" s="13"/>
      <c r="E946" s="13"/>
      <c r="F946" s="13"/>
      <c r="G946" s="13"/>
      <c r="H946" s="12"/>
      <c r="I946" s="165"/>
      <c r="J946" s="166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spans="1:28" ht="14.25" customHeight="1">
      <c r="A947" s="13"/>
      <c r="B947" s="13"/>
      <c r="C947" s="13"/>
      <c r="D947" s="13"/>
      <c r="E947" s="13"/>
      <c r="F947" s="13"/>
      <c r="G947" s="13"/>
      <c r="H947" s="12"/>
      <c r="I947" s="165"/>
      <c r="J947" s="166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spans="1:28" ht="14.25" customHeight="1">
      <c r="A948" s="13"/>
      <c r="B948" s="13"/>
      <c r="C948" s="13"/>
      <c r="D948" s="13"/>
      <c r="E948" s="13"/>
      <c r="F948" s="13"/>
      <c r="G948" s="13"/>
      <c r="H948" s="12"/>
      <c r="I948" s="165"/>
      <c r="J948" s="166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spans="1:28" ht="14.25" customHeight="1">
      <c r="A949" s="13"/>
      <c r="B949" s="13"/>
      <c r="C949" s="13"/>
      <c r="D949" s="13"/>
      <c r="E949" s="13"/>
      <c r="F949" s="13"/>
      <c r="G949" s="13"/>
      <c r="H949" s="12"/>
      <c r="I949" s="165"/>
      <c r="J949" s="166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spans="1:28" ht="14.25" customHeight="1">
      <c r="A950" s="13"/>
      <c r="B950" s="13"/>
      <c r="C950" s="13"/>
      <c r="D950" s="13"/>
      <c r="E950" s="13"/>
      <c r="F950" s="13"/>
      <c r="G950" s="13"/>
      <c r="H950" s="12"/>
      <c r="I950" s="165"/>
      <c r="J950" s="166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spans="1:28" ht="14.25" customHeight="1">
      <c r="A951" s="13"/>
      <c r="B951" s="13"/>
      <c r="C951" s="13"/>
      <c r="D951" s="13"/>
      <c r="E951" s="13"/>
      <c r="F951" s="13"/>
      <c r="G951" s="13"/>
      <c r="H951" s="12"/>
      <c r="I951" s="165"/>
      <c r="J951" s="166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spans="1:28" ht="14.25" customHeight="1">
      <c r="A952" s="13"/>
      <c r="B952" s="13"/>
      <c r="C952" s="13"/>
      <c r="D952" s="13"/>
      <c r="E952" s="13"/>
      <c r="F952" s="13"/>
      <c r="G952" s="13"/>
      <c r="H952" s="12"/>
      <c r="I952" s="165"/>
      <c r="J952" s="166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 spans="1:28" ht="14.25" customHeight="1">
      <c r="A953" s="13"/>
      <c r="B953" s="13"/>
      <c r="C953" s="13"/>
      <c r="D953" s="13"/>
      <c r="E953" s="13"/>
      <c r="F953" s="13"/>
      <c r="G953" s="13"/>
      <c r="H953" s="12"/>
      <c r="I953" s="165"/>
      <c r="J953" s="166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spans="1:28" ht="14.25" customHeight="1">
      <c r="A954" s="13"/>
      <c r="B954" s="13"/>
      <c r="C954" s="13"/>
      <c r="D954" s="13"/>
      <c r="E954" s="13"/>
      <c r="F954" s="13"/>
      <c r="G954" s="13"/>
      <c r="H954" s="12"/>
      <c r="I954" s="165"/>
      <c r="J954" s="166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spans="1:28" ht="14.25" customHeight="1">
      <c r="A955" s="13"/>
      <c r="B955" s="13"/>
      <c r="C955" s="13"/>
      <c r="D955" s="13"/>
      <c r="E955" s="13"/>
      <c r="F955" s="13"/>
      <c r="G955" s="13"/>
      <c r="H955" s="12"/>
      <c r="I955" s="165"/>
      <c r="J955" s="166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 spans="1:28" ht="14.25" customHeight="1">
      <c r="A956" s="13"/>
      <c r="B956" s="13"/>
      <c r="C956" s="13"/>
      <c r="D956" s="13"/>
      <c r="E956" s="13"/>
      <c r="F956" s="13"/>
      <c r="G956" s="13"/>
      <c r="H956" s="12"/>
      <c r="I956" s="165"/>
      <c r="J956" s="166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spans="1:28" ht="14.25" customHeight="1">
      <c r="A957" s="13"/>
      <c r="B957" s="13"/>
      <c r="C957" s="13"/>
      <c r="D957" s="13"/>
      <c r="E957" s="13"/>
      <c r="F957" s="13"/>
      <c r="G957" s="13"/>
      <c r="H957" s="12"/>
      <c r="I957" s="165"/>
      <c r="J957" s="166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 spans="1:28" ht="14.25" customHeight="1">
      <c r="A958" s="13"/>
      <c r="B958" s="13"/>
      <c r="C958" s="13"/>
      <c r="D958" s="13"/>
      <c r="E958" s="13"/>
      <c r="F958" s="13"/>
      <c r="G958" s="13"/>
      <c r="H958" s="12"/>
      <c r="I958" s="165"/>
      <c r="J958" s="166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 spans="1:28" ht="14.25" customHeight="1">
      <c r="A959" s="13"/>
      <c r="B959" s="13"/>
      <c r="C959" s="13"/>
      <c r="D959" s="13"/>
      <c r="E959" s="13"/>
      <c r="F959" s="13"/>
      <c r="G959" s="13"/>
      <c r="H959" s="12"/>
      <c r="I959" s="165"/>
      <c r="J959" s="166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 spans="1:28" ht="14.25" customHeight="1">
      <c r="A960" s="13"/>
      <c r="B960" s="13"/>
      <c r="C960" s="13"/>
      <c r="D960" s="13"/>
      <c r="E960" s="13"/>
      <c r="F960" s="13"/>
      <c r="G960" s="13"/>
      <c r="H960" s="12"/>
      <c r="I960" s="165"/>
      <c r="J960" s="166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 spans="1:28" ht="14.25" customHeight="1">
      <c r="A961" s="13"/>
      <c r="B961" s="13"/>
      <c r="C961" s="13"/>
      <c r="D961" s="13"/>
      <c r="E961" s="13"/>
      <c r="F961" s="13"/>
      <c r="G961" s="13"/>
      <c r="H961" s="12"/>
      <c r="I961" s="165"/>
      <c r="J961" s="166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 spans="1:28" ht="14.25" customHeight="1">
      <c r="A962" s="13"/>
      <c r="B962" s="13"/>
      <c r="C962" s="13"/>
      <c r="D962" s="13"/>
      <c r="E962" s="13"/>
      <c r="F962" s="13"/>
      <c r="G962" s="13"/>
      <c r="H962" s="12"/>
      <c r="I962" s="165"/>
      <c r="J962" s="166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 spans="1:28" ht="14.25" customHeight="1">
      <c r="A963" s="13"/>
      <c r="B963" s="13"/>
      <c r="C963" s="13"/>
      <c r="D963" s="13"/>
      <c r="E963" s="13"/>
      <c r="F963" s="13"/>
      <c r="G963" s="13"/>
      <c r="H963" s="12"/>
      <c r="I963" s="165"/>
      <c r="J963" s="166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 spans="1:28" ht="14.25" customHeight="1">
      <c r="A964" s="13"/>
      <c r="B964" s="13"/>
      <c r="C964" s="13"/>
      <c r="D964" s="13"/>
      <c r="E964" s="13"/>
      <c r="F964" s="13"/>
      <c r="G964" s="13"/>
      <c r="H964" s="12"/>
      <c r="I964" s="165"/>
      <c r="J964" s="166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 spans="1:28" ht="14.25" customHeight="1">
      <c r="A965" s="13"/>
      <c r="B965" s="13"/>
      <c r="C965" s="13"/>
      <c r="D965" s="13"/>
      <c r="E965" s="13"/>
      <c r="F965" s="13"/>
      <c r="G965" s="13"/>
      <c r="H965" s="12"/>
      <c r="I965" s="165"/>
      <c r="J965" s="166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 spans="1:28" ht="14.25" customHeight="1">
      <c r="A966" s="13"/>
      <c r="B966" s="13"/>
      <c r="C966" s="13"/>
      <c r="D966" s="13"/>
      <c r="E966" s="13"/>
      <c r="F966" s="13"/>
      <c r="G966" s="13"/>
      <c r="H966" s="12"/>
      <c r="I966" s="165"/>
      <c r="J966" s="166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 spans="1:28" ht="14.25" customHeight="1">
      <c r="A967" s="13"/>
      <c r="B967" s="13"/>
      <c r="C967" s="13"/>
      <c r="D967" s="13"/>
      <c r="E967" s="13"/>
      <c r="F967" s="13"/>
      <c r="G967" s="13"/>
      <c r="H967" s="12"/>
      <c r="I967" s="165"/>
      <c r="J967" s="166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 spans="1:28" ht="14.25" customHeight="1">
      <c r="A968" s="13"/>
      <c r="B968" s="13"/>
      <c r="C968" s="13"/>
      <c r="D968" s="13"/>
      <c r="E968" s="13"/>
      <c r="F968" s="13"/>
      <c r="G968" s="13"/>
      <c r="H968" s="12"/>
      <c r="I968" s="165"/>
      <c r="J968" s="166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 spans="1:28" ht="14.25" customHeight="1">
      <c r="A969" s="13"/>
      <c r="B969" s="13"/>
      <c r="C969" s="13"/>
      <c r="D969" s="13"/>
      <c r="E969" s="13"/>
      <c r="F969" s="13"/>
      <c r="G969" s="13"/>
      <c r="H969" s="12"/>
      <c r="I969" s="165"/>
      <c r="J969" s="166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spans="1:28" ht="14.25" customHeight="1">
      <c r="A970" s="13"/>
      <c r="B970" s="13"/>
      <c r="C970" s="13"/>
      <c r="D970" s="13"/>
      <c r="E970" s="13"/>
      <c r="F970" s="13"/>
      <c r="G970" s="13"/>
      <c r="H970" s="12"/>
      <c r="I970" s="165"/>
      <c r="J970" s="166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 spans="1:28" ht="14.25" customHeight="1">
      <c r="A971" s="13"/>
      <c r="B971" s="13"/>
      <c r="C971" s="13"/>
      <c r="D971" s="13"/>
      <c r="E971" s="13"/>
      <c r="F971" s="13"/>
      <c r="G971" s="13"/>
      <c r="H971" s="12"/>
      <c r="I971" s="165"/>
      <c r="J971" s="166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 spans="1:28" ht="14.25" customHeight="1">
      <c r="A972" s="13"/>
      <c r="B972" s="13"/>
      <c r="C972" s="13"/>
      <c r="D972" s="13"/>
      <c r="E972" s="13"/>
      <c r="F972" s="13"/>
      <c r="G972" s="13"/>
      <c r="H972" s="12"/>
      <c r="I972" s="165"/>
      <c r="J972" s="166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spans="1:28" ht="14.25" customHeight="1">
      <c r="A973" s="13"/>
      <c r="B973" s="13"/>
      <c r="C973" s="13"/>
      <c r="D973" s="13"/>
      <c r="E973" s="13"/>
      <c r="F973" s="13"/>
      <c r="G973" s="13"/>
      <c r="H973" s="12"/>
      <c r="I973" s="165"/>
      <c r="J973" s="166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 spans="1:28" ht="14.25" customHeight="1">
      <c r="A974" s="13"/>
      <c r="B974" s="13"/>
      <c r="C974" s="13"/>
      <c r="D974" s="13"/>
      <c r="E974" s="13"/>
      <c r="F974" s="13"/>
      <c r="G974" s="13"/>
      <c r="H974" s="12"/>
      <c r="I974" s="165"/>
      <c r="J974" s="166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 spans="1:28" ht="14.25" customHeight="1">
      <c r="A975" s="13"/>
      <c r="B975" s="13"/>
      <c r="C975" s="13"/>
      <c r="D975" s="13"/>
      <c r="E975" s="13"/>
      <c r="F975" s="13"/>
      <c r="G975" s="13"/>
      <c r="H975" s="12"/>
      <c r="I975" s="165"/>
      <c r="J975" s="166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 spans="1:28" ht="14.25" customHeight="1">
      <c r="A976" s="13"/>
      <c r="B976" s="13"/>
      <c r="C976" s="13"/>
      <c r="D976" s="13"/>
      <c r="E976" s="13"/>
      <c r="F976" s="13"/>
      <c r="G976" s="13"/>
      <c r="H976" s="12"/>
      <c r="I976" s="165"/>
      <c r="J976" s="166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 spans="1:28" ht="14.25" customHeight="1">
      <c r="A977" s="13"/>
      <c r="B977" s="13"/>
      <c r="C977" s="13"/>
      <c r="D977" s="13"/>
      <c r="E977" s="13"/>
      <c r="F977" s="13"/>
      <c r="G977" s="13"/>
      <c r="H977" s="12"/>
      <c r="I977" s="165"/>
      <c r="J977" s="166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 spans="1:28" ht="14.25" customHeight="1">
      <c r="A978" s="13"/>
      <c r="B978" s="13"/>
      <c r="C978" s="13"/>
      <c r="D978" s="13"/>
      <c r="E978" s="13"/>
      <c r="F978" s="13"/>
      <c r="G978" s="13"/>
      <c r="H978" s="12"/>
      <c r="I978" s="165"/>
      <c r="J978" s="166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 spans="1:28" ht="14.25" customHeight="1">
      <c r="A979" s="13"/>
      <c r="B979" s="13"/>
      <c r="C979" s="13"/>
      <c r="D979" s="13"/>
      <c r="E979" s="13"/>
      <c r="F979" s="13"/>
      <c r="G979" s="13"/>
      <c r="H979" s="12"/>
      <c r="I979" s="165"/>
      <c r="J979" s="166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 spans="1:28" ht="14.25" customHeight="1">
      <c r="A980" s="13"/>
      <c r="B980" s="13"/>
      <c r="C980" s="13"/>
      <c r="D980" s="13"/>
      <c r="E980" s="13"/>
      <c r="F980" s="13"/>
      <c r="G980" s="13"/>
      <c r="H980" s="12"/>
      <c r="I980" s="165"/>
      <c r="J980" s="166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 spans="1:28" ht="14.25" customHeight="1">
      <c r="A981" s="13"/>
      <c r="B981" s="13"/>
      <c r="C981" s="13"/>
      <c r="D981" s="13"/>
      <c r="E981" s="13"/>
      <c r="F981" s="13"/>
      <c r="G981" s="13"/>
      <c r="H981" s="12"/>
      <c r="I981" s="165"/>
      <c r="J981" s="166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 spans="1:28" ht="14.25" customHeight="1">
      <c r="A982" s="13"/>
      <c r="B982" s="13"/>
      <c r="C982" s="13"/>
      <c r="D982" s="13"/>
      <c r="E982" s="13"/>
      <c r="F982" s="13"/>
      <c r="G982" s="13"/>
      <c r="H982" s="12"/>
      <c r="I982" s="165"/>
      <c r="J982" s="166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 spans="1:28" ht="14.25" customHeight="1">
      <c r="A983" s="13"/>
      <c r="B983" s="13"/>
      <c r="C983" s="13"/>
      <c r="D983" s="13"/>
      <c r="E983" s="13"/>
      <c r="F983" s="13"/>
      <c r="G983" s="13"/>
      <c r="H983" s="12"/>
      <c r="I983" s="165"/>
      <c r="J983" s="166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 spans="1:28" ht="14.25" customHeight="1">
      <c r="A984" s="13"/>
      <c r="B984" s="13"/>
      <c r="C984" s="13"/>
      <c r="D984" s="13"/>
      <c r="E984" s="13"/>
      <c r="F984" s="13"/>
      <c r="G984" s="13"/>
      <c r="H984" s="12"/>
      <c r="I984" s="165"/>
      <c r="J984" s="166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 spans="1:28" ht="14.25" customHeight="1">
      <c r="A985" s="13"/>
      <c r="B985" s="13"/>
      <c r="C985" s="13"/>
      <c r="D985" s="13"/>
      <c r="E985" s="13"/>
      <c r="F985" s="13"/>
      <c r="G985" s="13"/>
      <c r="H985" s="12"/>
      <c r="I985" s="165"/>
      <c r="J985" s="166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 spans="1:28" ht="14.25" customHeight="1">
      <c r="A986" s="13"/>
      <c r="B986" s="13"/>
      <c r="C986" s="13"/>
      <c r="D986" s="13"/>
      <c r="E986" s="13"/>
      <c r="F986" s="13"/>
      <c r="G986" s="13"/>
      <c r="H986" s="12"/>
      <c r="I986" s="165"/>
      <c r="J986" s="166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 spans="1:28" ht="14.25" customHeight="1">
      <c r="A987" s="13"/>
      <c r="B987" s="13"/>
      <c r="C987" s="13"/>
      <c r="D987" s="13"/>
      <c r="E987" s="13"/>
      <c r="F987" s="13"/>
      <c r="G987" s="13"/>
      <c r="H987" s="12"/>
      <c r="I987" s="165"/>
      <c r="J987" s="166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 spans="1:28" ht="14.25" customHeight="1">
      <c r="A988" s="13"/>
      <c r="B988" s="13"/>
      <c r="C988" s="13"/>
      <c r="D988" s="13"/>
      <c r="E988" s="13"/>
      <c r="F988" s="13"/>
      <c r="G988" s="13"/>
      <c r="H988" s="12"/>
      <c r="I988" s="165"/>
      <c r="J988" s="166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 spans="1:28" ht="14.25" customHeight="1">
      <c r="A989" s="13"/>
      <c r="B989" s="13"/>
      <c r="C989" s="13"/>
      <c r="D989" s="13"/>
      <c r="E989" s="13"/>
      <c r="F989" s="13"/>
      <c r="G989" s="13"/>
      <c r="H989" s="12"/>
      <c r="I989" s="165"/>
      <c r="J989" s="166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 spans="1:28" ht="14.25" customHeight="1">
      <c r="A990" s="13"/>
      <c r="B990" s="13"/>
      <c r="C990" s="13"/>
      <c r="D990" s="13"/>
      <c r="E990" s="13"/>
      <c r="F990" s="13"/>
      <c r="G990" s="13"/>
      <c r="H990" s="12"/>
      <c r="I990" s="165"/>
      <c r="J990" s="166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 spans="1:28" ht="14.25" customHeight="1">
      <c r="A991" s="13"/>
      <c r="B991" s="13"/>
      <c r="C991" s="13"/>
      <c r="D991" s="13"/>
      <c r="E991" s="13"/>
      <c r="F991" s="13"/>
      <c r="G991" s="13"/>
      <c r="H991" s="12"/>
      <c r="I991" s="165"/>
      <c r="J991" s="166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 spans="1:28" ht="14.25" customHeight="1">
      <c r="A992" s="13"/>
      <c r="B992" s="13"/>
      <c r="C992" s="13"/>
      <c r="D992" s="13"/>
      <c r="E992" s="13"/>
      <c r="F992" s="13"/>
      <c r="G992" s="13"/>
      <c r="H992" s="12"/>
      <c r="I992" s="165"/>
      <c r="J992" s="166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 spans="1:28" ht="14.25" customHeight="1">
      <c r="A993" s="13"/>
      <c r="B993" s="13"/>
      <c r="C993" s="13"/>
      <c r="D993" s="13"/>
      <c r="E993" s="13"/>
      <c r="F993" s="13"/>
      <c r="G993" s="13"/>
      <c r="H993" s="12"/>
      <c r="I993" s="165"/>
      <c r="J993" s="166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 spans="1:28" ht="14.25" customHeight="1">
      <c r="A994" s="13"/>
      <c r="B994" s="13"/>
      <c r="C994" s="13"/>
      <c r="D994" s="13"/>
      <c r="E994" s="13"/>
      <c r="F994" s="13"/>
      <c r="G994" s="13"/>
      <c r="H994" s="12"/>
      <c r="I994" s="165"/>
      <c r="J994" s="166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 spans="1:28" ht="14.25" customHeight="1">
      <c r="A995" s="13"/>
      <c r="B995" s="13"/>
      <c r="C995" s="13"/>
      <c r="D995" s="13"/>
      <c r="E995" s="13"/>
      <c r="F995" s="13"/>
      <c r="G995" s="13"/>
      <c r="H995" s="12"/>
      <c r="I995" s="165"/>
      <c r="J995" s="166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 spans="1:28" ht="14.25" customHeight="1">
      <c r="A996" s="13"/>
      <c r="B996" s="13"/>
      <c r="C996" s="13"/>
      <c r="D996" s="13"/>
      <c r="E996" s="13"/>
      <c r="F996" s="13"/>
      <c r="G996" s="13"/>
      <c r="H996" s="12"/>
      <c r="I996" s="165"/>
      <c r="J996" s="166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 spans="1:28" ht="14.25" customHeight="1">
      <c r="A997" s="13"/>
      <c r="B997" s="13"/>
      <c r="C997" s="13"/>
      <c r="D997" s="13"/>
      <c r="E997" s="13"/>
      <c r="F997" s="13"/>
      <c r="G997" s="13"/>
      <c r="H997" s="12"/>
      <c r="I997" s="165"/>
      <c r="J997" s="166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 spans="1:28" ht="14.25" customHeight="1">
      <c r="A998" s="13"/>
      <c r="B998" s="13"/>
      <c r="C998" s="13"/>
      <c r="D998" s="13"/>
      <c r="E998" s="13"/>
      <c r="F998" s="13"/>
      <c r="G998" s="13"/>
      <c r="H998" s="12"/>
      <c r="I998" s="165"/>
      <c r="J998" s="166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 spans="1:28" ht="14.25" customHeight="1">
      <c r="A999" s="13"/>
      <c r="B999" s="13"/>
      <c r="C999" s="13"/>
      <c r="D999" s="13"/>
      <c r="E999" s="13"/>
      <c r="F999" s="13"/>
      <c r="G999" s="13"/>
      <c r="H999" s="12"/>
      <c r="I999" s="165"/>
      <c r="J999" s="166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 spans="1:28" ht="14.25" customHeight="1">
      <c r="A1000" s="13"/>
      <c r="B1000" s="13"/>
      <c r="C1000" s="13"/>
      <c r="D1000" s="13"/>
      <c r="E1000" s="13"/>
      <c r="F1000" s="13"/>
      <c r="G1000" s="13"/>
      <c r="H1000" s="12"/>
      <c r="I1000" s="165"/>
      <c r="J1000" s="166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</sheetData>
  <autoFilter ref="A2:J105" xr:uid="{00000000-0009-0000-0000-000008000000}"/>
  <mergeCells count="1">
    <mergeCell ref="A1:H1"/>
  </mergeCells>
  <dataValidations count="1">
    <dataValidation type="list" allowBlank="1" showErrorMessage="1" sqref="F3:F104" xr:uid="{00000000-0002-0000-0800-000000000000}">
      <formula1>"Адмиралтейский,Василеостровский,Выборгский,Калининский,Кировский,Красногвардейский,Красносельский,Московский,Невский,Петроградский,Приморский,Пушкинский,Фрунзенский,Центральный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00"/>
  </sheetPr>
  <dimension ref="A1:Z1000"/>
  <sheetViews>
    <sheetView workbookViewId="0"/>
  </sheetViews>
  <sheetFormatPr defaultColWidth="12.5703125" defaultRowHeight="15" customHeight="1"/>
  <cols>
    <col min="1" max="1" width="5.140625" customWidth="1"/>
    <col min="2" max="2" width="6.42578125" customWidth="1"/>
    <col min="3" max="5" width="11.5703125" customWidth="1"/>
    <col min="6" max="6" width="16.7109375" customWidth="1"/>
    <col min="7" max="7" width="14.42578125" customWidth="1"/>
    <col min="8" max="8" width="11.5703125" customWidth="1"/>
    <col min="9" max="26" width="11.7109375" customWidth="1"/>
  </cols>
  <sheetData>
    <row r="1" spans="1:26" ht="14.25" customHeight="1">
      <c r="A1" s="167" t="s">
        <v>11</v>
      </c>
      <c r="B1" s="167" t="s">
        <v>13</v>
      </c>
      <c r="C1" s="167" t="s">
        <v>14</v>
      </c>
      <c r="D1" s="167" t="s">
        <v>15</v>
      </c>
      <c r="E1" s="167" t="s">
        <v>16</v>
      </c>
      <c r="F1" s="167" t="s">
        <v>17</v>
      </c>
      <c r="G1" s="167" t="s">
        <v>9</v>
      </c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</row>
    <row r="2" spans="1:26" ht="14.25" customHeight="1">
      <c r="A2" s="169">
        <v>1</v>
      </c>
      <c r="B2" s="169" t="s">
        <v>751</v>
      </c>
      <c r="C2" s="169">
        <v>2</v>
      </c>
      <c r="D2" s="170">
        <v>15</v>
      </c>
      <c r="E2" s="170"/>
      <c r="F2" s="170" t="s">
        <v>77</v>
      </c>
      <c r="G2" s="170" t="s">
        <v>752</v>
      </c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</row>
    <row r="3" spans="1:26" ht="14.25" customHeight="1">
      <c r="A3" s="169">
        <v>2</v>
      </c>
      <c r="B3" s="169" t="s">
        <v>753</v>
      </c>
      <c r="C3" s="169">
        <v>1</v>
      </c>
      <c r="D3" s="170">
        <v>10.9</v>
      </c>
      <c r="E3" s="170">
        <v>8.5</v>
      </c>
      <c r="F3" s="170" t="s">
        <v>69</v>
      </c>
      <c r="G3" s="170" t="s">
        <v>752</v>
      </c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</row>
    <row r="4" spans="1:26" ht="14.25" customHeight="1">
      <c r="A4" s="169">
        <v>3</v>
      </c>
      <c r="B4" s="169" t="s">
        <v>753</v>
      </c>
      <c r="C4" s="169">
        <v>2</v>
      </c>
      <c r="D4" s="170">
        <v>15.1</v>
      </c>
      <c r="E4" s="170"/>
      <c r="F4" s="170" t="s">
        <v>69</v>
      </c>
      <c r="G4" s="170" t="s">
        <v>752</v>
      </c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</row>
    <row r="5" spans="1:26" ht="14.25" customHeight="1">
      <c r="A5" s="169">
        <v>4</v>
      </c>
      <c r="B5" s="169" t="s">
        <v>753</v>
      </c>
      <c r="C5" s="169">
        <v>3</v>
      </c>
      <c r="D5" s="170">
        <v>10.8</v>
      </c>
      <c r="E5" s="170">
        <v>8.6999999999999993</v>
      </c>
      <c r="F5" s="170" t="s">
        <v>69</v>
      </c>
      <c r="G5" s="170" t="s">
        <v>752</v>
      </c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</row>
    <row r="6" spans="1:26" ht="14.25" customHeight="1">
      <c r="A6" s="169">
        <v>5</v>
      </c>
      <c r="B6" s="169" t="s">
        <v>755</v>
      </c>
      <c r="C6" s="169">
        <v>1</v>
      </c>
      <c r="D6" s="170">
        <v>7.2</v>
      </c>
      <c r="E6" s="170"/>
      <c r="F6" s="170" t="s">
        <v>89</v>
      </c>
      <c r="G6" s="170" t="s">
        <v>756</v>
      </c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</row>
    <row r="7" spans="1:26" ht="14.25" customHeight="1">
      <c r="A7" s="169">
        <v>6</v>
      </c>
      <c r="B7" s="169" t="s">
        <v>755</v>
      </c>
      <c r="C7" s="169">
        <v>2</v>
      </c>
      <c r="D7" s="170">
        <v>7.3</v>
      </c>
      <c r="E7" s="170"/>
      <c r="F7" s="170" t="s">
        <v>89</v>
      </c>
      <c r="G7" s="170" t="s">
        <v>756</v>
      </c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</row>
    <row r="8" spans="1:26" ht="14.25" customHeight="1">
      <c r="A8" s="169">
        <v>7</v>
      </c>
      <c r="B8" s="169" t="s">
        <v>755</v>
      </c>
      <c r="C8" s="169">
        <v>3</v>
      </c>
      <c r="D8" s="170">
        <v>16.5</v>
      </c>
      <c r="E8" s="170"/>
      <c r="F8" s="170" t="s">
        <v>62</v>
      </c>
      <c r="G8" s="170" t="s">
        <v>756</v>
      </c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</row>
    <row r="9" spans="1:26" ht="14.25" customHeight="1">
      <c r="A9" s="169">
        <v>8</v>
      </c>
      <c r="B9" s="169" t="s">
        <v>755</v>
      </c>
      <c r="C9" s="169">
        <v>4</v>
      </c>
      <c r="D9" s="170">
        <v>13.6</v>
      </c>
      <c r="E9" s="170"/>
      <c r="F9" s="170" t="s">
        <v>150</v>
      </c>
      <c r="G9" s="170" t="s">
        <v>756</v>
      </c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</row>
    <row r="10" spans="1:26" ht="14.25" customHeight="1">
      <c r="A10" s="169">
        <v>9</v>
      </c>
      <c r="B10" s="169" t="s">
        <v>755</v>
      </c>
      <c r="C10" s="169">
        <v>5</v>
      </c>
      <c r="D10" s="170">
        <v>14.5</v>
      </c>
      <c r="E10" s="170">
        <v>12.8</v>
      </c>
      <c r="F10" s="170" t="s">
        <v>62</v>
      </c>
      <c r="G10" s="170" t="s">
        <v>756</v>
      </c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</row>
    <row r="11" spans="1:26" ht="14.25" customHeight="1">
      <c r="A11" s="169">
        <v>10</v>
      </c>
      <c r="B11" s="169" t="s">
        <v>755</v>
      </c>
      <c r="C11" s="169">
        <v>6</v>
      </c>
      <c r="D11" s="170">
        <v>10.3</v>
      </c>
      <c r="E11" s="170"/>
      <c r="F11" s="170" t="s">
        <v>758</v>
      </c>
      <c r="G11" s="170" t="s">
        <v>756</v>
      </c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</row>
    <row r="12" spans="1:26" ht="14.25" customHeight="1">
      <c r="A12" s="169">
        <v>11</v>
      </c>
      <c r="B12" s="169" t="s">
        <v>755</v>
      </c>
      <c r="C12" s="169">
        <v>7</v>
      </c>
      <c r="D12" s="170">
        <v>14.1</v>
      </c>
      <c r="E12" s="170"/>
      <c r="F12" s="170" t="s">
        <v>758</v>
      </c>
      <c r="G12" s="170" t="s">
        <v>756</v>
      </c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</row>
    <row r="13" spans="1:26" ht="14.25" customHeight="1">
      <c r="A13" s="169">
        <v>12</v>
      </c>
      <c r="B13" s="169" t="s">
        <v>755</v>
      </c>
      <c r="C13" s="169">
        <v>8</v>
      </c>
      <c r="D13" s="170">
        <v>9.9</v>
      </c>
      <c r="E13" s="170"/>
      <c r="F13" s="170" t="s">
        <v>79</v>
      </c>
      <c r="G13" s="170" t="s">
        <v>756</v>
      </c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</row>
    <row r="14" spans="1:26" ht="14.25" customHeight="1">
      <c r="A14" s="169">
        <v>13</v>
      </c>
      <c r="B14" s="169" t="s">
        <v>755</v>
      </c>
      <c r="C14" s="169">
        <v>9</v>
      </c>
      <c r="D14" s="170">
        <v>12.8</v>
      </c>
      <c r="E14" s="170">
        <v>12.5</v>
      </c>
      <c r="F14" s="170" t="s">
        <v>62</v>
      </c>
      <c r="G14" s="170" t="s">
        <v>756</v>
      </c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</row>
    <row r="15" spans="1:26" ht="14.25" customHeight="1">
      <c r="A15" s="169">
        <v>14</v>
      </c>
      <c r="B15" s="169" t="s">
        <v>760</v>
      </c>
      <c r="C15" s="169">
        <v>1</v>
      </c>
      <c r="D15" s="170">
        <v>8.8000000000000007</v>
      </c>
      <c r="E15" s="170"/>
      <c r="F15" s="170" t="s">
        <v>88</v>
      </c>
      <c r="G15" s="170" t="s">
        <v>756</v>
      </c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</row>
    <row r="16" spans="1:26" ht="14.25" customHeight="1">
      <c r="A16" s="169">
        <v>15</v>
      </c>
      <c r="B16" s="169" t="s">
        <v>760</v>
      </c>
      <c r="C16" s="169">
        <v>2</v>
      </c>
      <c r="D16" s="170">
        <v>14.1</v>
      </c>
      <c r="E16" s="170"/>
      <c r="F16" s="170" t="s">
        <v>62</v>
      </c>
      <c r="G16" s="170" t="s">
        <v>756</v>
      </c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</row>
    <row r="17" spans="1:26" ht="14.25" customHeight="1">
      <c r="A17" s="169">
        <v>16</v>
      </c>
      <c r="B17" s="169" t="s">
        <v>760</v>
      </c>
      <c r="C17" s="169">
        <v>3</v>
      </c>
      <c r="D17" s="170">
        <v>14.4</v>
      </c>
      <c r="E17" s="170"/>
      <c r="F17" s="170" t="s">
        <v>89</v>
      </c>
      <c r="G17" s="170" t="s">
        <v>756</v>
      </c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</row>
    <row r="18" spans="1:26" ht="14.25" customHeight="1">
      <c r="A18" s="169">
        <v>17</v>
      </c>
      <c r="B18" s="169" t="s">
        <v>760</v>
      </c>
      <c r="C18" s="169">
        <v>5</v>
      </c>
      <c r="D18" s="170">
        <v>6.2</v>
      </c>
      <c r="E18" s="170"/>
      <c r="F18" s="170" t="s">
        <v>150</v>
      </c>
      <c r="G18" s="170" t="s">
        <v>756</v>
      </c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</row>
    <row r="19" spans="1:26" ht="14.25" customHeight="1">
      <c r="A19" s="169">
        <v>18</v>
      </c>
      <c r="B19" s="169" t="s">
        <v>760</v>
      </c>
      <c r="C19" s="169">
        <v>6</v>
      </c>
      <c r="D19" s="170">
        <v>7.6</v>
      </c>
      <c r="E19" s="170"/>
      <c r="F19" s="170" t="s">
        <v>150</v>
      </c>
      <c r="G19" s="170" t="s">
        <v>756</v>
      </c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</row>
    <row r="20" spans="1:26" ht="14.25" customHeight="1">
      <c r="A20" s="169">
        <v>19</v>
      </c>
      <c r="B20" s="169" t="s">
        <v>760</v>
      </c>
      <c r="C20" s="169">
        <v>7</v>
      </c>
      <c r="D20" s="170">
        <v>6.1</v>
      </c>
      <c r="E20" s="170"/>
      <c r="F20" s="170" t="s">
        <v>150</v>
      </c>
      <c r="G20" s="170" t="s">
        <v>756</v>
      </c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</row>
    <row r="21" spans="1:26" ht="14.25" customHeight="1">
      <c r="A21" s="169">
        <v>20</v>
      </c>
      <c r="B21" s="169" t="s">
        <v>762</v>
      </c>
      <c r="C21" s="169">
        <v>1</v>
      </c>
      <c r="D21" s="170">
        <v>16.5</v>
      </c>
      <c r="E21" s="170">
        <v>10.8</v>
      </c>
      <c r="F21" s="170" t="s">
        <v>118</v>
      </c>
      <c r="G21" s="170" t="s">
        <v>756</v>
      </c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</row>
    <row r="22" spans="1:26" ht="14.25" customHeight="1">
      <c r="A22" s="169">
        <v>21</v>
      </c>
      <c r="B22" s="169" t="s">
        <v>762</v>
      </c>
      <c r="C22" s="169">
        <v>2</v>
      </c>
      <c r="D22" s="170">
        <v>15.9</v>
      </c>
      <c r="E22" s="170"/>
      <c r="F22" s="170" t="s">
        <v>150</v>
      </c>
      <c r="G22" s="170" t="s">
        <v>756</v>
      </c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</row>
    <row r="23" spans="1:26" ht="14.25" customHeight="1">
      <c r="A23" s="169">
        <v>22</v>
      </c>
      <c r="B23" s="169" t="s">
        <v>762</v>
      </c>
      <c r="C23" s="169">
        <v>3</v>
      </c>
      <c r="D23" s="170">
        <v>16.399999999999999</v>
      </c>
      <c r="E23" s="170"/>
      <c r="F23" s="170" t="s">
        <v>124</v>
      </c>
      <c r="G23" s="170" t="s">
        <v>756</v>
      </c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</row>
    <row r="24" spans="1:26" ht="14.25" customHeight="1">
      <c r="A24" s="169">
        <v>23</v>
      </c>
      <c r="B24" s="169" t="s">
        <v>762</v>
      </c>
      <c r="C24" s="169">
        <v>4</v>
      </c>
      <c r="D24" s="170">
        <v>14.2</v>
      </c>
      <c r="E24" s="170"/>
      <c r="F24" s="170" t="s">
        <v>124</v>
      </c>
      <c r="G24" s="170" t="s">
        <v>756</v>
      </c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</row>
    <row r="25" spans="1:26" ht="14.25" customHeight="1">
      <c r="A25" s="169">
        <v>24</v>
      </c>
      <c r="B25" s="169" t="s">
        <v>762</v>
      </c>
      <c r="C25" s="169">
        <v>5</v>
      </c>
      <c r="D25" s="170">
        <v>12.1</v>
      </c>
      <c r="E25" s="170"/>
      <c r="F25" s="170" t="s">
        <v>12</v>
      </c>
      <c r="G25" s="170" t="s">
        <v>756</v>
      </c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</row>
    <row r="26" spans="1:26" ht="14.25" customHeight="1">
      <c r="A26" s="169">
        <v>25</v>
      </c>
      <c r="B26" s="169" t="s">
        <v>762</v>
      </c>
      <c r="C26" s="169">
        <v>6</v>
      </c>
      <c r="D26" s="170">
        <v>13.2</v>
      </c>
      <c r="E26" s="170"/>
      <c r="F26" s="170" t="s">
        <v>124</v>
      </c>
      <c r="G26" s="170" t="s">
        <v>756</v>
      </c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</row>
    <row r="27" spans="1:26" ht="14.25" customHeight="1">
      <c r="A27" s="169">
        <v>26</v>
      </c>
      <c r="B27" s="169" t="s">
        <v>766</v>
      </c>
      <c r="C27" s="169" t="s">
        <v>129</v>
      </c>
      <c r="D27" s="169">
        <v>20.399999999999999</v>
      </c>
      <c r="E27" s="169">
        <v>11.2</v>
      </c>
      <c r="F27" s="169" t="s">
        <v>89</v>
      </c>
      <c r="G27" s="169" t="s">
        <v>767</v>
      </c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</row>
    <row r="28" spans="1:26" ht="14.25" customHeight="1">
      <c r="A28" s="169">
        <v>27</v>
      </c>
      <c r="B28" s="169" t="s">
        <v>766</v>
      </c>
      <c r="C28" s="169" t="s">
        <v>163</v>
      </c>
      <c r="D28" s="169">
        <v>7.1</v>
      </c>
      <c r="E28" s="169" t="s">
        <v>61</v>
      </c>
      <c r="F28" s="169" t="s">
        <v>89</v>
      </c>
      <c r="G28" s="169" t="s">
        <v>767</v>
      </c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</row>
    <row r="29" spans="1:26" ht="14.25" customHeight="1">
      <c r="A29" s="169">
        <v>28</v>
      </c>
      <c r="B29" s="169" t="s">
        <v>766</v>
      </c>
      <c r="C29" s="169" t="s">
        <v>244</v>
      </c>
      <c r="D29" s="169">
        <v>9.3000000000000007</v>
      </c>
      <c r="E29" s="169" t="s">
        <v>61</v>
      </c>
      <c r="F29" s="169" t="s">
        <v>89</v>
      </c>
      <c r="G29" s="169" t="s">
        <v>767</v>
      </c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</row>
    <row r="30" spans="1:26" ht="14.25" customHeight="1">
      <c r="A30" s="169">
        <v>29</v>
      </c>
      <c r="B30" s="169" t="s">
        <v>766</v>
      </c>
      <c r="C30" s="169" t="s">
        <v>323</v>
      </c>
      <c r="D30" s="169">
        <v>9.1999999999999993</v>
      </c>
      <c r="E30" s="169" t="s">
        <v>61</v>
      </c>
      <c r="F30" s="169" t="s">
        <v>89</v>
      </c>
      <c r="G30" s="169" t="s">
        <v>767</v>
      </c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</row>
    <row r="31" spans="1:26" ht="14.25" customHeight="1">
      <c r="A31" s="168"/>
      <c r="B31" s="168"/>
      <c r="C31" s="168"/>
      <c r="D31" s="171">
        <f t="shared" ref="D31:E31" si="0">SUM(D2:D30)</f>
        <v>349.5</v>
      </c>
      <c r="E31" s="171">
        <f t="shared" si="0"/>
        <v>64.5</v>
      </c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</row>
    <row r="32" spans="1:26" ht="14.25" customHeight="1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</row>
    <row r="33" spans="1:26" ht="14.25" customHeight="1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</row>
    <row r="34" spans="1:26" ht="14.25" customHeight="1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</row>
    <row r="35" spans="1:26" ht="14.25" customHeight="1">
      <c r="A35" s="168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</row>
    <row r="36" spans="1:26" ht="14.25" customHeight="1">
      <c r="A36" s="168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</row>
    <row r="37" spans="1:26" ht="14.25" customHeight="1">
      <c r="A37" s="168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</row>
    <row r="38" spans="1:26" ht="14.25" customHeight="1">
      <c r="A38" s="168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</row>
    <row r="39" spans="1:26" ht="14.25" customHeight="1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</row>
    <row r="40" spans="1:26" ht="14.25" customHeight="1">
      <c r="A40" s="168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</row>
    <row r="41" spans="1:26" ht="14.25" customHeight="1">
      <c r="A41" s="168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</row>
    <row r="42" spans="1:26" ht="14.25" customHeight="1">
      <c r="A42" s="168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</row>
    <row r="43" spans="1:26" ht="14.25" customHeight="1">
      <c r="A43" s="168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</row>
    <row r="44" spans="1:26" ht="14.25" customHeight="1">
      <c r="A44" s="168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</row>
    <row r="45" spans="1:26" ht="14.25" customHeight="1">
      <c r="A45" s="168"/>
      <c r="B45" s="168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</row>
    <row r="46" spans="1:26" ht="14.25" customHeight="1">
      <c r="A46" s="168"/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</row>
    <row r="47" spans="1:26" ht="14.25" customHeight="1">
      <c r="A47" s="168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</row>
    <row r="48" spans="1:26" ht="14.25" customHeight="1">
      <c r="A48" s="168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</row>
    <row r="49" spans="1:26" ht="14.25" customHeight="1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</row>
    <row r="50" spans="1:26" ht="14.25" customHeight="1">
      <c r="A50" s="168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</row>
    <row r="51" spans="1:26" ht="14.25" customHeight="1">
      <c r="A51" s="168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</row>
    <row r="52" spans="1:26" ht="14.25" customHeight="1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spans="1:26" ht="14.25" customHeight="1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</row>
    <row r="54" spans="1:26" ht="14.25" customHeight="1">
      <c r="A54" s="168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</row>
    <row r="55" spans="1:26" ht="14.25" customHeight="1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</row>
    <row r="56" spans="1:26" ht="14.25" customHeight="1">
      <c r="A56" s="168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</row>
    <row r="57" spans="1:26" ht="14.25" customHeight="1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</row>
    <row r="58" spans="1:26" ht="14.25" customHeight="1">
      <c r="A58" s="168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</row>
    <row r="59" spans="1:26" ht="14.25" customHeight="1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</row>
    <row r="60" spans="1:26" ht="14.25" customHeight="1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</row>
    <row r="61" spans="1:26" ht="14.25" customHeight="1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 spans="1:26" ht="14.25" customHeight="1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</row>
    <row r="63" spans="1:26" ht="14.25" customHeight="1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</row>
    <row r="64" spans="1:26" ht="14.25" customHeight="1">
      <c r="A64" s="16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</row>
    <row r="65" spans="1:26" ht="14.25" customHeight="1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</row>
    <row r="66" spans="1:26" ht="14.25" customHeight="1">
      <c r="A66" s="168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</row>
    <row r="67" spans="1:26" ht="14.25" customHeight="1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</row>
    <row r="68" spans="1:26" ht="14.25" customHeight="1">
      <c r="A68" s="168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</row>
    <row r="69" spans="1:26" ht="14.25" customHeight="1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</row>
    <row r="70" spans="1:26" ht="14.25" customHeight="1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</row>
    <row r="71" spans="1:26" ht="14.25" customHeight="1">
      <c r="A71" s="16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</row>
    <row r="72" spans="1:26" ht="14.25" customHeight="1">
      <c r="A72" s="16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</row>
    <row r="73" spans="1:26" ht="14.25" customHeight="1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</row>
    <row r="74" spans="1:26" ht="14.25" customHeight="1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</row>
    <row r="75" spans="1:26" ht="14.25" customHeight="1">
      <c r="A75" s="16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</row>
    <row r="76" spans="1:26" ht="14.25" customHeight="1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</row>
    <row r="77" spans="1:26" ht="14.25" customHeight="1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</row>
    <row r="78" spans="1:26" ht="14.25" customHeight="1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</row>
    <row r="79" spans="1:26" ht="14.25" customHeight="1">
      <c r="A79" s="168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</row>
    <row r="80" spans="1:26" ht="14.25" customHeight="1">
      <c r="A80" s="168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</row>
    <row r="81" spans="1:26" ht="14.25" customHeight="1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</row>
    <row r="82" spans="1:26" ht="14.25" customHeight="1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</row>
    <row r="83" spans="1:26" ht="14.25" customHeight="1">
      <c r="A83" s="168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</row>
    <row r="84" spans="1:26" ht="14.25" customHeight="1">
      <c r="A84" s="168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</row>
    <row r="85" spans="1:26" ht="14.25" customHeight="1">
      <c r="A85" s="168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</row>
    <row r="86" spans="1:26" ht="14.25" customHeight="1">
      <c r="A86" s="168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</row>
    <row r="87" spans="1:26" ht="14.25" customHeight="1">
      <c r="A87" s="168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</row>
    <row r="88" spans="1:26" ht="14.25" customHeight="1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</row>
    <row r="89" spans="1:26" ht="14.25" customHeight="1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</row>
    <row r="90" spans="1:26" ht="14.25" customHeight="1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</row>
    <row r="91" spans="1:26" ht="14.25" customHeight="1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</row>
    <row r="92" spans="1:26" ht="14.25" customHeight="1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</row>
    <row r="93" spans="1:26" ht="14.25" customHeight="1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</row>
    <row r="94" spans="1:26" ht="14.25" customHeight="1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</row>
    <row r="95" spans="1:26" ht="14.25" customHeight="1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</row>
    <row r="96" spans="1:26" ht="14.25" customHeight="1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</row>
    <row r="97" spans="1:26" ht="14.25" customHeight="1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</row>
    <row r="98" spans="1:26" ht="14.25" customHeight="1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</row>
    <row r="99" spans="1:26" ht="14.25" customHeight="1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</row>
    <row r="100" spans="1:26" ht="14.25" customHeight="1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</row>
    <row r="101" spans="1:26" ht="14.25" customHeight="1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</row>
    <row r="102" spans="1:26" ht="14.25" customHeight="1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</row>
    <row r="103" spans="1:26" ht="14.25" customHeight="1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</row>
    <row r="104" spans="1:26" ht="14.25" customHeight="1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</row>
    <row r="105" spans="1:26" ht="14.25" customHeight="1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</row>
    <row r="106" spans="1:26" ht="14.25" customHeight="1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</row>
    <row r="107" spans="1:26" ht="14.25" customHeight="1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</row>
    <row r="108" spans="1:26" ht="14.25" customHeight="1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</row>
    <row r="109" spans="1:26" ht="14.25" customHeight="1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</row>
    <row r="110" spans="1:26" ht="14.25" customHeight="1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</row>
    <row r="111" spans="1:26" ht="14.25" customHeight="1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</row>
    <row r="112" spans="1:26" ht="14.25" customHeight="1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</row>
    <row r="113" spans="1:26" ht="14.25" customHeight="1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</row>
    <row r="114" spans="1:26" ht="14.25" customHeight="1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</row>
    <row r="115" spans="1:26" ht="14.25" customHeight="1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</row>
    <row r="116" spans="1:26" ht="14.25" customHeight="1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</row>
    <row r="117" spans="1:26" ht="14.25" customHeight="1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</row>
    <row r="118" spans="1:26" ht="14.25" customHeight="1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</row>
    <row r="119" spans="1:26" ht="14.25" customHeight="1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</row>
    <row r="120" spans="1:26" ht="14.25" customHeight="1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</row>
    <row r="121" spans="1:26" ht="14.25" customHeight="1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</row>
    <row r="122" spans="1:26" ht="14.25" customHeight="1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</row>
    <row r="123" spans="1:26" ht="14.25" customHeight="1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</row>
    <row r="124" spans="1:26" ht="14.25" customHeight="1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</row>
    <row r="125" spans="1:26" ht="14.25" customHeight="1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</row>
    <row r="126" spans="1:26" ht="14.25" customHeight="1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</row>
    <row r="127" spans="1:26" ht="14.25" customHeight="1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</row>
    <row r="128" spans="1:26" ht="14.25" customHeight="1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</row>
    <row r="129" spans="1:26" ht="14.25" customHeight="1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</row>
    <row r="130" spans="1:26" ht="14.25" customHeight="1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</row>
    <row r="131" spans="1:26" ht="14.25" customHeight="1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</row>
    <row r="132" spans="1:26" ht="14.25" customHeight="1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</row>
    <row r="133" spans="1:26" ht="14.25" customHeight="1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</row>
    <row r="134" spans="1:26" ht="14.25" customHeight="1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</row>
    <row r="135" spans="1:26" ht="14.25" customHeight="1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</row>
    <row r="136" spans="1:26" ht="14.25" customHeight="1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</row>
    <row r="137" spans="1:26" ht="14.25" customHeight="1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</row>
    <row r="138" spans="1:26" ht="14.25" customHeight="1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</row>
    <row r="139" spans="1:26" ht="14.25" customHeight="1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</row>
    <row r="140" spans="1:26" ht="14.25" customHeight="1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</row>
    <row r="141" spans="1:26" ht="14.25" customHeight="1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</row>
    <row r="142" spans="1:26" ht="14.25" customHeight="1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</row>
    <row r="143" spans="1:26" ht="14.25" customHeight="1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</row>
    <row r="144" spans="1:26" ht="14.25" customHeight="1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</row>
    <row r="145" spans="1:26" ht="14.25" customHeight="1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</row>
    <row r="146" spans="1:26" ht="14.25" customHeight="1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</row>
    <row r="147" spans="1:26" ht="14.25" customHeight="1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</row>
    <row r="148" spans="1:26" ht="14.25" customHeight="1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</row>
    <row r="149" spans="1:26" ht="14.25" customHeight="1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</row>
    <row r="150" spans="1:26" ht="14.25" customHeight="1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</row>
    <row r="151" spans="1:26" ht="14.25" customHeight="1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</row>
    <row r="152" spans="1:26" ht="14.25" customHeight="1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</row>
    <row r="153" spans="1:26" ht="14.25" customHeight="1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</row>
    <row r="154" spans="1:26" ht="14.25" customHeight="1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</row>
    <row r="155" spans="1:26" ht="14.25" customHeight="1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</row>
    <row r="156" spans="1:26" ht="14.25" customHeight="1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</row>
    <row r="157" spans="1:26" ht="14.25" customHeight="1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</row>
    <row r="158" spans="1:26" ht="14.25" customHeight="1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</row>
    <row r="159" spans="1:26" ht="14.25" customHeight="1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</row>
    <row r="160" spans="1:26" ht="14.25" customHeight="1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</row>
    <row r="161" spans="1:26" ht="14.25" customHeight="1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</row>
    <row r="162" spans="1:26" ht="14.25" customHeight="1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</row>
    <row r="163" spans="1:26" ht="14.25" customHeight="1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</row>
    <row r="164" spans="1:26" ht="14.25" customHeight="1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</row>
    <row r="165" spans="1:26" ht="14.25" customHeight="1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</row>
    <row r="166" spans="1:26" ht="14.25" customHeight="1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</row>
    <row r="167" spans="1:26" ht="14.25" customHeight="1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</row>
    <row r="168" spans="1:26" ht="14.25" customHeight="1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</row>
    <row r="169" spans="1:26" ht="14.25" customHeight="1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</row>
    <row r="170" spans="1:26" ht="14.25" customHeight="1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</row>
    <row r="171" spans="1:26" ht="14.25" customHeight="1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</row>
    <row r="172" spans="1:26" ht="14.25" customHeight="1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</row>
    <row r="173" spans="1:26" ht="14.25" customHeight="1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</row>
    <row r="174" spans="1:26" ht="14.25" customHeight="1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</row>
    <row r="175" spans="1:26" ht="14.25" customHeight="1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</row>
    <row r="176" spans="1:26" ht="14.25" customHeight="1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</row>
    <row r="177" spans="1:26" ht="14.25" customHeight="1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</row>
    <row r="178" spans="1:26" ht="14.25" customHeight="1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</row>
    <row r="179" spans="1:26" ht="14.25" customHeight="1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</row>
    <row r="180" spans="1:26" ht="14.25" customHeight="1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</row>
    <row r="181" spans="1:26" ht="14.25" customHeight="1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</row>
    <row r="182" spans="1:26" ht="14.25" customHeight="1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</row>
    <row r="183" spans="1:26" ht="14.25" customHeight="1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</row>
    <row r="184" spans="1:26" ht="14.25" customHeight="1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</row>
    <row r="185" spans="1:26" ht="14.25" customHeight="1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</row>
    <row r="186" spans="1:26" ht="14.25" customHeight="1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</row>
    <row r="187" spans="1:26" ht="14.25" customHeight="1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</row>
    <row r="188" spans="1:26" ht="14.25" customHeight="1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</row>
    <row r="189" spans="1:26" ht="14.25" customHeight="1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</row>
    <row r="190" spans="1:26" ht="14.25" customHeight="1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</row>
    <row r="191" spans="1:26" ht="14.25" customHeight="1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</row>
    <row r="192" spans="1:26" ht="14.25" customHeight="1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</row>
    <row r="193" spans="1:26" ht="14.25" customHeight="1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</row>
    <row r="194" spans="1:26" ht="14.25" customHeight="1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</row>
    <row r="195" spans="1:26" ht="14.25" customHeight="1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</row>
    <row r="196" spans="1:26" ht="14.25" customHeight="1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</row>
    <row r="197" spans="1:26" ht="14.25" customHeight="1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</row>
    <row r="198" spans="1:26" ht="14.25" customHeight="1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</row>
    <row r="199" spans="1:26" ht="14.25" customHeight="1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</row>
    <row r="200" spans="1:26" ht="14.25" customHeight="1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</row>
    <row r="201" spans="1:26" ht="14.25" customHeight="1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</row>
    <row r="202" spans="1:26" ht="14.25" customHeight="1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</row>
    <row r="203" spans="1:26" ht="14.25" customHeight="1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</row>
    <row r="204" spans="1:26" ht="14.25" customHeight="1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</row>
    <row r="205" spans="1:26" ht="14.25" customHeight="1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</row>
    <row r="206" spans="1:26" ht="14.25" customHeight="1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</row>
    <row r="207" spans="1:26" ht="14.25" customHeight="1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</row>
    <row r="208" spans="1:26" ht="14.25" customHeight="1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</row>
    <row r="209" spans="1:26" ht="14.25" customHeight="1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</row>
    <row r="210" spans="1:26" ht="14.25" customHeight="1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</row>
    <row r="211" spans="1:26" ht="14.25" customHeight="1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</row>
    <row r="212" spans="1:26" ht="14.25" customHeight="1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</row>
    <row r="213" spans="1:26" ht="14.25" customHeight="1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</row>
    <row r="214" spans="1:26" ht="14.25" customHeight="1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</row>
    <row r="215" spans="1:26" ht="14.25" customHeight="1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</row>
    <row r="216" spans="1:26" ht="14.25" customHeight="1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</row>
    <row r="217" spans="1:26" ht="14.25" customHeight="1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</row>
    <row r="218" spans="1:26" ht="14.25" customHeight="1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</row>
    <row r="219" spans="1:26" ht="14.25" customHeight="1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</row>
    <row r="220" spans="1:26" ht="14.25" customHeight="1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</row>
    <row r="221" spans="1:26" ht="14.25" customHeight="1">
      <c r="A221" s="168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</row>
    <row r="222" spans="1:26" ht="14.25" customHeight="1">
      <c r="A222" s="168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</row>
    <row r="223" spans="1:26" ht="14.25" customHeight="1">
      <c r="A223" s="168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</row>
    <row r="224" spans="1:26" ht="14.25" customHeight="1">
      <c r="A224" s="168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</row>
    <row r="225" spans="1:26" ht="14.25" customHeight="1">
      <c r="A225" s="168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</row>
    <row r="226" spans="1:26" ht="14.25" customHeight="1">
      <c r="A226" s="168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</row>
    <row r="227" spans="1:26" ht="14.25" customHeight="1">
      <c r="A227" s="168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</row>
    <row r="228" spans="1:26" ht="14.25" customHeight="1">
      <c r="A228" s="168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</row>
    <row r="229" spans="1:26" ht="14.25" customHeight="1">
      <c r="A229" s="168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</row>
    <row r="230" spans="1:26" ht="14.25" customHeight="1">
      <c r="A230" s="168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</row>
    <row r="231" spans="1:26" ht="14.25" customHeight="1">
      <c r="A231" s="168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</row>
    <row r="232" spans="1:26" ht="14.25" customHeight="1">
      <c r="A232" s="168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</row>
    <row r="233" spans="1:26" ht="14.25" customHeight="1">
      <c r="A233" s="168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</row>
    <row r="234" spans="1:26" ht="14.25" customHeight="1">
      <c r="A234" s="168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</row>
    <row r="235" spans="1:26" ht="14.25" customHeight="1">
      <c r="A235" s="168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</row>
    <row r="236" spans="1:26" ht="14.25" customHeight="1">
      <c r="A236" s="168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</row>
    <row r="237" spans="1:26" ht="14.25" customHeight="1">
      <c r="A237" s="168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</row>
    <row r="238" spans="1:26" ht="14.25" customHeight="1">
      <c r="A238" s="168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</row>
    <row r="239" spans="1:26" ht="14.25" customHeight="1">
      <c r="A239" s="168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</row>
    <row r="240" spans="1:26" ht="14.25" customHeight="1">
      <c r="A240" s="168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</row>
    <row r="241" spans="1:26" ht="14.25" customHeight="1">
      <c r="A241" s="168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</row>
    <row r="242" spans="1:26" ht="14.25" customHeight="1">
      <c r="A242" s="168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</row>
    <row r="243" spans="1:26" ht="14.25" customHeight="1">
      <c r="A243" s="168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</row>
    <row r="244" spans="1:26" ht="14.25" customHeight="1">
      <c r="A244" s="168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</row>
    <row r="245" spans="1:26" ht="14.25" customHeight="1">
      <c r="A245" s="168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</row>
    <row r="246" spans="1:26" ht="14.25" customHeight="1">
      <c r="A246" s="168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</row>
    <row r="247" spans="1:26" ht="14.25" customHeight="1">
      <c r="A247" s="168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</row>
    <row r="248" spans="1:26" ht="14.25" customHeight="1">
      <c r="A248" s="168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</row>
    <row r="249" spans="1:26" ht="14.25" customHeight="1">
      <c r="A249" s="168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</row>
    <row r="250" spans="1:26" ht="14.25" customHeight="1">
      <c r="A250" s="168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</row>
    <row r="251" spans="1:26" ht="14.25" customHeight="1">
      <c r="A251" s="168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</row>
    <row r="252" spans="1:26" ht="14.25" customHeight="1">
      <c r="A252" s="168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</row>
    <row r="253" spans="1:26" ht="14.25" customHeight="1">
      <c r="A253" s="168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</row>
    <row r="254" spans="1:26" ht="14.25" customHeight="1">
      <c r="A254" s="168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</row>
    <row r="255" spans="1:26" ht="14.25" customHeight="1">
      <c r="A255" s="168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</row>
    <row r="256" spans="1:26" ht="14.25" customHeight="1">
      <c r="A256" s="168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</row>
    <row r="257" spans="1:26" ht="14.25" customHeight="1">
      <c r="A257" s="168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</row>
    <row r="258" spans="1:26" ht="14.25" customHeight="1">
      <c r="A258" s="168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</row>
    <row r="259" spans="1:26" ht="14.25" customHeight="1">
      <c r="A259" s="168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</row>
    <row r="260" spans="1:26" ht="14.25" customHeight="1">
      <c r="A260" s="168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</row>
    <row r="261" spans="1:26" ht="14.25" customHeight="1">
      <c r="A261" s="168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</row>
    <row r="262" spans="1:26" ht="14.25" customHeight="1">
      <c r="A262" s="168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</row>
    <row r="263" spans="1:26" ht="14.25" customHeight="1">
      <c r="A263" s="168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</row>
    <row r="264" spans="1:26" ht="14.25" customHeight="1">
      <c r="A264" s="168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</row>
    <row r="265" spans="1:26" ht="14.25" customHeight="1">
      <c r="A265" s="168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</row>
    <row r="266" spans="1:26" ht="14.25" customHeight="1">
      <c r="A266" s="168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</row>
    <row r="267" spans="1:26" ht="14.25" customHeight="1">
      <c r="A267" s="168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</row>
    <row r="268" spans="1:26" ht="14.25" customHeight="1">
      <c r="A268" s="168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</row>
    <row r="269" spans="1:26" ht="14.25" customHeight="1">
      <c r="A269" s="168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</row>
    <row r="270" spans="1:26" ht="14.25" customHeight="1">
      <c r="A270" s="168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</row>
    <row r="271" spans="1:26" ht="14.25" customHeight="1">
      <c r="A271" s="168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</row>
    <row r="272" spans="1:26" ht="14.25" customHeight="1">
      <c r="A272" s="168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</row>
    <row r="273" spans="1:26" ht="14.25" customHeight="1">
      <c r="A273" s="168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</row>
    <row r="274" spans="1:26" ht="14.25" customHeight="1">
      <c r="A274" s="168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</row>
    <row r="275" spans="1:26" ht="14.25" customHeight="1">
      <c r="A275" s="168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</row>
    <row r="276" spans="1:26" ht="14.25" customHeight="1">
      <c r="A276" s="168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</row>
    <row r="277" spans="1:26" ht="14.25" customHeight="1">
      <c r="A277" s="168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</row>
    <row r="278" spans="1:26" ht="14.25" customHeight="1">
      <c r="A278" s="168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</row>
    <row r="279" spans="1:26" ht="14.25" customHeight="1">
      <c r="A279" s="168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</row>
    <row r="280" spans="1:26" ht="14.25" customHeight="1">
      <c r="A280" s="168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</row>
    <row r="281" spans="1:26" ht="14.25" customHeight="1">
      <c r="A281" s="168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</row>
    <row r="282" spans="1:26" ht="14.25" customHeight="1">
      <c r="A282" s="168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</row>
    <row r="283" spans="1:26" ht="14.25" customHeight="1">
      <c r="A283" s="168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</row>
    <row r="284" spans="1:26" ht="14.25" customHeight="1">
      <c r="A284" s="168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</row>
    <row r="285" spans="1:26" ht="14.25" customHeight="1">
      <c r="A285" s="168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</row>
    <row r="286" spans="1:26" ht="14.25" customHeight="1">
      <c r="A286" s="168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</row>
    <row r="287" spans="1:26" ht="14.25" customHeight="1">
      <c r="A287" s="168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</row>
    <row r="288" spans="1:26" ht="14.25" customHeight="1">
      <c r="A288" s="168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</row>
    <row r="289" spans="1:26" ht="14.25" customHeight="1">
      <c r="A289" s="168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</row>
    <row r="290" spans="1:26" ht="14.25" customHeight="1">
      <c r="A290" s="168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</row>
    <row r="291" spans="1:26" ht="14.25" customHeight="1">
      <c r="A291" s="168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</row>
    <row r="292" spans="1:26" ht="14.25" customHeight="1">
      <c r="A292" s="168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</row>
    <row r="293" spans="1:26" ht="14.25" customHeight="1">
      <c r="A293" s="168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</row>
    <row r="294" spans="1:26" ht="14.25" customHeight="1">
      <c r="A294" s="168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</row>
    <row r="295" spans="1:26" ht="14.25" customHeight="1">
      <c r="A295" s="168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</row>
    <row r="296" spans="1:26" ht="14.25" customHeight="1">
      <c r="A296" s="168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</row>
    <row r="297" spans="1:26" ht="14.25" customHeight="1">
      <c r="A297" s="168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</row>
    <row r="298" spans="1:26" ht="14.25" customHeight="1">
      <c r="A298" s="168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</row>
    <row r="299" spans="1:26" ht="14.25" customHeight="1">
      <c r="A299" s="168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</row>
    <row r="300" spans="1:26" ht="14.25" customHeight="1">
      <c r="A300" s="168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</row>
    <row r="301" spans="1:26" ht="14.25" customHeight="1">
      <c r="A301" s="168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</row>
    <row r="302" spans="1:26" ht="14.25" customHeight="1">
      <c r="A302" s="168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</row>
    <row r="303" spans="1:26" ht="14.25" customHeight="1">
      <c r="A303" s="168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</row>
    <row r="304" spans="1:26" ht="14.25" customHeight="1">
      <c r="A304" s="168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</row>
    <row r="305" spans="1:26" ht="14.25" customHeight="1">
      <c r="A305" s="168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</row>
    <row r="306" spans="1:26" ht="14.25" customHeight="1">
      <c r="A306" s="168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</row>
    <row r="307" spans="1:26" ht="14.25" customHeight="1">
      <c r="A307" s="168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</row>
    <row r="308" spans="1:26" ht="14.25" customHeight="1">
      <c r="A308" s="168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</row>
    <row r="309" spans="1:26" ht="14.25" customHeight="1">
      <c r="A309" s="168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</row>
    <row r="310" spans="1:26" ht="14.25" customHeight="1">
      <c r="A310" s="168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</row>
    <row r="311" spans="1:26" ht="14.25" customHeight="1">
      <c r="A311" s="168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</row>
    <row r="312" spans="1:26" ht="14.25" customHeight="1">
      <c r="A312" s="168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</row>
    <row r="313" spans="1:26" ht="14.25" customHeight="1">
      <c r="A313" s="168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</row>
    <row r="314" spans="1:26" ht="14.25" customHeight="1">
      <c r="A314" s="168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</row>
    <row r="315" spans="1:26" ht="14.25" customHeight="1">
      <c r="A315" s="168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</row>
    <row r="316" spans="1:26" ht="14.25" customHeight="1">
      <c r="A316" s="168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</row>
    <row r="317" spans="1:26" ht="14.25" customHeight="1">
      <c r="A317" s="168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</row>
    <row r="318" spans="1:26" ht="14.25" customHeight="1">
      <c r="A318" s="168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</row>
    <row r="319" spans="1:26" ht="14.25" customHeight="1">
      <c r="A319" s="168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</row>
    <row r="320" spans="1:26" ht="14.25" customHeight="1">
      <c r="A320" s="168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</row>
    <row r="321" spans="1:26" ht="14.25" customHeight="1">
      <c r="A321" s="168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</row>
    <row r="322" spans="1:26" ht="14.25" customHeight="1">
      <c r="A322" s="168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</row>
    <row r="323" spans="1:26" ht="14.25" customHeight="1">
      <c r="A323" s="168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</row>
    <row r="324" spans="1:26" ht="14.25" customHeight="1">
      <c r="A324" s="168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</row>
    <row r="325" spans="1:26" ht="14.25" customHeight="1">
      <c r="A325" s="168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</row>
    <row r="326" spans="1:26" ht="14.25" customHeight="1">
      <c r="A326" s="168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</row>
    <row r="327" spans="1:26" ht="14.25" customHeight="1">
      <c r="A327" s="168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</row>
    <row r="328" spans="1:26" ht="14.25" customHeight="1">
      <c r="A328" s="168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</row>
    <row r="329" spans="1:26" ht="14.25" customHeight="1">
      <c r="A329" s="168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</row>
    <row r="330" spans="1:26" ht="14.25" customHeight="1">
      <c r="A330" s="168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</row>
    <row r="331" spans="1:26" ht="14.25" customHeight="1">
      <c r="A331" s="168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</row>
    <row r="332" spans="1:26" ht="14.25" customHeight="1">
      <c r="A332" s="168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</row>
    <row r="333" spans="1:26" ht="14.25" customHeight="1">
      <c r="A333" s="168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</row>
    <row r="334" spans="1:26" ht="14.25" customHeight="1">
      <c r="A334" s="168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</row>
    <row r="335" spans="1:26" ht="14.25" customHeight="1">
      <c r="A335" s="168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</row>
    <row r="336" spans="1:26" ht="14.25" customHeight="1">
      <c r="A336" s="168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</row>
    <row r="337" spans="1:26" ht="14.25" customHeight="1">
      <c r="A337" s="168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</row>
    <row r="338" spans="1:26" ht="14.25" customHeight="1">
      <c r="A338" s="168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</row>
    <row r="339" spans="1:26" ht="14.25" customHeight="1">
      <c r="A339" s="168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</row>
    <row r="340" spans="1:26" ht="14.25" customHeight="1">
      <c r="A340" s="168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</row>
    <row r="341" spans="1:26" ht="14.25" customHeight="1">
      <c r="A341" s="168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</row>
    <row r="342" spans="1:26" ht="14.25" customHeight="1">
      <c r="A342" s="168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</row>
    <row r="343" spans="1:26" ht="14.25" customHeight="1">
      <c r="A343" s="168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</row>
    <row r="344" spans="1:26" ht="14.25" customHeight="1">
      <c r="A344" s="168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</row>
    <row r="345" spans="1:26" ht="14.25" customHeight="1">
      <c r="A345" s="168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</row>
    <row r="346" spans="1:26" ht="14.25" customHeight="1">
      <c r="A346" s="168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</row>
    <row r="347" spans="1:26" ht="14.25" customHeight="1">
      <c r="A347" s="168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</row>
    <row r="348" spans="1:26" ht="14.25" customHeight="1">
      <c r="A348" s="168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</row>
    <row r="349" spans="1:26" ht="14.25" customHeight="1">
      <c r="A349" s="168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</row>
    <row r="350" spans="1:26" ht="14.25" customHeight="1">
      <c r="A350" s="168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</row>
    <row r="351" spans="1:26" ht="14.25" customHeight="1">
      <c r="A351" s="168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</row>
    <row r="352" spans="1:26" ht="14.25" customHeight="1">
      <c r="A352" s="168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</row>
    <row r="353" spans="1:26" ht="14.25" customHeight="1">
      <c r="A353" s="168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</row>
    <row r="354" spans="1:26" ht="14.25" customHeight="1">
      <c r="A354" s="168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</row>
    <row r="355" spans="1:26" ht="14.25" customHeight="1">
      <c r="A355" s="168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</row>
    <row r="356" spans="1:26" ht="14.25" customHeight="1">
      <c r="A356" s="168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</row>
    <row r="357" spans="1:26" ht="14.25" customHeight="1">
      <c r="A357" s="168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</row>
    <row r="358" spans="1:26" ht="14.25" customHeight="1">
      <c r="A358" s="168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</row>
    <row r="359" spans="1:26" ht="14.25" customHeight="1">
      <c r="A359" s="168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</row>
    <row r="360" spans="1:26" ht="14.25" customHeight="1">
      <c r="A360" s="168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</row>
    <row r="361" spans="1:26" ht="14.25" customHeight="1">
      <c r="A361" s="168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</row>
    <row r="362" spans="1:26" ht="14.25" customHeight="1">
      <c r="A362" s="168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</row>
    <row r="363" spans="1:26" ht="14.25" customHeight="1">
      <c r="A363" s="168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</row>
    <row r="364" spans="1:26" ht="14.25" customHeight="1">
      <c r="A364" s="168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</row>
    <row r="365" spans="1:26" ht="14.25" customHeight="1">
      <c r="A365" s="168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</row>
    <row r="366" spans="1:26" ht="14.25" customHeight="1">
      <c r="A366" s="168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</row>
    <row r="367" spans="1:26" ht="14.25" customHeight="1">
      <c r="A367" s="168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</row>
    <row r="368" spans="1:26" ht="14.25" customHeight="1">
      <c r="A368" s="168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</row>
    <row r="369" spans="1:26" ht="14.25" customHeight="1">
      <c r="A369" s="168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</row>
    <row r="370" spans="1:26" ht="14.25" customHeight="1">
      <c r="A370" s="168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</row>
    <row r="371" spans="1:26" ht="14.25" customHeight="1">
      <c r="A371" s="168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</row>
    <row r="372" spans="1:26" ht="14.25" customHeight="1">
      <c r="A372" s="168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</row>
    <row r="373" spans="1:26" ht="14.25" customHeight="1">
      <c r="A373" s="168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</row>
    <row r="374" spans="1:26" ht="14.25" customHeight="1">
      <c r="A374" s="168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</row>
    <row r="375" spans="1:26" ht="14.25" customHeight="1">
      <c r="A375" s="168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</row>
    <row r="376" spans="1:26" ht="14.25" customHeight="1">
      <c r="A376" s="168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</row>
    <row r="377" spans="1:26" ht="14.25" customHeight="1">
      <c r="A377" s="168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</row>
    <row r="378" spans="1:26" ht="14.25" customHeight="1">
      <c r="A378" s="168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</row>
    <row r="379" spans="1:26" ht="14.25" customHeight="1">
      <c r="A379" s="168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</row>
    <row r="380" spans="1:26" ht="14.25" customHeight="1">
      <c r="A380" s="168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</row>
    <row r="381" spans="1:26" ht="14.25" customHeight="1">
      <c r="A381" s="168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</row>
    <row r="382" spans="1:26" ht="14.25" customHeight="1">
      <c r="A382" s="168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</row>
    <row r="383" spans="1:26" ht="14.25" customHeight="1">
      <c r="A383" s="168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</row>
    <row r="384" spans="1:26" ht="14.25" customHeight="1">
      <c r="A384" s="168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</row>
    <row r="385" spans="1:26" ht="14.25" customHeight="1">
      <c r="A385" s="168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</row>
    <row r="386" spans="1:26" ht="14.25" customHeight="1">
      <c r="A386" s="168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</row>
    <row r="387" spans="1:26" ht="14.25" customHeight="1">
      <c r="A387" s="168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</row>
    <row r="388" spans="1:26" ht="14.25" customHeight="1">
      <c r="A388" s="168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</row>
    <row r="389" spans="1:26" ht="14.25" customHeight="1">
      <c r="A389" s="168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</row>
    <row r="390" spans="1:26" ht="14.25" customHeight="1">
      <c r="A390" s="168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</row>
    <row r="391" spans="1:26" ht="14.25" customHeight="1">
      <c r="A391" s="168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</row>
    <row r="392" spans="1:26" ht="14.25" customHeight="1">
      <c r="A392" s="168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</row>
    <row r="393" spans="1:26" ht="14.25" customHeight="1">
      <c r="A393" s="168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</row>
    <row r="394" spans="1:26" ht="14.25" customHeight="1">
      <c r="A394" s="168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</row>
    <row r="395" spans="1:26" ht="14.25" customHeight="1">
      <c r="A395" s="168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</row>
    <row r="396" spans="1:26" ht="14.25" customHeight="1">
      <c r="A396" s="168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</row>
    <row r="397" spans="1:26" ht="14.25" customHeight="1">
      <c r="A397" s="168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</row>
    <row r="398" spans="1:26" ht="14.25" customHeight="1">
      <c r="A398" s="168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</row>
    <row r="399" spans="1:26" ht="14.25" customHeight="1">
      <c r="A399" s="168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</row>
    <row r="400" spans="1:26" ht="14.25" customHeight="1">
      <c r="A400" s="168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</row>
    <row r="401" spans="1:26" ht="14.25" customHeight="1">
      <c r="A401" s="168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</row>
    <row r="402" spans="1:26" ht="14.25" customHeight="1">
      <c r="A402" s="168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</row>
    <row r="403" spans="1:26" ht="14.25" customHeight="1">
      <c r="A403" s="168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</row>
    <row r="404" spans="1:26" ht="14.25" customHeight="1">
      <c r="A404" s="168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</row>
    <row r="405" spans="1:26" ht="14.25" customHeight="1">
      <c r="A405" s="168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</row>
    <row r="406" spans="1:26" ht="14.25" customHeight="1">
      <c r="A406" s="168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</row>
    <row r="407" spans="1:26" ht="14.25" customHeight="1">
      <c r="A407" s="168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</row>
    <row r="408" spans="1:26" ht="14.25" customHeight="1">
      <c r="A408" s="168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</row>
    <row r="409" spans="1:26" ht="14.25" customHeight="1">
      <c r="A409" s="168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</row>
    <row r="410" spans="1:26" ht="14.25" customHeight="1">
      <c r="A410" s="168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</row>
    <row r="411" spans="1:26" ht="14.25" customHeight="1">
      <c r="A411" s="168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</row>
    <row r="412" spans="1:26" ht="14.25" customHeight="1">
      <c r="A412" s="168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</row>
    <row r="413" spans="1:26" ht="14.25" customHeight="1">
      <c r="A413" s="168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</row>
    <row r="414" spans="1:26" ht="14.25" customHeight="1">
      <c r="A414" s="168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</row>
    <row r="415" spans="1:26" ht="14.25" customHeight="1">
      <c r="A415" s="168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</row>
    <row r="416" spans="1:26" ht="14.25" customHeight="1">
      <c r="A416" s="168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</row>
    <row r="417" spans="1:26" ht="14.25" customHeight="1">
      <c r="A417" s="168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</row>
    <row r="418" spans="1:26" ht="14.25" customHeight="1">
      <c r="A418" s="168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</row>
    <row r="419" spans="1:26" ht="14.25" customHeight="1">
      <c r="A419" s="168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</row>
    <row r="420" spans="1:26" ht="14.25" customHeight="1">
      <c r="A420" s="168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</row>
    <row r="421" spans="1:26" ht="14.25" customHeight="1">
      <c r="A421" s="168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</row>
    <row r="422" spans="1:26" ht="14.25" customHeight="1">
      <c r="A422" s="168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</row>
    <row r="423" spans="1:26" ht="14.25" customHeight="1">
      <c r="A423" s="168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</row>
    <row r="424" spans="1:26" ht="14.25" customHeight="1">
      <c r="A424" s="168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</row>
    <row r="425" spans="1:26" ht="14.25" customHeight="1">
      <c r="A425" s="168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</row>
    <row r="426" spans="1:26" ht="14.25" customHeight="1">
      <c r="A426" s="168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</row>
    <row r="427" spans="1:26" ht="14.25" customHeight="1">
      <c r="A427" s="168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</row>
    <row r="428" spans="1:26" ht="14.25" customHeight="1">
      <c r="A428" s="168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</row>
    <row r="429" spans="1:26" ht="14.25" customHeight="1">
      <c r="A429" s="168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</row>
    <row r="430" spans="1:26" ht="14.25" customHeight="1">
      <c r="A430" s="168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</row>
    <row r="431" spans="1:26" ht="14.25" customHeight="1">
      <c r="A431" s="168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</row>
    <row r="432" spans="1:26" ht="14.25" customHeight="1">
      <c r="A432" s="168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</row>
    <row r="433" spans="1:26" ht="14.25" customHeight="1">
      <c r="A433" s="168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</row>
    <row r="434" spans="1:26" ht="14.25" customHeight="1">
      <c r="A434" s="168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</row>
    <row r="435" spans="1:26" ht="14.25" customHeight="1">
      <c r="A435" s="168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</row>
    <row r="436" spans="1:26" ht="14.25" customHeight="1">
      <c r="A436" s="168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</row>
    <row r="437" spans="1:26" ht="14.25" customHeight="1">
      <c r="A437" s="168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</row>
    <row r="438" spans="1:26" ht="14.25" customHeight="1">
      <c r="A438" s="168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</row>
    <row r="439" spans="1:26" ht="14.25" customHeight="1">
      <c r="A439" s="168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</row>
    <row r="440" spans="1:26" ht="14.25" customHeight="1">
      <c r="A440" s="168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</row>
    <row r="441" spans="1:26" ht="14.25" customHeight="1">
      <c r="A441" s="168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</row>
    <row r="442" spans="1:26" ht="14.25" customHeight="1">
      <c r="A442" s="168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</row>
    <row r="443" spans="1:26" ht="14.25" customHeight="1">
      <c r="A443" s="168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</row>
    <row r="444" spans="1:26" ht="14.25" customHeight="1">
      <c r="A444" s="168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</row>
    <row r="445" spans="1:26" ht="14.25" customHeight="1">
      <c r="A445" s="168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</row>
    <row r="446" spans="1:26" ht="14.25" customHeight="1">
      <c r="A446" s="168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</row>
    <row r="447" spans="1:26" ht="14.25" customHeight="1">
      <c r="A447" s="168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</row>
    <row r="448" spans="1:26" ht="14.25" customHeight="1">
      <c r="A448" s="168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</row>
    <row r="449" spans="1:26" ht="14.25" customHeight="1">
      <c r="A449" s="168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</row>
    <row r="450" spans="1:26" ht="14.25" customHeight="1">
      <c r="A450" s="168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</row>
    <row r="451" spans="1:26" ht="14.25" customHeight="1">
      <c r="A451" s="168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</row>
    <row r="452" spans="1:26" ht="14.25" customHeight="1">
      <c r="A452" s="168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</row>
    <row r="453" spans="1:26" ht="14.25" customHeight="1">
      <c r="A453" s="168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</row>
    <row r="454" spans="1:26" ht="14.25" customHeight="1">
      <c r="A454" s="168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</row>
    <row r="455" spans="1:26" ht="14.25" customHeight="1">
      <c r="A455" s="168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</row>
    <row r="456" spans="1:26" ht="14.25" customHeight="1">
      <c r="A456" s="168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</row>
    <row r="457" spans="1:26" ht="14.25" customHeight="1">
      <c r="A457" s="168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</row>
    <row r="458" spans="1:26" ht="14.25" customHeight="1">
      <c r="A458" s="168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</row>
    <row r="459" spans="1:26" ht="14.25" customHeight="1">
      <c r="A459" s="168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</row>
    <row r="460" spans="1:26" ht="14.25" customHeight="1">
      <c r="A460" s="168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</row>
    <row r="461" spans="1:26" ht="14.25" customHeight="1">
      <c r="A461" s="168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</row>
    <row r="462" spans="1:26" ht="14.25" customHeight="1">
      <c r="A462" s="168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</row>
    <row r="463" spans="1:26" ht="14.25" customHeight="1">
      <c r="A463" s="168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</row>
    <row r="464" spans="1:26" ht="14.25" customHeight="1">
      <c r="A464" s="168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</row>
    <row r="465" spans="1:26" ht="14.25" customHeight="1">
      <c r="A465" s="168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</row>
    <row r="466" spans="1:26" ht="14.25" customHeight="1">
      <c r="A466" s="168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</row>
    <row r="467" spans="1:26" ht="14.25" customHeight="1">
      <c r="A467" s="168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</row>
    <row r="468" spans="1:26" ht="14.25" customHeight="1">
      <c r="A468" s="168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</row>
    <row r="469" spans="1:26" ht="14.25" customHeight="1">
      <c r="A469" s="168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</row>
    <row r="470" spans="1:26" ht="14.25" customHeight="1">
      <c r="A470" s="168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</row>
    <row r="471" spans="1:26" ht="14.25" customHeight="1">
      <c r="A471" s="168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</row>
    <row r="472" spans="1:26" ht="14.25" customHeight="1">
      <c r="A472" s="168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</row>
    <row r="473" spans="1:26" ht="14.25" customHeight="1">
      <c r="A473" s="168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</row>
    <row r="474" spans="1:26" ht="14.25" customHeight="1">
      <c r="A474" s="168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</row>
    <row r="475" spans="1:26" ht="14.25" customHeight="1">
      <c r="A475" s="168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</row>
    <row r="476" spans="1:26" ht="14.25" customHeight="1">
      <c r="A476" s="168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</row>
    <row r="477" spans="1:26" ht="14.25" customHeight="1">
      <c r="A477" s="168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</row>
    <row r="478" spans="1:26" ht="14.25" customHeight="1">
      <c r="A478" s="168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</row>
    <row r="479" spans="1:26" ht="14.25" customHeight="1">
      <c r="A479" s="168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</row>
    <row r="480" spans="1:26" ht="14.25" customHeight="1">
      <c r="A480" s="168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</row>
    <row r="481" spans="1:26" ht="14.25" customHeight="1">
      <c r="A481" s="168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</row>
    <row r="482" spans="1:26" ht="14.25" customHeight="1">
      <c r="A482" s="168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</row>
    <row r="483" spans="1:26" ht="14.25" customHeight="1">
      <c r="A483" s="168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</row>
    <row r="484" spans="1:26" ht="14.25" customHeight="1">
      <c r="A484" s="168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</row>
    <row r="485" spans="1:26" ht="14.25" customHeight="1">
      <c r="A485" s="168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</row>
    <row r="486" spans="1:26" ht="14.25" customHeight="1">
      <c r="A486" s="168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</row>
    <row r="487" spans="1:26" ht="14.25" customHeight="1">
      <c r="A487" s="168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</row>
    <row r="488" spans="1:26" ht="14.25" customHeight="1">
      <c r="A488" s="168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</row>
    <row r="489" spans="1:26" ht="14.25" customHeight="1">
      <c r="A489" s="168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</row>
    <row r="490" spans="1:26" ht="14.25" customHeight="1">
      <c r="A490" s="168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</row>
    <row r="491" spans="1:26" ht="14.25" customHeight="1">
      <c r="A491" s="168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</row>
    <row r="492" spans="1:26" ht="14.25" customHeight="1">
      <c r="A492" s="168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</row>
    <row r="493" spans="1:26" ht="14.25" customHeight="1">
      <c r="A493" s="168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</row>
    <row r="494" spans="1:26" ht="14.25" customHeight="1">
      <c r="A494" s="168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</row>
    <row r="495" spans="1:26" ht="14.25" customHeight="1">
      <c r="A495" s="168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</row>
    <row r="496" spans="1:26" ht="14.25" customHeight="1">
      <c r="A496" s="168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</row>
    <row r="497" spans="1:26" ht="14.25" customHeight="1">
      <c r="A497" s="168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</row>
    <row r="498" spans="1:26" ht="14.25" customHeight="1">
      <c r="A498" s="168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</row>
    <row r="499" spans="1:26" ht="14.25" customHeight="1">
      <c r="A499" s="168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</row>
    <row r="500" spans="1:26" ht="14.25" customHeight="1">
      <c r="A500" s="168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</row>
    <row r="501" spans="1:26" ht="14.25" customHeight="1">
      <c r="A501" s="168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</row>
    <row r="502" spans="1:26" ht="14.25" customHeight="1">
      <c r="A502" s="168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</row>
    <row r="503" spans="1:26" ht="14.25" customHeight="1">
      <c r="A503" s="168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</row>
    <row r="504" spans="1:26" ht="14.25" customHeight="1">
      <c r="A504" s="168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</row>
    <row r="505" spans="1:26" ht="14.25" customHeight="1">
      <c r="A505" s="168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</row>
    <row r="506" spans="1:26" ht="14.25" customHeight="1">
      <c r="A506" s="168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</row>
    <row r="507" spans="1:26" ht="14.25" customHeight="1">
      <c r="A507" s="168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</row>
    <row r="508" spans="1:26" ht="14.25" customHeight="1">
      <c r="A508" s="168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</row>
    <row r="509" spans="1:26" ht="14.25" customHeight="1">
      <c r="A509" s="168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</row>
    <row r="510" spans="1:26" ht="14.25" customHeight="1">
      <c r="A510" s="168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</row>
    <row r="511" spans="1:26" ht="14.25" customHeight="1">
      <c r="A511" s="168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</row>
    <row r="512" spans="1:26" ht="14.25" customHeight="1">
      <c r="A512" s="168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</row>
    <row r="513" spans="1:26" ht="14.25" customHeight="1">
      <c r="A513" s="168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</row>
    <row r="514" spans="1:26" ht="14.25" customHeight="1">
      <c r="A514" s="168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</row>
    <row r="515" spans="1:26" ht="14.25" customHeight="1">
      <c r="A515" s="168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</row>
    <row r="516" spans="1:26" ht="14.25" customHeight="1">
      <c r="A516" s="168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</row>
    <row r="517" spans="1:26" ht="14.25" customHeight="1">
      <c r="A517" s="168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</row>
    <row r="518" spans="1:26" ht="14.25" customHeight="1">
      <c r="A518" s="168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</row>
    <row r="519" spans="1:26" ht="14.25" customHeight="1">
      <c r="A519" s="168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</row>
    <row r="520" spans="1:26" ht="14.25" customHeight="1">
      <c r="A520" s="168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</row>
    <row r="521" spans="1:26" ht="14.25" customHeight="1">
      <c r="A521" s="168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</row>
    <row r="522" spans="1:26" ht="14.25" customHeight="1">
      <c r="A522" s="168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</row>
    <row r="523" spans="1:26" ht="14.25" customHeight="1">
      <c r="A523" s="168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</row>
    <row r="524" spans="1:26" ht="14.25" customHeight="1">
      <c r="A524" s="168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</row>
    <row r="525" spans="1:26" ht="14.25" customHeight="1">
      <c r="A525" s="168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</row>
    <row r="526" spans="1:26" ht="14.25" customHeight="1">
      <c r="A526" s="168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</row>
    <row r="527" spans="1:26" ht="14.25" customHeight="1">
      <c r="A527" s="168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</row>
    <row r="528" spans="1:26" ht="14.25" customHeight="1">
      <c r="A528" s="168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</row>
    <row r="529" spans="1:26" ht="14.25" customHeight="1">
      <c r="A529" s="168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</row>
    <row r="530" spans="1:26" ht="14.25" customHeight="1">
      <c r="A530" s="168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</row>
    <row r="531" spans="1:26" ht="14.25" customHeight="1">
      <c r="A531" s="168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</row>
    <row r="532" spans="1:26" ht="14.25" customHeight="1">
      <c r="A532" s="168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</row>
    <row r="533" spans="1:26" ht="14.25" customHeight="1">
      <c r="A533" s="168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</row>
    <row r="534" spans="1:26" ht="14.25" customHeight="1">
      <c r="A534" s="168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</row>
    <row r="535" spans="1:26" ht="14.25" customHeight="1">
      <c r="A535" s="168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</row>
    <row r="536" spans="1:26" ht="14.25" customHeight="1">
      <c r="A536" s="168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</row>
    <row r="537" spans="1:26" ht="14.25" customHeight="1">
      <c r="A537" s="168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</row>
    <row r="538" spans="1:26" ht="14.25" customHeight="1">
      <c r="A538" s="168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</row>
    <row r="539" spans="1:26" ht="14.25" customHeight="1">
      <c r="A539" s="168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</row>
    <row r="540" spans="1:26" ht="14.25" customHeight="1">
      <c r="A540" s="168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</row>
    <row r="541" spans="1:26" ht="14.25" customHeight="1">
      <c r="A541" s="168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</row>
    <row r="542" spans="1:26" ht="14.25" customHeight="1">
      <c r="A542" s="168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</row>
    <row r="543" spans="1:26" ht="14.25" customHeight="1">
      <c r="A543" s="168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</row>
    <row r="544" spans="1:26" ht="14.25" customHeight="1">
      <c r="A544" s="168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</row>
    <row r="545" spans="1:26" ht="14.25" customHeight="1">
      <c r="A545" s="168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</row>
    <row r="546" spans="1:26" ht="14.25" customHeight="1">
      <c r="A546" s="168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</row>
    <row r="547" spans="1:26" ht="14.25" customHeight="1">
      <c r="A547" s="168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</row>
    <row r="548" spans="1:26" ht="14.25" customHeight="1">
      <c r="A548" s="168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</row>
    <row r="549" spans="1:26" ht="14.25" customHeight="1">
      <c r="A549" s="168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</row>
    <row r="550" spans="1:26" ht="14.25" customHeight="1">
      <c r="A550" s="168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</row>
    <row r="551" spans="1:26" ht="14.25" customHeight="1">
      <c r="A551" s="168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</row>
    <row r="552" spans="1:26" ht="14.25" customHeight="1">
      <c r="A552" s="168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</row>
    <row r="553" spans="1:26" ht="14.25" customHeight="1">
      <c r="A553" s="168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</row>
    <row r="554" spans="1:26" ht="14.25" customHeight="1">
      <c r="A554" s="168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</row>
    <row r="555" spans="1:26" ht="14.25" customHeight="1">
      <c r="A555" s="168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</row>
    <row r="556" spans="1:26" ht="14.25" customHeight="1">
      <c r="A556" s="168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</row>
    <row r="557" spans="1:26" ht="14.25" customHeight="1">
      <c r="A557" s="168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</row>
    <row r="558" spans="1:26" ht="14.25" customHeight="1">
      <c r="A558" s="168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</row>
    <row r="559" spans="1:26" ht="14.25" customHeight="1">
      <c r="A559" s="168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</row>
    <row r="560" spans="1:26" ht="14.25" customHeight="1">
      <c r="A560" s="168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</row>
    <row r="561" spans="1:26" ht="14.25" customHeight="1">
      <c r="A561" s="168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</row>
    <row r="562" spans="1:26" ht="14.25" customHeight="1">
      <c r="A562" s="168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</row>
    <row r="563" spans="1:26" ht="14.25" customHeight="1">
      <c r="A563" s="168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</row>
    <row r="564" spans="1:26" ht="14.25" customHeight="1">
      <c r="A564" s="168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</row>
    <row r="565" spans="1:26" ht="14.25" customHeight="1">
      <c r="A565" s="168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</row>
    <row r="566" spans="1:26" ht="14.25" customHeight="1">
      <c r="A566" s="168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</row>
    <row r="567" spans="1:26" ht="14.25" customHeight="1">
      <c r="A567" s="168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</row>
    <row r="568" spans="1:26" ht="14.25" customHeight="1">
      <c r="A568" s="168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</row>
    <row r="569" spans="1:26" ht="14.25" customHeight="1">
      <c r="A569" s="168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</row>
    <row r="570" spans="1:26" ht="14.25" customHeight="1">
      <c r="A570" s="168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</row>
    <row r="571" spans="1:26" ht="14.25" customHeight="1">
      <c r="A571" s="168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</row>
    <row r="572" spans="1:26" ht="14.25" customHeight="1">
      <c r="A572" s="168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</row>
    <row r="573" spans="1:26" ht="14.25" customHeight="1">
      <c r="A573" s="168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</row>
    <row r="574" spans="1:26" ht="14.25" customHeight="1">
      <c r="A574" s="168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</row>
    <row r="575" spans="1:26" ht="14.25" customHeight="1">
      <c r="A575" s="168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</row>
    <row r="576" spans="1:26" ht="14.25" customHeight="1">
      <c r="A576" s="168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</row>
    <row r="577" spans="1:26" ht="14.25" customHeight="1">
      <c r="A577" s="168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</row>
    <row r="578" spans="1:26" ht="14.25" customHeight="1">
      <c r="A578" s="168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</row>
    <row r="579" spans="1:26" ht="14.25" customHeight="1">
      <c r="A579" s="168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</row>
    <row r="580" spans="1:26" ht="14.25" customHeight="1">
      <c r="A580" s="168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</row>
    <row r="581" spans="1:26" ht="14.25" customHeight="1">
      <c r="A581" s="168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</row>
    <row r="582" spans="1:26" ht="14.25" customHeight="1">
      <c r="A582" s="168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</row>
    <row r="583" spans="1:26" ht="14.25" customHeight="1">
      <c r="A583" s="168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</row>
    <row r="584" spans="1:26" ht="14.25" customHeight="1">
      <c r="A584" s="168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</row>
    <row r="585" spans="1:26" ht="14.25" customHeight="1">
      <c r="A585" s="168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</row>
    <row r="586" spans="1:26" ht="14.25" customHeight="1">
      <c r="A586" s="168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</row>
    <row r="587" spans="1:26" ht="14.25" customHeight="1">
      <c r="A587" s="168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</row>
    <row r="588" spans="1:26" ht="14.25" customHeight="1">
      <c r="A588" s="168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</row>
    <row r="589" spans="1:26" ht="14.25" customHeight="1">
      <c r="A589" s="168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</row>
    <row r="590" spans="1:26" ht="14.25" customHeight="1">
      <c r="A590" s="168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</row>
    <row r="591" spans="1:26" ht="14.25" customHeight="1">
      <c r="A591" s="168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</row>
    <row r="592" spans="1:26" ht="14.25" customHeight="1">
      <c r="A592" s="168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</row>
    <row r="593" spans="1:26" ht="14.25" customHeight="1">
      <c r="A593" s="168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</row>
    <row r="594" spans="1:26" ht="14.25" customHeight="1">
      <c r="A594" s="168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</row>
    <row r="595" spans="1:26" ht="14.25" customHeight="1">
      <c r="A595" s="168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</row>
    <row r="596" spans="1:26" ht="14.25" customHeight="1">
      <c r="A596" s="168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</row>
    <row r="597" spans="1:26" ht="14.25" customHeight="1">
      <c r="A597" s="168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</row>
    <row r="598" spans="1:26" ht="14.25" customHeight="1">
      <c r="A598" s="168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</row>
    <row r="599" spans="1:26" ht="14.25" customHeight="1">
      <c r="A599" s="168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</row>
    <row r="600" spans="1:26" ht="14.25" customHeight="1">
      <c r="A600" s="168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</row>
    <row r="601" spans="1:26" ht="14.25" customHeight="1">
      <c r="A601" s="168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</row>
    <row r="602" spans="1:26" ht="14.25" customHeight="1">
      <c r="A602" s="168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</row>
    <row r="603" spans="1:26" ht="14.25" customHeight="1">
      <c r="A603" s="168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</row>
    <row r="604" spans="1:26" ht="14.25" customHeight="1">
      <c r="A604" s="168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</row>
    <row r="605" spans="1:26" ht="14.25" customHeight="1">
      <c r="A605" s="168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</row>
    <row r="606" spans="1:26" ht="14.25" customHeight="1">
      <c r="A606" s="168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</row>
    <row r="607" spans="1:26" ht="14.25" customHeight="1">
      <c r="A607" s="168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</row>
    <row r="608" spans="1:26" ht="14.25" customHeight="1">
      <c r="A608" s="168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</row>
    <row r="609" spans="1:26" ht="14.25" customHeight="1">
      <c r="A609" s="168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</row>
    <row r="610" spans="1:26" ht="14.25" customHeight="1">
      <c r="A610" s="168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</row>
    <row r="611" spans="1:26" ht="14.25" customHeight="1">
      <c r="A611" s="168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</row>
    <row r="612" spans="1:26" ht="14.25" customHeight="1">
      <c r="A612" s="168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</row>
    <row r="613" spans="1:26" ht="14.25" customHeight="1">
      <c r="A613" s="168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</row>
    <row r="614" spans="1:26" ht="14.25" customHeight="1">
      <c r="A614" s="168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</row>
    <row r="615" spans="1:26" ht="14.25" customHeight="1">
      <c r="A615" s="168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</row>
    <row r="616" spans="1:26" ht="14.25" customHeight="1">
      <c r="A616" s="168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</row>
    <row r="617" spans="1:26" ht="14.25" customHeight="1">
      <c r="A617" s="168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</row>
    <row r="618" spans="1:26" ht="14.25" customHeight="1">
      <c r="A618" s="168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</row>
    <row r="619" spans="1:26" ht="14.25" customHeight="1">
      <c r="A619" s="168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</row>
    <row r="620" spans="1:26" ht="14.25" customHeight="1">
      <c r="A620" s="168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</row>
    <row r="621" spans="1:26" ht="14.25" customHeight="1">
      <c r="A621" s="168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</row>
    <row r="622" spans="1:26" ht="14.25" customHeight="1">
      <c r="A622" s="168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</row>
    <row r="623" spans="1:26" ht="14.25" customHeight="1">
      <c r="A623" s="168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</row>
    <row r="624" spans="1:26" ht="14.25" customHeight="1">
      <c r="A624" s="168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</row>
    <row r="625" spans="1:26" ht="14.25" customHeight="1">
      <c r="A625" s="168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</row>
    <row r="626" spans="1:26" ht="14.25" customHeight="1">
      <c r="A626" s="168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</row>
    <row r="627" spans="1:26" ht="14.25" customHeight="1">
      <c r="A627" s="168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</row>
    <row r="628" spans="1:26" ht="14.25" customHeight="1">
      <c r="A628" s="168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</row>
    <row r="629" spans="1:26" ht="14.25" customHeight="1">
      <c r="A629" s="168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</row>
    <row r="630" spans="1:26" ht="14.25" customHeight="1">
      <c r="A630" s="168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</row>
    <row r="631" spans="1:26" ht="14.25" customHeight="1">
      <c r="A631" s="168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</row>
    <row r="632" spans="1:26" ht="14.25" customHeight="1">
      <c r="A632" s="168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</row>
    <row r="633" spans="1:26" ht="14.25" customHeight="1">
      <c r="A633" s="168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</row>
    <row r="634" spans="1:26" ht="14.25" customHeight="1">
      <c r="A634" s="168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</row>
    <row r="635" spans="1:26" ht="14.25" customHeight="1">
      <c r="A635" s="168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</row>
    <row r="636" spans="1:26" ht="14.25" customHeight="1">
      <c r="A636" s="168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</row>
    <row r="637" spans="1:26" ht="14.25" customHeight="1">
      <c r="A637" s="168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</row>
    <row r="638" spans="1:26" ht="14.25" customHeight="1">
      <c r="A638" s="168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</row>
    <row r="639" spans="1:26" ht="14.25" customHeight="1">
      <c r="A639" s="168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</row>
    <row r="640" spans="1:26" ht="14.25" customHeight="1">
      <c r="A640" s="168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</row>
    <row r="641" spans="1:26" ht="14.25" customHeight="1">
      <c r="A641" s="168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</row>
    <row r="642" spans="1:26" ht="14.25" customHeight="1">
      <c r="A642" s="168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</row>
    <row r="643" spans="1:26" ht="14.25" customHeight="1">
      <c r="A643" s="168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</row>
    <row r="644" spans="1:26" ht="14.25" customHeight="1">
      <c r="A644" s="168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</row>
    <row r="645" spans="1:26" ht="14.25" customHeight="1">
      <c r="A645" s="168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</row>
    <row r="646" spans="1:26" ht="14.25" customHeight="1">
      <c r="A646" s="168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</row>
    <row r="647" spans="1:26" ht="14.25" customHeight="1">
      <c r="A647" s="168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</row>
    <row r="648" spans="1:26" ht="14.25" customHeight="1">
      <c r="A648" s="168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</row>
    <row r="649" spans="1:26" ht="14.25" customHeight="1">
      <c r="A649" s="168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</row>
    <row r="650" spans="1:26" ht="14.25" customHeight="1">
      <c r="A650" s="168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</row>
    <row r="651" spans="1:26" ht="14.25" customHeight="1">
      <c r="A651" s="168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</row>
    <row r="652" spans="1:26" ht="14.25" customHeight="1">
      <c r="A652" s="168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</row>
    <row r="653" spans="1:26" ht="14.25" customHeight="1">
      <c r="A653" s="168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</row>
    <row r="654" spans="1:26" ht="14.25" customHeight="1">
      <c r="A654" s="168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</row>
    <row r="655" spans="1:26" ht="14.25" customHeight="1">
      <c r="A655" s="168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</row>
    <row r="656" spans="1:26" ht="14.25" customHeight="1">
      <c r="A656" s="168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</row>
    <row r="657" spans="1:26" ht="14.25" customHeight="1">
      <c r="A657" s="168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</row>
    <row r="658" spans="1:26" ht="14.25" customHeight="1">
      <c r="A658" s="168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</row>
    <row r="659" spans="1:26" ht="14.25" customHeight="1">
      <c r="A659" s="168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</row>
    <row r="660" spans="1:26" ht="14.25" customHeight="1">
      <c r="A660" s="168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</row>
    <row r="661" spans="1:26" ht="14.25" customHeight="1">
      <c r="A661" s="168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</row>
    <row r="662" spans="1:26" ht="14.25" customHeight="1">
      <c r="A662" s="168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</row>
    <row r="663" spans="1:26" ht="14.25" customHeight="1">
      <c r="A663" s="168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</row>
    <row r="664" spans="1:26" ht="14.25" customHeight="1">
      <c r="A664" s="168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</row>
    <row r="665" spans="1:26" ht="14.25" customHeight="1">
      <c r="A665" s="168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</row>
    <row r="666" spans="1:26" ht="14.25" customHeight="1">
      <c r="A666" s="168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</row>
    <row r="667" spans="1:26" ht="14.25" customHeight="1">
      <c r="A667" s="168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</row>
    <row r="668" spans="1:26" ht="14.25" customHeight="1">
      <c r="A668" s="168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</row>
    <row r="669" spans="1:26" ht="14.25" customHeight="1">
      <c r="A669" s="168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</row>
    <row r="670" spans="1:26" ht="14.25" customHeight="1">
      <c r="A670" s="168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</row>
    <row r="671" spans="1:26" ht="14.25" customHeight="1">
      <c r="A671" s="168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</row>
    <row r="672" spans="1:26" ht="14.25" customHeight="1">
      <c r="A672" s="168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</row>
    <row r="673" spans="1:26" ht="14.25" customHeight="1">
      <c r="A673" s="168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</row>
    <row r="674" spans="1:26" ht="14.25" customHeight="1">
      <c r="A674" s="168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</row>
    <row r="675" spans="1:26" ht="14.25" customHeight="1">
      <c r="A675" s="168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</row>
    <row r="676" spans="1:26" ht="14.25" customHeight="1">
      <c r="A676" s="168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</row>
    <row r="677" spans="1:26" ht="14.25" customHeight="1">
      <c r="A677" s="168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</row>
    <row r="678" spans="1:26" ht="14.25" customHeight="1">
      <c r="A678" s="168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</row>
    <row r="679" spans="1:26" ht="14.25" customHeight="1">
      <c r="A679" s="168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</row>
    <row r="680" spans="1:26" ht="14.25" customHeight="1">
      <c r="A680" s="168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</row>
    <row r="681" spans="1:26" ht="14.25" customHeight="1">
      <c r="A681" s="168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</row>
    <row r="682" spans="1:26" ht="14.25" customHeight="1">
      <c r="A682" s="168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</row>
    <row r="683" spans="1:26" ht="14.25" customHeight="1">
      <c r="A683" s="168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</row>
    <row r="684" spans="1:26" ht="14.25" customHeight="1">
      <c r="A684" s="168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</row>
    <row r="685" spans="1:26" ht="14.25" customHeight="1">
      <c r="A685" s="168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</row>
    <row r="686" spans="1:26" ht="14.25" customHeight="1">
      <c r="A686" s="168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</row>
    <row r="687" spans="1:26" ht="14.25" customHeight="1">
      <c r="A687" s="168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</row>
    <row r="688" spans="1:26" ht="14.25" customHeight="1">
      <c r="A688" s="168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</row>
    <row r="689" spans="1:26" ht="14.25" customHeight="1">
      <c r="A689" s="168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</row>
    <row r="690" spans="1:26" ht="14.25" customHeight="1">
      <c r="A690" s="168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</row>
    <row r="691" spans="1:26" ht="14.25" customHeight="1">
      <c r="A691" s="168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</row>
    <row r="692" spans="1:26" ht="14.25" customHeight="1">
      <c r="A692" s="168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</row>
    <row r="693" spans="1:26" ht="14.25" customHeight="1">
      <c r="A693" s="168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</row>
    <row r="694" spans="1:26" ht="14.25" customHeight="1">
      <c r="A694" s="168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</row>
    <row r="695" spans="1:26" ht="14.25" customHeight="1">
      <c r="A695" s="168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</row>
    <row r="696" spans="1:26" ht="14.25" customHeight="1">
      <c r="A696" s="168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</row>
    <row r="697" spans="1:26" ht="14.25" customHeight="1">
      <c r="A697" s="168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</row>
    <row r="698" spans="1:26" ht="14.25" customHeight="1">
      <c r="A698" s="168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</row>
    <row r="699" spans="1:26" ht="14.25" customHeight="1">
      <c r="A699" s="168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</row>
    <row r="700" spans="1:26" ht="14.25" customHeight="1">
      <c r="A700" s="168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</row>
    <row r="701" spans="1:26" ht="14.25" customHeight="1">
      <c r="A701" s="168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</row>
    <row r="702" spans="1:26" ht="14.25" customHeight="1">
      <c r="A702" s="168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</row>
    <row r="703" spans="1:26" ht="14.25" customHeight="1">
      <c r="A703" s="168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</row>
    <row r="704" spans="1:26" ht="14.25" customHeight="1">
      <c r="A704" s="168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</row>
    <row r="705" spans="1:26" ht="14.25" customHeight="1">
      <c r="A705" s="168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</row>
    <row r="706" spans="1:26" ht="14.25" customHeight="1">
      <c r="A706" s="168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</row>
    <row r="707" spans="1:26" ht="14.25" customHeight="1">
      <c r="A707" s="168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</row>
    <row r="708" spans="1:26" ht="14.25" customHeight="1">
      <c r="A708" s="168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</row>
    <row r="709" spans="1:26" ht="14.25" customHeight="1">
      <c r="A709" s="168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</row>
    <row r="710" spans="1:26" ht="14.25" customHeight="1">
      <c r="A710" s="168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</row>
    <row r="711" spans="1:26" ht="14.25" customHeight="1">
      <c r="A711" s="168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</row>
    <row r="712" spans="1:26" ht="14.25" customHeight="1">
      <c r="A712" s="168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</row>
    <row r="713" spans="1:26" ht="14.25" customHeight="1">
      <c r="A713" s="168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</row>
    <row r="714" spans="1:26" ht="14.25" customHeight="1">
      <c r="A714" s="168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</row>
    <row r="715" spans="1:26" ht="14.25" customHeight="1">
      <c r="A715" s="168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</row>
    <row r="716" spans="1:26" ht="14.25" customHeight="1">
      <c r="A716" s="168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</row>
    <row r="717" spans="1:26" ht="14.25" customHeight="1">
      <c r="A717" s="168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</row>
    <row r="718" spans="1:26" ht="14.25" customHeight="1">
      <c r="A718" s="168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</row>
    <row r="719" spans="1:26" ht="14.25" customHeight="1">
      <c r="A719" s="168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</row>
    <row r="720" spans="1:26" ht="14.25" customHeight="1">
      <c r="A720" s="168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</row>
    <row r="721" spans="1:26" ht="14.25" customHeight="1">
      <c r="A721" s="168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</row>
    <row r="722" spans="1:26" ht="14.25" customHeight="1">
      <c r="A722" s="168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</row>
    <row r="723" spans="1:26" ht="14.25" customHeight="1">
      <c r="A723" s="168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</row>
    <row r="724" spans="1:26" ht="14.25" customHeight="1">
      <c r="A724" s="168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</row>
    <row r="725" spans="1:26" ht="14.25" customHeight="1">
      <c r="A725" s="168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</row>
    <row r="726" spans="1:26" ht="14.25" customHeight="1">
      <c r="A726" s="168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</row>
    <row r="727" spans="1:26" ht="14.25" customHeight="1">
      <c r="A727" s="168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</row>
    <row r="728" spans="1:26" ht="14.25" customHeight="1">
      <c r="A728" s="168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</row>
    <row r="729" spans="1:26" ht="14.25" customHeight="1">
      <c r="A729" s="168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</row>
    <row r="730" spans="1:26" ht="14.25" customHeight="1">
      <c r="A730" s="168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</row>
    <row r="731" spans="1:26" ht="14.25" customHeight="1">
      <c r="A731" s="168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</row>
    <row r="732" spans="1:26" ht="14.25" customHeight="1">
      <c r="A732" s="168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</row>
    <row r="733" spans="1:26" ht="14.25" customHeight="1">
      <c r="A733" s="168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</row>
    <row r="734" spans="1:26" ht="14.25" customHeight="1">
      <c r="A734" s="168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</row>
    <row r="735" spans="1:26" ht="14.25" customHeight="1">
      <c r="A735" s="168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</row>
    <row r="736" spans="1:26" ht="14.25" customHeight="1">
      <c r="A736" s="168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</row>
    <row r="737" spans="1:26" ht="14.25" customHeight="1">
      <c r="A737" s="168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</row>
    <row r="738" spans="1:26" ht="14.25" customHeight="1">
      <c r="A738" s="168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</row>
    <row r="739" spans="1:26" ht="14.25" customHeight="1">
      <c r="A739" s="168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</row>
    <row r="740" spans="1:26" ht="14.25" customHeight="1">
      <c r="A740" s="168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</row>
    <row r="741" spans="1:26" ht="14.25" customHeight="1">
      <c r="A741" s="168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</row>
    <row r="742" spans="1:26" ht="14.25" customHeight="1">
      <c r="A742" s="168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</row>
    <row r="743" spans="1:26" ht="14.25" customHeight="1">
      <c r="A743" s="168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</row>
    <row r="744" spans="1:26" ht="14.25" customHeight="1">
      <c r="A744" s="168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</row>
    <row r="745" spans="1:26" ht="14.25" customHeight="1">
      <c r="A745" s="168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</row>
    <row r="746" spans="1:26" ht="14.25" customHeight="1">
      <c r="A746" s="168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</row>
    <row r="747" spans="1:26" ht="14.25" customHeight="1">
      <c r="A747" s="168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</row>
    <row r="748" spans="1:26" ht="14.25" customHeight="1">
      <c r="A748" s="168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</row>
    <row r="749" spans="1:26" ht="14.25" customHeight="1">
      <c r="A749" s="168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</row>
    <row r="750" spans="1:26" ht="14.25" customHeight="1">
      <c r="A750" s="168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</row>
    <row r="751" spans="1:26" ht="14.25" customHeight="1">
      <c r="A751" s="168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</row>
    <row r="752" spans="1:26" ht="14.25" customHeight="1">
      <c r="A752" s="168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</row>
    <row r="753" spans="1:26" ht="14.25" customHeight="1">
      <c r="A753" s="168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</row>
    <row r="754" spans="1:26" ht="14.25" customHeight="1">
      <c r="A754" s="168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</row>
    <row r="755" spans="1:26" ht="14.25" customHeight="1">
      <c r="A755" s="168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</row>
    <row r="756" spans="1:26" ht="14.25" customHeight="1">
      <c r="A756" s="168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</row>
    <row r="757" spans="1:26" ht="14.25" customHeight="1">
      <c r="A757" s="168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</row>
    <row r="758" spans="1:26" ht="14.25" customHeight="1">
      <c r="A758" s="168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</row>
    <row r="759" spans="1:26" ht="14.25" customHeight="1">
      <c r="A759" s="168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</row>
    <row r="760" spans="1:26" ht="14.25" customHeight="1">
      <c r="A760" s="168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</row>
    <row r="761" spans="1:26" ht="14.25" customHeight="1">
      <c r="A761" s="168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</row>
    <row r="762" spans="1:26" ht="14.25" customHeight="1">
      <c r="A762" s="168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</row>
    <row r="763" spans="1:26" ht="14.25" customHeight="1">
      <c r="A763" s="168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</row>
    <row r="764" spans="1:26" ht="14.25" customHeight="1">
      <c r="A764" s="168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</row>
    <row r="765" spans="1:26" ht="14.25" customHeight="1">
      <c r="A765" s="168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</row>
    <row r="766" spans="1:26" ht="14.25" customHeight="1">
      <c r="A766" s="168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</row>
    <row r="767" spans="1:26" ht="14.25" customHeight="1">
      <c r="A767" s="168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</row>
    <row r="768" spans="1:26" ht="14.25" customHeight="1">
      <c r="A768" s="168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</row>
    <row r="769" spans="1:26" ht="14.25" customHeight="1">
      <c r="A769" s="168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</row>
    <row r="770" spans="1:26" ht="14.25" customHeight="1">
      <c r="A770" s="168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</row>
    <row r="771" spans="1:26" ht="14.25" customHeight="1">
      <c r="A771" s="168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</row>
    <row r="772" spans="1:26" ht="14.25" customHeight="1">
      <c r="A772" s="168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</row>
    <row r="773" spans="1:26" ht="14.25" customHeight="1">
      <c r="A773" s="168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</row>
    <row r="774" spans="1:26" ht="14.25" customHeight="1">
      <c r="A774" s="168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</row>
    <row r="775" spans="1:26" ht="14.25" customHeight="1">
      <c r="A775" s="168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</row>
    <row r="776" spans="1:26" ht="14.25" customHeight="1">
      <c r="A776" s="168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</row>
    <row r="777" spans="1:26" ht="14.25" customHeight="1">
      <c r="A777" s="168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</row>
    <row r="778" spans="1:26" ht="14.25" customHeight="1">
      <c r="A778" s="168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</row>
    <row r="779" spans="1:26" ht="14.25" customHeight="1">
      <c r="A779" s="168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</row>
    <row r="780" spans="1:26" ht="14.25" customHeight="1">
      <c r="A780" s="168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</row>
    <row r="781" spans="1:26" ht="14.25" customHeight="1">
      <c r="A781" s="168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</row>
    <row r="782" spans="1:26" ht="14.25" customHeight="1">
      <c r="A782" s="168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</row>
    <row r="783" spans="1:26" ht="14.25" customHeight="1">
      <c r="A783" s="168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</row>
    <row r="784" spans="1:26" ht="14.25" customHeight="1">
      <c r="A784" s="168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</row>
    <row r="785" spans="1:26" ht="14.25" customHeight="1">
      <c r="A785" s="168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</row>
    <row r="786" spans="1:26" ht="14.25" customHeight="1">
      <c r="A786" s="168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</row>
    <row r="787" spans="1:26" ht="14.25" customHeight="1">
      <c r="A787" s="168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</row>
    <row r="788" spans="1:26" ht="14.25" customHeight="1">
      <c r="A788" s="168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</row>
    <row r="789" spans="1:26" ht="14.25" customHeight="1">
      <c r="A789" s="168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</row>
    <row r="790" spans="1:26" ht="14.25" customHeight="1">
      <c r="A790" s="168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</row>
    <row r="791" spans="1:26" ht="14.25" customHeight="1">
      <c r="A791" s="168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</row>
    <row r="792" spans="1:26" ht="14.25" customHeight="1">
      <c r="A792" s="168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</row>
    <row r="793" spans="1:26" ht="14.25" customHeight="1">
      <c r="A793" s="168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</row>
    <row r="794" spans="1:26" ht="14.25" customHeight="1">
      <c r="A794" s="168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</row>
    <row r="795" spans="1:26" ht="14.25" customHeight="1">
      <c r="A795" s="168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</row>
    <row r="796" spans="1:26" ht="14.25" customHeight="1">
      <c r="A796" s="168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</row>
    <row r="797" spans="1:26" ht="14.25" customHeight="1">
      <c r="A797" s="168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</row>
    <row r="798" spans="1:26" ht="14.25" customHeight="1">
      <c r="A798" s="168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</row>
    <row r="799" spans="1:26" ht="14.25" customHeight="1">
      <c r="A799" s="168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</row>
    <row r="800" spans="1:26" ht="14.25" customHeight="1">
      <c r="A800" s="168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</row>
    <row r="801" spans="1:26" ht="14.25" customHeight="1">
      <c r="A801" s="168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</row>
    <row r="802" spans="1:26" ht="14.25" customHeight="1">
      <c r="A802" s="168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</row>
    <row r="803" spans="1:26" ht="14.25" customHeight="1">
      <c r="A803" s="168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</row>
    <row r="804" spans="1:26" ht="14.25" customHeight="1">
      <c r="A804" s="168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</row>
    <row r="805" spans="1:26" ht="14.25" customHeight="1">
      <c r="A805" s="168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</row>
    <row r="806" spans="1:26" ht="14.25" customHeight="1">
      <c r="A806" s="168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</row>
    <row r="807" spans="1:26" ht="14.25" customHeight="1">
      <c r="A807" s="168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</row>
    <row r="808" spans="1:26" ht="14.25" customHeight="1">
      <c r="A808" s="168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</row>
    <row r="809" spans="1:26" ht="14.25" customHeight="1">
      <c r="A809" s="168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</row>
    <row r="810" spans="1:26" ht="14.25" customHeight="1">
      <c r="A810" s="168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</row>
    <row r="811" spans="1:26" ht="14.25" customHeight="1">
      <c r="A811" s="168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</row>
    <row r="812" spans="1:26" ht="14.25" customHeight="1">
      <c r="A812" s="168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</row>
    <row r="813" spans="1:26" ht="14.25" customHeight="1">
      <c r="A813" s="168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</row>
    <row r="814" spans="1:26" ht="14.25" customHeight="1">
      <c r="A814" s="168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</row>
    <row r="815" spans="1:26" ht="14.25" customHeight="1">
      <c r="A815" s="168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</row>
    <row r="816" spans="1:26" ht="14.25" customHeight="1">
      <c r="A816" s="168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</row>
    <row r="817" spans="1:26" ht="14.25" customHeight="1">
      <c r="A817" s="168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</row>
    <row r="818" spans="1:26" ht="14.25" customHeight="1">
      <c r="A818" s="168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</row>
    <row r="819" spans="1:26" ht="14.25" customHeight="1">
      <c r="A819" s="168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</row>
    <row r="820" spans="1:26" ht="14.25" customHeight="1">
      <c r="A820" s="168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</row>
    <row r="821" spans="1:26" ht="14.25" customHeight="1">
      <c r="A821" s="168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</row>
    <row r="822" spans="1:26" ht="14.25" customHeight="1">
      <c r="A822" s="168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</row>
    <row r="823" spans="1:26" ht="14.25" customHeight="1">
      <c r="A823" s="168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</row>
    <row r="824" spans="1:26" ht="14.25" customHeight="1">
      <c r="A824" s="168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</row>
    <row r="825" spans="1:26" ht="14.25" customHeight="1">
      <c r="A825" s="168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</row>
    <row r="826" spans="1:26" ht="14.25" customHeight="1">
      <c r="A826" s="168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</row>
    <row r="827" spans="1:26" ht="14.25" customHeight="1">
      <c r="A827" s="168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</row>
    <row r="828" spans="1:26" ht="14.25" customHeight="1">
      <c r="A828" s="168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</row>
    <row r="829" spans="1:26" ht="14.25" customHeight="1">
      <c r="A829" s="168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</row>
    <row r="830" spans="1:26" ht="14.25" customHeight="1">
      <c r="A830" s="168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</row>
    <row r="831" spans="1:26" ht="14.25" customHeight="1">
      <c r="A831" s="168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</row>
    <row r="832" spans="1:26" ht="14.25" customHeight="1">
      <c r="A832" s="168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</row>
    <row r="833" spans="1:26" ht="14.25" customHeight="1">
      <c r="A833" s="168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</row>
    <row r="834" spans="1:26" ht="14.25" customHeight="1">
      <c r="A834" s="168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</row>
    <row r="835" spans="1:26" ht="14.25" customHeight="1">
      <c r="A835" s="168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</row>
    <row r="836" spans="1:26" ht="14.25" customHeight="1">
      <c r="A836" s="168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</row>
    <row r="837" spans="1:26" ht="14.25" customHeight="1">
      <c r="A837" s="168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</row>
    <row r="838" spans="1:26" ht="14.25" customHeight="1">
      <c r="A838" s="168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</row>
    <row r="839" spans="1:26" ht="14.25" customHeight="1">
      <c r="A839" s="168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</row>
    <row r="840" spans="1:26" ht="14.25" customHeight="1">
      <c r="A840" s="168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</row>
    <row r="841" spans="1:26" ht="14.25" customHeight="1">
      <c r="A841" s="168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</row>
    <row r="842" spans="1:26" ht="14.25" customHeight="1">
      <c r="A842" s="168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</row>
    <row r="843" spans="1:26" ht="14.25" customHeight="1">
      <c r="A843" s="168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</row>
    <row r="844" spans="1:26" ht="14.25" customHeight="1">
      <c r="A844" s="168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</row>
    <row r="845" spans="1:26" ht="14.25" customHeight="1">
      <c r="A845" s="168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</row>
    <row r="846" spans="1:26" ht="14.25" customHeight="1">
      <c r="A846" s="168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</row>
    <row r="847" spans="1:26" ht="14.25" customHeight="1">
      <c r="A847" s="168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</row>
    <row r="848" spans="1:26" ht="14.25" customHeight="1">
      <c r="A848" s="168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</row>
    <row r="849" spans="1:26" ht="14.25" customHeight="1">
      <c r="A849" s="168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</row>
    <row r="850" spans="1:26" ht="14.25" customHeight="1">
      <c r="A850" s="168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</row>
    <row r="851" spans="1:26" ht="14.25" customHeight="1">
      <c r="A851" s="168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</row>
    <row r="852" spans="1:26" ht="14.25" customHeight="1">
      <c r="A852" s="168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</row>
    <row r="853" spans="1:26" ht="14.25" customHeight="1">
      <c r="A853" s="168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</row>
    <row r="854" spans="1:26" ht="14.25" customHeight="1">
      <c r="A854" s="168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</row>
    <row r="855" spans="1:26" ht="14.25" customHeight="1">
      <c r="A855" s="168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</row>
    <row r="856" spans="1:26" ht="14.25" customHeight="1">
      <c r="A856" s="168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</row>
    <row r="857" spans="1:26" ht="14.25" customHeight="1">
      <c r="A857" s="168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</row>
    <row r="858" spans="1:26" ht="14.25" customHeight="1">
      <c r="A858" s="168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</row>
    <row r="859" spans="1:26" ht="14.25" customHeight="1">
      <c r="A859" s="168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</row>
    <row r="860" spans="1:26" ht="14.25" customHeight="1">
      <c r="A860" s="168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</row>
    <row r="861" spans="1:26" ht="14.25" customHeight="1">
      <c r="A861" s="168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</row>
    <row r="862" spans="1:26" ht="14.25" customHeight="1">
      <c r="A862" s="168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</row>
    <row r="863" spans="1:26" ht="14.25" customHeight="1">
      <c r="A863" s="168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</row>
    <row r="864" spans="1:26" ht="14.25" customHeight="1">
      <c r="A864" s="168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</row>
    <row r="865" spans="1:26" ht="14.25" customHeight="1">
      <c r="A865" s="168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</row>
    <row r="866" spans="1:26" ht="14.25" customHeight="1">
      <c r="A866" s="168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</row>
    <row r="867" spans="1:26" ht="14.25" customHeight="1">
      <c r="A867" s="168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</row>
    <row r="868" spans="1:26" ht="14.25" customHeight="1">
      <c r="A868" s="168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</row>
    <row r="869" spans="1:26" ht="14.25" customHeight="1">
      <c r="A869" s="168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</row>
    <row r="870" spans="1:26" ht="14.25" customHeight="1">
      <c r="A870" s="168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</row>
    <row r="871" spans="1:26" ht="14.25" customHeight="1">
      <c r="A871" s="168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</row>
    <row r="872" spans="1:26" ht="14.25" customHeight="1">
      <c r="A872" s="168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</row>
    <row r="873" spans="1:26" ht="14.25" customHeight="1">
      <c r="A873" s="168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</row>
    <row r="874" spans="1:26" ht="14.25" customHeight="1">
      <c r="A874" s="168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</row>
    <row r="875" spans="1:26" ht="14.25" customHeight="1">
      <c r="A875" s="168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</row>
    <row r="876" spans="1:26" ht="14.25" customHeight="1">
      <c r="A876" s="168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</row>
    <row r="877" spans="1:26" ht="14.25" customHeight="1">
      <c r="A877" s="168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</row>
    <row r="878" spans="1:26" ht="14.25" customHeight="1">
      <c r="A878" s="168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</row>
    <row r="879" spans="1:26" ht="14.25" customHeight="1">
      <c r="A879" s="168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</row>
    <row r="880" spans="1:26" ht="14.25" customHeight="1">
      <c r="A880" s="168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</row>
    <row r="881" spans="1:26" ht="14.25" customHeight="1">
      <c r="A881" s="168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</row>
    <row r="882" spans="1:26" ht="14.25" customHeight="1">
      <c r="A882" s="168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</row>
    <row r="883" spans="1:26" ht="14.25" customHeight="1">
      <c r="A883" s="168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</row>
    <row r="884" spans="1:26" ht="14.25" customHeight="1">
      <c r="A884" s="168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</row>
    <row r="885" spans="1:26" ht="14.25" customHeight="1">
      <c r="A885" s="168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</row>
    <row r="886" spans="1:26" ht="14.25" customHeight="1">
      <c r="A886" s="168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</row>
    <row r="887" spans="1:26" ht="14.25" customHeight="1">
      <c r="A887" s="168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</row>
    <row r="888" spans="1:26" ht="14.25" customHeight="1">
      <c r="A888" s="168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</row>
    <row r="889" spans="1:26" ht="14.25" customHeight="1">
      <c r="A889" s="168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</row>
    <row r="890" spans="1:26" ht="14.25" customHeight="1">
      <c r="A890" s="168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</row>
    <row r="891" spans="1:26" ht="14.25" customHeight="1">
      <c r="A891" s="168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</row>
    <row r="892" spans="1:26" ht="14.25" customHeight="1">
      <c r="A892" s="168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</row>
    <row r="893" spans="1:26" ht="14.25" customHeight="1">
      <c r="A893" s="168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</row>
    <row r="894" spans="1:26" ht="14.25" customHeight="1">
      <c r="A894" s="168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</row>
    <row r="895" spans="1:26" ht="14.25" customHeight="1">
      <c r="A895" s="168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</row>
    <row r="896" spans="1:26" ht="14.25" customHeight="1">
      <c r="A896" s="168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</row>
    <row r="897" spans="1:26" ht="14.25" customHeight="1">
      <c r="A897" s="168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</row>
    <row r="898" spans="1:26" ht="14.25" customHeight="1">
      <c r="A898" s="168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</row>
    <row r="899" spans="1:26" ht="14.25" customHeight="1">
      <c r="A899" s="168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</row>
    <row r="900" spans="1:26" ht="14.25" customHeight="1">
      <c r="A900" s="168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</row>
    <row r="901" spans="1:26" ht="14.25" customHeight="1">
      <c r="A901" s="168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</row>
    <row r="902" spans="1:26" ht="14.25" customHeight="1">
      <c r="A902" s="168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</row>
    <row r="903" spans="1:26" ht="14.25" customHeight="1">
      <c r="A903" s="168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</row>
    <row r="904" spans="1:26" ht="14.25" customHeight="1">
      <c r="A904" s="168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</row>
    <row r="905" spans="1:26" ht="14.25" customHeight="1">
      <c r="A905" s="168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</row>
    <row r="906" spans="1:26" ht="14.25" customHeight="1">
      <c r="A906" s="168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</row>
    <row r="907" spans="1:26" ht="14.25" customHeight="1">
      <c r="A907" s="168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</row>
    <row r="908" spans="1:26" ht="14.25" customHeight="1">
      <c r="A908" s="168"/>
      <c r="B908" s="168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</row>
    <row r="909" spans="1:26" ht="14.25" customHeight="1">
      <c r="A909" s="168"/>
      <c r="B909" s="168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</row>
    <row r="910" spans="1:26" ht="14.25" customHeight="1">
      <c r="A910" s="168"/>
      <c r="B910" s="168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</row>
    <row r="911" spans="1:26" ht="14.25" customHeight="1">
      <c r="A911" s="168"/>
      <c r="B911" s="168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</row>
    <row r="912" spans="1:26" ht="14.25" customHeight="1">
      <c r="A912" s="168"/>
      <c r="B912" s="168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</row>
    <row r="913" spans="1:26" ht="14.25" customHeight="1">
      <c r="A913" s="168"/>
      <c r="B913" s="168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</row>
    <row r="914" spans="1:26" ht="14.25" customHeight="1">
      <c r="A914" s="168"/>
      <c r="B914" s="168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</row>
    <row r="915" spans="1:26" ht="14.25" customHeight="1">
      <c r="A915" s="168"/>
      <c r="B915" s="168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</row>
    <row r="916" spans="1:26" ht="14.25" customHeight="1">
      <c r="A916" s="168"/>
      <c r="B916" s="168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</row>
    <row r="917" spans="1:26" ht="14.25" customHeight="1">
      <c r="A917" s="168"/>
      <c r="B917" s="168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</row>
    <row r="918" spans="1:26" ht="14.25" customHeight="1">
      <c r="A918" s="168"/>
      <c r="B918" s="168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</row>
    <row r="919" spans="1:26" ht="14.25" customHeight="1">
      <c r="A919" s="168"/>
      <c r="B919" s="168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</row>
    <row r="920" spans="1:26" ht="14.25" customHeight="1">
      <c r="A920" s="168"/>
      <c r="B920" s="168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</row>
    <row r="921" spans="1:26" ht="14.25" customHeight="1">
      <c r="A921" s="168"/>
      <c r="B921" s="168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</row>
    <row r="922" spans="1:26" ht="14.25" customHeight="1">
      <c r="A922" s="168"/>
      <c r="B922" s="168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</row>
    <row r="923" spans="1:26" ht="14.25" customHeight="1">
      <c r="A923" s="168"/>
      <c r="B923" s="168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</row>
    <row r="924" spans="1:26" ht="14.25" customHeight="1">
      <c r="A924" s="168"/>
      <c r="B924" s="168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</row>
    <row r="925" spans="1:26" ht="14.25" customHeight="1">
      <c r="A925" s="168"/>
      <c r="B925" s="168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</row>
    <row r="926" spans="1:26" ht="14.25" customHeight="1">
      <c r="A926" s="168"/>
      <c r="B926" s="168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</row>
    <row r="927" spans="1:26" ht="14.25" customHeight="1">
      <c r="A927" s="168"/>
      <c r="B927" s="168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</row>
    <row r="928" spans="1:26" ht="14.25" customHeight="1">
      <c r="A928" s="168"/>
      <c r="B928" s="168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</row>
    <row r="929" spans="1:26" ht="14.25" customHeight="1">
      <c r="A929" s="168"/>
      <c r="B929" s="168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</row>
    <row r="930" spans="1:26" ht="14.25" customHeight="1">
      <c r="A930" s="168"/>
      <c r="B930" s="168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</row>
    <row r="931" spans="1:26" ht="14.25" customHeight="1">
      <c r="A931" s="168"/>
      <c r="B931" s="168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</row>
    <row r="932" spans="1:26" ht="14.25" customHeight="1">
      <c r="A932" s="168"/>
      <c r="B932" s="168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</row>
    <row r="933" spans="1:26" ht="14.25" customHeight="1">
      <c r="A933" s="168"/>
      <c r="B933" s="168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</row>
    <row r="934" spans="1:26" ht="14.25" customHeight="1">
      <c r="A934" s="168"/>
      <c r="B934" s="168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</row>
    <row r="935" spans="1:26" ht="14.25" customHeight="1">
      <c r="A935" s="168"/>
      <c r="B935" s="168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</row>
    <row r="936" spans="1:26" ht="14.25" customHeight="1">
      <c r="A936" s="168"/>
      <c r="B936" s="168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</row>
    <row r="937" spans="1:26" ht="14.25" customHeight="1">
      <c r="A937" s="168"/>
      <c r="B937" s="168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</row>
    <row r="938" spans="1:26" ht="14.25" customHeight="1">
      <c r="A938" s="168"/>
      <c r="B938" s="168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</row>
    <row r="939" spans="1:26" ht="14.25" customHeight="1">
      <c r="A939" s="168"/>
      <c r="B939" s="168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</row>
    <row r="940" spans="1:26" ht="14.25" customHeight="1">
      <c r="A940" s="168"/>
      <c r="B940" s="168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</row>
    <row r="941" spans="1:26" ht="14.25" customHeight="1">
      <c r="A941" s="168"/>
      <c r="B941" s="168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</row>
    <row r="942" spans="1:26" ht="14.25" customHeight="1">
      <c r="A942" s="168"/>
      <c r="B942" s="168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</row>
    <row r="943" spans="1:26" ht="14.25" customHeight="1">
      <c r="A943" s="168"/>
      <c r="B943" s="168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</row>
    <row r="944" spans="1:26" ht="14.25" customHeight="1">
      <c r="A944" s="168"/>
      <c r="B944" s="168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</row>
    <row r="945" spans="1:26" ht="14.25" customHeight="1">
      <c r="A945" s="168"/>
      <c r="B945" s="168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</row>
    <row r="946" spans="1:26" ht="14.25" customHeight="1">
      <c r="A946" s="168"/>
      <c r="B946" s="168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</row>
    <row r="947" spans="1:26" ht="14.25" customHeight="1">
      <c r="A947" s="168"/>
      <c r="B947" s="168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</row>
    <row r="948" spans="1:26" ht="14.25" customHeight="1">
      <c r="A948" s="168"/>
      <c r="B948" s="168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</row>
    <row r="949" spans="1:26" ht="14.25" customHeight="1">
      <c r="A949" s="168"/>
      <c r="B949" s="168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</row>
    <row r="950" spans="1:26" ht="14.25" customHeight="1">
      <c r="A950" s="168"/>
      <c r="B950" s="168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</row>
    <row r="951" spans="1:26" ht="14.25" customHeight="1">
      <c r="A951" s="168"/>
      <c r="B951" s="168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</row>
    <row r="952" spans="1:26" ht="14.25" customHeight="1">
      <c r="A952" s="168"/>
      <c r="B952" s="168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</row>
    <row r="953" spans="1:26" ht="14.25" customHeight="1">
      <c r="A953" s="168"/>
      <c r="B953" s="168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</row>
    <row r="954" spans="1:26" ht="14.25" customHeight="1">
      <c r="A954" s="168"/>
      <c r="B954" s="168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</row>
    <row r="955" spans="1:26" ht="14.25" customHeight="1">
      <c r="A955" s="168"/>
      <c r="B955" s="168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</row>
    <row r="956" spans="1:26" ht="14.25" customHeight="1">
      <c r="A956" s="168"/>
      <c r="B956" s="168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</row>
    <row r="957" spans="1:26" ht="14.25" customHeight="1">
      <c r="A957" s="168"/>
      <c r="B957" s="168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</row>
    <row r="958" spans="1:26" ht="14.25" customHeight="1">
      <c r="A958" s="168"/>
      <c r="B958" s="168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</row>
    <row r="959" spans="1:26" ht="14.25" customHeight="1">
      <c r="A959" s="168"/>
      <c r="B959" s="168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</row>
    <row r="960" spans="1:26" ht="14.25" customHeight="1">
      <c r="A960" s="168"/>
      <c r="B960" s="168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</row>
    <row r="961" spans="1:26" ht="14.25" customHeight="1">
      <c r="A961" s="168"/>
      <c r="B961" s="168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</row>
    <row r="962" spans="1:26" ht="14.25" customHeight="1">
      <c r="A962" s="168"/>
      <c r="B962" s="168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</row>
    <row r="963" spans="1:26" ht="14.25" customHeight="1">
      <c r="A963" s="168"/>
      <c r="B963" s="168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</row>
    <row r="964" spans="1:26" ht="14.25" customHeight="1">
      <c r="A964" s="168"/>
      <c r="B964" s="168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</row>
    <row r="965" spans="1:26" ht="14.25" customHeight="1">
      <c r="A965" s="168"/>
      <c r="B965" s="168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</row>
    <row r="966" spans="1:26" ht="14.25" customHeight="1">
      <c r="A966" s="168"/>
      <c r="B966" s="168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</row>
    <row r="967" spans="1:26" ht="14.25" customHeight="1">
      <c r="A967" s="168"/>
      <c r="B967" s="168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</row>
    <row r="968" spans="1:26" ht="14.25" customHeight="1">
      <c r="A968" s="168"/>
      <c r="B968" s="168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</row>
    <row r="969" spans="1:26" ht="14.25" customHeight="1">
      <c r="A969" s="168"/>
      <c r="B969" s="168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</row>
    <row r="970" spans="1:26" ht="14.25" customHeight="1">
      <c r="A970" s="168"/>
      <c r="B970" s="168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</row>
    <row r="971" spans="1:26" ht="14.25" customHeight="1">
      <c r="A971" s="168"/>
      <c r="B971" s="168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</row>
    <row r="972" spans="1:26" ht="14.25" customHeight="1">
      <c r="A972" s="168"/>
      <c r="B972" s="168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</row>
    <row r="973" spans="1:26" ht="14.25" customHeight="1">
      <c r="A973" s="168"/>
      <c r="B973" s="168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</row>
    <row r="974" spans="1:26" ht="14.25" customHeight="1">
      <c r="A974" s="168"/>
      <c r="B974" s="168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</row>
    <row r="975" spans="1:26" ht="14.25" customHeight="1">
      <c r="A975" s="168"/>
      <c r="B975" s="168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</row>
    <row r="976" spans="1:26" ht="14.25" customHeight="1">
      <c r="A976" s="168"/>
      <c r="B976" s="168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</row>
    <row r="977" spans="1:26" ht="14.25" customHeight="1">
      <c r="A977" s="168"/>
      <c r="B977" s="168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</row>
    <row r="978" spans="1:26" ht="14.25" customHeight="1">
      <c r="A978" s="168"/>
      <c r="B978" s="168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</row>
    <row r="979" spans="1:26" ht="14.25" customHeight="1">
      <c r="A979" s="168"/>
      <c r="B979" s="168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</row>
    <row r="980" spans="1:26" ht="14.25" customHeight="1">
      <c r="A980" s="168"/>
      <c r="B980" s="168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</row>
    <row r="981" spans="1:26" ht="14.25" customHeight="1">
      <c r="A981" s="168"/>
      <c r="B981" s="168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</row>
    <row r="982" spans="1:26" ht="14.25" customHeight="1">
      <c r="A982" s="168"/>
      <c r="B982" s="168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</row>
    <row r="983" spans="1:26" ht="14.25" customHeight="1">
      <c r="A983" s="168"/>
      <c r="B983" s="168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</row>
    <row r="984" spans="1:26" ht="14.25" customHeight="1">
      <c r="A984" s="168"/>
      <c r="B984" s="168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</row>
    <row r="985" spans="1:26" ht="14.25" customHeight="1">
      <c r="A985" s="168"/>
      <c r="B985" s="168"/>
      <c r="C985" s="168"/>
      <c r="D985" s="168"/>
      <c r="E985" s="168"/>
      <c r="F985" s="168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8"/>
      <c r="V985" s="168"/>
      <c r="W985" s="168"/>
      <c r="X985" s="168"/>
      <c r="Y985" s="168"/>
      <c r="Z985" s="168"/>
    </row>
    <row r="986" spans="1:26" ht="14.25" customHeight="1">
      <c r="A986" s="168"/>
      <c r="B986" s="168"/>
      <c r="C986" s="168"/>
      <c r="D986" s="168"/>
      <c r="E986" s="168"/>
      <c r="F986" s="168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8"/>
      <c r="V986" s="168"/>
      <c r="W986" s="168"/>
      <c r="X986" s="168"/>
      <c r="Y986" s="168"/>
      <c r="Z986" s="168"/>
    </row>
    <row r="987" spans="1:26" ht="14.25" customHeight="1">
      <c r="A987" s="168"/>
      <c r="B987" s="168"/>
      <c r="C987" s="168"/>
      <c r="D987" s="168"/>
      <c r="E987" s="168"/>
      <c r="F987" s="168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8"/>
      <c r="V987" s="168"/>
      <c r="W987" s="168"/>
      <c r="X987" s="168"/>
      <c r="Y987" s="168"/>
      <c r="Z987" s="168"/>
    </row>
    <row r="988" spans="1:26" ht="14.25" customHeight="1">
      <c r="A988" s="168"/>
      <c r="B988" s="168"/>
      <c r="C988" s="168"/>
      <c r="D988" s="168"/>
      <c r="E988" s="168"/>
      <c r="F988" s="168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8"/>
      <c r="V988" s="168"/>
      <c r="W988" s="168"/>
      <c r="X988" s="168"/>
      <c r="Y988" s="168"/>
      <c r="Z988" s="168"/>
    </row>
    <row r="989" spans="1:26" ht="14.25" customHeight="1">
      <c r="A989" s="168"/>
      <c r="B989" s="168"/>
      <c r="C989" s="168"/>
      <c r="D989" s="168"/>
      <c r="E989" s="168"/>
      <c r="F989" s="168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8"/>
      <c r="V989" s="168"/>
      <c r="W989" s="168"/>
      <c r="X989" s="168"/>
      <c r="Y989" s="168"/>
      <c r="Z989" s="168"/>
    </row>
    <row r="990" spans="1:26" ht="14.25" customHeight="1">
      <c r="A990" s="168"/>
      <c r="B990" s="168"/>
      <c r="C990" s="168"/>
      <c r="D990" s="168"/>
      <c r="E990" s="168"/>
      <c r="F990" s="168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8"/>
      <c r="V990" s="168"/>
      <c r="W990" s="168"/>
      <c r="X990" s="168"/>
      <c r="Y990" s="168"/>
      <c r="Z990" s="168"/>
    </row>
    <row r="991" spans="1:26" ht="14.25" customHeight="1">
      <c r="A991" s="168"/>
      <c r="B991" s="168"/>
      <c r="C991" s="168"/>
      <c r="D991" s="168"/>
      <c r="E991" s="168"/>
      <c r="F991" s="168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8"/>
      <c r="V991" s="168"/>
      <c r="W991" s="168"/>
      <c r="X991" s="168"/>
      <c r="Y991" s="168"/>
      <c r="Z991" s="168"/>
    </row>
    <row r="992" spans="1:26" ht="14.25" customHeight="1">
      <c r="A992" s="168"/>
      <c r="B992" s="168"/>
      <c r="C992" s="168"/>
      <c r="D992" s="168"/>
      <c r="E992" s="168"/>
      <c r="F992" s="168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8"/>
      <c r="V992" s="168"/>
      <c r="W992" s="168"/>
      <c r="X992" s="168"/>
      <c r="Y992" s="168"/>
      <c r="Z992" s="168"/>
    </row>
    <row r="993" spans="1:26" ht="14.25" customHeight="1">
      <c r="A993" s="168"/>
      <c r="B993" s="168"/>
      <c r="C993" s="168"/>
      <c r="D993" s="168"/>
      <c r="E993" s="168"/>
      <c r="F993" s="168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8"/>
      <c r="V993" s="168"/>
      <c r="W993" s="168"/>
      <c r="X993" s="168"/>
      <c r="Y993" s="168"/>
      <c r="Z993" s="168"/>
    </row>
    <row r="994" spans="1:26" ht="14.25" customHeight="1">
      <c r="A994" s="168"/>
      <c r="B994" s="168"/>
      <c r="C994" s="168"/>
      <c r="D994" s="168"/>
      <c r="E994" s="168"/>
      <c r="F994" s="168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8"/>
      <c r="V994" s="168"/>
      <c r="W994" s="168"/>
      <c r="X994" s="168"/>
      <c r="Y994" s="168"/>
      <c r="Z994" s="168"/>
    </row>
    <row r="995" spans="1:26" ht="14.25" customHeight="1">
      <c r="A995" s="168"/>
      <c r="B995" s="168"/>
      <c r="C995" s="168"/>
      <c r="D995" s="168"/>
      <c r="E995" s="168"/>
      <c r="F995" s="168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8"/>
      <c r="V995" s="168"/>
      <c r="W995" s="168"/>
      <c r="X995" s="168"/>
      <c r="Y995" s="168"/>
      <c r="Z995" s="168"/>
    </row>
    <row r="996" spans="1:26" ht="14.25" customHeight="1">
      <c r="A996" s="168"/>
      <c r="B996" s="168"/>
      <c r="C996" s="168"/>
      <c r="D996" s="168"/>
      <c r="E996" s="168"/>
      <c r="F996" s="168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8"/>
      <c r="V996" s="168"/>
      <c r="W996" s="168"/>
      <c r="X996" s="168"/>
      <c r="Y996" s="168"/>
      <c r="Z996" s="168"/>
    </row>
    <row r="997" spans="1:26" ht="14.25" customHeight="1">
      <c r="A997" s="168"/>
      <c r="B997" s="168"/>
      <c r="C997" s="168"/>
      <c r="D997" s="168"/>
      <c r="E997" s="168"/>
      <c r="F997" s="168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8"/>
      <c r="V997" s="168"/>
      <c r="W997" s="168"/>
      <c r="X997" s="168"/>
      <c r="Y997" s="168"/>
      <c r="Z997" s="168"/>
    </row>
    <row r="998" spans="1:26" ht="14.25" customHeight="1">
      <c r="A998" s="168"/>
      <c r="B998" s="168"/>
      <c r="C998" s="168"/>
      <c r="D998" s="168"/>
      <c r="E998" s="168"/>
      <c r="F998" s="168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8"/>
      <c r="V998" s="168"/>
      <c r="W998" s="168"/>
      <c r="X998" s="168"/>
      <c r="Y998" s="168"/>
      <c r="Z998" s="168"/>
    </row>
    <row r="999" spans="1:26" ht="14.25" customHeight="1">
      <c r="A999" s="168"/>
      <c r="B999" s="168"/>
      <c r="C999" s="168"/>
      <c r="D999" s="168"/>
      <c r="E999" s="168"/>
      <c r="F999" s="168"/>
      <c r="G999" s="168"/>
      <c r="H999" s="168"/>
      <c r="I999" s="168"/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8"/>
      <c r="V999" s="168"/>
      <c r="W999" s="168"/>
      <c r="X999" s="168"/>
      <c r="Y999" s="168"/>
      <c r="Z999" s="168"/>
    </row>
    <row r="1000" spans="1:26" ht="14.25" customHeight="1">
      <c r="A1000" s="168"/>
      <c r="B1000" s="168"/>
      <c r="C1000" s="168"/>
      <c r="D1000" s="168"/>
      <c r="E1000" s="168"/>
      <c r="F1000" s="168"/>
      <c r="G1000" s="168"/>
      <c r="H1000" s="168"/>
      <c r="I1000" s="168"/>
      <c r="J1000" s="168"/>
      <c r="K1000" s="168"/>
      <c r="L1000" s="168"/>
      <c r="M1000" s="168"/>
      <c r="N1000" s="168"/>
      <c r="O1000" s="168"/>
      <c r="P1000" s="168"/>
      <c r="Q1000" s="168"/>
      <c r="R1000" s="168"/>
      <c r="S1000" s="168"/>
      <c r="T1000" s="168"/>
      <c r="U1000" s="168"/>
      <c r="V1000" s="168"/>
      <c r="W1000" s="168"/>
      <c r="X1000" s="168"/>
      <c r="Y1000" s="168"/>
      <c r="Z1000" s="168"/>
    </row>
  </sheetData>
  <autoFilter ref="A1:G31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Контакты</vt:lpstr>
      <vt:lpstr>Лист1</vt:lpstr>
      <vt:lpstr>Обратившиеся и заселенные</vt:lpstr>
      <vt:lpstr>Солнечное 1</vt:lpstr>
      <vt:lpstr>Белоостров</vt:lpstr>
      <vt:lpstr>Солнечное 2</vt:lpstr>
      <vt:lpstr>Солнечное 3</vt:lpstr>
      <vt:lpstr>Комарово</vt:lpstr>
      <vt:lpstr>Репино</vt:lpstr>
      <vt:lpstr>Зеленогорск</vt:lpstr>
      <vt:lpstr>Исключенные 2025-2026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modified xsi:type="dcterms:W3CDTF">2026-09-01T18:41:53Z</dcterms:modified>
</cp:coreProperties>
</file>