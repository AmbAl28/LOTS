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k1005\Desktop\Трунова\Дачный сезон 2026-2027\Сверка списков зраждан, заключивших договоры аренды\Заключенные договоры аренды в Отделениях\"/>
    </mc:Choice>
  </mc:AlternateContent>
  <bookViews>
    <workbookView xWindow="-120" yWindow="-120" windowWidth="29040" windowHeight="15720" firstSheet="1" activeTab="2"/>
  </bookViews>
  <sheets>
    <sheet name="Шаблон" sheetId="1" state="hidden" r:id="rId1"/>
    <sheet name="26 Сводная" sheetId="10" r:id="rId2"/>
    <sheet name="С-1" sheetId="2" r:id="rId3"/>
    <sheet name="С-2 (Н.Белоостров)" sheetId="3" r:id="rId4"/>
    <sheet name="С-2 (новый фонд)" sheetId="4" r:id="rId5"/>
    <sheet name="С-3" sheetId="5" r:id="rId6"/>
    <sheet name="Комарово" sheetId="7" r:id="rId7"/>
    <sheet name="Зеленогорск" sheetId="8" r:id="rId8"/>
    <sheet name="Репино" sheetId="9" r:id="rId9"/>
  </sheets>
  <definedNames>
    <definedName name="_xlnm._FilterDatabase" localSheetId="7" hidden="1">Зеленогорск!$A$1:$N$359</definedName>
    <definedName name="_xlnm._FilterDatabase" localSheetId="6" hidden="1">Комарово!$A$1:$N$359</definedName>
    <definedName name="_xlnm._FilterDatabase" localSheetId="8" hidden="1">Репино!$A$1:$N$359</definedName>
    <definedName name="_xlnm._FilterDatabase" localSheetId="2" hidden="1">'С-1'!$A$1:$N$49</definedName>
    <definedName name="_xlnm._FilterDatabase" localSheetId="3" hidden="1">'С-2 (Н.Белоостров)'!$A$1:$N$338</definedName>
    <definedName name="_xlnm._FilterDatabase" localSheetId="4" hidden="1">'С-2 (новый фонд)'!$A$1:$N$359</definedName>
    <definedName name="_xlnm._FilterDatabase" localSheetId="5" hidden="1">'С-3'!$A$1:$N$801</definedName>
    <definedName name="_xlnm._FilterDatabase" localSheetId="0" hidden="1">Шаблон!$A$1:$N$359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" i="10" l="1"/>
  <c r="C13" i="10" l="1"/>
  <c r="C4" i="10"/>
  <c r="C19" i="10"/>
  <c r="C18" i="10"/>
  <c r="C17" i="10"/>
  <c r="C16" i="10"/>
  <c r="C14" i="10"/>
  <c r="C12" i="10"/>
  <c r="C11" i="10"/>
  <c r="C10" i="10"/>
  <c r="C9" i="10"/>
  <c r="C8" i="10"/>
  <c r="C7" i="10"/>
  <c r="C6" i="10"/>
  <c r="C5" i="10"/>
  <c r="C3" i="10"/>
  <c r="C2" i="10"/>
  <c r="C15" i="10"/>
  <c r="C20" i="10"/>
  <c r="C21" i="10" l="1"/>
  <c r="F19" i="10" l="1"/>
  <c r="E19" i="10"/>
  <c r="D19" i="10"/>
  <c r="F18" i="10"/>
  <c r="E18" i="10"/>
  <c r="D18" i="10"/>
  <c r="F17" i="10"/>
  <c r="E17" i="10"/>
  <c r="D17" i="10"/>
  <c r="F16" i="10"/>
  <c r="E16" i="10"/>
  <c r="D16" i="10"/>
  <c r="F14" i="10"/>
  <c r="E14" i="10"/>
  <c r="D14" i="10"/>
  <c r="F13" i="10"/>
  <c r="E13" i="10"/>
  <c r="D13" i="10"/>
  <c r="F12" i="10"/>
  <c r="E12" i="10"/>
  <c r="D12" i="10"/>
  <c r="F9" i="10"/>
  <c r="E9" i="10"/>
  <c r="D9" i="10"/>
  <c r="F8" i="10"/>
  <c r="E8" i="10"/>
  <c r="D8" i="10"/>
  <c r="F6" i="10"/>
  <c r="E6" i="10"/>
  <c r="D6" i="10"/>
  <c r="F5" i="10"/>
  <c r="E5" i="10"/>
  <c r="D5" i="10"/>
  <c r="F4" i="10"/>
  <c r="E4" i="10"/>
  <c r="D4" i="10"/>
  <c r="F3" i="10"/>
  <c r="D3" i="10"/>
  <c r="F2" i="10"/>
  <c r="E2" i="10"/>
  <c r="D2" i="10"/>
  <c r="F11" i="10"/>
  <c r="E11" i="10"/>
  <c r="D11" i="10"/>
  <c r="F7" i="10"/>
  <c r="E7" i="10"/>
  <c r="D7" i="10"/>
  <c r="F20" i="10"/>
  <c r="E20" i="10"/>
  <c r="D20" i="10"/>
  <c r="F15" i="10" l="1"/>
  <c r="E15" i="10"/>
  <c r="D15" i="10"/>
  <c r="F10" i="10"/>
  <c r="E10" i="10"/>
  <c r="D10" i="10"/>
  <c r="H18" i="10" l="1"/>
  <c r="H14" i="10"/>
  <c r="H13" i="10"/>
  <c r="H12" i="10"/>
  <c r="H7" i="10"/>
  <c r="H5" i="10"/>
  <c r="H3" i="10"/>
  <c r="H4" i="10"/>
  <c r="H16" i="10"/>
  <c r="H9" i="10"/>
  <c r="H6" i="10"/>
  <c r="H2" i="10"/>
  <c r="H10" i="10"/>
  <c r="H15" i="10"/>
  <c r="H19" i="10"/>
  <c r="H11" i="10"/>
  <c r="H20" i="10"/>
  <c r="F21" i="10"/>
  <c r="E21" i="10"/>
  <c r="D21" i="10"/>
  <c r="H8" i="10"/>
  <c r="H17" i="10"/>
  <c r="H21" i="10" l="1"/>
</calcChain>
</file>

<file path=xl/sharedStrings.xml><?xml version="1.0" encoding="utf-8"?>
<sst xmlns="http://schemas.openxmlformats.org/spreadsheetml/2006/main" count="14886" uniqueCount="4964">
  <si>
    <t xml:space="preserve"> 
п/п</t>
  </si>
  <si>
    <t xml:space="preserve"> 
дачи</t>
  </si>
  <si>
    <t xml:space="preserve"> 
комнаты/
помещения</t>
  </si>
  <si>
    <t>Площадь
комнаты/
помещения, 
кв.м.</t>
  </si>
  <si>
    <t>Площадь 
веранды, 
кв. м.</t>
  </si>
  <si>
    <t>Район 
Санкт-Петербурга</t>
  </si>
  <si>
    <t>ФИО арендатора</t>
  </si>
  <si>
    <t>Адрес арендатора</t>
  </si>
  <si>
    <t xml:space="preserve">Льготная категория арендатора </t>
  </si>
  <si>
    <t xml:space="preserve"> № договора</t>
  </si>
  <si>
    <t>Дата заключения договора</t>
  </si>
  <si>
    <t>Сезон аренды (летний, 
летне-зимний)</t>
  </si>
  <si>
    <t>Заключен договор аренды</t>
  </si>
  <si>
    <t>Примечание</t>
  </si>
  <si>
    <t>№ 
п/п</t>
  </si>
  <si>
    <t>№ 
дачи</t>
  </si>
  <si>
    <t>№ 
комнаты/
помещения</t>
  </si>
  <si>
    <t>№ договора</t>
  </si>
  <si>
    <t>181-С1</t>
  </si>
  <si>
    <t>Калининский</t>
  </si>
  <si>
    <t>Сумин Александр Иванович</t>
  </si>
  <si>
    <t>ул. Ольги Форш, д. 15, к. 4, кв. 68</t>
  </si>
  <si>
    <t>Семья с 2+ инв. I/II</t>
  </si>
  <si>
    <t>181/1.3</t>
  </si>
  <si>
    <t>Летне-зимний</t>
  </si>
  <si>
    <t>☑</t>
  </si>
  <si>
    <t>Григорьев Владислав Григорьевич</t>
  </si>
  <si>
    <t>ул. Бутлерова, д. 16, к. 2, кв. 72</t>
  </si>
  <si>
    <t>ЖБЛ</t>
  </si>
  <si>
    <t>181/2</t>
  </si>
  <si>
    <t>189-С1</t>
  </si>
  <si>
    <t>Приморский</t>
  </si>
  <si>
    <t>Ляхманова Лариса Владимировна 
(РИ-Ляхманов Дмитрий Андреевич 09.10.2013)</t>
  </si>
  <si>
    <t>ул. Ильюшина, д. 1, к. 1, кв. 241</t>
  </si>
  <si>
    <t>Семья с РИ до 16 лет</t>
  </si>
  <si>
    <t>189/1</t>
  </si>
  <si>
    <t>Корзаков Владимир Александрович</t>
  </si>
  <si>
    <t>Комендантский пр-кт, д. 22 лит. А, к. 1, кв. 131</t>
  </si>
  <si>
    <t>ЧАЭС</t>
  </si>
  <si>
    <t>189/2</t>
  </si>
  <si>
    <t>Романовский Игорь Владимирович</t>
  </si>
  <si>
    <t>Богатырский пр-кт, д. 55 лит А, к. 1, кв. 476</t>
  </si>
  <si>
    <t>ВБД</t>
  </si>
  <si>
    <t>189/3</t>
  </si>
  <si>
    <t>242-С1</t>
  </si>
  <si>
    <t>Ханин Михаил Павлович</t>
  </si>
  <si>
    <t>Туристская ул, д. 8, корпус 3, кв. 108</t>
  </si>
  <si>
    <t>242/1.2</t>
  </si>
  <si>
    <t>Центральный</t>
  </si>
  <si>
    <t>Пуусемп Татьяна Михайловна</t>
  </si>
  <si>
    <t>ул. Думская, д. 5/22, лит. А, кв. 81</t>
  </si>
  <si>
    <t>Одинокая мать</t>
  </si>
  <si>
    <t>242/3</t>
  </si>
  <si>
    <t>267-С1</t>
  </si>
  <si>
    <t>Пушкинский</t>
  </si>
  <si>
    <t>Татаренков Олег Викторович 
(РИ-Татаренкова Ксения Олеговна 16.04.2009)</t>
  </si>
  <si>
    <t>п. Шушары, Славянка, ул. Ростовская ул., д. 8, к. 1, кв. 15</t>
  </si>
  <si>
    <t>267/1</t>
  </si>
  <si>
    <t>Гусаченко Марина Григорьевна 
(РИ-Лось Кирилл Александрович 03.12.2015)</t>
  </si>
  <si>
    <t>267/2</t>
  </si>
  <si>
    <t>267/3</t>
  </si>
  <si>
    <t>268-С1</t>
  </si>
  <si>
    <t>Красносельский</t>
  </si>
  <si>
    <t>Авьясова Наталья Валерьевна 
(РИ- Авьясов Константин Константинович 18.10.2018)</t>
  </si>
  <si>
    <t>Ветеранов пр-кт, д. 152 ЛитА, к. 2, кв. 23</t>
  </si>
  <si>
    <t>268/1.3</t>
  </si>
  <si>
    <t>Камерова Регина Леонтьевна</t>
  </si>
  <si>
    <t>Литейный пр., д. 46, кв. 26</t>
  </si>
  <si>
    <t>268/2</t>
  </si>
  <si>
    <t>295-С1</t>
  </si>
  <si>
    <t>Малыгина Мария Геннадьевна</t>
  </si>
  <si>
    <t>Бутлерова ул., д. 9, к. 2, кв. 195</t>
  </si>
  <si>
    <t>295/1.3</t>
  </si>
  <si>
    <t>Колпинский</t>
  </si>
  <si>
    <t>Даниленков Семен Сергеевич</t>
  </si>
  <si>
    <t>Понтонный п., Южная ул., д. 27, кв. 89</t>
  </si>
  <si>
    <t>Одинокий инв. с детства</t>
  </si>
  <si>
    <t>295/2</t>
  </si>
  <si>
    <t>300-С1</t>
  </si>
  <si>
    <t>Фотеева Екатерина Валерьевна 
(РИ - Фотеев Александр Викторович 14.05.2018)</t>
  </si>
  <si>
    <t>Фермское ш, д. 36, к. 7, кв. 70</t>
  </si>
  <si>
    <t>300/1</t>
  </si>
  <si>
    <t>Летний</t>
  </si>
  <si>
    <t>Кривошеева Елена Владимировна</t>
  </si>
  <si>
    <t>Богатырский пр-кт, д. 45, стр. 1, кв. 25</t>
  </si>
  <si>
    <t>300/2</t>
  </si>
  <si>
    <t>Петроградский</t>
  </si>
  <si>
    <t>Осечкин Всеволод Владимирович</t>
  </si>
  <si>
    <t>ул. Рентгена, д. 23, кв. 36</t>
  </si>
  <si>
    <t>300/3</t>
  </si>
  <si>
    <t>321-С1</t>
  </si>
  <si>
    <t>Тардасова Наталья Васильевна</t>
  </si>
  <si>
    <t>ул. Демьяна Бедного, д. 2, к. 3, кв. 12</t>
  </si>
  <si>
    <t>321/3</t>
  </si>
  <si>
    <t>339-С1</t>
  </si>
  <si>
    <t>Гуревич Татьяна Геннадьевна</t>
  </si>
  <si>
    <t>Восстания ул., д. 32/10, кв. 8</t>
  </si>
  <si>
    <t>339/1</t>
  </si>
  <si>
    <t>Куштанова Елена Вячеславовна</t>
  </si>
  <si>
    <t>Боровая ул, д. 21, кв. 1</t>
  </si>
  <si>
    <t>339/2</t>
  </si>
  <si>
    <t>Василеостровский</t>
  </si>
  <si>
    <t>Лесина Лариса Васильевна</t>
  </si>
  <si>
    <t>7-я В.О. линия, д. 56, кв. 13</t>
  </si>
  <si>
    <t>339/3</t>
  </si>
  <si>
    <t>340-С1</t>
  </si>
  <si>
    <t>Московский</t>
  </si>
  <si>
    <t>Конько Ольга Леонидовна 
(РИ- Нефедьева Стефания Андреевна 28.09.2010)</t>
  </si>
  <si>
    <t>Краснопутиловская ул, д. 125, кв. 88</t>
  </si>
  <si>
    <t>340/1</t>
  </si>
  <si>
    <t>Рябинина Валентина Евгеньевна</t>
  </si>
  <si>
    <t>Савушкина ул., д. 17, кв. 73</t>
  </si>
  <si>
    <t>Родитель погибшего воина</t>
  </si>
  <si>
    <t>340/2</t>
  </si>
  <si>
    <t>Мухина Надежда Павловна</t>
  </si>
  <si>
    <t>пр. Испытателей, д. 6, к. 1, кв. 200</t>
  </si>
  <si>
    <t>340/3</t>
  </si>
  <si>
    <t>351-С1</t>
  </si>
  <si>
    <t>Мунтяну Надежда Петровна 
(РИ- Мунтяну Анфиса Ивановна 13.04.2019)</t>
  </si>
  <si>
    <t>Ветеранов пр-кт, д. 169 к.1, строение 1, кв. 621</t>
  </si>
  <si>
    <t>351/1.2</t>
  </si>
  <si>
    <t>Невский</t>
  </si>
  <si>
    <t xml:space="preserve">Дейнега Анастасия Александровна 
(РИ-Дейнега Илья Викторович 14.04.2018) </t>
  </si>
  <si>
    <t>Ворошилова ул, д. 29 лит.А, корпус 2, кв. 88</t>
  </si>
  <si>
    <t>351/3</t>
  </si>
  <si>
    <t>370-С1</t>
  </si>
  <si>
    <t>Выборгский</t>
  </si>
  <si>
    <t>Алексеенко Кира Касьяновна</t>
  </si>
  <si>
    <t>Дрезденская ул., д. 20, кв. 47</t>
  </si>
  <si>
    <t>370/1,3</t>
  </si>
  <si>
    <t>Зезюкова Ирина Васильевна</t>
  </si>
  <si>
    <t>г. Колпино, Братьев Радченко ул, д.25, кв. 225</t>
  </si>
  <si>
    <t>370/2</t>
  </si>
  <si>
    <t>375-С1</t>
  </si>
  <si>
    <t>Медведева Нина Михайловна</t>
  </si>
  <si>
    <t>Софьи Ковалевской ул., д. 14, к. 4, кв. 91</t>
  </si>
  <si>
    <t>375/1.2</t>
  </si>
  <si>
    <t>Дризин Борис Михайлович</t>
  </si>
  <si>
    <t>Яхтенная ул., д. 9, к. 1, кв. 97</t>
  </si>
  <si>
    <t>375/3</t>
  </si>
  <si>
    <t>382-С1</t>
  </si>
  <si>
    <t>Родак Юлия Вячеславовна 
(РИ - Родак Георгий Павлович 23.05.2018)</t>
  </si>
  <si>
    <t>Жени Егоровой ул., д. 3, к. 2 кв. 394</t>
  </si>
  <si>
    <t>389-С1</t>
  </si>
  <si>
    <t>Суратова Тамара Сергеевна</t>
  </si>
  <si>
    <t>Наличная ул., д. 37, к.2, кв. 53</t>
  </si>
  <si>
    <t>389/1.2</t>
  </si>
  <si>
    <t>Тюленева Анастасия Васильевна 
(РИ- Тюленева Таисия Юрьевна 03.08.2021)</t>
  </si>
  <si>
    <t>Гражданский пр-кт, д. 117, лит. А, к. 1, кв. 419</t>
  </si>
  <si>
    <t>389/3</t>
  </si>
  <si>
    <t>401-С1</t>
  </si>
  <si>
    <t>Фрунзенский</t>
  </si>
  <si>
    <t>Юдина Людмила Алексеевна</t>
  </si>
  <si>
    <t>Волковский пр-кт, д. 144, кв. 43</t>
  </si>
  <si>
    <t>401/1</t>
  </si>
  <si>
    <t>Комарова Елена Михайловна</t>
  </si>
  <si>
    <t>ул. Малая Балканская, д. 50, к. 3, кв. 158</t>
  </si>
  <si>
    <t>401/2</t>
  </si>
  <si>
    <t>Ярош Олеся Викторовна 
(РИ- Ярош Даниил Олегович 12.10.2019)</t>
  </si>
  <si>
    <t>Будапештская ул, д. 38, корпус 4, кв. 98</t>
  </si>
  <si>
    <t>401/3</t>
  </si>
  <si>
    <t>404-С1</t>
  </si>
  <si>
    <t>Красногвардейский</t>
  </si>
  <si>
    <t>Бренер Игорь Нафтальевич</t>
  </si>
  <si>
    <t>Заневский пр-кт, д. 9/8, кв. 53</t>
  </si>
  <si>
    <t>404/1</t>
  </si>
  <si>
    <t>Мусина Галина Павловна</t>
  </si>
  <si>
    <t>Среднеохтинский пр-кт, д. 2Б, кв. 4</t>
  </si>
  <si>
    <t>404/3</t>
  </si>
  <si>
    <t xml:space="preserve"> №
дачи</t>
  </si>
  <si>
    <t>1-Б</t>
  </si>
  <si>
    <t>1 (2-Н)</t>
  </si>
  <si>
    <t>Медведева Наталья Михайловна  (реб. Медведев Артём Ярославович - 21.08.2019г.р.)</t>
  </si>
  <si>
    <t>пос. Шушары, Валдайская ул., д. 6, корп. 2, стр.1,  кв. 63</t>
  </si>
  <si>
    <t>2 (2-Н)</t>
  </si>
  <si>
    <t>2-Б</t>
  </si>
  <si>
    <t>1 (1-Н)</t>
  </si>
  <si>
    <t>Еремин Сергей Васильевич  (реб. Еремин Василий Сергеевич- 04.05.2019г.р)</t>
  </si>
  <si>
    <t>Большевиков пр., д. 21. кв. 22</t>
  </si>
  <si>
    <t>2 (1-Н)</t>
  </si>
  <si>
    <t>Грачева Екатерина Рудольфовна (Грачева Таисия Александровна- 13.01.2022г.р.)</t>
  </si>
  <si>
    <t>Богатырский пр., д. 3, корп. 1, кв. 138</t>
  </si>
  <si>
    <t xml:space="preserve">2 (2-Н) </t>
  </si>
  <si>
    <t>3-Б</t>
  </si>
  <si>
    <t>Медведева Алиса Дмитриевна (реб. Медведев Елисей Сергеевич - 15.11.2011г.р.)</t>
  </si>
  <si>
    <t>Пискаревский пр., д. 10, корп. 2, кв. 15</t>
  </si>
  <si>
    <t xml:space="preserve"> 3 (1-Н) </t>
  </si>
  <si>
    <t xml:space="preserve"> 3 (1-Н)</t>
  </si>
  <si>
    <t>Гепалова Светлана Андреевна (реб. Гепалов Константин Алексеевич - 02.09.2018г.р.)</t>
  </si>
  <si>
    <t>Богатырский пр., д. 2,  кв. 667</t>
  </si>
  <si>
    <t xml:space="preserve">3 (2-Н) </t>
  </si>
  <si>
    <t>4-Б</t>
  </si>
  <si>
    <t>Парманова Татьяна Валерьевна (Парманов Артём Антонович - 06.07.2020г.р.)</t>
  </si>
  <si>
    <t>Красносельское шоссе, д. 54, корп. 6, кв. 287</t>
  </si>
  <si>
    <t>4 (1-Н)</t>
  </si>
  <si>
    <t>5-Б</t>
  </si>
  <si>
    <t>Чеснакова Евгения Андреевна (Чеснаков Андрей Денисович- 10.08.2011г.)</t>
  </si>
  <si>
    <t xml:space="preserve"> 5 (1-Н) </t>
  </si>
  <si>
    <t>Пулковское шоссе, д. 99, корп. 6, стр. 1, кв. 64</t>
  </si>
  <si>
    <t>5 (2-Н)</t>
  </si>
  <si>
    <t>7-Б</t>
  </si>
  <si>
    <t xml:space="preserve">Заварзин Юрий Сергеевич </t>
  </si>
  <si>
    <t>Ленинский пр., д. 53, корп. 1, кв. 28</t>
  </si>
  <si>
    <t>8-Б</t>
  </si>
  <si>
    <t>Киуру Анна Михайловна (реб. Киуру Виктория Семеновна - 28.01.2015г.р.)</t>
  </si>
  <si>
    <t>Афонская ул., д. 24, корп. 1, кв. 195</t>
  </si>
  <si>
    <t>9-Б</t>
  </si>
  <si>
    <t>Нефедьев Сергей Николаевич</t>
  </si>
  <si>
    <t>ул. Шателена,д. 4, кв. 56</t>
  </si>
  <si>
    <t>11-Б</t>
  </si>
  <si>
    <t>Матюша Елена Александровна (реб. Матюша Дарья Григорьевна - 08.12.2015г.р)</t>
  </si>
  <si>
    <t>Добровольцев ул., д. 6, кв. 3</t>
  </si>
  <si>
    <t>11 (1-Н)</t>
  </si>
  <si>
    <t xml:space="preserve">Бритенкова Светлана Олеговна </t>
  </si>
  <si>
    <t>п. Парголово, ул. Тихоокеанская,  д.12, корп. 1,  кв. 19</t>
  </si>
  <si>
    <t xml:space="preserve"> 11 (2-Н)</t>
  </si>
  <si>
    <t>12-Б</t>
  </si>
  <si>
    <t>Громенко Евгения Владимировна (реб. Громенко Иветта Александровна - 27.10.2013г.р.; Ивенко Матвей Александрович - 27.10.2013г.р.)</t>
  </si>
  <si>
    <t>Товарищеский пр., д. 9, кв. 6</t>
  </si>
  <si>
    <t>12 (1-Н)</t>
  </si>
  <si>
    <t>Куст Елена Зурабиевна (Куст Тимофей Сергеевич - 04.05.2017г.р.)</t>
  </si>
  <si>
    <t>Александровской фермы пр., д. 2,  кв. 109</t>
  </si>
  <si>
    <t>12 (2-Н)</t>
  </si>
  <si>
    <t>13-Б</t>
  </si>
  <si>
    <t>Сарайкина Елена Ивановна (реб. Симанков Иван Сергеевич - 05.10.2011г.р.)</t>
  </si>
  <si>
    <t>ул. Катерников, д. 8, кв.17</t>
  </si>
  <si>
    <t>13 (2-Н)</t>
  </si>
  <si>
    <t>14-Б</t>
  </si>
  <si>
    <t>Леушина Людмила Игоревна (реб. Богданов Марк Кириллович - 13.02.2018г.р.)</t>
  </si>
  <si>
    <t>Ленинский пр. , д. 115, к. 2, кв. 246 (Алтайская ул., д. 13, кв. 13)</t>
  </si>
  <si>
    <t xml:space="preserve">14 (1-Н) </t>
  </si>
  <si>
    <t>Титова Виктория Игоревна (реб. Титов Викториан Андреевич- 14.12.2018г.р.)</t>
  </si>
  <si>
    <t>п. Шушары, тер. Ленсоветовский, д. 15, кв. 123 (по месту прибывания) (реб. Московский пр.,д. 155, кв. 43)</t>
  </si>
  <si>
    <t>14 (2-Н)</t>
  </si>
  <si>
    <t>16-Б</t>
  </si>
  <si>
    <t>Лытасова Светлана Ивановна</t>
  </si>
  <si>
    <t>Ушинского ул. , д. 23, корп. 1, кв. 91</t>
  </si>
  <si>
    <t xml:space="preserve"> 16 (1-Н)</t>
  </si>
  <si>
    <t>Черноземова Елена Викторовна (реб. Коркин Кирилл Сергеевич - 29.06.2015г.р.)</t>
  </si>
  <si>
    <t>Поэтический бульвар, д. 1, корп. 1, кв. 95</t>
  </si>
  <si>
    <t xml:space="preserve"> 16 (2-Н) </t>
  </si>
  <si>
    <t>17-Б</t>
  </si>
  <si>
    <t>Михайлов Александр Сергеевич (реб.Михайлова Дарья Александровна 05.01.2020г.р.)</t>
  </si>
  <si>
    <t>Котельникова ал., д. 4. кв. 468</t>
  </si>
  <si>
    <t>18-Б</t>
  </si>
  <si>
    <t>Шестопалова Екатерина Геннадьевна (реб. Гренько Иван Александрович - 29.09.2016г.р.)</t>
  </si>
  <si>
    <t>Туристская ул., д. 28, корп. 1, кв. 387</t>
  </si>
  <si>
    <t>18 (1-Н)</t>
  </si>
  <si>
    <t>Дьячкова Валерия Георгиевна</t>
  </si>
  <si>
    <t>Софийская ул., д. 28, кв. 426</t>
  </si>
  <si>
    <t>18 (2-Н)</t>
  </si>
  <si>
    <t>19-Б</t>
  </si>
  <si>
    <t>Лоншакова Ксения Винеровна (реб. Лоншакова Серафима Евгеньевна -15.12.2011г.р.)</t>
  </si>
  <si>
    <t>Арцеуловская ул.., д. 23, корп.1, кв. 2337</t>
  </si>
  <si>
    <t>21-Б</t>
  </si>
  <si>
    <t>Федорова Ольга Анатольевна (Гольникова Амалия Максимовна - 05.04.2012г.р.)</t>
  </si>
  <si>
    <t>Афанасьевская ул. ,д. 6, корп. 1, кв. 373</t>
  </si>
  <si>
    <t xml:space="preserve">21 (1-Н) </t>
  </si>
  <si>
    <t>Герус Наталья Владимировна (реб. Герус Нейрон Викторович- 26.10.2013г.р.)</t>
  </si>
  <si>
    <t>Плесецкая ул.,д. 10, кв. 5498</t>
  </si>
  <si>
    <t xml:space="preserve">21 (2-Н) </t>
  </si>
  <si>
    <t>22-Б</t>
  </si>
  <si>
    <t>Тереньтьева Екатерина Владимировна (реб. Панькина Кристина Александровна - 28.10.2015г.р.)</t>
  </si>
  <si>
    <t>Обуховской обороны пр.,д. 291, корп. 2, кв.19</t>
  </si>
  <si>
    <t>22 (1-Н)</t>
  </si>
  <si>
    <t xml:space="preserve">Боровинский Илья Алексеевич </t>
  </si>
  <si>
    <t>Ветеранов пр. , д. 120, кв. 110</t>
  </si>
  <si>
    <t>Одинокий ИД</t>
  </si>
  <si>
    <t xml:space="preserve"> 22 (2-Н)</t>
  </si>
  <si>
    <t>23-Б</t>
  </si>
  <si>
    <t>Септиоглу Светлана Николаевна (реб. Септиоглу Микаил Али Несихович - 14.08.2015г.р.)</t>
  </si>
  <si>
    <t>Коломенская ул.,д 14, кв. 4</t>
  </si>
  <si>
    <t>№ 23</t>
  </si>
  <si>
    <t>24-Б</t>
  </si>
  <si>
    <t>Манучарян Инесса Михайловна (реб. Манучарян Мария Эдуардовна - 04.12.2015г.р.)</t>
  </si>
  <si>
    <t>пр. Северный, д. 63, корп. 1, кв. 85</t>
  </si>
  <si>
    <t>25-Б</t>
  </si>
  <si>
    <t>Богданов Сергей Александрович (Богданова Анна Сергеевна- 05.03.2011г.)</t>
  </si>
  <si>
    <t>пр. Луначарского, д. 44, кв. 19</t>
  </si>
  <si>
    <t>26-Б</t>
  </si>
  <si>
    <t>Болгова Светлана Анатольевна (реб. Боглов Владимир Денисович - 26.09.2014г.р.)</t>
  </si>
  <si>
    <t>Витебский пр., д. 55, кв. 110 (пос. Шушары, Славянка, ул. Ростовская, д. 13-15,   кв. 214)</t>
  </si>
  <si>
    <t>27-Б</t>
  </si>
  <si>
    <t>Колесникова Виктория Андреевна (реб. Колесников Демид Олегович- 08.06.2012г.р.)</t>
  </si>
  <si>
    <t>Стародеревенская ул.,д. 30, кв. 140</t>
  </si>
  <si>
    <t>28-Б</t>
  </si>
  <si>
    <t>☒</t>
  </si>
  <si>
    <t>Селезнева Наталия Анатольевна (реб. Гурбанов Исмаил Рамизович - 02.09.2008г.р)</t>
  </si>
  <si>
    <t>Толубеевский пр., д. 18, корп. 1, стр. 1, кв. 188</t>
  </si>
  <si>
    <t xml:space="preserve"> 28 (2-Н)</t>
  </si>
  <si>
    <t>29-Б</t>
  </si>
  <si>
    <t>Бондарева Анна Витальевна (реб. Бондарева Мария Витальевна - 06.06.2009г.р.)</t>
  </si>
  <si>
    <t>Поликарпова ал., д. 10, корп. 3, кв. 196</t>
  </si>
  <si>
    <t>Уход за РИ</t>
  </si>
  <si>
    <t xml:space="preserve">29 (1-Н) </t>
  </si>
  <si>
    <t>Аверин Вадим Александрович ( реб. Аверин Дмитрий Вадимович - 05.03.2015г.р)</t>
  </si>
  <si>
    <t>Маршала Блюхера пр.,д. 7, корп. 1. кв. 234</t>
  </si>
  <si>
    <t xml:space="preserve"> 29 (2-Н)</t>
  </si>
  <si>
    <t>30-Б</t>
  </si>
  <si>
    <t>Глухова Екатерина Сергеевна (реб. Глухов Арсений Антонович - 25.02.2014г.)</t>
  </si>
  <si>
    <t>ул. .Планерная ..д. 47, корп. 5, кв. 16 (Офицерский пер. д. 4, кв. 36)</t>
  </si>
  <si>
    <t xml:space="preserve">30 (2-Н) </t>
  </si>
  <si>
    <t>31-Б</t>
  </si>
  <si>
    <t>Ольги Форш ул, д. 17, корп. 1, кв. 55</t>
  </si>
  <si>
    <t xml:space="preserve"> 31 (1-Н) </t>
  </si>
  <si>
    <t>32-Б</t>
  </si>
  <si>
    <t xml:space="preserve"> Иваньков Никита Сергеевич </t>
  </si>
  <si>
    <t>ул. Большая Зеленина, д. 19, кв. 45</t>
  </si>
  <si>
    <t xml:space="preserve">32 (2-Н) </t>
  </si>
  <si>
    <t>33-Б</t>
  </si>
  <si>
    <t>Плаксин Антон Вениаминович</t>
  </si>
  <si>
    <t>4-я Советская, д. 8, кв. 10</t>
  </si>
  <si>
    <t>Многодет. (5+ до 16)</t>
  </si>
  <si>
    <t>33 (1-Н)</t>
  </si>
  <si>
    <t>34-Б</t>
  </si>
  <si>
    <t>Татарский Владимир Адольфович</t>
  </si>
  <si>
    <t>Муринская дор., д. 14, корп. 2, кв. 233</t>
  </si>
  <si>
    <t xml:space="preserve"> 34 (1-Н)</t>
  </si>
  <si>
    <t xml:space="preserve">34 (1-Н) </t>
  </si>
  <si>
    <t>36-Б</t>
  </si>
  <si>
    <t>Медведева Мария Николаевна (Комаров Максим Алексеевич - 05.06.2012г.р.)</t>
  </si>
  <si>
    <t>ул. Софьи Ковалевской, д .15, корп. 2  кв. 18</t>
  </si>
  <si>
    <t>37-Б</t>
  </si>
  <si>
    <t>Максутова Светлана Васильевна (Буланова  Евгения Александровна - 26.10.2010г.)</t>
  </si>
  <si>
    <t>ул. Среднедеревенская, д. 26, корп. 1, кв. 67</t>
  </si>
  <si>
    <t>39-Б</t>
  </si>
  <si>
    <t>Курбанова Ирина Ибрагимовна (реб. Курбанов Руслан Камильевич - 11.06.2019г.р.)</t>
  </si>
  <si>
    <t>Петерговское шоссе, д. 84, корп. 19, кв.312</t>
  </si>
  <si>
    <t>41-Б</t>
  </si>
  <si>
    <t>Кудрявец Евгения Геннадьевна (реб. Кудрявец Всеволод Алексеевич - 18.05.2014г.р.)</t>
  </si>
  <si>
    <t>Маршала Блюхера пр.,д. 3, корп. 3. кв. 296</t>
  </si>
  <si>
    <t>42-Б</t>
  </si>
  <si>
    <t>Рогалев Андрей Владимирович (реб. Рогалева Полина Андреевна - 27.10.2016г.р.)</t>
  </si>
  <si>
    <t>Просвещения пр., д. 84, корп. 1, кв. 52</t>
  </si>
  <si>
    <t>43-Б</t>
  </si>
  <si>
    <t xml:space="preserve">Гогохия Анна Александровна </t>
  </si>
  <si>
    <t>Обуховской обороны пр.,д. 277, корп. 2, кв.35</t>
  </si>
  <si>
    <t>44-Б</t>
  </si>
  <si>
    <t>Кировский</t>
  </si>
  <si>
    <t>Кудашева Анастасия Павловна (реб. Кудашев Михаил Александрович- 12.05.2017г.р.)</t>
  </si>
  <si>
    <t>Маршала Говорова ул., д. 12, кор. 1, кв. 64</t>
  </si>
  <si>
    <t>44 (2-Н)</t>
  </si>
  <si>
    <t>45-Б</t>
  </si>
  <si>
    <t>Адмиралтейский</t>
  </si>
  <si>
    <t>Куртукова Оксана Викторовна 
(РИ-Алёхин Ефим Владимирович - 10.11.2013г.р.)</t>
  </si>
  <si>
    <t>Казанская ул., д. 33/5, кв. 31</t>
  </si>
  <si>
    <t xml:space="preserve"> 45 1-Н</t>
  </si>
  <si>
    <t>Дыбчук Анна Александровна (реб. Дыбчук Александр Михайлович - 19.04.2021г.р.)</t>
  </si>
  <si>
    <t>г. Павловск , Слуцкая ул., д. 13, корп. 2, кв. 23</t>
  </si>
  <si>
    <t>45 (2-Н)</t>
  </si>
  <si>
    <t xml:space="preserve"> 13.05.2026</t>
  </si>
  <si>
    <t>46-Б</t>
  </si>
  <si>
    <t>Лаврова Вита Викторовна (РИ-Лавров Владислав Владимирович - 15.08.2013г.р.)</t>
  </si>
  <si>
    <t>Старо-Петерговский, д. 37, кв. 68</t>
  </si>
  <si>
    <t>47-Б</t>
  </si>
  <si>
    <t>Забелинская Татьяна Эмильевна</t>
  </si>
  <si>
    <t>наб. канала Грибоедова, д. 79, кв. 47</t>
  </si>
  <si>
    <t xml:space="preserve"> 47 1-Н </t>
  </si>
  <si>
    <t>Волкова Гулнора Олимовна (реб. Волков Афзалхон Алишерович- 10.10.2011г.р.)</t>
  </si>
  <si>
    <t>Муринская дор., д. 14, корп. 3, стр. 1,  кв. 330</t>
  </si>
  <si>
    <t xml:space="preserve">47 (2-Н) </t>
  </si>
  <si>
    <t>48-Б</t>
  </si>
  <si>
    <t>Вайткевичене Светлана Владимировна (реб. Вайткевичус Вадим Александрович -  20.04.2014г.р.)</t>
  </si>
  <si>
    <t>Дачный пр..д. 38. корп. 3, кв. 8</t>
  </si>
  <si>
    <t xml:space="preserve">48 (1-Н) </t>
  </si>
  <si>
    <t>Бородина Ольга Джафаровна (реб. Бородин Алексей Сергеевич - 14.07.2013г.р.)</t>
  </si>
  <si>
    <t>Загребский б-р, д. 35/28, кв. 116</t>
  </si>
  <si>
    <t>48 (2-Н)</t>
  </si>
  <si>
    <t>49-Б</t>
  </si>
  <si>
    <t>Сазыкина Ольга Аркадьевна 
(РИ-Сазыкина Мария Алексеевна- 22.02.2019г.р.)</t>
  </si>
  <si>
    <t>Вилькинский бульвар, д. 6, стр. 1, кв. 291</t>
  </si>
  <si>
    <t>50-Б</t>
  </si>
  <si>
    <t>Румянцева Татьяна Игоревна  (Румянцев Илья Антонович -28.12.2017г.р.)</t>
  </si>
  <si>
    <t>ул. Новосёлов, д. 15, кв. 74</t>
  </si>
  <si>
    <t>51-Б</t>
  </si>
  <si>
    <t>Чистякова Наталья Александровна (реб. Чистяков Иван Эдуардович - 24.04.2019г.р., Чистякова Анастасия Эдуардовна - 24.04.2019г.р.)</t>
  </si>
  <si>
    <t>г. Колпино, Балканская дорога, д. 10, корп. 2, стр. 1,  кв. 15</t>
  </si>
  <si>
    <t>52-Б</t>
  </si>
  <si>
    <t>Персидская Альбина Булатовна (реб. Персидский Даниил Артемьевич- 23.06.2010г.р.)</t>
  </si>
  <si>
    <t>53-Б</t>
  </si>
  <si>
    <t>Воронов Дмитрий Павлович (Воронова София Дмитриевна - 13.03.2019г.р.)</t>
  </si>
  <si>
    <t>Просвещения пр., д. 75, , кв.184</t>
  </si>
  <si>
    <t>54-Б</t>
  </si>
  <si>
    <t xml:space="preserve">Рябинин Олег Игоревич </t>
  </si>
  <si>
    <t>пос. Шушары,  Московское шоссе, д. 250, корп. 2, стр. 1,  кв.46</t>
  </si>
  <si>
    <t>54 (1-Н)</t>
  </si>
  <si>
    <t>Вильцина Зинаида Сергеевна</t>
  </si>
  <si>
    <t>ул. Решетникова, д. 21, кв. 52</t>
  </si>
  <si>
    <t>Узник</t>
  </si>
  <si>
    <t>54 (2-Н)</t>
  </si>
  <si>
    <t>55-Б</t>
  </si>
  <si>
    <t>Усова Татьяна Евгеньевна</t>
  </si>
  <si>
    <t>пр. Ленинский, д. 56,  кв.883</t>
  </si>
  <si>
    <t xml:space="preserve"> 55 (1-Н)</t>
  </si>
  <si>
    <t>Мяльк Наталья Сергеевна</t>
  </si>
  <si>
    <t xml:space="preserve">55 (2-Н) </t>
  </si>
  <si>
    <t>56-Б</t>
  </si>
  <si>
    <t>Иванова Анна Георгиевна</t>
  </si>
  <si>
    <t>ул. Чайковского, д. 13 кв. 7</t>
  </si>
  <si>
    <t>56 (1-Н)</t>
  </si>
  <si>
    <t>Драчева Елена Ивановна</t>
  </si>
  <si>
    <t>ул. Полтавская, д. 14, кв. 35</t>
  </si>
  <si>
    <t>56 (2-Н)</t>
  </si>
  <si>
    <t>58-Б</t>
  </si>
  <si>
    <t xml:space="preserve">Шарохина Галина Антоновна </t>
  </si>
  <si>
    <t>Гражданский пр., д. 86, корп. 1, кв. 63</t>
  </si>
  <si>
    <t xml:space="preserve"> 58 (1-Н)</t>
  </si>
  <si>
    <t>Бертова Елена Геннадьевна (реб. Прокофьев Егор Рашидович - 13.10.2018г.р.)</t>
  </si>
  <si>
    <t>Дыбенко ул.. Д. 23, к.3, лит.А, кв. 15</t>
  </si>
  <si>
    <t>58 (2-Н)</t>
  </si>
  <si>
    <t>60-Б</t>
  </si>
  <si>
    <t>Караваева Ирина Викторовна ( реб. Караваева Дарья Сергеевна - 19.12.2015г.р.)</t>
  </si>
  <si>
    <t>Юкковское шоссе, д. 8, корп. 6, кв. 73</t>
  </si>
  <si>
    <t xml:space="preserve"> 60 (1-Н)</t>
  </si>
  <si>
    <t>Рахметов Марат Орымбаевич 
(РИ-Рахметов Платон Маратович )</t>
  </si>
  <si>
    <t>Уральская ул., д. 25, корп. 1, кв. 131</t>
  </si>
  <si>
    <t xml:space="preserve"> 60 2-Н</t>
  </si>
  <si>
    <t>61-Б</t>
  </si>
  <si>
    <t xml:space="preserve">Адамова Юлия Романовна </t>
  </si>
  <si>
    <t>Муринская дор., д. 27, корп. 2,   кв. 276</t>
  </si>
  <si>
    <t xml:space="preserve">61 (1-Н) </t>
  </si>
  <si>
    <t xml:space="preserve"> 15.05.2026г-28.05.2026г.</t>
  </si>
  <si>
    <t>☐</t>
  </si>
  <si>
    <t>Завьялова Ольга Владимировна (реб. Завьялов Иван Львович - 10.02.2015г.р.)</t>
  </si>
  <si>
    <t>ул. Краснопутиловская, д. 113, корп. 1, кв. 66</t>
  </si>
  <si>
    <t>61 (2-Н)</t>
  </si>
  <si>
    <t>63-Б</t>
  </si>
  <si>
    <t xml:space="preserve">Герасименко Ирина Павловна </t>
  </si>
  <si>
    <t>Гражданский пр., д. 121/100, кв.  84</t>
  </si>
  <si>
    <t xml:space="preserve"> 63 (1-Н)</t>
  </si>
  <si>
    <t>Борзунина Анна Сергеевна (реб. Фокин Мирон Сергеевич - 04.04.2020г.р.)</t>
  </si>
  <si>
    <t>Крыленко ул.,д .1. стр. 1, кв. 624</t>
  </si>
  <si>
    <t xml:space="preserve">63 (2-Н) </t>
  </si>
  <si>
    <t>64-Б</t>
  </si>
  <si>
    <t>Гадаева Олеся Александровна (реб. Гадаев Егор Вениаминович- 12.04.2016г.р.)</t>
  </si>
  <si>
    <t>Революции шоссе, д. 48, кв. 19</t>
  </si>
  <si>
    <t xml:space="preserve">64 (1-Н) </t>
  </si>
  <si>
    <t>Аксенова Анастасия Анатольевна (реб. Аксенова Анна Николаевна - 20.10.2011г.р.)</t>
  </si>
  <si>
    <t>Металлистов пр., д. 8, кв.31</t>
  </si>
  <si>
    <t>64 (2-Н)</t>
  </si>
  <si>
    <t>65-Б</t>
  </si>
  <si>
    <t>Крышина Ирина Сергеевна (реб. Крышина Анастасия Игоревна - 01.02.2014г.р.)</t>
  </si>
  <si>
    <t xml:space="preserve"> 65 (1-Н)</t>
  </si>
  <si>
    <t>Братковская Алена Игоревна (Братковсая Ксения Станиславовна - 16.05.2013г.р.)</t>
  </si>
  <si>
    <t>пр-кт. Маршака, д. 16, корп. 3, кв. 42</t>
  </si>
  <si>
    <t>65 (2-Н)</t>
  </si>
  <si>
    <t>66-Б</t>
  </si>
  <si>
    <t>Мелина Екатерина Владимировна (реб. Мелин Егор Александрович - 28.11.2010г.р.)</t>
  </si>
  <si>
    <t>Пискаревский пр.,д. 165, к.1, стр. 1, кв. 893</t>
  </si>
  <si>
    <t xml:space="preserve"> 66 (1-Н) </t>
  </si>
  <si>
    <t>Кушнерова Алена Вячеславовна 
(РИ-Кушнеров Кирилл Николаевич - 13.03.2012 г.р.)</t>
  </si>
  <si>
    <t>наб. реки Фонтанки, д. 96, кв. 100</t>
  </si>
  <si>
    <t xml:space="preserve"> 66 2-Н </t>
  </si>
  <si>
    <t>67-Б</t>
  </si>
  <si>
    <t>Прасолова Наталья Владимировна ( реб. Прасолов Александр Дмитриевич - 24.05.2017г.р.)</t>
  </si>
  <si>
    <t>Приморский пр., д. 137, корп. 1, кв. 1063</t>
  </si>
  <si>
    <t>67 (1-Н)</t>
  </si>
  <si>
    <t>Ахметханова Диана Михайловна 
(РИ-Ахметханова Алиса Денисовна - 03.11.2020г.р.)</t>
  </si>
  <si>
    <t>Лермонтовский пр., д. 12, кв. 10</t>
  </si>
  <si>
    <t xml:space="preserve"> 67 2-Н </t>
  </si>
  <si>
    <t>68-Б</t>
  </si>
  <si>
    <t>Дворников Илья Евгеньевич (реб. Дворников Марк Ильич- 23.06.2023г.р.)</t>
  </si>
  <si>
    <t>Крупской ул., д. 33, лит. А , кв. 64</t>
  </si>
  <si>
    <t>68 (1-Н)</t>
  </si>
  <si>
    <t>3 (1-Н)</t>
  </si>
  <si>
    <t xml:space="preserve">Конышева Юлия Алексеевна </t>
  </si>
  <si>
    <t>Архивная ул., д.  9, корп. 1, кв. 1</t>
  </si>
  <si>
    <t xml:space="preserve">68 (2-Н) </t>
  </si>
  <si>
    <t>3 (2-Н)</t>
  </si>
  <si>
    <t>69-Б</t>
  </si>
  <si>
    <t>Волков Александр Евгеньевич (реб. Волков Марк Александрович - 17.04.2020г.р.)</t>
  </si>
  <si>
    <t>2-я Комсомольская ул., д. 8, кв.3</t>
  </si>
  <si>
    <t>69 (1-Н)</t>
  </si>
  <si>
    <t>Кочергина Екатерина Сергеевна</t>
  </si>
  <si>
    <t>наб. Обводного канала, д. 84, кв. 36</t>
  </si>
  <si>
    <t xml:space="preserve"> 69 (2-Н)</t>
  </si>
  <si>
    <t>70-Б</t>
  </si>
  <si>
    <t>наб. Крюкова канала, д. 11, кв. 26</t>
  </si>
  <si>
    <t xml:space="preserve"> 70 1-Н </t>
  </si>
  <si>
    <t>71-Б</t>
  </si>
  <si>
    <t>Кузнецова Анастасия Александровна</t>
  </si>
  <si>
    <t>пр. Богатырский, д. 58, корп. 5, кв. 60</t>
  </si>
  <si>
    <t>71 (1-Н)</t>
  </si>
  <si>
    <t>Крашенинникова Анна Юрьевна</t>
  </si>
  <si>
    <t>5-ый Предпортовый проезд, д. 12, корп. 1. кв. 271</t>
  </si>
  <si>
    <t>71 (2-Н)</t>
  </si>
  <si>
    <t>72-Б</t>
  </si>
  <si>
    <t>Райская Виктория Владимировна (реб. Райский Филипп Тимофеевич - 31.03.2014г.р.)</t>
  </si>
  <si>
    <t>Осипенко ул.,д. 5, корп. 1, кв. 206</t>
  </si>
  <si>
    <t xml:space="preserve">72 (2-Н) </t>
  </si>
  <si>
    <t>73-Б</t>
  </si>
  <si>
    <t>Никитина Марина Юрьевна</t>
  </si>
  <si>
    <t xml:space="preserve">Гражданский пр., д. 49, корп. 1, кв.6 </t>
  </si>
  <si>
    <t xml:space="preserve"> 73 (1-Н)</t>
  </si>
  <si>
    <t>Вовченко Юрий Владимирович</t>
  </si>
  <si>
    <t>Чехова ул., д. 4, кв. 59</t>
  </si>
  <si>
    <t>73 (2-Н)</t>
  </si>
  <si>
    <t>74-Б</t>
  </si>
  <si>
    <t>Царева Ольга Константиновна</t>
  </si>
  <si>
    <t xml:space="preserve">Гражданский пр., д. 128, корп. 1, кв. 80 </t>
  </si>
  <si>
    <t xml:space="preserve"> 74 (1-Н) </t>
  </si>
  <si>
    <t xml:space="preserve">Гладкова Татьяна Евгеньевна  </t>
  </si>
  <si>
    <t>Ударников пр., д. 22, к. 4, кв. 10</t>
  </si>
  <si>
    <t xml:space="preserve">74 (2-Н) </t>
  </si>
  <si>
    <t>75-Б</t>
  </si>
  <si>
    <t>Дорошенко Виктория Александровна (реб. Мазур Яромир Александрович - 30.03.2022г.р.)</t>
  </si>
  <si>
    <t>Туристская ул., д. 23, корп. 5, кв. 80</t>
  </si>
  <si>
    <t>75 (2-Н)</t>
  </si>
  <si>
    <t>76-Б</t>
  </si>
  <si>
    <t>Кабанов Александр Алексеевич (реб. Кабанов Даниил Александрович - 09.01.2013г)</t>
  </si>
  <si>
    <t>Тельмана ул., д. 30, кв. 2</t>
  </si>
  <si>
    <t>76 (1-Н)</t>
  </si>
  <si>
    <t>80-Б</t>
  </si>
  <si>
    <t>Липкалова Ольга Васильевна 
(РИ-Липкалов Глеб Игоревич- 02.04.2024г.р.)</t>
  </si>
  <si>
    <t>Чирикова ул.,д. 5, корп. 1, кв. 482</t>
  </si>
  <si>
    <t>82-Б</t>
  </si>
  <si>
    <t xml:space="preserve">Камалова Александра Сергеевна (реб. Камалова Майя Руслановна - 18.04.2020г.р.) </t>
  </si>
  <si>
    <t>Маршала Блюхера пр.,д. 11, корп. 1. кв. 116</t>
  </si>
  <si>
    <t xml:space="preserve"> 86 (1-Н)</t>
  </si>
  <si>
    <t>83-Б</t>
  </si>
  <si>
    <t>Семёшкина Александра Гарриевна (реб. Семёшкин Роман Алексеевич - 26.01.2014г.р.)</t>
  </si>
  <si>
    <t>Будёного пр.,д. 21, корп. 1, кв. 353</t>
  </si>
  <si>
    <t>86-Б</t>
  </si>
  <si>
    <t>Зимин Виктор Игоревич 
(Зимина Дарья Викторовна - 20.06.2010г.р.)</t>
  </si>
  <si>
    <t>Пискаревский пр., д. 24, кв. 80</t>
  </si>
  <si>
    <t xml:space="preserve"> 86 (1-Н) </t>
  </si>
  <si>
    <t>87-Б</t>
  </si>
  <si>
    <t>Лащинский Артём Александрович ( реб. Лащинский Яков Артёмович - 12.12.2012г.р.)</t>
  </si>
  <si>
    <t>Туристская ул., д. 38,  кв. 238</t>
  </si>
  <si>
    <t>88-Б</t>
  </si>
  <si>
    <t>90-Б</t>
  </si>
  <si>
    <t>Максимова Татьяна Георгиевна (Асафьев Петр Павлович-01.09.2010; Максимова Маргарита Павловна- 05.10.2012г.; Максимова Варвара Павловна - 18.04.2014г.р.)</t>
  </si>
  <si>
    <t>пр. Луначарского, д. 84, корп. 1, кв. 83</t>
  </si>
  <si>
    <t>93-Б</t>
  </si>
  <si>
    <t>Кулькова Мария Анатольевна (реб. Кулькова Василиса Николаевна - 16.06.2019г.р.)</t>
  </si>
  <si>
    <t xml:space="preserve">Советский пр. (Усть Славянка), д. 42, корп.1, кв. 495 </t>
  </si>
  <si>
    <t>93 (1-Н)</t>
  </si>
  <si>
    <t>94-Б</t>
  </si>
  <si>
    <t>Тульнова Жанна Александровна 
(РИ-Тульнов Николай Олегович - 18.11.2010г.р.)</t>
  </si>
  <si>
    <t>наб. реки Пряжки, д. 38, кв. 40</t>
  </si>
  <si>
    <t xml:space="preserve"> 94 2-Н </t>
  </si>
  <si>
    <t>96-Б</t>
  </si>
  <si>
    <t>Нехорошева Евгения Васильевна</t>
  </si>
  <si>
    <t>Звенигородская ул., д. 32, кв. 1</t>
  </si>
  <si>
    <t xml:space="preserve"> 96 (1-Н)</t>
  </si>
  <si>
    <t>97-Б</t>
  </si>
  <si>
    <t xml:space="preserve">Палишев Владимир Леонидович </t>
  </si>
  <si>
    <t>Стойкости ул. , д. 26,к. 7, кв. 22</t>
  </si>
  <si>
    <t>102-Б</t>
  </si>
  <si>
    <t>пос. Понтонный, Южная ул., д. 5, кв. 31 / г. Колпино, Заводской пр., д. 14, кв. 158</t>
  </si>
  <si>
    <t>103-Б</t>
  </si>
  <si>
    <t>Джонстон Ася Артуровна (реб. Джонстон Алекс Романович - 31.05.2017г.р.)</t>
  </si>
  <si>
    <t xml:space="preserve"> 103 (1-Н)</t>
  </si>
  <si>
    <t xml:space="preserve">Мельник Виктория Борисовна </t>
  </si>
  <si>
    <t>пос. Шушары,  Московское шоссе, д. 246, кв. 9</t>
  </si>
  <si>
    <t xml:space="preserve">103 (2-Н) </t>
  </si>
  <si>
    <t>104-Б</t>
  </si>
  <si>
    <t>Лозовик Марина Анатольевна (реб. Лозовик София Олеговна - 22.07.2018г.р.)</t>
  </si>
  <si>
    <t>Даниила Хармса ул., д. 3,корп. 1. , кв. 52</t>
  </si>
  <si>
    <t xml:space="preserve"> 104 (1-Н) </t>
  </si>
  <si>
    <t>105-Б</t>
  </si>
  <si>
    <t xml:space="preserve">Агаджанян Маргарита Ивановна </t>
  </si>
  <si>
    <t>ул. Васенко, д. 6/10, кв. 23</t>
  </si>
  <si>
    <t xml:space="preserve"> 105 (1-Н)</t>
  </si>
  <si>
    <t>Белякова Татьяна Павловна (Тихонов Владимир Александрович - 24.07.2013г.р.</t>
  </si>
  <si>
    <t>пр. Культуры, д. 6, корп. 1, кв. 283</t>
  </si>
  <si>
    <t xml:space="preserve"> 105 (2-Н) </t>
  </si>
  <si>
    <t>110-Б</t>
  </si>
  <si>
    <t>Виноградова Татьяна Петровна</t>
  </si>
  <si>
    <t>4-ая Советская, д. 21, кв. 19</t>
  </si>
  <si>
    <t xml:space="preserve">110 (1-Н) </t>
  </si>
  <si>
    <t>111-Б</t>
  </si>
  <si>
    <t xml:space="preserve">Волочкова Стефания Владимировна (реб. Григорьев Адриан Денисович - 27.10.2017г.р.) </t>
  </si>
  <si>
    <t>Апрельская ул.,д. 5, кв. 320</t>
  </si>
  <si>
    <t>112-Б</t>
  </si>
  <si>
    <t xml:space="preserve">Гапочка Светлана Валерьевна </t>
  </si>
  <si>
    <t>Альпийский пер. , д. 16, кв. 160</t>
  </si>
  <si>
    <t>113-Б</t>
  </si>
  <si>
    <t>Воздраганова Надежда Васильевна (реб. Воздраганова Александра Сергеевна - 02.11.2016г.р.)</t>
  </si>
  <si>
    <t>Звездная ул.,д. 9, корп. 1, кв. 34 (г. Колпино, Веры Слуцкой ул., д. 19, кв. 743)</t>
  </si>
  <si>
    <t>114-Б</t>
  </si>
  <si>
    <t>Добрянская Наталия Владимировна (реб. Шарипов Владимир Александрович - 23.02.2013г.р.)</t>
  </si>
  <si>
    <t>Подвойского ул., д. 36, к.2, кв. 83</t>
  </si>
  <si>
    <t xml:space="preserve">114 (1-Н) </t>
  </si>
  <si>
    <t>Маркина Кристина Геннадьевна (реб. Маркин Тимофей Игоревич - 27.04.2017г.р.)</t>
  </si>
  <si>
    <t>Комендантский пр., д. 17, корп. 1, кв. 392</t>
  </si>
  <si>
    <t xml:space="preserve">114 (2-Н) </t>
  </si>
  <si>
    <t>115-Б</t>
  </si>
  <si>
    <t xml:space="preserve">Лапина Наталья Константиновна </t>
  </si>
  <si>
    <t>2-й Рабфаковский пер., д. 8, кв. 32</t>
  </si>
  <si>
    <t xml:space="preserve">115 (1-Н) </t>
  </si>
  <si>
    <t>Колесникова Людмила Александровна</t>
  </si>
  <si>
    <t>Ветеранов пр. , д.171, корп. 1,  кв. 159</t>
  </si>
  <si>
    <t xml:space="preserve">115 (2-Н) </t>
  </si>
  <si>
    <t>116-Б</t>
  </si>
  <si>
    <t>Гапонова Екатерина Сергеевна (реб. Гапонова Октавия Максимовна - 17.05.2020г.р.)</t>
  </si>
  <si>
    <t>Верности ул., д. 10, корп. 4, кв. 199</t>
  </si>
  <si>
    <t xml:space="preserve"> 116 (1-Н)</t>
  </si>
  <si>
    <t>Ермакова Виктория Максимовна</t>
  </si>
  <si>
    <t>ул. Нахимова, д .3, корп. 2, кв. 37</t>
  </si>
  <si>
    <t xml:space="preserve"> 116 2-Н </t>
  </si>
  <si>
    <t>121-Б</t>
  </si>
  <si>
    <t>Дорошев Тарас Анатольевич</t>
  </si>
  <si>
    <t>122-Б</t>
  </si>
  <si>
    <t>Силин Валерий Григорьевич</t>
  </si>
  <si>
    <t>ул. Политехническая, д. 29, корп.2, кв. 1</t>
  </si>
  <si>
    <t>125-Б</t>
  </si>
  <si>
    <t xml:space="preserve">Лебедева Татьяна Сергеевна (реб. Лебедев Адриан Александрович- 09.03.2015г.р.; Лебедев Николай Александрович-26.09.2017г.р.; Лебедев Михаил  Александрович- 21.01.2019г.р.; </t>
  </si>
  <si>
    <t>Меншиковский пр., д. 15, к. 1, кв. 100</t>
  </si>
  <si>
    <t>128-Б</t>
  </si>
  <si>
    <t>Крайнюк Александр Иванович (реб. Крайнюк Богдан Александрович - 05.07.2018г.р.)</t>
  </si>
  <si>
    <t>Партизана Германа ул., д. 41, корп. 3, кв. 108</t>
  </si>
  <si>
    <t xml:space="preserve">128 (1-Н) </t>
  </si>
  <si>
    <t>129-Б</t>
  </si>
  <si>
    <t>Павлова Надежда Николаевна (реб. Павлов Кирилл Алексеевич - 28.04.2020г.р.)</t>
  </si>
  <si>
    <t>Шаврова ул.,д. 27, кв. 4</t>
  </si>
  <si>
    <t>130-Б</t>
  </si>
  <si>
    <t>Белая Анастасия Николаевна 
(РИ-Махно Артем Евгеньевич- 13.01.2021г.р.)</t>
  </si>
  <si>
    <t>Вадима Шефнера ул., д. 10, корп. 1, стр. 1, кв. 129</t>
  </si>
  <si>
    <t>131-Б</t>
  </si>
  <si>
    <t xml:space="preserve">Гаджимагомедов Абдулазим Магомедович </t>
  </si>
  <si>
    <t>Московский пр., д. 153, кв. 49</t>
  </si>
  <si>
    <t xml:space="preserve"> 07.05.2026</t>
  </si>
  <si>
    <t>151-Б</t>
  </si>
  <si>
    <t>Кралин Константин Владимирович (реб. Кралин Трофим Константинович - 27.04.2017г.р)</t>
  </si>
  <si>
    <t>Луночарского пр., д. 21, корп. 2, кв. 123</t>
  </si>
  <si>
    <t xml:space="preserve"> 151 (1-Н)</t>
  </si>
  <si>
    <t>Дмитриев Виктор Дмитриевич</t>
  </si>
  <si>
    <t>ул. Уточкина, д. 1, корп. 1, кв. 86</t>
  </si>
  <si>
    <t xml:space="preserve">151 (2-Н) </t>
  </si>
  <si>
    <t>152-Б</t>
  </si>
  <si>
    <t>Рынковая Екатерина Викторовна</t>
  </si>
  <si>
    <t>Шаврова ул.,д. 17, кв. 124</t>
  </si>
  <si>
    <t>153-Б</t>
  </si>
  <si>
    <t>Джалилова Екатерина Дмитриевна (реб. Джалилов Мухаммад Шерзодович - 11.08.2023г.р.)</t>
  </si>
  <si>
    <t>Школьная ул. ,д. 114, корп. 2, кв. 324</t>
  </si>
  <si>
    <t>154-Б</t>
  </si>
  <si>
    <t>Бариева Наталия Сергеевна (реб. Бариев Ярослав Владимирович- 21.08.2015г.р.)</t>
  </si>
  <si>
    <t>Б. Сампсониевский пр.,д. 80, кв. 14</t>
  </si>
  <si>
    <t>155-Б</t>
  </si>
  <si>
    <t>Коротаевская Ирина Валерьевна (реб. Коротаевская Вероника Александровна -25.05.2012г.)</t>
  </si>
  <si>
    <t>ул. Ленсовета, д. 51,  кв. 45</t>
  </si>
  <si>
    <t>158-Б</t>
  </si>
  <si>
    <t>Борисов Евгений Александрович</t>
  </si>
  <si>
    <t>ул. Шотмана, д. 10, кв. 11</t>
  </si>
  <si>
    <t xml:space="preserve"> 158 (1-Н) </t>
  </si>
  <si>
    <t>160-Б</t>
  </si>
  <si>
    <t>Ксенофонтова Галина Михайловна</t>
  </si>
  <si>
    <t>ул. Лени Голикова, д. 72, кв. 53</t>
  </si>
  <si>
    <t>161-Б</t>
  </si>
  <si>
    <t xml:space="preserve">Виноградов Евгений Михайлович </t>
  </si>
  <si>
    <t>Партизана Германа ул., д. 18, корп. 3, кв. 36</t>
  </si>
  <si>
    <t>162-Б</t>
  </si>
  <si>
    <t>Мальков Валентин Михайлович</t>
  </si>
  <si>
    <t>Богатырский пр., д. 50, корп. 1, кв. 30</t>
  </si>
  <si>
    <t>162/2</t>
  </si>
  <si>
    <t>167-Б</t>
  </si>
  <si>
    <t>Середавина Анастасия Сергеевна (реб. Тарасенко Савелий Андреевич - 06.04.2016г.р.)</t>
  </si>
  <si>
    <t>Киевская ул., д. 3, кв. 674</t>
  </si>
  <si>
    <t>168-Б</t>
  </si>
  <si>
    <t>Минина Валентина Християновна</t>
  </si>
  <si>
    <t>пр. Науки, д. 19, корп. 2, кв. 341</t>
  </si>
  <si>
    <t>Реабил</t>
  </si>
  <si>
    <t>170-Б</t>
  </si>
  <si>
    <t>Ляликова Людмила Павловна</t>
  </si>
  <si>
    <t>Кузнецова пр., д. 17, кв. 766</t>
  </si>
  <si>
    <t>172-Б</t>
  </si>
  <si>
    <t>Савельева Марина Вячеславовна (реб. Савельев Максим Константинович - 13.05.2011г.р.)</t>
  </si>
  <si>
    <t>Серебристый бульвар, д. 34, корп. 1, кв. 228</t>
  </si>
  <si>
    <t>173-Б</t>
  </si>
  <si>
    <t>Евдокимова Ася Александровна (реб. Евдокимов Павел Ильич- 06.02.2013г.р.</t>
  </si>
  <si>
    <t>Будапештская ул., д. 110/23, кв. 401</t>
  </si>
  <si>
    <t>174-Б</t>
  </si>
  <si>
    <t>Емельянов Дмитрий Александрович
(РИ-Емельянова Майя Дмитриевна - 13.05.2019г.р.)</t>
  </si>
  <si>
    <t>Измайловский бульвар, д. 11, кв. 1231</t>
  </si>
  <si>
    <t>177-Б</t>
  </si>
  <si>
    <t>Лазорева Валентина Ивановна ( реб. Лазорев Иван Вячеславович - 05.03.2019г.р.)</t>
  </si>
  <si>
    <t>Белоостровская ул., д. 10, корп. 1, кв. 274</t>
  </si>
  <si>
    <t xml:space="preserve"> 177 (1-Н)</t>
  </si>
  <si>
    <t>Чубинец Любовь Павловна (реб.  Чубинец Михаил Павлович - 27.09.2018г.р.)</t>
  </si>
  <si>
    <t>Лесной пр. .д. 37. корп.  6, кв. 158</t>
  </si>
  <si>
    <t xml:space="preserve"> 177 (2-Н) </t>
  </si>
  <si>
    <t>178-Б</t>
  </si>
  <si>
    <t>Поташев Александр Евстольевич (реб. Поташева Виктория Александровна - 24.05.2013г.р.)</t>
  </si>
  <si>
    <t>Заневский пр., д. 5, кв. 209 (Кузнецовская ул., д. 14, кв. 15)</t>
  </si>
  <si>
    <t xml:space="preserve">178 (1-Н)  </t>
  </si>
  <si>
    <t>Макарова Татьяна Ивановна  (реб. Макаров Степан Геннадьевич - 27.09.2010г.р.)</t>
  </si>
  <si>
    <t xml:space="preserve">  Бассейная, д. 69, кв. 72</t>
  </si>
  <si>
    <t xml:space="preserve"> 178 (2-Н)  </t>
  </si>
  <si>
    <t>179-Б</t>
  </si>
  <si>
    <t>Бродская Ирина Геннадьевна (реб.  Бродский Андрей Викторович- 26.03.2015г.р.)</t>
  </si>
  <si>
    <t>Гаврская ул., д.  11,кв 96</t>
  </si>
  <si>
    <t xml:space="preserve"> 179 (1-Н) </t>
  </si>
  <si>
    <t>Бородина Наталья Викторовна (реб. Бородин Максим Павлович- 19.02.2012г.р.)</t>
  </si>
  <si>
    <t>п. Парголово, ул. Фёдора Абрамова, д.18, корп. 1,  кв. 192</t>
  </si>
  <si>
    <t xml:space="preserve"> 179 (2-Н) </t>
  </si>
  <si>
    <t>181-Б</t>
  </si>
  <si>
    <t>Кришталь Гавриил Владиславович</t>
  </si>
  <si>
    <t>ул. Крыленко, д. 31, кв. 12</t>
  </si>
  <si>
    <t>182-Б</t>
  </si>
  <si>
    <t>Кронштадский</t>
  </si>
  <si>
    <t>Шарафутдинова Ирина Рифгатовна (реб. Шарафутдинов Динар Денисович - 23.01.2014г.р.)</t>
  </si>
  <si>
    <t>г. Кронштадт, Макаровская ул. , д. 4</t>
  </si>
  <si>
    <t>183-Б</t>
  </si>
  <si>
    <t>Клименчук Любовь Николаевна (реб. Грязнов Андрей Сергеевич - 27.12.2012г.р.)</t>
  </si>
  <si>
    <t>Русановская ул., д.20, к.3, стр. 1, кв. 266</t>
  </si>
  <si>
    <t>183 (1-Н)</t>
  </si>
  <si>
    <t>184-Б</t>
  </si>
  <si>
    <t>Кольцова Нина Александровна (реб. Кольцов Максим Сергеевич - 11.10.2010г.р.)</t>
  </si>
  <si>
    <t>Нижне-Каменская ул., д. 26, кв. 144</t>
  </si>
  <si>
    <t xml:space="preserve">184 (1-Н) </t>
  </si>
  <si>
    <t>Кузьмина Елена Николаевна (реб. Стрельников Алексей Владиславович- 30.06.2017г.р.)</t>
  </si>
  <si>
    <t>Буренина ул., д. 1, корп. 2, кв. 58</t>
  </si>
  <si>
    <t xml:space="preserve">184 (2-Н) </t>
  </si>
  <si>
    <t>185-Б</t>
  </si>
  <si>
    <t>Гусинская Марина Геннадьевна</t>
  </si>
  <si>
    <t>Ворошилова ул., д. 31, корп. 1, лит. А, кв. 173</t>
  </si>
  <si>
    <t>186-Б</t>
  </si>
  <si>
    <t>187-Б</t>
  </si>
  <si>
    <t>Яйнович Йосеф Авраамович
(РИ-Яйнович Гидеон Йосефович - 09.03.2021г.р.)</t>
  </si>
  <si>
    <t>Гороховая ул.,д. 73, кв. 25</t>
  </si>
  <si>
    <t xml:space="preserve"> 187 1-Н </t>
  </si>
  <si>
    <t xml:space="preserve">Масленниккова Елена Валерьевна </t>
  </si>
  <si>
    <t>Парашютная ул., д. 56, к.1, кв. 16</t>
  </si>
  <si>
    <t xml:space="preserve">187 (2-Н) </t>
  </si>
  <si>
    <t>188-Б</t>
  </si>
  <si>
    <t>Фабричнова Татьяна Геннадьевна  (реб. Шлафман Петр Александрович- 25.09.2018г.р.)</t>
  </si>
  <si>
    <t>7-ая Советская, д. 32/25, кв. 17</t>
  </si>
  <si>
    <t xml:space="preserve">188 (1-Н) </t>
  </si>
  <si>
    <t>Ярокурцев Виктор Николаевич (Ярокурцев Андрей Викторович- 07.05.2015г.р.)</t>
  </si>
  <si>
    <t>ул. Тамбасова, д. 1, корп. 1, кв, 134</t>
  </si>
  <si>
    <t xml:space="preserve">188 (2-Н) </t>
  </si>
  <si>
    <t>189-Б</t>
  </si>
  <si>
    <t>Абызова Евгения Юрьевна (реб. Абызов Богдан Анатольевич- 29.09.2018г.р.)</t>
  </si>
  <si>
    <t>Маркина ул., д. 14-16, кв. 30</t>
  </si>
  <si>
    <t>191-Б</t>
  </si>
  <si>
    <t xml:space="preserve">Волков Яков Константинович </t>
  </si>
  <si>
    <t>Парашютная ул., д. 61, к.3, кв. 226</t>
  </si>
  <si>
    <t>193-Б</t>
  </si>
  <si>
    <t>Иванова Светлана Александровна (Петров Даниил Данилович - 12.02.2012г.р.)</t>
  </si>
  <si>
    <t>ул. Руднева, д. 9, корп. 2, кв. 73</t>
  </si>
  <si>
    <t>194-Б</t>
  </si>
  <si>
    <t>Зимина Анна Викторовна (реб. Зимин Алексей Владиславович- 17.04.2020г.р.)</t>
  </si>
  <si>
    <t>Лидии Зверевой ул., д. 9, корп. 1, кв. 267</t>
  </si>
  <si>
    <t>195-Б</t>
  </si>
  <si>
    <t>Гомонова Ольга Александровна (реб. Гомонов Артем Валерьевич - 16.09.2007г.р. ; Гомонов Николай Валерьевич -11.09.2012г.р.)</t>
  </si>
  <si>
    <t>ул. Учительская, д. 5, корп. 1. кв. 266</t>
  </si>
  <si>
    <t xml:space="preserve"> 195 (1-Н) </t>
  </si>
  <si>
    <t>Шуклина Ангелина Алексеевна (реб. Шуклина Диана Михайловна- 23.09.2016г.р.)</t>
  </si>
  <si>
    <t>Верности ул., д. 44, корп. 3, кв. 76</t>
  </si>
  <si>
    <t xml:space="preserve"> 195 (2-Н)</t>
  </si>
  <si>
    <t>196-Б</t>
  </si>
  <si>
    <t>Мишулович Милла Иосифовна</t>
  </si>
  <si>
    <t>ул. Бухарестская, д. 72, корп. 1, кв. 159</t>
  </si>
  <si>
    <t xml:space="preserve">196 (1-Н) </t>
  </si>
  <si>
    <t>Кокина Антонина Николаевна (реб. Кокина Анна Александровна- 01.09.2018г.р.)</t>
  </si>
  <si>
    <t>Жени Егоровой , д. 12, корп. 2, кв. 8</t>
  </si>
  <si>
    <t xml:space="preserve"> 196 (2-Н) </t>
  </si>
  <si>
    <t xml:space="preserve"> 196 (2-Н)</t>
  </si>
  <si>
    <t>197-Б</t>
  </si>
  <si>
    <t>Байдаков Дмитрий Леонидович  (реб. Байдаков Егор Дмитриевич- 05.01.2013г.р.)</t>
  </si>
  <si>
    <t>пр. Ленинский, д. 53, корп. 1, кв. 299</t>
  </si>
  <si>
    <t>197 (1-Н)</t>
  </si>
  <si>
    <t>Рыженкова Алеся Анатольевна (реб. Давитадзе Димитрий Раминович- 08.03.2015г.р.)</t>
  </si>
  <si>
    <t xml:space="preserve">197 (2-Н) </t>
  </si>
  <si>
    <t>198-Б</t>
  </si>
  <si>
    <t>Говорухин Игорь Борисович</t>
  </si>
  <si>
    <t>Камышовая ул, д. 38, корп. 1, кв.1</t>
  </si>
  <si>
    <t>199-Б</t>
  </si>
  <si>
    <t>Гай Ирина Георгиевна</t>
  </si>
  <si>
    <t>ул. Тульская, д. 8, кв. 25</t>
  </si>
  <si>
    <t>289-С2</t>
  </si>
  <si>
    <t>Бамбурова Марина Ивановна</t>
  </si>
  <si>
    <t>ул. Корнея Чуковского, д. 5, корп. 3,стр. 1,  кв. 1</t>
  </si>
  <si>
    <t>289/1</t>
  </si>
  <si>
    <t>Павлова Юлия Олеговна</t>
  </si>
  <si>
    <t>289/2</t>
  </si>
  <si>
    <t>5 (1-Н)</t>
  </si>
  <si>
    <t>Щербич Анна Александровна</t>
  </si>
  <si>
    <t>289/3</t>
  </si>
  <si>
    <t>6 (1-Н)</t>
  </si>
  <si>
    <t>7 (1-Н)</t>
  </si>
  <si>
    <t>Бурман Рада Николаевна</t>
  </si>
  <si>
    <t>289/4</t>
  </si>
  <si>
    <t>8 (1-Н)</t>
  </si>
  <si>
    <t>106-107-Б</t>
  </si>
  <si>
    <t>Пак Анастасия Романовна (реб. Золотников Никита Алексеевич- 16.04.2017г.р.)</t>
  </si>
  <si>
    <t>Королёва пр., д. 61, кв. 271</t>
  </si>
  <si>
    <t>106-107 (1-Н)</t>
  </si>
  <si>
    <t xml:space="preserve">Пискарев Евгений Михайлович </t>
  </si>
  <si>
    <t>Энтузиазмов пр., д. 40, корп. 2, кв. 194</t>
  </si>
  <si>
    <t xml:space="preserve">106-107 (2-Н) </t>
  </si>
  <si>
    <t>117-118-Б</t>
  </si>
  <si>
    <t>Тимофеев Валентин Николаевич</t>
  </si>
  <si>
    <t>пр. Дунайский, д. 58, корп. 1, кв. 114</t>
  </si>
  <si>
    <t>117-118 (1-Н)</t>
  </si>
  <si>
    <t>89-С2</t>
  </si>
  <si>
    <t>1Н</t>
  </si>
  <si>
    <t>Струганова Алла Яковлевна</t>
  </si>
  <si>
    <t>Ветеранов пр., д. 48, кв. 48</t>
  </si>
  <si>
    <t xml:space="preserve"> 89 1Н                      </t>
  </si>
  <si>
    <t>4Н</t>
  </si>
  <si>
    <t>Мосийчук Светлана Михайловна 
(РИ-Мосийчук Илья Александрович - 21.07.2015г.р.)</t>
  </si>
  <si>
    <t xml:space="preserve"> 89 4Н                         </t>
  </si>
  <si>
    <t>2Н</t>
  </si>
  <si>
    <t>Ларионова Евгения Вячеславовна 
(РИ-Ларионов Макар Дмитриевич- 23.01.2011г.р.)</t>
  </si>
  <si>
    <t>Дунайский пр., д. 7, корп. 7, кв. 77</t>
  </si>
  <si>
    <t xml:space="preserve"> 89 2Н                  </t>
  </si>
  <si>
    <t>3Н</t>
  </si>
  <si>
    <t>Давлятчина Анна Владимировна 
(РИ-Давлятчин Михаил Рамильевич -25.09.2016г.р.)</t>
  </si>
  <si>
    <t>Комендантский пр., д. 66, корп. 3, кв. 348</t>
  </si>
  <si>
    <t xml:space="preserve"> 89 3Н                 </t>
  </si>
  <si>
    <t>291-С2</t>
  </si>
  <si>
    <t>Светлановский пр., д. 121, корп. 1, кв. 101</t>
  </si>
  <si>
    <t xml:space="preserve"> 291 1Н                 </t>
  </si>
  <si>
    <t>Южное шоссе, д. 55, корп. 1, кв.401</t>
  </si>
  <si>
    <t xml:space="preserve"> 291 2Н                </t>
  </si>
  <si>
    <t>89а-С2</t>
  </si>
  <si>
    <t>Григорьева Галина Александровна</t>
  </si>
  <si>
    <t>пр. Авиаконстркторов,                         д. 36, кв. 28</t>
  </si>
  <si>
    <t xml:space="preserve"> 89а 4Н                 </t>
  </si>
  <si>
    <t>Асланова Елена Васильевна
(РИ-Асланов Артур Александрович-04.06.2015)</t>
  </si>
  <si>
    <t>г. Колпино, ул. Стахановская, д. 16, кв. 4</t>
  </si>
  <si>
    <t xml:space="preserve"> 89а 2Н                    </t>
  </si>
  <si>
    <t>Казанцева Ирина Александровна 
(РИ-Казанцев Тимофей Вадимович - 18.09.2012г.р.)</t>
  </si>
  <si>
    <t>ул. Бухарестская, д. 86,        корп.  1, кв.126</t>
  </si>
  <si>
    <t xml:space="preserve"> 89а 3-Н                      </t>
  </si>
  <si>
    <t xml:space="preserve">Бестужева Дарья Олеговна </t>
  </si>
  <si>
    <t>Будапештская ул., д. 86, корп. 1,  кв. 123</t>
  </si>
  <si>
    <t xml:space="preserve"> 89а 1-Н                      </t>
  </si>
  <si>
    <t>291а-С2</t>
  </si>
  <si>
    <t xml:space="preserve">Дмитриева Элеонора Александровна </t>
  </si>
  <si>
    <t>Кушелевская дор., д. 5, корп. 2, кв. 858</t>
  </si>
  <si>
    <t xml:space="preserve"> 291а 4Н                 </t>
  </si>
  <si>
    <t>Данканич Евгения Владимировна 
(РИ-Данканич Артём Артурович- 29.07.2013г.р.)</t>
  </si>
  <si>
    <t>Дальневосточный пр., д. 10, к.1, , кв. 72</t>
  </si>
  <si>
    <t xml:space="preserve"> 291а 2Н                   </t>
  </si>
  <si>
    <t>Федорова Екатерина Александровна 
(РИ-Федоров Даниил Александрович- 13.03.2016г.р.)</t>
  </si>
  <si>
    <t>Петровский пр., д. 2, корп. 2, кв. 658</t>
  </si>
  <si>
    <t xml:space="preserve"> 291а 3Н                   </t>
  </si>
  <si>
    <t>Осипова Галина Павловна</t>
  </si>
  <si>
    <t>Репищева ул, .д. 19, к. 2, кв. 16</t>
  </si>
  <si>
    <t xml:space="preserve"> 291а 1Н                </t>
  </si>
  <si>
    <t>1-СТ</t>
  </si>
  <si>
    <t>Абугова Элла Соломоновна</t>
  </si>
  <si>
    <t>пр. Науки, д.49, кв. 40</t>
  </si>
  <si>
    <t xml:space="preserve"> 1/1                           </t>
  </si>
  <si>
    <t>Полторацкая Мария Викторовна 
(РИ-Тлуховский Григорий Павлович- 28.05.2014г.р.)</t>
  </si>
  <si>
    <t>пр. Пискаревский, д. 20, кв.73</t>
  </si>
  <si>
    <t xml:space="preserve"> 1/3                       </t>
  </si>
  <si>
    <t>Богомолова Софья Юрьевна 
(РИ-Казакова Елизавета Васильевна- 11.04.2014г.р.)</t>
  </si>
  <si>
    <t>пр. Гражданский, д. 29, кв. 67</t>
  </si>
  <si>
    <t xml:space="preserve"> 1/4                       </t>
  </si>
  <si>
    <t>Семенова Светлана Александровна 
(РИ-Семенова Анна Сергеевна - 25.11.2013г.)</t>
  </si>
  <si>
    <t>Демьяна Бедного ул., д. 14, корп. 1, кв. 101</t>
  </si>
  <si>
    <t xml:space="preserve"> 1/2                   </t>
  </si>
  <si>
    <t>2-СТ</t>
  </si>
  <si>
    <t>Белова Лина Ивановна</t>
  </si>
  <si>
    <t>ул. Железноводская, д. 62, кв. 138</t>
  </si>
  <si>
    <t xml:space="preserve"> 2/1                               </t>
  </si>
  <si>
    <t>Самофал Алексей Васильевич</t>
  </si>
  <si>
    <t>Новосмоленская наб., д. 1, кв. 1418</t>
  </si>
  <si>
    <t xml:space="preserve"> 2/2                              </t>
  </si>
  <si>
    <t>Тюрина Людмила Алексеевна</t>
  </si>
  <si>
    <t>Карташихина ул., д. 21, кв. 51</t>
  </si>
  <si>
    <t xml:space="preserve"> 2/3                              </t>
  </si>
  <si>
    <t>Федюнин Андрей Петрович</t>
  </si>
  <si>
    <t>Художников пр., д. 2, корп. 1, кв. 249</t>
  </si>
  <si>
    <t xml:space="preserve"> 2/4                              </t>
  </si>
  <si>
    <t>3-СТ</t>
  </si>
  <si>
    <t>Копп Юлия Алексеевна</t>
  </si>
  <si>
    <t>ул. Народная, д. 5, корп. 2,  кв. 275</t>
  </si>
  <si>
    <t xml:space="preserve"> 3/1                            </t>
  </si>
  <si>
    <t>Александрова Людмила Сергеевна</t>
  </si>
  <si>
    <t>Канареечная ул. , д. 10, кв. 12</t>
  </si>
  <si>
    <t xml:space="preserve"> 3/2                             </t>
  </si>
  <si>
    <t>4-СТ</t>
  </si>
  <si>
    <t>Шуваева Лариса Ричардовна</t>
  </si>
  <si>
    <t>ул. Шпалерная, д. 3, кв. 21</t>
  </si>
  <si>
    <t xml:space="preserve"> 4/1                                 </t>
  </si>
  <si>
    <t>Голубцова Дина Михайловна</t>
  </si>
  <si>
    <t>Прядильный пер., д. 8-10, кв. 7</t>
  </si>
  <si>
    <t xml:space="preserve"> 4/4                        </t>
  </si>
  <si>
    <t>Коновалова Полина Владимировна 
(РИ-Коновалов Иван Андреевич - 02.01.2017г.р.)</t>
  </si>
  <si>
    <t>Достоевского ул., д. 3, кв. 3</t>
  </si>
  <si>
    <t xml:space="preserve"> 4/2                                 </t>
  </si>
  <si>
    <t>Бойцова 
Инна Алексеевна</t>
  </si>
  <si>
    <t>Лермонтовский пр,. д. 17, кв. 48</t>
  </si>
  <si>
    <t xml:space="preserve"> 4/3                         </t>
  </si>
  <si>
    <t>5-СТ</t>
  </si>
  <si>
    <t xml:space="preserve">Степина Гулчехра Мирзамахмудовна 
(РИ-Степина Екатерина Александровна- 11.11.2014г.р.) </t>
  </si>
  <si>
    <t>Московское шоссе, д. 22, кв. 44</t>
  </si>
  <si>
    <t xml:space="preserve"> 5/1                           </t>
  </si>
  <si>
    <t>Лукин Сергей Михайлович</t>
  </si>
  <si>
    <t>ул. Мартыновская, д. 6, кв. 52</t>
  </si>
  <si>
    <t xml:space="preserve"> 5/3                           </t>
  </si>
  <si>
    <t>Соломатко Елена Владимировна 
(РИ -Соломатко Артём Евгеньевич - 21.11.2018г.р.)</t>
  </si>
  <si>
    <t>Даниила Хармса ул, д. 7, кв. 202</t>
  </si>
  <si>
    <t xml:space="preserve"> 5/4                      </t>
  </si>
  <si>
    <t xml:space="preserve">Баскова Людмила Ивановна </t>
  </si>
  <si>
    <t>Бестужевская ул., д. 31, корп. 1, кв. 161</t>
  </si>
  <si>
    <t xml:space="preserve"> 5/2                     </t>
  </si>
  <si>
    <t>6-СТ</t>
  </si>
  <si>
    <t>Житкова  Анастасия Юрьевна 
(РИ-Подобедов Мирон Дмитриевич - 24.02.2013г.р.)</t>
  </si>
  <si>
    <t>Олеко Дундича ул., д. 29, стр. 1, кв. 177</t>
  </si>
  <si>
    <t xml:space="preserve"> 6/1                         </t>
  </si>
  <si>
    <t>Чекур Юлия Владимировна 
(РИ-Чекур Александр Дмитриевич - 18.10.2013г.р.)</t>
  </si>
  <si>
    <t>ул. Малая Балканская, д.  6, корп. 1, кв. 66</t>
  </si>
  <si>
    <t xml:space="preserve"> 6/2                          </t>
  </si>
  <si>
    <t>Ушакова Юлия Александровна 
(РИ-Ушаков Егор Иванович - 09.06.2015г.р.)</t>
  </si>
  <si>
    <t>Тамбовская ул.,д. 15, кв. 12</t>
  </si>
  <si>
    <t xml:space="preserve"> 6/3                         </t>
  </si>
  <si>
    <t>7-СТ</t>
  </si>
  <si>
    <t xml:space="preserve">Котт Наталия Сергеевна </t>
  </si>
  <si>
    <t>Парнасная ул., д. 5, корп. 2, кв. 10</t>
  </si>
  <si>
    <t xml:space="preserve"> 7/2                           </t>
  </si>
  <si>
    <t>Гандалова Ирина Геннадьевна 
(РИ-Гандалова Милана Денисовна- 02.06.2019г.р.)</t>
  </si>
  <si>
    <t>Лиговский пр., д. 247, кв. 111</t>
  </si>
  <si>
    <t xml:space="preserve"> 7/3</t>
  </si>
  <si>
    <t xml:space="preserve">Тройнова Клавдия Николаевна </t>
  </si>
  <si>
    <t>ул. Хошимина , д. 11, корп. 2, кв. 32</t>
  </si>
  <si>
    <t>УОВ</t>
  </si>
  <si>
    <t xml:space="preserve"> 7/1                           </t>
  </si>
  <si>
    <t>Миллер Светлана Владимировна 
(РИ-Миллер Веста Александровна - 04.01.2012г.р.)</t>
  </si>
  <si>
    <t>п. Парголово, Заречная ул., д.17, стр. 1, кв. 689</t>
  </si>
  <si>
    <t xml:space="preserve"> 7/4                           </t>
  </si>
  <si>
    <t>8-СТ</t>
  </si>
  <si>
    <t>Сыпченко Анастасия Анатольевна 
(РИ-Сыпченко Дарья Евгеньевна - 05.05.2016г.р.)</t>
  </si>
  <si>
    <t>пр. Просвящения, д. 99, кв. 895</t>
  </si>
  <si>
    <t xml:space="preserve"> 8/3                    </t>
  </si>
  <si>
    <t>Шевченко Лина Анатольевна</t>
  </si>
  <si>
    <t>пр. Просвящения, д. 87, корп. 1, кв. 243</t>
  </si>
  <si>
    <t xml:space="preserve"> 8/4                    </t>
  </si>
  <si>
    <t>Бойков Лев Михайлович</t>
  </si>
  <si>
    <t>пр. Светлановский, д. 46, корп. 1, кв. 53</t>
  </si>
  <si>
    <t xml:space="preserve"> 8/1       </t>
  </si>
  <si>
    <t>Грюнберг Агния Георгиевна</t>
  </si>
  <si>
    <t>ул. Солдата Корзуна, д. 16, кв. 21</t>
  </si>
  <si>
    <t xml:space="preserve"> 8/2                           </t>
  </si>
  <si>
    <t>9-СТ</t>
  </si>
  <si>
    <t>Карлова Наталия Александровна</t>
  </si>
  <si>
    <t>пр. Энгельса, д.63, корп. 2.  кв. 169</t>
  </si>
  <si>
    <t xml:space="preserve"> 9/2                             </t>
  </si>
  <si>
    <t>Шарипина Анна Александровна 
(РИ-Шарипин Андрей Алексеевич- 21.08.2010г.р.)</t>
  </si>
  <si>
    <t>Энгельса пр.. Д. 132, корп. 1, кв. 50  (Белградская ул., д. 6, корп. 7, кв. 31)</t>
  </si>
  <si>
    <t xml:space="preserve"> 9/3                         </t>
  </si>
  <si>
    <t>Бычева Валентина Анатольевна</t>
  </si>
  <si>
    <t>Московский пр., д. 220, кв. 337</t>
  </si>
  <si>
    <t xml:space="preserve"> 9/4                          </t>
  </si>
  <si>
    <t>Кокурин Владимир Юрьевич</t>
  </si>
  <si>
    <t>пр. Космонавтов, д. 50, корп. 3, кв. 12</t>
  </si>
  <si>
    <t xml:space="preserve"> 9/1                           </t>
  </si>
  <si>
    <t>10-СТ</t>
  </si>
  <si>
    <t>Бондарева Ангелина Юрьевна 
(РИ-Бондарев Александр Константинович- 07.08.2017г.р.)</t>
  </si>
  <si>
    <t>Нахимива ул. , д. 3, корп. 1, кв. 168</t>
  </si>
  <si>
    <t xml:space="preserve"> 10/2                       </t>
  </si>
  <si>
    <t>Абакумова Юлия Александровна 
(РИ-Абакумов Александр Юрьевич - 19.11.2016 г.р.)</t>
  </si>
  <si>
    <t>ул. Коллонтай,                                             д. 21, корп. 1, кв. 366</t>
  </si>
  <si>
    <t xml:space="preserve"> 10/3                         </t>
  </si>
  <si>
    <t>Толмачева Нина Максимовна</t>
  </si>
  <si>
    <t>наб. кан. Грибоедова, д. 121, кв. 80</t>
  </si>
  <si>
    <t xml:space="preserve"> 10/4                       </t>
  </si>
  <si>
    <t>Комитет</t>
  </si>
  <si>
    <t>Бютнер Елена Владимировна</t>
  </si>
  <si>
    <t>Колонтай ул.,д.21, корп. 4, кв. 168</t>
  </si>
  <si>
    <t>ВГРФ</t>
  </si>
  <si>
    <t xml:space="preserve"> 10/1 </t>
  </si>
  <si>
    <t>11-СТ</t>
  </si>
  <si>
    <t>Лучина Дина Александровна 
(РИ-Лучин Степан Денисович - 31.08.2018 г.р.)</t>
  </si>
  <si>
    <t>Омская ул.,д. 15, кв. 4</t>
  </si>
  <si>
    <t xml:space="preserve"> 11/2                              </t>
  </si>
  <si>
    <t xml:space="preserve">Спиридонова Галина Георгиевна </t>
  </si>
  <si>
    <t>Ланское шоссе, д. 24, к. 6, кв. 52</t>
  </si>
  <si>
    <t xml:space="preserve"> 11/1 </t>
  </si>
  <si>
    <t xml:space="preserve">Кленков Ильяс Рафатьевич 
(РИ-Кленков Хаким Ильясович- 14.05.2020г.р.) </t>
  </si>
  <si>
    <t>пр. Авиаконструкторов, д. 63,  кв. 847</t>
  </si>
  <si>
    <t xml:space="preserve"> 11/3                              </t>
  </si>
  <si>
    <t>Андреева Мария Григорьевна</t>
  </si>
  <si>
    <t>Шаврова ул, д. 4, кв. 69</t>
  </si>
  <si>
    <t xml:space="preserve"> 11/4                              </t>
  </si>
  <si>
    <t>12-СТ</t>
  </si>
  <si>
    <t>Беляева Екатерина Владиславовна 
(РИ-Улливарри Беляева Дарья - 26.11.2008г.р.)</t>
  </si>
  <si>
    <t>Миллионная ул., д. 23, кв. 14</t>
  </si>
  <si>
    <t xml:space="preserve"> 12/1                       </t>
  </si>
  <si>
    <t>Герасимова Татьяна Александровна 
(РИ-Герасимов Юрий Сергеевич- 13.07.2016г.р.)</t>
  </si>
  <si>
    <t>пр. Энгельса, д. 32, корп. 1,  кв. 24 (Есенина ул., д. 1, корп. 1, кв. 1700)</t>
  </si>
  <si>
    <t xml:space="preserve"> 12/2                     </t>
  </si>
  <si>
    <t>13-СТ</t>
  </si>
  <si>
    <t xml:space="preserve">Дементьев  Валентин Анатольевич </t>
  </si>
  <si>
    <t>Саперный пер., д. 10, кв. 31</t>
  </si>
  <si>
    <t xml:space="preserve"> 13/2                             </t>
  </si>
  <si>
    <t>Афанасьева Надежда Викторовна</t>
  </si>
  <si>
    <t>ул. Краснопутиловская, д. 115, кв.28</t>
  </si>
  <si>
    <t xml:space="preserve"> 13/1                         </t>
  </si>
  <si>
    <t>Савченков  Юрий Сергеевич</t>
  </si>
  <si>
    <t>пр. Тореза, д. 43, кв 24</t>
  </si>
  <si>
    <t xml:space="preserve"> 13/3                         </t>
  </si>
  <si>
    <t>Алексеевская Валентина Ивановна</t>
  </si>
  <si>
    <t>ул. Социалистическая, д. 10, кв. 33</t>
  </si>
  <si>
    <t xml:space="preserve"> 13/4                             </t>
  </si>
  <si>
    <t>14-СТ</t>
  </si>
  <si>
    <t>Шульгина Евгения Сергеевна 
(РИ-Шульгина Ангелина Владимировна - 14.06.2014г.р.)</t>
  </si>
  <si>
    <t>пр. Большевиков,                                      д. 51, лит. А, кв.34</t>
  </si>
  <si>
    <t xml:space="preserve"> 14/1                       </t>
  </si>
  <si>
    <t>Стерлядева Марина Александровна  
(РИ-Стерлядев Михаил Иванович- 27.04.2022г.р.)</t>
  </si>
  <si>
    <t>Просвящения пр., д. 7, корп. 1, кв. 276</t>
  </si>
  <si>
    <t xml:space="preserve"> 14/2                          </t>
  </si>
  <si>
    <t>Коврыгина Людмила Павловна</t>
  </si>
  <si>
    <t>Московский пр. д. 57 кв. 9</t>
  </si>
  <si>
    <t xml:space="preserve"> 14/3                     </t>
  </si>
  <si>
    <t>Авдеев Алексей Алексеевич</t>
  </si>
  <si>
    <t>Союзный пр., д. 6, корп. 1, кв. 40</t>
  </si>
  <si>
    <t xml:space="preserve">   14/4                       </t>
  </si>
  <si>
    <t>15-СТ</t>
  </si>
  <si>
    <t>Артемьева Антонина Васильевна 
(РИ-Мацкевич Маргарита Станиславовна -23.10.2019г.р.)</t>
  </si>
  <si>
    <t>Ленинский пр. д. 129, корп. 3, кв. 41</t>
  </si>
  <si>
    <t xml:space="preserve"> 15/1                    </t>
  </si>
  <si>
    <t xml:space="preserve">Головачева Татьяна Ивановна </t>
  </si>
  <si>
    <t>Ветеранов пр., д. 88,, кв. 105</t>
  </si>
  <si>
    <t xml:space="preserve"> 15/2                        </t>
  </si>
  <si>
    <t>Вальфиш Капитолина Николаевна</t>
  </si>
  <si>
    <t>пр. Стачек, д. 57, строение А , кв. 156</t>
  </si>
  <si>
    <t xml:space="preserve"> 15/4                         </t>
  </si>
  <si>
    <t>Бойцова Анастасия Вячеславовна</t>
  </si>
  <si>
    <t>Испытателей пр., д. 11, корп.1, кв. 350</t>
  </si>
  <si>
    <t xml:space="preserve"> 15/3                      </t>
  </si>
  <si>
    <t>16-СТ</t>
  </si>
  <si>
    <t>Иванова Мария Александровна 
(РИ-Шакери Дмитрий Кейванович - 05.04.2018г.р.)</t>
  </si>
  <si>
    <t>Гаванская ул. , д. 33, кв. 15</t>
  </si>
  <si>
    <t xml:space="preserve"> 16/2                          </t>
  </si>
  <si>
    <t>Курортный</t>
  </si>
  <si>
    <t xml:space="preserve">Венедиктов Анатолий Анатольевич </t>
  </si>
  <si>
    <t>г. Сестрорецк, Приморское шоссе, д. 312, кв.76</t>
  </si>
  <si>
    <t xml:space="preserve"> 16/4                        </t>
  </si>
  <si>
    <t>Викторов Михаил Петрович</t>
  </si>
  <si>
    <t>Шевченко ул., д. 23, корп. 1, кв. 75</t>
  </si>
  <si>
    <t xml:space="preserve"> 16/1                           </t>
  </si>
  <si>
    <t>Подгорная Евгения Ивановна</t>
  </si>
  <si>
    <t>Ленинский пр. д. 117, корп. 1, кв. 770</t>
  </si>
  <si>
    <t xml:space="preserve"> 16/3                        </t>
  </si>
  <si>
    <t>14.05.2026г</t>
  </si>
  <si>
    <t>17-СТ</t>
  </si>
  <si>
    <t xml:space="preserve">Фёдорова Валентина Ивановна </t>
  </si>
  <si>
    <t>Витебский пр., д. 59,  корп. 1, кв. 16С</t>
  </si>
  <si>
    <t xml:space="preserve"> 17/2                       </t>
  </si>
  <si>
    <t>Чеснокова Елена Сергеевич 
(РИ-Чесноков Даниил Иванович- 10.10.2019г.р.)</t>
  </si>
  <si>
    <t>Костюшко ул., д. 90, кв. 18</t>
  </si>
  <si>
    <t xml:space="preserve"> 17/1                 </t>
  </si>
  <si>
    <t>Рыткова Татьяна Владимировна 
(РИ-Рыткова Ксения Сергеевна - 25.05.2015г.р.)</t>
  </si>
  <si>
    <t>пос. Шушары,Славянка,  Изборская ул.,  д. 3, корп. 1, кв. 118</t>
  </si>
  <si>
    <t xml:space="preserve"> 17/3                       </t>
  </si>
  <si>
    <t>Лукина Елена Григорьевна 
(РИ-Лукина Диана Артуровна - 01.10.2014г.р.)</t>
  </si>
  <si>
    <t xml:space="preserve"> 17/4                        </t>
  </si>
  <si>
    <t>18-СТ</t>
  </si>
  <si>
    <t>Чиженко Оксана Владимировна 
(РИ-Чиженко Владислав Сергеевич - 18.06.2017 г.р.)</t>
  </si>
  <si>
    <t>Вознесенский пр., д. 34, кв. 23</t>
  </si>
  <si>
    <t xml:space="preserve"> 18/1                            </t>
  </si>
  <si>
    <t>Гажева Алла Евгеньевна</t>
  </si>
  <si>
    <t>Космонавтов пр., д. 19, корп. 1, кв. 17</t>
  </si>
  <si>
    <t xml:space="preserve"> 18/2                    </t>
  </si>
  <si>
    <t>19-СТ</t>
  </si>
  <si>
    <t>Каплунова Людмила Михайловна</t>
  </si>
  <si>
    <t>ул. Учительская, д. 12, корп. 1, кв. 67</t>
  </si>
  <si>
    <t xml:space="preserve"> 19/1                   </t>
  </si>
  <si>
    <t>Никифоров Александр Владимирович 
(РИ-Никифоров Ярослав Александрович - 26.02.2016г.р.)</t>
  </si>
  <si>
    <t xml:space="preserve"> 19/2                        </t>
  </si>
  <si>
    <t>20-СТ</t>
  </si>
  <si>
    <t>Ярковой Анатолий Николаевич</t>
  </si>
  <si>
    <t>пос. Металлострой, Центральная ул.,д. 17, кв. 47</t>
  </si>
  <si>
    <t xml:space="preserve"> 20/2                      </t>
  </si>
  <si>
    <t xml:space="preserve">Полякова Нина Анатольевна 
(РИ-Поляков Никита Дмитриевич - 21.02.2020г.р.) </t>
  </si>
  <si>
    <t>Маршала Новикова ул., д. 8, корп. 1, кв. 20</t>
  </si>
  <si>
    <t xml:space="preserve"> 20/3                            </t>
  </si>
  <si>
    <t>Штепа Николай Юрьевич</t>
  </si>
  <si>
    <t>Сизова пр., д. 32, к. 1, кв. 494</t>
  </si>
  <si>
    <t xml:space="preserve"> 20/4                          </t>
  </si>
  <si>
    <t xml:space="preserve">Рундыгин Юрий Александрович </t>
  </si>
  <si>
    <t>пр. Комендантский,                                д. 22, корп. 1, кв. 212</t>
  </si>
  <si>
    <t xml:space="preserve"> 20/1                      </t>
  </si>
  <si>
    <t>22-СТ</t>
  </si>
  <si>
    <t>Кузнецова Марина Владимировна</t>
  </si>
  <si>
    <t>Гороховая ул., д. 26, кв. 11</t>
  </si>
  <si>
    <t xml:space="preserve"> 22/1                          </t>
  </si>
  <si>
    <t>Новицкий Альберт Александрович</t>
  </si>
  <si>
    <t>пр. Большеохтинский,              д. 14,  кв. 43</t>
  </si>
  <si>
    <t xml:space="preserve"> 22/2                    </t>
  </si>
  <si>
    <t>Ковалева Мария Исаевна</t>
  </si>
  <si>
    <t>Энергетиков пр.,д. 28, корп. 4, кв. 19</t>
  </si>
  <si>
    <t xml:space="preserve"> 22/3                  </t>
  </si>
  <si>
    <t>42.6</t>
  </si>
  <si>
    <t>Кухто Алефтина Ивановна</t>
  </si>
  <si>
    <t>г. Колпино, Бульвар Трудящихся, д. 18, кв. 130</t>
  </si>
  <si>
    <t xml:space="preserve"> 22/4                        </t>
  </si>
  <si>
    <t>23-СТ</t>
  </si>
  <si>
    <t xml:space="preserve">Комахов Егор Юрьевич </t>
  </si>
  <si>
    <t>ул. Маршала Казакова, д. 28, корп. 1, кв. 5</t>
  </si>
  <si>
    <t xml:space="preserve"> 23/2                        </t>
  </si>
  <si>
    <t>Зорин Александр Васильевич 
(РИ-Зорина Дарья Александровна - 03.11.2010г.р.)</t>
  </si>
  <si>
    <t>ул. Адмирала Трибуца, д. 8, кв. 240</t>
  </si>
  <si>
    <t xml:space="preserve"> 23/3                        </t>
  </si>
  <si>
    <t>Семенова Ольга Андреевна 
(РИ-Семенов Тимофей Сергеевич- 09.09.2016г.р.)</t>
  </si>
  <si>
    <t>Доблести ул. , д. 20, корп. 1, кв. 2</t>
  </si>
  <si>
    <t xml:space="preserve"> 23/4                           </t>
  </si>
  <si>
    <t>Лемпияйнен Лидия Евгеньевна 
(РИ-Лемпияйнен Ирина Сергеевна - 04.10.2012г.р.)</t>
  </si>
  <si>
    <t>пр-кт. Советский (Усть-Славянка), д. 34, корп. 3, кв. 7(реб. Московское шоссе, д. 5, кв. 10)</t>
  </si>
  <si>
    <t xml:space="preserve"> 23/1                         </t>
  </si>
  <si>
    <t>24-СТ</t>
  </si>
  <si>
    <t>Кузнецова Наталья Викторовна 
(РИ-Кузнецов Иван Павлович - 27.08.2012г.р.)</t>
  </si>
  <si>
    <t>Камышова ул., д. 34, корп. 2, кв. 136</t>
  </si>
  <si>
    <t xml:space="preserve"> 24/2 </t>
  </si>
  <si>
    <t>Арбузов Игорь Сергеевич</t>
  </si>
  <si>
    <t>ал. Евгения Шварца, д. 11, стр. 1, кв. 120</t>
  </si>
  <si>
    <t xml:space="preserve"> 24/3                     </t>
  </si>
  <si>
    <t>Урманчеев Алексей Юрьевич</t>
  </si>
  <si>
    <t>ул. Корнея Чуковского, д. 5, корп. 3, кв.10</t>
  </si>
  <si>
    <t xml:space="preserve"> 24/4                  </t>
  </si>
  <si>
    <t>Фомина Снежана Вячеславовна</t>
  </si>
  <si>
    <t>Глухарская ул., д. 20, кв. 173</t>
  </si>
  <si>
    <t xml:space="preserve"> 24/1  </t>
  </si>
  <si>
    <t>25-СТ</t>
  </si>
  <si>
    <t xml:space="preserve">Валиев Дмитрий Генеретович 
(РИ-Валиев Александр Дмитриевич- 28.02.2013г.р.) </t>
  </si>
  <si>
    <t>Дунайский пр.,                                          д. 34/16,  кв. 453</t>
  </si>
  <si>
    <t xml:space="preserve"> 25/3                           </t>
  </si>
  <si>
    <t>Степанова Евгения Николаевна</t>
  </si>
  <si>
    <t>ул. Бухарестская, д. 67, корп. 5, кв. 46</t>
  </si>
  <si>
    <t xml:space="preserve"> 25/4                          </t>
  </si>
  <si>
    <t>Франк Сергей Петрович</t>
  </si>
  <si>
    <t>ул. Подвойского, д. 40, корп. 2, лит. Щ, кв. 12</t>
  </si>
  <si>
    <t xml:space="preserve"> 25/1                         </t>
  </si>
  <si>
    <t>пос. Шушары,Славянка,  Полоцкая ул.,  д.14, корп. 3, кв. 45</t>
  </si>
  <si>
    <t xml:space="preserve"> 25/2                          </t>
  </si>
  <si>
    <t>26-СТ</t>
  </si>
  <si>
    <t>Малухина Ольга Алексеевна 
(РИ-Малухина Эмилия Ивановна- 11.01.2016г.р.)</t>
  </si>
  <si>
    <t>Лыжный пер., д. 4, корп. 3, кв. 191</t>
  </si>
  <si>
    <t xml:space="preserve"> 26/1                   </t>
  </si>
  <si>
    <t>Баранова Анна Николаевна 
(РИ-Лахуров Тимур Исмаилович- 05.09.2016г.р.)</t>
  </si>
  <si>
    <t>Белы Куна ул., д. 26, корп. 1, кв. 105</t>
  </si>
  <si>
    <t xml:space="preserve"> 26/2                       </t>
  </si>
  <si>
    <t>27-СТ</t>
  </si>
  <si>
    <t>Бызов Владимир Андреевич</t>
  </si>
  <si>
    <t>Пискаревский пр.,д. 145, к.6, стр.1,  кв.1</t>
  </si>
  <si>
    <t xml:space="preserve"> 27/3                    </t>
  </si>
  <si>
    <t>Ганжина Анна Сергеевна 
(РИ-Ганжин Петр Алексеевич - 02.08.2008г.р.)</t>
  </si>
  <si>
    <t>пр. Богатырский, д. 48, корп. 1, кв. 109</t>
  </si>
  <si>
    <t xml:space="preserve"> 27/4                     </t>
  </si>
  <si>
    <t>Семенова Ольга Александровна 
(РИ-Семенова Стефания Сергеевна- 02.08.2016г.р.)</t>
  </si>
  <si>
    <t>Космонавтов пр., д. 37,  кв. 225</t>
  </si>
  <si>
    <t xml:space="preserve"> 27/2                       </t>
  </si>
  <si>
    <t>Ушмугин Федор Николаевич 
(РИ-Ушмугин Михаил Федорович - 06.12.2020г.р.)</t>
  </si>
  <si>
    <t>Обводного канала наб., д. 78А, кв. 6</t>
  </si>
  <si>
    <t xml:space="preserve"> 27/1                        </t>
  </si>
  <si>
    <t>28-СТ</t>
  </si>
  <si>
    <t>Фесун Анастасия Гавриловна</t>
  </si>
  <si>
    <t>пр. Лиговский, д. 44, кв. 505</t>
  </si>
  <si>
    <t xml:space="preserve"> 28/2                        </t>
  </si>
  <si>
    <t>Трубникова Валентина Петровна</t>
  </si>
  <si>
    <t>Новороссийская ул.,д 2,корп. 2,  кв. 22</t>
  </si>
  <si>
    <t xml:space="preserve"> 28/3                         </t>
  </si>
  <si>
    <t>Сапрыкина Лариса Николаевна</t>
  </si>
  <si>
    <t>Дыбенко ул., д. 5, корп. 1, стр.1, кв. 577</t>
  </si>
  <si>
    <t xml:space="preserve"> 28/1                          </t>
  </si>
  <si>
    <t xml:space="preserve">Рудковская Майя Петрова </t>
  </si>
  <si>
    <t xml:space="preserve"> 28/1                        </t>
  </si>
  <si>
    <t>29-СТ</t>
  </si>
  <si>
    <t>Груньковская Светлана Викторовна 
(РИ-Груньковский Егор Владиславович - 10.03.2010г.р.)</t>
  </si>
  <si>
    <t>Верхне-Каменская ул. , д. 3, корп. 1, кв. 1</t>
  </si>
  <si>
    <t xml:space="preserve"> 29/1                            </t>
  </si>
  <si>
    <t>Шаламов Евгений Викторович 
(РИ-Шаламов Дмитрий Евгеньевич- 22.07.2020г.р.)</t>
  </si>
  <si>
    <t>Арцеуловская ал., д. 23, корп. 1, кв. 2630</t>
  </si>
  <si>
    <t xml:space="preserve"> 29/2                             </t>
  </si>
  <si>
    <t>Кнабенгоф Ольга Вадимовна 
(РИ-Баймаков Мартин Ильич- 22.07.2014г.р.)</t>
  </si>
  <si>
    <t>Ланское шоссе, д. 10, к. 1, кв. 61</t>
  </si>
  <si>
    <t xml:space="preserve"> 29/3                             </t>
  </si>
  <si>
    <t>Гончарова Радмила Викторовна 
(РИ-Гончарова Анастасия Алексеевна - 08.03.2009г.р.)</t>
  </si>
  <si>
    <t>Мебельная ул.,д. 21, корп. 2, кв. 348</t>
  </si>
  <si>
    <t xml:space="preserve"> 29/4                      </t>
  </si>
  <si>
    <t>30-СТ</t>
  </si>
  <si>
    <t>Цуркан Маргарита Александровна 
(РИ-Цуркан Анна Александровна - 11.09.2015г.р.)</t>
  </si>
  <si>
    <t>ул. Жукова, д. 1, корп. 1, кв. 309</t>
  </si>
  <si>
    <t xml:space="preserve"> 30/1                    </t>
  </si>
  <si>
    <t>Мухина Галина Алексеевна</t>
  </si>
  <si>
    <t>ул. Апрельская,  д. 6, корп. 2, кв. 37</t>
  </si>
  <si>
    <t xml:space="preserve"> 30/2                 </t>
  </si>
  <si>
    <t>Вергазова Валерия Георгиевна</t>
  </si>
  <si>
    <t>Рижский пр. , д. 48, кв. 87</t>
  </si>
  <si>
    <t xml:space="preserve"> 30/3                           </t>
  </si>
  <si>
    <t>Коломийцева Анастасия Анатольевна 
(РИ-Коломийцев Алексей Дмитриевич - 23.08.2016г.)</t>
  </si>
  <si>
    <t>г. Колпино, ул. Тверская, д. 8, кв. 28</t>
  </si>
  <si>
    <t xml:space="preserve"> 30/4                          </t>
  </si>
  <si>
    <t>31-СТ</t>
  </si>
  <si>
    <t>Ильина Юлия Анатольевна
(РИ-Ильина Милана Яновна - 14.04.2015г.р.)</t>
  </si>
  <si>
    <t>Меншиковский пр-кт, д. 5, корп. 1. кв. 52</t>
  </si>
  <si>
    <t xml:space="preserve"> 31/3                   </t>
  </si>
  <si>
    <t>Еремейцева Елена Юрьевна</t>
  </si>
  <si>
    <t>пр. Большой., д. 74, кв. 60</t>
  </si>
  <si>
    <t xml:space="preserve"> 31/4                           </t>
  </si>
  <si>
    <t>Павлова Наталия Васильевна</t>
  </si>
  <si>
    <t>Вознесенский пр., д. 34, кв. 25</t>
  </si>
  <si>
    <t xml:space="preserve"> 31/1                       </t>
  </si>
  <si>
    <t>Селоустьева Валентина Павловна</t>
  </si>
  <si>
    <t>Кондратьевский пр., д.60/19,   кв. 21</t>
  </si>
  <si>
    <t xml:space="preserve"> 31/2</t>
  </si>
  <si>
    <t>32-СТ</t>
  </si>
  <si>
    <t>Цветкова Ксения Николаевна 
(РИ-Цветков Дмитрий Алексеевич- 30.08.2018 г.р.)</t>
  </si>
  <si>
    <t>Авиаконструкторов пр., д. 29, к. 2, кв. 64</t>
  </si>
  <si>
    <t xml:space="preserve"> 32/3                      </t>
  </si>
  <si>
    <t>пр. Науки, д. 4, корп. 1, кв. 26</t>
  </si>
  <si>
    <t xml:space="preserve"> 32/4                     </t>
  </si>
  <si>
    <t xml:space="preserve">Батова Сания Абдулловна </t>
  </si>
  <si>
    <t xml:space="preserve"> 32/2                     </t>
  </si>
  <si>
    <t>Лилеева Людмила Сергеевна</t>
  </si>
  <si>
    <t>наб. р. Фонтанки, д. 46, кв. 11</t>
  </si>
  <si>
    <t xml:space="preserve"> 32/1                       </t>
  </si>
  <si>
    <t>33-СТ</t>
  </si>
  <si>
    <t>Савин Дмитрий Иванович</t>
  </si>
  <si>
    <t>пр. Чернышевского, д. 17, кв. 32</t>
  </si>
  <si>
    <t xml:space="preserve"> 33/2                      </t>
  </si>
  <si>
    <t>Дмитриенко Наталья Александровна</t>
  </si>
  <si>
    <t>ул. Корнея Чуковского, д. 5, корп. 3, кв.1</t>
  </si>
  <si>
    <t xml:space="preserve"> 33/1                </t>
  </si>
  <si>
    <t>Соломина Ирина Леонидовна 
(РИ-Косилова Алиса Сергеевна - 26.03.2016г.р.)</t>
  </si>
  <si>
    <t>Петра Смородина ул., д. 20, лит. А, кв. 107</t>
  </si>
  <si>
    <t xml:space="preserve"> 33/4                </t>
  </si>
  <si>
    <t>Николаева Алла Николаевна</t>
  </si>
  <si>
    <t>Бассейная ул., д. 53, кв. 501</t>
  </si>
  <si>
    <t xml:space="preserve"> 33/3                          </t>
  </si>
  <si>
    <t>34-СТ</t>
  </si>
  <si>
    <t>ул. Пионерстроя, д. 7, корп. 3, кв. 158</t>
  </si>
  <si>
    <t xml:space="preserve"> 34/3                        </t>
  </si>
  <si>
    <t>Панин Сергей Алексеевич</t>
  </si>
  <si>
    <t>14-я линия В.О., д. 31/33, кв. 9</t>
  </si>
  <si>
    <t xml:space="preserve"> 34/1                                 </t>
  </si>
  <si>
    <t>Волкова Екатерина Александровна 
(РИ-Филиппов Матвей Дмитриевич -13.05.2013г.)</t>
  </si>
  <si>
    <t>ул. Наличная, д. 22, кв. 111</t>
  </si>
  <si>
    <t xml:space="preserve"> 34/2                          </t>
  </si>
  <si>
    <t>Самодурова Екатерина Геннадьевна 
(РИ-Морозов Мирон Алексеевич - 04.04.2016г.р.)</t>
  </si>
  <si>
    <t>г. Пушкин, ул. Школьная ул.,  д. 23, кв. 194</t>
  </si>
  <si>
    <t xml:space="preserve"> 34/4                          </t>
  </si>
  <si>
    <t>35-СТ</t>
  </si>
  <si>
    <t>Торопова Зоя Александровна 
(РИ-Торопов Георгий Даниилович - 20.08.2013г.р.)</t>
  </si>
  <si>
    <t>ул. Союза Печатников,                              д. 13-15, кв.104</t>
  </si>
  <si>
    <t xml:space="preserve"> 35/3                    </t>
  </si>
  <si>
    <t>06.05.2026.</t>
  </si>
  <si>
    <t>Ивашкина  Екатерина Сергеевна 
(РИ-Стрельник Макар Павлович - 30.11.2015г.р.)</t>
  </si>
  <si>
    <t>Дунайский пр.,                                          д. 38, корп. 1,   кв. 92</t>
  </si>
  <si>
    <t xml:space="preserve"> 35/4                       </t>
  </si>
  <si>
    <t>Павлов Павел Евгеньевич (РИ-Павлов Сергей Павлович - 25.09.2017г.р.)</t>
  </si>
  <si>
    <t>пр. Большевиков,                                      д. 30, корп. 2, кв. 39</t>
  </si>
  <si>
    <t xml:space="preserve"> 35/1                          </t>
  </si>
  <si>
    <t>36-СТ</t>
  </si>
  <si>
    <t xml:space="preserve"> Бокач Мария Антоновна</t>
  </si>
  <si>
    <t>пр. Суворовский, д. 61, кв. 50</t>
  </si>
  <si>
    <t xml:space="preserve"> 36/3                       </t>
  </si>
  <si>
    <t>Осипова Наталия Викторовна 
(РИ-Осипов Петр Сергеевич - 05.06.2008г.р.)</t>
  </si>
  <si>
    <t>пр-кт. Маршака, д. 16, корп. 3, кв. 76</t>
  </si>
  <si>
    <t xml:space="preserve"> 36/4                 </t>
  </si>
  <si>
    <t>Олимпиева Софья Михайловна</t>
  </si>
  <si>
    <t>Московский пр., д. 86, кв. 14</t>
  </si>
  <si>
    <t xml:space="preserve"> 36/1                         </t>
  </si>
  <si>
    <t>Гурова Галина Викторовна</t>
  </si>
  <si>
    <t>ул. Мичманская,  д. 2, корп. 1, кв. 92</t>
  </si>
  <si>
    <t xml:space="preserve"> 36/2                            </t>
  </si>
  <si>
    <t>37-СТ</t>
  </si>
  <si>
    <t>Певнева Яна Григорьевна</t>
  </si>
  <si>
    <t>Бухарестская ул., д. 35, корп. 5, кв. 90</t>
  </si>
  <si>
    <t xml:space="preserve"> 37/2                       </t>
  </si>
  <si>
    <t>Петрова Александра Юрьевна 
(РИ-Петров Иларион Викторович - 29.10.2018г.р.)</t>
  </si>
  <si>
    <t>пр. Римского-Корсакова, д. 65/11, кв.82</t>
  </si>
  <si>
    <t>Егорова Марина Евгеньевна  
(РИ-Егоров Денис Александрович - 22.07.2008г.)</t>
  </si>
  <si>
    <t>пр. Гражданский, д. 36, кв. 185</t>
  </si>
  <si>
    <t xml:space="preserve"> 37/4</t>
  </si>
  <si>
    <t>Алексеева Марина Александровна 
(РИ-Алексеева Лилия Анатольевна - 14.08.2012г.р.)</t>
  </si>
  <si>
    <t>Подъездной пер., д.4</t>
  </si>
  <si>
    <t xml:space="preserve"> 37/1                       </t>
  </si>
  <si>
    <t>38-СТ</t>
  </si>
  <si>
    <t>Сачук Ирина Сергеевна
 (РИ-Сачук Иван Сергеевич - 14.07.2010г.)</t>
  </si>
  <si>
    <t>пр. Кондратьевский, д. 62, корп. 7, кв. 455</t>
  </si>
  <si>
    <t xml:space="preserve"> 38/4                  </t>
  </si>
  <si>
    <t>Данилова Ольга Сергеевна 
(РИ-Данилов Алексей Романович- 28.11.2015г.р.)</t>
  </si>
  <si>
    <t>Кушелевская дор., д.5, корп. 8, кв. 208</t>
  </si>
  <si>
    <t xml:space="preserve"> 38/3                         </t>
  </si>
  <si>
    <t>Кривобородова Галина Рейновна</t>
  </si>
  <si>
    <t>Вавиловых ул., д. 11, корп. 4, кв. 35</t>
  </si>
  <si>
    <t xml:space="preserve"> 38/1                       </t>
  </si>
  <si>
    <t>Иванова Вера Михайловна</t>
  </si>
  <si>
    <t>Руставели ул., д. 32, кв. 94</t>
  </si>
  <si>
    <t xml:space="preserve"> 38/2                 </t>
  </si>
  <si>
    <t>39-СТ</t>
  </si>
  <si>
    <t>Матеркина Розалия Исааковна</t>
  </si>
  <si>
    <t>Луначарского пр., д. 56, корп. 3, кв. 56</t>
  </si>
  <si>
    <t xml:space="preserve"> 39/4                         </t>
  </si>
  <si>
    <t>Фёдора Котанова ул.,д. 3,корп. 2, стр. 1, кв. 47</t>
  </si>
  <si>
    <t xml:space="preserve"> 39/1                        </t>
  </si>
  <si>
    <t>Григорьева Екатерина Николаевна 
(РИ-Бесхохлов Николай Дмитриевич - 04.08.2012г.р.)</t>
  </si>
  <si>
    <t>Орбели ул., д. 17, кв. 196</t>
  </si>
  <si>
    <t xml:space="preserve"> 39/3                        </t>
  </si>
  <si>
    <t xml:space="preserve">Фомин Герман Альбертович </t>
  </si>
  <si>
    <t>Культуры пр., д. 19, корп. 3, кв. 21</t>
  </si>
  <si>
    <t xml:space="preserve"> 39/2                  </t>
  </si>
  <si>
    <t>40-СТ</t>
  </si>
  <si>
    <t>Травина Ивета Исмахановна 
(РИ-Травина Мария Алексеевна - 21.09.2008г.р.)</t>
  </si>
  <si>
    <t>Фурштадская ул. , д. 12, кв. 1</t>
  </si>
  <si>
    <t xml:space="preserve"> 40/3                          </t>
  </si>
  <si>
    <t>Кузьмин Алексей Михайлович</t>
  </si>
  <si>
    <t>ул. Тамбасова,                                             д. 1, корп. 1, кв. 146</t>
  </si>
  <si>
    <t xml:space="preserve"> 40/4                                 </t>
  </si>
  <si>
    <t>Пихуля Виктор Александрович 
(РИ-Пихуля Максим Викторович - 21.08.2012г.)</t>
  </si>
  <si>
    <t>пос. Шушары, Новгородский пер.,  д. 4, стр. 1,   кв. 36</t>
  </si>
  <si>
    <t xml:space="preserve"> 40/1                    </t>
  </si>
  <si>
    <t>Арутюнян Варсеник Гагиковна 
(РИ-Уткин Матвей Витальевич - 15.04.2018г.р.)</t>
  </si>
  <si>
    <t>9-я линия В.О., д. 72, кв. 36</t>
  </si>
  <si>
    <t xml:space="preserve"> 40/2                            </t>
  </si>
  <si>
    <t>41-СТ</t>
  </si>
  <si>
    <t>Лубянова Мария Викторовна 
(РИ-Мельников Макар Юрьевич- 11.09.2015г.р.)</t>
  </si>
  <si>
    <t>Капитанская ул., д. 4, кв. 63</t>
  </si>
  <si>
    <t xml:space="preserve"> 41/1                          </t>
  </si>
  <si>
    <t>Шибалкина Галина Васильевна</t>
  </si>
  <si>
    <t>ул. Кораблестроителей, д. 42, корп. 2, кв. 366</t>
  </si>
  <si>
    <t xml:space="preserve"> 41/3                            </t>
  </si>
  <si>
    <t>Давыдова Раиса Васильевна</t>
  </si>
  <si>
    <t>КИМАа пр., д. 4, кв. 80</t>
  </si>
  <si>
    <t xml:space="preserve"> 41/4                       </t>
  </si>
  <si>
    <t>Антипина Ольга Владимировна 
(РИ-Антипин Михаил Валентинович - 17.08.2012г.р.)</t>
  </si>
  <si>
    <t>ул.Уральская, д. 6, корп. 1, кв. 159</t>
  </si>
  <si>
    <t xml:space="preserve"> 41/2                           </t>
  </si>
  <si>
    <t>42-СТ</t>
  </si>
  <si>
    <t>Яблоновская Полина Константиновна</t>
  </si>
  <si>
    <t>Еремеева ул., д. 5, корп. 2, лит. А, кв. 92</t>
  </si>
  <si>
    <t xml:space="preserve"> 42/3                        </t>
  </si>
  <si>
    <t xml:space="preserve">Юшин Денис Миратович </t>
  </si>
  <si>
    <t>Загребский б-р, д. 9, кв. 1150</t>
  </si>
  <si>
    <t xml:space="preserve"> 42/4                        </t>
  </si>
  <si>
    <t>Дмитренко Павел Витальевич</t>
  </si>
  <si>
    <t>ул. Ушинского, д. 37,  корп. 2, кв. 99</t>
  </si>
  <si>
    <t xml:space="preserve"> 42/1                  </t>
  </si>
  <si>
    <t>Беляева Римма Михайловна</t>
  </si>
  <si>
    <t xml:space="preserve"> 42/2                       </t>
  </si>
  <si>
    <t>43-СТ</t>
  </si>
  <si>
    <t>Щипакин Андрей Сергеевич 
(РИ-Щипакин Арсений Андреевич - 08.01.2015 г.р.)</t>
  </si>
  <si>
    <t>Парфёновская ул., д. 7, корп. 1, кв. 925</t>
  </si>
  <si>
    <t xml:space="preserve"> 43/1                        </t>
  </si>
  <si>
    <t xml:space="preserve">Жарков Владимир Викторович </t>
  </si>
  <si>
    <t>5-й Предпортовый проезд, д. 10, корп. 1, кв. 464</t>
  </si>
  <si>
    <t xml:space="preserve"> 43/2                       </t>
  </si>
  <si>
    <t>Бауэр Анна Владимировна 
(РИ-Брауэр Гарри Владимирович - 01.03.2012г.р.)</t>
  </si>
  <si>
    <t>Средняя Подъяческая ул., д. 11, кв. 2</t>
  </si>
  <si>
    <t xml:space="preserve"> 43/3                       </t>
  </si>
  <si>
    <t>Васильева Виктория Владиславовна 
(РИ-Васильева Алина Константиновна - 25.01.2009г.р.)</t>
  </si>
  <si>
    <t>пр. Московский, д. 61,  кв. 61</t>
  </si>
  <si>
    <t xml:space="preserve"> 43/4                     </t>
  </si>
  <si>
    <t>44-СТ</t>
  </si>
  <si>
    <t>Егорова Людмила Михайловна</t>
  </si>
  <si>
    <t>пр. Ленинский, д. 77, корп. 1, кв. 433</t>
  </si>
  <si>
    <t xml:space="preserve"> 44/3                       </t>
  </si>
  <si>
    <t>Бархатова Татьяна Ивановна</t>
  </si>
  <si>
    <t>Свердловская наб., д. 62, кв. 137</t>
  </si>
  <si>
    <t xml:space="preserve"> 44/4                    </t>
  </si>
  <si>
    <t>Мельникова Галина Николаевна 
(РИ-Баранник Эмиль Дмитриевич- 28.05.2015г.; Баранник Феликс Дмитриевич- 24.08.2018г.р.)</t>
  </si>
  <si>
    <t>ул. Ушинского, д. 11, кв. 30</t>
  </si>
  <si>
    <t xml:space="preserve"> 44/2                      </t>
  </si>
  <si>
    <t>Аверьянова Ирина Анатольевна 
(РИ-Аверьянова Анастасия Алексеевна - 11.03.2015г.р.)</t>
  </si>
  <si>
    <t>Большая Пушкарская ул. , д. 43, кв. 5</t>
  </si>
  <si>
    <t xml:space="preserve"> 44/1                      </t>
  </si>
  <si>
    <t>45-СТ</t>
  </si>
  <si>
    <t>Вахитова Алина Альбертовна</t>
  </si>
  <si>
    <t>г. Сестрорецк, Инструментальщиков ул., д. 21, кв.57</t>
  </si>
  <si>
    <t xml:space="preserve"> 45/2                      </t>
  </si>
  <si>
    <t xml:space="preserve">Губин Даниил Анатольевич </t>
  </si>
  <si>
    <t>Луначарского пр., д. 38,  кв. 118</t>
  </si>
  <si>
    <t xml:space="preserve"> 45/3                        </t>
  </si>
  <si>
    <t>Чернова Полина Анатольевна 
(РИ-Чернов Кирилл Никитич- 26.04.2014г.р.)</t>
  </si>
  <si>
    <t>Богатырский пр., д. 24, к.1, кв. 71</t>
  </si>
  <si>
    <t xml:space="preserve"> 45/4                     </t>
  </si>
  <si>
    <t>Якушина Нина Федоровна 
(РИ-Агафонова Ярослава Эдуардовна - 03.06.2015г.р.)</t>
  </si>
  <si>
    <t>Суздальское шоссе, д. 20, корп. 4, кв. 145</t>
  </si>
  <si>
    <t xml:space="preserve"> 45/1                      </t>
  </si>
  <si>
    <t>46-СТ</t>
  </si>
  <si>
    <t>Требуховский Игорь Михайлович 
(РИ-Требуховская Мария Игоревна - 20.02.2015г.р.)</t>
  </si>
  <si>
    <t>Вяземский пер., д.6, кв. 275</t>
  </si>
  <si>
    <t xml:space="preserve"> 46/3                      </t>
  </si>
  <si>
    <t>Бельцева Наталия Николаевна 
(РИ-Бельцева Анна Александровна- 08.10.2011г.р)</t>
  </si>
  <si>
    <t>ул. Есенина, д. 18, корп. 1, кв. 244</t>
  </si>
  <si>
    <t xml:space="preserve"> 46/4                     </t>
  </si>
  <si>
    <t>Михайлова Наталья Викторовна 
(РИ-Михайлова Ульяна Викторовна - 18.08.2016г.р.)</t>
  </si>
  <si>
    <t>Искровский пр., д. 30, кв. 104</t>
  </si>
  <si>
    <t xml:space="preserve"> 46/2                          </t>
  </si>
  <si>
    <t>Аракчеева Виктория Алексеевна 
(РИ-Аракчеева Елизавета Борисовна - 03.11.2010г.р.)</t>
  </si>
  <si>
    <t>пр. Большевиков,                                      д. 37, корп. 1, кв. 119</t>
  </si>
  <si>
    <t xml:space="preserve"> 46/1                          </t>
  </si>
  <si>
    <t>47-СТ</t>
  </si>
  <si>
    <t>Рохмистрова Генриетта Владимировна 
(РИ-Мазуркина Кира Дмитриевна -19.08.2009г.)</t>
  </si>
  <si>
    <t>ул. 10-я Советская, д. 19, кв. 7</t>
  </si>
  <si>
    <t xml:space="preserve"> 47/4                              </t>
  </si>
  <si>
    <t>Романова Екатерина Валерьевна 
(РИ-Левашкин Артур Константинович - 26.11.2011г.)</t>
  </si>
  <si>
    <t>Советский (Усть-Славянка) пр-кт., д. 23 А, кв. 2</t>
  </si>
  <si>
    <t xml:space="preserve"> 47/1                          </t>
  </si>
  <si>
    <t>Бурова Ольга Вячеславовна 
(РИ-Ковалев Ярослав Павлович - 25.04.2012г.р.)</t>
  </si>
  <si>
    <t>Полярников ул., д. 15, кв. 40</t>
  </si>
  <si>
    <t xml:space="preserve"> 47/2                           </t>
  </si>
  <si>
    <t>Нестерович Валентина Сергеевна 
(РИ-Нестерович Арина Андреевна - 06.02.2014г.р.)</t>
  </si>
  <si>
    <t>Ольминского ул., д. 5, кв. 130</t>
  </si>
  <si>
    <t xml:space="preserve">47/3                            </t>
  </si>
  <si>
    <t>48-СТ</t>
  </si>
  <si>
    <t>Волченкова Зинаида Львовна</t>
  </si>
  <si>
    <t>ул. Катерников, д. 5, корп. 1, кв. 296</t>
  </si>
  <si>
    <t xml:space="preserve"> 48/2                     </t>
  </si>
  <si>
    <t>Коршунов Евгений Викторович 
(РИ-Коршунова Виктория Евгеньевна -19.12.2017г.р.)</t>
  </si>
  <si>
    <t>Петерговское шоссе, д. 45. , кв. 137</t>
  </si>
  <si>
    <t xml:space="preserve"> 48/1                        </t>
  </si>
  <si>
    <t>Осекина Ольга Алексеевна 
(РИ-Осекин Макар Ильич-  25.02.2020г.р.)</t>
  </si>
  <si>
    <t>ул. Маршала Казакова, д. 78, корп. 1, кв. 306</t>
  </si>
  <si>
    <t xml:space="preserve"> 48/3                       </t>
  </si>
  <si>
    <t>Черкасова Валентина Владимировна</t>
  </si>
  <si>
    <t>Савушкина ул.,д. 137, корп. 3, кв. 28</t>
  </si>
  <si>
    <t xml:space="preserve"> 48/4</t>
  </si>
  <si>
    <t>49-СТ</t>
  </si>
  <si>
    <t>Полеева Маргарита Владимировна</t>
  </si>
  <si>
    <t>пр. Героев, д. 26, корп.3, кв. 27</t>
  </si>
  <si>
    <t xml:space="preserve"> 49/3                        </t>
  </si>
  <si>
    <t>Крайнева Людмила Федоровна</t>
  </si>
  <si>
    <t>пр. Ленинский.д. 78, корп. 1,  кв.989</t>
  </si>
  <si>
    <t xml:space="preserve"> 49/4                       </t>
  </si>
  <si>
    <t>Ахмедова Наталья Игоревна</t>
  </si>
  <si>
    <t>пр. Ветеранов, д. 171, корп. 2, кв. 1075</t>
  </si>
  <si>
    <t xml:space="preserve"> 49/2                          </t>
  </si>
  <si>
    <t>Митряева Анна Владимировна 
(РИ-Амагачан Симеон Иванович -08.02.2017г.р.)</t>
  </si>
  <si>
    <t>Красное село, Гатчинское ш., д. 8, корп. 3, кв. 59</t>
  </si>
  <si>
    <t xml:space="preserve"> 49/1                        </t>
  </si>
  <si>
    <t>50-СТ</t>
  </si>
  <si>
    <t>Рыбакова Антонина Николаевна</t>
  </si>
  <si>
    <t>Красносеоьское ш., д. 56, корп. 2, кв. 221</t>
  </si>
  <si>
    <t xml:space="preserve"> 50/1                          </t>
  </si>
  <si>
    <t>Матюхина Маргарита Степановна</t>
  </si>
  <si>
    <t>Марата ул. , д.50, кв. 8</t>
  </si>
  <si>
    <t xml:space="preserve"> 50/3                       </t>
  </si>
  <si>
    <t>Василькова Нина Ивановна</t>
  </si>
  <si>
    <t>пр. Ленинский.д. 53, корп. 1, кв. 155</t>
  </si>
  <si>
    <t xml:space="preserve"> 50/4                         </t>
  </si>
  <si>
    <t>Михайлова Людмила Павловна</t>
  </si>
  <si>
    <t>ул. Маршала Захарова, д. 18, корп. 1, кв. 564</t>
  </si>
  <si>
    <t xml:space="preserve"> 50/2                      </t>
  </si>
  <si>
    <t>51-СТ</t>
  </si>
  <si>
    <t xml:space="preserve">Карликова Светлана Александровна </t>
  </si>
  <si>
    <t>Авангардная ул., д. 26, корп. 1, кв. 365</t>
  </si>
  <si>
    <t xml:space="preserve"> 51/4                        </t>
  </si>
  <si>
    <t>Щербакова Людмила Дмитриевна</t>
  </si>
  <si>
    <t>пр. Ленинский.д. 78, корп. 1, кв. 1017</t>
  </si>
  <si>
    <t xml:space="preserve"> 51/1         </t>
  </si>
  <si>
    <t>Кузнецова Ольга Николаевна 
(РИ-Толстошеева Яна Олеговна - 22.05.2008г.)</t>
  </si>
  <si>
    <t>ул. Маршала Жукова, д. 35, корп. 3, кв. 189</t>
  </si>
  <si>
    <t xml:space="preserve"> 51/2                        </t>
  </si>
  <si>
    <t>Яньшина Татьяна Сергеевна</t>
  </si>
  <si>
    <t>Красногорская ул.,д. 19, корп. 1, кв. 124</t>
  </si>
  <si>
    <t xml:space="preserve"> 51/3                        </t>
  </si>
  <si>
    <t>53-СТ</t>
  </si>
  <si>
    <t>Щеглова Татьяна Ефремовна</t>
  </si>
  <si>
    <t>ул. Цимлянская,                         д. 6, кв. 15</t>
  </si>
  <si>
    <t xml:space="preserve"> 53/4                   </t>
  </si>
  <si>
    <t>Оловянникова Нелля Михайловна</t>
  </si>
  <si>
    <t>Пискаревский пр.,д. 35, кв. 245</t>
  </si>
  <si>
    <t xml:space="preserve"> 53/2                    </t>
  </si>
  <si>
    <t>Евстафьева Валентина Михайловна</t>
  </si>
  <si>
    <t>пр. Индустриальный,                д. 38, корп. 2, кв. 427</t>
  </si>
  <si>
    <t xml:space="preserve"> 53/3                   </t>
  </si>
  <si>
    <t>Меркурьев Леонид Валерьевич
(РИ-Меркурьев Макар Леонидович - 10.01.2013г.р.)</t>
  </si>
  <si>
    <t>ул. Тверская, д. 15, кв. 68</t>
  </si>
  <si>
    <t xml:space="preserve"> 53/1                        </t>
  </si>
  <si>
    <t>54-СТ</t>
  </si>
  <si>
    <t>Нижне-Каменская ул. , д 26, кв. 68</t>
  </si>
  <si>
    <t xml:space="preserve"> 54/1                         </t>
  </si>
  <si>
    <t xml:space="preserve">Власов Андрей Николаевич </t>
  </si>
  <si>
    <t>пр. Авиаконстркторов,                         д. 4, к. 1, кв.328</t>
  </si>
  <si>
    <t xml:space="preserve"> 54/2                          </t>
  </si>
  <si>
    <t xml:space="preserve">Гаскевич Татьяна Германовна 
(РИ-Гаскевич Мария Дмитриевна- 10.11.2022г.р) </t>
  </si>
  <si>
    <t>Богатырский пр., д. 5, к.3, кв. 306</t>
  </si>
  <si>
    <t xml:space="preserve"> 54/3                           </t>
  </si>
  <si>
    <t>Мазуренко Дмитрий Анатольевич 
(РИ-Мазуренко Егор Дмитриевич - 28.04.2019г.р.)</t>
  </si>
  <si>
    <t>Торфяная дорога, д. 13, корп. 1, кв. 290</t>
  </si>
  <si>
    <t xml:space="preserve"> 54/4                         </t>
  </si>
  <si>
    <t>55-СТ</t>
  </si>
  <si>
    <t>Кириллов Виктор Анастасьевич</t>
  </si>
  <si>
    <t>КИМАа пр., д. 9, кв. 54</t>
  </si>
  <si>
    <t xml:space="preserve"> 55/1                        </t>
  </si>
  <si>
    <t>Чернова Анастасия Петровна</t>
  </si>
  <si>
    <t>пр. Гражданский, д. 129, корп. 1, кв. 33</t>
  </si>
  <si>
    <t xml:space="preserve"> 55/4                 </t>
  </si>
  <si>
    <t>Хваловский Андрей Иванович</t>
  </si>
  <si>
    <t>Кондратьевский пр., д. 70, корп.1, кв. 711</t>
  </si>
  <si>
    <t xml:space="preserve"> 55/2                     </t>
  </si>
  <si>
    <t>Крекотень Алина Павловна 
(РИ-Четвертакова Вероника Вадимовна - 10.01.2013г.р.)</t>
  </si>
  <si>
    <t>Кушелевская дор., д. 7, корп. 4, кв. 221</t>
  </si>
  <si>
    <t xml:space="preserve"> 55/3                        </t>
  </si>
  <si>
    <t>56-СТ</t>
  </si>
  <si>
    <t>Шуйский Константин Валерьевич</t>
  </si>
  <si>
    <t>4 -ая Красноармейская, д. 4, кв. 31</t>
  </si>
  <si>
    <t xml:space="preserve"> 56/1                    </t>
  </si>
  <si>
    <t>Горлова Надежда Геннадьевна 
(РИ-Горлова Дарина Евгеньевна- 19.07.2012г.р.)</t>
  </si>
  <si>
    <t>Маршала Жукова пр., д. 48, корп. 1, кв. 300</t>
  </si>
  <si>
    <t xml:space="preserve"> 56/3                   </t>
  </si>
  <si>
    <t>Муратова Екатерина Викторовна 
(РИ-Муратов Артём Евгеньевич - 18.03.2011г.р.)</t>
  </si>
  <si>
    <t>Дивенская ул., д. 5, кв. 30</t>
  </si>
  <si>
    <t xml:space="preserve"> 56/4                        </t>
  </si>
  <si>
    <t>Трифонова Екатерина Игоревна 
(РИ-Васильев Артемий Александрович - 25.07.2013г.р.)</t>
  </si>
  <si>
    <t xml:space="preserve"> 56/2                   </t>
  </si>
  <si>
    <t>57-СТ</t>
  </si>
  <si>
    <t>Ельменова Анна Андреевна 
(РИ-Ельменова  Ульяна Алексеевна - 19.03.2018г.р.)</t>
  </si>
  <si>
    <t>5-й Предпортовый проезд, д. 10, корп. 1, кв. 451</t>
  </si>
  <si>
    <t xml:space="preserve"> 57/4                      </t>
  </si>
  <si>
    <t xml:space="preserve">Веселов Алексей Александрович </t>
  </si>
  <si>
    <t>Дунайский пр, д .40, корп. 1, кв. 190</t>
  </si>
  <si>
    <t xml:space="preserve"> 57/3                         </t>
  </si>
  <si>
    <t>Сульженко Людмила Федоровна</t>
  </si>
  <si>
    <t>Новороссийская ул.,д 40, кв. 23</t>
  </si>
  <si>
    <t xml:space="preserve"> 57/1                          </t>
  </si>
  <si>
    <t>Медведев Дмитрий Александрович 
(РИ-Медведев Арсений Дмитриевич - 25.07.2014 г.р.)</t>
  </si>
  <si>
    <t xml:space="preserve"> 57/2                          </t>
  </si>
  <si>
    <t>58-СТ</t>
  </si>
  <si>
    <t>Мельникова Анна Владимировна 
(РИ-Мельников Михаил Сергеевич - 20.11.2017г.р.)</t>
  </si>
  <si>
    <t>Крузенштейна ул., д. 2, стр. 1, кв. 398</t>
  </si>
  <si>
    <t xml:space="preserve"> 58/1                  </t>
  </si>
  <si>
    <t>59-СТ</t>
  </si>
  <si>
    <t>Соколова Людмила Георгиевна</t>
  </si>
  <si>
    <t>пр. Народного Ополчения, д. 73, кв. 47</t>
  </si>
  <si>
    <t xml:space="preserve"> 59/3                       </t>
  </si>
  <si>
    <t>Ратников Александр Николаевич</t>
  </si>
  <si>
    <t>Новостроек ул., д. 11, кв. 5</t>
  </si>
  <si>
    <t xml:space="preserve"> 59/2                       </t>
  </si>
  <si>
    <t>Юдина Нина Григорьевна</t>
  </si>
  <si>
    <t>Козлова ул. , д. 19, корп.1, кв. 25</t>
  </si>
  <si>
    <t xml:space="preserve"> 59/4                        </t>
  </si>
  <si>
    <t xml:space="preserve">Сошилова Тамара Сергеевна </t>
  </si>
  <si>
    <t>Стойкости ул., д. 37, кв. 32</t>
  </si>
  <si>
    <t xml:space="preserve"> 59/1                       </t>
  </si>
  <si>
    <t>60-СТ</t>
  </si>
  <si>
    <t>Кузнецова Валентина Владимировна</t>
  </si>
  <si>
    <t>Малый пр П.С., д. 34, кв.8</t>
  </si>
  <si>
    <t xml:space="preserve"> 60/1                      </t>
  </si>
  <si>
    <t>Воробьева Галина Алексеевна</t>
  </si>
  <si>
    <t>ул. Малая Пушкарская, д. 30, кв. 19</t>
  </si>
  <si>
    <t xml:space="preserve"> 60/2                  </t>
  </si>
  <si>
    <t xml:space="preserve">Ковальчук-Ковалевская Анастасия Александровна </t>
  </si>
  <si>
    <t>Подрезова ул, д. 16, кв. 8</t>
  </si>
  <si>
    <t xml:space="preserve">  60/3                       </t>
  </si>
  <si>
    <t>Русецкая Ольга Анатольевна 
(РИ-Осояну Марина Михайловна- 04.07.2019г.р.)</t>
  </si>
  <si>
    <t>Глухарская ул., д. 11, корп. 1,  кв. 17</t>
  </si>
  <si>
    <t xml:space="preserve"> 60/4                   </t>
  </si>
  <si>
    <t>61-СТ</t>
  </si>
  <si>
    <t>Кикаева Насибат Магомедовна 
(РИ-Кикаева Аиша Магомедовна - 26.06.2014г.р.)</t>
  </si>
  <si>
    <t>Косыгина пр., д. 25, корп. 1, лит. А, кв. 1</t>
  </si>
  <si>
    <t xml:space="preserve"> 61/1                       </t>
  </si>
  <si>
    <t>Андреев Андрей Викторович</t>
  </si>
  <si>
    <t>Солидарности пр., д. 8, корп. 1, кв. 463</t>
  </si>
  <si>
    <t xml:space="preserve"> 61/4                          </t>
  </si>
  <si>
    <t>Митрофанов Юрий Александрович</t>
  </si>
  <si>
    <t>ул. Коллонтай,                                             д. 15, корп. 2, кв. 149</t>
  </si>
  <si>
    <t xml:space="preserve"> 61/2                          </t>
  </si>
  <si>
    <t>Медведева Валентина Васильевна</t>
  </si>
  <si>
    <t>Товарищевский пр., д. 26, корп. 1. кв. 87</t>
  </si>
  <si>
    <t xml:space="preserve"> 61/3                          </t>
  </si>
  <si>
    <t>62-СТ</t>
  </si>
  <si>
    <t xml:space="preserve">Федорова Тамара Сергеевна </t>
  </si>
  <si>
    <t>ул. Коллонтай,                                             д. 24, корп. 2, кв. 43</t>
  </si>
  <si>
    <t xml:space="preserve"> 62/3                         </t>
  </si>
  <si>
    <t>Цахаева Рената Магомедовна 
(РИ-Фалевич Владислав Владимирович- 02.02.2009г.р.)</t>
  </si>
  <si>
    <t>пр. Дальневосточный, д. 8, корп. 1,  кв. 92</t>
  </si>
  <si>
    <t xml:space="preserve"> 62/4                       </t>
  </si>
  <si>
    <t>Миронова Ирина Фёдоровна</t>
  </si>
  <si>
    <t>Косыгина пр., д. 11, корп. 1, кв. 105</t>
  </si>
  <si>
    <t xml:space="preserve"> 62/1                   </t>
  </si>
  <si>
    <t>Лангоцкая Марина Герцоговна</t>
  </si>
  <si>
    <t>ул. Солдата Корзуна,                 д. 5,   кв. 211</t>
  </si>
  <si>
    <t xml:space="preserve"> 62/2                  </t>
  </si>
  <si>
    <t>63-СТ</t>
  </si>
  <si>
    <t>Зуб Евгений Юрьевич</t>
  </si>
  <si>
    <t>Новокомяжский пр., 12, корп. 1, кв. 237</t>
  </si>
  <si>
    <t xml:space="preserve"> 63/1                          </t>
  </si>
  <si>
    <t>Овсянников Сергей Александрович 
(РИ-Овсянников Тимофей Сергеевич - 27.03.2016г.р.)</t>
  </si>
  <si>
    <t>ул. Парашютная, д. 61, корп. 1, кв.136</t>
  </si>
  <si>
    <t xml:space="preserve"> 63/4                              </t>
  </si>
  <si>
    <t>Горшечников Андрей Алексеевич</t>
  </si>
  <si>
    <t>Оптиков ул.,д. 51, корп. 1, кв. 371</t>
  </si>
  <si>
    <t xml:space="preserve"> 63/2                              </t>
  </si>
  <si>
    <t>Цветкова Анна Александровна 
(РИ-Цветков Артём Антонович- 11.08.2014г.р.)</t>
  </si>
  <si>
    <t>Осипенко ул, д. 10, корп. 1, кв. 23</t>
  </si>
  <si>
    <t xml:space="preserve"> 63/3                             </t>
  </si>
  <si>
    <t>64-СТ</t>
  </si>
  <si>
    <t>Лойко Елена Николаевна 
(РИ-Буторин Илья Артемович- 09.01.2014г.)</t>
  </si>
  <si>
    <t>ул. Мичуринская, д. 9/11, кв. 24</t>
  </si>
  <si>
    <t xml:space="preserve"> 64/1                </t>
  </si>
  <si>
    <t>Горбатова Марина Ростиславовна 
(РИ-Золотарев Кирилл Станиславович - 19.10.2008г.р.)</t>
  </si>
  <si>
    <t>пр. Энтузиастов, д. 53/38 , кв. 416</t>
  </si>
  <si>
    <t xml:space="preserve"> 64/2                    </t>
  </si>
  <si>
    <t>Дементьева Анастасия Михайловна 
(РИ-Дементьев Платон Игоревич - 11.03.2015 г.р.)</t>
  </si>
  <si>
    <t>Шаумяна пр., д. 38, кв. 70</t>
  </si>
  <si>
    <t xml:space="preserve"> 64/4                    </t>
  </si>
  <si>
    <t>Семенникова Ляйля Ермековна</t>
  </si>
  <si>
    <t>Просвящения пр., д. 43, стр. 1,             кв. 1128</t>
  </si>
  <si>
    <t xml:space="preserve"> 64/3                             </t>
  </si>
  <si>
    <t>65-СТ</t>
  </si>
  <si>
    <t>Запрягалова Валентина Алексеевна</t>
  </si>
  <si>
    <t>Морская наб., д. 21, к. 2, кв. 43</t>
  </si>
  <si>
    <t xml:space="preserve"> 65/1                            </t>
  </si>
  <si>
    <t>Мешкова Татьяна Владимировна 
(РИ-Мешкова Таисия - 16.10.2022г.р.)</t>
  </si>
  <si>
    <t>Уральская ул., д. 6, стр. 1, кв. 130</t>
  </si>
  <si>
    <t xml:space="preserve"> 65/2                             </t>
  </si>
  <si>
    <t xml:space="preserve">Степанян Тамара Георгиевна </t>
  </si>
  <si>
    <t>Морская наб., д. 22, к. 1, кв. 51</t>
  </si>
  <si>
    <t xml:space="preserve"> 65/3                          </t>
  </si>
  <si>
    <t>Львов Марк Викторович (РИ-Львов Андрей Маркович- 28.04.2020г.р.)</t>
  </si>
  <si>
    <t>26-я линия В.О., д. 7, стр. 1,  кв. 1693</t>
  </si>
  <si>
    <t xml:space="preserve"> 65/4                           </t>
  </si>
  <si>
    <t>66-СТ</t>
  </si>
  <si>
    <t>Разворотнева Юлия Александровна 
(РИ-Разворотнев Тимофей Васильевич - 28.11.2022г.р.)</t>
  </si>
  <si>
    <t>Верхне-Каменская ул. , д.5,  кв. 1282</t>
  </si>
  <si>
    <t xml:space="preserve"> 66/4                              </t>
  </si>
  <si>
    <t>Кокшарова Дина Каюмовна 
(РИ-Кокшарова Виктория Владимировна- 03.10.2014г.)</t>
  </si>
  <si>
    <t>ул. Антонова-Овсеенко, д. 13, корп. 3,  кв. 121</t>
  </si>
  <si>
    <t xml:space="preserve"> 66/1                       </t>
  </si>
  <si>
    <t xml:space="preserve">Рыжкова Галина Сергеевна </t>
  </si>
  <si>
    <t>Можайская ул., д. 38, кв. 23</t>
  </si>
  <si>
    <t xml:space="preserve"> 66/2                       </t>
  </si>
  <si>
    <t>Дмитриева Яна Александровна 
(РИ-Дмитриев Ярослав Олегович- 22.01.2011г.р.)</t>
  </si>
  <si>
    <t>ул. Мебельная, д. 49/92,  кв. 234</t>
  </si>
  <si>
    <t xml:space="preserve"> 66/3                             </t>
  </si>
  <si>
    <t>67-СТ</t>
  </si>
  <si>
    <t>Александров Ефим Борисович</t>
  </si>
  <si>
    <t>пр. Северный, д. 12, корп. 1, кв. 393</t>
  </si>
  <si>
    <t xml:space="preserve"> 67/2                         </t>
  </si>
  <si>
    <t>Осипов Артём Олегович</t>
  </si>
  <si>
    <t>пр. Наставников, д. 26, корп. 1, кв. 166</t>
  </si>
  <si>
    <t xml:space="preserve"> 67/3                        </t>
  </si>
  <si>
    <t>Седрисев Денис Николаевич 
(РИ-Седрисев Александр Денисович - 16.11.2014г.р.)</t>
  </si>
  <si>
    <t>Глухарская ул., д. 30, кв. 149</t>
  </si>
  <si>
    <t xml:space="preserve"> 67/4                       </t>
  </si>
  <si>
    <t>Корнеева Ксения Сергеевна 
(РИ-Корнеева Катарина Дмитриевна- 09.03.2013г.р.)</t>
  </si>
  <si>
    <t>ул. Бухарестская, д. 78, корп.  кв.223</t>
  </si>
  <si>
    <t xml:space="preserve"> 67/1                       </t>
  </si>
  <si>
    <t>68-СТ</t>
  </si>
  <si>
    <t>Пономарева Ольга Александровна</t>
  </si>
  <si>
    <t>Маринеско ул., д. 4, кв. 43</t>
  </si>
  <si>
    <t xml:space="preserve"> 68/1                       </t>
  </si>
  <si>
    <t>69-СТ</t>
  </si>
  <si>
    <t>Гаврилова Татьяна Александровна</t>
  </si>
  <si>
    <t>Верности ул., д. 13, кв. 193</t>
  </si>
  <si>
    <t xml:space="preserve"> 69/2                            </t>
  </si>
  <si>
    <t>Кульнова Олеся Константиновна</t>
  </si>
  <si>
    <t>Глухарская ул., д. 20, кв. 168</t>
  </si>
  <si>
    <t xml:space="preserve"> 69/1                       </t>
  </si>
  <si>
    <t>71-СТ</t>
  </si>
  <si>
    <t xml:space="preserve">Ушаков Владимир Борисович </t>
  </si>
  <si>
    <t>Богатырский пр., д. 10, кв. 31</t>
  </si>
  <si>
    <t xml:space="preserve"> 71/3                           </t>
  </si>
  <si>
    <t>Орлова Марина Вячеславовна 
(РИ-Маслюк Мартин Антонович - 04.05.2011г.р.)</t>
  </si>
  <si>
    <t>Белы Куна ул., д. 7, корп. 1, кв. 149</t>
  </si>
  <si>
    <t xml:space="preserve"> 71/4                      </t>
  </si>
  <si>
    <t>Катина Анна Александровна 
(РИ-Катин Илья Алексеевич- 18.04.2012г.р)</t>
  </si>
  <si>
    <t>Белы Куна ул., д. 25,  кв. 244</t>
  </si>
  <si>
    <t xml:space="preserve"> 71/1                     </t>
  </si>
  <si>
    <t>Фурштейн Илья Семенович</t>
  </si>
  <si>
    <t>ул. Бухарестская, д. 76, корп. 1, кв. 81</t>
  </si>
  <si>
    <t xml:space="preserve"> 71/2                       </t>
  </si>
  <si>
    <t>72-СТ</t>
  </si>
  <si>
    <t xml:space="preserve">Таннер Ольга Андреевна </t>
  </si>
  <si>
    <t>Большая Зеленина ул., д. 28, кв. 24</t>
  </si>
  <si>
    <t xml:space="preserve"> 72/1                    </t>
  </si>
  <si>
    <t xml:space="preserve">Никулин Олег Егорович </t>
  </si>
  <si>
    <t>Новокомяжский пр., 12, корп. 1, кв. 215</t>
  </si>
  <si>
    <t xml:space="preserve"> 72/2                       </t>
  </si>
  <si>
    <t>73-СТ</t>
  </si>
  <si>
    <t>Кривошеин Юрий Алексеевич</t>
  </si>
  <si>
    <t>пр. Комендантский,                                д. 40, корп. 1, кв. 545</t>
  </si>
  <si>
    <t xml:space="preserve"> 73/1                       </t>
  </si>
  <si>
    <t xml:space="preserve">Цыганкова Мария Александровна </t>
  </si>
  <si>
    <t xml:space="preserve"> 73/2                       </t>
  </si>
  <si>
    <t>74-СТ</t>
  </si>
  <si>
    <t>Смирнов Александр Иванович</t>
  </si>
  <si>
    <t xml:space="preserve"> 74/1</t>
  </si>
  <si>
    <t>Келль Юлиана Юсуповна</t>
  </si>
  <si>
    <t>пр. Маршала Блюхера, д. 8, корп. 1, кв. 197</t>
  </si>
  <si>
    <t xml:space="preserve"> 74/2                      </t>
  </si>
  <si>
    <t>75-СТ</t>
  </si>
  <si>
    <t>Шумилова Елена Николаевна 
(РИ-Шумилов Александр Ильич- 05.12.2017г.р.)</t>
  </si>
  <si>
    <t>пр. Авиаконстркторов,                         д. 8, к. 2, кв.27</t>
  </si>
  <si>
    <t xml:space="preserve"> 75/4                      </t>
  </si>
  <si>
    <t>Медынский Владислав Станиславович</t>
  </si>
  <si>
    <t>Ивинская ул. , д. 19, корп. 2, кв. 290</t>
  </si>
  <si>
    <t xml:space="preserve"> 75/2                             </t>
  </si>
  <si>
    <t>Сидорова Валентина Петровна</t>
  </si>
  <si>
    <t>пр. Авиаконстркторов,                         д. 34, кв. 17</t>
  </si>
  <si>
    <t xml:space="preserve"> 75/3                       </t>
  </si>
  <si>
    <t>Вишнякова Людмила Ивановна</t>
  </si>
  <si>
    <t>Репищева ул. Д. 15, к. 3, кв. 60</t>
  </si>
  <si>
    <t xml:space="preserve"> 75/1                            </t>
  </si>
  <si>
    <t>152-СТ</t>
  </si>
  <si>
    <t>Швейкина Ника Викторовна 
(РИ-Шарипов Тимур Витальевич- 20.05.2012г.)</t>
  </si>
  <si>
    <t>ул. Смолячкова, д. 12, кв. 7</t>
  </si>
  <si>
    <t xml:space="preserve"> 152/1                      </t>
  </si>
  <si>
    <t>153-СТ</t>
  </si>
  <si>
    <t>Ведяйкина Людмила Александровна</t>
  </si>
  <si>
    <t xml:space="preserve"> 153/2                     </t>
  </si>
  <si>
    <t xml:space="preserve">Неверов Павел Михайлович </t>
  </si>
  <si>
    <t>Пулковское шоссе, д. 15, корп. 2, кв. 11</t>
  </si>
  <si>
    <t xml:space="preserve"> 153/1                   </t>
  </si>
  <si>
    <t>Кибальникова Линаида Федоровна</t>
  </si>
  <si>
    <t>пр. Просвещения, д. 72, кв. 57</t>
  </si>
  <si>
    <t xml:space="preserve">153/3                       </t>
  </si>
  <si>
    <t xml:space="preserve">Петров Иван Федорович </t>
  </si>
  <si>
    <t>Юнтоловский пр., д. 49, корп. 7, кв. 5</t>
  </si>
  <si>
    <t xml:space="preserve"> 153/4                            </t>
  </si>
  <si>
    <t>154-СТ</t>
  </si>
  <si>
    <t>Гречко Елена Александровна</t>
  </si>
  <si>
    <t xml:space="preserve">ул. 5-я Советская, д. 34, кв. 22 </t>
  </si>
  <si>
    <t xml:space="preserve"> 154/1                       </t>
  </si>
  <si>
    <t>Перова Эмма Ивановна</t>
  </si>
  <si>
    <t>Витебский пр. , д. 79, корп. 1,  кв. 69</t>
  </si>
  <si>
    <t xml:space="preserve"> 154/2                            </t>
  </si>
  <si>
    <t>Иванова Анна Михайловна 
(РИ-Иванов Макар Юрьевич - 08.08.2018г.р.)</t>
  </si>
  <si>
    <t>Просвящения пр., д. 35,  кв. 455</t>
  </si>
  <si>
    <t xml:space="preserve"> 154/3                            </t>
  </si>
  <si>
    <t>Жерносекова Рада Александровна 
(РИ-Жерносекова Бажена Ивановна- 15.07.2018г.р.)</t>
  </si>
  <si>
    <t>наб. Кутузова, д. 32, кв. 17</t>
  </si>
  <si>
    <t xml:space="preserve"> 154/4                              </t>
  </si>
  <si>
    <t>155-СТ</t>
  </si>
  <si>
    <t>Яковлева Эльза Михайловна</t>
  </si>
  <si>
    <t>Дунайский пр.,                                          д. 53, корп.2,   кв. 88</t>
  </si>
  <si>
    <t xml:space="preserve"> 155/4                   </t>
  </si>
  <si>
    <t>Балашова Алина Юрьевна 
(РИ-Балашов Максим Александрович - 13.02.2019г.р.)</t>
  </si>
  <si>
    <t>ул. Софийская, д.46, корп. 2,  кв. 100</t>
  </si>
  <si>
    <t xml:space="preserve"> 155/1                   </t>
  </si>
  <si>
    <t>Ковалев Геннадий Яковлевич</t>
  </si>
  <si>
    <t>Ярослава Гашека ул.,д. 12/100, кв. 304</t>
  </si>
  <si>
    <t xml:space="preserve"> 155/2                   </t>
  </si>
  <si>
    <t>ул. Турку, д.20, корп. 1, кв. 215</t>
  </si>
  <si>
    <t xml:space="preserve"> 155/3                  </t>
  </si>
  <si>
    <t>156-СТ</t>
  </si>
  <si>
    <t>Елисеева Ася Александровна</t>
  </si>
  <si>
    <t>М.Балканская ул., д. 60, корп. 1, кв., 180</t>
  </si>
  <si>
    <t xml:space="preserve"> 156/2                       </t>
  </si>
  <si>
    <t>Сугакова Мария Николаевна</t>
  </si>
  <si>
    <t>пр. Богатырский,                                д. 55, корп. 1,  кв. 30</t>
  </si>
  <si>
    <t xml:space="preserve"> 156/1                            </t>
  </si>
  <si>
    <t xml:space="preserve">Пухонто Игорь Яковлевич </t>
  </si>
  <si>
    <t>Дунайский пр.,                                          д. 42/79, корп.1,   кв.285</t>
  </si>
  <si>
    <t xml:space="preserve"> 156/4                       </t>
  </si>
  <si>
    <t>Иванников Юрий Григорьевич</t>
  </si>
  <si>
    <t>Ворошилова ул, д. 25, к. 2, кв. 170</t>
  </si>
  <si>
    <t xml:space="preserve"> 156/3                     </t>
  </si>
  <si>
    <t>157-СТ</t>
  </si>
  <si>
    <t>Петерговское шоссе, д. 45. , кв. 107</t>
  </si>
  <si>
    <t xml:space="preserve"> 157/3                      </t>
  </si>
  <si>
    <t>Понизовская Олеся Валерьевна 
(РИ-Понизовская Стефания Сергеевна - 02.10.2017г.р.)</t>
  </si>
  <si>
    <t>Марата ул., д. 73, кв. 21</t>
  </si>
  <si>
    <t xml:space="preserve"> 157/4                       </t>
  </si>
  <si>
    <t>Молодинский Валерий Владимирович</t>
  </si>
  <si>
    <t>Светлановский пр., д. 62, корп.1, кв. 334</t>
  </si>
  <si>
    <t xml:space="preserve"> 157/1 </t>
  </si>
  <si>
    <t>Колганова Екатерина Витальевна 
(РИ-Колганов Арсений Вадимович - 23.04.2008г.р.)</t>
  </si>
  <si>
    <t>ул. Адмирала Черокова, д. 20, кв. 1045</t>
  </si>
  <si>
    <t xml:space="preserve"> 157/2                       </t>
  </si>
  <si>
    <t>158-СТ</t>
  </si>
  <si>
    <t xml:space="preserve">Черчес Леонид Борисович </t>
  </si>
  <si>
    <t>Марата ул. , д. 33, кв. 4</t>
  </si>
  <si>
    <t xml:space="preserve"> 158/2                           </t>
  </si>
  <si>
    <t>Маршева Алина Францевна</t>
  </si>
  <si>
    <t>Курляндская ул., д. 8, кв. 38</t>
  </si>
  <si>
    <t xml:space="preserve"> 158/4                   </t>
  </si>
  <si>
    <t>Девейкис Виктор Адольфович</t>
  </si>
  <si>
    <t>8-ая Красноармейская, д.9-11, кв. 5</t>
  </si>
  <si>
    <t xml:space="preserve"> 158/3                   </t>
  </si>
  <si>
    <t>Ефремова Нина Михайловна</t>
  </si>
  <si>
    <t>г. Кронштадт, ул. Коммунистическая, д. 6/21, кв. 57</t>
  </si>
  <si>
    <t xml:space="preserve"> 158/1                       </t>
  </si>
  <si>
    <t>159-СТ</t>
  </si>
  <si>
    <t xml:space="preserve">Федорова Вера Андреевна </t>
  </si>
  <si>
    <t>Ленсовета ул. Д. 73, корп. 3, кв. 175</t>
  </si>
  <si>
    <t xml:space="preserve"> 159/4                      </t>
  </si>
  <si>
    <t>Болотин Аркадий Ефимович</t>
  </si>
  <si>
    <t>Витебский пр., д. 55, кв. 130</t>
  </si>
  <si>
    <t xml:space="preserve"> 159/1                    </t>
  </si>
  <si>
    <t xml:space="preserve">Клюева Татьяна Сергеевна </t>
  </si>
  <si>
    <t>Орджоникидзе ул., д. 55, кв. 94</t>
  </si>
  <si>
    <t xml:space="preserve"> 159/2                     </t>
  </si>
  <si>
    <t>Бер Александр Борисович</t>
  </si>
  <si>
    <t>Варшавская ул., д. 48, кв. 59</t>
  </si>
  <si>
    <t xml:space="preserve"> 159/3                    </t>
  </si>
  <si>
    <t>160-СТ</t>
  </si>
  <si>
    <t>Чернякова Юлия Дмитриевна 
(РИ-Черняков Алекс Игоревич- 11.07.2016г.р.)</t>
  </si>
  <si>
    <t>Александра Невского ул., д. 6, кв.6</t>
  </si>
  <si>
    <t xml:space="preserve"> 160/1                      </t>
  </si>
  <si>
    <t>Даниленко Александра Сергеевна 
(РИ-Даниленко Борис Андреевич - 12.10.2010 г.р.)</t>
  </si>
  <si>
    <t>Обводного канала наб., д. 82, кв. 34</t>
  </si>
  <si>
    <t xml:space="preserve"> 160/2                   </t>
  </si>
  <si>
    <t>Карташева Нина Георгиевна</t>
  </si>
  <si>
    <t>пр-кт. Юрия Гагарина, д. 20, корп. 2, кв. 31</t>
  </si>
  <si>
    <t xml:space="preserve"> 160/3                   </t>
  </si>
  <si>
    <t>Нестерова Ольга Александровна 
(РИ-Нестеров Дмитрий Денисович - 07.09.2011г.р.)</t>
  </si>
  <si>
    <t>Витебский пр. , д. 75, кв. 71</t>
  </si>
  <si>
    <t xml:space="preserve"> 160/4                      </t>
  </si>
  <si>
    <t>161-СТ</t>
  </si>
  <si>
    <t>Бизер Вера Никитична</t>
  </si>
  <si>
    <t>пр. Гражданский, д. 15, корп. 1, кв. 238</t>
  </si>
  <si>
    <t xml:space="preserve"> 161/3                       </t>
  </si>
  <si>
    <t>Щедринская Ася Яновна (РИ-Щедринский Артём Сергеевич - 20.08.2014г.р.)</t>
  </si>
  <si>
    <t>Руставели ул., д. 20, кв. 147</t>
  </si>
  <si>
    <t xml:space="preserve"> 161/4                </t>
  </si>
  <si>
    <t>Фомичева Любовь Ефимовна</t>
  </si>
  <si>
    <t>ул. Карпинского, д. 11, корп. 1, кв. 177</t>
  </si>
  <si>
    <t xml:space="preserve"> 161/1               </t>
  </si>
  <si>
    <t>Ковшова Лидия Ивановна</t>
  </si>
  <si>
    <t>пр. Пискаревский, д. 10, кв.186</t>
  </si>
  <si>
    <t xml:space="preserve"> 161/2                </t>
  </si>
  <si>
    <t>162-СТ</t>
  </si>
  <si>
    <t>Везикова Валентина Кузьминична</t>
  </si>
  <si>
    <t>пр. Римского-Корсакова, д. 109-111, кв. 2</t>
  </si>
  <si>
    <t xml:space="preserve"> 162/1                </t>
  </si>
  <si>
    <t>Базарова Лариса Валерьевна 
(РИ-Базарова Мария Андреевна -28.06.2018г.р.)</t>
  </si>
  <si>
    <t>Матроса Железника ул., д. 23, кв. 39</t>
  </si>
  <si>
    <t xml:space="preserve"> 162/2                    </t>
  </si>
  <si>
    <t>Суздальское шоссе, д.30, корп. 2, кв. 179</t>
  </si>
  <si>
    <t xml:space="preserve"> 162/3                        </t>
  </si>
  <si>
    <t>Дубатова Тамара Владимировна</t>
  </si>
  <si>
    <t>Расстанная ул., д. 5, кв. 11</t>
  </si>
  <si>
    <t xml:space="preserve"> 162/4                      </t>
  </si>
  <si>
    <t>163-СТ</t>
  </si>
  <si>
    <t>Полторан Ирина Григорьевна 
(РИ-Полторан Вера Андреевна - 29.09.2010г.р.; Полторан Мирон Андреевич - 29.09.2010г.р)</t>
  </si>
  <si>
    <t>Веденеева ул., д. 2, кв. 282</t>
  </si>
  <si>
    <t xml:space="preserve"> 163/4                </t>
  </si>
  <si>
    <t>Редькина Алина Николаевна 
(РИ-Редькина Агата Ильинична- 19.03.2019г.р.)</t>
  </si>
  <si>
    <t>пр. Гражданский, д. 31, корп. 1, кв. 29</t>
  </si>
  <si>
    <t xml:space="preserve"> 163/3               </t>
  </si>
  <si>
    <t>Александров Кирилл Анатольевич 
(РИ-Александров Тимофей Кириллович - 13.12.2015г.р.)</t>
  </si>
  <si>
    <t>ул. Комсомола, д. 13, кв. 66</t>
  </si>
  <si>
    <t xml:space="preserve"> 163/1                      </t>
  </si>
  <si>
    <t xml:space="preserve">Хозин Светослав Рустамович </t>
  </si>
  <si>
    <t>Демьяна Бедного ул., д. 1, корп. 2, кв. 194</t>
  </si>
  <si>
    <t xml:space="preserve"> 163/2                     </t>
  </si>
  <si>
    <t>164-СТ</t>
  </si>
  <si>
    <t>Банникова Мария Степановна</t>
  </si>
  <si>
    <t>пр. Науки, д. 26, кв. 126</t>
  </si>
  <si>
    <t xml:space="preserve"> 164/2                      </t>
  </si>
  <si>
    <t>Дубровская Ирина Геннадьевна 
(РИ-Намазов Михаил Андреевич - 05.07.2010г.р.)</t>
  </si>
  <si>
    <t>пр. Гражданский, д. 79, корп. 3, кв. 203</t>
  </si>
  <si>
    <t xml:space="preserve"> 164/3                 </t>
  </si>
  <si>
    <t>Халиуллина Рашида Мухамадьяновна</t>
  </si>
  <si>
    <t>Двинская ул.,д. 8, корп.3, стр 1, кв. 294</t>
  </si>
  <si>
    <t xml:space="preserve"> 164/1                      </t>
  </si>
  <si>
    <t xml:space="preserve">Лаптев Сергей Сергеевич </t>
  </si>
  <si>
    <t>пр. Маршала Блюхера, д. 21, корп. 2, кв. 79</t>
  </si>
  <si>
    <t xml:space="preserve"> 164/4               </t>
  </si>
  <si>
    <t>193-СТ</t>
  </si>
  <si>
    <t xml:space="preserve">Костюченко Лидия Матвеевна </t>
  </si>
  <si>
    <t>Институтский пр-кт,д. 6, кв. 11</t>
  </si>
  <si>
    <t xml:space="preserve"> 193/2                      </t>
  </si>
  <si>
    <t xml:space="preserve">Вязицкая Алина Васильевна </t>
  </si>
  <si>
    <t>Пархоменко пр., д. 18, кв. 41</t>
  </si>
  <si>
    <t xml:space="preserve"> 193/1                      </t>
  </si>
  <si>
    <t>Мухранова Ольга Александровна</t>
  </si>
  <si>
    <t>Обуховской обороны пр., д. 209, лит. А, кв. 151</t>
  </si>
  <si>
    <t xml:space="preserve"> 193/3                       </t>
  </si>
  <si>
    <t>Радченко Валерий Анатольевич</t>
  </si>
  <si>
    <t>Лесной пр.,д. 61, корп. 3, кв. 248</t>
  </si>
  <si>
    <t xml:space="preserve"> 193/4                      </t>
  </si>
  <si>
    <t>194-СТ</t>
  </si>
  <si>
    <t>Белькович Татьяна Львовна 
(РИ-Белькович Алексей Александрович - 15.11.2012г.р.)</t>
  </si>
  <si>
    <t>Наваторов б-р, д. 48,  кв. 20</t>
  </si>
  <si>
    <t xml:space="preserve"> 194/1                   </t>
  </si>
  <si>
    <t>Евсеева Кристина Кирилловна 
(РИ-Шульга Роман Юрьевич- 14.08.2013г.р.)</t>
  </si>
  <si>
    <t>пр. Ветеранов, д. 171, корп. 2,   кв. 836</t>
  </si>
  <si>
    <t xml:space="preserve"> 194/2                      </t>
  </si>
  <si>
    <t>Цветкова Анна Евгеньевна 
(РИ-Студенова Екатерина Артемовна- 23.01.2009г.р.)</t>
  </si>
  <si>
    <t>Богатырский пр.,д 4,  кв. 717</t>
  </si>
  <si>
    <t xml:space="preserve"> 194/3                   </t>
  </si>
  <si>
    <t>Пивовар Дмитрий Владимирович</t>
  </si>
  <si>
    <t>Будапештская ул., д. 108/24, кв. 288</t>
  </si>
  <si>
    <t xml:space="preserve"> 194/4                    </t>
  </si>
  <si>
    <t>195-СТ</t>
  </si>
  <si>
    <t>Мякишева Дарья Константиновна 
(РИ-Сычев Святогор Семенович - 17.07.2012г.р.)</t>
  </si>
  <si>
    <t>Парашютная ул., д. 61, корп. 3, кв. 226</t>
  </si>
  <si>
    <t xml:space="preserve"> 195/3                   </t>
  </si>
  <si>
    <t>Чернявская Нинель Васильевна</t>
  </si>
  <si>
    <t>Светлановский пр., д. 71, корп. 2, кв. 9</t>
  </si>
  <si>
    <t xml:space="preserve"> 195/1</t>
  </si>
  <si>
    <t xml:space="preserve">  24.04.2026</t>
  </si>
  <si>
    <t>Шалаева Валентина Дмитриевна</t>
  </si>
  <si>
    <t>Народная ул., д. 53, кв.7</t>
  </si>
  <si>
    <t xml:space="preserve"> 195/2                      </t>
  </si>
  <si>
    <t>Курносов Юрий Андреевич</t>
  </si>
  <si>
    <t>ул. Мичманская, д. 2, корп. 1, кв. 102</t>
  </si>
  <si>
    <t xml:space="preserve"> 195/4                         </t>
  </si>
  <si>
    <t>196-СТ</t>
  </si>
  <si>
    <t>Марачевская Людмила Юлиановна</t>
  </si>
  <si>
    <t>ул. Софийская, д.32, корп. 1,  кв. 243</t>
  </si>
  <si>
    <t xml:space="preserve"> 196/1                    </t>
  </si>
  <si>
    <t>Лебедев Виктор Михайлович</t>
  </si>
  <si>
    <t>ул. Софьи Ковалевской,                       д.10, кв. 44</t>
  </si>
  <si>
    <t xml:space="preserve"> 196/3               </t>
  </si>
  <si>
    <t>Догадов Олег Павлович</t>
  </si>
  <si>
    <t>Рентгена ул., д. 6, кв. 31</t>
  </si>
  <si>
    <t xml:space="preserve"> 196/2                           </t>
  </si>
  <si>
    <t>Ивкина Татьяна Михайловна</t>
  </si>
  <si>
    <t>ул. Севастопольская, д. 26. кв. 5</t>
  </si>
  <si>
    <t xml:space="preserve"> 196/4                   </t>
  </si>
  <si>
    <t>197-СТ</t>
  </si>
  <si>
    <t>Заречнева Лариса Анатольевна</t>
  </si>
  <si>
    <t>ул. Софьи Ковалевской, д. 11, корп.4, кв. 17</t>
  </si>
  <si>
    <t xml:space="preserve"> 197/2               </t>
  </si>
  <si>
    <t>Скомарцова Людмила Федоровна</t>
  </si>
  <si>
    <t>Кондратьевский пр., д. 51, корп 4, кв. 53</t>
  </si>
  <si>
    <t xml:space="preserve"> 197/3                </t>
  </si>
  <si>
    <t xml:space="preserve">Яковлева Светлана Михайловна </t>
  </si>
  <si>
    <t>пр. Светлановский, д. 60, корп. 1, кв. 153</t>
  </si>
  <si>
    <t xml:space="preserve"> 197/4                 </t>
  </si>
  <si>
    <t>Маркова Александра Игоревна</t>
  </si>
  <si>
    <t xml:space="preserve"> 197/1                  </t>
  </si>
  <si>
    <t>198-СТ</t>
  </si>
  <si>
    <t>Савостина Алевтина Николаевна</t>
  </si>
  <si>
    <t>ул. Софьи Ковалевской,                       д. 4, кв. 116</t>
  </si>
  <si>
    <t xml:space="preserve"> 198/1                  </t>
  </si>
  <si>
    <t>Титова Анна Анатольевна</t>
  </si>
  <si>
    <t>Новаторов б-р, д.35, корп. 2, кв. 93</t>
  </si>
  <si>
    <t xml:space="preserve"> 198/2                      </t>
  </si>
  <si>
    <t>Румянцева Вера Николаевна 
(РИ-Румянцев Матвей Романович- 11.12.2010г.р.)</t>
  </si>
  <si>
    <t>г. Колпино, ул. Красных Партизан, д. 8, кв. 21</t>
  </si>
  <si>
    <t xml:space="preserve"> 198/4                      </t>
  </si>
  <si>
    <t>Михаленя Ольга Николаевна 
(РИ-Михаленя Мария Алексеевна - 09.04.2014г.р.)</t>
  </si>
  <si>
    <t>Советский (Усть-Славянка) пр-кт., д. 34 ,корп. 2, стр. 1,  кв. 1012</t>
  </si>
  <si>
    <t xml:space="preserve"> 198/3                      </t>
  </si>
  <si>
    <t>199-СТ</t>
  </si>
  <si>
    <t>Уваров Юрий Михайлович</t>
  </si>
  <si>
    <t>Летчика Лихолетова ул., д. 14, корп. 2, кв. 1080</t>
  </si>
  <si>
    <t xml:space="preserve"> 199/1                  </t>
  </si>
  <si>
    <t>Лифшиц Анастасия Игоревна 
(РИ-Мак Лия Дмитриевна - 26.06.2018 г.р.)</t>
  </si>
  <si>
    <t>Шевченко ул., д. 25, корп.3, лит. В ,  кв. 15</t>
  </si>
  <si>
    <t xml:space="preserve"> 199/2                           </t>
  </si>
  <si>
    <t>Травина Валентина Николаевна</t>
  </si>
  <si>
    <t>Гаванская ул., д. 29, кв.38</t>
  </si>
  <si>
    <t xml:space="preserve"> 199/4                          </t>
  </si>
  <si>
    <t>Сысолин Александр Александрович 
(РИ-Сысолин Демид Александрович- 18.10.2018г.р.)</t>
  </si>
  <si>
    <t>ул. Кораблестроителей, д. 16, корп. 1,  кв. 28</t>
  </si>
  <si>
    <t xml:space="preserve"> 199/3                          </t>
  </si>
  <si>
    <t>200-СТ</t>
  </si>
  <si>
    <t>Урицкая Людмила Павловна</t>
  </si>
  <si>
    <t>пр. Ветеранов, д. 3, корп. 3, кв. 131</t>
  </si>
  <si>
    <t xml:space="preserve"> 200/3                           </t>
  </si>
  <si>
    <t>Лалетин Александр Анатольевич</t>
  </si>
  <si>
    <t>ул. Джона Рида, д. 8, кв. 113</t>
  </si>
  <si>
    <t xml:space="preserve"> 200/4                    </t>
  </si>
  <si>
    <t>Сумцова Ирина Юрьевна</t>
  </si>
  <si>
    <t xml:space="preserve"> 200/1                   </t>
  </si>
  <si>
    <t>Рыдзевская Марина Ильинична</t>
  </si>
  <si>
    <t>ул. Козлова, д. 15, корп. 1, кв. 49</t>
  </si>
  <si>
    <t xml:space="preserve"> 200/2                     </t>
  </si>
  <si>
    <t>3-С3</t>
  </si>
  <si>
    <t>Павлова Тория Андреевна реб Павлов Евгений Владимирович рожд 20.11.2020</t>
  </si>
  <si>
    <t xml:space="preserve">Васкецова Юлия Игоревна </t>
  </si>
  <si>
    <t>Риммер Екатерина Михайловна</t>
  </si>
  <si>
    <t>8-С3</t>
  </si>
  <si>
    <t>Альфер Олеся Александровна реб Альфер Григорий Алексеевич рожд 10.04.2018</t>
  </si>
  <si>
    <t>Губарь Алла Николаевна  реб инв Смирнов Михаил Антонович рожд. 28.03.2017</t>
  </si>
  <si>
    <t xml:space="preserve">Довгаль Людмила Алексеевна </t>
  </si>
  <si>
    <t>9-С3</t>
  </si>
  <si>
    <t>Цветкова Тамара Юрьевна (РИ-Цветков Нестор Юрьевич 26.07.2013)</t>
  </si>
  <si>
    <t>Архипова Ксения Сергеевна(РИ-Архипова Василиса Павловна-09.03.2011)</t>
  </si>
  <si>
    <t>Алексеева Наталия Сергеевна реб. Алексеев Александр Сергеевич рожд. 03.02.2015</t>
  </si>
  <si>
    <t>12-С3</t>
  </si>
  <si>
    <t>Хайкара Тамара Васильевна</t>
  </si>
  <si>
    <t>Кирьянова Любовь Васильевна реб. Кузниченко Ставр Евгеньевич рожд. 05.08.2008</t>
  </si>
  <si>
    <t>Афанасенок Екатерина Юрьевна реб Афанасенок Станислав Александрович рожд 06.07.2014</t>
  </si>
  <si>
    <t>13-С3</t>
  </si>
  <si>
    <t>Толкачева Татьяна Ивановна( РИ- Мохаммед Давид Рустамович 21.09.2011)</t>
  </si>
  <si>
    <t xml:space="preserve">Скрижалина Людмила Евгеньевна </t>
  </si>
  <si>
    <t>14-С3</t>
  </si>
  <si>
    <t>Захарова Татьяна Михайловна</t>
  </si>
  <si>
    <t>ГСТ</t>
  </si>
  <si>
    <t xml:space="preserve">Успенская Валерия Викторовна </t>
  </si>
  <si>
    <t>Соловей Валентина Владимировна</t>
  </si>
  <si>
    <t>16-С3</t>
  </si>
  <si>
    <t>Скобёлкин Леонид Степанович</t>
  </si>
  <si>
    <t>Плоткина Анна Васильевна реб. Плоткин Никита Андреевич 21.09.2008</t>
  </si>
  <si>
    <t>17-С3</t>
  </si>
  <si>
    <t>Интюк Наталия Николаевна ( РИ -Интюк Александр Сергеевич 14.12.2009)</t>
  </si>
  <si>
    <t>Мануйлова Ольга Валерьевна реб Шепелева Ксения Алексеевна рожд. 25.03.2016</t>
  </si>
  <si>
    <t xml:space="preserve">Мельник Галина Васильевна </t>
  </si>
  <si>
    <t>18-С3</t>
  </si>
  <si>
    <t xml:space="preserve">Мошкина Екатерина Евгеньевна </t>
  </si>
  <si>
    <t xml:space="preserve">Пигарева Наталья Владленовна </t>
  </si>
  <si>
    <t>19-С3</t>
  </si>
  <si>
    <t>Старицына Мария Владимировна</t>
  </si>
  <si>
    <t>Балушкин Андрей Алексеевич</t>
  </si>
  <si>
    <t>20-С3</t>
  </si>
  <si>
    <t xml:space="preserve">Егиев Роман Викторович </t>
  </si>
  <si>
    <t xml:space="preserve"> Башкина Юлия Павловна </t>
  </si>
  <si>
    <t>Хусаинова Наталья Николаевна РИ Хусаинов Марк Рамильевич рожд. 30.08.2015</t>
  </si>
  <si>
    <t>21-С3</t>
  </si>
  <si>
    <t>Святкина Анастасия Петровна реб Святкин Степан Андреевич рожд 03.04.2020</t>
  </si>
  <si>
    <t>Белоглазова Светлана Николаевна реб Белоглазова Ольга Васильевна 10.02.2022</t>
  </si>
  <si>
    <t>22-С3</t>
  </si>
  <si>
    <t xml:space="preserve">Ипаткова Галина Исаевна </t>
  </si>
  <si>
    <t>27-С3</t>
  </si>
  <si>
    <t>Власенко Мария Владимировна реб Санникова Ксения Денисовна рожд 06.02.2017</t>
  </si>
  <si>
    <t>28-С3</t>
  </si>
  <si>
    <t>Трефилова Татьяна Викторовна реб Трефилов Артем Русланович рожд 08.08.2015</t>
  </si>
  <si>
    <t xml:space="preserve">Боровская Тамара Феликсовна </t>
  </si>
  <si>
    <t xml:space="preserve">Красновская Маргарита Александровна </t>
  </si>
  <si>
    <t>31-С3</t>
  </si>
  <si>
    <t>Горохова Светлана Михайловна</t>
  </si>
  <si>
    <t xml:space="preserve">Егорова Нина Егоровна </t>
  </si>
  <si>
    <t>33-С3</t>
  </si>
  <si>
    <t xml:space="preserve">Патрусова Оксана Дмитриевна </t>
  </si>
  <si>
    <t xml:space="preserve">Ремезова Валентина Вячеславовна </t>
  </si>
  <si>
    <t>34-С3</t>
  </si>
  <si>
    <t>Калинчук Алла Александровна</t>
  </si>
  <si>
    <t>Махотин Виктор Александрович реб Махотин Мирослав Викторович рожд 29.09.2019</t>
  </si>
  <si>
    <t>35-С3</t>
  </si>
  <si>
    <t>Васильева Альбина Алексеевна</t>
  </si>
  <si>
    <t xml:space="preserve">Губская Ольга Анатольевна </t>
  </si>
  <si>
    <t>Ситчихина Анна Михайловна реб Ситчихин Степан Дмитриевич рожд 30.01.2014</t>
  </si>
  <si>
    <t>38-С3</t>
  </si>
  <si>
    <t xml:space="preserve">Анисимова Людмилп Павловна </t>
  </si>
  <si>
    <t xml:space="preserve">Задорский Владимир Леонидович </t>
  </si>
  <si>
    <t>39-С3</t>
  </si>
  <si>
    <t xml:space="preserve">Никонов Сергей Федорович </t>
  </si>
  <si>
    <t>Егорова Анна Юрьевна реб. Матвеева Диана Константиновна рожд. 28.03.2008</t>
  </si>
  <si>
    <t>Эренбург Татьяна Владимировна реб. Эренбург Михаил Александрович рожд. 01.06.2011</t>
  </si>
  <si>
    <t>42-С3</t>
  </si>
  <si>
    <t>Иосифова Людмила Михайловна</t>
  </si>
  <si>
    <t xml:space="preserve">Петухова Тамара Анатольевна </t>
  </si>
  <si>
    <t>43-С3</t>
  </si>
  <si>
    <t xml:space="preserve">Щавинская Людмила Константиновна </t>
  </si>
  <si>
    <t>Петрова Людмила Павловна</t>
  </si>
  <si>
    <t>45-С3</t>
  </si>
  <si>
    <t xml:space="preserve">Ключникова Елена Анатольевна </t>
  </si>
  <si>
    <t>Вдова погибшего воина</t>
  </si>
  <si>
    <t>Аверина Татьяна Борисовна</t>
  </si>
  <si>
    <t>46-С3</t>
  </si>
  <si>
    <t>Катаржина Мария Михайловна реб Катаржин Данила Константинович рожд.14.05.2014</t>
  </si>
  <si>
    <t>Калугина Валентина Васильевна</t>
  </si>
  <si>
    <t>48-С3</t>
  </si>
  <si>
    <t>Кузнецова Любовь Антоновна</t>
  </si>
  <si>
    <t>Пошешулина Ольга Нтколаевна реб Пошешулина Маргарита Витальевна рожд 18.08.2015</t>
  </si>
  <si>
    <t>50-С3</t>
  </si>
  <si>
    <t>Иванова Тамара Алексеевна</t>
  </si>
  <si>
    <t xml:space="preserve">Сажинова Алла Владимировна </t>
  </si>
  <si>
    <t>52-С3</t>
  </si>
  <si>
    <t xml:space="preserve">Никитина Мария Ивановна </t>
  </si>
  <si>
    <t>Голубева Кира Семеновна</t>
  </si>
  <si>
    <t>53-С3</t>
  </si>
  <si>
    <t>Глазова Энна Яковлевна</t>
  </si>
  <si>
    <t>Бутузова Валентина Павловна</t>
  </si>
  <si>
    <t>Зайцева Нина Николаевна</t>
  </si>
  <si>
    <t>54-С3</t>
  </si>
  <si>
    <t>Островерх Александра Георгиевна</t>
  </si>
  <si>
    <t xml:space="preserve">Пелевкина Нина Антоновна </t>
  </si>
  <si>
    <t xml:space="preserve">Сикорская Галина Николаевна </t>
  </si>
  <si>
    <t>55-С3</t>
  </si>
  <si>
    <t xml:space="preserve">Козыревская Анастасия Михайловна </t>
  </si>
  <si>
    <t>Беляева Валентина Александровна</t>
  </si>
  <si>
    <t>56-С3</t>
  </si>
  <si>
    <t xml:space="preserve">Морозова Анна Владимировна </t>
  </si>
  <si>
    <t>Кронштадтский</t>
  </si>
  <si>
    <t>Бакалюк Анна Владимировна реб. Михельсон Михаил Сергеевич рожд. 29.04.2014</t>
  </si>
  <si>
    <t xml:space="preserve">Пелипенко Валерий Владимирович </t>
  </si>
  <si>
    <t>57-С3</t>
  </si>
  <si>
    <t xml:space="preserve">Левшина Ирина Львовна </t>
  </si>
  <si>
    <t>Глыбовская Ольга Михайловна РИ Глыбовский Михаил Александрович рожд. 21.05.2009</t>
  </si>
  <si>
    <t>58-С3</t>
  </si>
  <si>
    <t>Бочанова Алена Николаевна (реб. Бочанова Диана Икаровна 18.11.2014)</t>
  </si>
  <si>
    <t>59-С3</t>
  </si>
  <si>
    <t>Иванова Нинель Иосифовна</t>
  </si>
  <si>
    <t>Немчинов Филипп Геннадьевич РИ Немчинова Мария Филипповна рожд.03.05.2015</t>
  </si>
  <si>
    <t>60-С3</t>
  </si>
  <si>
    <t>Федорова Анастасия Леонидовна реб инв Федоров Кирилл Алексеевич рожд 30.03.2010</t>
  </si>
  <si>
    <t>61-С3</t>
  </si>
  <si>
    <t>Кушнерева Анастасия Викторовна(РИ-Кушнерев Даниил Александрович-26.02.2010)</t>
  </si>
  <si>
    <t xml:space="preserve">Молодцов Валентин Кириллович </t>
  </si>
  <si>
    <t>64-С3</t>
  </si>
  <si>
    <t>Яценко Анна Александровна реб инв Яценко Руслан Романович рожд 30.09.2013</t>
  </si>
  <si>
    <t>Андрющенко Светлана Владимировна реб. Андрющенко Михаил Иванович рожд. 11.01.2012</t>
  </si>
  <si>
    <t>Галеусова Эльмира Темирбулатовна реб Галеусов Богдан Александрович рожд 26.10.2022</t>
  </si>
  <si>
    <t>67-С3</t>
  </si>
  <si>
    <t xml:space="preserve">Макаревич Владимир Лукич </t>
  </si>
  <si>
    <t>Петрова Юлия Александровна реб Петрова Алиса Витальевна рожд 09.03.2023, Петрова Агния Витальевна рожд 18.05.2025</t>
  </si>
  <si>
    <t>68-С3</t>
  </si>
  <si>
    <t xml:space="preserve">Никанорова Людмила Ивановна </t>
  </si>
  <si>
    <t>Кононова Ирина Сергеевна</t>
  </si>
  <si>
    <t xml:space="preserve">Яшукова Александра Николаевна </t>
  </si>
  <si>
    <t>69-С3</t>
  </si>
  <si>
    <t>Немченкова Елена Александровна реб Немченков Герман Ильич рожд 11.07.2020</t>
  </si>
  <si>
    <t>Головина Яна Эдуардовна реб. Меньшиков Олег Николаевич рожд. 21.05.2010</t>
  </si>
  <si>
    <t>71-С3</t>
  </si>
  <si>
    <t>Павлова Елена Валентиновна (РИ-Семенов Семен Сергеевич-11.10.2009)</t>
  </si>
  <si>
    <t>Василенко Лидия Ильинична</t>
  </si>
  <si>
    <t>Павлова Людмила Алексеевна реб Павлова Алена Сергеевна рожд 21.09.2013</t>
  </si>
  <si>
    <t>72-С3</t>
  </si>
  <si>
    <t>Комарова Екатерина Владимировна реб.(Комаров Владимир Артемович рожд.25.04.2013)</t>
  </si>
  <si>
    <t>Макогонская Галина Владимировна</t>
  </si>
  <si>
    <t>Богданова Людмила Анатольевна реб Богданов Андрей Евгеньевич рожд. 17.03.2021</t>
  </si>
  <si>
    <t>73-С3</t>
  </si>
  <si>
    <t>Ерухимович Александр Рувимович</t>
  </si>
  <si>
    <t>Завьялова Ольга Ильинична</t>
  </si>
  <si>
    <t>Куприянов Виктор Михайлович</t>
  </si>
  <si>
    <t>74-С3</t>
  </si>
  <si>
    <t xml:space="preserve">Савко Нина Константиновна </t>
  </si>
  <si>
    <t xml:space="preserve">Давыдчик Александр Владимирович </t>
  </si>
  <si>
    <t>Оглинда Николай Викторович</t>
  </si>
  <si>
    <t>75-С3</t>
  </si>
  <si>
    <t xml:space="preserve"> Процанова Анна Григорьевна </t>
  </si>
  <si>
    <t xml:space="preserve">Иванова Елизавета Григорьевна </t>
  </si>
  <si>
    <t>76-С3</t>
  </si>
  <si>
    <t>Гончарова Галина Дмитриевна</t>
  </si>
  <si>
    <t xml:space="preserve">Ситан Тамара Ивановна </t>
  </si>
  <si>
    <t>пр.Энгельса 131-2-75</t>
  </si>
  <si>
    <t>77-С3</t>
  </si>
  <si>
    <t xml:space="preserve">Фещенко Станислав Константинович </t>
  </si>
  <si>
    <t xml:space="preserve">Генадьева Александра Леонидовна </t>
  </si>
  <si>
    <t>Григорьева Людмила Васильевна</t>
  </si>
  <si>
    <t>78-С3</t>
  </si>
  <si>
    <t xml:space="preserve">Устименко Галина Ивановна </t>
  </si>
  <si>
    <t>Дадыев Сергей Макиевич</t>
  </si>
  <si>
    <t>Лавренева Анастасия Юрьевна реб. Кузнецов Денис Юрьевич рожд 22.07.2015</t>
  </si>
  <si>
    <t>82-С3</t>
  </si>
  <si>
    <t>Смирнова Людмила Дмитриевна</t>
  </si>
  <si>
    <t xml:space="preserve">Леонова Ирина Игоревна </t>
  </si>
  <si>
    <t>Зереева Лариса Васильевна реб. Зереева Екатерина Джангаровна  рожд. 07.07.2017</t>
  </si>
  <si>
    <t>84-С3</t>
  </si>
  <si>
    <t>Кипрушева Тамара Ивановна</t>
  </si>
  <si>
    <t>Степаненко Ольга Витальевна реб. Кононова Мария Владимировна рожд. 19.11.2015</t>
  </si>
  <si>
    <t xml:space="preserve">Лазаретин Александр Ильич </t>
  </si>
  <si>
    <t>85-С3</t>
  </si>
  <si>
    <t>Гавреленко Ольга Александровна реб. Артемьев Богдан Андреевич рожд. 10.08.2013</t>
  </si>
  <si>
    <t xml:space="preserve">Тарасова Марина Александровна </t>
  </si>
  <si>
    <t>Горбунова Инна Николаевна реб Горбунова Милана Сергеевна рожд 15.05.2017</t>
  </si>
  <si>
    <t>86-С3</t>
  </si>
  <si>
    <t>Михайлова Светлана Сергеевна РИ Михайлова Мария Алексеевна  рожд.26.02.2014</t>
  </si>
  <si>
    <t>Метакса Маргарита Георгиевна</t>
  </si>
  <si>
    <t>Овчаренко Ксения Олеговна</t>
  </si>
  <si>
    <t>87-С3</t>
  </si>
  <si>
    <t>Петриенко Лилия Андреевна реб Долгополова Милада Ярославовна рожд.31.08.2018</t>
  </si>
  <si>
    <t>Котов Павел Сергеевич реб инв Котов Леон Павлович рожд. 29.07.2011</t>
  </si>
  <si>
    <t>Алексеева-Шемякина Светлана Борисовна (РИ-Алексеева-Шемякина Мария Дмитриевна 28.08.2010)</t>
  </si>
  <si>
    <t>88-С3</t>
  </si>
  <si>
    <t>Маракова Виктория Сергеевна реб Маракова Мария Антоновна рожд 02.01.2017</t>
  </si>
  <si>
    <t>Акулова Юлия Николаевна реб ( Акулова Ксения Артемьевна рожд 26.07.2012)</t>
  </si>
  <si>
    <t>89-С3</t>
  </si>
  <si>
    <t xml:space="preserve">Шишкова Наталья Юрьевна </t>
  </si>
  <si>
    <t>Ульянова Надежда Сергеевна реб.(Ульянов Степан Андреевич рожд.12.07.2010)</t>
  </si>
  <si>
    <t>Семенова Елена Евгеньевна реб Семенов Семен Андреевич рожд 05.08.2015</t>
  </si>
  <si>
    <t>90-С3</t>
  </si>
  <si>
    <t xml:space="preserve">Ханаева Галина Александровна </t>
  </si>
  <si>
    <t xml:space="preserve">Бардашевич Михаил Васильевич </t>
  </si>
  <si>
    <t>Иванова Юлия Юрьевна реб Иванова Мия Максимовна рожд 17.11.2013</t>
  </si>
  <si>
    <t>93-С3</t>
  </si>
  <si>
    <t>Игнатьева Валентина Павловна</t>
  </si>
  <si>
    <t>Полякова Альбина Марсельевна реб. Инв Сычева Мария Сергеевна рожд 22.01.2016</t>
  </si>
  <si>
    <t>94-С3</t>
  </si>
  <si>
    <t xml:space="preserve">Гуляева Валентина Ивановна </t>
  </si>
  <si>
    <t xml:space="preserve">Соколова Галина Григорьевна </t>
  </si>
  <si>
    <t xml:space="preserve">Забелина Валентина Алексеевна </t>
  </si>
  <si>
    <t>95-С3</t>
  </si>
  <si>
    <t>Шлегель Виталий Владимирович</t>
  </si>
  <si>
    <t xml:space="preserve">Иванова Тамара Михайловна </t>
  </si>
  <si>
    <t>96-С3</t>
  </si>
  <si>
    <t>Свиридова Елена Владимировна реб Степанова Карина Дмитриевна рожд 11.08.2012</t>
  </si>
  <si>
    <t>Сенатова Виктория Павловна реб. Сенатова Анастасия Дмитриевна рожд. 24.05.2012</t>
  </si>
  <si>
    <t>97-С3</t>
  </si>
  <si>
    <t xml:space="preserve">Мелешина Юлия Николаевна </t>
  </si>
  <si>
    <t>98-С3</t>
  </si>
  <si>
    <t xml:space="preserve">Рытикова Светлана Сергеевна </t>
  </si>
  <si>
    <t>Энговатова Вера Борисовна</t>
  </si>
  <si>
    <t>99-С3</t>
  </si>
  <si>
    <t>Митина Евгения Александровна реб. Митин Дмитрий Глебович рожд. 30.05.2015</t>
  </si>
  <si>
    <t>101-С3</t>
  </si>
  <si>
    <t>Пазюк Мария Юрьевна реб инв Иванов Владислав Александрович рожд 26.10.2009</t>
  </si>
  <si>
    <t xml:space="preserve">Ефимова Нина Федоровна </t>
  </si>
  <si>
    <t>102-С3</t>
  </si>
  <si>
    <t xml:space="preserve">Кокорина Людмила Алексеевна </t>
  </si>
  <si>
    <t xml:space="preserve">Карвацкая Инна Борисовна </t>
  </si>
  <si>
    <t>103-С3</t>
  </si>
  <si>
    <t xml:space="preserve">Сухнева Маргарита Ивановна </t>
  </si>
  <si>
    <t xml:space="preserve">Юрченко Анастасия Владимировна </t>
  </si>
  <si>
    <t>Вакулинская Наталья Дмитриевна</t>
  </si>
  <si>
    <t>104-С3</t>
  </si>
  <si>
    <t>Демидович Тамара Харлампиевна</t>
  </si>
  <si>
    <t>Шемченкова Ирина Васильевна, РИ Шемченков Андрей Васильевич рожд. 02.11.2013</t>
  </si>
  <si>
    <t>106-С3</t>
  </si>
  <si>
    <t xml:space="preserve">Мухина Галина Сергеевна </t>
  </si>
  <si>
    <t xml:space="preserve">Бояринов Василий Игоревич </t>
  </si>
  <si>
    <t xml:space="preserve">Малышева Мария Александровна </t>
  </si>
  <si>
    <t>107-С3</t>
  </si>
  <si>
    <t>Громик Юлия Петровна реб Громик Петр Дмитриевич рожд 26.07.2021</t>
  </si>
  <si>
    <t xml:space="preserve">Горбацкий Владимир Николаевич </t>
  </si>
  <si>
    <t>108-С3</t>
  </si>
  <si>
    <t xml:space="preserve">Анненкова Лидия Петровна </t>
  </si>
  <si>
    <t>Чистякова Елена Борисовна реб Чистякова Есения Павловна рожд 26.07.2016</t>
  </si>
  <si>
    <t>109-С3</t>
  </si>
  <si>
    <t>Николаева Евгения Эдуардовна РИ Николаева Ева Дмитриевна рожд.26.05.2019</t>
  </si>
  <si>
    <t xml:space="preserve">Голощак Алла Филипповна </t>
  </si>
  <si>
    <t xml:space="preserve">Фаншель Марина Эмильевна </t>
  </si>
  <si>
    <t>110-С3</t>
  </si>
  <si>
    <t>Уткина Ираида Анатольевна</t>
  </si>
  <si>
    <t>111-С3</t>
  </si>
  <si>
    <t>Миронова Полина Ивановна реб Миронов Матвей Кириллович 13.01.2022</t>
  </si>
  <si>
    <t>Хусаинова Евгения Сергеевна реб Климачков Иван Александрович рожд 12.10.2019</t>
  </si>
  <si>
    <t>Шабайкина Анна Сергеевна реб Шабайкин Андрей Юрьевич 21.06.2017</t>
  </si>
  <si>
    <t>112-С3</t>
  </si>
  <si>
    <t>Чибышева Анна Алексеевна реб. Чибышев Глеб Сергеевич рожд. 20.06.2013</t>
  </si>
  <si>
    <t>Гуляевская Вера Александровна</t>
  </si>
  <si>
    <t>113-С3</t>
  </si>
  <si>
    <t>Беляева Надежда Викторовна реб Беляева Диана Дмитриевна рожд 19.05.2017</t>
  </si>
  <si>
    <t xml:space="preserve">Соловьева Анна Павловна </t>
  </si>
  <si>
    <t>114-С3</t>
  </si>
  <si>
    <t xml:space="preserve">Ионова Екатерина Юрьевна </t>
  </si>
  <si>
    <t>Нестерова Светлана Александровна реб Нестеров Самир Александрович рожд 07.03.2013</t>
  </si>
  <si>
    <t>115-С3</t>
  </si>
  <si>
    <t>Косматых Карина Ивановна</t>
  </si>
  <si>
    <t xml:space="preserve">Скворцов Владислав Сергеевич </t>
  </si>
  <si>
    <t>116-С3</t>
  </si>
  <si>
    <t xml:space="preserve">Пронин Егор Валерьевич </t>
  </si>
  <si>
    <t>117-С3</t>
  </si>
  <si>
    <t>Некраш Инна Александровна реб Некраш Ариана Алексеевна рожд 14.04.2016</t>
  </si>
  <si>
    <t>Бумагина Ольга Леонидовна</t>
  </si>
  <si>
    <t xml:space="preserve">Кудряшев Кирилл Александрович </t>
  </si>
  <si>
    <t>118-С3</t>
  </si>
  <si>
    <t>Смирнова Рина Павловна РИ Сташевская Софья Михайловна рожд.  13.10.2011</t>
  </si>
  <si>
    <t xml:space="preserve">Векшина Алефтина Петровна </t>
  </si>
  <si>
    <t>119-С3</t>
  </si>
  <si>
    <t>Смертина Татьяна Николаевна реб Смертин Умар Диловарович рожд 23.12.2020</t>
  </si>
  <si>
    <t xml:space="preserve">Коваленко Наталья Анатольевна реб Тюшин Роман Алексеевич рожд </t>
  </si>
  <si>
    <t>120-С3</t>
  </si>
  <si>
    <t>Коробка Юлия Игоревна реб Коробка Кирилл Леонидович рожд. 20.09.214</t>
  </si>
  <si>
    <t>Шайдулина Гульнара Генадитдиновна (РИ - Гевондова Анна Аркадьевна 15.10.2008)</t>
  </si>
  <si>
    <t>121-С3</t>
  </si>
  <si>
    <t>Гудошникова Екатерина Александровна</t>
  </si>
  <si>
    <t>Каталкина Раиса Алексеевна</t>
  </si>
  <si>
    <t>122-С3</t>
  </si>
  <si>
    <t>Макеева Людмила Федоровна   реб. Макеев Максим Андреевич рожд.15.01.2017</t>
  </si>
  <si>
    <t>Гаязетдинова Анися Абдуловна</t>
  </si>
  <si>
    <t>Гофман Полина Ехиелевна</t>
  </si>
  <si>
    <t>123-С3</t>
  </si>
  <si>
    <t xml:space="preserve">Соболев Александр Александрович </t>
  </si>
  <si>
    <t xml:space="preserve">Жбанникова Татьяна Сергеевна </t>
  </si>
  <si>
    <t>124-С3</t>
  </si>
  <si>
    <t>Медведский Юрий Алексеевич реб.Медведский Тимофей Юрьевич рожд. 22.06.2016</t>
  </si>
  <si>
    <t>Яковлева Ольга Владимировна  реб.Яковлев Марк Денисович рожд. 05.03.2011</t>
  </si>
  <si>
    <t>128-С3</t>
  </si>
  <si>
    <t>Алексанян Нуне Суриковна реб Аванесян Арнольд Грантович рожд 30.09.2020</t>
  </si>
  <si>
    <t>Шаламова Надежда Алексеевна</t>
  </si>
  <si>
    <t>Бутузова Валентина Федоровна</t>
  </si>
  <si>
    <t>129-С3</t>
  </si>
  <si>
    <t xml:space="preserve">Нечаев Михаил Борисович </t>
  </si>
  <si>
    <t xml:space="preserve">Миловидова Елена Геннадьевна </t>
  </si>
  <si>
    <t>130-С3</t>
  </si>
  <si>
    <t>Рудась Ирина Александровна(РИ-Рудась Назар Сергеевич-20.10.2010)</t>
  </si>
  <si>
    <t xml:space="preserve">Родин Дмитрий Борисович </t>
  </si>
  <si>
    <t>Лаува Анжела Юрьевна реб Зелянин Леон Родионович рожд 31.05.2024</t>
  </si>
  <si>
    <t>132-С3</t>
  </si>
  <si>
    <t xml:space="preserve">Пилацкая Галина Сергеевна </t>
  </si>
  <si>
    <t>Сарайкина Людмила Николаевна</t>
  </si>
  <si>
    <t>133-С3</t>
  </si>
  <si>
    <t>Шамраева Елена Павловна реб инв Зуев Иван Дмитриевич 13.07.2014</t>
  </si>
  <si>
    <t>Воробьева Нинель Ивановна</t>
  </si>
  <si>
    <t xml:space="preserve">Кошелева Елена Борисовна </t>
  </si>
  <si>
    <t>134-С3</t>
  </si>
  <si>
    <t>Рибинскене Наталия Васильевна реб. Рибинскас Марис Константинасович  рожд. 03.10.2012</t>
  </si>
  <si>
    <t>Ярмаркова Мария Александровна реб Ханина Майя рожд 20.07.2017</t>
  </si>
  <si>
    <t>135-С3</t>
  </si>
  <si>
    <t xml:space="preserve">Лаврентьева Юлия Витальевна </t>
  </si>
  <si>
    <t>Мерзлякова Людмила Владимировна реб инв Бритков Артем Витальевич рожд 31.08.2011</t>
  </si>
  <si>
    <t>137-С3</t>
  </si>
  <si>
    <t xml:space="preserve">Скрыльник Любовь Ивановна </t>
  </si>
  <si>
    <t>Паскаль Людмила Борисовна</t>
  </si>
  <si>
    <t>138-С3</t>
  </si>
  <si>
    <t>Борисова Светлана Николаевна реб. Борисов Петр Игоревич рожд. 07.10.2016</t>
  </si>
  <si>
    <t>Григорьева Ольга Петровна(РИ-Григорьева Вероника Евгеньевна-23.07.2010)</t>
  </si>
  <si>
    <t>139-С3</t>
  </si>
  <si>
    <t xml:space="preserve">Аленичева Антонина Андреевна </t>
  </si>
  <si>
    <t>Лычагина Мария Борисовна реб инв Лычагин Ярослав Александрович рожд 24.10.2018</t>
  </si>
  <si>
    <t>140-С3</t>
  </si>
  <si>
    <t>Караваева Людмила Сергеевна</t>
  </si>
  <si>
    <t xml:space="preserve">Воробьева Нина Еноховна </t>
  </si>
  <si>
    <t>Блинова Анна Владимировна(РИ-Блинова Маргарита Эдуардовна-14.04.2012)</t>
  </si>
  <si>
    <t>142-С3</t>
  </si>
  <si>
    <t xml:space="preserve">Марейникова Людмила Петровна </t>
  </si>
  <si>
    <t>Кузнецова Алевтина Федоровна</t>
  </si>
  <si>
    <t>143-С3</t>
  </si>
  <si>
    <t>Григорьева Нина Сергеевна (РИ- Григорьев Артем Михайлович 15.06.2010)</t>
  </si>
  <si>
    <t>Суворова Элеонора Викторовна</t>
  </si>
  <si>
    <t>144-С3</t>
  </si>
  <si>
    <t>Долотова Людмила Вячеславовна реб Долотова Надежда Витальевна рожд 23.12.2017</t>
  </si>
  <si>
    <t xml:space="preserve">Кокоша Яна Борисовна </t>
  </si>
  <si>
    <t xml:space="preserve">Ерохина Людмила Сергеевна </t>
  </si>
  <si>
    <t>145-С3</t>
  </si>
  <si>
    <t>Семенова Светлана Андреевна реб Семенов Илья Артемович 19.05.2013</t>
  </si>
  <si>
    <t xml:space="preserve">Потанина Валентина Аркадиевна </t>
  </si>
  <si>
    <t xml:space="preserve">Шефтель София Валерьевна </t>
  </si>
  <si>
    <t>147-С3</t>
  </si>
  <si>
    <t xml:space="preserve">Свирина Антонина Васильевна </t>
  </si>
  <si>
    <t>Ульянова Нина Савельевна</t>
  </si>
  <si>
    <t>148-С3</t>
  </si>
  <si>
    <t>Хоничев Валерий Павлович</t>
  </si>
  <si>
    <t>Окунев Андрей Васильевич</t>
  </si>
  <si>
    <t>149-С3</t>
  </si>
  <si>
    <t>Липашева Евгения Петровна</t>
  </si>
  <si>
    <t xml:space="preserve">Якимчук Валерия Сергеевна </t>
  </si>
  <si>
    <t xml:space="preserve">Вдова погибшего воина </t>
  </si>
  <si>
    <t>150-С3</t>
  </si>
  <si>
    <t>Николаева Нина Донатовна</t>
  </si>
  <si>
    <t>Иванов Максим Петрович (РИ- Иванов Артем Максимович 22.11.2015)</t>
  </si>
  <si>
    <t>151-С3</t>
  </si>
  <si>
    <t>Груздева Наталия Александровна реб.Груздева Алиса Михайловна рожд. 01.01.2014</t>
  </si>
  <si>
    <t>Спицын Евгений Васильевич реб инв Спицын Тимофей Евгеньевич рожд 04.05.2014</t>
  </si>
  <si>
    <t xml:space="preserve">Андреева Валентина Павловна </t>
  </si>
  <si>
    <t>152-С3</t>
  </si>
  <si>
    <t>Бузинова Татьяна Алексеевна реб Алиева Элина Алисултановна рожд 03.12.2014</t>
  </si>
  <si>
    <t>Мерецкая Анастасия Андреевна реб Ефременко Глеб Андреевич рожд 13.08.2014</t>
  </si>
  <si>
    <t>153-С3</t>
  </si>
  <si>
    <t>Гусейнова Анна Анатольевна реб. Гусейнов Тимур Абдуллаевич рожд. 27.04.2013</t>
  </si>
  <si>
    <t xml:space="preserve">Толстокорова Ксения Эльбрусовна </t>
  </si>
  <si>
    <t>Маянцев Михаил Олегович РИ Маянцев Михаил Михайлович рожд. 04.05.2014</t>
  </si>
  <si>
    <t>154-С3</t>
  </si>
  <si>
    <t>Севастьянов Сергей Николаевич реб инв Севастьянов Павел Сергеевич рожд 27.06.2012</t>
  </si>
  <si>
    <t>Глухов Николай Никанорович</t>
  </si>
  <si>
    <t>155-С3</t>
  </si>
  <si>
    <t>Егорова Лариса Александровна</t>
  </si>
  <si>
    <t xml:space="preserve">Барыгина Валентина Александровна </t>
  </si>
  <si>
    <t xml:space="preserve">Никитина Валентина Егоровна </t>
  </si>
  <si>
    <t xml:space="preserve">Родитель погибшего воина </t>
  </si>
  <si>
    <t>156-С3</t>
  </si>
  <si>
    <t xml:space="preserve">Янченко Лидия Михайловна </t>
  </si>
  <si>
    <t>Головин Алексей Николаевич РИ Головина Ксения Алексеевна рожд. 01.12.2011</t>
  </si>
  <si>
    <t xml:space="preserve">Макарова Антонина Валерьевна </t>
  </si>
  <si>
    <t>157-С3</t>
  </si>
  <si>
    <t xml:space="preserve">Башкатова Людмила Васильевна </t>
  </si>
  <si>
    <t xml:space="preserve">Осипенко Тамара Михайловна </t>
  </si>
  <si>
    <t>Кононова Евгения Владимировна реб Арабов Дмитрий Александрович рожд 03.05.2019</t>
  </si>
  <si>
    <t>158-С3</t>
  </si>
  <si>
    <t>Кузьмицкая Анна Анатольевна РИ Кузьмицкий Макар Вадимович рожд. 08.05.2018</t>
  </si>
  <si>
    <t>Павлов Юрий Петрович</t>
  </si>
  <si>
    <t>159-С3</t>
  </si>
  <si>
    <t xml:space="preserve">Юрченко Елизавета Максимовна </t>
  </si>
  <si>
    <t>Колыханов Николай Леонидович реб. ( Колыханов Богдан Николаевич рожд. 18.02.2010)</t>
  </si>
  <si>
    <t xml:space="preserve">Бойко Мария Александровна </t>
  </si>
  <si>
    <t>160-С3</t>
  </si>
  <si>
    <t>Аронова Тамара Александровна</t>
  </si>
  <si>
    <t>Никольская Ирина Донатовна</t>
  </si>
  <si>
    <t>161-С3</t>
  </si>
  <si>
    <t xml:space="preserve">Борисова Людмила Васильевна </t>
  </si>
  <si>
    <t xml:space="preserve">Попова Юлия Александровна </t>
  </si>
  <si>
    <t>162-С3</t>
  </si>
  <si>
    <t xml:space="preserve">Бузакина Тамара Васильевна </t>
  </si>
  <si>
    <t xml:space="preserve">Хакимова Галина Константиновна </t>
  </si>
  <si>
    <t>164-С3</t>
  </si>
  <si>
    <t xml:space="preserve">Нечаева Нина Евгеньевна </t>
  </si>
  <si>
    <t xml:space="preserve">Черныш Тамара Александровна </t>
  </si>
  <si>
    <t>Кудряшова Жанна Сергеевна реб. Кудряшов Александр Валерьевич рожд. 20.12.2012</t>
  </si>
  <si>
    <t>167-С3</t>
  </si>
  <si>
    <t xml:space="preserve">Новицкая Эрна Фердинандовна </t>
  </si>
  <si>
    <t>Окаманчук Марина Федоровна РИ Окаманчук Даниил Андреевич рожд. 01.06.2018</t>
  </si>
  <si>
    <t xml:space="preserve">Владимирова Тамара Ивановна </t>
  </si>
  <si>
    <t>169-С3</t>
  </si>
  <si>
    <t xml:space="preserve">Карклина Ольга Андреевна </t>
  </si>
  <si>
    <t>Трифанюк Татьяна Александровна реб Котляров Дмитрий Евгеньевич рожд 02.09.2022</t>
  </si>
  <si>
    <t xml:space="preserve">Киселев Анатолий Павлович </t>
  </si>
  <si>
    <t>171-С3</t>
  </si>
  <si>
    <t xml:space="preserve">Мотузова Елена Петровна РИ  Кочанов Артем Игоревич 27.06.2013 </t>
  </si>
  <si>
    <t>Чугунова Евгения Станиславовна</t>
  </si>
  <si>
    <t>173-С3</t>
  </si>
  <si>
    <t xml:space="preserve">Романова Евгения Михайловна </t>
  </si>
  <si>
    <t>177-С3</t>
  </si>
  <si>
    <t>Колчин Валентин Николаевич</t>
  </si>
  <si>
    <t xml:space="preserve">Ширева Галина Федоровна </t>
  </si>
  <si>
    <t xml:space="preserve">Федотова Евгения Михайловна </t>
  </si>
  <si>
    <t>178-С3</t>
  </si>
  <si>
    <t xml:space="preserve">Абрамов Евгений Петрович </t>
  </si>
  <si>
    <t>Чип Анастасия Владимировна реб.Чип Владислав Константинович рожд. 28.04.2010</t>
  </si>
  <si>
    <t>179-С3</t>
  </si>
  <si>
    <t xml:space="preserve">Миронова Анна Сергеевна </t>
  </si>
  <si>
    <t>Волкова Елена Сергеевна</t>
  </si>
  <si>
    <t>Филатов Игорь Владимирович</t>
  </si>
  <si>
    <t>180-С3</t>
  </si>
  <si>
    <t xml:space="preserve">Корнилова Елена Михайловна </t>
  </si>
  <si>
    <t xml:space="preserve">Дорошевский Андрей Григорьевич </t>
  </si>
  <si>
    <t xml:space="preserve">Караваева Людмила Алексеевна </t>
  </si>
  <si>
    <t>182-С3</t>
  </si>
  <si>
    <t xml:space="preserve">Припадчев Игорь Владимирович </t>
  </si>
  <si>
    <t>ГерасимоваЛюдмила Ивановна</t>
  </si>
  <si>
    <t>183-С3</t>
  </si>
  <si>
    <t>Троян Ирина Викторовна (РИ-Троян Никита Матвеевич 16.02.2011)</t>
  </si>
  <si>
    <t>Ковалева Анна Игоревна реб Назарова Есения Вячеславовна рожд 16.11.2018</t>
  </si>
  <si>
    <t>185-С3</t>
  </si>
  <si>
    <t>Кучинский Александр Александрович</t>
  </si>
  <si>
    <t>Кузякина-Маркевич Александра Алексеевна (РИ-Кузякин-Маркевич Владислав Андреевич 31.12.2013)</t>
  </si>
  <si>
    <t>Зачинайлова Татьяна Александровна  реб инв Зачинайлова Алиса Владимировна рожд 21.11.2014</t>
  </si>
  <si>
    <t>186-С3</t>
  </si>
  <si>
    <t>Бурак Алла Ростиславовна</t>
  </si>
  <si>
    <t xml:space="preserve">Коврига Николай Дмитриевич </t>
  </si>
  <si>
    <t>187-С3</t>
  </si>
  <si>
    <t xml:space="preserve">Балашов Леонид Васильевич </t>
  </si>
  <si>
    <t xml:space="preserve">Горст Елена Валентиновна </t>
  </si>
  <si>
    <t>188-С3</t>
  </si>
  <si>
    <t xml:space="preserve">Петрова Ольга Викторовна </t>
  </si>
  <si>
    <t>Смирнова Людмила Викторовна</t>
  </si>
  <si>
    <t>Деменева Анна Валерьевна реб инв Деменев Константин Андреевич рожд 28.06.2018</t>
  </si>
  <si>
    <t>189-С3</t>
  </si>
  <si>
    <t>Сапова Виктория Александровна</t>
  </si>
  <si>
    <t xml:space="preserve">Чиндилова Наталья Владимировна </t>
  </si>
  <si>
    <t>190-С3</t>
  </si>
  <si>
    <t>Плесцова Ирина Андреевна реб. Плесцов Марк Дмитриевич рожд. 20.03.2018</t>
  </si>
  <si>
    <t xml:space="preserve">Сидорова Ирина Георгиевна </t>
  </si>
  <si>
    <t>Дымшакова Юлия Викторовна реб Дымшаков Дмитрий Александрович рожд. 06.04.2015</t>
  </si>
  <si>
    <t>192-С3</t>
  </si>
  <si>
    <t>Клочкова Регина Константиновна</t>
  </si>
  <si>
    <t>194-С3</t>
  </si>
  <si>
    <t>Михайлова Ольга Станиславовна реб. Михайлова Ангелина Дмитриевна рожд. 24.11.2009</t>
  </si>
  <si>
    <t xml:space="preserve">Слюсаренко Ирина Николаевна </t>
  </si>
  <si>
    <t xml:space="preserve">Богданова Маргарита Алексеевна </t>
  </si>
  <si>
    <t>195-С3</t>
  </si>
  <si>
    <t>Живолупова Мария Ивановна реб. Рязанов Игорь Дмитриевич рожд. 15.04.2012</t>
  </si>
  <si>
    <t>Миняева Галина Ивановна</t>
  </si>
  <si>
    <t>Виноградова Наталья Владимировна  РИ Виноградов Виктор Вячеславович  рожд.27.05.2013</t>
  </si>
  <si>
    <t>196-С3</t>
  </si>
  <si>
    <t>Вареева Анастасия Николаевна РИ Толстиков Максим Артемович рожд. 04.03.2009</t>
  </si>
  <si>
    <t>Афанасьева Людмила Андреевна реб инв Макарова Алина Дмитриевна рожд 20.06.2012</t>
  </si>
  <si>
    <t>197-С3</t>
  </si>
  <si>
    <t xml:space="preserve">Печатникова Галина Евгеньевна </t>
  </si>
  <si>
    <t xml:space="preserve">Смольникова Елизавета Сергеевна </t>
  </si>
  <si>
    <t xml:space="preserve">Карамышева Анна Валентиновна </t>
  </si>
  <si>
    <t>198-С3</t>
  </si>
  <si>
    <t>Голубович Саша реб.
Кучко Стэфан
Дмитриевич рожд.
03.08.2013</t>
  </si>
  <si>
    <t>Александровская Светлана Валерьевна реб Александровская Стефания Александровна рожд 13.02.2021</t>
  </si>
  <si>
    <t>199-С3</t>
  </si>
  <si>
    <t xml:space="preserve">Иванова Екатерина Сергеевна </t>
  </si>
  <si>
    <t>200-С3</t>
  </si>
  <si>
    <t>Рачко Елена Владиславовна</t>
  </si>
  <si>
    <t>201-С3</t>
  </si>
  <si>
    <t xml:space="preserve">Нам Алла Валерьевна </t>
  </si>
  <si>
    <t>202-С3</t>
  </si>
  <si>
    <t xml:space="preserve">Плечова Татьяна Ивановна </t>
  </si>
  <si>
    <t>203-С3</t>
  </si>
  <si>
    <t xml:space="preserve">Романова Галина Ефимовна </t>
  </si>
  <si>
    <t xml:space="preserve">Смыслова Виктория Эдуардовна </t>
  </si>
  <si>
    <t>204-С3</t>
  </si>
  <si>
    <t>Павлова Янина Андреевна реб Ткачев Владимир Денисович рожд 31.07.2013</t>
  </si>
  <si>
    <t>205-С3</t>
  </si>
  <si>
    <t>Аракельян София Ваниковна (РИ- Григорян Милана Артуровна 20.08.2012)</t>
  </si>
  <si>
    <t>206-С3</t>
  </si>
  <si>
    <t xml:space="preserve">Мендерская Галина Ивановна </t>
  </si>
  <si>
    <t>207-С3</t>
  </si>
  <si>
    <t xml:space="preserve">Царев Виктор Васильевич </t>
  </si>
  <si>
    <t xml:space="preserve">Заев Олег Эдуардович </t>
  </si>
  <si>
    <t>208-С3</t>
  </si>
  <si>
    <t xml:space="preserve">Лаврова Лидия Ивановна </t>
  </si>
  <si>
    <t xml:space="preserve">Диваков Артем Олегович </t>
  </si>
  <si>
    <t>Якубова Марина Николаевна реб Якубова Ангелина Сергеевна рожд 09.03.2022</t>
  </si>
  <si>
    <t>209-С3</t>
  </si>
  <si>
    <t xml:space="preserve">Чеботарь Алексей Яковлевич </t>
  </si>
  <si>
    <t>Мощенская Наталья Михайловна</t>
  </si>
  <si>
    <t>210-С3</t>
  </si>
  <si>
    <t xml:space="preserve">Павлова Юлия Вячеславовна </t>
  </si>
  <si>
    <t>Артамонова Лидия Анатольевна</t>
  </si>
  <si>
    <t>211-С3</t>
  </si>
  <si>
    <t>Федорова Альбина Анатольевна реб Федоров Родион Александрович рожд 23.09.2011</t>
  </si>
  <si>
    <t>212-С3</t>
  </si>
  <si>
    <t>213-С3</t>
  </si>
  <si>
    <t>Шульга Анна Владимировна РИ Фокичев Лев Константинович рожд. 11.08.2015</t>
  </si>
  <si>
    <t xml:space="preserve">Одинцова Ирина Кирилловна </t>
  </si>
  <si>
    <t>214-С3</t>
  </si>
  <si>
    <t xml:space="preserve">Куян Николай Тихонович </t>
  </si>
  <si>
    <t xml:space="preserve">Крыгин Александр Александрович </t>
  </si>
  <si>
    <t>Андреева Елена Викторовна реб. Андреев Василий Васильевич рожд. 23.03.2015</t>
  </si>
  <si>
    <t>215-С3</t>
  </si>
  <si>
    <t xml:space="preserve">Яковлева Маргарита Васильевна </t>
  </si>
  <si>
    <t xml:space="preserve">Мукумова Роза </t>
  </si>
  <si>
    <t xml:space="preserve">Копылов Александр Михайлович </t>
  </si>
  <si>
    <t>216-С3</t>
  </si>
  <si>
    <t>Гогуева Елена Витальевна(РИ-Квасинин Илья Максимович-10.06.2010)</t>
  </si>
  <si>
    <t>218-С3</t>
  </si>
  <si>
    <t xml:space="preserve">Ковригина Любовь Викторовна </t>
  </si>
  <si>
    <t>Барашкова Раиса Филипповна</t>
  </si>
  <si>
    <t>219-С3</t>
  </si>
  <si>
    <t>Кузьмин Сергей Николаевич</t>
  </si>
  <si>
    <t>Егорова Людмила Эриковна</t>
  </si>
  <si>
    <t xml:space="preserve">Опаровский Михаил Александрович </t>
  </si>
  <si>
    <t>220-С3</t>
  </si>
  <si>
    <t xml:space="preserve">Дмитриева Жанетта Викторовна </t>
  </si>
  <si>
    <t>Седова Ольга Витальевна реб Бурдукова Елизавета Алексеевна рожд 21.02.2013</t>
  </si>
  <si>
    <t>Бодрова Надежда Сергеевна РИ Бодрова Ева Александровна рожд. 18.02.2013</t>
  </si>
  <si>
    <t>222-С3</t>
  </si>
  <si>
    <t>Брагина Эльвира Александровна реб Брагина Лилия Борисовна рожд 08.07.2011</t>
  </si>
  <si>
    <t xml:space="preserve">Ананышева Людмила Ивановна </t>
  </si>
  <si>
    <t>Аникеевичев Эдуард Михайлович</t>
  </si>
  <si>
    <t>224-С3</t>
  </si>
  <si>
    <t xml:space="preserve">Федоров Константин Евгеньевич </t>
  </si>
  <si>
    <t>Миронова Светлана Юрьевна реб Миронова Елизавета Михайловна рожд 26.03.2023</t>
  </si>
  <si>
    <t xml:space="preserve">Политова Галина Никитична </t>
  </si>
  <si>
    <t>225-С3</t>
  </si>
  <si>
    <t xml:space="preserve">Халыгова Вафа Гюльбала Кызы </t>
  </si>
  <si>
    <t>Виноградова Любовь Юрьевна РИ Лебедева Кристина Витальевна  рожд. 18.03.2011</t>
  </si>
  <si>
    <t>Иванова Людмила Васильевна реб. Иванова Алина Андреевна рожд.14.04.2012</t>
  </si>
  <si>
    <t>226-С3</t>
  </si>
  <si>
    <t>Прима Дария Сергеевна реб инв Прима Анна Михайловна рожд 31.10.2020</t>
  </si>
  <si>
    <t>Филатова Ольга Борисовна реб Лазарчук Мирослав Игоревич рожд 23.06.2009</t>
  </si>
  <si>
    <t>227-С3</t>
  </si>
  <si>
    <t>Иванова Евгения Леонидовна (реб. Тарасюк Александр Андреевич 12.09.2010)</t>
  </si>
  <si>
    <t xml:space="preserve">Лаврентьев Александр Борисович </t>
  </si>
  <si>
    <t>Драбкина Галина Васильевна</t>
  </si>
  <si>
    <t>228-С3</t>
  </si>
  <si>
    <t xml:space="preserve">Богданова Елена Васильевна </t>
  </si>
  <si>
    <t>Шорина Галина Николаевна</t>
  </si>
  <si>
    <t xml:space="preserve">Леонтьева Людмила Евгеньевна </t>
  </si>
  <si>
    <t>229-С3</t>
  </si>
  <si>
    <t xml:space="preserve">Маслена Валентина Григорьевна </t>
  </si>
  <si>
    <t xml:space="preserve">Емельянова Валентина Михайловна </t>
  </si>
  <si>
    <t>230-С3</t>
  </si>
  <si>
    <t xml:space="preserve">Журавлев Владислав Сергеевич </t>
  </si>
  <si>
    <t>Зайцева Инна Леонтьевна</t>
  </si>
  <si>
    <t>232-С3</t>
  </si>
  <si>
    <t xml:space="preserve">Титов Владимир Иосифович </t>
  </si>
  <si>
    <t>Фрумкина Ирина Александровна(РИ-Фрумкина Полина Ярославовна 10.07.2011)</t>
  </si>
  <si>
    <t>233-С3</t>
  </si>
  <si>
    <t>Лукина Зоя Александровна</t>
  </si>
  <si>
    <t>Китавцева Людмила Алексеевна</t>
  </si>
  <si>
    <t>234-С3</t>
  </si>
  <si>
    <t>Широков Денис Сергеевич  (РИ-Широков Артем Денисович 08.03.2014)</t>
  </si>
  <si>
    <t>Баландина Алла Вячеславовна реб. Баландин Лев Михайлович рожд.24.03.2011</t>
  </si>
  <si>
    <t>235-С3</t>
  </si>
  <si>
    <t xml:space="preserve">Мехнина Валентина Александровна </t>
  </si>
  <si>
    <t xml:space="preserve">Шинкаренко Галина Васильевна </t>
  </si>
  <si>
    <t>236-С3</t>
  </si>
  <si>
    <t>Шевченко Серафима Анатольевна реб. Шевченко Александр Сергеевич рожд. 22.09.2013</t>
  </si>
  <si>
    <t>Кузнецова Юлия Борисовна реб. (Кузнецов Иван Ильич рожд. 26.03.2013)</t>
  </si>
  <si>
    <t>237-С3</t>
  </si>
  <si>
    <t>Тарновская Нонна Викторовна</t>
  </si>
  <si>
    <t>Петрова Татьяна Романовна РИ Петров Илья Сергеевич РИ 02.12.2014</t>
  </si>
  <si>
    <t>238-С3</t>
  </si>
  <si>
    <t xml:space="preserve">Михалева Людмила Сергеевна </t>
  </si>
  <si>
    <t>Голубцова Валентина Михайловна</t>
  </si>
  <si>
    <t xml:space="preserve">Романова Татьяна Сергеевна </t>
  </si>
  <si>
    <t>239-С3</t>
  </si>
  <si>
    <t>Степанова Лариса Владимировна (РИ-Степанова Павла Артуровна-11.05.2009)</t>
  </si>
  <si>
    <t xml:space="preserve">Авлас Алевтина Федоровна </t>
  </si>
  <si>
    <t>240-С3</t>
  </si>
  <si>
    <t xml:space="preserve">Химкова Светлана Александровна </t>
  </si>
  <si>
    <t>Хлопушкина Елена Руслановна реб Хлопушкина Диана Андреевна рожд. 18.09.2018</t>
  </si>
  <si>
    <t>241-С3</t>
  </si>
  <si>
    <t>Чистякова Анна Андреевна реб. Воробьева Алиса Антоновна рожд. 23.12.2013</t>
  </si>
  <si>
    <t xml:space="preserve">Степина Елизавета Руслановна </t>
  </si>
  <si>
    <t>Рогожина Екатерина Викторовна (РИ- Рогожин Георгий Васильевич 03.04.2015)</t>
  </si>
  <si>
    <t>242-С3</t>
  </si>
  <si>
    <t>Бахарев Дмитрий Евгеньевич реб. Бахарева Маргарита Дмитриевна рожд. 06.04.2021</t>
  </si>
  <si>
    <t xml:space="preserve">Шевченко Наталия Павловна </t>
  </si>
  <si>
    <t>243-С3</t>
  </si>
  <si>
    <t>Скороделова Татьяна Ивановна РИ Скороделова Мария Алексеевна рожд.08.08.2013</t>
  </si>
  <si>
    <t xml:space="preserve">Кутуева Людмила Гавриловна </t>
  </si>
  <si>
    <t>245-С3</t>
  </si>
  <si>
    <t>Наумова Татьяна Васильевна РЕБ. Полибинов Георгий Вячеславович рожд. 10.11.2015</t>
  </si>
  <si>
    <t>Смирнова Екатерина Андреевна реб.Смирнова Василиса Станиславовна рожд.07.06.2010</t>
  </si>
  <si>
    <t>246-С3</t>
  </si>
  <si>
    <t>Латчук Роман Дмитриевич реб Латчук Александра Романовна рожд 04.01.2018</t>
  </si>
  <si>
    <t>Симбирцева Евгения Сергеевна</t>
  </si>
  <si>
    <t>Кавтрева Юлия Яковлевна реб Кавтрева Ксения Владимировна рожд 07.02.2019</t>
  </si>
  <si>
    <t>247-С3</t>
  </si>
  <si>
    <t>Карпенко Екатерина Николаевна реб инв Карпенко Роман Алексеевич рожд 13.04.2010</t>
  </si>
  <si>
    <t>Маркова Галина Васильевна</t>
  </si>
  <si>
    <t>248-С3</t>
  </si>
  <si>
    <t>Семенова Татьяна Викторовна</t>
  </si>
  <si>
    <t>249-С3</t>
  </si>
  <si>
    <t xml:space="preserve">Изюмова Гульсум Айвазовна </t>
  </si>
  <si>
    <t xml:space="preserve">Израитель Тамара Арменаковна </t>
  </si>
  <si>
    <t>250-С3</t>
  </si>
  <si>
    <t>Валицкий Федор Павлович реб Валицкий Платон Федорович рожд 08.05.2017</t>
  </si>
  <si>
    <t xml:space="preserve">Канашкин Константин Александрович </t>
  </si>
  <si>
    <t>14.05.202</t>
  </si>
  <si>
    <t>251-С3</t>
  </si>
  <si>
    <t>Новикова Аиза Ивановна</t>
  </si>
  <si>
    <t xml:space="preserve">Митченкова Валентина Ивановна </t>
  </si>
  <si>
    <t xml:space="preserve">Старковская Галина Григорьевна </t>
  </si>
  <si>
    <t>252-С3</t>
  </si>
  <si>
    <t>Семенова Анна Константиновна реб Иванов Семен Александрович рожд 31.03.2013</t>
  </si>
  <si>
    <t>Некрасова Алена Викторовна(РИ- Некрасов Артем Олегович 21.08.2011)</t>
  </si>
  <si>
    <t>253-С3</t>
  </si>
  <si>
    <t>Васильева Марина Владимировна реб Васильева Мария Андреевна рожд 04.03.2013</t>
  </si>
  <si>
    <t>254-С3</t>
  </si>
  <si>
    <t xml:space="preserve">Винокурова Людмила Сергеевна </t>
  </si>
  <si>
    <t>Козлов Юрий Фёдорович</t>
  </si>
  <si>
    <t>255-С3</t>
  </si>
  <si>
    <t>Кладинова Ольга Владимировна (РИ-Кладинова Софья Дмитриевна-15.11.2013)</t>
  </si>
  <si>
    <t xml:space="preserve">Харитонова Валентина Викторовна </t>
  </si>
  <si>
    <t xml:space="preserve">Назаров Велорий Сергеевич </t>
  </si>
  <si>
    <t>256-С3</t>
  </si>
  <si>
    <t>Полякова София Алексеевна реб Поляков Максим Олегович рожд 19.11.2009</t>
  </si>
  <si>
    <t>Хлебодарова Виктория Андреевна реб. Хлебодаров Кирилл Антонович рожд.11.06.2014</t>
  </si>
  <si>
    <t>257-С3</t>
  </si>
  <si>
    <t>Полосова Виктория Григорьевна реб Полосов Егор Борисович рожд 02.05.2017</t>
  </si>
  <si>
    <t>258-С3</t>
  </si>
  <si>
    <t>Архипова Анастасия Алексеевна реб Архипова Агата Алексеевна рожд 07.07.2023</t>
  </si>
  <si>
    <t xml:space="preserve">Севастьянова Тамара Дмитриевна </t>
  </si>
  <si>
    <t>Шарко Екатерина Тихоновна</t>
  </si>
  <si>
    <t>259-С3</t>
  </si>
  <si>
    <t xml:space="preserve">Килина Екатерина Викторовна </t>
  </si>
  <si>
    <t xml:space="preserve">Большакова Инга Игоревна </t>
  </si>
  <si>
    <t>260-С3</t>
  </si>
  <si>
    <t>Зауличева Людмила Ивановна</t>
  </si>
  <si>
    <t xml:space="preserve">Федоренко Галина Ивановна </t>
  </si>
  <si>
    <t>262-С3</t>
  </si>
  <si>
    <t xml:space="preserve">Белозерская Валентина Леонидовна </t>
  </si>
  <si>
    <t>263-С3</t>
  </si>
  <si>
    <t>Григорьева Александра Александровна реб Григорьев Георгий Романович рожд 01.07.2014</t>
  </si>
  <si>
    <t>Шелякина Ирина Алексеевна реб Шелякина Мирослава Владимировна рожд 02.04.2020</t>
  </si>
  <si>
    <t>264-С3</t>
  </si>
  <si>
    <t xml:space="preserve">Тимофеева Любовь Андреевна </t>
  </si>
  <si>
    <t xml:space="preserve">Виноградская Маргарита Павловна </t>
  </si>
  <si>
    <t>265-С3</t>
  </si>
  <si>
    <t>Озерова Светлана Владимировна реб.(Озеров Иван Романович рожд. 05.05.2009)</t>
  </si>
  <si>
    <t>Ермолаева Милана Владимировна РИ Ермолаев Сергей Данилович рожд. 03.07.2010</t>
  </si>
  <si>
    <t>266-С3</t>
  </si>
  <si>
    <t>Мельникова Марина Александровна реб Мельников Богдан Александрович рожд 23.08.2022</t>
  </si>
  <si>
    <t>Кудряшова Ирина Николаевна реб. Кудряшова Ольга Камильевна рожд. 23.06.2012</t>
  </si>
  <si>
    <t>267-С3</t>
  </si>
  <si>
    <t>Спихичева Валерия Павловна реб Ковалева Карина Артемовна рожд 13.12.2011</t>
  </si>
  <si>
    <t>Марьева Анжела Юрьевна реб инв Марьев Трофим Сергеевич рожд 10.02.2014</t>
  </si>
  <si>
    <t>268-С3</t>
  </si>
  <si>
    <t>Сирота Людмила Борисовна</t>
  </si>
  <si>
    <t>Косьянов Василий Николаевич реб. Косьянов Иван Васильевич рожд.25.06.2008</t>
  </si>
  <si>
    <t>269-С3</t>
  </si>
  <si>
    <t xml:space="preserve">Оводова Ирина Александровна </t>
  </si>
  <si>
    <t>270-С3</t>
  </si>
  <si>
    <t>Герасимов Юрий Васильевич</t>
  </si>
  <si>
    <t xml:space="preserve">Кройтор Елена Александровна </t>
  </si>
  <si>
    <t>272-С3</t>
  </si>
  <si>
    <t xml:space="preserve">Гуров Сергей Константинович </t>
  </si>
  <si>
    <t xml:space="preserve">Самойлова Вера Ивановна </t>
  </si>
  <si>
    <t>Глазачева Лидия Александровна</t>
  </si>
  <si>
    <t>274-С3</t>
  </si>
  <si>
    <t xml:space="preserve">Анучина Фаина Тихоновна </t>
  </si>
  <si>
    <t>275-С3</t>
  </si>
  <si>
    <t>Субина Ирина Николаевна реб. Субин Макар Алексеевич рожд. 14.02.2017</t>
  </si>
  <si>
    <t>Жебровская Надежда Ивановна</t>
  </si>
  <si>
    <t>276-С3</t>
  </si>
  <si>
    <t>Добродеев Евгений Михайлович реб. Добродеев Егор Евгеньевич рожд. 30.10.2019</t>
  </si>
  <si>
    <t>277-С3</t>
  </si>
  <si>
    <t xml:space="preserve">Ефимов Владислав Юрьевич </t>
  </si>
  <si>
    <t>Кутуева Разыя Искаковна</t>
  </si>
  <si>
    <t>278-С3</t>
  </si>
  <si>
    <t>Козлова Юлия Васильевна</t>
  </si>
  <si>
    <t xml:space="preserve">Молчанова Наталья Спиридоновна </t>
  </si>
  <si>
    <t>279-С3</t>
  </si>
  <si>
    <t>Левцова Наталья Игоревна (реб. Левцов Илья Алексеевич 11.01.2013)</t>
  </si>
  <si>
    <t>Одинцова Сания Андержановна</t>
  </si>
  <si>
    <t>281-С3</t>
  </si>
  <si>
    <t>Фадеев Дмитрий Евгеньевич РИ Фадеев Василий Дмитриевич рожд. 15.04.2017</t>
  </si>
  <si>
    <t>282-С3</t>
  </si>
  <si>
    <t xml:space="preserve">Учватов Владислав Михайлович </t>
  </si>
  <si>
    <t xml:space="preserve">Полумеева Раиса Афанасьевна </t>
  </si>
  <si>
    <t>285-С3</t>
  </si>
  <si>
    <t>Журов Виктор Сергеевич реб инв Ивановская Женевьева Викторовна рожд 20.05.2015</t>
  </si>
  <si>
    <t xml:space="preserve">Розова Елена Юрьевна </t>
  </si>
  <si>
    <t>Нечаева Валентина Васильевна</t>
  </si>
  <si>
    <t>286-С3</t>
  </si>
  <si>
    <t>Голубева Наталья Сергеевна (реб. Голубев Иван Викторович 22.07.2012)</t>
  </si>
  <si>
    <t xml:space="preserve">Макарина Нина Сергеевна </t>
  </si>
  <si>
    <t>287-С3</t>
  </si>
  <si>
    <t>Быкова Елена Валентиновна реб. Быкова Софья Николаевна рожд 19.08.2014</t>
  </si>
  <si>
    <t>288-С3</t>
  </si>
  <si>
    <t>Антипина Георгий Андреевич реб инв Антипина Анна Георгиевна  рожд 01.02.2016</t>
  </si>
  <si>
    <t xml:space="preserve">Голод Александр Васильевич </t>
  </si>
  <si>
    <t>289-С3</t>
  </si>
  <si>
    <t xml:space="preserve">Коробкова Дарья Алексеевна </t>
  </si>
  <si>
    <t>Князев Николай Николаевич</t>
  </si>
  <si>
    <t>Бундас Оксана Вадимовна реб. Бундас Виолетта Владиславовна рожд.20.09.2012</t>
  </si>
  <si>
    <t>290-С3</t>
  </si>
  <si>
    <t xml:space="preserve">Гусева Галина Анатольевна </t>
  </si>
  <si>
    <t>291-С3</t>
  </si>
  <si>
    <t>Кудрина Александра Викторовна реб Чухлебова КираМихайловна рожд 20.07.2021</t>
  </si>
  <si>
    <t>Николаева Ирина Николаевна реб. Николаев Максим Игоревич рожд. 15.08.2014</t>
  </si>
  <si>
    <t xml:space="preserve">Глазунова Нина Михайловна </t>
  </si>
  <si>
    <t>292-С3</t>
  </si>
  <si>
    <t>Лысенко Ольга Владимировна реб. Соколенко Артем Владимирович рожд. 31.10.2012</t>
  </si>
  <si>
    <t>Щепин Александр Савватеевич</t>
  </si>
  <si>
    <t>Трохачевская Александра Васильевна</t>
  </si>
  <si>
    <t>293-С3</t>
  </si>
  <si>
    <t>Игнатьев Алексей Сергеевич реб Игнатьева Маргарита Алексеевна рожд 27.06.2017</t>
  </si>
  <si>
    <t>294-С3</t>
  </si>
  <si>
    <t xml:space="preserve">Кержковская Галина Сергеевна </t>
  </si>
  <si>
    <t xml:space="preserve">Горбачева Ниталия Адольфовна </t>
  </si>
  <si>
    <t xml:space="preserve">Козловская Ольга Николаевна </t>
  </si>
  <si>
    <t>296-С3</t>
  </si>
  <si>
    <t xml:space="preserve">Яндиева Мария Назимовна </t>
  </si>
  <si>
    <t>Ткаченко Эльвира Алексеевна</t>
  </si>
  <si>
    <t xml:space="preserve">Анащенко Владислав Андреевич </t>
  </si>
  <si>
    <t>297-С3</t>
  </si>
  <si>
    <t xml:space="preserve">Киселева Любовь Петровна </t>
  </si>
  <si>
    <t xml:space="preserve">Голованова Рита Моисеевна </t>
  </si>
  <si>
    <t>298-С3</t>
  </si>
  <si>
    <t>Алейников Юрий Абрамович</t>
  </si>
  <si>
    <t xml:space="preserve">Зацепина Марина Владимировна </t>
  </si>
  <si>
    <t>Ястребов Сергей Владимирович</t>
  </si>
  <si>
    <t xml:space="preserve"> 21.04.2026</t>
  </si>
  <si>
    <t>300-С3</t>
  </si>
  <si>
    <t>Бегеулов Борис Ахматович</t>
  </si>
  <si>
    <t>303-С3</t>
  </si>
  <si>
    <t>Шорохова Виктория Анатольевна реб. Шорохов Иван Артемович рожд.16.01.2015</t>
  </si>
  <si>
    <t xml:space="preserve">Тарасова Евгения Николаевна </t>
  </si>
  <si>
    <t>Попкова Елена Евгеньевна реб Акопян Антон Игоревич рожд 11.10.2010</t>
  </si>
  <si>
    <t>304-С3</t>
  </si>
  <si>
    <t xml:space="preserve">Белоцветова Лилия Михайловна </t>
  </si>
  <si>
    <t>Абдулкадерова Моршида Шариповна</t>
  </si>
  <si>
    <t xml:space="preserve">Ярикова Вера Николаевна </t>
  </si>
  <si>
    <t>305-С3</t>
  </si>
  <si>
    <t xml:space="preserve">Панина Тамара Федоровна </t>
  </si>
  <si>
    <t xml:space="preserve">Загидуллин Ильдар Фаилович </t>
  </si>
  <si>
    <t xml:space="preserve">Хуснуллина Гузель Ильясовна </t>
  </si>
  <si>
    <t>306-С3</t>
  </si>
  <si>
    <t>Яковлев Анатолий Васильевич реб.( Яковлев Артем Анатольевич рожд.09.05.2012)</t>
  </si>
  <si>
    <t xml:space="preserve">Соколова Анастасия Геннадьевна </t>
  </si>
  <si>
    <t xml:space="preserve">Костылева Светлана Павловна </t>
  </si>
  <si>
    <t>307-С3</t>
  </si>
  <si>
    <t>Алпатова Светлана Евгеньевна реб Алпатов Елисей Петрович рожд 23.08.2010</t>
  </si>
  <si>
    <t>Иванова Карина Михайловна реб.(Иванова Варвара Денисовна рожд 22.01.2017)</t>
  </si>
  <si>
    <t>308-С3</t>
  </si>
  <si>
    <t>Сычкин Павел Викторович  реб инв Сычкина Алисия Павловна рожд 14.10.2016</t>
  </si>
  <si>
    <t>309-С3</t>
  </si>
  <si>
    <t>Никандрова Наталия Николаевна реб. Никандров Елисей Дмитриевич рожд. 11.08.2009</t>
  </si>
  <si>
    <t>Максименко Алевтина Ивановна</t>
  </si>
  <si>
    <t>Осадчий Вадим Николаевич реб. Осадчая Алиса Вадимовна рожд. 26.03.2019</t>
  </si>
  <si>
    <t>310-С3</t>
  </si>
  <si>
    <t>Иванова Светлана Владимировна реб.( Иванов Матвей Павлович рожд.13.01.2011)</t>
  </si>
  <si>
    <t>Степанов Павел Витальевич реб Степанов Никита Павлович рожд 28.11.2017</t>
  </si>
  <si>
    <t>311-С3</t>
  </si>
  <si>
    <t xml:space="preserve">Скворцов Аркадий Александрович </t>
  </si>
  <si>
    <t>Зуева Людмила Анатольевна</t>
  </si>
  <si>
    <t xml:space="preserve">Сапрыкин Николай Николаевич </t>
  </si>
  <si>
    <t>312-С3</t>
  </si>
  <si>
    <t>Вахер Наталья Александровна</t>
  </si>
  <si>
    <t>Кайконен Ксения Александровна реб Кайконен Иван Андреевич рожд 23.09.2017</t>
  </si>
  <si>
    <t>Порубенко Елена Викторовна реб Ноздричев Матвей Евгеньевич рожд 18.06.2018</t>
  </si>
  <si>
    <t>313-С3</t>
  </si>
  <si>
    <t>Винокурова Ульяна Валерьевна реб инв Родоманов Алексей Юрьевич рожд 09.10.2016</t>
  </si>
  <si>
    <t>314-С3</t>
  </si>
  <si>
    <t>Романова Олеся Владимировна реб Романова София Ивановна рожд 05.03.2021</t>
  </si>
  <si>
    <t>315-С3</t>
  </si>
  <si>
    <t xml:space="preserve">Лемехова Надежда Александровна </t>
  </si>
  <si>
    <t xml:space="preserve">Смирнова Ксения Викторовна </t>
  </si>
  <si>
    <t>Полякова Вероника Владимировна реб Пинчук Семен Викторович рожд 03.06.2012</t>
  </si>
  <si>
    <t>316-С3</t>
  </si>
  <si>
    <t>318-С3</t>
  </si>
  <si>
    <t xml:space="preserve">Васильева Наталья Валерьевна </t>
  </si>
  <si>
    <t>Савченко Генриэтта Николаевна</t>
  </si>
  <si>
    <t>Кудина Лидия Ивановна</t>
  </si>
  <si>
    <t>319-С3</t>
  </si>
  <si>
    <t>Хамицевич Дарья Валерьевна реб Хамицевич Рамзан Комронович рожд 29.04.2020</t>
  </si>
  <si>
    <t>Белая Екатерина Юрьевна реб. Белый Никита Вячеславович рожд.31.10.2019</t>
  </si>
  <si>
    <t>320-С3</t>
  </si>
  <si>
    <t>Козин Сергей Геннадьевич реб инв Козин Павел Сергеевич рожд 19.09.2012</t>
  </si>
  <si>
    <t xml:space="preserve">Изотов Николай Александрович </t>
  </si>
  <si>
    <t>321-С3</t>
  </si>
  <si>
    <t>Павлюк Ася Федоровна</t>
  </si>
  <si>
    <t xml:space="preserve">Коломиец Дмитрий Анатольевич </t>
  </si>
  <si>
    <t>322-С3</t>
  </si>
  <si>
    <t>Яковчук Ида Михайловна</t>
  </si>
  <si>
    <t>323-С3</t>
  </si>
  <si>
    <t>Войнова Надежда Александровна реб Войнов Марк Кириллович рожд 01.02.2015</t>
  </si>
  <si>
    <t>Андреева Анастасия Вячеславовна реб Андреева Карина Леонидовна рожд 19.12.2021</t>
  </si>
  <si>
    <t>Родякина Екатерина Сергеевна реб. Родякин Рамин Раминович рожд. 29.06.2017</t>
  </si>
  <si>
    <t>325-С3</t>
  </si>
  <si>
    <t>Оленина Александра Петровна</t>
  </si>
  <si>
    <t>Ан Екатерина Жавдатовна реб Ан Александра Михайловна рожд.11.10.2017</t>
  </si>
  <si>
    <t>Фомичева Ульяна Евгеньевна реб. Григорьева Софья  рожд.02.08.2013</t>
  </si>
  <si>
    <t>327-С3</t>
  </si>
  <si>
    <t>Знаменский Юрий Александрович</t>
  </si>
  <si>
    <t>Бардова Маргарита Валерьяновна</t>
  </si>
  <si>
    <t>328-С3</t>
  </si>
  <si>
    <t xml:space="preserve">Корф Юлия Викторовна </t>
  </si>
  <si>
    <t>Артемьева Татьяна Михайловна</t>
  </si>
  <si>
    <t>Щиголева Татьяна Владимировна реб инв Емелина Мария Михайловна рожд 29.07.2016</t>
  </si>
  <si>
    <t>330-С3</t>
  </si>
  <si>
    <t>Плотникова Екатерина Олеговна реб Плотникова София Романовна рожд 26.02.2023</t>
  </si>
  <si>
    <t>Семенова Людмила Николаевна</t>
  </si>
  <si>
    <t xml:space="preserve">Близнецова Галина Николаевна </t>
  </si>
  <si>
    <t>331-С3</t>
  </si>
  <si>
    <t>Пироженко Екатерина Львовна реб. Ефимов Лев Михайлович рожд.30.01.2018</t>
  </si>
  <si>
    <t xml:space="preserve">Парамохина Елена Михайловна </t>
  </si>
  <si>
    <t>332-С3</t>
  </si>
  <si>
    <t xml:space="preserve">Приходько Валентина Николаевна </t>
  </si>
  <si>
    <t xml:space="preserve">Киселева Татьяна Лазаревна </t>
  </si>
  <si>
    <t xml:space="preserve">Телкова Валентина Николаевна </t>
  </si>
  <si>
    <t>333-С3</t>
  </si>
  <si>
    <t xml:space="preserve">Соколов Валерий Сергеевич </t>
  </si>
  <si>
    <t>Петродворцовый</t>
  </si>
  <si>
    <t>Кирленкова Юлия Владимировна</t>
  </si>
  <si>
    <t>334-С3</t>
  </si>
  <si>
    <t>Вишняков Максим Валерьевич реб Вишняков Максим Максимович рожд 19.03.2012</t>
  </si>
  <si>
    <t xml:space="preserve">Анастасенко Галина Федоровна </t>
  </si>
  <si>
    <t>Наумов Евгений Владимирович реб Наумов Никита Евгеньевич рожд 18.05.2015</t>
  </si>
  <si>
    <t>336-С3</t>
  </si>
  <si>
    <t>Абакумова Анастасия Владимировна РИ Табачкова Мария Михайловна рожд. 01.02.2018</t>
  </si>
  <si>
    <t xml:space="preserve">Сментына Олеся Юрьевна </t>
  </si>
  <si>
    <t>Панкратова Диана Олеговна (РИ - Панкратова Серафима Филипповна 04.12.2013)</t>
  </si>
  <si>
    <t>337-С3</t>
  </si>
  <si>
    <t xml:space="preserve">Ролин Максим Владимирович </t>
  </si>
  <si>
    <t>Ярушинская Екатерина Павловна реб Ярушинский Кирилл Павлович рожд 01.09.2020</t>
  </si>
  <si>
    <t>338-С3</t>
  </si>
  <si>
    <t>Гусева Наталия Петровна</t>
  </si>
  <si>
    <t xml:space="preserve">Быкова Мария Николаевна </t>
  </si>
  <si>
    <t xml:space="preserve"> Белоусов Сергей Вадимович </t>
  </si>
  <si>
    <t>340-С3</t>
  </si>
  <si>
    <t>Пятибратова Татьяна Александровна РИ Пятибратова Ольга Александровна рожд.23.07.2010</t>
  </si>
  <si>
    <t>Пятибратова Татьяна Александровна РИ Пятибратова Ольга Александровна рожд.23.07.2011</t>
  </si>
  <si>
    <t xml:space="preserve">Клубкова Людмила Изорьевна </t>
  </si>
  <si>
    <t>341-С3</t>
  </si>
  <si>
    <t>Николаева Любовь Александровна реб Николаев Михаил Александрович рожд 15.04.2022</t>
  </si>
  <si>
    <t xml:space="preserve">Подьякова Полина Андреевна </t>
  </si>
  <si>
    <t>Поповская Ольга Сергеевна (РИ-Шмакова Арина Владиславовна-16.05.2011)</t>
  </si>
  <si>
    <t>342-С3</t>
  </si>
  <si>
    <t>Гагаева Татьяна Ивановна</t>
  </si>
  <si>
    <t>343-С3</t>
  </si>
  <si>
    <t>Гаврецкая Каролина Сергеевна  реб. Ильин Роман Владимирович рожд. 20.01.2015</t>
  </si>
  <si>
    <t>344-С3</t>
  </si>
  <si>
    <t xml:space="preserve">Соина Галина Васильевна </t>
  </si>
  <si>
    <t>Шлякова Кира Георгиевна</t>
  </si>
  <si>
    <t>Цветкова Ирина Валерьевна реб. Цветков Елисей Андреевич рожд. 16.11.2009</t>
  </si>
  <si>
    <t>345-С3</t>
  </si>
  <si>
    <t>Машкова Людмила Васильевна</t>
  </si>
  <si>
    <t xml:space="preserve">Анисимова Евгения Анатольевна </t>
  </si>
  <si>
    <t>Насекина Елена Владимировна реб Насекина Анастасия Николаевна рожд 05.09.2010</t>
  </si>
  <si>
    <t xml:space="preserve"> №
комнаты/
помещения</t>
  </si>
  <si>
    <t>28-К</t>
  </si>
  <si>
    <t>Якимова Людмила Михайловна</t>
  </si>
  <si>
    <t>М.Жукова 26/16-57</t>
  </si>
  <si>
    <t>28/1</t>
  </si>
  <si>
    <t>Козлова Любовь Эдуардовна</t>
  </si>
  <si>
    <t>Будапешская ул. 61-54</t>
  </si>
  <si>
    <t>ВГСС</t>
  </si>
  <si>
    <t>28/2</t>
  </si>
  <si>
    <t>Котова Валентина Евгеньевна</t>
  </si>
  <si>
    <t>Пархоменко 20-27</t>
  </si>
  <si>
    <t>28/3</t>
  </si>
  <si>
    <t>180-К</t>
  </si>
  <si>
    <t>Хмелева Татьяна Валериевна (ребенок Хмелева Василиса Кирилловна 21.09.2020)</t>
  </si>
  <si>
    <t>Замшина 54-48</t>
  </si>
  <si>
    <t xml:space="preserve">180/1  </t>
  </si>
  <si>
    <t>Романова Наталия Сергеевна (Романов Федор Михайлович 23.02.2011 г.)</t>
  </si>
  <si>
    <t>Черкасова 8-1-11</t>
  </si>
  <si>
    <t xml:space="preserve">180/2 </t>
  </si>
  <si>
    <t>Сигитова  Анастасия Андреевна (Сигитов Егор Сергеевич 13.07.2010)</t>
  </si>
  <si>
    <t>Гражданский пр. 25-1-68</t>
  </si>
  <si>
    <t xml:space="preserve">180/3  </t>
  </si>
  <si>
    <t>192-К</t>
  </si>
  <si>
    <t>Вересова Надежда Юрьевна (ребенок Вересов Добромир  Сергеевич 07.05.2010)</t>
  </si>
  <si>
    <t>Светлановский пр.101-317</t>
  </si>
  <si>
    <t xml:space="preserve">192/1  </t>
  </si>
  <si>
    <t>Скугарова Валентина Викторовна</t>
  </si>
  <si>
    <t>Софьи Ковалевской 1-2-20</t>
  </si>
  <si>
    <t xml:space="preserve">192/2 </t>
  </si>
  <si>
    <t>Фролова Эмма Иосифовна</t>
  </si>
  <si>
    <t>Полюстровский 17-20</t>
  </si>
  <si>
    <t xml:space="preserve">192/3  </t>
  </si>
  <si>
    <t>208-К</t>
  </si>
  <si>
    <t>Иванова Валентина Петровна</t>
  </si>
  <si>
    <t>Малая Балканская 14 к1 /35</t>
  </si>
  <si>
    <t xml:space="preserve">208/2  </t>
  </si>
  <si>
    <t>Шаруда Наталья Ивановна (Андреев Кирилл Сергеевич 26.06.2008)</t>
  </si>
  <si>
    <t>Шуваловский пр. 74-2-569</t>
  </si>
  <si>
    <t xml:space="preserve">208/3  </t>
  </si>
  <si>
    <t>251-К</t>
  </si>
  <si>
    <t>Лушина Анастасия Викторовна (ребенок-Горских Петр Павлович 08.02.2011)</t>
  </si>
  <si>
    <t>Гаванская ул., 11-20</t>
  </si>
  <si>
    <t xml:space="preserve">251/1.2  </t>
  </si>
  <si>
    <t>257-К</t>
  </si>
  <si>
    <t>Казанцева Татьяна Викторовна (Кузьмина Варвара Романовна 31.10.2014)</t>
  </si>
  <si>
    <t>Шуваловский пр. 59-1-2</t>
  </si>
  <si>
    <t xml:space="preserve">257/1.4 </t>
  </si>
  <si>
    <t>Шемякина Светлана Викторовна</t>
  </si>
  <si>
    <t>Морская наб.17-129</t>
  </si>
  <si>
    <t xml:space="preserve">257/2.3  </t>
  </si>
  <si>
    <t>258-К</t>
  </si>
  <si>
    <t>Родионова Инна Сергеевна</t>
  </si>
  <si>
    <t>П.Гарькавого 42-2-60</t>
  </si>
  <si>
    <t xml:space="preserve">258/1.2  </t>
  </si>
  <si>
    <t>Бойко Алла Федоровна (Верховский Павел Сергеевич 29.12.2010)</t>
  </si>
  <si>
    <t>Руднева 27-1-235</t>
  </si>
  <si>
    <t xml:space="preserve">258/3 </t>
  </si>
  <si>
    <t>263-К</t>
  </si>
  <si>
    <t>Суровцева Людмила Ивановна</t>
  </si>
  <si>
    <t>Есенина 6-1-25</t>
  </si>
  <si>
    <t xml:space="preserve">263/1,2  </t>
  </si>
  <si>
    <t>268-К</t>
  </si>
  <si>
    <t xml:space="preserve">Черсунов Даниил Николаевич </t>
  </si>
  <si>
    <t>Художников пр, 15-3-144</t>
  </si>
  <si>
    <t xml:space="preserve">  15.05.2026</t>
  </si>
  <si>
    <t>273-К</t>
  </si>
  <si>
    <t>Пастухова Мария Александровна (Пастухов Юрий Александрович 30.10.2017)</t>
  </si>
  <si>
    <t>Лужская 4-1-96</t>
  </si>
  <si>
    <t xml:space="preserve">273/1  </t>
  </si>
  <si>
    <t>Лебедева Марина Викторовна (Лебедев Степан Александрович  10.11.2015)</t>
  </si>
  <si>
    <t>г.Павловск,Горная ул.12-32</t>
  </si>
  <si>
    <t xml:space="preserve">273/2  </t>
  </si>
  <si>
    <t>275-К</t>
  </si>
  <si>
    <t>Яковлева Тамара Андреевна (Яковлев Данил Денисович 03.06.2011 г.)</t>
  </si>
  <si>
    <t>Маршала Блюхера пр.,12</t>
  </si>
  <si>
    <t xml:space="preserve">275/1  </t>
  </si>
  <si>
    <t>Яшкина Виолетта Александровна</t>
  </si>
  <si>
    <t xml:space="preserve">275/2  </t>
  </si>
  <si>
    <t>Владимирская Людмила Яковлевна</t>
  </si>
  <si>
    <t xml:space="preserve">275/3  </t>
  </si>
  <si>
    <t>276-К</t>
  </si>
  <si>
    <t>Горбатенко Оксана Вячеславовна</t>
  </si>
  <si>
    <t>Лермонтовский пр., 8/10А-14</t>
  </si>
  <si>
    <t xml:space="preserve">276/1,2 </t>
  </si>
  <si>
    <t>337-К</t>
  </si>
  <si>
    <t>Хмелева Маргарита Николаевна (ребенок- Хмелева Анна Олеговна 06.05.2009)</t>
  </si>
  <si>
    <t>наб.реки Фонтанки 139-37</t>
  </si>
  <si>
    <t>337/1</t>
  </si>
  <si>
    <t>Виноградова Галина Васильевна</t>
  </si>
  <si>
    <t>Адмиралтейская наб. 6-40</t>
  </si>
  <si>
    <t xml:space="preserve">337/2  </t>
  </si>
  <si>
    <t xml:space="preserve">Шпигель Инна Юрьевна </t>
  </si>
  <si>
    <t>Верейская ул. 37-6</t>
  </si>
  <si>
    <t xml:space="preserve">337/3 </t>
  </si>
  <si>
    <t>347-К</t>
  </si>
  <si>
    <t>Кочеткова Рада Эдуардовна</t>
  </si>
  <si>
    <t>Петергофское ш. 72-4-286</t>
  </si>
  <si>
    <t>347/1</t>
  </si>
  <si>
    <t>Данилова Наталья Ивановна (ребенок-Данилов Роман Вячеславович 29.05.2008)</t>
  </si>
  <si>
    <t>Ленинский пр. 53-1-89</t>
  </si>
  <si>
    <t xml:space="preserve">347/2  </t>
  </si>
  <si>
    <t>Сергеева  Альбина Валентиновна (Подшивалов Владимир Сергеевич 22.04.2010)</t>
  </si>
  <si>
    <t>Бабушкина 84-1-1-522</t>
  </si>
  <si>
    <t xml:space="preserve">347/3  </t>
  </si>
  <si>
    <t>351-К</t>
  </si>
  <si>
    <t>Бриккер Евдокия Александровна (ребенок -Бриккер Матвей Сергеевич 27.10.2011)</t>
  </si>
  <si>
    <t>пр.Королева 27-1-31</t>
  </si>
  <si>
    <t xml:space="preserve">351/1,2  </t>
  </si>
  <si>
    <t>Дынин Илья Наумович</t>
  </si>
  <si>
    <t>Яхтенная 8-178</t>
  </si>
  <si>
    <t xml:space="preserve">351/3  </t>
  </si>
  <si>
    <t>354-К</t>
  </si>
  <si>
    <t xml:space="preserve">Титова Тамара Николаевна </t>
  </si>
  <si>
    <t>Космонавтов пр. д. 82-16</t>
  </si>
  <si>
    <t>354</t>
  </si>
  <si>
    <t xml:space="preserve">354   </t>
  </si>
  <si>
    <t>356-К</t>
  </si>
  <si>
    <t>Журавлева Лидия Петровна</t>
  </si>
  <si>
    <t>Культуры пр.,29-7-29</t>
  </si>
  <si>
    <t xml:space="preserve">356/1 </t>
  </si>
  <si>
    <t>Кириллова Ирина Александровна (Кириллов Михаил Павлович 14.01.2017)</t>
  </si>
  <si>
    <t>Ушинского 33-3-251</t>
  </si>
  <si>
    <t xml:space="preserve">356/2  </t>
  </si>
  <si>
    <t>Ярушникова Раиса Абдулловна</t>
  </si>
  <si>
    <t>Яхтенная 28-293</t>
  </si>
  <si>
    <t xml:space="preserve">356/3 </t>
  </si>
  <si>
    <t>362-К</t>
  </si>
  <si>
    <t>Кан Елена Леонтьевна</t>
  </si>
  <si>
    <t>Варшавская 37-1-292</t>
  </si>
  <si>
    <t xml:space="preserve">  25.04.2026</t>
  </si>
  <si>
    <t>363-К</t>
  </si>
  <si>
    <t>Валуйская Мария Николаевна</t>
  </si>
  <si>
    <t>Русановская 11-123</t>
  </si>
  <si>
    <t xml:space="preserve">363/1  </t>
  </si>
  <si>
    <t xml:space="preserve">Стадник Александра Валерьевна </t>
  </si>
  <si>
    <t>Богатырский пр.,57-3-1</t>
  </si>
  <si>
    <t xml:space="preserve">363/2 </t>
  </si>
  <si>
    <t>Орлова Екатерина Николаевна (Поляков Денис Евгеньевич 18.03.2013)</t>
  </si>
  <si>
    <t>Юнтоловский пр. 47-4-110</t>
  </si>
  <si>
    <t xml:space="preserve">363/3  </t>
  </si>
  <si>
    <t>365-К</t>
  </si>
  <si>
    <t>Харитонова Яна Олеговна</t>
  </si>
  <si>
    <t>Роменская 4/22-32</t>
  </si>
  <si>
    <t xml:space="preserve">365/1.2  </t>
  </si>
  <si>
    <t>Кибардина Светлана Владимировна (ребенок Кибардина Александра Ивановна 01.07.2015)</t>
  </si>
  <si>
    <t>Зины Портновой 48 А-28</t>
  </si>
  <si>
    <t>365/3</t>
  </si>
  <si>
    <t xml:space="preserve"> 29.04.2026</t>
  </si>
  <si>
    <t>367-К</t>
  </si>
  <si>
    <t>Журкина Ирина Викторовна (ребенок Денисов Арсений Павлович 02.10.2008)</t>
  </si>
  <si>
    <t>Морская наб. 15-409</t>
  </si>
  <si>
    <t xml:space="preserve">367/1.2  </t>
  </si>
  <si>
    <t>Гиллунг Игорь Владимирович</t>
  </si>
  <si>
    <t>Тимуровская 19/30-56</t>
  </si>
  <si>
    <t xml:space="preserve">367/3  </t>
  </si>
  <si>
    <t>374-К</t>
  </si>
  <si>
    <t xml:space="preserve">Лысова Валентина Михайловна </t>
  </si>
  <si>
    <t>Бухаресткая ул. 67-1-284</t>
  </si>
  <si>
    <t xml:space="preserve">374/1,2  </t>
  </si>
  <si>
    <t>Манюкова Галина Романовна</t>
  </si>
  <si>
    <t>Олеко Дундича 12-37</t>
  </si>
  <si>
    <t xml:space="preserve">374/3  </t>
  </si>
  <si>
    <t>378-К</t>
  </si>
  <si>
    <t xml:space="preserve">Гусева Тамара Ивановна </t>
  </si>
  <si>
    <t>Искровский пр 28 лит Д кв 235</t>
  </si>
  <si>
    <t xml:space="preserve">378/1,2 </t>
  </si>
  <si>
    <t>Галкина Людмила Геннадьевна (ребенок Ванюков Андрей Андреевич 26.12.2017)</t>
  </si>
  <si>
    <t>1-й Рабфаковский пер. 6 лит Ф 62</t>
  </si>
  <si>
    <t xml:space="preserve">378/3 </t>
  </si>
  <si>
    <t>381-К</t>
  </si>
  <si>
    <t>Еремеева Венера Ниязовна (Еремеев Дамир Вадимович 02.09.2024)</t>
  </si>
  <si>
    <t xml:space="preserve">381/1.2  </t>
  </si>
  <si>
    <t>Микуцкий Александр Михайлович</t>
  </si>
  <si>
    <t>1-я В.О.линия 6-14</t>
  </si>
  <si>
    <t xml:space="preserve">381/3  </t>
  </si>
  <si>
    <t>386-К</t>
  </si>
  <si>
    <t>Панова Олеся Олеговна (Акимов Виктор Сергеевич 01.01.2020)</t>
  </si>
  <si>
    <t xml:space="preserve"> Архитектора Белова-5-1-1-92</t>
  </si>
  <si>
    <t xml:space="preserve">386/1  </t>
  </si>
  <si>
    <t>Кирпиченков Сергей Александрович</t>
  </si>
  <si>
    <t>Смоленская  9-3 А-90</t>
  </si>
  <si>
    <t xml:space="preserve">386/2  </t>
  </si>
  <si>
    <t>Бацман Александр Викторович (Бацман Максим Александрович 26.11.2010)</t>
  </si>
  <si>
    <t>Художников  9-1-31</t>
  </si>
  <si>
    <t xml:space="preserve">386/3  </t>
  </si>
  <si>
    <t>387-К</t>
  </si>
  <si>
    <t>Попова Мария Олеговна (ребенок-Попов Михаил Дмитриевич 25.01.2009 )</t>
  </si>
  <si>
    <t>пр.Н.Ополчения 241-1-227</t>
  </si>
  <si>
    <t xml:space="preserve">387/1,2,3 </t>
  </si>
  <si>
    <t>389-К</t>
  </si>
  <si>
    <t>Кривошеина Марина Сергеевна</t>
  </si>
  <si>
    <t>Искровский пр 9-лит А кв.85</t>
  </si>
  <si>
    <t xml:space="preserve">389/1  </t>
  </si>
  <si>
    <t>Хохлова Татьяна Игоревна (ребенок- Жолобова Дарья Денисовна 27.02.2015)</t>
  </si>
  <si>
    <t>Пулковское шоссе 86-63</t>
  </si>
  <si>
    <t xml:space="preserve">389/2.3 </t>
  </si>
  <si>
    <t>413-К</t>
  </si>
  <si>
    <t>Алексейчик Александра Вячеславовна (ребенок Кузнецова Василиса Владиславовна 03.02.2017)</t>
  </si>
  <si>
    <t>Будапештская 86-1-336</t>
  </si>
  <si>
    <t xml:space="preserve">413/1.2  </t>
  </si>
  <si>
    <t>415-К</t>
  </si>
  <si>
    <t>Лаврентьева Александра Александровна</t>
  </si>
  <si>
    <t>Матроса Железняка ул. 1-5</t>
  </si>
  <si>
    <t xml:space="preserve">415/1  </t>
  </si>
  <si>
    <t>Укухе Светлана Ивановна</t>
  </si>
  <si>
    <t>Хасанская 18-2-202</t>
  </si>
  <si>
    <t xml:space="preserve">415/3  </t>
  </si>
  <si>
    <t>419-К</t>
  </si>
  <si>
    <t>Логинова Нина Степановна</t>
  </si>
  <si>
    <t>Альпийский пер.,45-67</t>
  </si>
  <si>
    <t xml:space="preserve">419/1  </t>
  </si>
  <si>
    <t>Журавлев Виктор Анатольевич</t>
  </si>
  <si>
    <t xml:space="preserve">419/2  </t>
  </si>
  <si>
    <t>420-К</t>
  </si>
  <si>
    <t>Слепцова Галина Иосифовна</t>
  </si>
  <si>
    <t>Испытателей пр.11-1-464</t>
  </si>
  <si>
    <t xml:space="preserve">420/1  </t>
  </si>
  <si>
    <t>Давудова Мирвади Магомедовна (Рамазанов Джамаль Мурадович 20.08.2020)</t>
  </si>
  <si>
    <t>Поликарпова 10-2-34</t>
  </si>
  <si>
    <t xml:space="preserve">420/2.3  </t>
  </si>
  <si>
    <t>421-К</t>
  </si>
  <si>
    <t>Сафонов Валентин Андреевич</t>
  </si>
  <si>
    <t>Белы Куна 8-214</t>
  </si>
  <si>
    <t xml:space="preserve">421/1  </t>
  </si>
  <si>
    <t>Семенова Анастасия Александровна (ребенок -Семенов Павел Сергеевич 16.01.2011)</t>
  </si>
  <si>
    <t>Энтузиастов 51-3-74</t>
  </si>
  <si>
    <t xml:space="preserve">421/2  </t>
  </si>
  <si>
    <t>Ишкараева Елена Анатольевна (Ишкараев Максим Константинович 26.10.2015)</t>
  </si>
  <si>
    <t>Суздальский 9-228</t>
  </si>
  <si>
    <t xml:space="preserve">421/3 </t>
  </si>
  <si>
    <t>424-К</t>
  </si>
  <si>
    <t>Глинская Лидия Викторовна</t>
  </si>
  <si>
    <t>Стрельбищенская 4-87</t>
  </si>
  <si>
    <t xml:space="preserve">424/1  </t>
  </si>
  <si>
    <t>Рыбина Лидия Павловна</t>
  </si>
  <si>
    <t>Бухаресткая ул. 94-4-67</t>
  </si>
  <si>
    <t xml:space="preserve">434/2 </t>
  </si>
  <si>
    <t>Макаренко Ирина Марковна</t>
  </si>
  <si>
    <t>Софийская 35-6-92</t>
  </si>
  <si>
    <t xml:space="preserve">424/3  </t>
  </si>
  <si>
    <t>426-К</t>
  </si>
  <si>
    <t>Семенов Петр Николаевич</t>
  </si>
  <si>
    <t>Шлиссельбургский пр.2-1-59</t>
  </si>
  <si>
    <t xml:space="preserve">426/1  </t>
  </si>
  <si>
    <t>Щукина Татьяна Николаевна</t>
  </si>
  <si>
    <t>Бабушкина 52-122</t>
  </si>
  <si>
    <t xml:space="preserve">426/2  </t>
  </si>
  <si>
    <t>Круглова Людмила Сергеевна</t>
  </si>
  <si>
    <t>Бабушкина 96-14</t>
  </si>
  <si>
    <t xml:space="preserve">426/3  </t>
  </si>
  <si>
    <t>434-К</t>
  </si>
  <si>
    <t>Добролюбова 9-6</t>
  </si>
  <si>
    <t xml:space="preserve">434/1   </t>
  </si>
  <si>
    <t>Кухта Наталья Ивановна (Кухта Эмир Бехрузович 26.11.2020)</t>
  </si>
  <si>
    <t>Энгельса пр 58-4</t>
  </si>
  <si>
    <t>434/2.3</t>
  </si>
  <si>
    <t>443-К</t>
  </si>
  <si>
    <t>Клязьмина Елизавета Андреевна</t>
  </si>
  <si>
    <t>Кораблестроителей 37-299</t>
  </si>
  <si>
    <t xml:space="preserve">443/1,2    </t>
  </si>
  <si>
    <t>Тушинская Лариса Ивановна</t>
  </si>
  <si>
    <t>Кораблестроителей 39-497</t>
  </si>
  <si>
    <t xml:space="preserve">443/3    </t>
  </si>
  <si>
    <t>444-К</t>
  </si>
  <si>
    <t>Мезенцева Жанна Васильевна (ребенок София-Евангелина Анатольевна 04.04.2012)</t>
  </si>
  <si>
    <t>Опочинина 7 лит А,кв.54</t>
  </si>
  <si>
    <t xml:space="preserve">444/1 </t>
  </si>
  <si>
    <t>Расчихняева Валентина Васильевна (Расчихняева Мария Григорьевна 07.10.2009)</t>
  </si>
  <si>
    <t xml:space="preserve">444/3  </t>
  </si>
  <si>
    <t>448-К</t>
  </si>
  <si>
    <t>Ибрагимов Айдар Миргалиянович (Ибрагимов Марк Айдарович 14.10.2014)</t>
  </si>
  <si>
    <t>Парашютная 54-160</t>
  </si>
  <si>
    <t xml:space="preserve">448/1  </t>
  </si>
  <si>
    <t>Зотова Нина Дмитриевна</t>
  </si>
  <si>
    <t>Вавиловых 8-1-104</t>
  </si>
  <si>
    <t xml:space="preserve">448/2 </t>
  </si>
  <si>
    <t>Давыденко Кирилл Андреевич (ребенок Давыденко Даниил Кириллович 26.10.2015)</t>
  </si>
  <si>
    <t>Комендантский пр., 6-3-604</t>
  </si>
  <si>
    <t xml:space="preserve">448/3  </t>
  </si>
  <si>
    <t>449-К</t>
  </si>
  <si>
    <t>Иванова Евгения Эдуардовна (Иванов Кирилл Евгеньевич 12.12.2019)</t>
  </si>
  <si>
    <t>Стачек пр. 4б А-46</t>
  </si>
  <si>
    <t xml:space="preserve">449/1  </t>
  </si>
  <si>
    <t>Ушанова Артурэта Олеговна</t>
  </si>
  <si>
    <t>Беринга 23,корп.2-330</t>
  </si>
  <si>
    <t xml:space="preserve">449/2  </t>
  </si>
  <si>
    <t>Романова Юлия Игоревна (ребенок -Романов Даниил Сергеевич 01.12.2015)</t>
  </si>
  <si>
    <t>Энергетиков пр, 31-66</t>
  </si>
  <si>
    <t xml:space="preserve">449/3  </t>
  </si>
  <si>
    <t>451-К</t>
  </si>
  <si>
    <t>Виноградова Елизавета Павловна (Виноградова Лилия Львовна 25.07.2017)</t>
  </si>
  <si>
    <t>Ленская 11-1-256</t>
  </si>
  <si>
    <t xml:space="preserve">451/1  </t>
  </si>
  <si>
    <t>Загвоздкина Евгения Сергеевна</t>
  </si>
  <si>
    <t>Рубинштейна 26-17</t>
  </si>
  <si>
    <t xml:space="preserve">451/2   </t>
  </si>
  <si>
    <t>Упатов Алексей Викторович</t>
  </si>
  <si>
    <t>Маршала Жукова пр. 72-4-86</t>
  </si>
  <si>
    <t xml:space="preserve">451/3  </t>
  </si>
  <si>
    <t>458-К</t>
  </si>
  <si>
    <t>Шевченко Мария Николаевна</t>
  </si>
  <si>
    <t>пр. Героев 26-1-469</t>
  </si>
  <si>
    <t xml:space="preserve">458/1  </t>
  </si>
  <si>
    <t>Ягудин Вадим Гайнуллович (ребенок Ягудина Ева Вадимовна 17.07.2020)</t>
  </si>
  <si>
    <t>П. Германа 14/117-491</t>
  </si>
  <si>
    <t xml:space="preserve">458/2.3  </t>
  </si>
  <si>
    <t>459-К</t>
  </si>
  <si>
    <t>Егорова Надежда Алексеевна</t>
  </si>
  <si>
    <t>Рубинштейна 9-3-59</t>
  </si>
  <si>
    <t xml:space="preserve">459/1,2   </t>
  </si>
  <si>
    <t>Северов Станислав Александрович (ребенок Северов Антон Станиславович 20.05.2013)</t>
  </si>
  <si>
    <t xml:space="preserve">459/3 </t>
  </si>
  <si>
    <t>461-К</t>
  </si>
  <si>
    <t>Цыганкова Оксана Васильевна (ребенок Власов Андрей Александрович 09.11.2012)</t>
  </si>
  <si>
    <t>Нарвский пр. 24-48</t>
  </si>
  <si>
    <t xml:space="preserve">461/1  </t>
  </si>
  <si>
    <t>Кочанова Нина Алексеевна</t>
  </si>
  <si>
    <t>Институтский 6-26</t>
  </si>
  <si>
    <t xml:space="preserve">461/2  </t>
  </si>
  <si>
    <t>Рудакова Анна Валерьевна (Рудакова Юлия Сергеевна 08.06.2012)</t>
  </si>
  <si>
    <t>Костромской -11-128</t>
  </si>
  <si>
    <t xml:space="preserve">461/3 </t>
  </si>
  <si>
    <t>462-К</t>
  </si>
  <si>
    <t>Назарова Тамара Васильевна</t>
  </si>
  <si>
    <t>Просвещения пр.,7-2-11</t>
  </si>
  <si>
    <t xml:space="preserve">462/1 </t>
  </si>
  <si>
    <t>Котова Оксана Николаевна (Вишняк Александр Сергеевич 04.08.2010)</t>
  </si>
  <si>
    <t>Суздальский пр.,5-1-289</t>
  </si>
  <si>
    <t xml:space="preserve">462/2 </t>
  </si>
  <si>
    <t>Аверьянова Елена Николаевна (Аверьянов Вячеслав Алексеевич 23.03.2020)</t>
  </si>
  <si>
    <t>Ярославский пр 81-21</t>
  </si>
  <si>
    <t xml:space="preserve">462/3 </t>
  </si>
  <si>
    <t>463-К</t>
  </si>
  <si>
    <t>Линицкая Татьяна Владимировна (Осипова София Михайловна 03.09.2017)</t>
  </si>
  <si>
    <t>Добролюбова 25-16</t>
  </si>
  <si>
    <t xml:space="preserve">463/1  </t>
  </si>
  <si>
    <t>Филиппова Ника Павловна</t>
  </si>
  <si>
    <t>Революции ш.29-19</t>
  </si>
  <si>
    <t xml:space="preserve">463/2  </t>
  </si>
  <si>
    <t>Чупрак Елена Алексеевна (ребенок - Волкова Ольга Алексеевна 04.03.2012)</t>
  </si>
  <si>
    <t>Большая Монетная 23-6</t>
  </si>
  <si>
    <t xml:space="preserve">463/3  </t>
  </si>
  <si>
    <t>464-К</t>
  </si>
  <si>
    <t>Степняков Александр Павлович</t>
  </si>
  <si>
    <t>Типанова 29-846</t>
  </si>
  <si>
    <t xml:space="preserve">464/1  </t>
  </si>
  <si>
    <t>Хальзева Галина Петровна</t>
  </si>
  <si>
    <t>Кубинская 16-95</t>
  </si>
  <si>
    <t xml:space="preserve">464/2.3  </t>
  </si>
  <si>
    <t>465-К</t>
  </si>
  <si>
    <t>Рыкун Елена Павловна</t>
  </si>
  <si>
    <t>Пискаревский пр.,16-175</t>
  </si>
  <si>
    <t xml:space="preserve">465/1 </t>
  </si>
  <si>
    <t>Александров Григорий Николаевич</t>
  </si>
  <si>
    <t>наб. кан. Грибоедова 10-26</t>
  </si>
  <si>
    <t xml:space="preserve">465/2.3   </t>
  </si>
  <si>
    <t>467-К</t>
  </si>
  <si>
    <t xml:space="preserve">Родина Лилия Валерьевна (Родина Аделина Валерьевна  02.09.2020) </t>
  </si>
  <si>
    <t xml:space="preserve">467/2,3 </t>
  </si>
  <si>
    <t>468-К</t>
  </si>
  <si>
    <t>Хачатрян Наира Гаврушаевна</t>
  </si>
  <si>
    <t>Королева пр, 69-65</t>
  </si>
  <si>
    <t xml:space="preserve">468/1  </t>
  </si>
  <si>
    <t>Цветкова Анастасия Геннадьевна (Келарева Виктория Александровна  09.07.2010 г.р)</t>
  </si>
  <si>
    <t>Пражская ул. 21-33</t>
  </si>
  <si>
    <t xml:space="preserve">468/2  </t>
  </si>
  <si>
    <t>473-К</t>
  </si>
  <si>
    <t>Третьякова Любовь Всеволодовна</t>
  </si>
  <si>
    <t>Каменноостровский 81-41</t>
  </si>
  <si>
    <t xml:space="preserve">473/1  </t>
  </si>
  <si>
    <t>Шолпо Василий Сергеевич</t>
  </si>
  <si>
    <t>Большой пр.7-5</t>
  </si>
  <si>
    <t xml:space="preserve">473/2  </t>
  </si>
  <si>
    <t>478-К</t>
  </si>
  <si>
    <t>Терентьева Анна Валерьевна (ребенок Терентьев Егор Евгеньевич 21.07.2012)</t>
  </si>
  <si>
    <t>пр. Ветеранов171-5-2168</t>
  </si>
  <si>
    <t xml:space="preserve">478/1 </t>
  </si>
  <si>
    <t>Култышкина Анастасия Игоревна</t>
  </si>
  <si>
    <t>Товарищевский пр. ,д.9 лит А,кв.69</t>
  </si>
  <si>
    <t>478/2</t>
  </si>
  <si>
    <t xml:space="preserve"> 12.05.2026</t>
  </si>
  <si>
    <t>Удалова Виктория Ивановна (ребенок- Удалов Вячеслав Александрович 05.10.2015)</t>
  </si>
  <si>
    <t>М.Блюхера 59-259</t>
  </si>
  <si>
    <t xml:space="preserve">478/3  </t>
  </si>
  <si>
    <t>479-К</t>
  </si>
  <si>
    <t>Салиева Маргарита Серапионовна</t>
  </si>
  <si>
    <t>Композиторов 33-3-71</t>
  </si>
  <si>
    <t xml:space="preserve">479/1 </t>
  </si>
  <si>
    <t>Либова Надежда Леонидовна</t>
  </si>
  <si>
    <t>Тихоокеанская 14-2-268</t>
  </si>
  <si>
    <t xml:space="preserve">479/2 </t>
  </si>
  <si>
    <t>Стриженко Оксана Викторовна</t>
  </si>
  <si>
    <t>ул.Красных Партизан 8-36</t>
  </si>
  <si>
    <t xml:space="preserve">479/3   </t>
  </si>
  <si>
    <t>480-К</t>
  </si>
  <si>
    <t>Цуркану  Тамара Ивановна</t>
  </si>
  <si>
    <t>г.Зеленогорск ,ул. Привокзальная, 3-161</t>
  </si>
  <si>
    <t xml:space="preserve">480/1  </t>
  </si>
  <si>
    <t>Бугодярова Кира Миннибариевна</t>
  </si>
  <si>
    <t>Победы ул. 16-48</t>
  </si>
  <si>
    <t xml:space="preserve">480/2  </t>
  </si>
  <si>
    <t>Мирзоева Халида Герай Кызы (Артемова Алиса Алексеевна 16.01.2021)</t>
  </si>
  <si>
    <t>Среднерогатская  14-1-стр.1-448</t>
  </si>
  <si>
    <t xml:space="preserve">480/3 </t>
  </si>
  <si>
    <t>491-К</t>
  </si>
  <si>
    <t>Ленская 5- лит.А, кв.42</t>
  </si>
  <si>
    <t xml:space="preserve">491/1  </t>
  </si>
  <si>
    <t>Семенова Валентина Александровна</t>
  </si>
  <si>
    <t>Луначарского пр. 108-3-74</t>
  </si>
  <si>
    <t xml:space="preserve">491/2  </t>
  </si>
  <si>
    <t>Семенова Ольга Владимировна (ребенок Палаус Маргарита Владимировна 16.12.2010)</t>
  </si>
  <si>
    <t>Пейзажная 10-1-280</t>
  </si>
  <si>
    <t xml:space="preserve">491/3   </t>
  </si>
  <si>
    <t>492-К</t>
  </si>
  <si>
    <t>Ежелева Елена Александровна (Мирошниченко Игнатий Сергеевич 12.03.2024)</t>
  </si>
  <si>
    <t>Ольги Форш 17-1-220</t>
  </si>
  <si>
    <t xml:space="preserve">492/1  </t>
  </si>
  <si>
    <t>Гриб Пантелеймон Андреевич</t>
  </si>
  <si>
    <t>Софьи Ковалевской 3-3-155</t>
  </si>
  <si>
    <t xml:space="preserve">492/2  </t>
  </si>
  <si>
    <t>Попова Валентина Сергеевна</t>
  </si>
  <si>
    <t>Учительская 8-145</t>
  </si>
  <si>
    <t xml:space="preserve">492/3 </t>
  </si>
  <si>
    <t>493-К</t>
  </si>
  <si>
    <t>Соломин Николай Иванович</t>
  </si>
  <si>
    <t>Якорная 4-32</t>
  </si>
  <si>
    <t>493/1</t>
  </si>
  <si>
    <t xml:space="preserve"> 22.04.2026</t>
  </si>
  <si>
    <t>Калинина Полина Андреевна (Паршинков Андрей Романович 23.10.2009)</t>
  </si>
  <si>
    <t>Непокоренных пр.,49-2-203</t>
  </si>
  <si>
    <t xml:space="preserve">493/2  </t>
  </si>
  <si>
    <t>Назарова Наталия Анатольевна</t>
  </si>
  <si>
    <t>Маршала Захарова 10-1-280</t>
  </si>
  <si>
    <t xml:space="preserve">493/3  </t>
  </si>
  <si>
    <t>495-К</t>
  </si>
  <si>
    <t xml:space="preserve">Рубинштейн Леонид Ушерович </t>
  </si>
  <si>
    <t xml:space="preserve">495/1  </t>
  </si>
  <si>
    <t>Пильц Мария Николаевна</t>
  </si>
  <si>
    <t>Краснодонская 4-5</t>
  </si>
  <si>
    <t xml:space="preserve">495/2  </t>
  </si>
  <si>
    <t>Колпино Заводской пр,18-38</t>
  </si>
  <si>
    <t xml:space="preserve">495/3  </t>
  </si>
  <si>
    <t>333г-К</t>
  </si>
  <si>
    <t>Евстафьева Лидия Михайловна</t>
  </si>
  <si>
    <t>Художников 26-4-123</t>
  </si>
  <si>
    <t xml:space="preserve">333г/1  </t>
  </si>
  <si>
    <t>Митюкова Александра Рафаиловна</t>
  </si>
  <si>
    <t>Южное ш. 72-8</t>
  </si>
  <si>
    <t xml:space="preserve">333/3  </t>
  </si>
  <si>
    <t>1-З</t>
  </si>
  <si>
    <t>Мисуно Нина Васильевна</t>
  </si>
  <si>
    <t>ул.Наличная,д.36,к.3, кв.134</t>
  </si>
  <si>
    <t xml:space="preserve">1/1 З </t>
  </si>
  <si>
    <t>Афанасьева Лариса Алексеевна (реб. Голубкова Анна Артемовна, 30.05.2015г.р.)</t>
  </si>
  <si>
    <t>ул.Будапештская,  д.114,л.А, кв.379</t>
  </si>
  <si>
    <t xml:space="preserve">1/2-3 З </t>
  </si>
  <si>
    <t>Галкин Фёдор Александрович</t>
  </si>
  <si>
    <t>ул.Кирочная,д.4,кв.2</t>
  </si>
  <si>
    <t>1/4 З</t>
  </si>
  <si>
    <t>Колпышев Валерий Николаевич</t>
  </si>
  <si>
    <t>Морская наб.,д.17, кв.317</t>
  </si>
  <si>
    <t>1/5-6 З</t>
  </si>
  <si>
    <t xml:space="preserve"> 25.04.26</t>
  </si>
  <si>
    <t>10-З</t>
  </si>
  <si>
    <t>Хаецкая Лилия Трофимовна</t>
  </si>
  <si>
    <t>ул.Уточкина,д.2,к.1, кв.65</t>
  </si>
  <si>
    <t xml:space="preserve">10/1-2 З </t>
  </si>
  <si>
    <t>Осыпкина Вера Николаевна</t>
  </si>
  <si>
    <t>пр.Королева,д.27,к.1, кв.339</t>
  </si>
  <si>
    <t>10/3-4 З</t>
  </si>
  <si>
    <t>Тависова Юлия Маратовна</t>
  </si>
  <si>
    <t>ул.Пионерстроя, д.27, кв.34</t>
  </si>
  <si>
    <t>10/5-7 З</t>
  </si>
  <si>
    <t>12-З</t>
  </si>
  <si>
    <t>Бирбиренкова Елена Владимировна (реб.Кузнецов Евгений Станиславович, 04.10.2011г.р.)</t>
  </si>
  <si>
    <t>ул. Академика Лебедева, д.20, кв.17</t>
  </si>
  <si>
    <t xml:space="preserve">12/3 З </t>
  </si>
  <si>
    <t>56-З</t>
  </si>
  <si>
    <t>Рынцева Ольга Емельяновна</t>
  </si>
  <si>
    <t>ул.Орджоникидзе, д.55,кв.178</t>
  </si>
  <si>
    <t>56/1-2 З</t>
  </si>
  <si>
    <t>Колесова Светлана Андреевна (реб. Колесова Мария Станиславовна,18.06.2018г.р.)</t>
  </si>
  <si>
    <t>п.Парголово,ул.Тихоокеанская, д.5,кв.80</t>
  </si>
  <si>
    <t>56/3-4 З</t>
  </si>
  <si>
    <t>Иванцова Татьяна Маратовна (реб. Вартазаров Михаил Артемович 24.03.2019г.р.)</t>
  </si>
  <si>
    <t>ул. Композиторов,д.12, кв.930</t>
  </si>
  <si>
    <t>56/5-6 З</t>
  </si>
  <si>
    <t xml:space="preserve"> 06.05.2026</t>
  </si>
  <si>
    <t>Минина Евгения Михайловна</t>
  </si>
  <si>
    <t>пр.Просвещения, д.72,кв.176</t>
  </si>
  <si>
    <t>56/7 З</t>
  </si>
  <si>
    <t>98-З</t>
  </si>
  <si>
    <t>Малиновская Александра Дмитриевна (реб. Малиновская Надежда Денисовна, 14.04.2016г.р.)</t>
  </si>
  <si>
    <t>п.Шушары,Московское ш.,д.258,к.1,стр.1,кв.26</t>
  </si>
  <si>
    <t>98/3 З</t>
  </si>
  <si>
    <t>107-З</t>
  </si>
  <si>
    <t>Ликириченко Анастасия Александровна  (реб. Ликириченко Леонид Алексеевич, 06.07.2016г.р.)</t>
  </si>
  <si>
    <t>ул.Профессора Попова, д.43, кв.4</t>
  </si>
  <si>
    <t>107/1 З</t>
  </si>
  <si>
    <t>Воронина Маргарита Викторовна (реб.Кулаков Данила Романович, 22.06.217г.р.)</t>
  </si>
  <si>
    <t>ул.Олеко Дундича,д.29, стр.1,кв.137</t>
  </si>
  <si>
    <t xml:space="preserve">107/10-11 З </t>
  </si>
  <si>
    <t>Колобова Светлана Яковлевна</t>
  </si>
  <si>
    <t>ул.Бухарестская, д.114,к.1, кв.155</t>
  </si>
  <si>
    <t>107/6 З</t>
  </si>
  <si>
    <t>Веселов Виктор Борисович</t>
  </si>
  <si>
    <t>Средний В.О.пр-кт, д.35, кв.6</t>
  </si>
  <si>
    <t xml:space="preserve">107/7-8  З </t>
  </si>
  <si>
    <t>Схаб Зарема Алиевна</t>
  </si>
  <si>
    <t>ул.Восстания, д.37,кв.27</t>
  </si>
  <si>
    <t>107/9  З</t>
  </si>
  <si>
    <t>110-З</t>
  </si>
  <si>
    <t>Лаврентьева Маргарита Михайловна</t>
  </si>
  <si>
    <t>Гражданский пр., д.79,к.3,кв.82</t>
  </si>
  <si>
    <t xml:space="preserve">110/1 З </t>
  </si>
  <si>
    <t>Дудорова Элли Семеновна</t>
  </si>
  <si>
    <t>ул. Маршала Тухачевского, д.9, кв. 85</t>
  </si>
  <si>
    <t xml:space="preserve">110/8,10 З </t>
  </si>
  <si>
    <t>Сладкова Светлана Леонидовна</t>
  </si>
  <si>
    <t>Витебский пр., д.61,к.5,  кв83</t>
  </si>
  <si>
    <t>110/11 З</t>
  </si>
  <si>
    <t>Большаков Николай Александрович</t>
  </si>
  <si>
    <t>пр.Художников, д.33,к.1, кв.476</t>
  </si>
  <si>
    <t xml:space="preserve">110/2-3 З </t>
  </si>
  <si>
    <t>Логгер Валерий Георгиевич</t>
  </si>
  <si>
    <t>Московский пр, д.220, кв371</t>
  </si>
  <si>
    <t xml:space="preserve">110/4 З </t>
  </si>
  <si>
    <t>Филиппова Нина Николаевна</t>
  </si>
  <si>
    <t>ул.Софийская,д.41, к.2, кв.87</t>
  </si>
  <si>
    <t>110/5 З</t>
  </si>
  <si>
    <t>Мнацаканова Екатерина Львовна</t>
  </si>
  <si>
    <t>СПб, ул.Добровольцев, д.10,к.2, кв.119</t>
  </si>
  <si>
    <t>110/6 З</t>
  </si>
  <si>
    <t>Раевская Яна Валерьевна (реб.Раевский Геннадий Владимирович,14.09.2014</t>
  </si>
  <si>
    <t>пр.Маршала Жукова, д20,кв.18</t>
  </si>
  <si>
    <t>110/7 З</t>
  </si>
  <si>
    <t>Чугунов Владимир Александрович (реб.Чугунова Роксана Владимировна, 20.10.2018г.р.)</t>
  </si>
  <si>
    <t>Серебристый б-р, д.12, к.1,кв.108</t>
  </si>
  <si>
    <t>110/9 З</t>
  </si>
  <si>
    <t>118-З</t>
  </si>
  <si>
    <t>Лепихова Раиса Дмитриевна</t>
  </si>
  <si>
    <t>пр.Королева,д.48,к.3, кв.55</t>
  </si>
  <si>
    <t xml:space="preserve">118/1-2 З </t>
  </si>
  <si>
    <t>Онуфриенко Андрей Николаевич (реб. Онуфриенко Ярослав Андреевич, 26.01.2015г.р.)</t>
  </si>
  <si>
    <t>В.О.26-я линия,д.7, стр.1, кв.2403</t>
  </si>
  <si>
    <t xml:space="preserve">118/10-11 З </t>
  </si>
  <si>
    <t>Крутова Светлана Геннадьевна (реб. Крутов Максимилиан Алексеевич, 10.04.2018г.р.)</t>
  </si>
  <si>
    <t>пр.Славы, д.7, к.1,кв.136</t>
  </si>
  <si>
    <t>118/12 З</t>
  </si>
  <si>
    <t>Покровская Мария Александровна (реб. Покровская Анастасия Юрьевна, 14.08.2011г.р.)</t>
  </si>
  <si>
    <t>В.О.9-я линия,д.48, лит.А, кв.90</t>
  </si>
  <si>
    <t xml:space="preserve">118/13 З </t>
  </si>
  <si>
    <t>Голубенкова Тамара Леонидовна</t>
  </si>
  <si>
    <t>ул.Тверская, д.20,кв.79</t>
  </si>
  <si>
    <t xml:space="preserve">118/14-15 З </t>
  </si>
  <si>
    <t>Шабанова Галина Анатольевна</t>
  </si>
  <si>
    <t>пр.Стачек, д.164,кв.24</t>
  </si>
  <si>
    <t>118/3 З</t>
  </si>
  <si>
    <t xml:space="preserve"> 06.05.26</t>
  </si>
  <si>
    <t>Гуляйкина Валентина Васильевна</t>
  </si>
  <si>
    <t>ул.Лени Голикова, д.98,к.2,кв.71</t>
  </si>
  <si>
    <t>118/4 З</t>
  </si>
  <si>
    <t>Прокофьева Юлия Викторовна (реб. Прокофьева Юлия Романовна, 06.05.2015)</t>
  </si>
  <si>
    <t>ул.Кораблестроителей, д40, к.2 л.А, кв.60</t>
  </si>
  <si>
    <t xml:space="preserve">118/5 З </t>
  </si>
  <si>
    <t>Эрстэд Наталья Михайловна (реб.Соболь Василий Юрьевич,30.06.2021г.р.)</t>
  </si>
  <si>
    <t>пр.Луночарского,д.58,к.3, кв.6</t>
  </si>
  <si>
    <t xml:space="preserve">118/6 З </t>
  </si>
  <si>
    <t>Лобачевская Лариса Михайловна</t>
  </si>
  <si>
    <t>ул.Софийская,д.38, к.1, кв.188</t>
  </si>
  <si>
    <t>118/7 З</t>
  </si>
  <si>
    <t>Стребкова Алла Равильевна (реб. Стребков Лука Сергеевич, 11.01.2015г.р.)</t>
  </si>
  <si>
    <t>ул.Байконурская, д.5,к.1,кв.459</t>
  </si>
  <si>
    <t xml:space="preserve">118/8-9 З </t>
  </si>
  <si>
    <t>134-З</t>
  </si>
  <si>
    <t>Иванова Наталья Михайловна</t>
  </si>
  <si>
    <t>ул.Карпинского,д.22, кв.126</t>
  </si>
  <si>
    <t xml:space="preserve">134/1 З </t>
  </si>
  <si>
    <t>Гоев Антон Викторович</t>
  </si>
  <si>
    <t>пр.Королева,д.63,к.1, кв.200</t>
  </si>
  <si>
    <t>134/2 З</t>
  </si>
  <si>
    <t>Зюрзя Анатолий Николаевич</t>
  </si>
  <si>
    <t>Северный пр.,д.16,к.1, кв.239</t>
  </si>
  <si>
    <t xml:space="preserve">134/3 З </t>
  </si>
  <si>
    <t>Лубянко Паулина Исаевна</t>
  </si>
  <si>
    <t>Московский пр, д.193, кв119</t>
  </si>
  <si>
    <t>134/4 З</t>
  </si>
  <si>
    <t>Данилкина Дарья Геннадьевна (реб.Каргалёв Марк Владимирович,25.07.2021г.р.)</t>
  </si>
  <si>
    <t>Ленинский пр., д.64,к.1, кв.749</t>
  </si>
  <si>
    <t xml:space="preserve">134/5 З </t>
  </si>
  <si>
    <t>Шепсенвол Леонид Аронович</t>
  </si>
  <si>
    <t>ул.Таврическая, д.11, кв.1</t>
  </si>
  <si>
    <t xml:space="preserve">134/6-7 З </t>
  </si>
  <si>
    <t>Архарова Галина Ивановна</t>
  </si>
  <si>
    <t>Дачный пр., д19, к.1,кв.86</t>
  </si>
  <si>
    <t>134/8  З</t>
  </si>
  <si>
    <t>Иванова Снежана Сергеевна (реб. Кулешов Кирилл Денисович, 28.06.2017г.р.)</t>
  </si>
  <si>
    <t>ул.Седова, д.17,к.2, кв.23</t>
  </si>
  <si>
    <t xml:space="preserve">134/9 З </t>
  </si>
  <si>
    <t>140-З</t>
  </si>
  <si>
    <t>Грибов Артур Андреевич</t>
  </si>
  <si>
    <t>ул. Краснопутиловская, д.98, кв.21</t>
  </si>
  <si>
    <t xml:space="preserve">140/1-2  З </t>
  </si>
  <si>
    <t>Машкова Наталия Валерьевна (реб.Машков Артем Владимирович, 04.02.2019г.р.)</t>
  </si>
  <si>
    <t>Измайловский пр., д.18, кв.136</t>
  </si>
  <si>
    <t xml:space="preserve">140/3,4,5  З </t>
  </si>
  <si>
    <t>141-З</t>
  </si>
  <si>
    <t>Головина Татьяна Евгеньевна</t>
  </si>
  <si>
    <t>Брестский б/р,  д.19/17, кв.72</t>
  </si>
  <si>
    <t xml:space="preserve">141/1 З </t>
  </si>
  <si>
    <t>Лебедева Мария Евгеньевна (реб. Сванидзе Давид Лашевич, 03.10.2013г.р.)</t>
  </si>
  <si>
    <t>Дерптский пер.,д13, кв34</t>
  </si>
  <si>
    <t>141/2  З</t>
  </si>
  <si>
    <t xml:space="preserve"> 21.04.26</t>
  </si>
  <si>
    <t>142-З</t>
  </si>
  <si>
    <t>Гуралюк Роман Игнатьевич</t>
  </si>
  <si>
    <t>наб.реки Фонтанки, д.119, кв.11</t>
  </si>
  <si>
    <t xml:space="preserve">142/1 З </t>
  </si>
  <si>
    <t>Лисенкова Алла Игоревна (реб. Лисенков Филипп Сергеевич,12.01.2020г.р.)</t>
  </si>
  <si>
    <t>ул. Парашютная,д.38, к.1,кв.25</t>
  </si>
  <si>
    <t xml:space="preserve">142/2-3 З </t>
  </si>
  <si>
    <t>189-З</t>
  </si>
  <si>
    <t>Ольховская Вероника Александровна (реб. Ольховский Даниил Станиславович, 31.07.2013г.р.)</t>
  </si>
  <si>
    <t>ул. Тамбовская, д.45,кв.12</t>
  </si>
  <si>
    <t xml:space="preserve">189 З </t>
  </si>
  <si>
    <t>253-З</t>
  </si>
  <si>
    <t>Васянович Елена Игоревна (реб. Васянович Сергей Александрович, 29.09.2015г.р.)</t>
  </si>
  <si>
    <t>ул.Мичманская, д2,к.1, кв.127</t>
  </si>
  <si>
    <t>253/1 З</t>
  </si>
  <si>
    <t>Акимова Наталия Борисовна</t>
  </si>
  <si>
    <t>ул.Б.Конюшенная, д.13,кв.26</t>
  </si>
  <si>
    <t>253/2 З</t>
  </si>
  <si>
    <t>Мендельсон Юлия  Владимировна (реб. Мендельсон Петр Никитич, 04.08.2017г.р.)</t>
  </si>
  <si>
    <t>ул. Подвойского, д.13,к.2, кв.17</t>
  </si>
  <si>
    <t>253/3 З</t>
  </si>
  <si>
    <t>255-З</t>
  </si>
  <si>
    <t>Завьялова Галина Павловна</t>
  </si>
  <si>
    <t>Северный пр. д.87,к.1,кв.96</t>
  </si>
  <si>
    <t xml:space="preserve">255/1 З </t>
  </si>
  <si>
    <t>Атюшова Ольга Валерьевна</t>
  </si>
  <si>
    <t>Пискаревский пр. д.10, кв.235</t>
  </si>
  <si>
    <t xml:space="preserve">255/2 З </t>
  </si>
  <si>
    <t>Коваленко Валентина Ивановна</t>
  </si>
  <si>
    <t>ш. Революции, д.37, к.1, кв.47</t>
  </si>
  <si>
    <t>255/3  З</t>
  </si>
  <si>
    <t>256-З</t>
  </si>
  <si>
    <t>Яскевич Михаил Филиппович</t>
  </si>
  <si>
    <t>пр.Кронверкский,д.59, кв.29</t>
  </si>
  <si>
    <t xml:space="preserve">256/1 З </t>
  </si>
  <si>
    <t>Кононова Ольга Анатольевна  (реб. Кононов Даниил Владимирович, 28.11.2013г.р.)</t>
  </si>
  <si>
    <t>пр. Ветеранов, д.76, кв.249</t>
  </si>
  <si>
    <t xml:space="preserve">256/2 З </t>
  </si>
  <si>
    <t>Черноусова Галина Филипповна</t>
  </si>
  <si>
    <t>пр.Маршала Жукова, д18. кв.38</t>
  </si>
  <si>
    <t>256/3 З</t>
  </si>
  <si>
    <t>257-З</t>
  </si>
  <si>
    <t>Георгиевская Наталья Тихоновна</t>
  </si>
  <si>
    <t>Ланское ш.,д.33, к.1,кв.36</t>
  </si>
  <si>
    <t xml:space="preserve">257/1,2 З </t>
  </si>
  <si>
    <t>Щемелева Людмила Григорьевна</t>
  </si>
  <si>
    <t>Богатырский пр.,д.39, к.2,кв.137</t>
  </si>
  <si>
    <t xml:space="preserve">257/3 З </t>
  </si>
  <si>
    <t>258-З</t>
  </si>
  <si>
    <t>Хохлова Татьяна Алексеевна (реб. Шполянская София Евгеньевна, 30.06.2009г.р.)</t>
  </si>
  <si>
    <t>Придорожная аллея, д.5,кв.81</t>
  </si>
  <si>
    <t>258/1 З</t>
  </si>
  <si>
    <t>Сергеев Фёдор Сергеевич (реб. Сергеев Михаил Фёдорович, 04.09.2020г.р.)</t>
  </si>
  <si>
    <t>Дальневосточный пр., д.19,к.1, кв.217</t>
  </si>
  <si>
    <t xml:space="preserve">258/2-3 З </t>
  </si>
  <si>
    <t>259-З</t>
  </si>
  <si>
    <t>Белышева Людмила Андреевна</t>
  </si>
  <si>
    <t>Светлановский пр., д.115,к.2, кв.243</t>
  </si>
  <si>
    <t>259/2 З</t>
  </si>
  <si>
    <t>Иванова Галина Георгиевна</t>
  </si>
  <si>
    <t>ул.Оптиков, д.34,к.2, кв.148</t>
  </si>
  <si>
    <t xml:space="preserve">259/3 З </t>
  </si>
  <si>
    <t>3-У</t>
  </si>
  <si>
    <t>Железняков Валентин Олегович (реб. Железняков Артем Валентинович, 20.11.2017г.р.)</t>
  </si>
  <si>
    <t>Гражданский пр., д.24,кв.132</t>
  </si>
  <si>
    <t xml:space="preserve">3/1 У </t>
  </si>
  <si>
    <t>Старшинов Алексей Павлович</t>
  </si>
  <si>
    <t>ул.Воскова,д.27/18, кв.9</t>
  </si>
  <si>
    <t>3/2 У</t>
  </si>
  <si>
    <t>Плотникова Маргарита Сергеевна</t>
  </si>
  <si>
    <t>ул.Белградская,д.32, кв.16</t>
  </si>
  <si>
    <t>3/3 У</t>
  </si>
  <si>
    <t>16-У</t>
  </si>
  <si>
    <t>Новожилов Сергей Анатольевич</t>
  </si>
  <si>
    <t>Лиговский пр.,д.3/9, кв.48</t>
  </si>
  <si>
    <t>16/1-2 У</t>
  </si>
  <si>
    <t>20-У</t>
  </si>
  <si>
    <t>Чайка Виктория Николаевна (реб.Каськ Эльза Александровна,01.01.2011г.р.)</t>
  </si>
  <si>
    <t>Ленинский пр.,д.55,к.1, кв.118</t>
  </si>
  <si>
    <t>20/1 У</t>
  </si>
  <si>
    <t>Ярмолович Татьяна Алексеевна (реб.Дусь Милитина Александровна, 27.01.2023г.р.)</t>
  </si>
  <si>
    <t>б-р Красных Зорь,д.6, кв.1</t>
  </si>
  <si>
    <t>20/2 У</t>
  </si>
  <si>
    <t>Еремина Светлана Владимировна</t>
  </si>
  <si>
    <t>ул. Малая Бухарестская, д.10, к.1, кв.40</t>
  </si>
  <si>
    <t>20/3 У</t>
  </si>
  <si>
    <t>22-Р</t>
  </si>
  <si>
    <t>Фомин Дмитрий Хацкелевич</t>
  </si>
  <si>
    <t>ул.Купчинская, д.8,к.1, кв.724</t>
  </si>
  <si>
    <t>22/1-2  Р</t>
  </si>
  <si>
    <t>Зубятова Инна Ивановна</t>
  </si>
  <si>
    <t>ул.Софийская,д.33, к.2, кв.53</t>
  </si>
  <si>
    <t xml:space="preserve">22/3  Р </t>
  </si>
  <si>
    <t>Нуретдинова Галия Шамильевна (реб.Нуретдинов Евгений Анатольевич, 01.04.2020г.р.)</t>
  </si>
  <si>
    <t>ул. Белградская, д.44, кв.46</t>
  </si>
  <si>
    <t>22/4  Р</t>
  </si>
  <si>
    <t>Власова Людмила Павловна</t>
  </si>
  <si>
    <t>пр.Славы, д.39,кв.51</t>
  </si>
  <si>
    <t>22/5  Р</t>
  </si>
  <si>
    <t>Пермякова Лилия Александровна (реб. Пермяков Мирослав Алексеевич, 30.06.2017г.р.)</t>
  </si>
  <si>
    <t>ул.Бухарестская, д.66,к.2, кв.80</t>
  </si>
  <si>
    <t>22/6  Р</t>
  </si>
  <si>
    <t>248-Р</t>
  </si>
  <si>
    <t>Воронина Ирина Николаевна</t>
  </si>
  <si>
    <t>ул.Бутлерова,д.32, кв.221</t>
  </si>
  <si>
    <t>248/3 Р</t>
  </si>
  <si>
    <t>249-Р</t>
  </si>
  <si>
    <t>Кулик Илья Сергеевич (реб.Кулик Лев Ильич-27.12.2017г.р.)</t>
  </si>
  <si>
    <t>В.О. 11линия,д.52,кв.3</t>
  </si>
  <si>
    <t>249/1 Р</t>
  </si>
  <si>
    <t>Благовеева Анастасия Алексеевна</t>
  </si>
  <si>
    <t>Кронверкский пр., д.69, л.Б, кв.9</t>
  </si>
  <si>
    <t xml:space="preserve">249/2 Р </t>
  </si>
  <si>
    <t>Новикова Татьяна Сергеевна</t>
  </si>
  <si>
    <t>ул.Кирилловская,д.17, кв.46</t>
  </si>
  <si>
    <t>249/3 Р</t>
  </si>
  <si>
    <t>264-Р</t>
  </si>
  <si>
    <t>Литвин Мария Александровна (реб.Литвин Арсений Витальевич, 29.04.2010г.р.)</t>
  </si>
  <si>
    <t>Малый В.О. пр-кт, д.63/14.стр.1,кв.29</t>
  </si>
  <si>
    <t>264/2 Р</t>
  </si>
  <si>
    <t>Голикова Вера Сергеевна (реб.Голиков Ян Андреевич, 01.09.2017г.р.)</t>
  </si>
  <si>
    <t>ул.Мебельная, д.47, к.1,кв.660</t>
  </si>
  <si>
    <t>264/3 Р</t>
  </si>
  <si>
    <t>265-Р</t>
  </si>
  <si>
    <t>Курлаев Александр Михайлович (реб. Курлаев Мирослав Александрович, 14.06.2015г.р.)</t>
  </si>
  <si>
    <t>СПб, ул.Федосеенко,д.16,л.А, кв.18</t>
  </si>
  <si>
    <t>265/3 Р</t>
  </si>
  <si>
    <t>Камалетдинова Саида Исмаиловна</t>
  </si>
  <si>
    <t>Ленинский пр., д.92,к.1, кв.329</t>
  </si>
  <si>
    <t xml:space="preserve">265/2 Р </t>
  </si>
  <si>
    <t>30-ВД</t>
  </si>
  <si>
    <t>Глушинская Нина Алексеевна</t>
  </si>
  <si>
    <t>пр.Светлановский, д.117, кв.143</t>
  </si>
  <si>
    <t>30 ВД</t>
  </si>
  <si>
    <t xml:space="preserve"> Тракторная 13-19</t>
  </si>
  <si>
    <t>ул.5-я Красноармейская 24-11</t>
  </si>
  <si>
    <t>3-я Красноармейская 10-50</t>
  </si>
  <si>
    <t>ул.Садовая 90-13</t>
  </si>
  <si>
    <t xml:space="preserve"> пер.Бойцова 4-63</t>
  </si>
  <si>
    <t xml:space="preserve"> Малодетскосельский пр. 36-92</t>
  </si>
  <si>
    <t xml:space="preserve"> Бумажная 22-2-38</t>
  </si>
  <si>
    <t xml:space="preserve"> пр.Римского-Корсакова 85-48</t>
  </si>
  <si>
    <t xml:space="preserve"> 7 я Красноармейская 9-11</t>
  </si>
  <si>
    <t>ул.Можайская 2-20</t>
  </si>
  <si>
    <t xml:space="preserve"> наб реки Мойки 112-27</t>
  </si>
  <si>
    <t>Степана Разина 15-32</t>
  </si>
  <si>
    <t>Константина Заслонова 14-4</t>
  </si>
  <si>
    <t>Тзмайловский б 4-1-27</t>
  </si>
  <si>
    <t>Старо-Петергофский 18-6</t>
  </si>
  <si>
    <t>Садовая 49-17</t>
  </si>
  <si>
    <t>наб кан Грибоедова 160-7</t>
  </si>
  <si>
    <t>Якубовича 22-15</t>
  </si>
  <si>
    <t>Можайская 2-5</t>
  </si>
  <si>
    <t>Тракторная 13-19</t>
  </si>
  <si>
    <t>Садовая 66-5</t>
  </si>
  <si>
    <t>Галерная 52-3</t>
  </si>
  <si>
    <t>Металлистов 117-813</t>
  </si>
  <si>
    <t>пр.Лиговский 63-20</t>
  </si>
  <si>
    <t>Гражданский 128-1-35</t>
  </si>
  <si>
    <t>ул. Народная 2-153</t>
  </si>
  <si>
    <t>Крыленко 21-2</t>
  </si>
  <si>
    <t>ул. Л.Пилютова 44-2-168</t>
  </si>
  <si>
    <t>Кораблестроителей 22-1-43</t>
  </si>
  <si>
    <t>Н.Ополчения 229-62</t>
  </si>
  <si>
    <t>Лени Голикова 52-4-22</t>
  </si>
  <si>
    <t>Тамбасова 2-3-91</t>
  </si>
  <si>
    <t>ул.Мончегорская 7-3</t>
  </si>
  <si>
    <t>Большой пр 16-28</t>
  </si>
  <si>
    <t>ул. М.Захарова 18-2-203</t>
  </si>
  <si>
    <t>Двинская 14-4-237</t>
  </si>
  <si>
    <t>Искровский 3-2-347</t>
  </si>
  <si>
    <t>Ленинский 92-3-783</t>
  </si>
  <si>
    <t>Бонч Бруевича 3-4</t>
  </si>
  <si>
    <t>пр. Художников 24-3-4</t>
  </si>
  <si>
    <t>Белградская 32-28</t>
  </si>
  <si>
    <t>Наличная ул. 37-1-21</t>
  </si>
  <si>
    <t>Яхтенная 10-3-234</t>
  </si>
  <si>
    <t>Суворовский 39-33</t>
  </si>
  <si>
    <t>Стачек 75-34</t>
  </si>
  <si>
    <t>Гражданский 36-2</t>
  </si>
  <si>
    <t>Загребский бул. 19-1-общ.</t>
  </si>
  <si>
    <t>ул. Туристская 15-1-364</t>
  </si>
  <si>
    <t>Ленинский 119-147</t>
  </si>
  <si>
    <t>Ул. Мичуринская 13-33</t>
  </si>
  <si>
    <t>Орджоникидзе 41-2-122</t>
  </si>
  <si>
    <t>Ленинский пр 111-1-319</t>
  </si>
  <si>
    <t>Караваевская 25-3-37</t>
  </si>
  <si>
    <t>Гражданский 85-135</t>
  </si>
  <si>
    <t>Большеохтинский пр. 6-162</t>
  </si>
  <si>
    <t>Народная 6-59</t>
  </si>
  <si>
    <t>Карпинского 28-1-219</t>
  </si>
  <si>
    <t>Дыбенко 17-1-137</t>
  </si>
  <si>
    <t>Славы 29-117</t>
  </si>
  <si>
    <t>Искровский 4-1-242</t>
  </si>
  <si>
    <t>М.Жукова 72-2-197</t>
  </si>
  <si>
    <t xml:space="preserve"> Муринская дор. 8-2-184</t>
  </si>
  <si>
    <t>Меньшиковский 17-59</t>
  </si>
  <si>
    <t>Пр Непокоренных 16-1-557</t>
  </si>
  <si>
    <t>Белградская 28-6-63</t>
  </si>
  <si>
    <t>ул. Варшавская 79-65</t>
  </si>
  <si>
    <t>Вавиловых 15-1-209</t>
  </si>
  <si>
    <t>Прибрежная 4-121</t>
  </si>
  <si>
    <t>Народная 53-2-35</t>
  </si>
  <si>
    <t>Науки 14-2-154</t>
  </si>
  <si>
    <t>Малыгина 6-6</t>
  </si>
  <si>
    <t>Приморский пр. 145-2-80</t>
  </si>
  <si>
    <t>Доблести 26-2-220</t>
  </si>
  <si>
    <t>М.Жукова 18-21</t>
  </si>
  <si>
    <t>Ветеранов 59-41</t>
  </si>
  <si>
    <t>Мечникова 10-186</t>
  </si>
  <si>
    <t>Тореза 38-1-56</t>
  </si>
  <si>
    <t>М. Казакова 68-1-669</t>
  </si>
  <si>
    <t>Муринская д 80-1-13</t>
  </si>
  <si>
    <t>Политехническая 17-3-64</t>
  </si>
  <si>
    <t>Ивана Черных 11 А</t>
  </si>
  <si>
    <t>Наставников 21-54</t>
  </si>
  <si>
    <t>Ситцевая 11-1-118</t>
  </si>
  <si>
    <t>Пловдивская 2-107</t>
  </si>
  <si>
    <t>Кранопутиловская 28/20-11</t>
  </si>
  <si>
    <t>Тихорецкий пр 25-4-30</t>
  </si>
  <si>
    <t>Александровской фермы 9-60</t>
  </si>
  <si>
    <t>Новгородская 26-36</t>
  </si>
  <si>
    <t>Северный 93-116</t>
  </si>
  <si>
    <t>Решетникова 13-86</t>
  </si>
  <si>
    <t>Буденного 21-1-176</t>
  </si>
  <si>
    <t>М. Тухачевского 33-155</t>
  </si>
  <si>
    <t>Воронежская 31-18</t>
  </si>
  <si>
    <t>Кронверкский 51-4</t>
  </si>
  <si>
    <t>Тихорецкий 25-1-159</t>
  </si>
  <si>
    <t>Ольги Форш 17-1-85</t>
  </si>
  <si>
    <t>Рыбацкий 19-1-51</t>
  </si>
  <si>
    <t>Коллонтай 2-1-341</t>
  </si>
  <si>
    <t>Народная 53-2-122</t>
  </si>
  <si>
    <t>пр. Светлановский 48/19-167</t>
  </si>
  <si>
    <t>Будапештская 98-3-297</t>
  </si>
  <si>
    <t>Богатырский 57-1-146</t>
  </si>
  <si>
    <t>Дунайский 48-1-113</t>
  </si>
  <si>
    <t>наб. Октябрьская 100-1-148</t>
  </si>
  <si>
    <t>Греческий 12-51</t>
  </si>
  <si>
    <t>Бабушкина 95-1-5</t>
  </si>
  <si>
    <t>Бутлерова 18-92</t>
  </si>
  <si>
    <t>Социалистическая 15-18</t>
  </si>
  <si>
    <t>Вербная 20/2-110</t>
  </si>
  <si>
    <t>Шпалерная 62-В/Ч</t>
  </si>
  <si>
    <t>Дачный 19-1-142</t>
  </si>
  <si>
    <t>Б.Новаторов 35-2-65</t>
  </si>
  <si>
    <t>Пос Шушары , ул.Центральная (Детскосельский) 8-1-126</t>
  </si>
  <si>
    <t>Пинегина 19-21</t>
  </si>
  <si>
    <t>Юрия Гагарина 46-126</t>
  </si>
  <si>
    <t>Гагарина 18-1-203</t>
  </si>
  <si>
    <t>Кронверкский 73/39-5</t>
  </si>
  <si>
    <t>Новоселов 5-28</t>
  </si>
  <si>
    <t>Шелгунова 22-Н-22</t>
  </si>
  <si>
    <t>пр. Маршала Жукова 47-167</t>
  </si>
  <si>
    <t>ул. Дыбенко 27-1-116</t>
  </si>
  <si>
    <t>Лиговский 160-7</t>
  </si>
  <si>
    <t>Правды 12-25</t>
  </si>
  <si>
    <t>Белградская 10-1-217</t>
  </si>
  <si>
    <t>Мебельная 45*2-305</t>
  </si>
  <si>
    <t>пр.Ленина 45-24</t>
  </si>
  <si>
    <t>Моковский 176-15</t>
  </si>
  <si>
    <t>Свердловская наб. 60-216</t>
  </si>
  <si>
    <t>Бабушкина 101-1-28</t>
  </si>
  <si>
    <t>Обводного канала 46-2</t>
  </si>
  <si>
    <t>Купчинская 10-3-192</t>
  </si>
  <si>
    <t>Культуры пр. 11-2-4</t>
  </si>
  <si>
    <t>ул. Генерала Симоняка 4-2-229</t>
  </si>
  <si>
    <t>Софьи Ковалевской 5-4-3</t>
  </si>
  <si>
    <t>Карпинского 11-1-196</t>
  </si>
  <si>
    <t>Карпинского 23-2-22</t>
  </si>
  <si>
    <t>Восстания, д. 22, кв. 10</t>
  </si>
  <si>
    <t>Краснодонская 17-78</t>
  </si>
  <si>
    <t>Рашетова 9-29</t>
  </si>
  <si>
    <t>Каховского 3-88</t>
  </si>
  <si>
    <t>Народная 43-3</t>
  </si>
  <si>
    <t>пр. Заводской 30-28</t>
  </si>
  <si>
    <t>Краснопутиловская 55-40</t>
  </si>
  <si>
    <t>Муринская дор. 68-2-144</t>
  </si>
  <si>
    <t>Загребский бул. 33-2-301</t>
  </si>
  <si>
    <t>М.Захарова 60-526</t>
  </si>
  <si>
    <t>Колпино, пр. Ленина 61-14</t>
  </si>
  <si>
    <t>Ткачей 3-9</t>
  </si>
  <si>
    <t>Слепушкина 9-48</t>
  </si>
  <si>
    <t>Авангардная 2-30</t>
  </si>
  <si>
    <t>Варшавская 53-71</t>
  </si>
  <si>
    <t>Софьи Ковалевской 10-2-4</t>
  </si>
  <si>
    <t>Большевиков 37-1-119</t>
  </si>
  <si>
    <t>Бабушкина 24-30</t>
  </si>
  <si>
    <t>Искровский 8-3-177</t>
  </si>
  <si>
    <t>Новоселов 27-81</t>
  </si>
  <si>
    <t>М. Тухачевского 39-15</t>
  </si>
  <si>
    <t>пр.Гражданский 106-2-14</t>
  </si>
  <si>
    <t>Байконурская 5-1-199</t>
  </si>
  <si>
    <t>Седова 73-19</t>
  </si>
  <si>
    <t>Седова 162-3-30</t>
  </si>
  <si>
    <t>Металлистов 117-1-15</t>
  </si>
  <si>
    <t>Парашютная 35-58</t>
  </si>
  <si>
    <t>Архивная 7-490</t>
  </si>
  <si>
    <t>Гражданский 122-4-119</t>
  </si>
  <si>
    <t>пр. Славы 12-1-184</t>
  </si>
  <si>
    <t>Солидарности 25-1-28</t>
  </si>
  <si>
    <t>Кустодиева 12-187</t>
  </si>
  <si>
    <t>Здоровцева 10-20</t>
  </si>
  <si>
    <t>Петергофское ш. 7-1-65</t>
  </si>
  <si>
    <t>Карабышева 8-274</t>
  </si>
  <si>
    <t>Антоново-Овсеенко 13-1-140</t>
  </si>
  <si>
    <t>Кондратьевский 64-2-261</t>
  </si>
  <si>
    <t>Автовская 46-52</t>
  </si>
  <si>
    <t>Кондратьевский 58-51</t>
  </si>
  <si>
    <t>5ый Предпортовый 12-1-74</t>
  </si>
  <si>
    <t>Колпино, Павловская 76-64</t>
  </si>
  <si>
    <t>Опочинина 33-18</t>
  </si>
  <si>
    <t>Возрождения 25-29</t>
  </si>
  <si>
    <t>пр. Маршала Жукова 37-3-52</t>
  </si>
  <si>
    <t>Дмитровский пер 12-22</t>
  </si>
  <si>
    <t>Бухарестская 152-2-291</t>
  </si>
  <si>
    <t>Богатырский 4-99</t>
  </si>
  <si>
    <t>ул. Белы Куна 4-4-35</t>
  </si>
  <si>
    <t>Гданьская 15-48</t>
  </si>
  <si>
    <t>Дачный 27-3-37</t>
  </si>
  <si>
    <t>12-я ВО 55/20-112</t>
  </si>
  <si>
    <t>Бухарестская 23-1-184</t>
  </si>
  <si>
    <t>наб. Робеспьера 8-28</t>
  </si>
  <si>
    <t>Благодатная 9-33</t>
  </si>
  <si>
    <t>Сестрорецкая 2-6</t>
  </si>
  <si>
    <t>Моховая ул., д. 28, кв. 61</t>
  </si>
  <si>
    <t>Пискаревский 50-3-26</t>
  </si>
  <si>
    <t>Зоологический пер.1-3-23</t>
  </si>
  <si>
    <t>Ленсовета 24-3</t>
  </si>
  <si>
    <t>Пионерстроя 10-274</t>
  </si>
  <si>
    <t>Ветеранов 67-2-3</t>
  </si>
  <si>
    <t>Стачек 107-3-163</t>
  </si>
  <si>
    <t>М. Блюхера 51-1-194</t>
  </si>
  <si>
    <t>Софьи Ковалевской 16-3-101</t>
  </si>
  <si>
    <t>пр. Науки 4-2-39</t>
  </si>
  <si>
    <t>Кубинская 68-69</t>
  </si>
  <si>
    <t xml:space="preserve">Ул.Симонова 12-9-518 </t>
  </si>
  <si>
    <t xml:space="preserve">Ординарная ул. 5-15 </t>
  </si>
  <si>
    <t>Суздальский пр. 93-1-219</t>
  </si>
  <si>
    <t>ул. Коммуны 32-2-18</t>
  </si>
  <si>
    <t>Энтузиастов 53/38-46</t>
  </si>
  <si>
    <t>Шостаковича 5-1-201</t>
  </si>
  <si>
    <t>Разъезжая 15-25</t>
  </si>
  <si>
    <t>Б. Пушкарская 1/8-8</t>
  </si>
  <si>
    <t>б. Поэтический 9-60</t>
  </si>
  <si>
    <t>Муринская д 14-2-227</t>
  </si>
  <si>
    <t>Тихорецкий пр 11-16</t>
  </si>
  <si>
    <t>Антонова Овсеенко 1-2-9</t>
  </si>
  <si>
    <t>Русановская 17-2-188</t>
  </si>
  <si>
    <t>Тургеневский пер.5-9</t>
  </si>
  <si>
    <t>Шотландская 3-68</t>
  </si>
  <si>
    <t>Гатчинское ш. 8-2-103</t>
  </si>
  <si>
    <t>Ж.Егоровой 12-1-94</t>
  </si>
  <si>
    <t>О.Дундича 19-5-209</t>
  </si>
  <si>
    <t>пр.Ю. Гагарина 27-253</t>
  </si>
  <si>
    <t>М. Казакова 68-1-28</t>
  </si>
  <si>
    <t>М. Казакова 68-1-29</t>
  </si>
  <si>
    <t>Победы 7-52</t>
  </si>
  <si>
    <t>Коллонтай 32-1-142</t>
  </si>
  <si>
    <t>Богатырский 34-2-166</t>
  </si>
  <si>
    <t>Софийская 32-2-8</t>
  </si>
  <si>
    <t>КС Гатчинское ш 12-3-11</t>
  </si>
  <si>
    <t>пр.Светлановский 37-65</t>
  </si>
  <si>
    <t>ул.С.Ковалевской 13-2-2</t>
  </si>
  <si>
    <t>ул.Науки 28-31</t>
  </si>
  <si>
    <t xml:space="preserve"> Колпино ул. Октябрьская 61-269</t>
  </si>
  <si>
    <t>пр.Новочеркасский 10-44</t>
  </si>
  <si>
    <t xml:space="preserve"> Колпино ул. Ленина 50-30</t>
  </si>
  <si>
    <t xml:space="preserve"> ул. Ключевая 5-62</t>
  </si>
  <si>
    <t xml:space="preserve"> пос.Саперный, ул. Невская 9-21</t>
  </si>
  <si>
    <t xml:space="preserve"> пр.Мечникова 8-2-31</t>
  </si>
  <si>
    <t xml:space="preserve"> ул. Автовская 8-4</t>
  </si>
  <si>
    <t>ул.Асафьева 10-138</t>
  </si>
  <si>
    <t>пр.Обуховской обороны 229-7-14</t>
  </si>
  <si>
    <t>ул.Есенина 15-1-138</t>
  </si>
  <si>
    <t>ул.С.Ковалевской 14-3-8</t>
  </si>
  <si>
    <t>ул.Моховая 27/29-9</t>
  </si>
  <si>
    <t xml:space="preserve"> ул.Руднева 13-1-500</t>
  </si>
  <si>
    <t xml:space="preserve"> Херсонская ул 3-52</t>
  </si>
  <si>
    <t>ул.4-я Советская 25-18</t>
  </si>
  <si>
    <t>пр.Науки 12-6-46</t>
  </si>
  <si>
    <t>Московское шоссе 4-124</t>
  </si>
  <si>
    <t>ул.Краснодонская 7-14</t>
  </si>
  <si>
    <t xml:space="preserve"> 14 линия ВО 31-33, 17</t>
  </si>
  <si>
    <t>пр.Рыбацкий 19-1-11</t>
  </si>
  <si>
    <t>пр.Науки 4-2-10</t>
  </si>
  <si>
    <t>пр.Пискаревский  50-3-64с</t>
  </si>
  <si>
    <t xml:space="preserve"> пр. Маршака 16-4-66</t>
  </si>
  <si>
    <t xml:space="preserve"> пр Просвещения 87-1-558</t>
  </si>
  <si>
    <t>ул.Народная 9-53</t>
  </si>
  <si>
    <t>ул.Гаккелевская 25-1-130</t>
  </si>
  <si>
    <t xml:space="preserve"> 15-я линия ВО 8/40-35</t>
  </si>
  <si>
    <t>ул.Коломенская 13-22</t>
  </si>
  <si>
    <t>ул.Белградская 18-168</t>
  </si>
  <si>
    <t>ул.М.Захарова 14-2-193</t>
  </si>
  <si>
    <t>пр.Удельный 25-2</t>
  </si>
  <si>
    <t>ул.Ушинского 18-154</t>
  </si>
  <si>
    <t xml:space="preserve"> ул. А Константинова 12-82</t>
  </si>
  <si>
    <t>ул.Ленина пр. 15/9-46</t>
  </si>
  <si>
    <t>Гражданский пр. 88-1-43</t>
  </si>
  <si>
    <t xml:space="preserve"> пр. Косыгина 31-2-139</t>
  </si>
  <si>
    <t>Кораблестроителей 39-664</t>
  </si>
  <si>
    <t xml:space="preserve"> ул. Будапештская 71-4-25</t>
  </si>
  <si>
    <t>пр.Наставников 9-1-259</t>
  </si>
  <si>
    <t xml:space="preserve"> Подвойского 20-1-166</t>
  </si>
  <si>
    <t>пр.Просвещения 53-1-851</t>
  </si>
  <si>
    <t>Костромской пр. 31-53</t>
  </si>
  <si>
    <t>ул.Б.Пороховская 45-126</t>
  </si>
  <si>
    <t>пр. Просвещения 72-289</t>
  </si>
  <si>
    <t>пр.Культуры 29-7-222</t>
  </si>
  <si>
    <t>ул.5-я Советская 34-10</t>
  </si>
  <si>
    <t>пр.Гражданский 92-1-12</t>
  </si>
  <si>
    <t>ул.Коммуны 42-1-122</t>
  </si>
  <si>
    <t>Вяземский пер. 6-10</t>
  </si>
  <si>
    <t>пр.Гражданский 23-3-76</t>
  </si>
  <si>
    <t>ул.Цимбалина 44-67</t>
  </si>
  <si>
    <t>ул.Л.Голикова 47-3-199</t>
  </si>
  <si>
    <t xml:space="preserve"> Бутлерова 11-4-399</t>
  </si>
  <si>
    <t>ул.Кораблестроителей 35-314</t>
  </si>
  <si>
    <t>ул.18 линия В.О. 43-33</t>
  </si>
  <si>
    <t xml:space="preserve"> Парголовская 5-4</t>
  </si>
  <si>
    <t>ул.Старорусская 5/3-120</t>
  </si>
  <si>
    <t>пр.Товарищеский 22-1-164</t>
  </si>
  <si>
    <t>ул.Геологическая 46-3-42</t>
  </si>
  <si>
    <t>пр.Науки 69-36</t>
  </si>
  <si>
    <t>ул.С.Ковалевской 20-1-344</t>
  </si>
  <si>
    <t>Новоизмайловский пр. 79-29</t>
  </si>
  <si>
    <t>ул.Таврическая 5-41</t>
  </si>
  <si>
    <t>ул.О.Дундича 20-1-132</t>
  </si>
  <si>
    <t xml:space="preserve"> пр. Большеохтинский 10-64</t>
  </si>
  <si>
    <t>пр. Дачный 16-5-39</t>
  </si>
  <si>
    <t>ул.Черкасова 8-1-81</t>
  </si>
  <si>
    <t>ул.Мебельная 25-1-241</t>
  </si>
  <si>
    <t xml:space="preserve"> Кима пр. 11-54</t>
  </si>
  <si>
    <t>пр.Солидарности 23-1-56</t>
  </si>
  <si>
    <t>ул.Стойкости 41-1-152</t>
  </si>
  <si>
    <t>Невский пр.97-90</t>
  </si>
  <si>
    <t>Сестрорецк, Приморское ш. 265-131</t>
  </si>
  <si>
    <t>Пискаревский пр. 40-48</t>
  </si>
  <si>
    <t>пр. Маршака 4 -лит А -97</t>
  </si>
  <si>
    <t>ул.Будапештская 29-1-131</t>
  </si>
  <si>
    <t>пр.Индустриальный 29-229</t>
  </si>
  <si>
    <t>ул.Кубинская 58-65</t>
  </si>
  <si>
    <t>ул.Шамшева 14-5</t>
  </si>
  <si>
    <t xml:space="preserve"> Карпинского 18-75</t>
  </si>
  <si>
    <t xml:space="preserve"> Малы ПС 20-15</t>
  </si>
  <si>
    <t>Гражданский пр. 9-7-79</t>
  </si>
  <si>
    <t xml:space="preserve"> Вяземский пер.6-148</t>
  </si>
  <si>
    <t xml:space="preserve"> ул.Дыбенко 15-2-71</t>
  </si>
  <si>
    <t>пр.Энергетиков 60-1-95</t>
  </si>
  <si>
    <t xml:space="preserve"> ул.Гранитная 38-42</t>
  </si>
  <si>
    <t xml:space="preserve"> ул.Гранитная 28-63</t>
  </si>
  <si>
    <t>пр.Космонавтов 19-1-125</t>
  </si>
  <si>
    <t xml:space="preserve"> ул. Димитрова 31/1-442</t>
  </si>
  <si>
    <t>ул.М.Бухарестская 9-139</t>
  </si>
  <si>
    <t>ул. Севастопольская 45-39</t>
  </si>
  <si>
    <t>пр.Светлановский 60-1-148</t>
  </si>
  <si>
    <t>ул.Будапештская 14-1-32</t>
  </si>
  <si>
    <t xml:space="preserve"> ул. Трефолева 15-200</t>
  </si>
  <si>
    <t xml:space="preserve"> Учебный 12-2-163</t>
  </si>
  <si>
    <t>Сведловская наб. 60-196</t>
  </si>
  <si>
    <t>ул.Кирилловская 12-1</t>
  </si>
  <si>
    <t>ул.Кустодиева 12-299</t>
  </si>
  <si>
    <t xml:space="preserve"> Литейный пр. 30-62</t>
  </si>
  <si>
    <t>пр.Энгельса 150-1-519</t>
  </si>
  <si>
    <t xml:space="preserve"> ул. Димитрова 16-3-59</t>
  </si>
  <si>
    <t xml:space="preserve"> ул. Ковалевская 26-строение 1-158</t>
  </si>
  <si>
    <t>ул.Бабушкина 49-51</t>
  </si>
  <si>
    <t>ул.К.Заслонова 11-20</t>
  </si>
  <si>
    <t xml:space="preserve"> Димитрова 10-2-44</t>
  </si>
  <si>
    <t>Новочеркасский пр. 47-1-65</t>
  </si>
  <si>
    <t>ул.М.Бухарестская 21-88</t>
  </si>
  <si>
    <t>пр.Северный 16-1-311</t>
  </si>
  <si>
    <t>ул.Гаванская 45-81</t>
  </si>
  <si>
    <t>13-я линия ВО 2-19-26</t>
  </si>
  <si>
    <t xml:space="preserve">  Пархоменко 31-126</t>
  </si>
  <si>
    <t xml:space="preserve"> Энтузиастов 47-1-41</t>
  </si>
  <si>
    <t>ул.Смолячкова 14-1-25</t>
  </si>
  <si>
    <t>пр.Народного Ополчения 83-47</t>
  </si>
  <si>
    <t>ул.Балтийская 27-5</t>
  </si>
  <si>
    <t>Победы 8-3</t>
  </si>
  <si>
    <t>Московский 195-228</t>
  </si>
  <si>
    <t>ул.Рубинштейна 9-3-57</t>
  </si>
  <si>
    <t xml:space="preserve"> ш.Стрельнинское 4-2-82</t>
  </si>
  <si>
    <t>ул.А.Лебедева 12-41</t>
  </si>
  <si>
    <t>ул.Восстания 15-39</t>
  </si>
  <si>
    <t>ул. Гладкова 25-33</t>
  </si>
  <si>
    <t>пр.Ветеранов 114-1-292</t>
  </si>
  <si>
    <t>ул.Боткинская 1-73</t>
  </si>
  <si>
    <t>ул.Бухарестская 39-1-280</t>
  </si>
  <si>
    <t>ул.Бухарестская 23-1-501</t>
  </si>
  <si>
    <t>ул.Будапештская 97-2-25</t>
  </si>
  <si>
    <t>ул. Лужская 14-1-119</t>
  </si>
  <si>
    <t xml:space="preserve"> Парголово Первого мая 107-6-158</t>
  </si>
  <si>
    <t>ул. Нахимова 3-2-94</t>
  </si>
  <si>
    <t>пр.Новоизмайловский 49-87</t>
  </si>
  <si>
    <t>ул.Б.Монетная 24-1</t>
  </si>
  <si>
    <t xml:space="preserve"> Северный пр. 6-1-109</t>
  </si>
  <si>
    <t xml:space="preserve"> 16 линия ВО 75-13</t>
  </si>
  <si>
    <t xml:space="preserve"> Космонавтов 38-2-14</t>
  </si>
  <si>
    <t xml:space="preserve"> Елизарова 35-2-24</t>
  </si>
  <si>
    <t xml:space="preserve"> Суздальское ш 18-2-5</t>
  </si>
  <si>
    <t xml:space="preserve"> Непокоренных 16-1-694</t>
  </si>
  <si>
    <t xml:space="preserve"> Народного Ополчения 139-35</t>
  </si>
  <si>
    <t xml:space="preserve"> Новоизмайловский 63-9</t>
  </si>
  <si>
    <t xml:space="preserve"> Культуры 29-4-75</t>
  </si>
  <si>
    <t xml:space="preserve"> Науки 57-23</t>
  </si>
  <si>
    <t xml:space="preserve"> Понтонный Александра Товпеко 35-20</t>
  </si>
  <si>
    <t xml:space="preserve"> Штурманская 26-1-А-77</t>
  </si>
  <si>
    <t xml:space="preserve"> Благодатная 47-4</t>
  </si>
  <si>
    <t xml:space="preserve"> Приморский 159-4</t>
  </si>
  <si>
    <t xml:space="preserve"> Матроса Железняка 1-5</t>
  </si>
  <si>
    <t xml:space="preserve"> Байконурская 7-1-66</t>
  </si>
  <si>
    <t xml:space="preserve"> Кр. Курсанта 9б-27</t>
  </si>
  <si>
    <t>Ф.Абрамова 20-1-303</t>
  </si>
  <si>
    <t xml:space="preserve"> Аэродромная 15-38</t>
  </si>
  <si>
    <t xml:space="preserve"> Сантьяго-де-Куба 2-1-262</t>
  </si>
  <si>
    <t xml:space="preserve"> Ольги Бергольц 9-1-194</t>
  </si>
  <si>
    <t xml:space="preserve"> Кондратьевский 49-72</t>
  </si>
  <si>
    <t xml:space="preserve"> Толубеевский пр 40-1-56</t>
  </si>
  <si>
    <t xml:space="preserve"> Энгельса 22-221</t>
  </si>
  <si>
    <t xml:space="preserve"> М. Дудина 25-1-788</t>
  </si>
  <si>
    <t xml:space="preserve"> Мытнинская 31-14</t>
  </si>
  <si>
    <t xml:space="preserve"> Замшина 62-90</t>
  </si>
  <si>
    <t xml:space="preserve"> Институтский пр 1-55</t>
  </si>
  <si>
    <t xml:space="preserve"> Серебристый б 24-2-352</t>
  </si>
  <si>
    <t xml:space="preserve"> Ситцевая 11-2-217</t>
  </si>
  <si>
    <t xml:space="preserve"> Камышовая 34-2-270</t>
  </si>
  <si>
    <t xml:space="preserve"> Железноводская 48-2</t>
  </si>
  <si>
    <t xml:space="preserve"> Кораблестроителей 40-2-175</t>
  </si>
  <si>
    <t xml:space="preserve"> Кронштадт Станюковича 6-239 ш 34-71</t>
  </si>
  <si>
    <t xml:space="preserve"> Кронштадт Велещинского  15-21</t>
  </si>
  <si>
    <t xml:space="preserve"> Казанская 2-4</t>
  </si>
  <si>
    <t xml:space="preserve"> Ипподромный пер 1-2-172</t>
  </si>
  <si>
    <t xml:space="preserve"> Серебристый б 38-146</t>
  </si>
  <si>
    <t xml:space="preserve"> Планенрная 91-2-195</t>
  </si>
  <si>
    <t xml:space="preserve"> Замшина 66-76</t>
  </si>
  <si>
    <t xml:space="preserve"> Солдата Корзуна 3-237</t>
  </si>
  <si>
    <t xml:space="preserve"> Маршала Казакова 72-1-318</t>
  </si>
  <si>
    <t>.Транспортный 2А-22</t>
  </si>
  <si>
    <t xml:space="preserve"> Руставели 30-131</t>
  </si>
  <si>
    <t>.Белышева 5/6-1886</t>
  </si>
  <si>
    <t xml:space="preserve"> Кустодиева 5-1-100</t>
  </si>
  <si>
    <t xml:space="preserve"> Мгинская 1/2-8</t>
  </si>
  <si>
    <t xml:space="preserve"> Культуры 19-331</t>
  </si>
  <si>
    <t xml:space="preserve"> Глухарская 27-1-206</t>
  </si>
  <si>
    <t xml:space="preserve"> Кузнецова 11-23 14-31</t>
  </si>
  <si>
    <t xml:space="preserve"> Королева 22-1-186</t>
  </si>
  <si>
    <t xml:space="preserve"> Торфяная дор 13-1-257</t>
  </si>
  <si>
    <t xml:space="preserve"> Светлановский 117-1</t>
  </si>
  <si>
    <t xml:space="preserve"> Рихарда Зорге 16-19</t>
  </si>
  <si>
    <t xml:space="preserve"> Искровский 8-2-А-87</t>
  </si>
  <si>
    <t xml:space="preserve"> Бабушкина 111-166</t>
  </si>
  <si>
    <t>.Б.Разночинная 6-19</t>
  </si>
  <si>
    <t xml:space="preserve"> Пахомовская 14-1-10</t>
  </si>
  <si>
    <t xml:space="preserve"> Морская наб 17-3-45</t>
  </si>
  <si>
    <t xml:space="preserve"> Морская наб 17-3-46</t>
  </si>
  <si>
    <t xml:space="preserve"> Бадаева 11-96</t>
  </si>
  <si>
    <t xml:space="preserve"> Выборгское ш 31-240</t>
  </si>
  <si>
    <t xml:space="preserve"> Коллонтай 21-3-68</t>
  </si>
  <si>
    <t xml:space="preserve"> Авиаконструкторов 20-3-145</t>
  </si>
  <si>
    <t xml:space="preserve"> Горная 1-1-163</t>
  </si>
  <si>
    <t xml:space="preserve"> Богатырский 57-3-91</t>
  </si>
  <si>
    <t xml:space="preserve"> Планерная 87-1-1183</t>
  </si>
  <si>
    <t xml:space="preserve"> Народная 53-2-382</t>
  </si>
  <si>
    <t xml:space="preserve"> Наставников 21-41</t>
  </si>
  <si>
    <t>г, Шушары п, Окуловская ул, дом № 18, стр 1, кв. 778</t>
  </si>
  <si>
    <t xml:space="preserve"> Турку 23-1-210</t>
  </si>
  <si>
    <t xml:space="preserve"> Варшавская 27-2-47</t>
  </si>
  <si>
    <t xml:space="preserve"> Савушкина 137-3-54</t>
  </si>
  <si>
    <t xml:space="preserve"> Руставели 70-6</t>
  </si>
  <si>
    <t xml:space="preserve"> Кондратьевский 54-2</t>
  </si>
  <si>
    <t xml:space="preserve"> Науки 32-28</t>
  </si>
  <si>
    <t xml:space="preserve"> Дунайский 43-3-247</t>
  </si>
  <si>
    <t xml:space="preserve"> Кораблестроителей 23-1-227</t>
  </si>
  <si>
    <t xml:space="preserve"> Лабораторный 20-3-552</t>
  </si>
  <si>
    <t xml:space="preserve"> Евгения Шварца 11-1-217</t>
  </si>
  <si>
    <t xml:space="preserve"> Ударников 32-3-49</t>
  </si>
  <si>
    <t xml:space="preserve"> Нижне-Каменская 26-19</t>
  </si>
  <si>
    <t xml:space="preserve"> Адмирала Черокова 18-2-460</t>
  </si>
  <si>
    <t xml:space="preserve"> Серебристый 16-1-141</t>
  </si>
  <si>
    <t xml:space="preserve"> наб р Каменки 25-1-65</t>
  </si>
  <si>
    <t xml:space="preserve"> Просвещения пр 41-205</t>
  </si>
  <si>
    <t xml:space="preserve"> Ленинский 92-3-1046</t>
  </si>
  <si>
    <t xml:space="preserve"> Софийская 48-4-99</t>
  </si>
  <si>
    <t xml:space="preserve"> Серебристый б 22-1-128</t>
  </si>
  <si>
    <t xml:space="preserve"> Малый пр 36-38-19</t>
  </si>
  <si>
    <t xml:space="preserve"> 2-й Предпортовый 6-1-671</t>
  </si>
  <si>
    <t xml:space="preserve"> Крыленко 13-1-66</t>
  </si>
  <si>
    <t xml:space="preserve"> Дыбенко 18-1-231</t>
  </si>
  <si>
    <t xml:space="preserve"> Луначарского 100-258</t>
  </si>
  <si>
    <t xml:space="preserve"> Мечникова 10-67</t>
  </si>
  <si>
    <t xml:space="preserve"> Типанова 5-8 </t>
  </si>
  <si>
    <t xml:space="preserve"> Нижне-Каменская 26-162</t>
  </si>
  <si>
    <t xml:space="preserve"> Белы Куна 7-1-87</t>
  </si>
  <si>
    <t xml:space="preserve"> Славы 40-1-2</t>
  </si>
  <si>
    <t xml:space="preserve"> Белы Куна 19-1-108</t>
  </si>
  <si>
    <t xml:space="preserve"> Народная 74-Б-49</t>
  </si>
  <si>
    <t xml:space="preserve"> Ириновский 39-2-10</t>
  </si>
  <si>
    <t xml:space="preserve"> Бутлерова 16-2-93</t>
  </si>
  <si>
    <t xml:space="preserve"> ш Революции 87-3</t>
  </si>
  <si>
    <t xml:space="preserve"> Пестеля 11-53</t>
  </si>
  <si>
    <t xml:space="preserve"> Прибрежная 4-349</t>
  </si>
  <si>
    <t xml:space="preserve"> Солидарности 3-2-356</t>
  </si>
  <si>
    <t xml:space="preserve"> Брянцева 28-189</t>
  </si>
  <si>
    <t xml:space="preserve"> Индустриальный 17-3-264</t>
  </si>
  <si>
    <t xml:space="preserve"> Коллонтай 27-1-910</t>
  </si>
  <si>
    <t xml:space="preserve"> Приморский 143-2-300</t>
  </si>
  <si>
    <t xml:space="preserve"> наб. Морская 15-702</t>
  </si>
  <si>
    <t xml:space="preserve"> Гражданский 128-2-23</t>
  </si>
  <si>
    <t xml:space="preserve"> Еремеева 7-2-140</t>
  </si>
  <si>
    <t xml:space="preserve"> 2-й Рабфаковский пер. 20-35</t>
  </si>
  <si>
    <t xml:space="preserve"> Жуковского 59-61-5</t>
  </si>
  <si>
    <t xml:space="preserve"> Пулковское ш 24-2-66</t>
  </si>
  <si>
    <t xml:space="preserve"> Королева 2-35</t>
  </si>
  <si>
    <t xml:space="preserve"> Таврическая 3-28</t>
  </si>
  <si>
    <t xml:space="preserve"> Маршака 16-3-71</t>
  </si>
  <si>
    <t xml:space="preserve"> Воронежская 55-26</t>
  </si>
  <si>
    <t xml:space="preserve"> Витебский 97-1-225</t>
  </si>
  <si>
    <t xml:space="preserve"> Муринская дор 14-3-38</t>
  </si>
  <si>
    <t xml:space="preserve"> Корнея Чуковского 3-1-235</t>
  </si>
  <si>
    <t xml:space="preserve"> Дальневосточный 33-1-157</t>
  </si>
  <si>
    <t>.ул.Байконурская 5-1-472</t>
  </si>
  <si>
    <t xml:space="preserve"> Подвойского 15-140</t>
  </si>
  <si>
    <t xml:space="preserve"> Коммунаров 114-132</t>
  </si>
  <si>
    <t xml:space="preserve"> Турку 28-3-63</t>
  </si>
  <si>
    <t xml:space="preserve"> Шушары Московское ш 276-89</t>
  </si>
  <si>
    <t xml:space="preserve"> Заневский 51-168</t>
  </si>
  <si>
    <t xml:space="preserve"> Звездная 13-2-общежитие</t>
  </si>
  <si>
    <t xml:space="preserve"> Металлистов 132-102</t>
  </si>
  <si>
    <t xml:space="preserve"> Доблести 24-1-237</t>
  </si>
  <si>
    <t xml:space="preserve"> Тихоокеанская 18-4-61</t>
  </si>
  <si>
    <t xml:space="preserve"> Художников 5-1-206</t>
  </si>
  <si>
    <t xml:space="preserve"> Есенина 32-1-5</t>
  </si>
  <si>
    <t xml:space="preserve"> Невский пр 108-56, Смолячкова 15-17-11</t>
  </si>
  <si>
    <t xml:space="preserve"> Невский 106-50</t>
  </si>
  <si>
    <t xml:space="preserve"> Просвещения 35-375</t>
  </si>
  <si>
    <t xml:space="preserve"> ш Революции 87-23</t>
  </si>
  <si>
    <t xml:space="preserve"> Металлистов 8-7</t>
  </si>
  <si>
    <t xml:space="preserve"> Ленинский 148-2-70</t>
  </si>
  <si>
    <t xml:space="preserve"> Испытателей 11-1-558</t>
  </si>
  <si>
    <t xml:space="preserve"> Богатырсий 53-3-325</t>
  </si>
  <si>
    <t xml:space="preserve"> 2-я Никитинская 10-6</t>
  </si>
  <si>
    <t xml:space="preserve"> Бухарестская 124/56-477</t>
  </si>
  <si>
    <t xml:space="preserve"> Ветеранов 141-1-201</t>
  </si>
  <si>
    <t xml:space="preserve"> Корнея Чуковского 3-1-125</t>
  </si>
  <si>
    <t xml:space="preserve"> Заречная 38-2-45</t>
  </si>
  <si>
    <t xml:space="preserve"> Седова 59-63</t>
  </si>
  <si>
    <t xml:space="preserve"> Новоколомяжский 12-1-3</t>
  </si>
  <si>
    <t xml:space="preserve"> Верхне-Каменская 3-1-445</t>
  </si>
  <si>
    <t xml:space="preserve"> Пионерстроя 18-2-8</t>
  </si>
  <si>
    <t xml:space="preserve"> Кушелевская дор 7-1-41</t>
  </si>
  <si>
    <t xml:space="preserve"> Просвещения 39-2-46</t>
  </si>
  <si>
    <t xml:space="preserve"> Вавиловых 11-1-180</t>
  </si>
  <si>
    <t xml:space="preserve"> Среднерогатская 14-1-1-271</t>
  </si>
  <si>
    <t xml:space="preserve"> Беговая 5-1-234</t>
  </si>
  <si>
    <t xml:space="preserve"> Среднеохтинский пр 59-74</t>
  </si>
  <si>
    <t xml:space="preserve"> Большой ВО 64-60</t>
  </si>
  <si>
    <t xml:space="preserve"> Ленинский 117-2-50</t>
  </si>
  <si>
    <t xml:space="preserve"> Турку 9-5-116</t>
  </si>
  <si>
    <t xml:space="preserve"> Ленинский 76-1-511</t>
  </si>
  <si>
    <t>.пр. Авиаконструкторов 3-2-11</t>
  </si>
  <si>
    <t xml:space="preserve"> Королева 46-3-255</t>
  </si>
  <si>
    <t xml:space="preserve"> Маршала Говорова 12-1-64</t>
  </si>
  <si>
    <t xml:space="preserve"> Чкаловский 38-11</t>
  </si>
  <si>
    <t xml:space="preserve"> 14-я линия ВО 97-114</t>
  </si>
  <si>
    <t xml:space="preserve"> Десантников 22-1</t>
  </si>
  <si>
    <t xml:space="preserve"> Народного Ополчения 63-31</t>
  </si>
  <si>
    <t xml:space="preserve"> 5-й Предпортовый 10-2-47</t>
  </si>
  <si>
    <t xml:space="preserve"> Витебский 23-4-57</t>
  </si>
  <si>
    <t xml:space="preserve"> Кушелевская дор. 1-2-428</t>
  </si>
  <si>
    <t xml:space="preserve"> Купчинская 13-3-263</t>
  </si>
  <si>
    <t xml:space="preserve"> О. Дундича 20-1-57</t>
  </si>
  <si>
    <t xml:space="preserve"> Тихорецкий 33-2-114</t>
  </si>
  <si>
    <t xml:space="preserve"> Софийская 42-2-55</t>
  </si>
  <si>
    <t>.пр.Славы 64-228</t>
  </si>
  <si>
    <t xml:space="preserve"> Антонова- Овсеенко 13-1-140</t>
  </si>
  <si>
    <t xml:space="preserve"> Испытателей 15-1-576</t>
  </si>
  <si>
    <t xml:space="preserve"> Коломяжский 12-2</t>
  </si>
  <si>
    <t>.пр. Новоизмайловский 71-25</t>
  </si>
  <si>
    <t xml:space="preserve"> Танкиста Хрустицкого 18-5</t>
  </si>
  <si>
    <t xml:space="preserve"> Ветеранов 3-2-104</t>
  </si>
  <si>
    <t xml:space="preserve"> Краснопутиловская 19-42</t>
  </si>
  <si>
    <t xml:space="preserve"> наб Черной речки 22-53</t>
  </si>
  <si>
    <t xml:space="preserve"> Ленинский 55-2-44</t>
  </si>
  <si>
    <t xml:space="preserve"> Лахтинская 25б-12</t>
  </si>
  <si>
    <t xml:space="preserve"> Юкковское ш 6-5-80</t>
  </si>
  <si>
    <t xml:space="preserve"> Стачек 19-39</t>
  </si>
  <si>
    <t xml:space="preserve"> Заозерная 6-106</t>
  </si>
  <si>
    <t xml:space="preserve"> Замшина 25-4-11</t>
  </si>
  <si>
    <t xml:space="preserve"> Руставели 70-84</t>
  </si>
  <si>
    <t xml:space="preserve"> Матроса Железняка 57-691</t>
  </si>
  <si>
    <t xml:space="preserve"> Испытателей 31-1-454</t>
  </si>
  <si>
    <t xml:space="preserve"> Караваевская 22-407</t>
  </si>
  <si>
    <t xml:space="preserve"> Академика Павлова 6-6-2</t>
  </si>
  <si>
    <t xml:space="preserve"> Крыленко 17-1-75</t>
  </si>
  <si>
    <t xml:space="preserve"> Школьная 10-6</t>
  </si>
  <si>
    <t xml:space="preserve"> Васи Алексеева 18-29</t>
  </si>
  <si>
    <t xml:space="preserve"> Ленсоветовский 13-1-141</t>
  </si>
  <si>
    <t xml:space="preserve"> Новороссийская 34-5</t>
  </si>
  <si>
    <t xml:space="preserve"> Бурцева 19-137</t>
  </si>
  <si>
    <t xml:space="preserve"> Королева 27-2-47</t>
  </si>
  <si>
    <t xml:space="preserve"> Северный 26-1-86</t>
  </si>
  <si>
    <t xml:space="preserve"> Осипенко 10-1-46</t>
  </si>
  <si>
    <t xml:space="preserve"> Среднерогатская 8-1-1-98</t>
  </si>
  <si>
    <t xml:space="preserve"> Королева 22-1-49</t>
  </si>
  <si>
    <t xml:space="preserve"> Солидарности 9-2-73</t>
  </si>
  <si>
    <t xml:space="preserve"> Парашютная 34-449</t>
  </si>
  <si>
    <t xml:space="preserve"> Арцеуловская 23-1-1518</t>
  </si>
  <si>
    <t xml:space="preserve"> Северный 24-3-229</t>
  </si>
  <si>
    <t xml:space="preserve"> Захарьевская 16-19</t>
  </si>
  <si>
    <t xml:space="preserve"> Комендантский 17-2-378</t>
  </si>
  <si>
    <t xml:space="preserve"> Дудко 33-24</t>
  </si>
  <si>
    <t xml:space="preserve"> Шушары Чудовская 14-1-1-313</t>
  </si>
  <si>
    <t xml:space="preserve"> Культуры 31-2-3</t>
  </si>
  <si>
    <t xml:space="preserve"> Красное Село Гатчинское ш 8-5-49</t>
  </si>
  <si>
    <t xml:space="preserve"> Н.Ополчения 21-51</t>
  </si>
  <si>
    <t xml:space="preserve"> Александра Ульянова 10-5</t>
  </si>
  <si>
    <t xml:space="preserve"> Моравский 7-1-82</t>
  </si>
  <si>
    <t xml:space="preserve"> Малый пр 36-38-14</t>
  </si>
  <si>
    <t xml:space="preserve"> Культуры 29-6-5</t>
  </si>
  <si>
    <t xml:space="preserve"> Культуры 26-1-161</t>
  </si>
  <si>
    <t xml:space="preserve"> Космонавтов 30-2-96</t>
  </si>
  <si>
    <t xml:space="preserve"> Кантемировская 33-59</t>
  </si>
  <si>
    <t xml:space="preserve"> Ириновский 17-3-4</t>
  </si>
  <si>
    <t xml:space="preserve"> Белградская 16-2-34</t>
  </si>
  <si>
    <t xml:space="preserve"> Энергетиков 31-184</t>
  </si>
  <si>
    <t>.ул.Разъезжая 17-8</t>
  </si>
  <si>
    <t xml:space="preserve"> Альпийский 31-72</t>
  </si>
  <si>
    <t xml:space="preserve"> Энгельса 69-38</t>
  </si>
  <si>
    <t xml:space="preserve"> наб Реки Каменки 19-3-22</t>
  </si>
  <si>
    <t xml:space="preserve"> Гатчинское ш 8-3-26</t>
  </si>
  <si>
    <t xml:space="preserve"> Гатчинское ш 8-3-27</t>
  </si>
  <si>
    <t xml:space="preserve"> Гражданский 129-1-21</t>
  </si>
  <si>
    <t xml:space="preserve"> Просвещения 86-1-43</t>
  </si>
  <si>
    <t xml:space="preserve"> Шостаковича 19/1-199</t>
  </si>
  <si>
    <t xml:space="preserve"> Заповедная 35-2</t>
  </si>
  <si>
    <t xml:space="preserve"> Авиаконструкторов 3-2-264</t>
  </si>
  <si>
    <t xml:space="preserve"> Александровской Фермы 8-1-1021</t>
  </si>
  <si>
    <t xml:space="preserve"> Савушкина 115-3-397</t>
  </si>
  <si>
    <t xml:space="preserve"> Композиторов 33/5-759</t>
  </si>
  <si>
    <t xml:space="preserve"> Нахимова 1-46</t>
  </si>
  <si>
    <t xml:space="preserve"> Орлово-Денисовский 19-1-453</t>
  </si>
  <si>
    <t xml:space="preserve"> Петергоф Ропшинское ш 3-5-21</t>
  </si>
  <si>
    <t xml:space="preserve"> Академика Константинова 10-1-243</t>
  </si>
  <si>
    <t xml:space="preserve"> Богатырский 50-1-386</t>
  </si>
  <si>
    <t xml:space="preserve"> Глухарская 16-1-176</t>
  </si>
  <si>
    <t xml:space="preserve"> Королева 66-1-330</t>
  </si>
  <si>
    <t xml:space="preserve"> Энергетиков 35-1-240</t>
  </si>
  <si>
    <t xml:space="preserve"> Яхтенная 4-3-211</t>
  </si>
  <si>
    <t xml:space="preserve"> Северный 113-1-135</t>
  </si>
  <si>
    <t xml:space="preserve"> Дачный 36-8-199</t>
  </si>
  <si>
    <t xml:space="preserve"> Летчика Пилютова 36-24</t>
  </si>
  <si>
    <t>ул.Жуковского  20-77</t>
  </si>
  <si>
    <t>Б.Разночинная 6-19</t>
  </si>
  <si>
    <t>ул.Чудновского 8-1-474</t>
  </si>
  <si>
    <t>пр. Дунайский 55-1-501</t>
  </si>
  <si>
    <t>ул.Рубинштейна 3-25</t>
  </si>
  <si>
    <t>Сезон аренды (Летний, 
летне-зимний)</t>
  </si>
  <si>
    <t>Кузьмина Ирина Александровна (реб. Кузтмин Максим Сергеевич - 09.04.2020г.р.)</t>
  </si>
  <si>
    <t xml:space="preserve"> №
п/п</t>
  </si>
  <si>
    <t>35/3</t>
  </si>
  <si>
    <t xml:space="preserve">50/1.2 </t>
  </si>
  <si>
    <t>82/3</t>
  </si>
  <si>
    <t xml:space="preserve">98/2 </t>
  </si>
  <si>
    <t xml:space="preserve">114/2.3 </t>
  </si>
  <si>
    <t xml:space="preserve">132/1 </t>
  </si>
  <si>
    <t xml:space="preserve">137/2.3 </t>
  </si>
  <si>
    <t xml:space="preserve">152/1.2 </t>
  </si>
  <si>
    <t xml:space="preserve">161/1 </t>
  </si>
  <si>
    <t xml:space="preserve">171/1 </t>
  </si>
  <si>
    <t xml:space="preserve">206/2.3 </t>
  </si>
  <si>
    <t xml:space="preserve">215/2 </t>
  </si>
  <si>
    <t xml:space="preserve">218/1 </t>
  </si>
  <si>
    <t xml:space="preserve">232/1 </t>
  </si>
  <si>
    <t xml:space="preserve">248/1.2 </t>
  </si>
  <si>
    <t xml:space="preserve">298/1 </t>
  </si>
  <si>
    <t xml:space="preserve">298/2 </t>
  </si>
  <si>
    <t xml:space="preserve">298/3 </t>
  </si>
  <si>
    <t xml:space="preserve">320/3 </t>
  </si>
  <si>
    <t xml:space="preserve">336/3 </t>
  </si>
  <si>
    <t xml:space="preserve">274/1.2 </t>
  </si>
  <si>
    <t xml:space="preserve">274/3 </t>
  </si>
  <si>
    <t xml:space="preserve">14/3 </t>
  </si>
  <si>
    <t>97/3</t>
  </si>
  <si>
    <t xml:space="preserve">53/3 </t>
  </si>
  <si>
    <t xml:space="preserve">55/1 </t>
  </si>
  <si>
    <t xml:space="preserve">55/2 </t>
  </si>
  <si>
    <t xml:space="preserve">56/1 </t>
  </si>
  <si>
    <t xml:space="preserve">57/1.2 </t>
  </si>
  <si>
    <t xml:space="preserve">73/3 </t>
  </si>
  <si>
    <t xml:space="preserve">97/1.2 </t>
  </si>
  <si>
    <t xml:space="preserve">103/2 </t>
  </si>
  <si>
    <t xml:space="preserve">114/1 </t>
  </si>
  <si>
    <t xml:space="preserve">149/1.2 </t>
  </si>
  <si>
    <t xml:space="preserve">150/2.3 </t>
  </si>
  <si>
    <t xml:space="preserve">157/3 </t>
  </si>
  <si>
    <t>187/3</t>
  </si>
  <si>
    <t xml:space="preserve">208/1 </t>
  </si>
  <si>
    <t xml:space="preserve">230/1.2 </t>
  </si>
  <si>
    <t xml:space="preserve">240/1 </t>
  </si>
  <si>
    <t xml:space="preserve">272/1 </t>
  </si>
  <si>
    <t xml:space="preserve">285/2 </t>
  </si>
  <si>
    <t xml:space="preserve">285/3 </t>
  </si>
  <si>
    <t xml:space="preserve">286/3 </t>
  </si>
  <si>
    <t xml:space="preserve">331/3 </t>
  </si>
  <si>
    <t xml:space="preserve">341/2 </t>
  </si>
  <si>
    <t xml:space="preserve">344/2 </t>
  </si>
  <si>
    <t xml:space="preserve">3/3 </t>
  </si>
  <si>
    <t xml:space="preserve">18/3 </t>
  </si>
  <si>
    <t xml:space="preserve">28/3 </t>
  </si>
  <si>
    <t xml:space="preserve">34/1 </t>
  </si>
  <si>
    <t xml:space="preserve">35/2 </t>
  </si>
  <si>
    <t xml:space="preserve">42/1 </t>
  </si>
  <si>
    <t xml:space="preserve">42/2 </t>
  </si>
  <si>
    <t xml:space="preserve">42/3 </t>
  </si>
  <si>
    <t xml:space="preserve">43/3 </t>
  </si>
  <si>
    <t xml:space="preserve">46/2.3 </t>
  </si>
  <si>
    <t xml:space="preserve">48/1 </t>
  </si>
  <si>
    <t xml:space="preserve">48/3 </t>
  </si>
  <si>
    <t>86/3</t>
  </si>
  <si>
    <t xml:space="preserve">61/1.2 </t>
  </si>
  <si>
    <t xml:space="preserve">76/1 </t>
  </si>
  <si>
    <t xml:space="preserve">76/3 </t>
  </si>
  <si>
    <t>153/1</t>
  </si>
  <si>
    <t xml:space="preserve">98/3 </t>
  </si>
  <si>
    <t xml:space="preserve">104/2 </t>
  </si>
  <si>
    <t xml:space="preserve">116/2.3 </t>
  </si>
  <si>
    <t xml:space="preserve">129/1 </t>
  </si>
  <si>
    <t xml:space="preserve">199/1 </t>
  </si>
  <si>
    <t xml:space="preserve">200/1 </t>
  </si>
  <si>
    <t xml:space="preserve">200/2 </t>
  </si>
  <si>
    <t xml:space="preserve">200/3 </t>
  </si>
  <si>
    <t>202/3</t>
  </si>
  <si>
    <t xml:space="preserve">201/1.2 </t>
  </si>
  <si>
    <t xml:space="preserve">202/1.2 </t>
  </si>
  <si>
    <t>202/1.2</t>
  </si>
  <si>
    <t xml:space="preserve">206/1 </t>
  </si>
  <si>
    <t xml:space="preserve">216/2.3 </t>
  </si>
  <si>
    <t xml:space="preserve">226/1 </t>
  </si>
  <si>
    <t xml:space="preserve">243/1 </t>
  </si>
  <si>
    <t xml:space="preserve">243/2 </t>
  </si>
  <si>
    <t xml:space="preserve">251/2 </t>
  </si>
  <si>
    <t xml:space="preserve">255/1 </t>
  </si>
  <si>
    <t xml:space="preserve">255/2 </t>
  </si>
  <si>
    <t xml:space="preserve">262/1.2 </t>
  </si>
  <si>
    <t xml:space="preserve">269/2.3 </t>
  </si>
  <si>
    <t xml:space="preserve">277/1 </t>
  </si>
  <si>
    <t xml:space="preserve">277/2.3 </t>
  </si>
  <si>
    <t xml:space="preserve">281/1 </t>
  </si>
  <si>
    <t xml:space="preserve">281/2.3 </t>
  </si>
  <si>
    <t xml:space="preserve">287/1 </t>
  </si>
  <si>
    <t xml:space="preserve">287/2.3 </t>
  </si>
  <si>
    <t xml:space="preserve">292/1 </t>
  </si>
  <si>
    <t xml:space="preserve">292/2 </t>
  </si>
  <si>
    <t xml:space="preserve">309/2 </t>
  </si>
  <si>
    <t xml:space="preserve">309/3 </t>
  </si>
  <si>
    <t xml:space="preserve">312/1 </t>
  </si>
  <si>
    <t xml:space="preserve">312/3 </t>
  </si>
  <si>
    <t xml:space="preserve">316/1 </t>
  </si>
  <si>
    <t xml:space="preserve">316/2.3 </t>
  </si>
  <si>
    <t xml:space="preserve">321/1 </t>
  </si>
  <si>
    <t xml:space="preserve">325/1 </t>
  </si>
  <si>
    <t>331/2</t>
  </si>
  <si>
    <t xml:space="preserve">332/2 </t>
  </si>
  <si>
    <t xml:space="preserve">338/3 </t>
  </si>
  <si>
    <t xml:space="preserve">344/1 </t>
  </si>
  <si>
    <t xml:space="preserve">8/2 </t>
  </si>
  <si>
    <t xml:space="preserve">8/3 </t>
  </si>
  <si>
    <t xml:space="preserve">9/2 </t>
  </si>
  <si>
    <t xml:space="preserve">9/3 </t>
  </si>
  <si>
    <t xml:space="preserve">12/3 </t>
  </si>
  <si>
    <t xml:space="preserve">17/1 </t>
  </si>
  <si>
    <t xml:space="preserve">18/1 </t>
  </si>
  <si>
    <t xml:space="preserve">18/2 </t>
  </si>
  <si>
    <t xml:space="preserve">20/1 </t>
  </si>
  <si>
    <t xml:space="preserve">39/1 </t>
  </si>
  <si>
    <t xml:space="preserve">43/2 </t>
  </si>
  <si>
    <t xml:space="preserve">46/1 </t>
  </si>
  <si>
    <t xml:space="preserve">53/2 </t>
  </si>
  <si>
    <t xml:space="preserve">59/1 </t>
  </si>
  <si>
    <t xml:space="preserve">67/2.3 </t>
  </si>
  <si>
    <t xml:space="preserve">68/2 </t>
  </si>
  <si>
    <t xml:space="preserve">71/1 </t>
  </si>
  <si>
    <t xml:space="preserve">71/2 </t>
  </si>
  <si>
    <t xml:space="preserve">71/3 </t>
  </si>
  <si>
    <t xml:space="preserve">72/2 </t>
  </si>
  <si>
    <t xml:space="preserve">74/2 </t>
  </si>
  <si>
    <t xml:space="preserve">77/2 </t>
  </si>
  <si>
    <t xml:space="preserve">78/3 </t>
  </si>
  <si>
    <t xml:space="preserve">87/1 </t>
  </si>
  <si>
    <t xml:space="preserve">87/2 </t>
  </si>
  <si>
    <t xml:space="preserve">87/3 </t>
  </si>
  <si>
    <t xml:space="preserve">88/1 </t>
  </si>
  <si>
    <t xml:space="preserve">88/2.3 </t>
  </si>
  <si>
    <t xml:space="preserve">90/1 </t>
  </si>
  <si>
    <t xml:space="preserve">95/1.2 </t>
  </si>
  <si>
    <t xml:space="preserve">95/3 </t>
  </si>
  <si>
    <t xml:space="preserve">103/3 </t>
  </si>
  <si>
    <t xml:space="preserve">109/2 </t>
  </si>
  <si>
    <t xml:space="preserve">111/1 </t>
  </si>
  <si>
    <t xml:space="preserve">111/2 </t>
  </si>
  <si>
    <t xml:space="preserve">111/3 </t>
  </si>
  <si>
    <t xml:space="preserve">115/1 </t>
  </si>
  <si>
    <t xml:space="preserve">115/2.3 </t>
  </si>
  <si>
    <t xml:space="preserve">120/1.2 </t>
  </si>
  <si>
    <t xml:space="preserve">120/3 </t>
  </si>
  <si>
    <t xml:space="preserve">121/1.2 </t>
  </si>
  <si>
    <t xml:space="preserve">123/1 </t>
  </si>
  <si>
    <t xml:space="preserve">123/2 </t>
  </si>
  <si>
    <t xml:space="preserve">128/3 </t>
  </si>
  <si>
    <t xml:space="preserve">137/1 </t>
  </si>
  <si>
    <t xml:space="preserve">138/1.2 </t>
  </si>
  <si>
    <t xml:space="preserve">138/3 </t>
  </si>
  <si>
    <t xml:space="preserve">139/1 </t>
  </si>
  <si>
    <t xml:space="preserve">139/2.3 </t>
  </si>
  <si>
    <t xml:space="preserve">143/1.2 </t>
  </si>
  <si>
    <t xml:space="preserve">148/3 </t>
  </si>
  <si>
    <t xml:space="preserve">151/2 </t>
  </si>
  <si>
    <t xml:space="preserve">151/3 </t>
  </si>
  <si>
    <t xml:space="preserve">155/3 </t>
  </si>
  <si>
    <t xml:space="preserve">160/2 </t>
  </si>
  <si>
    <t xml:space="preserve">160/1.3 </t>
  </si>
  <si>
    <t xml:space="preserve">161/2 </t>
  </si>
  <si>
    <t xml:space="preserve">185/1 </t>
  </si>
  <si>
    <t xml:space="preserve">195/1 </t>
  </si>
  <si>
    <t xml:space="preserve">195/2 </t>
  </si>
  <si>
    <t xml:space="preserve">196/3 </t>
  </si>
  <si>
    <t xml:space="preserve">197/1 </t>
  </si>
  <si>
    <t xml:space="preserve">197/2 </t>
  </si>
  <si>
    <t xml:space="preserve">197/3 </t>
  </si>
  <si>
    <t xml:space="preserve">214/2 </t>
  </si>
  <si>
    <t xml:space="preserve">219/1 </t>
  </si>
  <si>
    <t xml:space="preserve">224/2 </t>
  </si>
  <si>
    <t xml:space="preserve">224/3 </t>
  </si>
  <si>
    <t xml:space="preserve">226/2 </t>
  </si>
  <si>
    <t xml:space="preserve">230/3 </t>
  </si>
  <si>
    <t xml:space="preserve">234/1.2 </t>
  </si>
  <si>
    <t xml:space="preserve">238/2 </t>
  </si>
  <si>
    <t xml:space="preserve">241/1 </t>
  </si>
  <si>
    <t>246/1</t>
  </si>
  <si>
    <t xml:space="preserve">245/3 </t>
  </si>
  <si>
    <t xml:space="preserve">250/1 </t>
  </si>
  <si>
    <t xml:space="preserve">260/2.3 </t>
  </si>
  <si>
    <t xml:space="preserve">264/1 </t>
  </si>
  <si>
    <t xml:space="preserve">264/2.3 </t>
  </si>
  <si>
    <t xml:space="preserve">265/2 </t>
  </si>
  <si>
    <t xml:space="preserve">296/1 </t>
  </si>
  <si>
    <t xml:space="preserve">296/2 </t>
  </si>
  <si>
    <t xml:space="preserve">307/1 </t>
  </si>
  <si>
    <t xml:space="preserve">307/2.3 </t>
  </si>
  <si>
    <t xml:space="preserve">310/3 </t>
  </si>
  <si>
    <t xml:space="preserve">311/1 </t>
  </si>
  <si>
    <t xml:space="preserve">318/1 </t>
  </si>
  <si>
    <t xml:space="preserve">323/1 </t>
  </si>
  <si>
    <t xml:space="preserve">323/2 </t>
  </si>
  <si>
    <t xml:space="preserve">323/3 </t>
  </si>
  <si>
    <t xml:space="preserve">328/2 </t>
  </si>
  <si>
    <t xml:space="preserve">334/1 </t>
  </si>
  <si>
    <t xml:space="preserve">336/1 </t>
  </si>
  <si>
    <t xml:space="preserve">14/2 </t>
  </si>
  <si>
    <t xml:space="preserve">17/3 </t>
  </si>
  <si>
    <t xml:space="preserve">20/2 </t>
  </si>
  <si>
    <t xml:space="preserve">34/2 </t>
  </si>
  <si>
    <t xml:space="preserve">58/3 </t>
  </si>
  <si>
    <t xml:space="preserve">61/3 </t>
  </si>
  <si>
    <t xml:space="preserve">68/1 </t>
  </si>
  <si>
    <t xml:space="preserve">72/3 </t>
  </si>
  <si>
    <t xml:space="preserve">84/1 </t>
  </si>
  <si>
    <t xml:space="preserve">101/3 </t>
  </si>
  <si>
    <t xml:space="preserve">102/1 </t>
  </si>
  <si>
    <t xml:space="preserve">117/3 </t>
  </si>
  <si>
    <t xml:space="preserve">148/1.2 </t>
  </si>
  <si>
    <t xml:space="preserve">158/1 </t>
  </si>
  <si>
    <t xml:space="preserve">159/1 </t>
  </si>
  <si>
    <t xml:space="preserve">183/1 </t>
  </si>
  <si>
    <t xml:space="preserve">189/2 </t>
  </si>
  <si>
    <t xml:space="preserve">195/3 </t>
  </si>
  <si>
    <t xml:space="preserve">213/1.2 </t>
  </si>
  <si>
    <t xml:space="preserve">234/3 </t>
  </si>
  <si>
    <t xml:space="preserve">236/3 </t>
  </si>
  <si>
    <t xml:space="preserve">238/3 </t>
  </si>
  <si>
    <t xml:space="preserve">241/2 </t>
  </si>
  <si>
    <t xml:space="preserve">241/3 </t>
  </si>
  <si>
    <t xml:space="preserve">256/1 </t>
  </si>
  <si>
    <t xml:space="preserve">256/2 </t>
  </si>
  <si>
    <t xml:space="preserve">257/1.2 </t>
  </si>
  <si>
    <t xml:space="preserve">262/3 </t>
  </si>
  <si>
    <t xml:space="preserve">263/1 </t>
  </si>
  <si>
    <t xml:space="preserve">275/1 </t>
  </si>
  <si>
    <t xml:space="preserve">276/1 </t>
  </si>
  <si>
    <t xml:space="preserve">279/1.2 </t>
  </si>
  <si>
    <t xml:space="preserve">282/1.2 </t>
  </si>
  <si>
    <t xml:space="preserve">282/3 </t>
  </si>
  <si>
    <t xml:space="preserve">292/3 </t>
  </si>
  <si>
    <t xml:space="preserve">297/1 </t>
  </si>
  <si>
    <t xml:space="preserve">304/3 </t>
  </si>
  <si>
    <t xml:space="preserve">305/1 </t>
  </si>
  <si>
    <t xml:space="preserve">305/2 </t>
  </si>
  <si>
    <t xml:space="preserve">327/1 </t>
  </si>
  <si>
    <t xml:space="preserve">327/2 </t>
  </si>
  <si>
    <t xml:space="preserve">327/3 </t>
  </si>
  <si>
    <t xml:space="preserve">331/1 </t>
  </si>
  <si>
    <t xml:space="preserve">343/3 </t>
  </si>
  <si>
    <t xml:space="preserve">13/3 </t>
  </si>
  <si>
    <t xml:space="preserve">16/1  </t>
  </si>
  <si>
    <t xml:space="preserve">19/2 </t>
  </si>
  <si>
    <t xml:space="preserve">19/3 </t>
  </si>
  <si>
    <t xml:space="preserve">93/1 </t>
  </si>
  <si>
    <t xml:space="preserve">185/2 </t>
  </si>
  <si>
    <t xml:space="preserve">210/1.2 </t>
  </si>
  <si>
    <t xml:space="preserve">218/2.3 </t>
  </si>
  <si>
    <t xml:space="preserve">267/3 </t>
  </si>
  <si>
    <t xml:space="preserve">14/1 </t>
  </si>
  <si>
    <t xml:space="preserve">55/3 </t>
  </si>
  <si>
    <t xml:space="preserve">72/1 </t>
  </si>
  <si>
    <t xml:space="preserve">76/2 </t>
  </si>
  <si>
    <t xml:space="preserve">85/1 </t>
  </si>
  <si>
    <t xml:space="preserve">96/1 </t>
  </si>
  <si>
    <t xml:space="preserve">96/2.3 </t>
  </si>
  <si>
    <t xml:space="preserve">103/1 </t>
  </si>
  <si>
    <t xml:space="preserve">106/2 </t>
  </si>
  <si>
    <t xml:space="preserve">109/1 </t>
  </si>
  <si>
    <t xml:space="preserve">110/1 </t>
  </si>
  <si>
    <t xml:space="preserve">110/2.3 </t>
  </si>
  <si>
    <t xml:space="preserve">117/1 </t>
  </si>
  <si>
    <t xml:space="preserve">117/2 </t>
  </si>
  <si>
    <t xml:space="preserve">118/2.3 </t>
  </si>
  <si>
    <t xml:space="preserve">128/2 </t>
  </si>
  <si>
    <t xml:space="preserve">130/1 </t>
  </si>
  <si>
    <t xml:space="preserve">149/3 </t>
  </si>
  <si>
    <t xml:space="preserve">152/3 </t>
  </si>
  <si>
    <t xml:space="preserve">156/3 </t>
  </si>
  <si>
    <t xml:space="preserve">179/2 </t>
  </si>
  <si>
    <t xml:space="preserve">182/1.2 </t>
  </si>
  <si>
    <t xml:space="preserve">182/3 </t>
  </si>
  <si>
    <t xml:space="preserve">183/2.3 </t>
  </si>
  <si>
    <t xml:space="preserve">190/1 </t>
  </si>
  <si>
    <t xml:space="preserve">190/2 </t>
  </si>
  <si>
    <t xml:space="preserve">199/2 </t>
  </si>
  <si>
    <t xml:space="preserve">199/3 </t>
  </si>
  <si>
    <t xml:space="preserve">203/1 </t>
  </si>
  <si>
    <t xml:space="preserve">203/2.3 </t>
  </si>
  <si>
    <t xml:space="preserve">205/1.2.3 </t>
  </si>
  <si>
    <t xml:space="preserve">211/1.2 </t>
  </si>
  <si>
    <t xml:space="preserve">212/1.2 </t>
  </si>
  <si>
    <t xml:space="preserve">214/3 </t>
  </si>
  <si>
    <t xml:space="preserve">227/3 </t>
  </si>
  <si>
    <t xml:space="preserve">228/1 </t>
  </si>
  <si>
    <t xml:space="preserve">228/2 </t>
  </si>
  <si>
    <t xml:space="preserve">228/3 </t>
  </si>
  <si>
    <t xml:space="preserve">229/3 </t>
  </si>
  <si>
    <t xml:space="preserve">246/2 </t>
  </si>
  <si>
    <t xml:space="preserve">265/1 </t>
  </si>
  <si>
    <t xml:space="preserve">270/1.2 </t>
  </si>
  <si>
    <t xml:space="preserve">288/1 </t>
  </si>
  <si>
    <t xml:space="preserve">291/3 </t>
  </si>
  <si>
    <t xml:space="preserve">305/3 </t>
  </si>
  <si>
    <t xml:space="preserve">306/3 </t>
  </si>
  <si>
    <t xml:space="preserve">311/2 </t>
  </si>
  <si>
    <t xml:space="preserve">311/3 </t>
  </si>
  <si>
    <t xml:space="preserve">313/2.3 </t>
  </si>
  <si>
    <t xml:space="preserve">315/1 </t>
  </si>
  <si>
    <t xml:space="preserve">322/1.2.3 </t>
  </si>
  <si>
    <t>337/3</t>
  </si>
  <si>
    <t xml:space="preserve">341/1 </t>
  </si>
  <si>
    <t xml:space="preserve">13/1.2 </t>
  </si>
  <si>
    <t xml:space="preserve">16/2.3 </t>
  </si>
  <si>
    <t xml:space="preserve">22/1.2.3 </t>
  </si>
  <si>
    <t xml:space="preserve">33/3 </t>
  </si>
  <si>
    <t xml:space="preserve">39/2 </t>
  </si>
  <si>
    <t xml:space="preserve">69/1 </t>
  </si>
  <si>
    <t xml:space="preserve">84/2 </t>
  </si>
  <si>
    <t xml:space="preserve">86/2 </t>
  </si>
  <si>
    <t xml:space="preserve">89/3 </t>
  </si>
  <si>
    <t xml:space="preserve">99/2.3 </t>
  </si>
  <si>
    <t xml:space="preserve">107/2 </t>
  </si>
  <si>
    <t xml:space="preserve">119/3 </t>
  </si>
  <si>
    <t xml:space="preserve">124/3 </t>
  </si>
  <si>
    <t xml:space="preserve">129/2.3 </t>
  </si>
  <si>
    <t xml:space="preserve">158/2.3 </t>
  </si>
  <si>
    <t xml:space="preserve">169/3 </t>
  </si>
  <si>
    <t xml:space="preserve">188/1 </t>
  </si>
  <si>
    <t xml:space="preserve">198/2 </t>
  </si>
  <si>
    <t xml:space="preserve">198/3  </t>
  </si>
  <si>
    <t xml:space="preserve">210/3 </t>
  </si>
  <si>
    <t xml:space="preserve">216/1 </t>
  </si>
  <si>
    <t xml:space="preserve">222/1 </t>
  </si>
  <si>
    <t xml:space="preserve">222/3 </t>
  </si>
  <si>
    <t xml:space="preserve">235/3 </t>
  </si>
  <si>
    <t xml:space="preserve">240/2.3 </t>
  </si>
  <si>
    <t xml:space="preserve">252/2.3 </t>
  </si>
  <si>
    <t xml:space="preserve">254/1 </t>
  </si>
  <si>
    <t xml:space="preserve">259/1 </t>
  </si>
  <si>
    <t xml:space="preserve">275/2.3 </t>
  </si>
  <si>
    <t xml:space="preserve">296/3 </t>
  </si>
  <si>
    <t xml:space="preserve">304/1 </t>
  </si>
  <si>
    <t xml:space="preserve">306/1 </t>
  </si>
  <si>
    <t xml:space="preserve">321/2 </t>
  </si>
  <si>
    <t xml:space="preserve">332/1 </t>
  </si>
  <si>
    <t xml:space="preserve">340/1 </t>
  </si>
  <si>
    <t xml:space="preserve">340/2 </t>
  </si>
  <si>
    <t xml:space="preserve">345/2 </t>
  </si>
  <si>
    <t xml:space="preserve">345/3 </t>
  </si>
  <si>
    <t xml:space="preserve">56/2 </t>
  </si>
  <si>
    <t xml:space="preserve">56/3 </t>
  </si>
  <si>
    <t xml:space="preserve">194/2 </t>
  </si>
  <si>
    <t xml:space="preserve">3/1 </t>
  </si>
  <si>
    <t xml:space="preserve">17/2 </t>
  </si>
  <si>
    <t xml:space="preserve">20/3 </t>
  </si>
  <si>
    <t xml:space="preserve">21/2.3 </t>
  </si>
  <si>
    <t xml:space="preserve">54/1 </t>
  </si>
  <si>
    <t xml:space="preserve">68/3 </t>
  </si>
  <si>
    <t xml:space="preserve">89/2 </t>
  </si>
  <si>
    <t xml:space="preserve">108/1 </t>
  </si>
  <si>
    <t xml:space="preserve">118/1 </t>
  </si>
  <si>
    <t xml:space="preserve">124/1 </t>
  </si>
  <si>
    <t xml:space="preserve">124/2  </t>
  </si>
  <si>
    <t xml:space="preserve">134/1.2 </t>
  </si>
  <si>
    <t xml:space="preserve">134/3 </t>
  </si>
  <si>
    <t xml:space="preserve">142/3 </t>
  </si>
  <si>
    <t xml:space="preserve">162/1.2 </t>
  </si>
  <si>
    <t xml:space="preserve">162/3 </t>
  </si>
  <si>
    <t xml:space="preserve">164/3 </t>
  </si>
  <si>
    <t xml:space="preserve">169/2 </t>
  </si>
  <si>
    <t xml:space="preserve">171/2.3 </t>
  </si>
  <si>
    <t xml:space="preserve">180/3 </t>
  </si>
  <si>
    <t xml:space="preserve">189/1 </t>
  </si>
  <si>
    <t xml:space="preserve">196/1.2 </t>
  </si>
  <si>
    <t xml:space="preserve">204/1.2.3 </t>
  </si>
  <si>
    <t xml:space="preserve">213/3 </t>
  </si>
  <si>
    <t xml:space="preserve">224/1 </t>
  </si>
  <si>
    <t xml:space="preserve">226/3 </t>
  </si>
  <si>
    <t xml:space="preserve">232/2.3 </t>
  </si>
  <si>
    <t xml:space="preserve">242/1 </t>
  </si>
  <si>
    <t xml:space="preserve">242/2 </t>
  </si>
  <si>
    <t xml:space="preserve">242/3  </t>
  </si>
  <si>
    <t xml:space="preserve">255/3 </t>
  </si>
  <si>
    <t xml:space="preserve">263/3 </t>
  </si>
  <si>
    <t xml:space="preserve">265/3 </t>
  </si>
  <si>
    <t xml:space="preserve">288/2.3 </t>
  </si>
  <si>
    <t xml:space="preserve">289/3 </t>
  </si>
  <si>
    <t xml:space="preserve">300/1.2.3 </t>
  </si>
  <si>
    <t xml:space="preserve">303/1 </t>
  </si>
  <si>
    <t xml:space="preserve">303/2 </t>
  </si>
  <si>
    <t xml:space="preserve">309/1 </t>
  </si>
  <si>
    <t xml:space="preserve">312/2 </t>
  </si>
  <si>
    <t xml:space="preserve">320/1.2 </t>
  </si>
  <si>
    <t xml:space="preserve">338/1 </t>
  </si>
  <si>
    <t xml:space="preserve">340/3 </t>
  </si>
  <si>
    <t xml:space="preserve">341/3 </t>
  </si>
  <si>
    <t>3/2</t>
  </si>
  <si>
    <t xml:space="preserve">12/1 </t>
  </si>
  <si>
    <t xml:space="preserve">12/2 </t>
  </si>
  <si>
    <t xml:space="preserve">35/1 </t>
  </si>
  <si>
    <t xml:space="preserve">38/1 </t>
  </si>
  <si>
    <t xml:space="preserve">38/2.3 </t>
  </si>
  <si>
    <t xml:space="preserve">73/1 </t>
  </si>
  <si>
    <t xml:space="preserve">74/1 </t>
  </si>
  <si>
    <t xml:space="preserve">75/3 </t>
  </si>
  <si>
    <t xml:space="preserve">77/1 </t>
  </si>
  <si>
    <t xml:space="preserve">77/3 </t>
  </si>
  <si>
    <t xml:space="preserve">82/1 </t>
  </si>
  <si>
    <t xml:space="preserve">90/2 </t>
  </si>
  <si>
    <t xml:space="preserve">90/3 </t>
  </si>
  <si>
    <t xml:space="preserve">94/1  </t>
  </si>
  <si>
    <t xml:space="preserve">94/2 </t>
  </si>
  <si>
    <t xml:space="preserve">94/3 </t>
  </si>
  <si>
    <t xml:space="preserve">98/1 </t>
  </si>
  <si>
    <t xml:space="preserve">101/1 </t>
  </si>
  <si>
    <t xml:space="preserve">101/2  </t>
  </si>
  <si>
    <t>113/3</t>
  </si>
  <si>
    <t xml:space="preserve">106/1 </t>
  </si>
  <si>
    <t xml:space="preserve">113/2 </t>
  </si>
  <si>
    <t xml:space="preserve">121/3 </t>
  </si>
  <si>
    <t xml:space="preserve">135/1.2 </t>
  </si>
  <si>
    <t xml:space="preserve">135/3 </t>
  </si>
  <si>
    <t xml:space="preserve">140/1 </t>
  </si>
  <si>
    <t xml:space="preserve">140/2 </t>
  </si>
  <si>
    <t xml:space="preserve">140/3 </t>
  </si>
  <si>
    <t xml:space="preserve">142/1 </t>
  </si>
  <si>
    <t xml:space="preserve">147/1 </t>
  </si>
  <si>
    <t xml:space="preserve">147/2.3 </t>
  </si>
  <si>
    <t xml:space="preserve">151/1 </t>
  </si>
  <si>
    <t xml:space="preserve">154/1 </t>
  </si>
  <si>
    <t xml:space="preserve">155/1 </t>
  </si>
  <si>
    <t xml:space="preserve">155/2 </t>
  </si>
  <si>
    <t xml:space="preserve">157/1 </t>
  </si>
  <si>
    <t xml:space="preserve">159/3 </t>
  </si>
  <si>
    <t xml:space="preserve">164/1 </t>
  </si>
  <si>
    <t xml:space="preserve">167/1 </t>
  </si>
  <si>
    <t xml:space="preserve">167/2 </t>
  </si>
  <si>
    <t xml:space="preserve">167/3 </t>
  </si>
  <si>
    <t xml:space="preserve">177/2 </t>
  </si>
  <si>
    <t xml:space="preserve">185/3 </t>
  </si>
  <si>
    <t xml:space="preserve">187/1 </t>
  </si>
  <si>
    <t xml:space="preserve">188/2 </t>
  </si>
  <si>
    <t xml:space="preserve">190/3 </t>
  </si>
  <si>
    <t xml:space="preserve">209/1 </t>
  </si>
  <si>
    <t xml:space="preserve">219/3 </t>
  </si>
  <si>
    <t xml:space="preserve">220/3 </t>
  </si>
  <si>
    <t xml:space="preserve">222/2 </t>
  </si>
  <si>
    <t xml:space="preserve">225/1 </t>
  </si>
  <si>
    <t xml:space="preserve">225/2 </t>
  </si>
  <si>
    <t xml:space="preserve">225/3 </t>
  </si>
  <si>
    <t xml:space="preserve">227/1 </t>
  </si>
  <si>
    <t xml:space="preserve">227/2 </t>
  </si>
  <si>
    <t xml:space="preserve">237/1 </t>
  </si>
  <si>
    <t xml:space="preserve">237/2.3 </t>
  </si>
  <si>
    <t xml:space="preserve">245/1.2 </t>
  </si>
  <si>
    <t xml:space="preserve">249/3 </t>
  </si>
  <si>
    <t xml:space="preserve">251/3 </t>
  </si>
  <si>
    <t xml:space="preserve">256/3 </t>
  </si>
  <si>
    <t xml:space="preserve">266/3 </t>
  </si>
  <si>
    <t xml:space="preserve">269/1 </t>
  </si>
  <si>
    <t xml:space="preserve">270/3 </t>
  </si>
  <si>
    <t xml:space="preserve">290/1.2 </t>
  </si>
  <si>
    <t xml:space="preserve">294/2 </t>
  </si>
  <si>
    <t xml:space="preserve">325/2 </t>
  </si>
  <si>
    <t xml:space="preserve">325/3 </t>
  </si>
  <si>
    <t xml:space="preserve">330/1 </t>
  </si>
  <si>
    <t xml:space="preserve">343/1.2 </t>
  </si>
  <si>
    <t xml:space="preserve">31/1 </t>
  </si>
  <si>
    <t xml:space="preserve">31/2.3 </t>
  </si>
  <si>
    <t xml:space="preserve">33/1.2 </t>
  </si>
  <si>
    <t xml:space="preserve">58/1.2 </t>
  </si>
  <si>
    <t xml:space="preserve">67/1 </t>
  </si>
  <si>
    <t xml:space="preserve">93/2 </t>
  </si>
  <si>
    <t xml:space="preserve">93/3 </t>
  </si>
  <si>
    <t xml:space="preserve">133/1 </t>
  </si>
  <si>
    <t xml:space="preserve">133/2 </t>
  </si>
  <si>
    <t xml:space="preserve">133/3 </t>
  </si>
  <si>
    <t xml:space="preserve">164/2 </t>
  </si>
  <si>
    <t xml:space="preserve">214/1 </t>
  </si>
  <si>
    <t xml:space="preserve">215/3 </t>
  </si>
  <si>
    <t xml:space="preserve">219/2 </t>
  </si>
  <si>
    <t xml:space="preserve">239/2 </t>
  </si>
  <si>
    <t xml:space="preserve">259/2.3 </t>
  </si>
  <si>
    <t xml:space="preserve">303/3 </t>
  </si>
  <si>
    <t>297/3</t>
  </si>
  <si>
    <t xml:space="preserve">308/1.2.3 </t>
  </si>
  <si>
    <t xml:space="preserve">310/1 </t>
  </si>
  <si>
    <t>310/2</t>
  </si>
  <si>
    <t xml:space="preserve">319/3 </t>
  </si>
  <si>
    <t xml:space="preserve">342/1.2.3 </t>
  </si>
  <si>
    <t>333/3</t>
  </si>
  <si>
    <t xml:space="preserve">8/1 </t>
  </si>
  <si>
    <t xml:space="preserve">27/1 </t>
  </si>
  <si>
    <t xml:space="preserve">28/1 </t>
  </si>
  <si>
    <t xml:space="preserve">28/2 </t>
  </si>
  <si>
    <t xml:space="preserve">34/3 </t>
  </si>
  <si>
    <t xml:space="preserve">50/3 </t>
  </si>
  <si>
    <t xml:space="preserve">52/2 </t>
  </si>
  <si>
    <t xml:space="preserve">54/2 </t>
  </si>
  <si>
    <t xml:space="preserve">54/3 </t>
  </si>
  <si>
    <t xml:space="preserve">60/3 </t>
  </si>
  <si>
    <t xml:space="preserve">64/1 </t>
  </si>
  <si>
    <t xml:space="preserve">64/2 </t>
  </si>
  <si>
    <t xml:space="preserve">64/3 </t>
  </si>
  <si>
    <t xml:space="preserve">73/2 </t>
  </si>
  <si>
    <t xml:space="preserve">82/2 </t>
  </si>
  <si>
    <t xml:space="preserve">85/2 </t>
  </si>
  <si>
    <t xml:space="preserve">85/3 </t>
  </si>
  <si>
    <t xml:space="preserve">99/1 </t>
  </si>
  <si>
    <t xml:space="preserve">102/2 </t>
  </si>
  <si>
    <t xml:space="preserve">102/3 </t>
  </si>
  <si>
    <t xml:space="preserve">104/1 </t>
  </si>
  <si>
    <t xml:space="preserve">104/3 </t>
  </si>
  <si>
    <t xml:space="preserve">108/2.3 </t>
  </si>
  <si>
    <t xml:space="preserve">109/3 </t>
  </si>
  <si>
    <t xml:space="preserve">112/1 </t>
  </si>
  <si>
    <t xml:space="preserve">119/1.2 </t>
  </si>
  <si>
    <t xml:space="preserve">123/3 </t>
  </si>
  <si>
    <t xml:space="preserve">128/1 </t>
  </si>
  <si>
    <t xml:space="preserve">132/3 </t>
  </si>
  <si>
    <t xml:space="preserve">144/1 </t>
  </si>
  <si>
    <t xml:space="preserve">144/3 </t>
  </si>
  <si>
    <t xml:space="preserve">156/1 </t>
  </si>
  <si>
    <t xml:space="preserve">157/2 </t>
  </si>
  <si>
    <t xml:space="preserve">173/1.2 </t>
  </si>
  <si>
    <t xml:space="preserve">186/1.2 </t>
  </si>
  <si>
    <t xml:space="preserve">186/3 </t>
  </si>
  <si>
    <t xml:space="preserve">207/1 </t>
  </si>
  <si>
    <t xml:space="preserve">207/2 </t>
  </si>
  <si>
    <t xml:space="preserve">208/2 </t>
  </si>
  <si>
    <t xml:space="preserve">220/1 </t>
  </si>
  <si>
    <t xml:space="preserve">220/2 </t>
  </si>
  <si>
    <t xml:space="preserve">229/1 </t>
  </si>
  <si>
    <t xml:space="preserve">229/2 </t>
  </si>
  <si>
    <t xml:space="preserve">236/1 </t>
  </si>
  <si>
    <t xml:space="preserve">236/2 </t>
  </si>
  <si>
    <t xml:space="preserve">238/1 </t>
  </si>
  <si>
    <t xml:space="preserve">243/3 </t>
  </si>
  <si>
    <t xml:space="preserve">252/1 </t>
  </si>
  <si>
    <t xml:space="preserve">253/1 </t>
  </si>
  <si>
    <t xml:space="preserve">253/2.3 </t>
  </si>
  <si>
    <t xml:space="preserve">258/1 </t>
  </si>
  <si>
    <t xml:space="preserve">266/1 </t>
  </si>
  <si>
    <t>266/2</t>
  </si>
  <si>
    <t xml:space="preserve">267/1 </t>
  </si>
  <si>
    <t xml:space="preserve">272/2 </t>
  </si>
  <si>
    <t xml:space="preserve">278/3 </t>
  </si>
  <si>
    <t xml:space="preserve">285/1 </t>
  </si>
  <si>
    <t xml:space="preserve">289/1 </t>
  </si>
  <si>
    <t xml:space="preserve">290/3 </t>
  </si>
  <si>
    <t xml:space="preserve">291/1 </t>
  </si>
  <si>
    <t xml:space="preserve">291/2 </t>
  </si>
  <si>
    <t xml:space="preserve">293/2.3 </t>
  </si>
  <si>
    <t xml:space="preserve">319/1.2 </t>
  </si>
  <si>
    <t xml:space="preserve">328/1 </t>
  </si>
  <si>
    <t xml:space="preserve">328/3 </t>
  </si>
  <si>
    <t xml:space="preserve">330/3 </t>
  </si>
  <si>
    <t xml:space="preserve">333/2 </t>
  </si>
  <si>
    <t xml:space="preserve">334/2 </t>
  </si>
  <si>
    <t xml:space="preserve">334/3 </t>
  </si>
  <si>
    <t xml:space="preserve">336/2 </t>
  </si>
  <si>
    <t xml:space="preserve">338/2 </t>
  </si>
  <si>
    <t xml:space="preserve">344/3 </t>
  </si>
  <si>
    <t xml:space="preserve">39/3 </t>
  </si>
  <si>
    <t xml:space="preserve">86/1 </t>
  </si>
  <si>
    <t xml:space="preserve">106/3 </t>
  </si>
  <si>
    <t xml:space="preserve">159/2 </t>
  </si>
  <si>
    <t xml:space="preserve">189/3 </t>
  </si>
  <si>
    <t xml:space="preserve">246/3 </t>
  </si>
  <si>
    <t xml:space="preserve">294/3 </t>
  </si>
  <si>
    <t xml:space="preserve">21/1 </t>
  </si>
  <si>
    <t xml:space="preserve">52/1 </t>
  </si>
  <si>
    <t xml:space="preserve">59/2 </t>
  </si>
  <si>
    <t xml:space="preserve">59/3 </t>
  </si>
  <si>
    <t xml:space="preserve">75/1.2 </t>
  </si>
  <si>
    <t xml:space="preserve">78/1 </t>
  </si>
  <si>
    <t xml:space="preserve">78/2 </t>
  </si>
  <si>
    <t xml:space="preserve">89/1 </t>
  </si>
  <si>
    <t xml:space="preserve">107/1 </t>
  </si>
  <si>
    <t xml:space="preserve">107/3 </t>
  </si>
  <si>
    <t xml:space="preserve">112/2 </t>
  </si>
  <si>
    <t xml:space="preserve">112/3 </t>
  </si>
  <si>
    <t xml:space="preserve">113/1 </t>
  </si>
  <si>
    <t xml:space="preserve">116/1 </t>
  </si>
  <si>
    <t xml:space="preserve">130/2 </t>
  </si>
  <si>
    <t xml:space="preserve">130/3 </t>
  </si>
  <si>
    <t xml:space="preserve">143/3 </t>
  </si>
  <si>
    <t xml:space="preserve">144/2 </t>
  </si>
  <si>
    <t xml:space="preserve">145/1 </t>
  </si>
  <si>
    <t xml:space="preserve">145/2 </t>
  </si>
  <si>
    <t xml:space="preserve">145/3 </t>
  </si>
  <si>
    <t xml:space="preserve">177/3 </t>
  </si>
  <si>
    <t xml:space="preserve">178/2.3 </t>
  </si>
  <si>
    <t xml:space="preserve">179/3 </t>
  </si>
  <si>
    <t xml:space="preserve">180/1 </t>
  </si>
  <si>
    <t xml:space="preserve">188/3 </t>
  </si>
  <si>
    <t xml:space="preserve">194/1 </t>
  </si>
  <si>
    <t xml:space="preserve">194/3 </t>
  </si>
  <si>
    <t xml:space="preserve">208/3 </t>
  </si>
  <si>
    <t xml:space="preserve">209/2.3 </t>
  </si>
  <si>
    <t xml:space="preserve">215/1 </t>
  </si>
  <si>
    <t xml:space="preserve">233/1.2 </t>
  </si>
  <si>
    <t xml:space="preserve">233/3 </t>
  </si>
  <si>
    <t xml:space="preserve">235/1 </t>
  </si>
  <si>
    <t xml:space="preserve">239/1.3 </t>
  </si>
  <si>
    <t xml:space="preserve">247/1.3 </t>
  </si>
  <si>
    <t xml:space="preserve">247/2 </t>
  </si>
  <si>
    <t xml:space="preserve">249/1.2 </t>
  </si>
  <si>
    <t xml:space="preserve">250/2 </t>
  </si>
  <si>
    <t xml:space="preserve">250/3 </t>
  </si>
  <si>
    <t xml:space="preserve">251/1 </t>
  </si>
  <si>
    <t xml:space="preserve">260/1 </t>
  </si>
  <si>
    <t xml:space="preserve">268/3 </t>
  </si>
  <si>
    <t xml:space="preserve">272/3 </t>
  </si>
  <si>
    <t xml:space="preserve">278/1 </t>
  </si>
  <si>
    <t xml:space="preserve">279/3 </t>
  </si>
  <si>
    <t xml:space="preserve">286/1 </t>
  </si>
  <si>
    <t xml:space="preserve">306/2 </t>
  </si>
  <si>
    <t xml:space="preserve">314/1.2 </t>
  </si>
  <si>
    <t xml:space="preserve">315/3 </t>
  </si>
  <si>
    <t xml:space="preserve">330/2 </t>
  </si>
  <si>
    <t xml:space="preserve">332/3 </t>
  </si>
  <si>
    <t xml:space="preserve">333/1 </t>
  </si>
  <si>
    <t xml:space="preserve">337/1.2 </t>
  </si>
  <si>
    <t xml:space="preserve">345/1 </t>
  </si>
  <si>
    <t xml:space="preserve">9/1 </t>
  </si>
  <si>
    <t xml:space="preserve">43/1 </t>
  </si>
  <si>
    <t xml:space="preserve">45/1.2 </t>
  </si>
  <si>
    <t xml:space="preserve">45/3 </t>
  </si>
  <si>
    <t xml:space="preserve">52/3 </t>
  </si>
  <si>
    <t xml:space="preserve">53/1 </t>
  </si>
  <si>
    <t xml:space="preserve">57/3 </t>
  </si>
  <si>
    <t xml:space="preserve">60/1.2 </t>
  </si>
  <si>
    <t xml:space="preserve">69/3 </t>
  </si>
  <si>
    <t xml:space="preserve">74/3 </t>
  </si>
  <si>
    <t xml:space="preserve">84/3 </t>
  </si>
  <si>
    <t xml:space="preserve">122/1 </t>
  </si>
  <si>
    <t xml:space="preserve">122/2 </t>
  </si>
  <si>
    <t xml:space="preserve">122/3 </t>
  </si>
  <si>
    <t xml:space="preserve">150/1 </t>
  </si>
  <si>
    <t xml:space="preserve">153/2 </t>
  </si>
  <si>
    <t xml:space="preserve">153/3 </t>
  </si>
  <si>
    <t xml:space="preserve">154/2.3 </t>
  </si>
  <si>
    <t xml:space="preserve">156/2 </t>
  </si>
  <si>
    <t xml:space="preserve">169/1 </t>
  </si>
  <si>
    <t xml:space="preserve">177/1 </t>
  </si>
  <si>
    <t xml:space="preserve">178/1 </t>
  </si>
  <si>
    <t xml:space="preserve">179/1 </t>
  </si>
  <si>
    <t xml:space="preserve">192/1.2 </t>
  </si>
  <si>
    <t xml:space="preserve">198/1 </t>
  </si>
  <si>
    <t xml:space="preserve">201/3 </t>
  </si>
  <si>
    <t xml:space="preserve">254/2.3 </t>
  </si>
  <si>
    <t xml:space="preserve">258/2 </t>
  </si>
  <si>
    <t xml:space="preserve">268/1.2 </t>
  </si>
  <si>
    <t xml:space="preserve">276/2.3 </t>
  </si>
  <si>
    <t xml:space="preserve">289/2 </t>
  </si>
  <si>
    <t xml:space="preserve">293/1 </t>
  </si>
  <si>
    <t xml:space="preserve">294/1 </t>
  </si>
  <si>
    <t xml:space="preserve">304/2 </t>
  </si>
  <si>
    <t xml:space="preserve">315/2 </t>
  </si>
  <si>
    <t xml:space="preserve">318/2 </t>
  </si>
  <si>
    <t xml:space="preserve">318/3 </t>
  </si>
  <si>
    <t>Книгина Мария Вячеславовна 
(РИ-Шмелева София Алексеевна- 15.10.2016г.р.)</t>
  </si>
  <si>
    <t>Степочкина Ольга Евгеньевна (РИ-Резников Игорь Андреевич 13.04.2009)</t>
  </si>
  <si>
    <t>Антонова Жанна Дмитриевна (РИ-Антонов Иван Дмитриевич- 23.11.2015г.р.)</t>
  </si>
  <si>
    <t>Степанова Галина Ивановна</t>
  </si>
  <si>
    <t>Демьяна Бедного ул., д. 12, корп. 1, кв. 72</t>
  </si>
  <si>
    <t>ул. Карпинского, 31-1-76</t>
  </si>
  <si>
    <t>Кондратьевский пр. 83-1-19</t>
  </si>
  <si>
    <t>Пискаревский пр.,12-1-75</t>
  </si>
  <si>
    <t>Светлановский пр.107-150</t>
  </si>
  <si>
    <t>Кондратьевский пр., 23/20-53</t>
  </si>
  <si>
    <t>Перова Татьяна Евгеньевна (реб. Перова Марианна Дмитриевна - 29.03.2019г.р.</t>
  </si>
  <si>
    <t>Сабирова  Виктория Вячеславовна (РИ- Климанова Руслана Руслановна 17.04.2010)</t>
  </si>
  <si>
    <t>п. Парголово, ул. Тихоокеанская,  д.14, корп. 2, стр.1,  кв. 106</t>
  </si>
  <si>
    <t>п. Парголово, ул. Фёдора Абрамова, д.23, корп.1, кв.347</t>
  </si>
  <si>
    <t>п. Парголово, ул. Тихоокеанская,  д.14, корп. 2, стр.1,  кв. 630</t>
  </si>
  <si>
    <t>п. Парголово, ул. Тихоокеанская,  д.1, корп. 1,  стр.1, кв. 596</t>
  </si>
  <si>
    <t>п. Парголово, ул. Тихоокеанская, д. 1, корп. 1, стр.1, кв. 816</t>
  </si>
  <si>
    <t>п. Парголово, ул. Тихоокеанская, д. 1, корп. 1, стр. 1, кв. 849</t>
  </si>
  <si>
    <t>Кирпичева Анна Владиславовна реб. Кирпичев Владислав Алексеевич рожд. 06.05.2010</t>
  </si>
  <si>
    <t xml:space="preserve"> Тихоокеанская 14-2-1-257</t>
  </si>
  <si>
    <t>Волкова Елена Михайловна реб Волкова Алена Антоновна 03.12.2019</t>
  </si>
  <si>
    <t>Меркулова Мария Андреевна реб Меркулова Лея Кирилловна 07.02.2017</t>
  </si>
  <si>
    <t>Урусова Наталья Николаевна реб Урусов Максимилиан Алексеевич 26.07.2016</t>
  </si>
  <si>
    <t>Лескин Дмитрий Алексеевич  реб Лескин Иван Дмитриевич 05.10.2015</t>
  </si>
  <si>
    <t>Юфрякова Оксана Витальевна реб Юфрякова Эльвира-Амбра Сергеевна 11.03.2016</t>
  </si>
  <si>
    <t>Лисяков Вацлав Андреевич</t>
  </si>
  <si>
    <t>Лисяков В.А. умер 23.06.2026</t>
  </si>
  <si>
    <t xml:space="preserve">Авлас Елена Валерьевна реб Степанов Юрий Александрович 27.04.2018 </t>
  </si>
  <si>
    <t>Холименкова Ирина Юрьевна реб Хомиленкова Мария Сергеевна 25.04.2016</t>
  </si>
  <si>
    <t xml:space="preserve">Коликова Инна Сергеевна реб Новиченков Глеб Сергеевич 25.11.2010 </t>
  </si>
  <si>
    <t>Плечова Татьяна Ивановна реб Карачинский Михаил Евгеньевич 11.03.2015</t>
  </si>
  <si>
    <t>Лукьянов Александр Сергеевич реб Лукьянов Михаил Александрович, 21.05.2013</t>
  </si>
  <si>
    <t>Акимова Татьяна Борисовна реб Белоусова Виктория Семеновна 12.03.2016</t>
  </si>
  <si>
    <t>Абдулаева Айшат Гамзатовна реб Абдулаев Марат Мурадович 14.10.2014</t>
  </si>
  <si>
    <t>Бурдюг Ольга Александровна реб Шевелев Мирослав Станиславович 31.05.2019</t>
  </si>
  <si>
    <t>Сиреневый б-р 15-101</t>
  </si>
  <si>
    <t>Пензина Екатерина Максимовна  реб Пензина Варвара Евгеньевна 09.01.2021</t>
  </si>
  <si>
    <t xml:space="preserve">Юсова Алла Васильевна реб Соколов Никита Андреевич 02.05.2017 </t>
  </si>
  <si>
    <t>Кустодиева 16-1-213</t>
  </si>
  <si>
    <t>Мурзич Татьяна Владимировна реб. Мурзич Екатерина Филипповна рожд. 08.05.2017</t>
  </si>
  <si>
    <t>Безруких Александра Петровна реб Безруких Петр Григорьевич 18.06.2020</t>
  </si>
  <si>
    <t>Круглова Жанна Валерьевна реб Круглов Владлен Витальевич рожд 20.11.2009</t>
  </si>
  <si>
    <t>Корнея Чуковского ул., 
д. 7, к. 3, стр. 1, кв. 177</t>
  </si>
  <si>
    <t>Виноградова Надежда Сергеевна реб. (Виноградова Анастасия Кирилловна  рожд. 07.12.2009)</t>
  </si>
  <si>
    <t>Раевская Майя Борисовна (РИ-Раевская Виолетта Михайловна-03.09.2014)</t>
  </si>
  <si>
    <t>Жилин Павел Юрьевич (Жилин Дмитрий Павлович 21.08.2013)</t>
  </si>
  <si>
    <t>Посадовская Алиса Юрьевна</t>
  </si>
  <si>
    <t>Юмашева Елена Владимировна 
(РИ-Петяев Михаил Евгеньевич - 06.04.2011г.р.)</t>
  </si>
  <si>
    <t>Ешина Юлия Анатольевна реб. Ешин Владимир Алексеевич, рожд.10.05.2011</t>
  </si>
  <si>
    <t>Денисова Инесса Михайловна (реб. Денисова Марина Витальевна- 10.10.2013г.р.)</t>
  </si>
  <si>
    <t>Груздева Ирина Михайловна 
(РИ-Сарнавин Михаил Дмитриевич - 23.12.2008г.р.)</t>
  </si>
  <si>
    <t>Купчинская 30-1-155 (реб. Витебский пр., 63-216)</t>
  </si>
  <si>
    <t>Мебельная ул., 45-1-453 (5- Предпортовый 12-1-454)</t>
  </si>
  <si>
    <t>Славы пр., 39-57 (Ю.Гагарина 48-1-3)</t>
  </si>
  <si>
    <t>Абрамова Ирина Викторовна реб.Гуревич Иван Леонидович рожд. 06.03.2021</t>
  </si>
  <si>
    <t xml:space="preserve"> Жарков Юрий Александрович </t>
  </si>
  <si>
    <t xml:space="preserve"> Костюшко 3-32 (Ветеранов пр., 35-65)</t>
  </si>
  <si>
    <t>Григорьев Андрей Андреевич реб.Григорьева Валерия Андреевна рожд. 19.12.2013</t>
  </si>
  <si>
    <t>Ждановская 21-28</t>
  </si>
  <si>
    <t>Грота 1-3-58</t>
  </si>
  <si>
    <t>Фролова Наталья Петровна</t>
  </si>
  <si>
    <t>Сытнинская 14-22</t>
  </si>
  <si>
    <t>Шаталова Изабелла Павловна 
(РИ-Малков Мартин Никитич - 22.02.2017г.р.)</t>
  </si>
  <si>
    <t>Радохлеб Маргарита Андреевна 
(РИ-Соловьева София Андреевна -23.04.2022г.р.)</t>
  </si>
  <si>
    <t xml:space="preserve">Бааджи Юлия Игоревна </t>
  </si>
  <si>
    <t>Багирова Надежда Васильевна  реб.(Багирова Милана Арифовна рожд.03.09.2014)</t>
  </si>
  <si>
    <t>Патрушева Ксения Александровна реб Патрушев Игорь Андреевич рожд 30.01.2013</t>
  </si>
  <si>
    <t>Торгунакова Надежда Васильевна реб Иваниченко Андрей Сергеевич рожд 27.05.2014</t>
  </si>
  <si>
    <t>Гудкова Елена Феофанова реб. Джиоева Анастасия Тимуровна рожд. 12.01.2023</t>
  </si>
  <si>
    <t>Деврин Татьяна Николаевна реб Деврин Тимур Умитович рожд 05.04.2013</t>
  </si>
  <si>
    <t>Бортвина Екатерина Сергеевна реб Бортвин Лев Валентинович рожд 07.04.2021</t>
  </si>
  <si>
    <t>Борисенко Ольга Тамашевна                      (РИ-Борисенко Алексей Александрович рожд 16.06.2018)</t>
  </si>
  <si>
    <t>Кол-во. заключенных договоров</t>
  </si>
  <si>
    <t xml:space="preserve">Кол-во. переданных помещений в др.районы </t>
  </si>
  <si>
    <t>ИТОГО</t>
  </si>
  <si>
    <t>Кол-во незаселенных помещений</t>
  </si>
  <si>
    <t>Кол-во. заселенных помещений</t>
  </si>
  <si>
    <t>Кол-во. заселенных веранд</t>
  </si>
  <si>
    <t>Кол-во. граждан, заключивших договоры аренды</t>
  </si>
  <si>
    <t>п. Шушары, ул. Вишерская, д. 1, корп. 1, лит. А,  кв. 223</t>
  </si>
  <si>
    <t>пос. Шушары,Московское шоссе,  д. 258, корп. 2, стр. 1, кв.275</t>
  </si>
  <si>
    <t>пос. Шушары, Валдайская ул.,  д. 4, корп. 2, стр. 1,  кв.111</t>
  </si>
  <si>
    <t>пос. Шушары, Московское шоссе, д. 264, корп. 1,  кв.70 (регистрация ребенка- Кузнецовская ул.,д. 6, кв. 29)</t>
  </si>
  <si>
    <t xml:space="preserve">Тряпицын Александр Валериевич </t>
  </si>
  <si>
    <t>пос. Шушары, Валдайская ул.,  д. 6, корп. 2, стр. 1, кв.112</t>
  </si>
  <si>
    <t>г.Пушкин, ул. Железнодорожная,  д. 2а, лит. А,  кв. 17</t>
  </si>
  <si>
    <t>Шушары ,Славянка, Ростовская д. 24, корп. 1, стр. 1, кв. 506</t>
  </si>
  <si>
    <t xml:space="preserve">г. Пушкин, Кадетский бул. 23-15 </t>
  </si>
  <si>
    <t xml:space="preserve"> пос. Шушары, Старорусский пр.  6-106</t>
  </si>
  <si>
    <t>п.Шушары, Старорусский пр., д. 5, корп. 2, стр. 1, кв. 537</t>
  </si>
  <si>
    <t>пр. Народного Ополчения, д. 125, кв. 42</t>
  </si>
  <si>
    <t>Ленинский пр., д. 124, кв. 219</t>
  </si>
  <si>
    <t>Стачек пр., д. 220, корп. 2, кв. 41</t>
  </si>
  <si>
    <t>Кронштадтская ул., д. 28, кв. 8</t>
  </si>
  <si>
    <t>Смирнова Людмила Александровна</t>
  </si>
  <si>
    <t>Алексеева Алеся Олеговна реб Алексеев Евгений Андреевич рожд 20.04.2018</t>
  </si>
  <si>
    <t>ул. Г.Симоняка, 4-5-2</t>
  </si>
  <si>
    <t>Высочина Элона Яковлевна(РИ-Высочина Софья Андреевна-03.06.2008)</t>
  </si>
  <si>
    <t>Багирова Айнура Ханалиевна реб инв Багиров Амир Максудович рожд 08.05.2016</t>
  </si>
  <si>
    <t>Трамвайный пр.9-2-26</t>
  </si>
  <si>
    <t>Танкиста Хрустицкого ул., 60-4</t>
  </si>
  <si>
    <t>Южное шоссе, д. 55, корп. 1, кв. 383</t>
  </si>
  <si>
    <t>Власенко Иван Валерьевич  (РИ-Власенко Виктория Ивановна - 01.01.2020г.р.)</t>
  </si>
  <si>
    <t>ул. Будапештская., д. 46, кв. 111</t>
  </si>
  <si>
    <t>Лисовая Алиса Ивановна 
(РИ-Байдала Мирон Романович - 10.05.2016г.)</t>
  </si>
  <si>
    <t>ул. Димитрова, 15-2-40</t>
  </si>
  <si>
    <t xml:space="preserve">Анненков Филипп Олегович </t>
  </si>
  <si>
    <t>Олеко Дундича 29-1-184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</si>
</sst>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0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sz val="10"/>
      <color theme="1"/>
      <name val="Times New Roman"/>
      <family val="1"/>
      <charset val="204"/>
    </font>
    <font>
      <sz val="10"/>
      <color theme="1"/>
      <name val="Wingdings"/>
      <charset val="2"/>
    </font>
    <font>
      <b/>
      <sz val="10"/>
      <name val="Times New Roman"/>
      <family val="1"/>
      <charset val="204"/>
    </font>
    <font>
      <sz val="10"/>
      <name val="Arial"/>
      <family val="2"/>
      <charset val="204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3" fillId="0" borderId="0" xfId="0" applyFont="1"/>
    <xf numFmtId="0" fontId="3" fillId="0" borderId="1" xfId="0" applyFont="1" applyBorder="1"/>
    <xf numFmtId="0" fontId="3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0" fillId="7" borderId="0" xfId="0" applyFill="1"/>
    <xf numFmtId="14" fontId="3" fillId="6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3" fillId="0" borderId="1" xfId="0" applyNumberFormat="1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14" fontId="3" fillId="0" borderId="0" xfId="0" applyNumberFormat="1" applyFont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2" fillId="0" borderId="0" xfId="0" applyNumberFormat="1" applyFont="1" applyAlignment="1">
      <alignment wrapText="1"/>
    </xf>
    <xf numFmtId="14" fontId="3" fillId="0" borderId="2" xfId="0" applyNumberFormat="1" applyFont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14" fontId="3" fillId="0" borderId="1" xfId="0" applyNumberFormat="1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Alignment="1">
      <alignment wrapText="1"/>
    </xf>
    <xf numFmtId="49" fontId="0" fillId="0" borderId="0" xfId="0" applyNumberFormat="1" applyFill="1"/>
    <xf numFmtId="49" fontId="1" fillId="8" borderId="1" xfId="0" applyNumberFormat="1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0" xfId="0" applyFill="1"/>
    <xf numFmtId="0" fontId="3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Alignment="1">
      <alignment wrapText="1"/>
    </xf>
    <xf numFmtId="0" fontId="7" fillId="0" borderId="0" xfId="0" applyFont="1" applyFill="1"/>
  </cellXfs>
  <cellStyles count="1">
    <cellStyle name="Обычный" xfId="0" builtinId="0"/>
  </cellStyles>
  <dxfs count="24"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0" tint="-0.14999847407452621"/>
  </sheetPr>
  <dimension ref="A1:S999"/>
  <sheetViews>
    <sheetView workbookViewId="0">
      <selection activeCell="L9" sqref="L9"/>
    </sheetView>
  </sheetViews>
  <sheetFormatPr defaultRowHeight="15" x14ac:dyDescent="0.25"/>
  <cols>
    <col min="1" max="1" width="3.85546875" style="5" customWidth="1"/>
    <col min="2" max="2" width="7.7109375" style="5" customWidth="1"/>
    <col min="3" max="3" width="10.42578125" style="5" customWidth="1"/>
    <col min="4" max="4" width="11.140625" style="5" customWidth="1"/>
    <col min="5" max="5" width="10.42578125" style="5" customWidth="1"/>
    <col min="6" max="6" width="16.7109375" style="5" customWidth="1"/>
    <col min="7" max="7" width="21.5703125" style="3" customWidth="1"/>
    <col min="8" max="8" width="25.140625" style="5" customWidth="1"/>
    <col min="9" max="9" width="16.140625" style="5" bestFit="1" customWidth="1"/>
    <col min="10" max="10" width="8.7109375" style="26" customWidth="1"/>
    <col min="11" max="11" width="10.7109375" style="5" customWidth="1"/>
    <col min="12" max="12" width="12.7109375" style="5" customWidth="1"/>
    <col min="13" max="13" width="10.28515625" style="5" customWidth="1"/>
    <col min="14" max="14" width="24.42578125" style="5" customWidth="1"/>
  </cols>
  <sheetData>
    <row r="1" spans="1:14" ht="51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9" t="s">
        <v>5</v>
      </c>
      <c r="G1" s="1" t="s">
        <v>6</v>
      </c>
      <c r="H1" s="1" t="s">
        <v>7</v>
      </c>
      <c r="I1" s="1" t="s">
        <v>8</v>
      </c>
      <c r="J1" s="25" t="s">
        <v>9</v>
      </c>
      <c r="K1" s="1" t="s">
        <v>10</v>
      </c>
      <c r="L1" s="1" t="s">
        <v>11</v>
      </c>
      <c r="M1" s="9" t="s">
        <v>12</v>
      </c>
      <c r="N1" s="1" t="s">
        <v>13</v>
      </c>
    </row>
    <row r="2" spans="1:14" x14ac:dyDescent="0.25">
      <c r="A2" s="17"/>
      <c r="B2" s="16"/>
      <c r="C2" s="17"/>
      <c r="D2" s="17"/>
      <c r="E2" s="17"/>
      <c r="F2" s="16"/>
      <c r="G2" s="17"/>
      <c r="H2" s="17"/>
      <c r="I2" s="17"/>
      <c r="J2" s="24"/>
      <c r="K2" s="18"/>
      <c r="L2" s="17"/>
      <c r="M2" s="7"/>
      <c r="N2" s="17"/>
    </row>
    <row r="3" spans="1:14" x14ac:dyDescent="0.25">
      <c r="A3" s="17"/>
      <c r="B3" s="16"/>
      <c r="C3" s="17"/>
      <c r="D3" s="17"/>
      <c r="E3" s="17"/>
      <c r="F3" s="16"/>
      <c r="G3" s="17"/>
      <c r="H3" s="17"/>
      <c r="I3" s="17"/>
      <c r="J3" s="24"/>
      <c r="K3" s="18"/>
      <c r="L3" s="17"/>
      <c r="M3" s="7"/>
      <c r="N3" s="17"/>
    </row>
    <row r="4" spans="1:14" x14ac:dyDescent="0.25">
      <c r="A4" s="17"/>
      <c r="B4" s="16"/>
      <c r="C4" s="17"/>
      <c r="D4" s="17"/>
      <c r="E4" s="17"/>
      <c r="F4" s="16"/>
      <c r="G4" s="17"/>
      <c r="H4" s="17"/>
      <c r="I4" s="17"/>
      <c r="J4" s="24"/>
      <c r="K4" s="18"/>
      <c r="L4" s="17"/>
      <c r="M4" s="7"/>
      <c r="N4" s="17"/>
    </row>
    <row r="5" spans="1:14" x14ac:dyDescent="0.25">
      <c r="A5" s="17"/>
      <c r="B5" s="16"/>
      <c r="C5" s="17"/>
      <c r="D5" s="17"/>
      <c r="E5" s="17"/>
      <c r="F5" s="16"/>
      <c r="G5" s="17"/>
      <c r="H5" s="17"/>
      <c r="I5" s="17"/>
      <c r="J5" s="24"/>
      <c r="K5" s="18"/>
      <c r="L5" s="17"/>
      <c r="M5" s="7"/>
      <c r="N5" s="17"/>
    </row>
    <row r="6" spans="1:14" x14ac:dyDescent="0.25">
      <c r="A6" s="17"/>
      <c r="B6" s="16"/>
      <c r="C6" s="17"/>
      <c r="D6" s="17"/>
      <c r="E6" s="17"/>
      <c r="F6" s="16"/>
      <c r="G6" s="17"/>
      <c r="H6" s="17"/>
      <c r="I6" s="17"/>
      <c r="J6" s="24"/>
      <c r="K6" s="18"/>
      <c r="L6" s="17"/>
      <c r="M6" s="7"/>
      <c r="N6" s="17"/>
    </row>
    <row r="7" spans="1:14" x14ac:dyDescent="0.25">
      <c r="A7" s="17"/>
      <c r="B7" s="16"/>
      <c r="C7" s="17"/>
      <c r="D7" s="17"/>
      <c r="E7" s="17"/>
      <c r="F7" s="16"/>
      <c r="G7" s="17"/>
      <c r="H7" s="17"/>
      <c r="I7" s="17"/>
      <c r="J7" s="24"/>
      <c r="K7" s="18"/>
      <c r="L7" s="17"/>
      <c r="M7" s="7"/>
      <c r="N7" s="17"/>
    </row>
    <row r="8" spans="1:14" x14ac:dyDescent="0.25">
      <c r="A8" s="17"/>
      <c r="B8" s="16"/>
      <c r="C8" s="17"/>
      <c r="D8" s="17"/>
      <c r="E8" s="17"/>
      <c r="F8" s="16"/>
      <c r="G8" s="17"/>
      <c r="H8" s="17"/>
      <c r="I8" s="17"/>
      <c r="J8" s="24"/>
      <c r="K8" s="18"/>
      <c r="L8" s="17"/>
      <c r="M8" s="7"/>
      <c r="N8" s="17"/>
    </row>
    <row r="9" spans="1:14" x14ac:dyDescent="0.25">
      <c r="A9" s="17"/>
      <c r="B9" s="16"/>
      <c r="C9" s="17"/>
      <c r="D9" s="17"/>
      <c r="E9" s="17"/>
      <c r="F9" s="16"/>
      <c r="G9" s="17"/>
      <c r="H9" s="17"/>
      <c r="I9" s="17"/>
      <c r="J9" s="24"/>
      <c r="K9" s="18"/>
      <c r="L9" s="17"/>
      <c r="M9" s="7"/>
      <c r="N9" s="17"/>
    </row>
    <row r="10" spans="1:14" x14ac:dyDescent="0.25">
      <c r="A10" s="17"/>
      <c r="B10" s="16"/>
      <c r="C10" s="17"/>
      <c r="D10" s="17"/>
      <c r="E10" s="17"/>
      <c r="F10" s="16"/>
      <c r="G10" s="17"/>
      <c r="H10" s="17"/>
      <c r="I10" s="17"/>
      <c r="J10" s="24"/>
      <c r="K10" s="18"/>
      <c r="L10" s="17"/>
      <c r="M10" s="7"/>
      <c r="N10" s="17"/>
    </row>
    <row r="11" spans="1:14" x14ac:dyDescent="0.25">
      <c r="A11" s="17"/>
      <c r="B11" s="16"/>
      <c r="C11" s="17"/>
      <c r="D11" s="17"/>
      <c r="E11" s="17"/>
      <c r="F11" s="16"/>
      <c r="G11" s="17"/>
      <c r="H11" s="17"/>
      <c r="I11" s="17"/>
      <c r="J11" s="24"/>
      <c r="K11" s="18"/>
      <c r="L11" s="17"/>
      <c r="M11" s="7"/>
      <c r="N11" s="17"/>
    </row>
    <row r="12" spans="1:14" x14ac:dyDescent="0.25">
      <c r="A12" s="17"/>
      <c r="B12" s="16"/>
      <c r="C12" s="17"/>
      <c r="D12" s="17"/>
      <c r="E12" s="17"/>
      <c r="F12" s="16"/>
      <c r="G12" s="17"/>
      <c r="H12" s="17"/>
      <c r="I12" s="17"/>
      <c r="J12" s="24"/>
      <c r="K12" s="18"/>
      <c r="L12" s="17"/>
      <c r="M12" s="7"/>
      <c r="N12" s="17"/>
    </row>
    <row r="13" spans="1:14" x14ac:dyDescent="0.25">
      <c r="A13" s="17"/>
      <c r="B13" s="16"/>
      <c r="C13" s="17"/>
      <c r="D13" s="17"/>
      <c r="E13" s="17"/>
      <c r="F13" s="16"/>
      <c r="G13" s="17"/>
      <c r="H13" s="17"/>
      <c r="I13" s="17"/>
      <c r="J13" s="24"/>
      <c r="K13" s="18"/>
      <c r="L13" s="17"/>
      <c r="M13" s="7"/>
      <c r="N13" s="17"/>
    </row>
    <row r="14" spans="1:14" x14ac:dyDescent="0.25">
      <c r="A14" s="17"/>
      <c r="B14" s="16"/>
      <c r="C14" s="17"/>
      <c r="D14" s="17"/>
      <c r="E14" s="17"/>
      <c r="F14" s="16"/>
      <c r="G14" s="17"/>
      <c r="H14" s="17"/>
      <c r="I14" s="17"/>
      <c r="J14" s="24"/>
      <c r="K14" s="18"/>
      <c r="L14" s="17"/>
      <c r="M14" s="7"/>
      <c r="N14" s="17"/>
    </row>
    <row r="15" spans="1:14" x14ac:dyDescent="0.25">
      <c r="A15" s="17"/>
      <c r="B15" s="16"/>
      <c r="C15" s="17"/>
      <c r="D15" s="17"/>
      <c r="E15" s="17"/>
      <c r="F15" s="16"/>
      <c r="G15" s="17"/>
      <c r="H15" s="17"/>
      <c r="I15" s="17"/>
      <c r="J15" s="24"/>
      <c r="K15" s="18"/>
      <c r="L15" s="17"/>
      <c r="M15" s="7"/>
      <c r="N15" s="17"/>
    </row>
    <row r="16" spans="1:14" x14ac:dyDescent="0.25">
      <c r="A16" s="17"/>
      <c r="B16" s="16"/>
      <c r="C16" s="17"/>
      <c r="D16" s="17"/>
      <c r="E16" s="17"/>
      <c r="F16" s="16"/>
      <c r="G16" s="17"/>
      <c r="H16" s="17"/>
      <c r="I16" s="17"/>
      <c r="J16" s="24"/>
      <c r="K16" s="18"/>
      <c r="L16" s="17"/>
      <c r="M16" s="7"/>
      <c r="N16" s="17"/>
    </row>
    <row r="17" spans="1:19" x14ac:dyDescent="0.25">
      <c r="A17" s="17"/>
      <c r="B17" s="16"/>
      <c r="C17" s="17"/>
      <c r="D17" s="17"/>
      <c r="E17" s="17"/>
      <c r="F17" s="16"/>
      <c r="G17" s="17"/>
      <c r="H17" s="17"/>
      <c r="I17" s="17"/>
      <c r="J17" s="24"/>
      <c r="K17" s="18"/>
      <c r="L17" s="17"/>
      <c r="M17" s="7"/>
      <c r="N17" s="17"/>
    </row>
    <row r="18" spans="1:19" x14ac:dyDescent="0.25">
      <c r="A18" s="17"/>
      <c r="B18" s="16"/>
      <c r="C18" s="17"/>
      <c r="D18" s="17"/>
      <c r="E18" s="17"/>
      <c r="F18" s="16"/>
      <c r="G18" s="17"/>
      <c r="H18" s="17"/>
      <c r="I18" s="17"/>
      <c r="J18" s="24"/>
      <c r="K18" s="18"/>
      <c r="L18" s="17"/>
      <c r="M18" s="7"/>
      <c r="N18" s="17"/>
      <c r="S18" s="5"/>
    </row>
    <row r="19" spans="1:19" x14ac:dyDescent="0.25">
      <c r="A19" s="17"/>
      <c r="B19" s="16"/>
      <c r="C19" s="17"/>
      <c r="D19" s="17"/>
      <c r="E19" s="17"/>
      <c r="F19" s="16"/>
      <c r="G19" s="17"/>
      <c r="H19" s="17"/>
      <c r="I19" s="17"/>
      <c r="J19" s="24"/>
      <c r="K19" s="18"/>
      <c r="L19" s="17"/>
      <c r="M19" s="7"/>
      <c r="N19" s="17"/>
    </row>
    <row r="20" spans="1:19" x14ac:dyDescent="0.25">
      <c r="A20" s="17"/>
      <c r="B20" s="16"/>
      <c r="C20" s="17"/>
      <c r="D20" s="17"/>
      <c r="E20" s="17"/>
      <c r="F20" s="16"/>
      <c r="G20" s="17"/>
      <c r="H20" s="17"/>
      <c r="I20" s="17"/>
      <c r="J20" s="24"/>
      <c r="K20" s="18"/>
      <c r="L20" s="17"/>
      <c r="M20" s="7"/>
      <c r="N20" s="17"/>
    </row>
    <row r="21" spans="1:19" x14ac:dyDescent="0.25">
      <c r="A21" s="17"/>
      <c r="B21" s="16"/>
      <c r="C21" s="17"/>
      <c r="D21" s="17"/>
      <c r="E21" s="17"/>
      <c r="F21" s="16"/>
      <c r="G21" s="17"/>
      <c r="H21" s="17"/>
      <c r="I21" s="17"/>
      <c r="J21" s="24"/>
      <c r="K21" s="18"/>
      <c r="L21" s="17"/>
      <c r="M21" s="7"/>
      <c r="N21" s="17"/>
    </row>
    <row r="22" spans="1:19" x14ac:dyDescent="0.25">
      <c r="A22" s="17"/>
      <c r="B22" s="16"/>
      <c r="C22" s="17"/>
      <c r="D22" s="17"/>
      <c r="E22" s="17"/>
      <c r="F22" s="16"/>
      <c r="G22" s="17"/>
      <c r="H22" s="17"/>
      <c r="I22" s="17"/>
      <c r="J22" s="24"/>
      <c r="K22" s="18"/>
      <c r="L22" s="17"/>
      <c r="M22" s="7"/>
      <c r="N22" s="17"/>
    </row>
    <row r="23" spans="1:19" x14ac:dyDescent="0.25">
      <c r="A23" s="17"/>
      <c r="B23" s="16"/>
      <c r="C23" s="17"/>
      <c r="D23" s="17"/>
      <c r="E23" s="17"/>
      <c r="F23" s="16"/>
      <c r="G23" s="17"/>
      <c r="H23" s="17"/>
      <c r="I23" s="17"/>
      <c r="J23" s="24"/>
      <c r="K23" s="18"/>
      <c r="L23" s="17"/>
      <c r="M23" s="7"/>
      <c r="N23" s="17"/>
    </row>
    <row r="24" spans="1:19" x14ac:dyDescent="0.25">
      <c r="A24" s="17"/>
      <c r="B24" s="16"/>
      <c r="C24" s="17"/>
      <c r="D24" s="17"/>
      <c r="E24" s="17"/>
      <c r="F24" s="16"/>
      <c r="G24" s="17"/>
      <c r="H24" s="17"/>
      <c r="I24" s="17"/>
      <c r="J24" s="24"/>
      <c r="K24" s="18"/>
      <c r="L24" s="17"/>
      <c r="M24" s="7"/>
      <c r="N24" s="17"/>
    </row>
    <row r="25" spans="1:19" x14ac:dyDescent="0.25">
      <c r="A25" s="17"/>
      <c r="B25" s="16"/>
      <c r="C25" s="17"/>
      <c r="D25" s="17"/>
      <c r="E25" s="17"/>
      <c r="F25" s="16"/>
      <c r="G25" s="17"/>
      <c r="H25" s="17"/>
      <c r="I25" s="17"/>
      <c r="J25" s="24"/>
      <c r="K25" s="18"/>
      <c r="L25" s="17"/>
      <c r="M25" s="7"/>
      <c r="N25" s="17"/>
    </row>
    <row r="26" spans="1:19" x14ac:dyDescent="0.25">
      <c r="A26" s="17"/>
      <c r="B26" s="16"/>
      <c r="C26" s="17"/>
      <c r="D26" s="17"/>
      <c r="E26" s="17"/>
      <c r="F26" s="16"/>
      <c r="G26" s="17"/>
      <c r="H26" s="17"/>
      <c r="I26" s="17"/>
      <c r="J26" s="24"/>
      <c r="K26" s="18"/>
      <c r="L26" s="17"/>
      <c r="M26" s="7"/>
      <c r="N26" s="17"/>
    </row>
    <row r="27" spans="1:19" x14ac:dyDescent="0.25">
      <c r="A27" s="17"/>
      <c r="B27" s="16"/>
      <c r="C27" s="17"/>
      <c r="D27" s="17"/>
      <c r="E27" s="17"/>
      <c r="F27" s="16"/>
      <c r="G27" s="17"/>
      <c r="H27" s="17"/>
      <c r="I27" s="17"/>
      <c r="J27" s="24"/>
      <c r="K27" s="18"/>
      <c r="L27" s="17"/>
      <c r="M27" s="7"/>
      <c r="N27" s="17"/>
    </row>
    <row r="28" spans="1:19" x14ac:dyDescent="0.25">
      <c r="A28" s="17"/>
      <c r="B28" s="16"/>
      <c r="C28" s="17"/>
      <c r="D28" s="17"/>
      <c r="E28" s="17"/>
      <c r="F28" s="16"/>
      <c r="G28" s="17"/>
      <c r="H28" s="17"/>
      <c r="I28" s="17"/>
      <c r="J28" s="24"/>
      <c r="K28" s="18"/>
      <c r="L28" s="17"/>
      <c r="M28" s="7"/>
      <c r="N28" s="17"/>
    </row>
    <row r="29" spans="1:19" x14ac:dyDescent="0.25">
      <c r="A29" s="17"/>
      <c r="B29" s="16"/>
      <c r="C29" s="17"/>
      <c r="D29" s="17"/>
      <c r="E29" s="17"/>
      <c r="F29" s="16"/>
      <c r="G29" s="17"/>
      <c r="H29" s="17"/>
      <c r="I29" s="17"/>
      <c r="J29" s="24"/>
      <c r="K29" s="18"/>
      <c r="L29" s="17"/>
      <c r="M29" s="7"/>
      <c r="N29" s="17"/>
    </row>
    <row r="30" spans="1:19" x14ac:dyDescent="0.25">
      <c r="A30" s="17"/>
      <c r="B30" s="16"/>
      <c r="C30" s="17"/>
      <c r="D30" s="17"/>
      <c r="E30" s="17"/>
      <c r="F30" s="16"/>
      <c r="G30" s="17"/>
      <c r="H30" s="17"/>
      <c r="I30" s="17"/>
      <c r="J30" s="24"/>
      <c r="K30" s="18"/>
      <c r="L30" s="17"/>
      <c r="M30" s="7"/>
      <c r="N30" s="17"/>
    </row>
    <row r="31" spans="1:19" x14ac:dyDescent="0.25">
      <c r="A31" s="17"/>
      <c r="B31" s="16"/>
      <c r="C31" s="17"/>
      <c r="D31" s="17"/>
      <c r="E31" s="17"/>
      <c r="F31" s="16"/>
      <c r="G31" s="17"/>
      <c r="H31" s="17"/>
      <c r="I31" s="17"/>
      <c r="J31" s="24"/>
      <c r="K31" s="18"/>
      <c r="L31" s="17"/>
      <c r="M31" s="7"/>
      <c r="N31" s="17"/>
    </row>
    <row r="32" spans="1:19" x14ac:dyDescent="0.25">
      <c r="A32" s="17"/>
      <c r="B32" s="16"/>
      <c r="C32" s="17"/>
      <c r="D32" s="17"/>
      <c r="E32" s="17"/>
      <c r="F32" s="16"/>
      <c r="G32" s="17"/>
      <c r="H32" s="17"/>
      <c r="I32" s="17"/>
      <c r="J32" s="24"/>
      <c r="K32" s="18"/>
      <c r="L32" s="17"/>
      <c r="M32" s="7"/>
      <c r="N32" s="17"/>
    </row>
    <row r="33" spans="1:14" x14ac:dyDescent="0.25">
      <c r="A33" s="17"/>
      <c r="B33" s="16"/>
      <c r="C33" s="17"/>
      <c r="D33" s="17"/>
      <c r="E33" s="17"/>
      <c r="F33" s="16"/>
      <c r="G33" s="17"/>
      <c r="H33" s="17"/>
      <c r="I33" s="17"/>
      <c r="J33" s="24"/>
      <c r="K33" s="18"/>
      <c r="L33" s="17"/>
      <c r="M33" s="7"/>
      <c r="N33" s="17"/>
    </row>
    <row r="34" spans="1:14" x14ac:dyDescent="0.25">
      <c r="A34" s="17"/>
      <c r="B34" s="16"/>
      <c r="C34" s="17"/>
      <c r="D34" s="17"/>
      <c r="E34" s="17"/>
      <c r="F34" s="16"/>
      <c r="G34" s="17"/>
      <c r="H34" s="17"/>
      <c r="I34" s="17"/>
      <c r="J34" s="24"/>
      <c r="K34" s="18"/>
      <c r="L34" s="17"/>
      <c r="M34" s="7"/>
      <c r="N34" s="17"/>
    </row>
    <row r="35" spans="1:14" x14ac:dyDescent="0.25">
      <c r="A35" s="17"/>
      <c r="B35" s="16"/>
      <c r="C35" s="17"/>
      <c r="D35" s="17"/>
      <c r="E35" s="17"/>
      <c r="F35" s="16"/>
      <c r="G35" s="17"/>
      <c r="H35" s="17"/>
      <c r="I35" s="17"/>
      <c r="J35" s="24"/>
      <c r="K35" s="18"/>
      <c r="L35" s="17"/>
      <c r="M35" s="7"/>
      <c r="N35" s="17"/>
    </row>
    <row r="36" spans="1:14" x14ac:dyDescent="0.25">
      <c r="A36" s="17"/>
      <c r="B36" s="16"/>
      <c r="C36" s="17"/>
      <c r="D36" s="17"/>
      <c r="E36" s="17"/>
      <c r="F36" s="16"/>
      <c r="G36" s="17"/>
      <c r="H36" s="17"/>
      <c r="I36" s="17"/>
      <c r="J36" s="24"/>
      <c r="K36" s="18"/>
      <c r="L36" s="17"/>
      <c r="M36" s="7"/>
      <c r="N36" s="17"/>
    </row>
    <row r="37" spans="1:14" x14ac:dyDescent="0.25">
      <c r="A37" s="17"/>
      <c r="B37" s="16"/>
      <c r="C37" s="17"/>
      <c r="D37" s="17"/>
      <c r="E37" s="17"/>
      <c r="F37" s="16"/>
      <c r="G37" s="17"/>
      <c r="H37" s="17"/>
      <c r="I37" s="17"/>
      <c r="J37" s="24"/>
      <c r="K37" s="18"/>
      <c r="L37" s="17"/>
      <c r="M37" s="7"/>
      <c r="N37" s="17"/>
    </row>
    <row r="38" spans="1:14" x14ac:dyDescent="0.25">
      <c r="A38" s="17"/>
      <c r="B38" s="16"/>
      <c r="C38" s="17"/>
      <c r="D38" s="17"/>
      <c r="E38" s="17"/>
      <c r="F38" s="16"/>
      <c r="G38" s="17"/>
      <c r="H38" s="17"/>
      <c r="I38" s="17"/>
      <c r="J38" s="24"/>
      <c r="K38" s="18"/>
      <c r="L38" s="17"/>
      <c r="M38" s="7"/>
      <c r="N38" s="17"/>
    </row>
    <row r="39" spans="1:14" x14ac:dyDescent="0.25">
      <c r="A39" s="17"/>
      <c r="B39" s="16"/>
      <c r="C39" s="17"/>
      <c r="D39" s="17"/>
      <c r="E39" s="17"/>
      <c r="F39" s="16"/>
      <c r="G39" s="17"/>
      <c r="H39" s="17"/>
      <c r="I39" s="17"/>
      <c r="J39" s="24"/>
      <c r="K39" s="18"/>
      <c r="L39" s="17"/>
      <c r="M39" s="7"/>
      <c r="N39" s="17"/>
    </row>
    <row r="40" spans="1:14" x14ac:dyDescent="0.25">
      <c r="A40" s="17"/>
      <c r="B40" s="16"/>
      <c r="C40" s="17"/>
      <c r="D40" s="17"/>
      <c r="E40" s="17"/>
      <c r="F40" s="16"/>
      <c r="G40" s="17"/>
      <c r="H40" s="17"/>
      <c r="I40" s="17"/>
      <c r="J40" s="24"/>
      <c r="K40" s="18"/>
      <c r="L40" s="17"/>
      <c r="M40" s="7"/>
      <c r="N40" s="17"/>
    </row>
    <row r="41" spans="1:14" x14ac:dyDescent="0.25">
      <c r="A41" s="17"/>
      <c r="B41" s="16"/>
      <c r="C41" s="17"/>
      <c r="D41" s="17"/>
      <c r="E41" s="17"/>
      <c r="F41" s="16"/>
      <c r="G41" s="17"/>
      <c r="H41" s="17"/>
      <c r="I41" s="17"/>
      <c r="J41" s="24"/>
      <c r="K41" s="18"/>
      <c r="L41" s="17"/>
      <c r="M41" s="7"/>
      <c r="N41" s="17"/>
    </row>
    <row r="42" spans="1:14" x14ac:dyDescent="0.25">
      <c r="A42" s="17"/>
      <c r="B42" s="16"/>
      <c r="C42" s="17"/>
      <c r="D42" s="17"/>
      <c r="E42" s="17"/>
      <c r="F42" s="16"/>
      <c r="G42" s="17"/>
      <c r="H42" s="17"/>
      <c r="I42" s="17"/>
      <c r="J42" s="24"/>
      <c r="K42" s="18"/>
      <c r="L42" s="17"/>
      <c r="M42" s="7"/>
      <c r="N42" s="17"/>
    </row>
    <row r="43" spans="1:14" x14ac:dyDescent="0.25">
      <c r="A43" s="17"/>
      <c r="B43" s="16"/>
      <c r="C43" s="17"/>
      <c r="D43" s="17"/>
      <c r="E43" s="17"/>
      <c r="F43" s="16"/>
      <c r="G43" s="17"/>
      <c r="H43" s="17"/>
      <c r="I43" s="17"/>
      <c r="J43" s="24"/>
      <c r="K43" s="18"/>
      <c r="L43" s="17"/>
      <c r="M43" s="7"/>
      <c r="N43" s="17"/>
    </row>
    <row r="44" spans="1:14" x14ac:dyDescent="0.25">
      <c r="A44" s="17"/>
      <c r="B44" s="16"/>
      <c r="C44" s="17"/>
      <c r="D44" s="17"/>
      <c r="E44" s="17"/>
      <c r="F44" s="16"/>
      <c r="G44" s="17"/>
      <c r="H44" s="17"/>
      <c r="I44" s="17"/>
      <c r="J44" s="24"/>
      <c r="K44" s="18"/>
      <c r="L44" s="17"/>
      <c r="M44" s="7"/>
      <c r="N44" s="17"/>
    </row>
    <row r="45" spans="1:14" x14ac:dyDescent="0.25">
      <c r="A45" s="17"/>
      <c r="B45" s="16"/>
      <c r="C45" s="17"/>
      <c r="D45" s="17"/>
      <c r="E45" s="17"/>
      <c r="F45" s="16"/>
      <c r="G45" s="17"/>
      <c r="H45" s="17"/>
      <c r="I45" s="17"/>
      <c r="J45" s="24"/>
      <c r="K45" s="18"/>
      <c r="L45" s="17"/>
      <c r="M45" s="7"/>
      <c r="N45" s="17"/>
    </row>
    <row r="46" spans="1:14" x14ac:dyDescent="0.25">
      <c r="A46" s="17"/>
      <c r="B46" s="16"/>
      <c r="C46" s="17"/>
      <c r="D46" s="17"/>
      <c r="E46" s="17"/>
      <c r="F46" s="16"/>
      <c r="G46" s="17"/>
      <c r="H46" s="17"/>
      <c r="I46" s="17"/>
      <c r="J46" s="24"/>
      <c r="K46" s="18"/>
      <c r="L46" s="17"/>
      <c r="M46" s="7"/>
      <c r="N46" s="17"/>
    </row>
    <row r="47" spans="1:14" x14ac:dyDescent="0.25">
      <c r="A47" s="17"/>
      <c r="B47" s="16"/>
      <c r="C47" s="17"/>
      <c r="D47" s="17"/>
      <c r="E47" s="17"/>
      <c r="F47" s="16"/>
      <c r="G47" s="17"/>
      <c r="H47" s="17"/>
      <c r="I47" s="17"/>
      <c r="J47" s="24"/>
      <c r="K47" s="18"/>
      <c r="L47" s="17"/>
      <c r="M47" s="7"/>
      <c r="N47" s="17"/>
    </row>
    <row r="48" spans="1:14" x14ac:dyDescent="0.25">
      <c r="A48" s="17"/>
      <c r="B48" s="16"/>
      <c r="C48" s="17"/>
      <c r="D48" s="17"/>
      <c r="E48" s="17"/>
      <c r="F48" s="16"/>
      <c r="G48" s="17"/>
      <c r="H48" s="17"/>
      <c r="I48" s="17"/>
      <c r="J48" s="24"/>
      <c r="K48" s="18"/>
      <c r="L48" s="17"/>
      <c r="M48" s="7"/>
      <c r="N48" s="17"/>
    </row>
    <row r="49" spans="1:14" x14ac:dyDescent="0.25">
      <c r="A49" s="17"/>
      <c r="B49" s="16"/>
      <c r="C49" s="17"/>
      <c r="D49" s="17"/>
      <c r="E49" s="17"/>
      <c r="F49" s="16"/>
      <c r="G49" s="17"/>
      <c r="H49" s="17"/>
      <c r="I49" s="17"/>
      <c r="J49" s="24"/>
      <c r="K49" s="18"/>
      <c r="L49" s="17"/>
      <c r="M49" s="7"/>
      <c r="N49" s="17"/>
    </row>
    <row r="50" spans="1:14" x14ac:dyDescent="0.25">
      <c r="A50" s="17"/>
      <c r="B50" s="16"/>
      <c r="C50" s="17"/>
      <c r="D50" s="16"/>
      <c r="E50" s="16"/>
      <c r="F50" s="16"/>
      <c r="G50" s="17"/>
      <c r="H50" s="17"/>
      <c r="I50" s="17"/>
      <c r="J50" s="24"/>
      <c r="K50" s="17"/>
      <c r="L50" s="17"/>
      <c r="M50" s="7"/>
      <c r="N50" s="17"/>
    </row>
    <row r="51" spans="1:14" x14ac:dyDescent="0.25">
      <c r="A51" s="17"/>
      <c r="B51" s="16"/>
      <c r="C51" s="17"/>
      <c r="D51" s="17"/>
      <c r="E51" s="17"/>
      <c r="F51" s="16"/>
      <c r="G51" s="17"/>
      <c r="H51" s="17"/>
      <c r="I51" s="17"/>
      <c r="J51" s="24"/>
      <c r="K51" s="17"/>
      <c r="L51" s="17"/>
      <c r="M51" s="7"/>
      <c r="N51" s="17"/>
    </row>
    <row r="52" spans="1:14" x14ac:dyDescent="0.25">
      <c r="A52" s="17"/>
      <c r="B52" s="16"/>
      <c r="C52" s="17"/>
      <c r="D52" s="17"/>
      <c r="E52" s="17"/>
      <c r="F52" s="16"/>
      <c r="G52" s="17"/>
      <c r="H52" s="17"/>
      <c r="I52" s="17"/>
      <c r="J52" s="24"/>
      <c r="K52" s="17"/>
      <c r="L52" s="17"/>
      <c r="M52" s="7"/>
      <c r="N52" s="17"/>
    </row>
    <row r="53" spans="1:14" x14ac:dyDescent="0.25">
      <c r="A53" s="17"/>
      <c r="B53" s="16"/>
      <c r="C53" s="17"/>
      <c r="D53" s="17"/>
      <c r="E53" s="17"/>
      <c r="F53" s="16"/>
      <c r="G53" s="17"/>
      <c r="H53" s="17"/>
      <c r="I53" s="17"/>
      <c r="J53" s="24"/>
      <c r="K53" s="17"/>
      <c r="L53" s="17"/>
      <c r="M53" s="7"/>
      <c r="N53" s="17"/>
    </row>
    <row r="54" spans="1:14" x14ac:dyDescent="0.25">
      <c r="A54" s="17"/>
      <c r="B54" s="16"/>
      <c r="C54" s="17"/>
      <c r="D54" s="17"/>
      <c r="E54" s="17"/>
      <c r="F54" s="16"/>
      <c r="G54" s="17"/>
      <c r="H54" s="17"/>
      <c r="I54" s="17"/>
      <c r="J54" s="24"/>
      <c r="K54" s="17"/>
      <c r="L54" s="17"/>
      <c r="M54" s="7"/>
      <c r="N54" s="17"/>
    </row>
    <row r="55" spans="1:14" x14ac:dyDescent="0.25">
      <c r="A55" s="17"/>
      <c r="B55" s="16"/>
      <c r="C55" s="17"/>
      <c r="D55" s="17"/>
      <c r="E55" s="17"/>
      <c r="F55" s="16"/>
      <c r="G55" s="17"/>
      <c r="H55" s="17"/>
      <c r="I55" s="17"/>
      <c r="J55" s="24"/>
      <c r="K55" s="17"/>
      <c r="L55" s="17"/>
      <c r="M55" s="7"/>
      <c r="N55" s="17"/>
    </row>
    <row r="56" spans="1:14" x14ac:dyDescent="0.25">
      <c r="A56" s="17"/>
      <c r="B56" s="16"/>
      <c r="C56" s="17"/>
      <c r="D56" s="17"/>
      <c r="E56" s="17"/>
      <c r="F56" s="16"/>
      <c r="G56" s="17"/>
      <c r="H56" s="17"/>
      <c r="I56" s="17"/>
      <c r="J56" s="24"/>
      <c r="K56" s="17"/>
      <c r="L56" s="17"/>
      <c r="M56" s="7"/>
      <c r="N56" s="17"/>
    </row>
    <row r="57" spans="1:14" x14ac:dyDescent="0.25">
      <c r="A57" s="17"/>
      <c r="B57" s="16"/>
      <c r="C57" s="17"/>
      <c r="D57" s="17"/>
      <c r="E57" s="17"/>
      <c r="F57" s="16"/>
      <c r="G57" s="17"/>
      <c r="H57" s="17"/>
      <c r="I57" s="17"/>
      <c r="J57" s="24"/>
      <c r="K57" s="17"/>
      <c r="L57" s="17"/>
      <c r="M57" s="7"/>
      <c r="N57" s="17"/>
    </row>
    <row r="58" spans="1:14" x14ac:dyDescent="0.25">
      <c r="A58" s="17"/>
      <c r="B58" s="16"/>
      <c r="C58" s="17"/>
      <c r="D58" s="17"/>
      <c r="E58" s="17"/>
      <c r="F58" s="16"/>
      <c r="G58" s="17"/>
      <c r="H58" s="17"/>
      <c r="I58" s="17"/>
      <c r="J58" s="24"/>
      <c r="K58" s="17"/>
      <c r="L58" s="17"/>
      <c r="M58" s="7"/>
      <c r="N58" s="17"/>
    </row>
    <row r="59" spans="1:14" x14ac:dyDescent="0.25">
      <c r="A59" s="17"/>
      <c r="B59" s="16"/>
      <c r="C59" s="17"/>
      <c r="D59" s="17"/>
      <c r="E59" s="17"/>
      <c r="F59" s="16"/>
      <c r="G59" s="17"/>
      <c r="H59" s="17"/>
      <c r="I59" s="17"/>
      <c r="J59" s="24"/>
      <c r="K59" s="17"/>
      <c r="L59" s="17"/>
      <c r="M59" s="7"/>
      <c r="N59" s="17"/>
    </row>
    <row r="60" spans="1:14" x14ac:dyDescent="0.25">
      <c r="A60" s="17"/>
      <c r="B60" s="16"/>
      <c r="C60" s="17"/>
      <c r="D60" s="17"/>
      <c r="E60" s="17"/>
      <c r="F60" s="16"/>
      <c r="G60" s="17"/>
      <c r="H60" s="17"/>
      <c r="I60" s="17"/>
      <c r="J60" s="24"/>
      <c r="K60" s="17"/>
      <c r="L60" s="17"/>
      <c r="M60" s="7"/>
      <c r="N60" s="17"/>
    </row>
    <row r="61" spans="1:14" x14ac:dyDescent="0.25">
      <c r="A61" s="17"/>
      <c r="B61" s="16"/>
      <c r="C61" s="17"/>
      <c r="D61" s="17"/>
      <c r="E61" s="17"/>
      <c r="F61" s="16"/>
      <c r="G61" s="17"/>
      <c r="H61" s="17"/>
      <c r="I61" s="17"/>
      <c r="J61" s="24"/>
      <c r="K61" s="17"/>
      <c r="L61" s="17"/>
      <c r="M61" s="7"/>
      <c r="N61" s="17"/>
    </row>
    <row r="62" spans="1:14" x14ac:dyDescent="0.25">
      <c r="A62" s="17"/>
      <c r="B62" s="16"/>
      <c r="C62" s="17"/>
      <c r="D62" s="17"/>
      <c r="E62" s="17"/>
      <c r="F62" s="16"/>
      <c r="G62" s="17"/>
      <c r="H62" s="17"/>
      <c r="I62" s="17"/>
      <c r="J62" s="24"/>
      <c r="K62" s="17"/>
      <c r="L62" s="17"/>
      <c r="M62" s="7"/>
      <c r="N62" s="17"/>
    </row>
    <row r="63" spans="1:14" x14ac:dyDescent="0.25">
      <c r="A63" s="17"/>
      <c r="B63" s="16"/>
      <c r="C63" s="17"/>
      <c r="D63" s="17"/>
      <c r="E63" s="17"/>
      <c r="F63" s="16"/>
      <c r="G63" s="17"/>
      <c r="H63" s="17"/>
      <c r="I63" s="17"/>
      <c r="J63" s="24"/>
      <c r="K63" s="17"/>
      <c r="L63" s="17"/>
      <c r="M63" s="7"/>
      <c r="N63" s="17"/>
    </row>
    <row r="64" spans="1:14" x14ac:dyDescent="0.25">
      <c r="A64" s="17"/>
      <c r="B64" s="16"/>
      <c r="C64" s="17"/>
      <c r="D64" s="17"/>
      <c r="E64" s="17"/>
      <c r="F64" s="16"/>
      <c r="G64" s="17"/>
      <c r="H64" s="17"/>
      <c r="I64" s="17"/>
      <c r="J64" s="24"/>
      <c r="K64" s="17"/>
      <c r="L64" s="17"/>
      <c r="M64" s="7"/>
      <c r="N64" s="17"/>
    </row>
    <row r="65" spans="1:14" x14ac:dyDescent="0.25">
      <c r="A65" s="17"/>
      <c r="B65" s="16"/>
      <c r="C65" s="17"/>
      <c r="D65" s="17"/>
      <c r="E65" s="17"/>
      <c r="F65" s="16"/>
      <c r="G65" s="17"/>
      <c r="H65" s="17"/>
      <c r="I65" s="17"/>
      <c r="J65" s="24"/>
      <c r="K65" s="17"/>
      <c r="L65" s="17"/>
      <c r="M65" s="7"/>
      <c r="N65" s="17"/>
    </row>
    <row r="66" spans="1:14" x14ac:dyDescent="0.25">
      <c r="A66" s="17"/>
      <c r="B66" s="16"/>
      <c r="C66" s="17"/>
      <c r="D66" s="17"/>
      <c r="E66" s="17"/>
      <c r="F66" s="16"/>
      <c r="G66" s="17"/>
      <c r="H66" s="17"/>
      <c r="I66" s="17"/>
      <c r="J66" s="24"/>
      <c r="K66" s="17"/>
      <c r="L66" s="17"/>
      <c r="M66" s="7"/>
      <c r="N66" s="17"/>
    </row>
    <row r="67" spans="1:14" x14ac:dyDescent="0.25">
      <c r="A67" s="17"/>
      <c r="B67" s="16"/>
      <c r="C67" s="17"/>
      <c r="D67" s="17"/>
      <c r="E67" s="17"/>
      <c r="F67" s="16"/>
      <c r="G67" s="17"/>
      <c r="H67" s="17"/>
      <c r="I67" s="17"/>
      <c r="J67" s="24"/>
      <c r="K67" s="17"/>
      <c r="L67" s="17"/>
      <c r="M67" s="7"/>
      <c r="N67" s="17"/>
    </row>
    <row r="68" spans="1:14" x14ac:dyDescent="0.25">
      <c r="A68" s="17"/>
      <c r="B68" s="16"/>
      <c r="C68" s="17"/>
      <c r="D68" s="17"/>
      <c r="E68" s="17"/>
      <c r="F68" s="16"/>
      <c r="G68" s="17"/>
      <c r="H68" s="17"/>
      <c r="I68" s="17"/>
      <c r="J68" s="24"/>
      <c r="K68" s="17"/>
      <c r="L68" s="17"/>
      <c r="M68" s="7"/>
      <c r="N68" s="17"/>
    </row>
    <row r="69" spans="1:14" x14ac:dyDescent="0.25">
      <c r="A69" s="17"/>
      <c r="B69" s="16"/>
      <c r="C69" s="17"/>
      <c r="D69" s="17"/>
      <c r="E69" s="17"/>
      <c r="F69" s="16"/>
      <c r="G69" s="17"/>
      <c r="H69" s="17"/>
      <c r="I69" s="17"/>
      <c r="J69" s="24"/>
      <c r="K69" s="17"/>
      <c r="L69" s="17"/>
      <c r="M69" s="7"/>
      <c r="N69" s="17"/>
    </row>
    <row r="70" spans="1:14" x14ac:dyDescent="0.25">
      <c r="A70" s="17"/>
      <c r="B70" s="16"/>
      <c r="C70" s="17"/>
      <c r="D70" s="17"/>
      <c r="E70" s="17"/>
      <c r="F70" s="16"/>
      <c r="G70" s="17"/>
      <c r="H70" s="17"/>
      <c r="I70" s="17"/>
      <c r="J70" s="24"/>
      <c r="K70" s="17"/>
      <c r="L70" s="17"/>
      <c r="M70" s="7"/>
      <c r="N70" s="17"/>
    </row>
    <row r="71" spans="1:14" x14ac:dyDescent="0.25">
      <c r="A71" s="17"/>
      <c r="B71" s="16"/>
      <c r="C71" s="17"/>
      <c r="D71" s="17"/>
      <c r="E71" s="17"/>
      <c r="F71" s="16"/>
      <c r="G71" s="17"/>
      <c r="H71" s="17"/>
      <c r="I71" s="17"/>
      <c r="J71" s="24"/>
      <c r="K71" s="17"/>
      <c r="L71" s="17"/>
      <c r="M71" s="7"/>
      <c r="N71" s="17"/>
    </row>
    <row r="72" spans="1:14" x14ac:dyDescent="0.25">
      <c r="A72" s="17"/>
      <c r="B72" s="16"/>
      <c r="C72" s="17"/>
      <c r="D72" s="17"/>
      <c r="E72" s="17"/>
      <c r="F72" s="16"/>
      <c r="G72" s="17"/>
      <c r="H72" s="17"/>
      <c r="I72" s="17"/>
      <c r="J72" s="24"/>
      <c r="K72" s="17"/>
      <c r="L72" s="17"/>
      <c r="M72" s="7"/>
      <c r="N72" s="17"/>
    </row>
    <row r="73" spans="1:14" x14ac:dyDescent="0.25">
      <c r="A73" s="17"/>
      <c r="B73" s="16"/>
      <c r="C73" s="17"/>
      <c r="D73" s="17"/>
      <c r="E73" s="17"/>
      <c r="F73" s="16"/>
      <c r="G73" s="17"/>
      <c r="H73" s="17"/>
      <c r="I73" s="17"/>
      <c r="J73" s="24"/>
      <c r="K73" s="17"/>
      <c r="L73" s="17"/>
      <c r="M73" s="7"/>
      <c r="N73" s="17"/>
    </row>
    <row r="74" spans="1:14" x14ac:dyDescent="0.25">
      <c r="A74" s="17"/>
      <c r="B74" s="16"/>
      <c r="C74" s="17"/>
      <c r="D74" s="17"/>
      <c r="E74" s="17"/>
      <c r="F74" s="16"/>
      <c r="G74" s="17"/>
      <c r="H74" s="17"/>
      <c r="I74" s="17"/>
      <c r="J74" s="24"/>
      <c r="K74" s="17"/>
      <c r="L74" s="17"/>
      <c r="M74" s="7"/>
      <c r="N74" s="17"/>
    </row>
    <row r="75" spans="1:14" x14ac:dyDescent="0.25">
      <c r="A75" s="17"/>
      <c r="B75" s="16"/>
      <c r="C75" s="17"/>
      <c r="D75" s="17"/>
      <c r="E75" s="17"/>
      <c r="F75" s="16"/>
      <c r="G75" s="17"/>
      <c r="H75" s="17"/>
      <c r="I75" s="17"/>
      <c r="J75" s="24"/>
      <c r="K75" s="17"/>
      <c r="L75" s="17"/>
      <c r="M75" s="7"/>
      <c r="N75" s="17"/>
    </row>
    <row r="76" spans="1:14" x14ac:dyDescent="0.25">
      <c r="A76" s="17"/>
      <c r="B76" s="16"/>
      <c r="C76" s="17"/>
      <c r="D76" s="17"/>
      <c r="E76" s="17"/>
      <c r="F76" s="16"/>
      <c r="G76" s="17"/>
      <c r="H76" s="17"/>
      <c r="I76" s="17"/>
      <c r="J76" s="24"/>
      <c r="K76" s="17"/>
      <c r="L76" s="17"/>
      <c r="M76" s="7"/>
      <c r="N76" s="17"/>
    </row>
    <row r="77" spans="1:14" x14ac:dyDescent="0.25">
      <c r="A77" s="17"/>
      <c r="B77" s="16"/>
      <c r="C77" s="17"/>
      <c r="D77" s="17"/>
      <c r="E77" s="17"/>
      <c r="F77" s="16"/>
      <c r="G77" s="17"/>
      <c r="H77" s="17"/>
      <c r="I77" s="17"/>
      <c r="J77" s="24"/>
      <c r="K77" s="17"/>
      <c r="L77" s="17"/>
      <c r="M77" s="7"/>
      <c r="N77" s="17"/>
    </row>
    <row r="78" spans="1:14" x14ac:dyDescent="0.25">
      <c r="A78" s="17"/>
      <c r="B78" s="16"/>
      <c r="C78" s="17"/>
      <c r="D78" s="17"/>
      <c r="E78" s="17"/>
      <c r="F78" s="16"/>
      <c r="G78" s="17"/>
      <c r="H78" s="17"/>
      <c r="I78" s="17"/>
      <c r="J78" s="24"/>
      <c r="K78" s="17"/>
      <c r="L78" s="17"/>
      <c r="M78" s="7"/>
      <c r="N78" s="17"/>
    </row>
    <row r="79" spans="1:14" x14ac:dyDescent="0.25">
      <c r="A79" s="17"/>
      <c r="B79" s="16"/>
      <c r="C79" s="17"/>
      <c r="D79" s="17"/>
      <c r="E79" s="17"/>
      <c r="F79" s="16"/>
      <c r="G79" s="17"/>
      <c r="H79" s="17"/>
      <c r="I79" s="17"/>
      <c r="J79" s="24"/>
      <c r="K79" s="17"/>
      <c r="L79" s="17"/>
      <c r="M79" s="7"/>
      <c r="N79" s="17"/>
    </row>
    <row r="80" spans="1:14" x14ac:dyDescent="0.25">
      <c r="A80" s="17"/>
      <c r="B80" s="16"/>
      <c r="C80" s="17"/>
      <c r="D80" s="17"/>
      <c r="E80" s="17"/>
      <c r="F80" s="16"/>
      <c r="G80" s="17"/>
      <c r="H80" s="17"/>
      <c r="I80" s="17"/>
      <c r="J80" s="24"/>
      <c r="K80" s="17"/>
      <c r="L80" s="17"/>
      <c r="M80" s="7"/>
      <c r="N80" s="17"/>
    </row>
    <row r="81" spans="1:14" x14ac:dyDescent="0.25">
      <c r="A81" s="17"/>
      <c r="B81" s="16"/>
      <c r="C81" s="17"/>
      <c r="D81" s="17"/>
      <c r="E81" s="17"/>
      <c r="F81" s="16"/>
      <c r="G81" s="17"/>
      <c r="H81" s="17"/>
      <c r="I81" s="17"/>
      <c r="J81" s="24"/>
      <c r="K81" s="17"/>
      <c r="L81" s="17"/>
      <c r="M81" s="7"/>
      <c r="N81" s="17"/>
    </row>
    <row r="82" spans="1:14" x14ac:dyDescent="0.25">
      <c r="A82" s="17"/>
      <c r="B82" s="16"/>
      <c r="C82" s="17"/>
      <c r="D82" s="17"/>
      <c r="E82" s="17"/>
      <c r="F82" s="16"/>
      <c r="G82" s="17"/>
      <c r="H82" s="17"/>
      <c r="I82" s="17"/>
      <c r="J82" s="24"/>
      <c r="K82" s="17"/>
      <c r="L82" s="17"/>
      <c r="M82" s="7"/>
      <c r="N82" s="17"/>
    </row>
    <row r="83" spans="1:14" x14ac:dyDescent="0.25">
      <c r="A83" s="17"/>
      <c r="B83" s="16"/>
      <c r="C83" s="17"/>
      <c r="D83" s="17"/>
      <c r="E83" s="17"/>
      <c r="F83" s="16"/>
      <c r="G83" s="17"/>
      <c r="H83" s="17"/>
      <c r="I83" s="17"/>
      <c r="J83" s="24"/>
      <c r="K83" s="17"/>
      <c r="L83" s="17"/>
      <c r="M83" s="7"/>
      <c r="N83" s="17"/>
    </row>
    <row r="84" spans="1:14" x14ac:dyDescent="0.25">
      <c r="A84" s="17"/>
      <c r="B84" s="16"/>
      <c r="C84" s="17"/>
      <c r="D84" s="17"/>
      <c r="E84" s="17"/>
      <c r="F84" s="16"/>
      <c r="G84" s="17"/>
      <c r="H84" s="17"/>
      <c r="I84" s="17"/>
      <c r="J84" s="24"/>
      <c r="K84" s="17"/>
      <c r="L84" s="17"/>
      <c r="M84" s="7"/>
      <c r="N84" s="17"/>
    </row>
    <row r="85" spans="1:14" x14ac:dyDescent="0.25">
      <c r="A85" s="17"/>
      <c r="B85" s="16"/>
      <c r="C85" s="17"/>
      <c r="D85" s="17"/>
      <c r="E85" s="17"/>
      <c r="F85" s="16"/>
      <c r="G85" s="17"/>
      <c r="H85" s="17"/>
      <c r="I85" s="17"/>
      <c r="J85" s="24"/>
      <c r="K85" s="17"/>
      <c r="L85" s="17"/>
      <c r="M85" s="7"/>
      <c r="N85" s="17"/>
    </row>
    <row r="86" spans="1:14" x14ac:dyDescent="0.25">
      <c r="A86" s="17"/>
      <c r="B86" s="16"/>
      <c r="C86" s="17"/>
      <c r="D86" s="17"/>
      <c r="E86" s="17"/>
      <c r="F86" s="16"/>
      <c r="G86" s="17"/>
      <c r="H86" s="17"/>
      <c r="I86" s="17"/>
      <c r="J86" s="24"/>
      <c r="K86" s="17"/>
      <c r="L86" s="17"/>
      <c r="M86" s="7"/>
      <c r="N86" s="17"/>
    </row>
    <row r="87" spans="1:14" x14ac:dyDescent="0.25">
      <c r="A87" s="17"/>
      <c r="B87" s="16"/>
      <c r="C87" s="17"/>
      <c r="D87" s="17"/>
      <c r="E87" s="17"/>
      <c r="F87" s="16"/>
      <c r="G87" s="17"/>
      <c r="H87" s="17"/>
      <c r="I87" s="17"/>
      <c r="J87" s="24"/>
      <c r="K87" s="17"/>
      <c r="L87" s="17"/>
      <c r="M87" s="7"/>
      <c r="N87" s="17"/>
    </row>
    <row r="88" spans="1:14" x14ac:dyDescent="0.25">
      <c r="A88" s="17"/>
      <c r="B88" s="16"/>
      <c r="C88" s="17"/>
      <c r="D88" s="17"/>
      <c r="E88" s="17"/>
      <c r="F88" s="16"/>
      <c r="G88" s="17"/>
      <c r="H88" s="17"/>
      <c r="I88" s="17"/>
      <c r="J88" s="24"/>
      <c r="K88" s="17"/>
      <c r="L88" s="17"/>
      <c r="M88" s="7"/>
      <c r="N88" s="17"/>
    </row>
    <row r="89" spans="1:14" x14ac:dyDescent="0.25">
      <c r="A89" s="17"/>
      <c r="B89" s="16"/>
      <c r="C89" s="17"/>
      <c r="D89" s="17"/>
      <c r="E89" s="17"/>
      <c r="F89" s="16"/>
      <c r="G89" s="17"/>
      <c r="H89" s="17"/>
      <c r="I89" s="17"/>
      <c r="J89" s="24"/>
      <c r="K89" s="17"/>
      <c r="L89" s="17"/>
      <c r="M89" s="7"/>
      <c r="N89" s="17"/>
    </row>
    <row r="90" spans="1:14" x14ac:dyDescent="0.25">
      <c r="A90" s="17"/>
      <c r="B90" s="16"/>
      <c r="C90" s="17"/>
      <c r="D90" s="17"/>
      <c r="E90" s="17"/>
      <c r="F90" s="16"/>
      <c r="G90" s="17"/>
      <c r="H90" s="17"/>
      <c r="I90" s="17"/>
      <c r="J90" s="24"/>
      <c r="K90" s="17"/>
      <c r="L90" s="17"/>
      <c r="M90" s="7"/>
      <c r="N90" s="17"/>
    </row>
    <row r="91" spans="1:14" x14ac:dyDescent="0.25">
      <c r="A91" s="17"/>
      <c r="B91" s="16"/>
      <c r="C91" s="17"/>
      <c r="D91" s="17"/>
      <c r="E91" s="17"/>
      <c r="F91" s="16"/>
      <c r="G91" s="17"/>
      <c r="H91" s="17"/>
      <c r="I91" s="17"/>
      <c r="J91" s="24"/>
      <c r="K91" s="17"/>
      <c r="L91" s="17"/>
      <c r="M91" s="7"/>
      <c r="N91" s="17"/>
    </row>
    <row r="92" spans="1:14" x14ac:dyDescent="0.25">
      <c r="A92" s="17"/>
      <c r="B92" s="16"/>
      <c r="C92" s="17"/>
      <c r="D92" s="17"/>
      <c r="E92" s="17"/>
      <c r="F92" s="16"/>
      <c r="G92" s="17"/>
      <c r="H92" s="17"/>
      <c r="I92" s="17"/>
      <c r="J92" s="24"/>
      <c r="K92" s="17"/>
      <c r="L92" s="17"/>
      <c r="M92" s="7"/>
      <c r="N92" s="17"/>
    </row>
    <row r="93" spans="1:14" x14ac:dyDescent="0.25">
      <c r="A93" s="17"/>
      <c r="B93" s="16"/>
      <c r="C93" s="17"/>
      <c r="D93" s="17"/>
      <c r="E93" s="17"/>
      <c r="F93" s="16"/>
      <c r="G93" s="17"/>
      <c r="H93" s="17"/>
      <c r="I93" s="17"/>
      <c r="J93" s="24"/>
      <c r="K93" s="17"/>
      <c r="L93" s="17"/>
      <c r="M93" s="7"/>
      <c r="N93" s="17"/>
    </row>
    <row r="94" spans="1:14" x14ac:dyDescent="0.25">
      <c r="A94" s="17"/>
      <c r="B94" s="16"/>
      <c r="C94" s="17"/>
      <c r="D94" s="17"/>
      <c r="E94" s="17"/>
      <c r="F94" s="16"/>
      <c r="G94" s="17"/>
      <c r="H94" s="17"/>
      <c r="I94" s="17"/>
      <c r="J94" s="24"/>
      <c r="K94" s="17"/>
      <c r="L94" s="17"/>
      <c r="M94" s="7"/>
      <c r="N94" s="17"/>
    </row>
    <row r="95" spans="1:14" x14ac:dyDescent="0.25">
      <c r="A95" s="17"/>
      <c r="B95" s="16"/>
      <c r="C95" s="17"/>
      <c r="D95" s="17"/>
      <c r="E95" s="17"/>
      <c r="F95" s="16"/>
      <c r="G95" s="17"/>
      <c r="H95" s="17"/>
      <c r="I95" s="17"/>
      <c r="J95" s="24"/>
      <c r="K95" s="17"/>
      <c r="L95" s="17"/>
      <c r="M95" s="7"/>
      <c r="N95" s="17"/>
    </row>
    <row r="96" spans="1:14" x14ac:dyDescent="0.25">
      <c r="A96" s="17"/>
      <c r="B96" s="16"/>
      <c r="C96" s="17"/>
      <c r="D96" s="17"/>
      <c r="E96" s="17"/>
      <c r="F96" s="16"/>
      <c r="G96" s="17"/>
      <c r="H96" s="17"/>
      <c r="I96" s="17"/>
      <c r="J96" s="24"/>
      <c r="K96" s="17"/>
      <c r="L96" s="17"/>
      <c r="M96" s="7"/>
      <c r="N96" s="17"/>
    </row>
    <row r="97" spans="1:14" x14ac:dyDescent="0.25">
      <c r="A97" s="17"/>
      <c r="B97" s="16"/>
      <c r="C97" s="17"/>
      <c r="D97" s="17"/>
      <c r="E97" s="17"/>
      <c r="F97" s="16"/>
      <c r="G97" s="17"/>
      <c r="H97" s="17"/>
      <c r="I97" s="17"/>
      <c r="J97" s="24"/>
      <c r="K97" s="17"/>
      <c r="L97" s="17"/>
      <c r="M97" s="7"/>
      <c r="N97" s="17"/>
    </row>
    <row r="98" spans="1:14" x14ac:dyDescent="0.25">
      <c r="A98" s="17"/>
      <c r="B98" s="16"/>
      <c r="C98" s="17"/>
      <c r="D98" s="17"/>
      <c r="E98" s="17"/>
      <c r="F98" s="16"/>
      <c r="G98" s="17"/>
      <c r="H98" s="17"/>
      <c r="I98" s="17"/>
      <c r="J98" s="24"/>
      <c r="K98" s="17"/>
      <c r="L98" s="17"/>
      <c r="M98" s="7"/>
      <c r="N98" s="17"/>
    </row>
    <row r="99" spans="1:14" x14ac:dyDescent="0.25">
      <c r="A99" s="17"/>
      <c r="B99" s="16"/>
      <c r="C99" s="17"/>
      <c r="D99" s="17"/>
      <c r="E99" s="17"/>
      <c r="F99" s="16"/>
      <c r="G99" s="17"/>
      <c r="H99" s="17"/>
      <c r="I99" s="17"/>
      <c r="J99" s="24"/>
      <c r="K99" s="17"/>
      <c r="L99" s="17"/>
      <c r="M99" s="7"/>
      <c r="N99" s="17"/>
    </row>
    <row r="100" spans="1:14" x14ac:dyDescent="0.25">
      <c r="A100" s="17"/>
      <c r="B100" s="16"/>
      <c r="C100" s="17"/>
      <c r="D100" s="17"/>
      <c r="E100" s="17"/>
      <c r="F100" s="16"/>
      <c r="G100" s="17"/>
      <c r="H100" s="17"/>
      <c r="I100" s="17"/>
      <c r="J100" s="24"/>
      <c r="K100" s="17"/>
      <c r="L100" s="17"/>
      <c r="M100" s="7"/>
      <c r="N100" s="17"/>
    </row>
    <row r="101" spans="1:14" x14ac:dyDescent="0.25">
      <c r="A101" s="17"/>
      <c r="B101" s="16"/>
      <c r="C101" s="17"/>
      <c r="D101" s="17"/>
      <c r="E101" s="17"/>
      <c r="F101" s="16"/>
      <c r="G101" s="17"/>
      <c r="H101" s="17"/>
      <c r="I101" s="17"/>
      <c r="J101" s="24"/>
      <c r="K101" s="17"/>
      <c r="L101" s="17"/>
      <c r="M101" s="7"/>
      <c r="N101" s="17"/>
    </row>
    <row r="102" spans="1:14" x14ac:dyDescent="0.25">
      <c r="A102" s="17"/>
      <c r="B102" s="16"/>
      <c r="C102" s="17"/>
      <c r="D102" s="17"/>
      <c r="E102" s="17"/>
      <c r="F102" s="16"/>
      <c r="G102" s="17"/>
      <c r="H102" s="17"/>
      <c r="I102" s="17"/>
      <c r="J102" s="24"/>
      <c r="K102" s="17"/>
      <c r="L102" s="17"/>
      <c r="M102" s="7"/>
      <c r="N102" s="17"/>
    </row>
    <row r="103" spans="1:14" x14ac:dyDescent="0.25">
      <c r="A103" s="17"/>
      <c r="B103" s="16"/>
      <c r="C103" s="17"/>
      <c r="D103" s="17"/>
      <c r="E103" s="17"/>
      <c r="F103" s="16"/>
      <c r="G103" s="17"/>
      <c r="H103" s="17"/>
      <c r="I103" s="17"/>
      <c r="J103" s="24"/>
      <c r="K103" s="17"/>
      <c r="L103" s="17"/>
      <c r="M103" s="7"/>
      <c r="N103" s="17"/>
    </row>
    <row r="104" spans="1:14" x14ac:dyDescent="0.25">
      <c r="A104" s="17"/>
      <c r="B104" s="16"/>
      <c r="C104" s="17"/>
      <c r="D104" s="17"/>
      <c r="E104" s="17"/>
      <c r="F104" s="16"/>
      <c r="G104" s="17"/>
      <c r="H104" s="17"/>
      <c r="I104" s="17"/>
      <c r="J104" s="24"/>
      <c r="K104" s="17"/>
      <c r="L104" s="17"/>
      <c r="M104" s="7"/>
      <c r="N104" s="17"/>
    </row>
    <row r="105" spans="1:14" x14ac:dyDescent="0.25">
      <c r="A105" s="17"/>
      <c r="B105" s="16"/>
      <c r="C105" s="17"/>
      <c r="D105" s="17"/>
      <c r="E105" s="17"/>
      <c r="F105" s="16"/>
      <c r="G105" s="17"/>
      <c r="H105" s="17"/>
      <c r="I105" s="17"/>
      <c r="J105" s="24"/>
      <c r="K105" s="17"/>
      <c r="L105" s="17"/>
      <c r="M105" s="7"/>
      <c r="N105" s="17"/>
    </row>
    <row r="106" spans="1:14" x14ac:dyDescent="0.25">
      <c r="A106" s="17"/>
      <c r="B106" s="16"/>
      <c r="C106" s="17"/>
      <c r="D106" s="17"/>
      <c r="E106" s="17"/>
      <c r="F106" s="16"/>
      <c r="G106" s="17"/>
      <c r="H106" s="17"/>
      <c r="I106" s="17"/>
      <c r="J106" s="24"/>
      <c r="K106" s="17"/>
      <c r="L106" s="17"/>
      <c r="M106" s="7"/>
      <c r="N106" s="17"/>
    </row>
    <row r="107" spans="1:14" x14ac:dyDescent="0.25">
      <c r="A107" s="17"/>
      <c r="B107" s="16"/>
      <c r="C107" s="17"/>
      <c r="D107" s="17"/>
      <c r="E107" s="17"/>
      <c r="F107" s="16"/>
      <c r="G107" s="17"/>
      <c r="H107" s="17"/>
      <c r="I107" s="17"/>
      <c r="J107" s="24"/>
      <c r="K107" s="17"/>
      <c r="L107" s="17"/>
      <c r="M107" s="7"/>
      <c r="N107" s="17"/>
    </row>
    <row r="108" spans="1:14" x14ac:dyDescent="0.25">
      <c r="A108" s="17"/>
      <c r="B108" s="16"/>
      <c r="C108" s="17"/>
      <c r="D108" s="17"/>
      <c r="E108" s="17"/>
      <c r="F108" s="16"/>
      <c r="G108" s="17"/>
      <c r="H108" s="17"/>
      <c r="I108" s="17"/>
      <c r="J108" s="24"/>
      <c r="K108" s="17"/>
      <c r="L108" s="17"/>
      <c r="M108" s="7"/>
      <c r="N108" s="17"/>
    </row>
    <row r="109" spans="1:14" x14ac:dyDescent="0.25">
      <c r="A109" s="17"/>
      <c r="B109" s="16"/>
      <c r="C109" s="17"/>
      <c r="D109" s="17"/>
      <c r="E109" s="17"/>
      <c r="F109" s="16"/>
      <c r="G109" s="17"/>
      <c r="H109" s="17"/>
      <c r="I109" s="17"/>
      <c r="J109" s="24"/>
      <c r="K109" s="17"/>
      <c r="L109" s="17"/>
      <c r="M109" s="7"/>
      <c r="N109" s="17"/>
    </row>
    <row r="110" spans="1:14" x14ac:dyDescent="0.25">
      <c r="A110" s="17"/>
      <c r="B110" s="16"/>
      <c r="C110" s="17"/>
      <c r="D110" s="17"/>
      <c r="E110" s="17"/>
      <c r="F110" s="16"/>
      <c r="G110" s="17"/>
      <c r="H110" s="17"/>
      <c r="I110" s="17"/>
      <c r="J110" s="24"/>
      <c r="K110" s="17"/>
      <c r="L110" s="17"/>
      <c r="M110" s="7"/>
      <c r="N110" s="17"/>
    </row>
    <row r="111" spans="1:14" x14ac:dyDescent="0.25">
      <c r="A111" s="17"/>
      <c r="B111" s="16"/>
      <c r="C111" s="17"/>
      <c r="D111" s="17"/>
      <c r="E111" s="17"/>
      <c r="F111" s="16"/>
      <c r="G111" s="17"/>
      <c r="H111" s="17"/>
      <c r="I111" s="17"/>
      <c r="J111" s="24"/>
      <c r="K111" s="17"/>
      <c r="L111" s="17"/>
      <c r="M111" s="7"/>
      <c r="N111" s="17"/>
    </row>
    <row r="112" spans="1:14" x14ac:dyDescent="0.25">
      <c r="A112" s="17"/>
      <c r="B112" s="16"/>
      <c r="C112" s="17"/>
      <c r="D112" s="17"/>
      <c r="E112" s="17"/>
      <c r="F112" s="16"/>
      <c r="G112" s="17"/>
      <c r="H112" s="17"/>
      <c r="I112" s="17"/>
      <c r="J112" s="24"/>
      <c r="K112" s="17"/>
      <c r="L112" s="17"/>
      <c r="M112" s="7"/>
      <c r="N112" s="17"/>
    </row>
    <row r="113" spans="1:14" x14ac:dyDescent="0.25">
      <c r="A113" s="17"/>
      <c r="B113" s="16"/>
      <c r="C113" s="17"/>
      <c r="D113" s="17"/>
      <c r="E113" s="17"/>
      <c r="F113" s="16"/>
      <c r="G113" s="17"/>
      <c r="H113" s="17"/>
      <c r="I113" s="17"/>
      <c r="J113" s="24"/>
      <c r="K113" s="17"/>
      <c r="L113" s="17"/>
      <c r="M113" s="7"/>
      <c r="N113" s="17"/>
    </row>
    <row r="114" spans="1:14" x14ac:dyDescent="0.25">
      <c r="A114" s="17"/>
      <c r="B114" s="16"/>
      <c r="C114" s="17"/>
      <c r="D114" s="17"/>
      <c r="E114" s="17"/>
      <c r="F114" s="16"/>
      <c r="G114" s="17"/>
      <c r="H114" s="17"/>
      <c r="I114" s="17"/>
      <c r="J114" s="24"/>
      <c r="K114" s="17"/>
      <c r="L114" s="17"/>
      <c r="M114" s="7"/>
      <c r="N114" s="17"/>
    </row>
    <row r="115" spans="1:14" x14ac:dyDescent="0.25">
      <c r="A115" s="17"/>
      <c r="B115" s="16"/>
      <c r="C115" s="17"/>
      <c r="D115" s="17"/>
      <c r="E115" s="17"/>
      <c r="F115" s="16"/>
      <c r="G115" s="17"/>
      <c r="H115" s="17"/>
      <c r="I115" s="17"/>
      <c r="J115" s="24"/>
      <c r="K115" s="17"/>
      <c r="L115" s="17"/>
      <c r="M115" s="7"/>
      <c r="N115" s="17"/>
    </row>
    <row r="116" spans="1:14" x14ac:dyDescent="0.25">
      <c r="A116" s="17"/>
      <c r="B116" s="16"/>
      <c r="C116" s="17"/>
      <c r="D116" s="17"/>
      <c r="E116" s="17"/>
      <c r="F116" s="16"/>
      <c r="G116" s="17"/>
      <c r="H116" s="17"/>
      <c r="I116" s="17"/>
      <c r="J116" s="24"/>
      <c r="K116" s="17"/>
      <c r="L116" s="17"/>
      <c r="M116" s="7"/>
      <c r="N116" s="17"/>
    </row>
    <row r="117" spans="1:14" x14ac:dyDescent="0.25">
      <c r="A117" s="17"/>
      <c r="B117" s="16"/>
      <c r="C117" s="17"/>
      <c r="D117" s="17"/>
      <c r="E117" s="17"/>
      <c r="F117" s="16"/>
      <c r="G117" s="17"/>
      <c r="H117" s="17"/>
      <c r="I117" s="17"/>
      <c r="J117" s="24"/>
      <c r="K117" s="17"/>
      <c r="L117" s="17"/>
      <c r="M117" s="7"/>
      <c r="N117" s="17"/>
    </row>
    <row r="118" spans="1:14" x14ac:dyDescent="0.25">
      <c r="A118" s="17"/>
      <c r="B118" s="16"/>
      <c r="C118" s="17"/>
      <c r="D118" s="17"/>
      <c r="E118" s="17"/>
      <c r="F118" s="16"/>
      <c r="G118" s="17"/>
      <c r="H118" s="17"/>
      <c r="I118" s="17"/>
      <c r="J118" s="24"/>
      <c r="K118" s="17"/>
      <c r="L118" s="17"/>
      <c r="M118" s="7"/>
      <c r="N118" s="17"/>
    </row>
    <row r="119" spans="1:14" x14ac:dyDescent="0.25">
      <c r="A119" s="17"/>
      <c r="B119" s="16"/>
      <c r="C119" s="17"/>
      <c r="D119" s="17"/>
      <c r="E119" s="17"/>
      <c r="F119" s="16"/>
      <c r="G119" s="17"/>
      <c r="H119" s="17"/>
      <c r="I119" s="17"/>
      <c r="J119" s="24"/>
      <c r="K119" s="17"/>
      <c r="L119" s="17"/>
      <c r="M119" s="7"/>
      <c r="N119" s="17"/>
    </row>
    <row r="120" spans="1:14" x14ac:dyDescent="0.25">
      <c r="A120" s="17"/>
      <c r="B120" s="16"/>
      <c r="C120" s="17"/>
      <c r="D120" s="17"/>
      <c r="E120" s="17"/>
      <c r="F120" s="16"/>
      <c r="G120" s="17"/>
      <c r="H120" s="17"/>
      <c r="I120" s="17"/>
      <c r="J120" s="24"/>
      <c r="K120" s="17"/>
      <c r="L120" s="17"/>
      <c r="M120" s="7"/>
      <c r="N120" s="17"/>
    </row>
    <row r="121" spans="1:14" x14ac:dyDescent="0.25">
      <c r="A121" s="17"/>
      <c r="B121" s="16"/>
      <c r="C121" s="17"/>
      <c r="D121" s="17"/>
      <c r="E121" s="17"/>
      <c r="F121" s="16"/>
      <c r="G121" s="17"/>
      <c r="H121" s="17"/>
      <c r="I121" s="17"/>
      <c r="J121" s="24"/>
      <c r="K121" s="17"/>
      <c r="L121" s="17"/>
      <c r="M121" s="7"/>
      <c r="N121" s="17"/>
    </row>
    <row r="122" spans="1:14" x14ac:dyDescent="0.25">
      <c r="A122" s="17"/>
      <c r="B122" s="16"/>
      <c r="C122" s="17"/>
      <c r="D122" s="17"/>
      <c r="E122" s="17"/>
      <c r="F122" s="16"/>
      <c r="G122" s="17"/>
      <c r="H122" s="17"/>
      <c r="I122" s="17"/>
      <c r="J122" s="24"/>
      <c r="K122" s="17"/>
      <c r="L122" s="17"/>
      <c r="M122" s="7"/>
      <c r="N122" s="17"/>
    </row>
    <row r="123" spans="1:14" x14ac:dyDescent="0.25">
      <c r="A123" s="17"/>
      <c r="B123" s="16"/>
      <c r="C123" s="17"/>
      <c r="D123" s="17"/>
      <c r="E123" s="17"/>
      <c r="F123" s="16"/>
      <c r="G123" s="17"/>
      <c r="H123" s="17"/>
      <c r="I123" s="17"/>
      <c r="J123" s="24"/>
      <c r="K123" s="17"/>
      <c r="L123" s="17"/>
      <c r="M123" s="7"/>
      <c r="N123" s="17"/>
    </row>
    <row r="124" spans="1:14" x14ac:dyDescent="0.25">
      <c r="A124" s="17"/>
      <c r="B124" s="16"/>
      <c r="C124" s="17"/>
      <c r="D124" s="17"/>
      <c r="E124" s="17"/>
      <c r="F124" s="16"/>
      <c r="G124" s="17"/>
      <c r="H124" s="17"/>
      <c r="I124" s="17"/>
      <c r="J124" s="24"/>
      <c r="K124" s="17"/>
      <c r="L124" s="17"/>
      <c r="M124" s="7"/>
      <c r="N124" s="17"/>
    </row>
    <row r="125" spans="1:14" x14ac:dyDescent="0.25">
      <c r="A125" s="17"/>
      <c r="B125" s="16"/>
      <c r="C125" s="17"/>
      <c r="D125" s="17"/>
      <c r="E125" s="17"/>
      <c r="F125" s="16"/>
      <c r="G125" s="17"/>
      <c r="H125" s="17"/>
      <c r="I125" s="17"/>
      <c r="J125" s="24"/>
      <c r="K125" s="17"/>
      <c r="L125" s="17"/>
      <c r="M125" s="7"/>
      <c r="N125" s="17"/>
    </row>
    <row r="126" spans="1:14" x14ac:dyDescent="0.25">
      <c r="A126" s="17"/>
      <c r="B126" s="16"/>
      <c r="C126" s="17"/>
      <c r="D126" s="17"/>
      <c r="E126" s="17"/>
      <c r="F126" s="16"/>
      <c r="G126" s="17"/>
      <c r="H126" s="17"/>
      <c r="I126" s="17"/>
      <c r="J126" s="24"/>
      <c r="K126" s="17"/>
      <c r="L126" s="17"/>
      <c r="M126" s="7"/>
      <c r="N126" s="17"/>
    </row>
    <row r="127" spans="1:14" x14ac:dyDescent="0.25">
      <c r="A127" s="17"/>
      <c r="B127" s="16"/>
      <c r="C127" s="17"/>
      <c r="D127" s="17"/>
      <c r="E127" s="17"/>
      <c r="F127" s="16"/>
      <c r="G127" s="17"/>
      <c r="H127" s="17"/>
      <c r="I127" s="17"/>
      <c r="J127" s="24"/>
      <c r="K127" s="17"/>
      <c r="L127" s="17"/>
      <c r="M127" s="7"/>
      <c r="N127" s="17"/>
    </row>
    <row r="128" spans="1:14" x14ac:dyDescent="0.25">
      <c r="A128" s="17"/>
      <c r="B128" s="16"/>
      <c r="C128" s="17"/>
      <c r="D128" s="17"/>
      <c r="E128" s="17"/>
      <c r="F128" s="16"/>
      <c r="G128" s="17"/>
      <c r="H128" s="17"/>
      <c r="I128" s="17"/>
      <c r="J128" s="24"/>
      <c r="K128" s="17"/>
      <c r="L128" s="17"/>
      <c r="M128" s="7"/>
      <c r="N128" s="17"/>
    </row>
    <row r="129" spans="1:14" x14ac:dyDescent="0.25">
      <c r="A129" s="17"/>
      <c r="B129" s="16"/>
      <c r="C129" s="17"/>
      <c r="D129" s="17"/>
      <c r="E129" s="17"/>
      <c r="F129" s="16"/>
      <c r="G129" s="17"/>
      <c r="H129" s="17"/>
      <c r="I129" s="17"/>
      <c r="J129" s="24"/>
      <c r="K129" s="17"/>
      <c r="L129" s="17"/>
      <c r="M129" s="7"/>
      <c r="N129" s="17"/>
    </row>
    <row r="130" spans="1:14" x14ac:dyDescent="0.25">
      <c r="A130" s="17"/>
      <c r="B130" s="16"/>
      <c r="C130" s="17"/>
      <c r="D130" s="17"/>
      <c r="E130" s="17"/>
      <c r="F130" s="16"/>
      <c r="G130" s="17"/>
      <c r="H130" s="17"/>
      <c r="I130" s="17"/>
      <c r="J130" s="24"/>
      <c r="K130" s="17"/>
      <c r="L130" s="17"/>
      <c r="M130" s="7"/>
      <c r="N130" s="17"/>
    </row>
    <row r="131" spans="1:14" x14ac:dyDescent="0.25">
      <c r="A131" s="17"/>
      <c r="B131" s="16"/>
      <c r="C131" s="17"/>
      <c r="D131" s="17"/>
      <c r="E131" s="17"/>
      <c r="F131" s="16"/>
      <c r="G131" s="17"/>
      <c r="H131" s="17"/>
      <c r="I131" s="17"/>
      <c r="J131" s="24"/>
      <c r="K131" s="17"/>
      <c r="L131" s="17"/>
      <c r="M131" s="7"/>
      <c r="N131" s="17"/>
    </row>
    <row r="132" spans="1:14" x14ac:dyDescent="0.25">
      <c r="A132" s="17"/>
      <c r="B132" s="16"/>
      <c r="C132" s="17"/>
      <c r="D132" s="17"/>
      <c r="E132" s="17"/>
      <c r="F132" s="16"/>
      <c r="G132" s="17"/>
      <c r="H132" s="17"/>
      <c r="I132" s="17"/>
      <c r="J132" s="24"/>
      <c r="K132" s="17"/>
      <c r="L132" s="17"/>
      <c r="M132" s="7"/>
      <c r="N132" s="17"/>
    </row>
    <row r="133" spans="1:14" x14ac:dyDescent="0.25">
      <c r="A133" s="17"/>
      <c r="B133" s="16"/>
      <c r="C133" s="17"/>
      <c r="D133" s="17"/>
      <c r="E133" s="17"/>
      <c r="F133" s="16"/>
      <c r="G133" s="17"/>
      <c r="H133" s="17"/>
      <c r="I133" s="17"/>
      <c r="J133" s="24"/>
      <c r="K133" s="17"/>
      <c r="L133" s="17"/>
      <c r="M133" s="7"/>
      <c r="N133" s="17"/>
    </row>
    <row r="134" spans="1:14" x14ac:dyDescent="0.25">
      <c r="A134" s="17"/>
      <c r="B134" s="16"/>
      <c r="C134" s="17"/>
      <c r="D134" s="17"/>
      <c r="E134" s="17"/>
      <c r="F134" s="16"/>
      <c r="G134" s="17"/>
      <c r="H134" s="17"/>
      <c r="I134" s="17"/>
      <c r="J134" s="24"/>
      <c r="K134" s="17"/>
      <c r="L134" s="17"/>
      <c r="M134" s="7"/>
      <c r="N134" s="17"/>
    </row>
    <row r="135" spans="1:14" x14ac:dyDescent="0.25">
      <c r="A135" s="17"/>
      <c r="B135" s="16"/>
      <c r="C135" s="17"/>
      <c r="D135" s="17"/>
      <c r="E135" s="17"/>
      <c r="F135" s="16"/>
      <c r="G135" s="17"/>
      <c r="H135" s="17"/>
      <c r="I135" s="17"/>
      <c r="J135" s="24"/>
      <c r="K135" s="17"/>
      <c r="L135" s="17"/>
      <c r="M135" s="7"/>
      <c r="N135" s="17"/>
    </row>
    <row r="136" spans="1:14" x14ac:dyDescent="0.25">
      <c r="A136" s="17"/>
      <c r="B136" s="16"/>
      <c r="C136" s="17"/>
      <c r="D136" s="17"/>
      <c r="E136" s="17"/>
      <c r="F136" s="16"/>
      <c r="G136" s="17"/>
      <c r="H136" s="17"/>
      <c r="I136" s="17"/>
      <c r="J136" s="24"/>
      <c r="K136" s="17"/>
      <c r="L136" s="17"/>
      <c r="M136" s="7"/>
      <c r="N136" s="17"/>
    </row>
    <row r="137" spans="1:14" x14ac:dyDescent="0.25">
      <c r="A137" s="17"/>
      <c r="B137" s="16"/>
      <c r="C137" s="17"/>
      <c r="D137" s="17"/>
      <c r="E137" s="17"/>
      <c r="F137" s="16"/>
      <c r="G137" s="17"/>
      <c r="H137" s="17"/>
      <c r="I137" s="17"/>
      <c r="J137" s="24"/>
      <c r="K137" s="17"/>
      <c r="L137" s="17"/>
      <c r="M137" s="7"/>
      <c r="N137" s="17"/>
    </row>
    <row r="138" spans="1:14" x14ac:dyDescent="0.25">
      <c r="A138" s="17"/>
      <c r="B138" s="16"/>
      <c r="C138" s="17"/>
      <c r="D138" s="17"/>
      <c r="E138" s="17"/>
      <c r="F138" s="16"/>
      <c r="G138" s="17"/>
      <c r="H138" s="17"/>
      <c r="I138" s="17"/>
      <c r="J138" s="24"/>
      <c r="K138" s="17"/>
      <c r="L138" s="17"/>
      <c r="M138" s="7"/>
      <c r="N138" s="17"/>
    </row>
    <row r="139" spans="1:14" x14ac:dyDescent="0.25">
      <c r="A139" s="17"/>
      <c r="B139" s="16"/>
      <c r="C139" s="17"/>
      <c r="D139" s="17"/>
      <c r="E139" s="17"/>
      <c r="F139" s="16"/>
      <c r="G139" s="17"/>
      <c r="H139" s="17"/>
      <c r="I139" s="17"/>
      <c r="J139" s="24"/>
      <c r="K139" s="17"/>
      <c r="L139" s="17"/>
      <c r="M139" s="7"/>
      <c r="N139" s="17"/>
    </row>
    <row r="140" spans="1:14" x14ac:dyDescent="0.25">
      <c r="A140" s="17"/>
      <c r="B140" s="16"/>
      <c r="C140" s="17"/>
      <c r="D140" s="17"/>
      <c r="E140" s="17"/>
      <c r="F140" s="16"/>
      <c r="G140" s="17"/>
      <c r="H140" s="17"/>
      <c r="I140" s="17"/>
      <c r="J140" s="24"/>
      <c r="K140" s="17"/>
      <c r="L140" s="17"/>
      <c r="M140" s="7"/>
      <c r="N140" s="17"/>
    </row>
    <row r="141" spans="1:14" x14ac:dyDescent="0.25">
      <c r="A141" s="17"/>
      <c r="B141" s="16"/>
      <c r="C141" s="17"/>
      <c r="D141" s="17"/>
      <c r="E141" s="17"/>
      <c r="F141" s="16"/>
      <c r="G141" s="17"/>
      <c r="H141" s="17"/>
      <c r="I141" s="17"/>
      <c r="J141" s="24"/>
      <c r="K141" s="17"/>
      <c r="L141" s="17"/>
      <c r="M141" s="7"/>
      <c r="N141" s="17"/>
    </row>
    <row r="142" spans="1:14" x14ac:dyDescent="0.25">
      <c r="A142" s="17"/>
      <c r="B142" s="16"/>
      <c r="C142" s="17"/>
      <c r="D142" s="17"/>
      <c r="E142" s="17"/>
      <c r="F142" s="16"/>
      <c r="G142" s="17"/>
      <c r="H142" s="17"/>
      <c r="I142" s="17"/>
      <c r="J142" s="24"/>
      <c r="K142" s="17"/>
      <c r="L142" s="17"/>
      <c r="M142" s="7"/>
      <c r="N142" s="17"/>
    </row>
    <row r="143" spans="1:14" x14ac:dyDescent="0.25">
      <c r="A143" s="17"/>
      <c r="B143" s="16"/>
      <c r="C143" s="17"/>
      <c r="D143" s="17"/>
      <c r="E143" s="17"/>
      <c r="F143" s="16"/>
      <c r="G143" s="17"/>
      <c r="H143" s="17"/>
      <c r="I143" s="17"/>
      <c r="J143" s="24"/>
      <c r="K143" s="17"/>
      <c r="L143" s="17"/>
      <c r="M143" s="7"/>
      <c r="N143" s="17"/>
    </row>
    <row r="144" spans="1:14" x14ac:dyDescent="0.25">
      <c r="A144" s="17"/>
      <c r="B144" s="16"/>
      <c r="C144" s="17"/>
      <c r="D144" s="17"/>
      <c r="E144" s="17"/>
      <c r="F144" s="16"/>
      <c r="G144" s="17"/>
      <c r="H144" s="17"/>
      <c r="I144" s="17"/>
      <c r="J144" s="24"/>
      <c r="K144" s="17"/>
      <c r="L144" s="17"/>
      <c r="M144" s="7"/>
      <c r="N144" s="17"/>
    </row>
    <row r="145" spans="1:14" x14ac:dyDescent="0.25">
      <c r="A145" s="17"/>
      <c r="B145" s="16"/>
      <c r="C145" s="17"/>
      <c r="D145" s="17"/>
      <c r="E145" s="17"/>
      <c r="F145" s="16"/>
      <c r="G145" s="17"/>
      <c r="H145" s="17"/>
      <c r="I145" s="17"/>
      <c r="J145" s="24"/>
      <c r="K145" s="17"/>
      <c r="L145" s="17"/>
      <c r="M145" s="7"/>
      <c r="N145" s="17"/>
    </row>
    <row r="146" spans="1:14" x14ac:dyDescent="0.25">
      <c r="A146" s="17"/>
      <c r="B146" s="16"/>
      <c r="C146" s="17"/>
      <c r="D146" s="17"/>
      <c r="E146" s="17"/>
      <c r="F146" s="16"/>
      <c r="G146" s="17"/>
      <c r="H146" s="17"/>
      <c r="I146" s="17"/>
      <c r="J146" s="24"/>
      <c r="K146" s="17"/>
      <c r="L146" s="17"/>
      <c r="M146" s="7"/>
      <c r="N146" s="17"/>
    </row>
    <row r="147" spans="1:14" x14ac:dyDescent="0.25">
      <c r="A147" s="17"/>
      <c r="B147" s="16"/>
      <c r="C147" s="17"/>
      <c r="D147" s="17"/>
      <c r="E147" s="17"/>
      <c r="F147" s="16"/>
      <c r="G147" s="17"/>
      <c r="H147" s="17"/>
      <c r="I147" s="17"/>
      <c r="J147" s="24"/>
      <c r="K147" s="17"/>
      <c r="L147" s="17"/>
      <c r="M147" s="7"/>
      <c r="N147" s="17"/>
    </row>
    <row r="148" spans="1:14" x14ac:dyDescent="0.25">
      <c r="A148" s="17"/>
      <c r="B148" s="16"/>
      <c r="C148" s="17"/>
      <c r="D148" s="17"/>
      <c r="E148" s="17"/>
      <c r="F148" s="16"/>
      <c r="G148" s="17"/>
      <c r="H148" s="17"/>
      <c r="I148" s="17"/>
      <c r="J148" s="24"/>
      <c r="K148" s="17"/>
      <c r="L148" s="17"/>
      <c r="M148" s="7"/>
      <c r="N148" s="17"/>
    </row>
    <row r="149" spans="1:14" x14ac:dyDescent="0.25">
      <c r="A149" s="17"/>
      <c r="B149" s="16"/>
      <c r="C149" s="17"/>
      <c r="D149" s="17"/>
      <c r="E149" s="17"/>
      <c r="F149" s="16"/>
      <c r="G149" s="17"/>
      <c r="H149" s="17"/>
      <c r="I149" s="17"/>
      <c r="J149" s="24"/>
      <c r="K149" s="17"/>
      <c r="L149" s="17"/>
      <c r="M149" s="7"/>
      <c r="N149" s="17"/>
    </row>
    <row r="150" spans="1:14" x14ac:dyDescent="0.25">
      <c r="A150" s="17"/>
      <c r="B150" s="16"/>
      <c r="C150" s="17"/>
      <c r="D150" s="17"/>
      <c r="E150" s="17"/>
      <c r="F150" s="16"/>
      <c r="G150" s="17"/>
      <c r="H150" s="17"/>
      <c r="I150" s="17"/>
      <c r="J150" s="24"/>
      <c r="K150" s="17"/>
      <c r="L150" s="17"/>
      <c r="M150" s="7"/>
      <c r="N150" s="17"/>
    </row>
    <row r="151" spans="1:14" x14ac:dyDescent="0.25">
      <c r="A151" s="17"/>
      <c r="B151" s="16"/>
      <c r="C151" s="17"/>
      <c r="D151" s="17"/>
      <c r="E151" s="17"/>
      <c r="F151" s="16"/>
      <c r="G151" s="17"/>
      <c r="H151" s="17"/>
      <c r="I151" s="17"/>
      <c r="J151" s="24"/>
      <c r="K151" s="17"/>
      <c r="L151" s="17"/>
      <c r="M151" s="7"/>
      <c r="N151" s="17"/>
    </row>
    <row r="152" spans="1:14" x14ac:dyDescent="0.25">
      <c r="A152" s="17"/>
      <c r="B152" s="16"/>
      <c r="C152" s="17"/>
      <c r="D152" s="17"/>
      <c r="E152" s="17"/>
      <c r="F152" s="16"/>
      <c r="G152" s="17"/>
      <c r="H152" s="17"/>
      <c r="I152" s="17"/>
      <c r="J152" s="24"/>
      <c r="K152" s="17"/>
      <c r="L152" s="17"/>
      <c r="M152" s="7"/>
      <c r="N152" s="17"/>
    </row>
    <row r="153" spans="1:14" x14ac:dyDescent="0.25">
      <c r="A153" s="17"/>
      <c r="B153" s="16"/>
      <c r="C153" s="17"/>
      <c r="D153" s="17"/>
      <c r="E153" s="17"/>
      <c r="F153" s="16"/>
      <c r="G153" s="17"/>
      <c r="H153" s="17"/>
      <c r="I153" s="17"/>
      <c r="J153" s="24"/>
      <c r="K153" s="17"/>
      <c r="L153" s="17"/>
      <c r="M153" s="7"/>
      <c r="N153" s="17"/>
    </row>
    <row r="154" spans="1:14" x14ac:dyDescent="0.25">
      <c r="A154" s="17"/>
      <c r="B154" s="16"/>
      <c r="C154" s="17"/>
      <c r="D154" s="17"/>
      <c r="E154" s="17"/>
      <c r="F154" s="16"/>
      <c r="G154" s="17"/>
      <c r="H154" s="17"/>
      <c r="I154" s="17"/>
      <c r="J154" s="24"/>
      <c r="K154" s="17"/>
      <c r="L154" s="17"/>
      <c r="M154" s="7"/>
      <c r="N154" s="17"/>
    </row>
    <row r="155" spans="1:14" x14ac:dyDescent="0.25">
      <c r="A155" s="17"/>
      <c r="B155" s="16"/>
      <c r="C155" s="17"/>
      <c r="D155" s="17"/>
      <c r="E155" s="17"/>
      <c r="F155" s="16"/>
      <c r="G155" s="17"/>
      <c r="H155" s="17"/>
      <c r="I155" s="17"/>
      <c r="J155" s="24"/>
      <c r="K155" s="17"/>
      <c r="L155" s="17"/>
      <c r="M155" s="7"/>
      <c r="N155" s="17"/>
    </row>
    <row r="156" spans="1:14" x14ac:dyDescent="0.25">
      <c r="A156" s="17"/>
      <c r="B156" s="16"/>
      <c r="C156" s="17"/>
      <c r="D156" s="17"/>
      <c r="E156" s="17"/>
      <c r="F156" s="16"/>
      <c r="G156" s="17"/>
      <c r="H156" s="17"/>
      <c r="I156" s="17"/>
      <c r="J156" s="24"/>
      <c r="K156" s="17"/>
      <c r="L156" s="17"/>
      <c r="M156" s="7"/>
      <c r="N156" s="17"/>
    </row>
    <row r="157" spans="1:14" x14ac:dyDescent="0.25">
      <c r="A157" s="17"/>
      <c r="B157" s="16"/>
      <c r="C157" s="17"/>
      <c r="D157" s="17"/>
      <c r="E157" s="17"/>
      <c r="F157" s="16"/>
      <c r="G157" s="17"/>
      <c r="H157" s="17"/>
      <c r="I157" s="17"/>
      <c r="J157" s="24"/>
      <c r="K157" s="17"/>
      <c r="L157" s="17"/>
      <c r="M157" s="7"/>
      <c r="N157" s="17"/>
    </row>
    <row r="158" spans="1:14" x14ac:dyDescent="0.25">
      <c r="A158" s="17"/>
      <c r="B158" s="16"/>
      <c r="C158" s="17"/>
      <c r="D158" s="17"/>
      <c r="E158" s="17"/>
      <c r="F158" s="16"/>
      <c r="G158" s="17"/>
      <c r="H158" s="17"/>
      <c r="I158" s="17"/>
      <c r="J158" s="24"/>
      <c r="K158" s="17"/>
      <c r="L158" s="17"/>
      <c r="M158" s="7"/>
      <c r="N158" s="17"/>
    </row>
    <row r="159" spans="1:14" x14ac:dyDescent="0.25">
      <c r="A159" s="17"/>
      <c r="B159" s="16"/>
      <c r="C159" s="17"/>
      <c r="D159" s="17"/>
      <c r="E159" s="17"/>
      <c r="F159" s="16"/>
      <c r="G159" s="17"/>
      <c r="H159" s="17"/>
      <c r="I159" s="17"/>
      <c r="J159" s="24"/>
      <c r="K159" s="17"/>
      <c r="L159" s="17"/>
      <c r="M159" s="7"/>
      <c r="N159" s="17"/>
    </row>
    <row r="160" spans="1:14" x14ac:dyDescent="0.25">
      <c r="A160" s="17"/>
      <c r="B160" s="16"/>
      <c r="C160" s="17"/>
      <c r="D160" s="17"/>
      <c r="E160" s="17"/>
      <c r="F160" s="16"/>
      <c r="G160" s="17"/>
      <c r="H160" s="17"/>
      <c r="I160" s="17"/>
      <c r="J160" s="24"/>
      <c r="K160" s="17"/>
      <c r="L160" s="17"/>
      <c r="M160" s="7"/>
      <c r="N160" s="17"/>
    </row>
    <row r="161" spans="1:14" x14ac:dyDescent="0.25">
      <c r="A161" s="17"/>
      <c r="B161" s="16"/>
      <c r="C161" s="17"/>
      <c r="D161" s="17"/>
      <c r="E161" s="17"/>
      <c r="F161" s="16"/>
      <c r="G161" s="17"/>
      <c r="H161" s="17"/>
      <c r="I161" s="17"/>
      <c r="J161" s="24"/>
      <c r="K161" s="17"/>
      <c r="L161" s="17"/>
      <c r="M161" s="7"/>
      <c r="N161" s="17"/>
    </row>
    <row r="162" spans="1:14" x14ac:dyDescent="0.25">
      <c r="A162" s="17"/>
      <c r="B162" s="16"/>
      <c r="C162" s="17"/>
      <c r="D162" s="17"/>
      <c r="E162" s="17"/>
      <c r="F162" s="16"/>
      <c r="G162" s="17"/>
      <c r="H162" s="17"/>
      <c r="I162" s="17"/>
      <c r="J162" s="24"/>
      <c r="K162" s="17"/>
      <c r="L162" s="17"/>
      <c r="M162" s="7"/>
      <c r="N162" s="17"/>
    </row>
    <row r="163" spans="1:14" x14ac:dyDescent="0.25">
      <c r="A163" s="17"/>
      <c r="B163" s="16"/>
      <c r="C163" s="17"/>
      <c r="D163" s="17"/>
      <c r="E163" s="17"/>
      <c r="F163" s="16"/>
      <c r="G163" s="17"/>
      <c r="H163" s="17"/>
      <c r="I163" s="17"/>
      <c r="J163" s="24"/>
      <c r="K163" s="17"/>
      <c r="L163" s="17"/>
      <c r="M163" s="7"/>
      <c r="N163" s="17"/>
    </row>
    <row r="164" spans="1:14" x14ac:dyDescent="0.25">
      <c r="A164" s="17"/>
      <c r="B164" s="16"/>
      <c r="C164" s="17"/>
      <c r="D164" s="17"/>
      <c r="E164" s="17"/>
      <c r="F164" s="16"/>
      <c r="G164" s="17"/>
      <c r="H164" s="17"/>
      <c r="I164" s="17"/>
      <c r="J164" s="24"/>
      <c r="K164" s="17"/>
      <c r="L164" s="17"/>
      <c r="M164" s="7"/>
      <c r="N164" s="17"/>
    </row>
    <row r="165" spans="1:14" x14ac:dyDescent="0.25">
      <c r="A165" s="17"/>
      <c r="B165" s="16"/>
      <c r="C165" s="17"/>
      <c r="D165" s="17"/>
      <c r="E165" s="17"/>
      <c r="F165" s="16"/>
      <c r="G165" s="17"/>
      <c r="H165" s="17"/>
      <c r="I165" s="17"/>
      <c r="J165" s="24"/>
      <c r="K165" s="17"/>
      <c r="L165" s="17"/>
      <c r="M165" s="7"/>
      <c r="N165" s="17"/>
    </row>
    <row r="166" spans="1:14" x14ac:dyDescent="0.25">
      <c r="A166" s="17"/>
      <c r="B166" s="16"/>
      <c r="C166" s="17"/>
      <c r="D166" s="17"/>
      <c r="E166" s="17"/>
      <c r="F166" s="16"/>
      <c r="G166" s="17"/>
      <c r="H166" s="17"/>
      <c r="I166" s="17"/>
      <c r="J166" s="24"/>
      <c r="K166" s="17"/>
      <c r="L166" s="17"/>
      <c r="M166" s="7"/>
      <c r="N166" s="17"/>
    </row>
    <row r="167" spans="1:14" x14ac:dyDescent="0.25">
      <c r="A167" s="17"/>
      <c r="B167" s="16"/>
      <c r="C167" s="17"/>
      <c r="D167" s="17"/>
      <c r="E167" s="17"/>
      <c r="F167" s="16"/>
      <c r="G167" s="17"/>
      <c r="H167" s="17"/>
      <c r="I167" s="17"/>
      <c r="J167" s="24"/>
      <c r="K167" s="17"/>
      <c r="L167" s="17"/>
      <c r="M167" s="7"/>
      <c r="N167" s="17"/>
    </row>
    <row r="168" spans="1:14" x14ac:dyDescent="0.25">
      <c r="A168" s="17"/>
      <c r="B168" s="16"/>
      <c r="C168" s="17"/>
      <c r="D168" s="17"/>
      <c r="E168" s="17"/>
      <c r="F168" s="16"/>
      <c r="G168" s="17"/>
      <c r="H168" s="17"/>
      <c r="I168" s="17"/>
      <c r="J168" s="24"/>
      <c r="K168" s="17"/>
      <c r="L168" s="17"/>
      <c r="M168" s="7"/>
      <c r="N168" s="17"/>
    </row>
    <row r="169" spans="1:14" x14ac:dyDescent="0.25">
      <c r="A169" s="17"/>
      <c r="B169" s="16"/>
      <c r="C169" s="17"/>
      <c r="D169" s="17"/>
      <c r="E169" s="17"/>
      <c r="F169" s="16"/>
      <c r="G169" s="17"/>
      <c r="H169" s="17"/>
      <c r="I169" s="17"/>
      <c r="J169" s="24"/>
      <c r="K169" s="17"/>
      <c r="L169" s="17"/>
      <c r="M169" s="7"/>
      <c r="N169" s="17"/>
    </row>
    <row r="170" spans="1:14" x14ac:dyDescent="0.25">
      <c r="A170" s="17"/>
      <c r="B170" s="16"/>
      <c r="C170" s="17"/>
      <c r="D170" s="17"/>
      <c r="E170" s="17"/>
      <c r="F170" s="16"/>
      <c r="G170" s="17"/>
      <c r="H170" s="17"/>
      <c r="I170" s="17"/>
      <c r="J170" s="24"/>
      <c r="K170" s="17"/>
      <c r="L170" s="17"/>
      <c r="M170" s="7"/>
      <c r="N170" s="17"/>
    </row>
    <row r="171" spans="1:14" x14ac:dyDescent="0.25">
      <c r="A171" s="17"/>
      <c r="B171" s="16"/>
      <c r="C171" s="17"/>
      <c r="D171" s="17"/>
      <c r="E171" s="17"/>
      <c r="F171" s="16"/>
      <c r="G171" s="17"/>
      <c r="H171" s="17"/>
      <c r="I171" s="17"/>
      <c r="J171" s="24"/>
      <c r="K171" s="17"/>
      <c r="L171" s="17"/>
      <c r="M171" s="7"/>
      <c r="N171" s="17"/>
    </row>
    <row r="172" spans="1:14" x14ac:dyDescent="0.25">
      <c r="A172" s="17"/>
      <c r="B172" s="16"/>
      <c r="C172" s="17"/>
      <c r="D172" s="17"/>
      <c r="E172" s="17"/>
      <c r="F172" s="16"/>
      <c r="G172" s="17"/>
      <c r="H172" s="17"/>
      <c r="I172" s="17"/>
      <c r="J172" s="24"/>
      <c r="K172" s="17"/>
      <c r="L172" s="17"/>
      <c r="M172" s="7"/>
      <c r="N172" s="17"/>
    </row>
    <row r="173" spans="1:14" x14ac:dyDescent="0.25">
      <c r="A173" s="17"/>
      <c r="B173" s="16"/>
      <c r="C173" s="17"/>
      <c r="D173" s="17"/>
      <c r="E173" s="17"/>
      <c r="F173" s="16"/>
      <c r="G173" s="17"/>
      <c r="H173" s="17"/>
      <c r="I173" s="17"/>
      <c r="J173" s="24"/>
      <c r="K173" s="17"/>
      <c r="L173" s="17"/>
      <c r="M173" s="7"/>
      <c r="N173" s="17"/>
    </row>
    <row r="174" spans="1:14" x14ac:dyDescent="0.25">
      <c r="A174" s="17"/>
      <c r="B174" s="16"/>
      <c r="C174" s="17"/>
      <c r="D174" s="17"/>
      <c r="E174" s="17"/>
      <c r="F174" s="16"/>
      <c r="G174" s="17"/>
      <c r="H174" s="17"/>
      <c r="I174" s="17"/>
      <c r="J174" s="24"/>
      <c r="K174" s="17"/>
      <c r="L174" s="17"/>
      <c r="M174" s="7"/>
      <c r="N174" s="17"/>
    </row>
    <row r="175" spans="1:14" x14ac:dyDescent="0.25">
      <c r="A175" s="17"/>
      <c r="B175" s="16"/>
      <c r="C175" s="17"/>
      <c r="D175" s="17"/>
      <c r="E175" s="17"/>
      <c r="F175" s="16"/>
      <c r="G175" s="17"/>
      <c r="H175" s="17"/>
      <c r="I175" s="17"/>
      <c r="J175" s="24"/>
      <c r="K175" s="17"/>
      <c r="L175" s="17"/>
      <c r="M175" s="7"/>
      <c r="N175" s="17"/>
    </row>
    <row r="176" spans="1:14" x14ac:dyDescent="0.25">
      <c r="A176" s="17"/>
      <c r="B176" s="16"/>
      <c r="C176" s="17"/>
      <c r="D176" s="17"/>
      <c r="E176" s="17"/>
      <c r="F176" s="16"/>
      <c r="G176" s="17"/>
      <c r="H176" s="17"/>
      <c r="I176" s="17"/>
      <c r="J176" s="24"/>
      <c r="K176" s="17"/>
      <c r="L176" s="17"/>
      <c r="M176" s="7"/>
      <c r="N176" s="17"/>
    </row>
    <row r="177" spans="1:14" x14ac:dyDescent="0.25">
      <c r="A177" s="17"/>
      <c r="B177" s="16"/>
      <c r="C177" s="17"/>
      <c r="D177" s="17"/>
      <c r="E177" s="17"/>
      <c r="F177" s="16"/>
      <c r="G177" s="17"/>
      <c r="H177" s="17"/>
      <c r="I177" s="17"/>
      <c r="J177" s="24"/>
      <c r="K177" s="17"/>
      <c r="L177" s="17"/>
      <c r="M177" s="7"/>
      <c r="N177" s="17"/>
    </row>
    <row r="178" spans="1:14" x14ac:dyDescent="0.25">
      <c r="A178" s="17"/>
      <c r="B178" s="16"/>
      <c r="C178" s="17"/>
      <c r="D178" s="17"/>
      <c r="E178" s="17"/>
      <c r="F178" s="16"/>
      <c r="G178" s="17"/>
      <c r="H178" s="17"/>
      <c r="I178" s="17"/>
      <c r="J178" s="24"/>
      <c r="K178" s="17"/>
      <c r="L178" s="17"/>
      <c r="M178" s="7"/>
      <c r="N178" s="17"/>
    </row>
    <row r="179" spans="1:14" x14ac:dyDescent="0.25">
      <c r="A179" s="17"/>
      <c r="B179" s="16"/>
      <c r="C179" s="17"/>
      <c r="D179" s="17"/>
      <c r="E179" s="17"/>
      <c r="F179" s="16"/>
      <c r="G179" s="17"/>
      <c r="H179" s="17"/>
      <c r="I179" s="17"/>
      <c r="J179" s="24"/>
      <c r="K179" s="17"/>
      <c r="L179" s="17"/>
      <c r="M179" s="7"/>
      <c r="N179" s="17"/>
    </row>
    <row r="180" spans="1:14" x14ac:dyDescent="0.25">
      <c r="A180" s="17"/>
      <c r="B180" s="16"/>
      <c r="C180" s="17"/>
      <c r="D180" s="17"/>
      <c r="E180" s="17"/>
      <c r="F180" s="16"/>
      <c r="G180" s="17"/>
      <c r="H180" s="17"/>
      <c r="I180" s="17"/>
      <c r="J180" s="24"/>
      <c r="K180" s="17"/>
      <c r="L180" s="17"/>
      <c r="M180" s="7"/>
      <c r="N180" s="17"/>
    </row>
    <row r="181" spans="1:14" x14ac:dyDescent="0.25">
      <c r="A181" s="17"/>
      <c r="B181" s="16"/>
      <c r="C181" s="17"/>
      <c r="D181" s="17"/>
      <c r="E181" s="17"/>
      <c r="F181" s="16"/>
      <c r="G181" s="17"/>
      <c r="H181" s="17"/>
      <c r="I181" s="17"/>
      <c r="J181" s="24"/>
      <c r="K181" s="17"/>
      <c r="L181" s="17"/>
      <c r="M181" s="7"/>
      <c r="N181" s="17"/>
    </row>
    <row r="182" spans="1:14" x14ac:dyDescent="0.25">
      <c r="A182" s="17"/>
      <c r="B182" s="16"/>
      <c r="C182" s="17"/>
      <c r="D182" s="17"/>
      <c r="E182" s="17"/>
      <c r="F182" s="16"/>
      <c r="G182" s="17"/>
      <c r="H182" s="17"/>
      <c r="I182" s="17"/>
      <c r="J182" s="24"/>
      <c r="K182" s="17"/>
      <c r="L182" s="17"/>
      <c r="M182" s="7"/>
      <c r="N182" s="17"/>
    </row>
    <row r="183" spans="1:14" x14ac:dyDescent="0.25">
      <c r="A183" s="17"/>
      <c r="B183" s="16"/>
      <c r="C183" s="17"/>
      <c r="D183" s="17"/>
      <c r="E183" s="17"/>
      <c r="F183" s="16"/>
      <c r="G183" s="17"/>
      <c r="H183" s="17"/>
      <c r="I183" s="17"/>
      <c r="J183" s="24"/>
      <c r="K183" s="17"/>
      <c r="L183" s="17"/>
      <c r="M183" s="7"/>
      <c r="N183" s="17"/>
    </row>
    <row r="184" spans="1:14" x14ac:dyDescent="0.25">
      <c r="A184" s="17"/>
      <c r="B184" s="16"/>
      <c r="C184" s="17"/>
      <c r="D184" s="17"/>
      <c r="E184" s="17"/>
      <c r="F184" s="16"/>
      <c r="G184" s="17"/>
      <c r="H184" s="17"/>
      <c r="I184" s="17"/>
      <c r="J184" s="24"/>
      <c r="K184" s="17"/>
      <c r="L184" s="17"/>
      <c r="M184" s="7"/>
      <c r="N184" s="17"/>
    </row>
    <row r="185" spans="1:14" x14ac:dyDescent="0.25">
      <c r="A185" s="17"/>
      <c r="B185" s="16"/>
      <c r="C185" s="17"/>
      <c r="D185" s="17"/>
      <c r="E185" s="17"/>
      <c r="F185" s="16"/>
      <c r="G185" s="17"/>
      <c r="H185" s="17"/>
      <c r="I185" s="17"/>
      <c r="J185" s="24"/>
      <c r="K185" s="17"/>
      <c r="L185" s="17"/>
      <c r="M185" s="7"/>
      <c r="N185" s="17"/>
    </row>
    <row r="186" spans="1:14" x14ac:dyDescent="0.25">
      <c r="A186" s="17"/>
      <c r="B186" s="16"/>
      <c r="C186" s="17"/>
      <c r="D186" s="17"/>
      <c r="E186" s="17"/>
      <c r="F186" s="16"/>
      <c r="G186" s="17"/>
      <c r="H186" s="17"/>
      <c r="I186" s="17"/>
      <c r="J186" s="24"/>
      <c r="K186" s="17"/>
      <c r="L186" s="17"/>
      <c r="M186" s="7"/>
      <c r="N186" s="17"/>
    </row>
    <row r="187" spans="1:14" x14ac:dyDescent="0.25">
      <c r="A187" s="17"/>
      <c r="B187" s="16"/>
      <c r="C187" s="17"/>
      <c r="D187" s="17"/>
      <c r="E187" s="17"/>
      <c r="F187" s="16"/>
      <c r="G187" s="17"/>
      <c r="H187" s="17"/>
      <c r="I187" s="17"/>
      <c r="J187" s="24"/>
      <c r="K187" s="17"/>
      <c r="L187" s="17"/>
      <c r="M187" s="7"/>
      <c r="N187" s="17"/>
    </row>
    <row r="188" spans="1:14" x14ac:dyDescent="0.25">
      <c r="A188" s="17"/>
      <c r="B188" s="16"/>
      <c r="C188" s="17"/>
      <c r="D188" s="17"/>
      <c r="E188" s="17"/>
      <c r="F188" s="16"/>
      <c r="G188" s="17"/>
      <c r="H188" s="17"/>
      <c r="I188" s="17"/>
      <c r="J188" s="24"/>
      <c r="K188" s="17"/>
      <c r="L188" s="17"/>
      <c r="M188" s="7"/>
      <c r="N188" s="17"/>
    </row>
    <row r="189" spans="1:14" x14ac:dyDescent="0.25">
      <c r="A189" s="17"/>
      <c r="B189" s="16"/>
      <c r="C189" s="17"/>
      <c r="D189" s="17"/>
      <c r="E189" s="17"/>
      <c r="F189" s="16"/>
      <c r="G189" s="17"/>
      <c r="H189" s="17"/>
      <c r="I189" s="17"/>
      <c r="J189" s="24"/>
      <c r="K189" s="17"/>
      <c r="L189" s="17"/>
      <c r="M189" s="7"/>
      <c r="N189" s="17"/>
    </row>
    <row r="190" spans="1:14" x14ac:dyDescent="0.25">
      <c r="A190" s="17"/>
      <c r="B190" s="16"/>
      <c r="C190" s="17"/>
      <c r="D190" s="17"/>
      <c r="E190" s="17"/>
      <c r="F190" s="16"/>
      <c r="G190" s="17"/>
      <c r="H190" s="17"/>
      <c r="I190" s="17"/>
      <c r="J190" s="24"/>
      <c r="K190" s="17"/>
      <c r="L190" s="17"/>
      <c r="M190" s="7"/>
      <c r="N190" s="17"/>
    </row>
    <row r="191" spans="1:14" x14ac:dyDescent="0.25">
      <c r="A191" s="17"/>
      <c r="B191" s="16"/>
      <c r="C191" s="17"/>
      <c r="D191" s="17"/>
      <c r="E191" s="17"/>
      <c r="F191" s="16"/>
      <c r="G191" s="17"/>
      <c r="H191" s="17"/>
      <c r="I191" s="17"/>
      <c r="J191" s="24"/>
      <c r="K191" s="17"/>
      <c r="L191" s="17"/>
      <c r="M191" s="7"/>
      <c r="N191" s="17"/>
    </row>
    <row r="192" spans="1:14" x14ac:dyDescent="0.25">
      <c r="A192" s="17"/>
      <c r="B192" s="16"/>
      <c r="C192" s="17"/>
      <c r="D192" s="17"/>
      <c r="E192" s="17"/>
      <c r="F192" s="16"/>
      <c r="G192" s="17"/>
      <c r="H192" s="17"/>
      <c r="I192" s="17"/>
      <c r="J192" s="24"/>
      <c r="K192" s="17"/>
      <c r="L192" s="17"/>
      <c r="M192" s="7"/>
      <c r="N192" s="17"/>
    </row>
    <row r="193" spans="1:14" x14ac:dyDescent="0.25">
      <c r="A193" s="17"/>
      <c r="B193" s="16"/>
      <c r="C193" s="17"/>
      <c r="D193" s="17"/>
      <c r="E193" s="17"/>
      <c r="F193" s="16"/>
      <c r="G193" s="17"/>
      <c r="H193" s="17"/>
      <c r="I193" s="17"/>
      <c r="J193" s="24"/>
      <c r="K193" s="17"/>
      <c r="L193" s="17"/>
      <c r="M193" s="7"/>
      <c r="N193" s="17"/>
    </row>
    <row r="194" spans="1:14" x14ac:dyDescent="0.25">
      <c r="A194" s="17"/>
      <c r="B194" s="16"/>
      <c r="C194" s="17"/>
      <c r="D194" s="17"/>
      <c r="E194" s="17"/>
      <c r="F194" s="16"/>
      <c r="G194" s="17"/>
      <c r="H194" s="17"/>
      <c r="I194" s="17"/>
      <c r="J194" s="24"/>
      <c r="K194" s="17"/>
      <c r="L194" s="17"/>
      <c r="M194" s="7"/>
      <c r="N194" s="17"/>
    </row>
    <row r="195" spans="1:14" x14ac:dyDescent="0.25">
      <c r="A195" s="17"/>
      <c r="B195" s="16"/>
      <c r="C195" s="17"/>
      <c r="D195" s="17"/>
      <c r="E195" s="17"/>
      <c r="F195" s="16"/>
      <c r="G195" s="17"/>
      <c r="H195" s="17"/>
      <c r="I195" s="17"/>
      <c r="J195" s="24"/>
      <c r="K195" s="17"/>
      <c r="L195" s="17"/>
      <c r="M195" s="7"/>
      <c r="N195" s="17"/>
    </row>
    <row r="196" spans="1:14" x14ac:dyDescent="0.25">
      <c r="A196" s="17"/>
      <c r="B196" s="16"/>
      <c r="C196" s="17"/>
      <c r="D196" s="17"/>
      <c r="E196" s="17"/>
      <c r="F196" s="16"/>
      <c r="G196" s="17"/>
      <c r="H196" s="17"/>
      <c r="I196" s="17"/>
      <c r="J196" s="24"/>
      <c r="K196" s="17"/>
      <c r="L196" s="17"/>
      <c r="M196" s="7"/>
      <c r="N196" s="17"/>
    </row>
    <row r="197" spans="1:14" x14ac:dyDescent="0.25">
      <c r="A197" s="17"/>
      <c r="B197" s="16"/>
      <c r="C197" s="17"/>
      <c r="D197" s="17"/>
      <c r="E197" s="17"/>
      <c r="F197" s="16"/>
      <c r="G197" s="17"/>
      <c r="H197" s="17"/>
      <c r="I197" s="17"/>
      <c r="J197" s="24"/>
      <c r="K197" s="17"/>
      <c r="L197" s="17"/>
      <c r="M197" s="7"/>
      <c r="N197" s="17"/>
    </row>
    <row r="198" spans="1:14" x14ac:dyDescent="0.25">
      <c r="A198" s="17"/>
      <c r="B198" s="16"/>
      <c r="C198" s="17"/>
      <c r="D198" s="17"/>
      <c r="E198" s="17"/>
      <c r="F198" s="16"/>
      <c r="G198" s="17"/>
      <c r="H198" s="17"/>
      <c r="I198" s="17"/>
      <c r="J198" s="24"/>
      <c r="K198" s="17"/>
      <c r="L198" s="17"/>
      <c r="M198" s="7"/>
      <c r="N198" s="17"/>
    </row>
    <row r="199" spans="1:14" x14ac:dyDescent="0.25">
      <c r="A199" s="17"/>
      <c r="B199" s="16"/>
      <c r="C199" s="17"/>
      <c r="D199" s="17"/>
      <c r="E199" s="17"/>
      <c r="F199" s="16"/>
      <c r="G199" s="17"/>
      <c r="H199" s="17"/>
      <c r="I199" s="17"/>
      <c r="J199" s="24"/>
      <c r="K199" s="17"/>
      <c r="L199" s="17"/>
      <c r="M199" s="7"/>
      <c r="N199" s="17"/>
    </row>
    <row r="200" spans="1:14" x14ac:dyDescent="0.25">
      <c r="A200" s="17"/>
      <c r="B200" s="16"/>
      <c r="C200" s="17"/>
      <c r="D200" s="17"/>
      <c r="E200" s="17"/>
      <c r="F200" s="16"/>
      <c r="G200" s="17"/>
      <c r="H200" s="17"/>
      <c r="I200" s="17"/>
      <c r="J200" s="24"/>
      <c r="K200" s="17"/>
      <c r="L200" s="17"/>
      <c r="M200" s="7"/>
      <c r="N200" s="17"/>
    </row>
    <row r="201" spans="1:14" x14ac:dyDescent="0.25">
      <c r="A201" s="17"/>
      <c r="B201" s="16"/>
      <c r="C201" s="17"/>
      <c r="D201" s="17"/>
      <c r="E201" s="17"/>
      <c r="F201" s="16"/>
      <c r="G201" s="17"/>
      <c r="H201" s="17"/>
      <c r="I201" s="17"/>
      <c r="J201" s="24"/>
      <c r="K201" s="17"/>
      <c r="L201" s="17"/>
      <c r="M201" s="7"/>
      <c r="N201" s="17"/>
    </row>
    <row r="202" spans="1:14" x14ac:dyDescent="0.25">
      <c r="A202" s="17"/>
      <c r="B202" s="16"/>
      <c r="C202" s="17"/>
      <c r="D202" s="17"/>
      <c r="E202" s="17"/>
      <c r="F202" s="16"/>
      <c r="G202" s="17"/>
      <c r="H202" s="17"/>
      <c r="I202" s="17"/>
      <c r="J202" s="24"/>
      <c r="K202" s="17"/>
      <c r="L202" s="17"/>
      <c r="M202" s="7"/>
      <c r="N202" s="17"/>
    </row>
    <row r="203" spans="1:14" x14ac:dyDescent="0.25">
      <c r="A203" s="17"/>
      <c r="B203" s="16"/>
      <c r="C203" s="17"/>
      <c r="D203" s="17"/>
      <c r="E203" s="17"/>
      <c r="F203" s="16"/>
      <c r="G203" s="17"/>
      <c r="H203" s="17"/>
      <c r="I203" s="17"/>
      <c r="J203" s="24"/>
      <c r="K203" s="17"/>
      <c r="L203" s="17"/>
      <c r="M203" s="7"/>
      <c r="N203" s="17"/>
    </row>
    <row r="204" spans="1:14" x14ac:dyDescent="0.25">
      <c r="A204" s="17"/>
      <c r="B204" s="16"/>
      <c r="C204" s="17"/>
      <c r="D204" s="17"/>
      <c r="E204" s="17"/>
      <c r="F204" s="16"/>
      <c r="G204" s="17"/>
      <c r="H204" s="17"/>
      <c r="I204" s="17"/>
      <c r="J204" s="24"/>
      <c r="K204" s="17"/>
      <c r="L204" s="17"/>
      <c r="M204" s="7"/>
      <c r="N204" s="17"/>
    </row>
    <row r="205" spans="1:14" x14ac:dyDescent="0.25">
      <c r="A205" s="17"/>
      <c r="B205" s="16"/>
      <c r="C205" s="17"/>
      <c r="D205" s="17"/>
      <c r="E205" s="17"/>
      <c r="F205" s="16"/>
      <c r="G205" s="17"/>
      <c r="H205" s="17"/>
      <c r="I205" s="17"/>
      <c r="J205" s="24"/>
      <c r="K205" s="17"/>
      <c r="L205" s="17"/>
      <c r="M205" s="7"/>
      <c r="N205" s="17"/>
    </row>
    <row r="206" spans="1:14" x14ac:dyDescent="0.25">
      <c r="A206" s="17"/>
      <c r="B206" s="16"/>
      <c r="C206" s="17"/>
      <c r="D206" s="17"/>
      <c r="E206" s="17"/>
      <c r="F206" s="16"/>
      <c r="G206" s="17"/>
      <c r="H206" s="17"/>
      <c r="I206" s="17"/>
      <c r="J206" s="24"/>
      <c r="K206" s="17"/>
      <c r="L206" s="17"/>
      <c r="M206" s="7"/>
      <c r="N206" s="17"/>
    </row>
    <row r="207" spans="1:14" x14ac:dyDescent="0.25">
      <c r="A207" s="17"/>
      <c r="B207" s="16"/>
      <c r="C207" s="17"/>
      <c r="D207" s="17"/>
      <c r="E207" s="17"/>
      <c r="F207" s="16"/>
      <c r="G207" s="17"/>
      <c r="H207" s="17"/>
      <c r="I207" s="17"/>
      <c r="J207" s="24"/>
      <c r="K207" s="17"/>
      <c r="L207" s="17"/>
      <c r="M207" s="7"/>
      <c r="N207" s="17"/>
    </row>
    <row r="208" spans="1:14" x14ac:dyDescent="0.25">
      <c r="A208" s="17"/>
      <c r="B208" s="16"/>
      <c r="C208" s="17"/>
      <c r="D208" s="17"/>
      <c r="E208" s="17"/>
      <c r="F208" s="16"/>
      <c r="G208" s="17"/>
      <c r="H208" s="17"/>
      <c r="I208" s="17"/>
      <c r="J208" s="24"/>
      <c r="K208" s="17"/>
      <c r="L208" s="17"/>
      <c r="M208" s="7"/>
      <c r="N208" s="17"/>
    </row>
    <row r="209" spans="1:14" x14ac:dyDescent="0.25">
      <c r="A209" s="17"/>
      <c r="B209" s="16"/>
      <c r="C209" s="17"/>
      <c r="D209" s="17"/>
      <c r="E209" s="17"/>
      <c r="F209" s="16"/>
      <c r="G209" s="17"/>
      <c r="H209" s="17"/>
      <c r="I209" s="17"/>
      <c r="J209" s="24"/>
      <c r="K209" s="17"/>
      <c r="L209" s="17"/>
      <c r="M209" s="7"/>
      <c r="N209" s="17"/>
    </row>
    <row r="210" spans="1:14" x14ac:dyDescent="0.25">
      <c r="A210" s="17"/>
      <c r="B210" s="16"/>
      <c r="C210" s="17"/>
      <c r="D210" s="17"/>
      <c r="E210" s="17"/>
      <c r="F210" s="16"/>
      <c r="G210" s="17"/>
      <c r="H210" s="17"/>
      <c r="I210" s="17"/>
      <c r="J210" s="24"/>
      <c r="K210" s="17"/>
      <c r="L210" s="17"/>
      <c r="M210" s="7"/>
      <c r="N210" s="17"/>
    </row>
    <row r="211" spans="1:14" x14ac:dyDescent="0.25">
      <c r="A211" s="17"/>
      <c r="B211" s="16"/>
      <c r="C211" s="17"/>
      <c r="D211" s="17"/>
      <c r="E211" s="17"/>
      <c r="F211" s="16"/>
      <c r="G211" s="17"/>
      <c r="H211" s="17"/>
      <c r="I211" s="17"/>
      <c r="J211" s="24"/>
      <c r="K211" s="17"/>
      <c r="L211" s="17"/>
      <c r="M211" s="7"/>
      <c r="N211" s="17"/>
    </row>
    <row r="212" spans="1:14" x14ac:dyDescent="0.25">
      <c r="A212" s="17"/>
      <c r="B212" s="16"/>
      <c r="C212" s="17"/>
      <c r="D212" s="17"/>
      <c r="E212" s="17"/>
      <c r="F212" s="16"/>
      <c r="G212" s="17"/>
      <c r="H212" s="17"/>
      <c r="I212" s="17"/>
      <c r="J212" s="24"/>
      <c r="K212" s="17"/>
      <c r="L212" s="17"/>
      <c r="M212" s="7"/>
      <c r="N212" s="17"/>
    </row>
    <row r="213" spans="1:14" x14ac:dyDescent="0.25">
      <c r="A213" s="17"/>
      <c r="B213" s="16"/>
      <c r="C213" s="17"/>
      <c r="D213" s="17"/>
      <c r="E213" s="17"/>
      <c r="F213" s="16"/>
      <c r="G213" s="17"/>
      <c r="H213" s="17"/>
      <c r="I213" s="17"/>
      <c r="J213" s="24"/>
      <c r="K213" s="17"/>
      <c r="L213" s="17"/>
      <c r="M213" s="7"/>
      <c r="N213" s="17"/>
    </row>
    <row r="214" spans="1:14" x14ac:dyDescent="0.25">
      <c r="A214" s="17"/>
      <c r="B214" s="16"/>
      <c r="C214" s="17"/>
      <c r="D214" s="17"/>
      <c r="E214" s="17"/>
      <c r="F214" s="16"/>
      <c r="G214" s="17"/>
      <c r="H214" s="17"/>
      <c r="I214" s="17"/>
      <c r="J214" s="24"/>
      <c r="K214" s="17"/>
      <c r="L214" s="17"/>
      <c r="M214" s="7"/>
      <c r="N214" s="17"/>
    </row>
    <row r="215" spans="1:14" x14ac:dyDescent="0.25">
      <c r="A215" s="17"/>
      <c r="B215" s="16"/>
      <c r="C215" s="17"/>
      <c r="D215" s="17"/>
      <c r="E215" s="17"/>
      <c r="F215" s="16"/>
      <c r="G215" s="17"/>
      <c r="H215" s="17"/>
      <c r="I215" s="17"/>
      <c r="J215" s="24"/>
      <c r="K215" s="17"/>
      <c r="L215" s="17"/>
      <c r="M215" s="7"/>
      <c r="N215" s="17"/>
    </row>
    <row r="216" spans="1:14" x14ac:dyDescent="0.25">
      <c r="A216" s="17"/>
      <c r="B216" s="16"/>
      <c r="C216" s="17"/>
      <c r="D216" s="17"/>
      <c r="E216" s="17"/>
      <c r="F216" s="16"/>
      <c r="G216" s="17"/>
      <c r="H216" s="17"/>
      <c r="I216" s="17"/>
      <c r="J216" s="24"/>
      <c r="K216" s="17"/>
      <c r="L216" s="17"/>
      <c r="M216" s="7"/>
      <c r="N216" s="17"/>
    </row>
    <row r="217" spans="1:14" x14ac:dyDescent="0.25">
      <c r="A217" s="17"/>
      <c r="B217" s="16"/>
      <c r="C217" s="17"/>
      <c r="D217" s="17"/>
      <c r="E217" s="17"/>
      <c r="F217" s="16"/>
      <c r="G217" s="17"/>
      <c r="H217" s="17"/>
      <c r="I217" s="17"/>
      <c r="J217" s="24"/>
      <c r="K217" s="17"/>
      <c r="L217" s="17"/>
      <c r="M217" s="7"/>
      <c r="N217" s="17"/>
    </row>
    <row r="218" spans="1:14" x14ac:dyDescent="0.25">
      <c r="A218" s="17"/>
      <c r="B218" s="16"/>
      <c r="C218" s="17"/>
      <c r="D218" s="17"/>
      <c r="E218" s="17"/>
      <c r="F218" s="16"/>
      <c r="G218" s="17"/>
      <c r="H218" s="17"/>
      <c r="I218" s="17"/>
      <c r="J218" s="24"/>
      <c r="K218" s="17"/>
      <c r="L218" s="17"/>
      <c r="M218" s="7"/>
      <c r="N218" s="17"/>
    </row>
    <row r="219" spans="1:14" x14ac:dyDescent="0.25">
      <c r="A219" s="17"/>
      <c r="B219" s="16"/>
      <c r="C219" s="17"/>
      <c r="D219" s="17"/>
      <c r="E219" s="17"/>
      <c r="F219" s="16"/>
      <c r="G219" s="17"/>
      <c r="H219" s="17"/>
      <c r="I219" s="17"/>
      <c r="J219" s="24"/>
      <c r="K219" s="17"/>
      <c r="L219" s="17"/>
      <c r="M219" s="7"/>
      <c r="N219" s="17"/>
    </row>
    <row r="220" spans="1:14" x14ac:dyDescent="0.25">
      <c r="A220" s="17"/>
      <c r="B220" s="16"/>
      <c r="C220" s="17"/>
      <c r="D220" s="17"/>
      <c r="E220" s="17"/>
      <c r="F220" s="16"/>
      <c r="G220" s="17"/>
      <c r="H220" s="17"/>
      <c r="I220" s="17"/>
      <c r="J220" s="24"/>
      <c r="K220" s="17"/>
      <c r="L220" s="17"/>
      <c r="M220" s="7"/>
      <c r="N220" s="17"/>
    </row>
    <row r="221" spans="1:14" x14ac:dyDescent="0.25">
      <c r="A221" s="17"/>
      <c r="B221" s="16"/>
      <c r="C221" s="17"/>
      <c r="D221" s="17"/>
      <c r="E221" s="17"/>
      <c r="F221" s="16"/>
      <c r="G221" s="17"/>
      <c r="H221" s="17"/>
      <c r="I221" s="17"/>
      <c r="J221" s="24"/>
      <c r="K221" s="17"/>
      <c r="L221" s="17"/>
      <c r="M221" s="7"/>
      <c r="N221" s="17"/>
    </row>
    <row r="222" spans="1:14" x14ac:dyDescent="0.25">
      <c r="A222" s="17"/>
      <c r="B222" s="16"/>
      <c r="C222" s="17"/>
      <c r="D222" s="17"/>
      <c r="E222" s="17"/>
      <c r="F222" s="16"/>
      <c r="G222" s="17"/>
      <c r="H222" s="17"/>
      <c r="I222" s="17"/>
      <c r="J222" s="24"/>
      <c r="K222" s="17"/>
      <c r="L222" s="17"/>
      <c r="M222" s="7"/>
      <c r="N222" s="17"/>
    </row>
    <row r="223" spans="1:14" x14ac:dyDescent="0.25">
      <c r="A223" s="17"/>
      <c r="B223" s="16"/>
      <c r="C223" s="17"/>
      <c r="D223" s="17"/>
      <c r="E223" s="17"/>
      <c r="F223" s="16"/>
      <c r="G223" s="17"/>
      <c r="H223" s="17"/>
      <c r="I223" s="17"/>
      <c r="J223" s="24"/>
      <c r="K223" s="17"/>
      <c r="L223" s="17"/>
      <c r="M223" s="7"/>
      <c r="N223" s="17"/>
    </row>
    <row r="224" spans="1:14" x14ac:dyDescent="0.25">
      <c r="A224" s="17"/>
      <c r="B224" s="16"/>
      <c r="C224" s="17"/>
      <c r="D224" s="17"/>
      <c r="E224" s="17"/>
      <c r="F224" s="16"/>
      <c r="G224" s="17"/>
      <c r="H224" s="17"/>
      <c r="I224" s="17"/>
      <c r="J224" s="24"/>
      <c r="K224" s="17"/>
      <c r="L224" s="17"/>
      <c r="M224" s="7"/>
      <c r="N224" s="17"/>
    </row>
    <row r="225" spans="1:14" x14ac:dyDescent="0.25">
      <c r="A225" s="17"/>
      <c r="B225" s="16"/>
      <c r="C225" s="17"/>
      <c r="D225" s="17"/>
      <c r="E225" s="17"/>
      <c r="F225" s="16"/>
      <c r="G225" s="17"/>
      <c r="H225" s="17"/>
      <c r="I225" s="17"/>
      <c r="J225" s="24"/>
      <c r="K225" s="17"/>
      <c r="L225" s="17"/>
      <c r="M225" s="7"/>
      <c r="N225" s="17"/>
    </row>
    <row r="226" spans="1:14" x14ac:dyDescent="0.25">
      <c r="A226" s="17"/>
      <c r="B226" s="16"/>
      <c r="C226" s="17"/>
      <c r="D226" s="17"/>
      <c r="E226" s="17"/>
      <c r="F226" s="16"/>
      <c r="G226" s="17"/>
      <c r="H226" s="17"/>
      <c r="I226" s="17"/>
      <c r="J226" s="24"/>
      <c r="K226" s="17"/>
      <c r="L226" s="17"/>
      <c r="M226" s="7"/>
      <c r="N226" s="17"/>
    </row>
    <row r="227" spans="1:14" x14ac:dyDescent="0.25">
      <c r="A227" s="17"/>
      <c r="B227" s="16"/>
      <c r="C227" s="17"/>
      <c r="D227" s="17"/>
      <c r="E227" s="17"/>
      <c r="F227" s="16"/>
      <c r="G227" s="17"/>
      <c r="H227" s="17"/>
      <c r="I227" s="17"/>
      <c r="J227" s="24"/>
      <c r="K227" s="17"/>
      <c r="L227" s="17"/>
      <c r="M227" s="7"/>
      <c r="N227" s="17"/>
    </row>
    <row r="228" spans="1:14" x14ac:dyDescent="0.25">
      <c r="A228" s="17"/>
      <c r="B228" s="16"/>
      <c r="C228" s="17"/>
      <c r="D228" s="17"/>
      <c r="E228" s="17"/>
      <c r="F228" s="16"/>
      <c r="G228" s="17"/>
      <c r="H228" s="17"/>
      <c r="I228" s="17"/>
      <c r="J228" s="24"/>
      <c r="K228" s="17"/>
      <c r="L228" s="17"/>
      <c r="M228" s="7"/>
      <c r="N228" s="17"/>
    </row>
    <row r="229" spans="1:14" x14ac:dyDescent="0.25">
      <c r="A229" s="17"/>
      <c r="B229" s="16"/>
      <c r="C229" s="17"/>
      <c r="D229" s="17"/>
      <c r="E229" s="17"/>
      <c r="F229" s="16"/>
      <c r="G229" s="17"/>
      <c r="H229" s="17"/>
      <c r="I229" s="17"/>
      <c r="J229" s="24"/>
      <c r="K229" s="17"/>
      <c r="L229" s="17"/>
      <c r="M229" s="7"/>
      <c r="N229" s="17"/>
    </row>
    <row r="230" spans="1:14" x14ac:dyDescent="0.25">
      <c r="A230" s="17"/>
      <c r="B230" s="16"/>
      <c r="C230" s="17"/>
      <c r="D230" s="17"/>
      <c r="E230" s="17"/>
      <c r="F230" s="16"/>
      <c r="G230" s="17"/>
      <c r="H230" s="17"/>
      <c r="I230" s="17"/>
      <c r="J230" s="24"/>
      <c r="K230" s="17"/>
      <c r="L230" s="17"/>
      <c r="M230" s="7"/>
      <c r="N230" s="17"/>
    </row>
    <row r="231" spans="1:14" x14ac:dyDescent="0.25">
      <c r="A231" s="17"/>
      <c r="B231" s="16"/>
      <c r="C231" s="17"/>
      <c r="D231" s="17"/>
      <c r="E231" s="17"/>
      <c r="F231" s="16"/>
      <c r="G231" s="17"/>
      <c r="H231" s="17"/>
      <c r="I231" s="17"/>
      <c r="J231" s="24"/>
      <c r="K231" s="17"/>
      <c r="L231" s="17"/>
      <c r="M231" s="7"/>
      <c r="N231" s="17"/>
    </row>
    <row r="232" spans="1:14" x14ac:dyDescent="0.25">
      <c r="A232" s="17"/>
      <c r="B232" s="16"/>
      <c r="C232" s="17"/>
      <c r="D232" s="17"/>
      <c r="E232" s="17"/>
      <c r="F232" s="16"/>
      <c r="G232" s="17"/>
      <c r="H232" s="17"/>
      <c r="I232" s="17"/>
      <c r="J232" s="24"/>
      <c r="K232" s="17"/>
      <c r="L232" s="17"/>
      <c r="M232" s="7"/>
      <c r="N232" s="17"/>
    </row>
    <row r="233" spans="1:14" x14ac:dyDescent="0.25">
      <c r="A233" s="17"/>
      <c r="B233" s="16"/>
      <c r="C233" s="17"/>
      <c r="D233" s="17"/>
      <c r="E233" s="17"/>
      <c r="F233" s="16"/>
      <c r="G233" s="17"/>
      <c r="H233" s="17"/>
      <c r="I233" s="17"/>
      <c r="J233" s="24"/>
      <c r="K233" s="17"/>
      <c r="L233" s="17"/>
      <c r="M233" s="7"/>
      <c r="N233" s="17"/>
    </row>
    <row r="234" spans="1:14" x14ac:dyDescent="0.25">
      <c r="A234" s="17"/>
      <c r="B234" s="16"/>
      <c r="C234" s="17"/>
      <c r="D234" s="17"/>
      <c r="E234" s="17"/>
      <c r="F234" s="16"/>
      <c r="G234" s="17"/>
      <c r="H234" s="17"/>
      <c r="I234" s="17"/>
      <c r="J234" s="24"/>
      <c r="K234" s="17"/>
      <c r="L234" s="17"/>
      <c r="M234" s="7"/>
      <c r="N234" s="17"/>
    </row>
    <row r="235" spans="1:14" x14ac:dyDescent="0.25">
      <c r="A235" s="17"/>
      <c r="B235" s="16"/>
      <c r="C235" s="17"/>
      <c r="D235" s="17"/>
      <c r="E235" s="17"/>
      <c r="F235" s="16"/>
      <c r="G235" s="17"/>
      <c r="H235" s="17"/>
      <c r="I235" s="17"/>
      <c r="J235" s="24"/>
      <c r="K235" s="17"/>
      <c r="L235" s="17"/>
      <c r="M235" s="7"/>
      <c r="N235" s="17"/>
    </row>
    <row r="236" spans="1:14" x14ac:dyDescent="0.25">
      <c r="A236" s="17"/>
      <c r="B236" s="16"/>
      <c r="C236" s="17"/>
      <c r="D236" s="17"/>
      <c r="E236" s="17"/>
      <c r="F236" s="16"/>
      <c r="G236" s="17"/>
      <c r="H236" s="17"/>
      <c r="I236" s="17"/>
      <c r="J236" s="24"/>
      <c r="K236" s="17"/>
      <c r="L236" s="17"/>
      <c r="M236" s="7"/>
      <c r="N236" s="17"/>
    </row>
    <row r="237" spans="1:14" x14ac:dyDescent="0.25">
      <c r="A237" s="17"/>
      <c r="B237" s="16"/>
      <c r="C237" s="17"/>
      <c r="D237" s="17"/>
      <c r="E237" s="17"/>
      <c r="F237" s="16"/>
      <c r="G237" s="17"/>
      <c r="H237" s="17"/>
      <c r="I237" s="17"/>
      <c r="J237" s="24"/>
      <c r="K237" s="17"/>
      <c r="L237" s="17"/>
      <c r="M237" s="7"/>
      <c r="N237" s="17"/>
    </row>
    <row r="238" spans="1:14" x14ac:dyDescent="0.25">
      <c r="A238" s="17"/>
      <c r="B238" s="16"/>
      <c r="C238" s="17"/>
      <c r="D238" s="17"/>
      <c r="E238" s="17"/>
      <c r="F238" s="16"/>
      <c r="G238" s="17"/>
      <c r="H238" s="17"/>
      <c r="I238" s="17"/>
      <c r="J238" s="24"/>
      <c r="K238" s="17"/>
      <c r="L238" s="17"/>
      <c r="M238" s="7"/>
      <c r="N238" s="17"/>
    </row>
    <row r="239" spans="1:14" x14ac:dyDescent="0.25">
      <c r="A239" s="17"/>
      <c r="B239" s="16"/>
      <c r="C239" s="17"/>
      <c r="D239" s="17"/>
      <c r="E239" s="17"/>
      <c r="F239" s="16"/>
      <c r="G239" s="17"/>
      <c r="H239" s="17"/>
      <c r="I239" s="17"/>
      <c r="J239" s="24"/>
      <c r="K239" s="17"/>
      <c r="L239" s="17"/>
      <c r="M239" s="7"/>
      <c r="N239" s="17"/>
    </row>
    <row r="240" spans="1:14" x14ac:dyDescent="0.25">
      <c r="A240" s="17"/>
      <c r="B240" s="16"/>
      <c r="C240" s="17"/>
      <c r="D240" s="17"/>
      <c r="E240" s="17"/>
      <c r="F240" s="16"/>
      <c r="G240" s="17"/>
      <c r="H240" s="17"/>
      <c r="I240" s="17"/>
      <c r="J240" s="24"/>
      <c r="K240" s="17"/>
      <c r="L240" s="17"/>
      <c r="M240" s="7"/>
      <c r="N240" s="17"/>
    </row>
    <row r="241" spans="1:14" x14ac:dyDescent="0.25">
      <c r="A241" s="17"/>
      <c r="B241" s="16"/>
      <c r="C241" s="17"/>
      <c r="D241" s="17"/>
      <c r="E241" s="17"/>
      <c r="F241" s="16"/>
      <c r="G241" s="17"/>
      <c r="H241" s="17"/>
      <c r="I241" s="17"/>
      <c r="J241" s="24"/>
      <c r="K241" s="17"/>
      <c r="L241" s="17"/>
      <c r="M241" s="7"/>
      <c r="N241" s="17"/>
    </row>
    <row r="242" spans="1:14" x14ac:dyDescent="0.25">
      <c r="A242" s="17"/>
      <c r="B242" s="16"/>
      <c r="C242" s="17"/>
      <c r="D242" s="17"/>
      <c r="E242" s="17"/>
      <c r="F242" s="16"/>
      <c r="G242" s="17"/>
      <c r="H242" s="17"/>
      <c r="I242" s="17"/>
      <c r="J242" s="24"/>
      <c r="K242" s="17"/>
      <c r="L242" s="17"/>
      <c r="M242" s="7"/>
      <c r="N242" s="17"/>
    </row>
    <row r="243" spans="1:14" x14ac:dyDescent="0.25">
      <c r="A243" s="17"/>
      <c r="B243" s="16"/>
      <c r="C243" s="17"/>
      <c r="D243" s="17"/>
      <c r="E243" s="17"/>
      <c r="F243" s="16"/>
      <c r="G243" s="17"/>
      <c r="H243" s="17"/>
      <c r="I243" s="17"/>
      <c r="J243" s="24"/>
      <c r="K243" s="17"/>
      <c r="L243" s="17"/>
      <c r="M243" s="7"/>
      <c r="N243" s="17"/>
    </row>
    <row r="244" spans="1:14" x14ac:dyDescent="0.25">
      <c r="A244" s="17"/>
      <c r="B244" s="16"/>
      <c r="C244" s="17"/>
      <c r="D244" s="17"/>
      <c r="E244" s="17"/>
      <c r="F244" s="16"/>
      <c r="G244" s="17"/>
      <c r="H244" s="17"/>
      <c r="I244" s="17"/>
      <c r="J244" s="24"/>
      <c r="K244" s="17"/>
      <c r="L244" s="17"/>
      <c r="M244" s="7"/>
      <c r="N244" s="17"/>
    </row>
    <row r="245" spans="1:14" x14ac:dyDescent="0.25">
      <c r="A245" s="17"/>
      <c r="B245" s="16"/>
      <c r="C245" s="17"/>
      <c r="D245" s="17"/>
      <c r="E245" s="17"/>
      <c r="F245" s="16"/>
      <c r="G245" s="17"/>
      <c r="H245" s="17"/>
      <c r="I245" s="17"/>
      <c r="J245" s="24"/>
      <c r="K245" s="17"/>
      <c r="L245" s="17"/>
      <c r="M245" s="7"/>
      <c r="N245" s="17"/>
    </row>
    <row r="246" spans="1:14" x14ac:dyDescent="0.25">
      <c r="A246" s="17"/>
      <c r="B246" s="16"/>
      <c r="C246" s="17"/>
      <c r="D246" s="17"/>
      <c r="E246" s="17"/>
      <c r="F246" s="16"/>
      <c r="G246" s="17"/>
      <c r="H246" s="17"/>
      <c r="I246" s="17"/>
      <c r="J246" s="24"/>
      <c r="K246" s="17"/>
      <c r="L246" s="17"/>
      <c r="M246" s="7"/>
      <c r="N246" s="17"/>
    </row>
    <row r="247" spans="1:14" x14ac:dyDescent="0.25">
      <c r="A247" s="17"/>
      <c r="B247" s="16"/>
      <c r="C247" s="17"/>
      <c r="D247" s="17"/>
      <c r="E247" s="17"/>
      <c r="F247" s="16"/>
      <c r="G247" s="17"/>
      <c r="H247" s="17"/>
      <c r="I247" s="17"/>
      <c r="J247" s="24"/>
      <c r="K247" s="17"/>
      <c r="L247" s="17"/>
      <c r="M247" s="7"/>
      <c r="N247" s="17"/>
    </row>
    <row r="248" spans="1:14" x14ac:dyDescent="0.25">
      <c r="A248" s="17"/>
      <c r="B248" s="16"/>
      <c r="C248" s="17"/>
      <c r="D248" s="17"/>
      <c r="E248" s="17"/>
      <c r="F248" s="16"/>
      <c r="G248" s="17"/>
      <c r="H248" s="17"/>
      <c r="I248" s="17"/>
      <c r="J248" s="24"/>
      <c r="K248" s="17"/>
      <c r="L248" s="17"/>
      <c r="M248" s="7"/>
      <c r="N248" s="17"/>
    </row>
    <row r="249" spans="1:14" x14ac:dyDescent="0.25">
      <c r="A249" s="17"/>
      <c r="B249" s="16"/>
      <c r="C249" s="17"/>
      <c r="D249" s="17"/>
      <c r="E249" s="17"/>
      <c r="F249" s="16"/>
      <c r="G249" s="17"/>
      <c r="H249" s="17"/>
      <c r="I249" s="17"/>
      <c r="J249" s="24"/>
      <c r="K249" s="17"/>
      <c r="L249" s="17"/>
      <c r="M249" s="7"/>
      <c r="N249" s="17"/>
    </row>
    <row r="250" spans="1:14" x14ac:dyDescent="0.25">
      <c r="A250" s="17"/>
      <c r="B250" s="16"/>
      <c r="C250" s="17"/>
      <c r="D250" s="17"/>
      <c r="E250" s="17"/>
      <c r="F250" s="16"/>
      <c r="G250" s="17"/>
      <c r="H250" s="17"/>
      <c r="I250" s="17"/>
      <c r="J250" s="24"/>
      <c r="K250" s="17"/>
      <c r="L250" s="17"/>
      <c r="M250" s="7"/>
      <c r="N250" s="17"/>
    </row>
    <row r="251" spans="1:14" x14ac:dyDescent="0.25">
      <c r="A251" s="17"/>
      <c r="B251" s="16"/>
      <c r="C251" s="17"/>
      <c r="D251" s="17"/>
      <c r="E251" s="17"/>
      <c r="F251" s="16"/>
      <c r="G251" s="17"/>
      <c r="H251" s="17"/>
      <c r="I251" s="17"/>
      <c r="J251" s="24"/>
      <c r="K251" s="17"/>
      <c r="L251" s="17"/>
      <c r="M251" s="7"/>
      <c r="N251" s="17"/>
    </row>
    <row r="252" spans="1:14" x14ac:dyDescent="0.25">
      <c r="A252" s="17"/>
      <c r="B252" s="16"/>
      <c r="C252" s="17"/>
      <c r="D252" s="17"/>
      <c r="E252" s="17"/>
      <c r="F252" s="16"/>
      <c r="G252" s="17"/>
      <c r="H252" s="17"/>
      <c r="I252" s="17"/>
      <c r="J252" s="24"/>
      <c r="K252" s="17"/>
      <c r="L252" s="17"/>
      <c r="M252" s="7"/>
      <c r="N252" s="17"/>
    </row>
    <row r="253" spans="1:14" x14ac:dyDescent="0.25">
      <c r="A253" s="17"/>
      <c r="B253" s="16"/>
      <c r="C253" s="17"/>
      <c r="D253" s="17"/>
      <c r="E253" s="17"/>
      <c r="F253" s="16"/>
      <c r="G253" s="17"/>
      <c r="H253" s="17"/>
      <c r="I253" s="17"/>
      <c r="J253" s="24"/>
      <c r="K253" s="17"/>
      <c r="L253" s="17"/>
      <c r="M253" s="7"/>
      <c r="N253" s="17"/>
    </row>
    <row r="254" spans="1:14" x14ac:dyDescent="0.25">
      <c r="A254" s="17"/>
      <c r="B254" s="16"/>
      <c r="C254" s="17"/>
      <c r="D254" s="17"/>
      <c r="E254" s="17"/>
      <c r="F254" s="16"/>
      <c r="G254" s="17"/>
      <c r="H254" s="17"/>
      <c r="I254" s="17"/>
      <c r="J254" s="24"/>
      <c r="K254" s="17"/>
      <c r="L254" s="17"/>
      <c r="M254" s="7"/>
      <c r="N254" s="17"/>
    </row>
    <row r="255" spans="1:14" x14ac:dyDescent="0.25">
      <c r="A255" s="17"/>
      <c r="B255" s="16"/>
      <c r="C255" s="17"/>
      <c r="D255" s="17"/>
      <c r="E255" s="17"/>
      <c r="F255" s="16"/>
      <c r="G255" s="17"/>
      <c r="H255" s="17"/>
      <c r="I255" s="17"/>
      <c r="J255" s="24"/>
      <c r="K255" s="17"/>
      <c r="L255" s="17"/>
      <c r="M255" s="7"/>
      <c r="N255" s="17"/>
    </row>
    <row r="256" spans="1:14" x14ac:dyDescent="0.25">
      <c r="A256" s="17"/>
      <c r="B256" s="16"/>
      <c r="C256" s="17"/>
      <c r="D256" s="17"/>
      <c r="E256" s="17"/>
      <c r="F256" s="16"/>
      <c r="G256" s="17"/>
      <c r="H256" s="17"/>
      <c r="I256" s="17"/>
      <c r="J256" s="24"/>
      <c r="K256" s="17"/>
      <c r="L256" s="17"/>
      <c r="M256" s="7"/>
      <c r="N256" s="17"/>
    </row>
    <row r="257" spans="1:14" x14ac:dyDescent="0.25">
      <c r="A257" s="17"/>
      <c r="B257" s="16"/>
      <c r="C257" s="17"/>
      <c r="D257" s="17"/>
      <c r="E257" s="17"/>
      <c r="F257" s="16"/>
      <c r="G257" s="17"/>
      <c r="H257" s="17"/>
      <c r="I257" s="17"/>
      <c r="J257" s="24"/>
      <c r="K257" s="17"/>
      <c r="L257" s="17"/>
      <c r="M257" s="7"/>
      <c r="N257" s="17"/>
    </row>
    <row r="258" spans="1:14" x14ac:dyDescent="0.25">
      <c r="A258" s="17"/>
      <c r="B258" s="16"/>
      <c r="C258" s="17"/>
      <c r="D258" s="17"/>
      <c r="E258" s="17"/>
      <c r="F258" s="16"/>
      <c r="G258" s="17"/>
      <c r="H258" s="17"/>
      <c r="I258" s="17"/>
      <c r="J258" s="24"/>
      <c r="K258" s="17"/>
      <c r="L258" s="17"/>
      <c r="M258" s="7"/>
      <c r="N258" s="17"/>
    </row>
    <row r="259" spans="1:14" x14ac:dyDescent="0.25">
      <c r="A259" s="17"/>
      <c r="B259" s="16"/>
      <c r="C259" s="17"/>
      <c r="D259" s="17"/>
      <c r="E259" s="17"/>
      <c r="F259" s="16"/>
      <c r="G259" s="17"/>
      <c r="H259" s="17"/>
      <c r="I259" s="17"/>
      <c r="J259" s="24"/>
      <c r="K259" s="17"/>
      <c r="L259" s="17"/>
      <c r="M259" s="7"/>
      <c r="N259" s="17"/>
    </row>
    <row r="260" spans="1:14" x14ac:dyDescent="0.25">
      <c r="A260" s="17"/>
      <c r="B260" s="16"/>
      <c r="C260" s="17"/>
      <c r="D260" s="17"/>
      <c r="E260" s="17"/>
      <c r="F260" s="16"/>
      <c r="G260" s="17"/>
      <c r="H260" s="17"/>
      <c r="I260" s="17"/>
      <c r="J260" s="24"/>
      <c r="K260" s="17"/>
      <c r="L260" s="17"/>
      <c r="M260" s="7"/>
      <c r="N260" s="17"/>
    </row>
    <row r="261" spans="1:14" x14ac:dyDescent="0.25">
      <c r="A261" s="17"/>
      <c r="B261" s="16"/>
      <c r="C261" s="17"/>
      <c r="D261" s="17"/>
      <c r="E261" s="17"/>
      <c r="F261" s="16"/>
      <c r="G261" s="17"/>
      <c r="H261" s="17"/>
      <c r="I261" s="17"/>
      <c r="J261" s="24"/>
      <c r="K261" s="17"/>
      <c r="L261" s="17"/>
      <c r="M261" s="7"/>
      <c r="N261" s="17"/>
    </row>
    <row r="262" spans="1:14" x14ac:dyDescent="0.25">
      <c r="A262" s="17"/>
      <c r="B262" s="16"/>
      <c r="C262" s="17"/>
      <c r="D262" s="17"/>
      <c r="E262" s="17"/>
      <c r="F262" s="16"/>
      <c r="G262" s="17"/>
      <c r="H262" s="17"/>
      <c r="I262" s="17"/>
      <c r="J262" s="24"/>
      <c r="K262" s="17"/>
      <c r="L262" s="17"/>
      <c r="M262" s="7"/>
      <c r="N262" s="17"/>
    </row>
    <row r="263" spans="1:14" x14ac:dyDescent="0.25">
      <c r="A263" s="17"/>
      <c r="B263" s="16"/>
      <c r="C263" s="17"/>
      <c r="D263" s="17"/>
      <c r="E263" s="17"/>
      <c r="F263" s="16"/>
      <c r="G263" s="17"/>
      <c r="H263" s="17"/>
      <c r="I263" s="17"/>
      <c r="J263" s="24"/>
      <c r="K263" s="17"/>
      <c r="L263" s="17"/>
      <c r="M263" s="7"/>
      <c r="N263" s="17"/>
    </row>
    <row r="264" spans="1:14" x14ac:dyDescent="0.25">
      <c r="A264" s="17"/>
      <c r="B264" s="16"/>
      <c r="C264" s="17"/>
      <c r="D264" s="17"/>
      <c r="E264" s="17"/>
      <c r="F264" s="16"/>
      <c r="G264" s="17"/>
      <c r="H264" s="17"/>
      <c r="I264" s="17"/>
      <c r="J264" s="24"/>
      <c r="K264" s="17"/>
      <c r="L264" s="17"/>
      <c r="M264" s="7"/>
      <c r="N264" s="17"/>
    </row>
    <row r="265" spans="1:14" x14ac:dyDescent="0.25">
      <c r="A265" s="17"/>
      <c r="B265" s="16"/>
      <c r="C265" s="17"/>
      <c r="D265" s="17"/>
      <c r="E265" s="17"/>
      <c r="F265" s="16"/>
      <c r="G265" s="17"/>
      <c r="H265" s="17"/>
      <c r="I265" s="17"/>
      <c r="J265" s="24"/>
      <c r="K265" s="17"/>
      <c r="L265" s="17"/>
      <c r="M265" s="7"/>
      <c r="N265" s="17"/>
    </row>
    <row r="266" spans="1:14" x14ac:dyDescent="0.25">
      <c r="A266" s="17"/>
      <c r="B266" s="16"/>
      <c r="C266" s="17"/>
      <c r="D266" s="17"/>
      <c r="E266" s="17"/>
      <c r="F266" s="16"/>
      <c r="G266" s="17"/>
      <c r="H266" s="17"/>
      <c r="I266" s="17"/>
      <c r="J266" s="24"/>
      <c r="K266" s="17"/>
      <c r="L266" s="17"/>
      <c r="M266" s="7"/>
      <c r="N266" s="17"/>
    </row>
    <row r="267" spans="1:14" x14ac:dyDescent="0.25">
      <c r="A267" s="17"/>
      <c r="B267" s="16"/>
      <c r="C267" s="17"/>
      <c r="D267" s="17"/>
      <c r="E267" s="17"/>
      <c r="F267" s="16"/>
      <c r="G267" s="17"/>
      <c r="H267" s="17"/>
      <c r="I267" s="17"/>
      <c r="J267" s="24"/>
      <c r="K267" s="17"/>
      <c r="L267" s="17"/>
      <c r="M267" s="7"/>
      <c r="N267" s="17"/>
    </row>
    <row r="268" spans="1:14" x14ac:dyDescent="0.25">
      <c r="A268" s="17"/>
      <c r="B268" s="16"/>
      <c r="C268" s="17"/>
      <c r="D268" s="17"/>
      <c r="E268" s="17"/>
      <c r="F268" s="16"/>
      <c r="G268" s="17"/>
      <c r="H268" s="17"/>
      <c r="I268" s="17"/>
      <c r="J268" s="24"/>
      <c r="K268" s="17"/>
      <c r="L268" s="17"/>
      <c r="M268" s="7"/>
      <c r="N268" s="17"/>
    </row>
    <row r="269" spans="1:14" x14ac:dyDescent="0.25">
      <c r="A269" s="17"/>
      <c r="B269" s="16"/>
      <c r="C269" s="17"/>
      <c r="D269" s="17"/>
      <c r="E269" s="17"/>
      <c r="F269" s="16"/>
      <c r="G269" s="17"/>
      <c r="H269" s="17"/>
      <c r="I269" s="17"/>
      <c r="J269" s="24"/>
      <c r="K269" s="17"/>
      <c r="L269" s="17"/>
      <c r="M269" s="7"/>
      <c r="N269" s="17"/>
    </row>
    <row r="270" spans="1:14" x14ac:dyDescent="0.25">
      <c r="A270" s="17"/>
      <c r="B270" s="16"/>
      <c r="C270" s="17"/>
      <c r="D270" s="17"/>
      <c r="E270" s="17"/>
      <c r="F270" s="16"/>
      <c r="G270" s="17"/>
      <c r="H270" s="17"/>
      <c r="I270" s="17"/>
      <c r="J270" s="24"/>
      <c r="K270" s="17"/>
      <c r="L270" s="17"/>
      <c r="M270" s="7"/>
      <c r="N270" s="17"/>
    </row>
    <row r="271" spans="1:14" x14ac:dyDescent="0.25">
      <c r="A271" s="17"/>
      <c r="B271" s="16"/>
      <c r="C271" s="17"/>
      <c r="D271" s="17"/>
      <c r="E271" s="17"/>
      <c r="F271" s="16"/>
      <c r="G271" s="17"/>
      <c r="H271" s="17"/>
      <c r="I271" s="17"/>
      <c r="J271" s="24"/>
      <c r="K271" s="17"/>
      <c r="L271" s="17"/>
      <c r="M271" s="7"/>
      <c r="N271" s="17"/>
    </row>
    <row r="272" spans="1:14" x14ac:dyDescent="0.25">
      <c r="A272" s="17"/>
      <c r="B272" s="16"/>
      <c r="C272" s="17"/>
      <c r="D272" s="17"/>
      <c r="E272" s="17"/>
      <c r="F272" s="16"/>
      <c r="G272" s="17"/>
      <c r="H272" s="17"/>
      <c r="I272" s="17"/>
      <c r="J272" s="24"/>
      <c r="K272" s="17"/>
      <c r="L272" s="17"/>
      <c r="M272" s="7"/>
      <c r="N272" s="17"/>
    </row>
    <row r="273" spans="1:14" x14ac:dyDescent="0.25">
      <c r="A273" s="17"/>
      <c r="B273" s="16"/>
      <c r="C273" s="17"/>
      <c r="D273" s="17"/>
      <c r="E273" s="17"/>
      <c r="F273" s="16"/>
      <c r="G273" s="17"/>
      <c r="H273" s="17"/>
      <c r="I273" s="17"/>
      <c r="J273" s="24"/>
      <c r="K273" s="17"/>
      <c r="L273" s="17"/>
      <c r="M273" s="7"/>
      <c r="N273" s="17"/>
    </row>
    <row r="274" spans="1:14" x14ac:dyDescent="0.25">
      <c r="A274" s="17"/>
      <c r="B274" s="16"/>
      <c r="C274" s="17"/>
      <c r="D274" s="17"/>
      <c r="E274" s="17"/>
      <c r="F274" s="16"/>
      <c r="G274" s="17"/>
      <c r="H274" s="17"/>
      <c r="I274" s="17"/>
      <c r="J274" s="24"/>
      <c r="K274" s="17"/>
      <c r="L274" s="17"/>
      <c r="M274" s="7"/>
      <c r="N274" s="17"/>
    </row>
    <row r="275" spans="1:14" x14ac:dyDescent="0.25">
      <c r="A275" s="17"/>
      <c r="B275" s="16"/>
      <c r="C275" s="17"/>
      <c r="D275" s="17"/>
      <c r="E275" s="17"/>
      <c r="F275" s="16"/>
      <c r="G275" s="17"/>
      <c r="H275" s="17"/>
      <c r="I275" s="17"/>
      <c r="J275" s="24"/>
      <c r="K275" s="17"/>
      <c r="L275" s="17"/>
      <c r="M275" s="7"/>
      <c r="N275" s="17"/>
    </row>
    <row r="276" spans="1:14" x14ac:dyDescent="0.25">
      <c r="A276" s="17"/>
      <c r="B276" s="16"/>
      <c r="C276" s="17"/>
      <c r="D276" s="17"/>
      <c r="E276" s="17"/>
      <c r="F276" s="16"/>
      <c r="G276" s="17"/>
      <c r="H276" s="17"/>
      <c r="I276" s="17"/>
      <c r="J276" s="24"/>
      <c r="K276" s="17"/>
      <c r="L276" s="17"/>
      <c r="M276" s="7"/>
      <c r="N276" s="17"/>
    </row>
    <row r="277" spans="1:14" x14ac:dyDescent="0.25">
      <c r="A277" s="17"/>
      <c r="B277" s="16"/>
      <c r="C277" s="17"/>
      <c r="D277" s="17"/>
      <c r="E277" s="17"/>
      <c r="F277" s="16"/>
      <c r="G277" s="17"/>
      <c r="H277" s="17"/>
      <c r="I277" s="17"/>
      <c r="J277" s="24"/>
      <c r="K277" s="17"/>
      <c r="L277" s="17"/>
      <c r="M277" s="7"/>
      <c r="N277" s="17"/>
    </row>
    <row r="278" spans="1:14" x14ac:dyDescent="0.25">
      <c r="A278" s="17"/>
      <c r="B278" s="16"/>
      <c r="C278" s="17"/>
      <c r="D278" s="17"/>
      <c r="E278" s="17"/>
      <c r="F278" s="16"/>
      <c r="G278" s="17"/>
      <c r="H278" s="17"/>
      <c r="I278" s="17"/>
      <c r="J278" s="24"/>
      <c r="K278" s="17"/>
      <c r="L278" s="17"/>
      <c r="M278" s="7"/>
      <c r="N278" s="17"/>
    </row>
    <row r="279" spans="1:14" x14ac:dyDescent="0.25">
      <c r="A279" s="17"/>
      <c r="B279" s="16"/>
      <c r="C279" s="17"/>
      <c r="D279" s="17"/>
      <c r="E279" s="17"/>
      <c r="F279" s="16"/>
      <c r="G279" s="17"/>
      <c r="H279" s="17"/>
      <c r="I279" s="17"/>
      <c r="J279" s="24"/>
      <c r="K279" s="17"/>
      <c r="L279" s="17"/>
      <c r="M279" s="7"/>
      <c r="N279" s="17"/>
    </row>
    <row r="280" spans="1:14" x14ac:dyDescent="0.25">
      <c r="A280" s="17"/>
      <c r="B280" s="16"/>
      <c r="C280" s="17"/>
      <c r="D280" s="17"/>
      <c r="E280" s="17"/>
      <c r="F280" s="16"/>
      <c r="G280" s="17"/>
      <c r="H280" s="17"/>
      <c r="I280" s="17"/>
      <c r="J280" s="24"/>
      <c r="K280" s="17"/>
      <c r="L280" s="17"/>
      <c r="M280" s="7"/>
      <c r="N280" s="17"/>
    </row>
    <row r="281" spans="1:14" x14ac:dyDescent="0.25">
      <c r="A281" s="17"/>
      <c r="B281" s="16"/>
      <c r="C281" s="17"/>
      <c r="D281" s="17"/>
      <c r="E281" s="17"/>
      <c r="F281" s="16"/>
      <c r="G281" s="17"/>
      <c r="H281" s="17"/>
      <c r="I281" s="17"/>
      <c r="J281" s="24"/>
      <c r="K281" s="17"/>
      <c r="L281" s="17"/>
      <c r="M281" s="7"/>
      <c r="N281" s="17"/>
    </row>
    <row r="282" spans="1:14" x14ac:dyDescent="0.25">
      <c r="A282" s="17"/>
      <c r="B282" s="16"/>
      <c r="C282" s="17"/>
      <c r="D282" s="17"/>
      <c r="E282" s="17"/>
      <c r="F282" s="16"/>
      <c r="G282" s="17"/>
      <c r="H282" s="17"/>
      <c r="I282" s="17"/>
      <c r="J282" s="24"/>
      <c r="K282" s="17"/>
      <c r="L282" s="17"/>
      <c r="M282" s="7"/>
      <c r="N282" s="17"/>
    </row>
    <row r="283" spans="1:14" x14ac:dyDescent="0.25">
      <c r="A283" s="17"/>
      <c r="B283" s="16"/>
      <c r="C283" s="17"/>
      <c r="D283" s="17"/>
      <c r="E283" s="17"/>
      <c r="F283" s="16"/>
      <c r="G283" s="17"/>
      <c r="H283" s="17"/>
      <c r="I283" s="17"/>
      <c r="J283" s="24"/>
      <c r="K283" s="17"/>
      <c r="L283" s="17"/>
      <c r="M283" s="7"/>
      <c r="N283" s="17"/>
    </row>
    <row r="284" spans="1:14" x14ac:dyDescent="0.25">
      <c r="A284" s="17"/>
      <c r="B284" s="16"/>
      <c r="C284" s="17"/>
      <c r="D284" s="17"/>
      <c r="E284" s="17"/>
      <c r="F284" s="16"/>
      <c r="G284" s="17"/>
      <c r="H284" s="17"/>
      <c r="I284" s="17"/>
      <c r="J284" s="24"/>
      <c r="K284" s="17"/>
      <c r="L284" s="17"/>
      <c r="M284" s="7"/>
      <c r="N284" s="17"/>
    </row>
    <row r="285" spans="1:14" x14ac:dyDescent="0.25">
      <c r="A285" s="17"/>
      <c r="B285" s="16"/>
      <c r="C285" s="17"/>
      <c r="D285" s="17"/>
      <c r="E285" s="17"/>
      <c r="F285" s="16"/>
      <c r="G285" s="17"/>
      <c r="H285" s="17"/>
      <c r="I285" s="17"/>
      <c r="J285" s="24"/>
      <c r="K285" s="17"/>
      <c r="L285" s="17"/>
      <c r="M285" s="7"/>
      <c r="N285" s="17"/>
    </row>
    <row r="286" spans="1:14" x14ac:dyDescent="0.25">
      <c r="A286" s="17"/>
      <c r="B286" s="16"/>
      <c r="C286" s="17"/>
      <c r="D286" s="17"/>
      <c r="E286" s="17"/>
      <c r="F286" s="16"/>
      <c r="G286" s="17"/>
      <c r="H286" s="17"/>
      <c r="I286" s="17"/>
      <c r="J286" s="24"/>
      <c r="K286" s="17"/>
      <c r="L286" s="17"/>
      <c r="M286" s="7"/>
      <c r="N286" s="17"/>
    </row>
    <row r="287" spans="1:14" x14ac:dyDescent="0.25">
      <c r="A287" s="17"/>
      <c r="B287" s="16"/>
      <c r="C287" s="17"/>
      <c r="D287" s="17"/>
      <c r="E287" s="17"/>
      <c r="F287" s="16"/>
      <c r="G287" s="17"/>
      <c r="H287" s="17"/>
      <c r="I287" s="17"/>
      <c r="J287" s="24"/>
      <c r="K287" s="17"/>
      <c r="L287" s="17"/>
      <c r="M287" s="7"/>
      <c r="N287" s="17"/>
    </row>
    <row r="288" spans="1:14" x14ac:dyDescent="0.25">
      <c r="A288" s="17"/>
      <c r="B288" s="16"/>
      <c r="C288" s="17"/>
      <c r="D288" s="17"/>
      <c r="E288" s="17"/>
      <c r="F288" s="16"/>
      <c r="G288" s="17"/>
      <c r="H288" s="17"/>
      <c r="I288" s="17"/>
      <c r="J288" s="24"/>
      <c r="K288" s="17"/>
      <c r="L288" s="17"/>
      <c r="M288" s="7"/>
      <c r="N288" s="17"/>
    </row>
    <row r="289" spans="1:14" x14ac:dyDescent="0.25">
      <c r="A289" s="17"/>
      <c r="B289" s="16"/>
      <c r="C289" s="17"/>
      <c r="D289" s="17"/>
      <c r="E289" s="17"/>
      <c r="F289" s="16"/>
      <c r="G289" s="17"/>
      <c r="H289" s="17"/>
      <c r="I289" s="17"/>
      <c r="J289" s="24"/>
      <c r="K289" s="17"/>
      <c r="L289" s="17"/>
      <c r="M289" s="7"/>
      <c r="N289" s="17"/>
    </row>
    <row r="290" spans="1:14" x14ac:dyDescent="0.25">
      <c r="A290" s="17"/>
      <c r="B290" s="16"/>
      <c r="C290" s="17"/>
      <c r="D290" s="17"/>
      <c r="E290" s="17"/>
      <c r="F290" s="16"/>
      <c r="G290" s="17"/>
      <c r="H290" s="17"/>
      <c r="I290" s="17"/>
      <c r="J290" s="24"/>
      <c r="K290" s="17"/>
      <c r="L290" s="17"/>
      <c r="M290" s="7"/>
      <c r="N290" s="17"/>
    </row>
    <row r="291" spans="1:14" x14ac:dyDescent="0.25">
      <c r="A291" s="17"/>
      <c r="B291" s="16"/>
      <c r="C291" s="17"/>
      <c r="D291" s="17"/>
      <c r="E291" s="17"/>
      <c r="F291" s="16"/>
      <c r="G291" s="17"/>
      <c r="H291" s="17"/>
      <c r="I291" s="17"/>
      <c r="J291" s="24"/>
      <c r="K291" s="17"/>
      <c r="L291" s="17"/>
      <c r="M291" s="7"/>
      <c r="N291" s="17"/>
    </row>
    <row r="292" spans="1:14" x14ac:dyDescent="0.25">
      <c r="A292" s="17"/>
      <c r="B292" s="16"/>
      <c r="C292" s="17"/>
      <c r="D292" s="17"/>
      <c r="E292" s="17"/>
      <c r="F292" s="16"/>
      <c r="G292" s="17"/>
      <c r="H292" s="17"/>
      <c r="I292" s="17"/>
      <c r="J292" s="24"/>
      <c r="K292" s="17"/>
      <c r="L292" s="17"/>
      <c r="M292" s="7"/>
      <c r="N292" s="17"/>
    </row>
    <row r="293" spans="1:14" x14ac:dyDescent="0.25">
      <c r="A293" s="17"/>
      <c r="B293" s="16"/>
      <c r="C293" s="17"/>
      <c r="D293" s="17"/>
      <c r="E293" s="17"/>
      <c r="F293" s="16"/>
      <c r="G293" s="17"/>
      <c r="H293" s="17"/>
      <c r="I293" s="17"/>
      <c r="J293" s="24"/>
      <c r="K293" s="17"/>
      <c r="L293" s="17"/>
      <c r="M293" s="7"/>
      <c r="N293" s="17"/>
    </row>
    <row r="294" spans="1:14" x14ac:dyDescent="0.25">
      <c r="A294" s="17"/>
      <c r="B294" s="16"/>
      <c r="C294" s="17"/>
      <c r="D294" s="17"/>
      <c r="E294" s="17"/>
      <c r="F294" s="16"/>
      <c r="G294" s="17"/>
      <c r="H294" s="17"/>
      <c r="I294" s="17"/>
      <c r="J294" s="24"/>
      <c r="K294" s="17"/>
      <c r="L294" s="17"/>
      <c r="M294" s="7"/>
      <c r="N294" s="17"/>
    </row>
    <row r="295" spans="1:14" x14ac:dyDescent="0.25">
      <c r="A295" s="17"/>
      <c r="B295" s="16"/>
      <c r="C295" s="17"/>
      <c r="D295" s="17"/>
      <c r="E295" s="17"/>
      <c r="F295" s="16"/>
      <c r="G295" s="17"/>
      <c r="H295" s="17"/>
      <c r="I295" s="17"/>
      <c r="J295" s="24"/>
      <c r="K295" s="17"/>
      <c r="L295" s="17"/>
      <c r="M295" s="7"/>
      <c r="N295" s="17"/>
    </row>
    <row r="296" spans="1:14" x14ac:dyDescent="0.25">
      <c r="A296" s="17"/>
      <c r="B296" s="16"/>
      <c r="C296" s="17"/>
      <c r="D296" s="17"/>
      <c r="E296" s="17"/>
      <c r="F296" s="16"/>
      <c r="G296" s="17"/>
      <c r="H296" s="17"/>
      <c r="I296" s="17"/>
      <c r="J296" s="24"/>
      <c r="K296" s="17"/>
      <c r="L296" s="17"/>
      <c r="M296" s="7"/>
      <c r="N296" s="17"/>
    </row>
    <row r="297" spans="1:14" x14ac:dyDescent="0.25">
      <c r="A297" s="17"/>
      <c r="B297" s="16"/>
      <c r="C297" s="17"/>
      <c r="D297" s="17"/>
      <c r="E297" s="17"/>
      <c r="F297" s="16"/>
      <c r="G297" s="17"/>
      <c r="H297" s="17"/>
      <c r="I297" s="17"/>
      <c r="J297" s="24"/>
      <c r="K297" s="17"/>
      <c r="L297" s="17"/>
      <c r="M297" s="7"/>
      <c r="N297" s="17"/>
    </row>
    <row r="298" spans="1:14" x14ac:dyDescent="0.25">
      <c r="A298" s="17"/>
      <c r="B298" s="16"/>
      <c r="C298" s="17"/>
      <c r="D298" s="17"/>
      <c r="E298" s="17"/>
      <c r="F298" s="16"/>
      <c r="G298" s="17"/>
      <c r="H298" s="17"/>
      <c r="I298" s="17"/>
      <c r="J298" s="24"/>
      <c r="K298" s="17"/>
      <c r="L298" s="17"/>
      <c r="M298" s="7"/>
      <c r="N298" s="17"/>
    </row>
    <row r="299" spans="1:14" x14ac:dyDescent="0.25">
      <c r="A299" s="17"/>
      <c r="B299" s="16"/>
      <c r="C299" s="17"/>
      <c r="D299" s="17"/>
      <c r="E299" s="17"/>
      <c r="F299" s="16"/>
      <c r="G299" s="17"/>
      <c r="H299" s="17"/>
      <c r="I299" s="17"/>
      <c r="J299" s="24"/>
      <c r="K299" s="17"/>
      <c r="L299" s="17"/>
      <c r="M299" s="7"/>
      <c r="N299" s="17"/>
    </row>
    <row r="300" spans="1:14" x14ac:dyDescent="0.25">
      <c r="A300" s="17"/>
      <c r="B300" s="16"/>
      <c r="C300" s="17"/>
      <c r="D300" s="17"/>
      <c r="E300" s="17"/>
      <c r="F300" s="16"/>
      <c r="G300" s="17"/>
      <c r="H300" s="17"/>
      <c r="I300" s="17"/>
      <c r="J300" s="24"/>
      <c r="K300" s="17"/>
      <c r="L300" s="17"/>
      <c r="M300" s="7"/>
      <c r="N300" s="17"/>
    </row>
    <row r="301" spans="1:14" x14ac:dyDescent="0.25">
      <c r="A301" s="17"/>
      <c r="B301" s="16"/>
      <c r="C301" s="17"/>
      <c r="D301" s="17"/>
      <c r="E301" s="17"/>
      <c r="F301" s="16"/>
      <c r="G301" s="17"/>
      <c r="H301" s="17"/>
      <c r="I301" s="17"/>
      <c r="J301" s="24"/>
      <c r="K301" s="17"/>
      <c r="L301" s="17"/>
      <c r="M301" s="7"/>
      <c r="N301" s="17"/>
    </row>
    <row r="302" spans="1:14" x14ac:dyDescent="0.25">
      <c r="A302" s="17"/>
      <c r="B302" s="16"/>
      <c r="C302" s="17"/>
      <c r="D302" s="17"/>
      <c r="E302" s="17"/>
      <c r="F302" s="16"/>
      <c r="G302" s="17"/>
      <c r="H302" s="17"/>
      <c r="I302" s="17"/>
      <c r="J302" s="24"/>
      <c r="K302" s="17"/>
      <c r="L302" s="17"/>
      <c r="M302" s="7"/>
      <c r="N302" s="17"/>
    </row>
    <row r="303" spans="1:14" x14ac:dyDescent="0.25">
      <c r="A303" s="17"/>
      <c r="B303" s="16"/>
      <c r="C303" s="17"/>
      <c r="D303" s="17"/>
      <c r="E303" s="17"/>
      <c r="F303" s="16"/>
      <c r="G303" s="17"/>
      <c r="H303" s="17"/>
      <c r="I303" s="17"/>
      <c r="J303" s="24"/>
      <c r="K303" s="17"/>
      <c r="L303" s="17"/>
      <c r="M303" s="7"/>
      <c r="N303" s="17"/>
    </row>
    <row r="304" spans="1:14" x14ac:dyDescent="0.25">
      <c r="A304" s="17"/>
      <c r="B304" s="16"/>
      <c r="C304" s="17"/>
      <c r="D304" s="17"/>
      <c r="E304" s="17"/>
      <c r="F304" s="16"/>
      <c r="G304" s="17"/>
      <c r="H304" s="17"/>
      <c r="I304" s="17"/>
      <c r="J304" s="24"/>
      <c r="K304" s="17"/>
      <c r="L304" s="17"/>
      <c r="M304" s="7"/>
      <c r="N304" s="17"/>
    </row>
    <row r="305" spans="1:14" x14ac:dyDescent="0.25">
      <c r="A305" s="17"/>
      <c r="B305" s="16"/>
      <c r="C305" s="17"/>
      <c r="D305" s="17"/>
      <c r="E305" s="17"/>
      <c r="F305" s="16"/>
      <c r="G305" s="17"/>
      <c r="H305" s="17"/>
      <c r="I305" s="17"/>
      <c r="J305" s="24"/>
      <c r="K305" s="17"/>
      <c r="L305" s="17"/>
      <c r="M305" s="7"/>
      <c r="N305" s="17"/>
    </row>
    <row r="306" spans="1:14" x14ac:dyDescent="0.25">
      <c r="A306" s="17"/>
      <c r="B306" s="16"/>
      <c r="C306" s="17"/>
      <c r="D306" s="17"/>
      <c r="E306" s="17"/>
      <c r="F306" s="16"/>
      <c r="G306" s="17"/>
      <c r="H306" s="17"/>
      <c r="I306" s="17"/>
      <c r="J306" s="24"/>
      <c r="K306" s="17"/>
      <c r="L306" s="17"/>
      <c r="M306" s="7"/>
      <c r="N306" s="17"/>
    </row>
    <row r="307" spans="1:14" x14ac:dyDescent="0.25">
      <c r="A307" s="17"/>
      <c r="B307" s="16"/>
      <c r="C307" s="17"/>
      <c r="D307" s="17"/>
      <c r="E307" s="17"/>
      <c r="F307" s="16"/>
      <c r="G307" s="17"/>
      <c r="H307" s="17"/>
      <c r="I307" s="17"/>
      <c r="J307" s="24"/>
      <c r="K307" s="17"/>
      <c r="L307" s="17"/>
      <c r="M307" s="7"/>
      <c r="N307" s="17"/>
    </row>
    <row r="308" spans="1:14" x14ac:dyDescent="0.25">
      <c r="A308" s="17"/>
      <c r="B308" s="16"/>
      <c r="C308" s="17"/>
      <c r="D308" s="17"/>
      <c r="E308" s="17"/>
      <c r="F308" s="16"/>
      <c r="G308" s="17"/>
      <c r="H308" s="17"/>
      <c r="I308" s="17"/>
      <c r="J308" s="24"/>
      <c r="K308" s="17"/>
      <c r="L308" s="17"/>
      <c r="M308" s="7"/>
      <c r="N308" s="17"/>
    </row>
    <row r="309" spans="1:14" x14ac:dyDescent="0.25">
      <c r="A309" s="17"/>
      <c r="B309" s="16"/>
      <c r="C309" s="17"/>
      <c r="D309" s="17"/>
      <c r="E309" s="17"/>
      <c r="F309" s="16"/>
      <c r="G309" s="17"/>
      <c r="H309" s="17"/>
      <c r="I309" s="17"/>
      <c r="J309" s="24"/>
      <c r="K309" s="17"/>
      <c r="L309" s="17"/>
      <c r="M309" s="7"/>
      <c r="N309" s="17"/>
    </row>
    <row r="310" spans="1:14" x14ac:dyDescent="0.25">
      <c r="A310" s="17"/>
      <c r="B310" s="16"/>
      <c r="C310" s="17"/>
      <c r="D310" s="17"/>
      <c r="E310" s="17"/>
      <c r="F310" s="16"/>
      <c r="G310" s="17"/>
      <c r="H310" s="17"/>
      <c r="I310" s="17"/>
      <c r="J310" s="24"/>
      <c r="K310" s="17"/>
      <c r="L310" s="17"/>
      <c r="M310" s="7"/>
      <c r="N310" s="17"/>
    </row>
    <row r="311" spans="1:14" x14ac:dyDescent="0.25">
      <c r="A311" s="17"/>
      <c r="B311" s="16"/>
      <c r="C311" s="17"/>
      <c r="D311" s="17"/>
      <c r="E311" s="17"/>
      <c r="F311" s="16"/>
      <c r="G311" s="17"/>
      <c r="H311" s="17"/>
      <c r="I311" s="17"/>
      <c r="J311" s="24"/>
      <c r="K311" s="17"/>
      <c r="L311" s="17"/>
      <c r="M311" s="7"/>
      <c r="N311" s="17"/>
    </row>
    <row r="312" spans="1:14" x14ac:dyDescent="0.25">
      <c r="A312" s="17"/>
      <c r="B312" s="16"/>
      <c r="C312" s="17"/>
      <c r="D312" s="17"/>
      <c r="E312" s="17"/>
      <c r="F312" s="16"/>
      <c r="G312" s="17"/>
      <c r="H312" s="17"/>
      <c r="I312" s="17"/>
      <c r="J312" s="24"/>
      <c r="K312" s="17"/>
      <c r="L312" s="17"/>
      <c r="M312" s="7"/>
      <c r="N312" s="17"/>
    </row>
    <row r="313" spans="1:14" x14ac:dyDescent="0.25">
      <c r="A313" s="17"/>
      <c r="B313" s="16"/>
      <c r="C313" s="17"/>
      <c r="D313" s="17"/>
      <c r="E313" s="17"/>
      <c r="F313" s="16"/>
      <c r="G313" s="17"/>
      <c r="H313" s="17"/>
      <c r="I313" s="17"/>
      <c r="J313" s="24"/>
      <c r="K313" s="17"/>
      <c r="L313" s="17"/>
      <c r="M313" s="7"/>
      <c r="N313" s="17"/>
    </row>
    <row r="314" spans="1:14" x14ac:dyDescent="0.25">
      <c r="A314" s="17"/>
      <c r="B314" s="16"/>
      <c r="C314" s="17"/>
      <c r="D314" s="17"/>
      <c r="E314" s="17"/>
      <c r="F314" s="16"/>
      <c r="G314" s="17"/>
      <c r="H314" s="17"/>
      <c r="I314" s="17"/>
      <c r="J314" s="24"/>
      <c r="K314" s="17"/>
      <c r="L314" s="17"/>
      <c r="M314" s="7"/>
      <c r="N314" s="17"/>
    </row>
    <row r="315" spans="1:14" x14ac:dyDescent="0.25">
      <c r="A315" s="17"/>
      <c r="B315" s="16"/>
      <c r="C315" s="17"/>
      <c r="D315" s="17"/>
      <c r="E315" s="17"/>
      <c r="F315" s="16"/>
      <c r="G315" s="17"/>
      <c r="H315" s="17"/>
      <c r="I315" s="17"/>
      <c r="J315" s="24"/>
      <c r="K315" s="17"/>
      <c r="L315" s="17"/>
      <c r="M315" s="7"/>
      <c r="N315" s="17"/>
    </row>
    <row r="316" spans="1:14" x14ac:dyDescent="0.25">
      <c r="A316" s="17"/>
      <c r="B316" s="16"/>
      <c r="C316" s="17"/>
      <c r="D316" s="17"/>
      <c r="E316" s="17"/>
      <c r="F316" s="16"/>
      <c r="G316" s="17"/>
      <c r="H316" s="17"/>
      <c r="I316" s="17"/>
      <c r="J316" s="24"/>
      <c r="K316" s="17"/>
      <c r="L316" s="17"/>
      <c r="M316" s="7"/>
      <c r="N316" s="17"/>
    </row>
    <row r="317" spans="1:14" x14ac:dyDescent="0.25">
      <c r="A317" s="17"/>
      <c r="B317" s="16"/>
      <c r="C317" s="17"/>
      <c r="D317" s="17"/>
      <c r="E317" s="17"/>
      <c r="F317" s="16"/>
      <c r="G317" s="17"/>
      <c r="H317" s="17"/>
      <c r="I317" s="17"/>
      <c r="J317" s="24"/>
      <c r="K317" s="17"/>
      <c r="L317" s="17"/>
      <c r="M317" s="7"/>
      <c r="N317" s="17"/>
    </row>
    <row r="318" spans="1:14" x14ac:dyDescent="0.25">
      <c r="A318" s="17"/>
      <c r="B318" s="16"/>
      <c r="C318" s="17"/>
      <c r="D318" s="17"/>
      <c r="E318" s="17"/>
      <c r="F318" s="16"/>
      <c r="G318" s="17"/>
      <c r="H318" s="17"/>
      <c r="I318" s="17"/>
      <c r="J318" s="24"/>
      <c r="K318" s="17"/>
      <c r="L318" s="17"/>
      <c r="M318" s="7"/>
      <c r="N318" s="17"/>
    </row>
    <row r="319" spans="1:14" x14ac:dyDescent="0.25">
      <c r="A319" s="17"/>
      <c r="B319" s="16"/>
      <c r="C319" s="17"/>
      <c r="D319" s="17"/>
      <c r="E319" s="17"/>
      <c r="F319" s="16"/>
      <c r="G319" s="17"/>
      <c r="H319" s="17"/>
      <c r="I319" s="17"/>
      <c r="J319" s="24"/>
      <c r="K319" s="17"/>
      <c r="L319" s="17"/>
      <c r="M319" s="7"/>
      <c r="N319" s="17"/>
    </row>
    <row r="320" spans="1:14" x14ac:dyDescent="0.25">
      <c r="A320" s="17"/>
      <c r="B320" s="16"/>
      <c r="C320" s="17"/>
      <c r="D320" s="17"/>
      <c r="E320" s="17"/>
      <c r="F320" s="16"/>
      <c r="G320" s="17"/>
      <c r="H320" s="17"/>
      <c r="I320" s="17"/>
      <c r="J320" s="24"/>
      <c r="K320" s="17"/>
      <c r="L320" s="17"/>
      <c r="M320" s="7"/>
      <c r="N320" s="17"/>
    </row>
    <row r="321" spans="1:14" x14ac:dyDescent="0.25">
      <c r="A321" s="17"/>
      <c r="B321" s="16"/>
      <c r="C321" s="17"/>
      <c r="D321" s="17"/>
      <c r="E321" s="17"/>
      <c r="F321" s="16"/>
      <c r="G321" s="17"/>
      <c r="H321" s="17"/>
      <c r="I321" s="17"/>
      <c r="J321" s="24"/>
      <c r="K321" s="17"/>
      <c r="L321" s="17"/>
      <c r="M321" s="7"/>
      <c r="N321" s="17"/>
    </row>
    <row r="322" spans="1:14" x14ac:dyDescent="0.25">
      <c r="A322" s="17"/>
      <c r="B322" s="16"/>
      <c r="C322" s="17"/>
      <c r="D322" s="17"/>
      <c r="E322" s="17"/>
      <c r="F322" s="16"/>
      <c r="G322" s="17"/>
      <c r="H322" s="17"/>
      <c r="I322" s="17"/>
      <c r="J322" s="24"/>
      <c r="K322" s="17"/>
      <c r="L322" s="17"/>
      <c r="M322" s="7"/>
      <c r="N322" s="17"/>
    </row>
    <row r="323" spans="1:14" x14ac:dyDescent="0.25">
      <c r="A323" s="17"/>
      <c r="B323" s="16"/>
      <c r="C323" s="17"/>
      <c r="D323" s="17"/>
      <c r="E323" s="17"/>
      <c r="F323" s="16"/>
      <c r="G323" s="17"/>
      <c r="H323" s="17"/>
      <c r="I323" s="17"/>
      <c r="J323" s="24"/>
      <c r="K323" s="17"/>
      <c r="L323" s="17"/>
      <c r="M323" s="7"/>
      <c r="N323" s="17"/>
    </row>
    <row r="324" spans="1:14" x14ac:dyDescent="0.25">
      <c r="A324" s="17"/>
      <c r="B324" s="16"/>
      <c r="C324" s="17"/>
      <c r="D324" s="17"/>
      <c r="E324" s="17"/>
      <c r="F324" s="16"/>
      <c r="G324" s="17"/>
      <c r="H324" s="17"/>
      <c r="I324" s="17"/>
      <c r="J324" s="24"/>
      <c r="K324" s="17"/>
      <c r="L324" s="17"/>
      <c r="M324" s="7"/>
      <c r="N324" s="17"/>
    </row>
    <row r="325" spans="1:14" x14ac:dyDescent="0.25">
      <c r="A325" s="17"/>
      <c r="B325" s="16"/>
      <c r="C325" s="17"/>
      <c r="D325" s="17"/>
      <c r="E325" s="17"/>
      <c r="F325" s="16"/>
      <c r="G325" s="17"/>
      <c r="H325" s="17"/>
      <c r="I325" s="17"/>
      <c r="J325" s="24"/>
      <c r="K325" s="17"/>
      <c r="L325" s="17"/>
      <c r="M325" s="7"/>
      <c r="N325" s="17"/>
    </row>
    <row r="326" spans="1:14" x14ac:dyDescent="0.25">
      <c r="A326" s="17"/>
      <c r="B326" s="16"/>
      <c r="C326" s="17"/>
      <c r="D326" s="17"/>
      <c r="E326" s="17"/>
      <c r="F326" s="16"/>
      <c r="G326" s="17"/>
      <c r="H326" s="17"/>
      <c r="I326" s="17"/>
      <c r="J326" s="24"/>
      <c r="K326" s="17"/>
      <c r="L326" s="17"/>
      <c r="M326" s="7"/>
      <c r="N326" s="17"/>
    </row>
    <row r="327" spans="1:14" x14ac:dyDescent="0.25">
      <c r="A327" s="17"/>
      <c r="B327" s="16"/>
      <c r="C327" s="17"/>
      <c r="D327" s="17"/>
      <c r="E327" s="17"/>
      <c r="F327" s="16"/>
      <c r="G327" s="17"/>
      <c r="H327" s="17"/>
      <c r="I327" s="17"/>
      <c r="J327" s="24"/>
      <c r="K327" s="17"/>
      <c r="L327" s="17"/>
      <c r="M327" s="7"/>
      <c r="N327" s="17"/>
    </row>
    <row r="328" spans="1:14" x14ac:dyDescent="0.25">
      <c r="A328" s="17"/>
      <c r="B328" s="16"/>
      <c r="C328" s="17"/>
      <c r="D328" s="17"/>
      <c r="E328" s="17"/>
      <c r="F328" s="16"/>
      <c r="G328" s="17"/>
      <c r="H328" s="17"/>
      <c r="I328" s="17"/>
      <c r="J328" s="24"/>
      <c r="K328" s="17"/>
      <c r="L328" s="17"/>
      <c r="M328" s="7"/>
      <c r="N328" s="17"/>
    </row>
    <row r="329" spans="1:14" x14ac:dyDescent="0.25">
      <c r="A329" s="17"/>
      <c r="B329" s="16"/>
      <c r="C329" s="17"/>
      <c r="D329" s="17"/>
      <c r="E329" s="17"/>
      <c r="F329" s="16"/>
      <c r="G329" s="17"/>
      <c r="H329" s="17"/>
      <c r="I329" s="17"/>
      <c r="J329" s="24"/>
      <c r="K329" s="17"/>
      <c r="L329" s="17"/>
      <c r="M329" s="7"/>
      <c r="N329" s="17"/>
    </row>
    <row r="330" spans="1:14" x14ac:dyDescent="0.25">
      <c r="A330" s="17"/>
      <c r="B330" s="16"/>
      <c r="C330" s="17"/>
      <c r="D330" s="17"/>
      <c r="E330" s="17"/>
      <c r="F330" s="16"/>
      <c r="G330" s="17"/>
      <c r="H330" s="17"/>
      <c r="I330" s="17"/>
      <c r="J330" s="24"/>
      <c r="K330" s="17"/>
      <c r="L330" s="17"/>
      <c r="M330" s="7"/>
      <c r="N330" s="17"/>
    </row>
    <row r="331" spans="1:14" x14ac:dyDescent="0.25">
      <c r="A331" s="17"/>
      <c r="B331" s="16"/>
      <c r="C331" s="17"/>
      <c r="D331" s="17"/>
      <c r="E331" s="17"/>
      <c r="F331" s="16"/>
      <c r="G331" s="17"/>
      <c r="H331" s="17"/>
      <c r="I331" s="17"/>
      <c r="J331" s="24"/>
      <c r="K331" s="17"/>
      <c r="L331" s="17"/>
      <c r="M331" s="7"/>
      <c r="N331" s="17"/>
    </row>
    <row r="332" spans="1:14" x14ac:dyDescent="0.25">
      <c r="A332" s="17"/>
      <c r="B332" s="16"/>
      <c r="C332" s="17"/>
      <c r="D332" s="17"/>
      <c r="E332" s="17"/>
      <c r="F332" s="16"/>
      <c r="G332" s="17"/>
      <c r="H332" s="17"/>
      <c r="I332" s="17"/>
      <c r="J332" s="24"/>
      <c r="K332" s="17"/>
      <c r="L332" s="17"/>
      <c r="M332" s="7"/>
      <c r="N332" s="17"/>
    </row>
    <row r="333" spans="1:14" x14ac:dyDescent="0.25">
      <c r="A333" s="17"/>
      <c r="B333" s="16"/>
      <c r="C333" s="17"/>
      <c r="D333" s="17"/>
      <c r="E333" s="17"/>
      <c r="F333" s="16"/>
      <c r="G333" s="17"/>
      <c r="H333" s="17"/>
      <c r="I333" s="17"/>
      <c r="J333" s="24"/>
      <c r="K333" s="17"/>
      <c r="L333" s="17"/>
      <c r="M333" s="7"/>
      <c r="N333" s="17"/>
    </row>
    <row r="334" spans="1:14" x14ac:dyDescent="0.25">
      <c r="A334" s="17"/>
      <c r="B334" s="16"/>
      <c r="C334" s="17"/>
      <c r="D334" s="17"/>
      <c r="E334" s="17"/>
      <c r="F334" s="16"/>
      <c r="G334" s="17"/>
      <c r="H334" s="17"/>
      <c r="I334" s="17"/>
      <c r="J334" s="24"/>
      <c r="K334" s="17"/>
      <c r="L334" s="17"/>
      <c r="M334" s="7"/>
      <c r="N334" s="17"/>
    </row>
    <row r="335" spans="1:14" x14ac:dyDescent="0.25">
      <c r="A335" s="17"/>
      <c r="B335" s="16"/>
      <c r="C335" s="17"/>
      <c r="D335" s="17"/>
      <c r="E335" s="17"/>
      <c r="F335" s="16"/>
      <c r="G335" s="17"/>
      <c r="H335" s="17"/>
      <c r="I335" s="17"/>
      <c r="J335" s="24"/>
      <c r="K335" s="17"/>
      <c r="L335" s="17"/>
      <c r="M335" s="7"/>
      <c r="N335" s="17"/>
    </row>
    <row r="336" spans="1:14" x14ac:dyDescent="0.25">
      <c r="A336" s="17"/>
      <c r="B336" s="16"/>
      <c r="C336" s="17"/>
      <c r="D336" s="17"/>
      <c r="E336" s="17"/>
      <c r="F336" s="16"/>
      <c r="G336" s="17"/>
      <c r="H336" s="17"/>
      <c r="I336" s="17"/>
      <c r="J336" s="24"/>
      <c r="K336" s="17"/>
      <c r="L336" s="17"/>
      <c r="M336" s="7"/>
      <c r="N336" s="17"/>
    </row>
    <row r="337" spans="1:14" x14ac:dyDescent="0.25">
      <c r="A337" s="17"/>
      <c r="B337" s="16"/>
      <c r="C337" s="17"/>
      <c r="D337" s="17"/>
      <c r="E337" s="17"/>
      <c r="F337" s="16"/>
      <c r="G337" s="17"/>
      <c r="H337" s="17"/>
      <c r="I337" s="17"/>
      <c r="J337" s="24"/>
      <c r="K337" s="17"/>
      <c r="L337" s="17"/>
      <c r="M337" s="7"/>
      <c r="N337" s="17"/>
    </row>
    <row r="338" spans="1:14" x14ac:dyDescent="0.25">
      <c r="A338" s="17"/>
      <c r="B338" s="16"/>
      <c r="C338" s="17"/>
      <c r="D338" s="17"/>
      <c r="E338" s="17"/>
      <c r="F338" s="16"/>
      <c r="G338" s="17"/>
      <c r="H338" s="17"/>
      <c r="I338" s="17"/>
      <c r="J338" s="24"/>
      <c r="K338" s="17"/>
      <c r="L338" s="17"/>
      <c r="M338" s="7"/>
      <c r="N338" s="17"/>
    </row>
    <row r="339" spans="1:14" x14ac:dyDescent="0.25">
      <c r="A339" s="17"/>
      <c r="B339" s="16"/>
      <c r="C339" s="17"/>
      <c r="D339" s="17"/>
      <c r="E339" s="17"/>
      <c r="F339" s="16"/>
      <c r="G339" s="17"/>
      <c r="H339" s="17"/>
      <c r="I339" s="17"/>
      <c r="J339" s="24"/>
      <c r="K339" s="17"/>
      <c r="L339" s="17"/>
      <c r="M339" s="7"/>
      <c r="N339" s="17"/>
    </row>
    <row r="340" spans="1:14" x14ac:dyDescent="0.25">
      <c r="A340" s="17"/>
      <c r="B340" s="16"/>
      <c r="C340" s="17"/>
      <c r="D340" s="17"/>
      <c r="E340" s="17"/>
      <c r="F340" s="16"/>
      <c r="G340" s="17"/>
      <c r="H340" s="17"/>
      <c r="I340" s="17"/>
      <c r="J340" s="24"/>
      <c r="K340" s="17"/>
      <c r="L340" s="17"/>
      <c r="M340" s="7"/>
      <c r="N340" s="17"/>
    </row>
    <row r="341" spans="1:14" x14ac:dyDescent="0.25">
      <c r="A341" s="17"/>
      <c r="B341" s="16"/>
      <c r="C341" s="17"/>
      <c r="D341" s="17"/>
      <c r="E341" s="17"/>
      <c r="F341" s="16"/>
      <c r="G341" s="17"/>
      <c r="H341" s="17"/>
      <c r="I341" s="17"/>
      <c r="J341" s="24"/>
      <c r="K341" s="17"/>
      <c r="L341" s="17"/>
      <c r="M341" s="7"/>
      <c r="N341" s="17"/>
    </row>
    <row r="342" spans="1:14" x14ac:dyDescent="0.25">
      <c r="A342" s="17"/>
      <c r="B342" s="16"/>
      <c r="C342" s="17"/>
      <c r="D342" s="17"/>
      <c r="E342" s="17"/>
      <c r="F342" s="16"/>
      <c r="G342" s="17"/>
      <c r="H342" s="17"/>
      <c r="I342" s="17"/>
      <c r="J342" s="24"/>
      <c r="K342" s="17"/>
      <c r="L342" s="17"/>
      <c r="M342" s="7"/>
      <c r="N342" s="17"/>
    </row>
    <row r="343" spans="1:14" x14ac:dyDescent="0.25">
      <c r="A343" s="17"/>
      <c r="B343" s="16"/>
      <c r="C343" s="17"/>
      <c r="D343" s="17"/>
      <c r="E343" s="17"/>
      <c r="F343" s="16"/>
      <c r="G343" s="17"/>
      <c r="H343" s="17"/>
      <c r="I343" s="17"/>
      <c r="J343" s="24"/>
      <c r="K343" s="17"/>
      <c r="L343" s="17"/>
      <c r="M343" s="7"/>
      <c r="N343" s="17"/>
    </row>
    <row r="344" spans="1:14" x14ac:dyDescent="0.25">
      <c r="A344" s="17"/>
      <c r="B344" s="16"/>
      <c r="C344" s="17"/>
      <c r="D344" s="17"/>
      <c r="E344" s="17"/>
      <c r="F344" s="16"/>
      <c r="G344" s="17"/>
      <c r="H344" s="17"/>
      <c r="I344" s="17"/>
      <c r="J344" s="24"/>
      <c r="K344" s="17"/>
      <c r="L344" s="17"/>
      <c r="M344" s="7"/>
      <c r="N344" s="17"/>
    </row>
    <row r="345" spans="1:14" x14ac:dyDescent="0.25">
      <c r="A345" s="17"/>
      <c r="B345" s="16"/>
      <c r="C345" s="17"/>
      <c r="D345" s="17"/>
      <c r="E345" s="17"/>
      <c r="F345" s="16"/>
      <c r="G345" s="17"/>
      <c r="H345" s="17"/>
      <c r="I345" s="17"/>
      <c r="J345" s="24"/>
      <c r="K345" s="17"/>
      <c r="L345" s="17"/>
      <c r="M345" s="7"/>
      <c r="N345" s="17"/>
    </row>
    <row r="346" spans="1:14" x14ac:dyDescent="0.25">
      <c r="A346" s="17"/>
      <c r="B346" s="16"/>
      <c r="C346" s="17"/>
      <c r="D346" s="17"/>
      <c r="E346" s="17"/>
      <c r="F346" s="16"/>
      <c r="G346" s="17"/>
      <c r="H346" s="17"/>
      <c r="I346" s="17"/>
      <c r="J346" s="24"/>
      <c r="K346" s="17"/>
      <c r="L346" s="17"/>
      <c r="M346" s="7"/>
      <c r="N346" s="17"/>
    </row>
    <row r="347" spans="1:14" x14ac:dyDescent="0.25">
      <c r="A347" s="17"/>
      <c r="B347" s="16"/>
      <c r="C347" s="17"/>
      <c r="D347" s="17"/>
      <c r="E347" s="17"/>
      <c r="F347" s="16"/>
      <c r="G347" s="17"/>
      <c r="H347" s="17"/>
      <c r="I347" s="17"/>
      <c r="J347" s="24"/>
      <c r="K347" s="17"/>
      <c r="L347" s="17"/>
      <c r="M347" s="7"/>
      <c r="N347" s="17"/>
    </row>
    <row r="348" spans="1:14" x14ac:dyDescent="0.25">
      <c r="A348" s="17"/>
      <c r="B348" s="16"/>
      <c r="C348" s="17"/>
      <c r="D348" s="17"/>
      <c r="E348" s="17"/>
      <c r="F348" s="16"/>
      <c r="G348" s="17"/>
      <c r="H348" s="17"/>
      <c r="I348" s="17"/>
      <c r="J348" s="24"/>
      <c r="K348" s="17"/>
      <c r="L348" s="17"/>
      <c r="M348" s="7"/>
      <c r="N348" s="17"/>
    </row>
    <row r="349" spans="1:14" x14ac:dyDescent="0.25">
      <c r="A349" s="17"/>
      <c r="B349" s="16"/>
      <c r="C349" s="17"/>
      <c r="D349" s="17"/>
      <c r="E349" s="17"/>
      <c r="F349" s="16"/>
      <c r="G349" s="17"/>
      <c r="H349" s="17"/>
      <c r="I349" s="17"/>
      <c r="J349" s="24"/>
      <c r="K349" s="17"/>
      <c r="L349" s="17"/>
      <c r="M349" s="7"/>
      <c r="N349" s="17"/>
    </row>
    <row r="350" spans="1:14" x14ac:dyDescent="0.25">
      <c r="A350" s="17"/>
      <c r="B350" s="16"/>
      <c r="C350" s="17"/>
      <c r="D350" s="17"/>
      <c r="E350" s="17"/>
      <c r="F350" s="16"/>
      <c r="G350" s="17"/>
      <c r="H350" s="17"/>
      <c r="I350" s="17"/>
      <c r="J350" s="24"/>
      <c r="K350" s="17"/>
      <c r="L350" s="17"/>
      <c r="M350" s="7"/>
      <c r="N350" s="17"/>
    </row>
    <row r="351" spans="1:14" x14ac:dyDescent="0.25">
      <c r="A351" s="17"/>
      <c r="B351" s="16"/>
      <c r="C351" s="17"/>
      <c r="D351" s="17"/>
      <c r="E351" s="17"/>
      <c r="F351" s="16"/>
      <c r="G351" s="17"/>
      <c r="H351" s="17"/>
      <c r="I351" s="17"/>
      <c r="J351" s="24"/>
      <c r="K351" s="17"/>
      <c r="L351" s="17"/>
      <c r="M351" s="7"/>
      <c r="N351" s="17"/>
    </row>
    <row r="352" spans="1:14" x14ac:dyDescent="0.25">
      <c r="A352" s="17"/>
      <c r="B352" s="16"/>
      <c r="C352" s="17"/>
      <c r="D352" s="17"/>
      <c r="E352" s="17"/>
      <c r="F352" s="16"/>
      <c r="G352" s="17"/>
      <c r="H352" s="17"/>
      <c r="I352" s="17"/>
      <c r="J352" s="24"/>
      <c r="K352" s="17"/>
      <c r="L352" s="17"/>
      <c r="M352" s="7"/>
      <c r="N352" s="17"/>
    </row>
    <row r="353" spans="1:14" x14ac:dyDescent="0.25">
      <c r="A353" s="17"/>
      <c r="B353" s="16"/>
      <c r="C353" s="17"/>
      <c r="D353" s="17"/>
      <c r="E353" s="17"/>
      <c r="F353" s="16"/>
      <c r="G353" s="17"/>
      <c r="H353" s="17"/>
      <c r="I353" s="17"/>
      <c r="J353" s="24"/>
      <c r="K353" s="17"/>
      <c r="L353" s="17"/>
      <c r="M353" s="7"/>
      <c r="N353" s="17"/>
    </row>
    <row r="354" spans="1:14" x14ac:dyDescent="0.25">
      <c r="A354" s="17"/>
      <c r="B354" s="16"/>
      <c r="C354" s="17"/>
      <c r="D354" s="17"/>
      <c r="E354" s="17"/>
      <c r="F354" s="16"/>
      <c r="G354" s="17"/>
      <c r="H354" s="17"/>
      <c r="I354" s="17"/>
      <c r="J354" s="24"/>
      <c r="K354" s="17"/>
      <c r="L354" s="17"/>
      <c r="M354" s="7"/>
      <c r="N354" s="17"/>
    </row>
    <row r="355" spans="1:14" x14ac:dyDescent="0.25">
      <c r="A355" s="17"/>
      <c r="B355" s="16"/>
      <c r="C355" s="17"/>
      <c r="D355" s="17"/>
      <c r="E355" s="17"/>
      <c r="F355" s="16"/>
      <c r="G355" s="17"/>
      <c r="H355" s="17"/>
      <c r="I355" s="17"/>
      <c r="J355" s="24"/>
      <c r="K355" s="17"/>
      <c r="L355" s="17"/>
      <c r="M355" s="7"/>
      <c r="N355" s="17"/>
    </row>
    <row r="356" spans="1:14" x14ac:dyDescent="0.25">
      <c r="A356" s="17"/>
      <c r="B356" s="16"/>
      <c r="C356" s="17"/>
      <c r="D356" s="17"/>
      <c r="E356" s="17"/>
      <c r="F356" s="16"/>
      <c r="G356" s="17"/>
      <c r="H356" s="17"/>
      <c r="I356" s="17"/>
      <c r="J356" s="24"/>
      <c r="K356" s="17"/>
      <c r="L356" s="17"/>
      <c r="M356" s="7"/>
      <c r="N356" s="17"/>
    </row>
    <row r="357" spans="1:14" x14ac:dyDescent="0.25">
      <c r="A357" s="17"/>
      <c r="B357" s="16"/>
      <c r="C357" s="17"/>
      <c r="D357" s="17"/>
      <c r="E357" s="17"/>
      <c r="F357" s="16"/>
      <c r="G357" s="17"/>
      <c r="H357" s="17"/>
      <c r="I357" s="17"/>
      <c r="J357" s="24"/>
      <c r="K357" s="17"/>
      <c r="L357" s="17"/>
      <c r="M357" s="7"/>
      <c r="N357" s="17"/>
    </row>
    <row r="358" spans="1:14" x14ac:dyDescent="0.25">
      <c r="A358" s="17"/>
      <c r="B358" s="16"/>
      <c r="C358" s="17"/>
      <c r="D358" s="17"/>
      <c r="E358" s="17"/>
      <c r="F358" s="16"/>
      <c r="G358" s="17"/>
      <c r="H358" s="17"/>
      <c r="I358" s="17"/>
      <c r="J358" s="24"/>
      <c r="K358" s="17"/>
      <c r="L358" s="17"/>
      <c r="M358" s="7"/>
      <c r="N358" s="17"/>
    </row>
    <row r="359" spans="1:14" x14ac:dyDescent="0.25">
      <c r="A359" s="17"/>
      <c r="B359" s="16"/>
      <c r="C359" s="17"/>
      <c r="D359" s="17"/>
      <c r="E359" s="17"/>
      <c r="F359" s="16"/>
      <c r="G359" s="17"/>
      <c r="H359" s="17"/>
      <c r="I359" s="17"/>
      <c r="J359" s="24"/>
      <c r="K359" s="17"/>
      <c r="L359" s="17"/>
      <c r="M359" s="7"/>
      <c r="N359" s="17"/>
    </row>
    <row r="360" spans="1:14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32"/>
      <c r="K360" s="4"/>
      <c r="L360" s="4"/>
      <c r="M360" s="4"/>
      <c r="N360" s="4"/>
    </row>
    <row r="361" spans="1:14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32"/>
      <c r="K361" s="4"/>
      <c r="L361" s="4"/>
      <c r="M361" s="4"/>
      <c r="N361" s="4"/>
    </row>
    <row r="362" spans="1:14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32"/>
      <c r="K362" s="4"/>
      <c r="L362" s="4"/>
      <c r="M362" s="4"/>
      <c r="N362" s="4"/>
    </row>
    <row r="363" spans="1:14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32"/>
      <c r="K363" s="4"/>
      <c r="L363" s="4"/>
      <c r="M363" s="4"/>
      <c r="N363" s="4"/>
    </row>
    <row r="364" spans="1:14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32"/>
      <c r="K364" s="4"/>
      <c r="L364" s="4"/>
      <c r="M364" s="4"/>
      <c r="N364" s="4"/>
    </row>
    <row r="365" spans="1:14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32"/>
      <c r="K365" s="4"/>
      <c r="L365" s="4"/>
      <c r="M365" s="4"/>
      <c r="N365" s="4"/>
    </row>
    <row r="366" spans="1:14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32"/>
      <c r="K366" s="4"/>
      <c r="L366" s="4"/>
      <c r="M366" s="4"/>
      <c r="N366" s="4"/>
    </row>
    <row r="367" spans="1:14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32"/>
      <c r="K367" s="4"/>
      <c r="L367" s="4"/>
      <c r="M367" s="4"/>
      <c r="N367" s="4"/>
    </row>
    <row r="368" spans="1:14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32"/>
      <c r="K368" s="4"/>
      <c r="L368" s="4"/>
      <c r="M368" s="4"/>
      <c r="N368" s="4"/>
    </row>
    <row r="369" spans="1:14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32"/>
      <c r="K369" s="4"/>
      <c r="L369" s="4"/>
      <c r="M369" s="4"/>
      <c r="N369" s="4"/>
    </row>
    <row r="370" spans="1:14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32"/>
      <c r="K370" s="4"/>
      <c r="L370" s="4"/>
      <c r="M370" s="4"/>
      <c r="N370" s="4"/>
    </row>
    <row r="371" spans="1:14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32"/>
      <c r="K371" s="4"/>
      <c r="L371" s="4"/>
      <c r="M371" s="4"/>
      <c r="N371" s="4"/>
    </row>
    <row r="372" spans="1:14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32"/>
      <c r="K372" s="4"/>
      <c r="L372" s="4"/>
      <c r="M372" s="4"/>
      <c r="N372" s="4"/>
    </row>
    <row r="373" spans="1:14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32"/>
      <c r="K373" s="4"/>
      <c r="L373" s="4"/>
      <c r="M373" s="4"/>
      <c r="N373" s="4"/>
    </row>
    <row r="374" spans="1:14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32"/>
      <c r="K374" s="4"/>
      <c r="L374" s="4"/>
      <c r="M374" s="4"/>
      <c r="N374" s="4"/>
    </row>
    <row r="375" spans="1:14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32"/>
      <c r="K375" s="4"/>
      <c r="L375" s="4"/>
      <c r="M375" s="4"/>
      <c r="N375" s="4"/>
    </row>
    <row r="376" spans="1:14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32"/>
      <c r="K376" s="4"/>
      <c r="L376" s="4"/>
      <c r="M376" s="4"/>
      <c r="N376" s="4"/>
    </row>
    <row r="377" spans="1:14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32"/>
      <c r="K377" s="4"/>
      <c r="L377" s="4"/>
      <c r="M377" s="4"/>
      <c r="N377" s="4"/>
    </row>
    <row r="378" spans="1:14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32"/>
      <c r="K378" s="4"/>
      <c r="L378" s="4"/>
      <c r="M378" s="4"/>
      <c r="N378" s="4"/>
    </row>
    <row r="379" spans="1:14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32"/>
      <c r="K379" s="4"/>
      <c r="L379" s="4"/>
      <c r="M379" s="4"/>
      <c r="N379" s="4"/>
    </row>
    <row r="380" spans="1:14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32"/>
      <c r="K380" s="4"/>
      <c r="L380" s="4"/>
      <c r="M380" s="4"/>
      <c r="N380" s="4"/>
    </row>
    <row r="381" spans="1:14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32"/>
      <c r="K381" s="4"/>
      <c r="L381" s="4"/>
      <c r="M381" s="4"/>
      <c r="N381" s="4"/>
    </row>
    <row r="382" spans="1:14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32"/>
      <c r="K382" s="4"/>
      <c r="L382" s="4"/>
      <c r="M382" s="4"/>
      <c r="N382" s="4"/>
    </row>
    <row r="383" spans="1:14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32"/>
      <c r="K383" s="4"/>
      <c r="L383" s="4"/>
      <c r="M383" s="4"/>
      <c r="N383" s="4"/>
    </row>
    <row r="384" spans="1:14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32"/>
      <c r="K384" s="4"/>
      <c r="L384" s="4"/>
      <c r="M384" s="4"/>
      <c r="N384" s="4"/>
    </row>
    <row r="385" spans="1:14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32"/>
      <c r="K385" s="4"/>
      <c r="L385" s="4"/>
      <c r="M385" s="4"/>
      <c r="N385" s="4"/>
    </row>
    <row r="386" spans="1:14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32"/>
      <c r="K386" s="4"/>
      <c r="L386" s="4"/>
      <c r="M386" s="4"/>
      <c r="N386" s="4"/>
    </row>
    <row r="387" spans="1:14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32"/>
      <c r="K387" s="4"/>
      <c r="L387" s="4"/>
      <c r="M387" s="4"/>
      <c r="N387" s="4"/>
    </row>
    <row r="388" spans="1:14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32"/>
      <c r="K388" s="4"/>
      <c r="L388" s="4"/>
      <c r="M388" s="4"/>
      <c r="N388" s="4"/>
    </row>
    <row r="389" spans="1:14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32"/>
      <c r="K389" s="4"/>
      <c r="L389" s="4"/>
      <c r="M389" s="4"/>
      <c r="N389" s="4"/>
    </row>
    <row r="390" spans="1:14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32"/>
      <c r="K390" s="4"/>
      <c r="L390" s="4"/>
      <c r="M390" s="4"/>
      <c r="N390" s="4"/>
    </row>
    <row r="391" spans="1:14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32"/>
      <c r="K391" s="4"/>
      <c r="L391" s="4"/>
      <c r="M391" s="4"/>
      <c r="N391" s="4"/>
    </row>
    <row r="392" spans="1:14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32"/>
      <c r="K392" s="4"/>
      <c r="L392" s="4"/>
      <c r="M392" s="4"/>
      <c r="N392" s="4"/>
    </row>
    <row r="393" spans="1:14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32"/>
      <c r="K393" s="4"/>
      <c r="L393" s="4"/>
      <c r="M393" s="4"/>
      <c r="N393" s="4"/>
    </row>
    <row r="394" spans="1:14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32"/>
      <c r="K394" s="4"/>
      <c r="L394" s="4"/>
      <c r="M394" s="4"/>
      <c r="N394" s="4"/>
    </row>
    <row r="395" spans="1:14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32"/>
      <c r="K395" s="4"/>
      <c r="L395" s="4"/>
      <c r="M395" s="4"/>
      <c r="N395" s="4"/>
    </row>
    <row r="396" spans="1:14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32"/>
      <c r="K396" s="4"/>
      <c r="L396" s="4"/>
      <c r="M396" s="4"/>
      <c r="N396" s="4"/>
    </row>
    <row r="397" spans="1:14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32"/>
      <c r="K397" s="4"/>
      <c r="L397" s="4"/>
      <c r="M397" s="4"/>
      <c r="N397" s="4"/>
    </row>
    <row r="398" spans="1:14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32"/>
      <c r="K398" s="4"/>
      <c r="L398" s="4"/>
      <c r="M398" s="4"/>
      <c r="N398" s="4"/>
    </row>
    <row r="399" spans="1:14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32"/>
      <c r="K399" s="4"/>
      <c r="L399" s="4"/>
      <c r="M399" s="4"/>
      <c r="N399" s="4"/>
    </row>
    <row r="400" spans="1:14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32"/>
      <c r="K400" s="4"/>
      <c r="L400" s="4"/>
      <c r="M400" s="4"/>
      <c r="N400" s="4"/>
    </row>
    <row r="401" spans="1:14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32"/>
      <c r="K401" s="4"/>
      <c r="L401" s="4"/>
      <c r="M401" s="4"/>
      <c r="N401" s="4"/>
    </row>
    <row r="402" spans="1:14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32"/>
      <c r="K402" s="4"/>
      <c r="L402" s="4"/>
      <c r="M402" s="4"/>
      <c r="N402" s="4"/>
    </row>
    <row r="403" spans="1:14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32"/>
      <c r="K403" s="4"/>
      <c r="L403" s="4"/>
      <c r="M403" s="4"/>
      <c r="N403" s="4"/>
    </row>
    <row r="404" spans="1:14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32"/>
      <c r="K404" s="4"/>
      <c r="L404" s="4"/>
      <c r="M404" s="4"/>
      <c r="N404" s="4"/>
    </row>
    <row r="405" spans="1:14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32"/>
      <c r="K405" s="4"/>
      <c r="L405" s="4"/>
      <c r="M405" s="4"/>
      <c r="N405" s="4"/>
    </row>
    <row r="406" spans="1:14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32"/>
      <c r="K406" s="4"/>
      <c r="L406" s="4"/>
      <c r="M406" s="4"/>
      <c r="N406" s="4"/>
    </row>
    <row r="407" spans="1:14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32"/>
      <c r="K407" s="4"/>
      <c r="L407" s="4"/>
      <c r="M407" s="4"/>
      <c r="N407" s="4"/>
    </row>
    <row r="408" spans="1:14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32"/>
      <c r="K408" s="4"/>
      <c r="L408" s="4"/>
      <c r="M408" s="4"/>
      <c r="N408" s="4"/>
    </row>
    <row r="409" spans="1:14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32"/>
      <c r="K409" s="4"/>
      <c r="L409" s="4"/>
      <c r="M409" s="4"/>
      <c r="N409" s="4"/>
    </row>
    <row r="410" spans="1:14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32"/>
      <c r="K410" s="4"/>
      <c r="L410" s="4"/>
      <c r="M410" s="4"/>
      <c r="N410" s="4"/>
    </row>
    <row r="411" spans="1:14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32"/>
      <c r="K411" s="4"/>
      <c r="L411" s="4"/>
      <c r="M411" s="4"/>
      <c r="N411" s="4"/>
    </row>
    <row r="412" spans="1:14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32"/>
      <c r="K412" s="4"/>
      <c r="L412" s="4"/>
      <c r="M412" s="4"/>
      <c r="N412" s="4"/>
    </row>
    <row r="413" spans="1:14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32"/>
      <c r="K413" s="4"/>
      <c r="L413" s="4"/>
      <c r="M413" s="4"/>
      <c r="N413" s="4"/>
    </row>
    <row r="414" spans="1:14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32"/>
      <c r="K414" s="4"/>
      <c r="L414" s="4"/>
      <c r="M414" s="4"/>
      <c r="N414" s="4"/>
    </row>
    <row r="415" spans="1:14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32"/>
      <c r="K415" s="4"/>
      <c r="L415" s="4"/>
      <c r="M415" s="4"/>
      <c r="N415" s="4"/>
    </row>
    <row r="416" spans="1:14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32"/>
      <c r="K416" s="4"/>
      <c r="L416" s="4"/>
      <c r="M416" s="4"/>
      <c r="N416" s="4"/>
    </row>
    <row r="417" spans="1:14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32"/>
      <c r="K417" s="4"/>
      <c r="L417" s="4"/>
      <c r="M417" s="4"/>
      <c r="N417" s="4"/>
    </row>
    <row r="418" spans="1:14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32"/>
      <c r="K418" s="4"/>
      <c r="L418" s="4"/>
      <c r="M418" s="4"/>
      <c r="N418" s="4"/>
    </row>
    <row r="419" spans="1:14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32"/>
      <c r="K419" s="4"/>
      <c r="L419" s="4"/>
      <c r="M419" s="4"/>
      <c r="N419" s="4"/>
    </row>
    <row r="420" spans="1:14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32"/>
      <c r="K420" s="4"/>
      <c r="L420" s="4"/>
      <c r="M420" s="4"/>
      <c r="N420" s="4"/>
    </row>
    <row r="421" spans="1:14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32"/>
      <c r="K421" s="4"/>
      <c r="L421" s="4"/>
      <c r="M421" s="4"/>
      <c r="N421" s="4"/>
    </row>
    <row r="422" spans="1:14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32"/>
      <c r="K422" s="4"/>
      <c r="L422" s="4"/>
      <c r="M422" s="4"/>
      <c r="N422" s="4"/>
    </row>
    <row r="423" spans="1:14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32"/>
      <c r="K423" s="4"/>
      <c r="L423" s="4"/>
      <c r="M423" s="4"/>
      <c r="N423" s="4"/>
    </row>
    <row r="424" spans="1:14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32"/>
      <c r="K424" s="4"/>
      <c r="L424" s="4"/>
      <c r="M424" s="4"/>
      <c r="N424" s="4"/>
    </row>
    <row r="425" spans="1:14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32"/>
      <c r="K425" s="4"/>
      <c r="L425" s="4"/>
      <c r="M425" s="4"/>
      <c r="N425" s="4"/>
    </row>
    <row r="426" spans="1:14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32"/>
      <c r="K426" s="4"/>
      <c r="L426" s="4"/>
      <c r="M426" s="4"/>
      <c r="N426" s="4"/>
    </row>
    <row r="427" spans="1:14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32"/>
      <c r="K427" s="4"/>
      <c r="L427" s="4"/>
      <c r="M427" s="4"/>
      <c r="N427" s="4"/>
    </row>
    <row r="428" spans="1:14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32"/>
      <c r="K428" s="4"/>
      <c r="L428" s="4"/>
      <c r="M428" s="4"/>
      <c r="N428" s="4"/>
    </row>
    <row r="429" spans="1:14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32"/>
      <c r="K429" s="4"/>
      <c r="L429" s="4"/>
      <c r="M429" s="4"/>
      <c r="N429" s="4"/>
    </row>
    <row r="430" spans="1:14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32"/>
      <c r="K430" s="4"/>
      <c r="L430" s="4"/>
      <c r="M430" s="4"/>
      <c r="N430" s="4"/>
    </row>
    <row r="431" spans="1:14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32"/>
      <c r="K431" s="4"/>
      <c r="L431" s="4"/>
      <c r="M431" s="4"/>
      <c r="N431" s="4"/>
    </row>
    <row r="432" spans="1:14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32"/>
      <c r="K432" s="4"/>
      <c r="L432" s="4"/>
      <c r="M432" s="4"/>
      <c r="N432" s="4"/>
    </row>
    <row r="433" spans="1:14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32"/>
      <c r="K433" s="4"/>
      <c r="L433" s="4"/>
      <c r="M433" s="4"/>
      <c r="N433" s="4"/>
    </row>
    <row r="434" spans="1:14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32"/>
      <c r="K434" s="4"/>
      <c r="L434" s="4"/>
      <c r="M434" s="4"/>
      <c r="N434" s="4"/>
    </row>
    <row r="435" spans="1:14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32"/>
      <c r="K435" s="4"/>
      <c r="L435" s="4"/>
      <c r="M435" s="4"/>
      <c r="N435" s="4"/>
    </row>
    <row r="436" spans="1:14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32"/>
      <c r="K436" s="4"/>
      <c r="L436" s="4"/>
      <c r="M436" s="4"/>
      <c r="N436" s="4"/>
    </row>
    <row r="437" spans="1:14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32"/>
      <c r="K437" s="4"/>
      <c r="L437" s="4"/>
      <c r="M437" s="4"/>
      <c r="N437" s="4"/>
    </row>
    <row r="438" spans="1:14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32"/>
      <c r="K438" s="4"/>
      <c r="L438" s="4"/>
      <c r="M438" s="4"/>
      <c r="N438" s="4"/>
    </row>
    <row r="439" spans="1:14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32"/>
      <c r="K439" s="4"/>
      <c r="L439" s="4"/>
      <c r="M439" s="4"/>
      <c r="N439" s="4"/>
    </row>
    <row r="440" spans="1:14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32"/>
      <c r="K440" s="4"/>
      <c r="L440" s="4"/>
      <c r="M440" s="4"/>
      <c r="N440" s="4"/>
    </row>
    <row r="441" spans="1:14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32"/>
      <c r="K441" s="4"/>
      <c r="L441" s="4"/>
      <c r="M441" s="4"/>
      <c r="N441" s="4"/>
    </row>
    <row r="442" spans="1:14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32"/>
      <c r="K442" s="4"/>
      <c r="L442" s="4"/>
      <c r="M442" s="4"/>
      <c r="N442" s="4"/>
    </row>
    <row r="443" spans="1:14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32"/>
      <c r="K443" s="4"/>
      <c r="L443" s="4"/>
      <c r="M443" s="4"/>
      <c r="N443" s="4"/>
    </row>
    <row r="444" spans="1:14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32"/>
      <c r="K444" s="4"/>
      <c r="L444" s="4"/>
      <c r="M444" s="4"/>
      <c r="N444" s="4"/>
    </row>
    <row r="445" spans="1:14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32"/>
      <c r="K445" s="4"/>
      <c r="L445" s="4"/>
      <c r="M445" s="4"/>
      <c r="N445" s="4"/>
    </row>
    <row r="446" spans="1:14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32"/>
      <c r="K446" s="4"/>
      <c r="L446" s="4"/>
      <c r="M446" s="4"/>
      <c r="N446" s="4"/>
    </row>
    <row r="447" spans="1:14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32"/>
      <c r="K447" s="4"/>
      <c r="L447" s="4"/>
      <c r="M447" s="4"/>
      <c r="N447" s="4"/>
    </row>
    <row r="448" spans="1:14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32"/>
      <c r="K448" s="4"/>
      <c r="L448" s="4"/>
      <c r="M448" s="4"/>
      <c r="N448" s="4"/>
    </row>
    <row r="449" spans="1:14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32"/>
      <c r="K449" s="4"/>
      <c r="L449" s="4"/>
      <c r="M449" s="4"/>
      <c r="N449" s="4"/>
    </row>
    <row r="450" spans="1:14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32"/>
      <c r="K450" s="4"/>
      <c r="L450" s="4"/>
      <c r="M450" s="4"/>
      <c r="N450" s="4"/>
    </row>
    <row r="451" spans="1:14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32"/>
      <c r="K451" s="4"/>
      <c r="L451" s="4"/>
      <c r="M451" s="4"/>
      <c r="N451" s="4"/>
    </row>
    <row r="452" spans="1:14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32"/>
      <c r="K452" s="4"/>
      <c r="L452" s="4"/>
      <c r="M452" s="4"/>
      <c r="N452" s="4"/>
    </row>
    <row r="453" spans="1:14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32"/>
      <c r="K453" s="4"/>
      <c r="L453" s="4"/>
      <c r="M453" s="4"/>
      <c r="N453" s="4"/>
    </row>
    <row r="454" spans="1:14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32"/>
      <c r="K454" s="4"/>
      <c r="L454" s="4"/>
      <c r="M454" s="4"/>
      <c r="N454" s="4"/>
    </row>
    <row r="455" spans="1:14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32"/>
      <c r="K455" s="4"/>
      <c r="L455" s="4"/>
      <c r="M455" s="4"/>
      <c r="N455" s="4"/>
    </row>
    <row r="456" spans="1:14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32"/>
      <c r="K456" s="4"/>
      <c r="L456" s="4"/>
      <c r="M456" s="4"/>
      <c r="N456" s="4"/>
    </row>
    <row r="457" spans="1:14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32"/>
      <c r="K457" s="4"/>
      <c r="L457" s="4"/>
      <c r="M457" s="4"/>
      <c r="N457" s="4"/>
    </row>
    <row r="458" spans="1:14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32"/>
      <c r="K458" s="4"/>
      <c r="L458" s="4"/>
      <c r="M458" s="4"/>
      <c r="N458" s="4"/>
    </row>
    <row r="459" spans="1:14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32"/>
      <c r="K459" s="4"/>
      <c r="L459" s="4"/>
      <c r="M459" s="4"/>
      <c r="N459" s="4"/>
    </row>
    <row r="460" spans="1:14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32"/>
      <c r="K460" s="4"/>
      <c r="L460" s="4"/>
      <c r="M460" s="4"/>
      <c r="N460" s="4"/>
    </row>
    <row r="461" spans="1:14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32"/>
      <c r="K461" s="4"/>
      <c r="L461" s="4"/>
      <c r="M461" s="4"/>
      <c r="N461" s="4"/>
    </row>
    <row r="462" spans="1:14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32"/>
      <c r="K462" s="4"/>
      <c r="L462" s="4"/>
      <c r="M462" s="4"/>
      <c r="N462" s="4"/>
    </row>
    <row r="463" spans="1:14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32"/>
      <c r="K463" s="4"/>
      <c r="L463" s="4"/>
      <c r="M463" s="4"/>
      <c r="N463" s="4"/>
    </row>
    <row r="464" spans="1:14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32"/>
      <c r="K464" s="4"/>
      <c r="L464" s="4"/>
      <c r="M464" s="4"/>
      <c r="N464" s="4"/>
    </row>
    <row r="465" spans="1:14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32"/>
      <c r="K465" s="4"/>
      <c r="L465" s="4"/>
      <c r="M465" s="4"/>
      <c r="N465" s="4"/>
    </row>
    <row r="466" spans="1:14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32"/>
      <c r="K466" s="4"/>
      <c r="L466" s="4"/>
      <c r="M466" s="4"/>
      <c r="N466" s="4"/>
    </row>
    <row r="467" spans="1:14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32"/>
      <c r="K467" s="4"/>
      <c r="L467" s="4"/>
      <c r="M467" s="4"/>
      <c r="N467" s="4"/>
    </row>
    <row r="468" spans="1:14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32"/>
      <c r="K468" s="4"/>
      <c r="L468" s="4"/>
      <c r="M468" s="4"/>
      <c r="N468" s="4"/>
    </row>
    <row r="469" spans="1:14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32"/>
      <c r="K469" s="4"/>
      <c r="L469" s="4"/>
      <c r="M469" s="4"/>
      <c r="N469" s="4"/>
    </row>
    <row r="470" spans="1:14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32"/>
      <c r="K470" s="4"/>
      <c r="L470" s="4"/>
      <c r="M470" s="4"/>
      <c r="N470" s="4"/>
    </row>
    <row r="471" spans="1:14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32"/>
      <c r="K471" s="4"/>
      <c r="L471" s="4"/>
      <c r="M471" s="4"/>
      <c r="N471" s="4"/>
    </row>
    <row r="472" spans="1:14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32"/>
      <c r="K472" s="4"/>
      <c r="L472" s="4"/>
      <c r="M472" s="4"/>
      <c r="N472" s="4"/>
    </row>
    <row r="473" spans="1:14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32"/>
      <c r="K473" s="4"/>
      <c r="L473" s="4"/>
      <c r="M473" s="4"/>
      <c r="N473" s="4"/>
    </row>
    <row r="474" spans="1:14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32"/>
      <c r="K474" s="4"/>
      <c r="L474" s="4"/>
      <c r="M474" s="4"/>
      <c r="N474" s="4"/>
    </row>
    <row r="475" spans="1:14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32"/>
      <c r="K475" s="4"/>
      <c r="L475" s="4"/>
      <c r="M475" s="4"/>
      <c r="N475" s="4"/>
    </row>
    <row r="476" spans="1:14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32"/>
      <c r="K476" s="4"/>
      <c r="L476" s="4"/>
      <c r="M476" s="4"/>
      <c r="N476" s="4"/>
    </row>
    <row r="477" spans="1:14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32"/>
      <c r="K477" s="4"/>
      <c r="L477" s="4"/>
      <c r="M477" s="4"/>
      <c r="N477" s="4"/>
    </row>
    <row r="478" spans="1:14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32"/>
      <c r="K478" s="4"/>
      <c r="L478" s="4"/>
      <c r="M478" s="4"/>
      <c r="N478" s="4"/>
    </row>
    <row r="479" spans="1:14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32"/>
      <c r="K479" s="4"/>
      <c r="L479" s="4"/>
      <c r="M479" s="4"/>
      <c r="N479" s="4"/>
    </row>
    <row r="480" spans="1:14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32"/>
      <c r="K480" s="4"/>
      <c r="L480" s="4"/>
      <c r="M480" s="4"/>
      <c r="N480" s="4"/>
    </row>
    <row r="481" spans="1:14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32"/>
      <c r="K481" s="4"/>
      <c r="L481" s="4"/>
      <c r="M481" s="4"/>
      <c r="N481" s="4"/>
    </row>
    <row r="482" spans="1:14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32"/>
      <c r="K482" s="4"/>
      <c r="L482" s="4"/>
      <c r="M482" s="4"/>
      <c r="N482" s="4"/>
    </row>
    <row r="483" spans="1:14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32"/>
      <c r="K483" s="4"/>
      <c r="L483" s="4"/>
      <c r="M483" s="4"/>
      <c r="N483" s="4"/>
    </row>
    <row r="484" spans="1:14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32"/>
      <c r="K484" s="4"/>
      <c r="L484" s="4"/>
      <c r="M484" s="4"/>
      <c r="N484" s="4"/>
    </row>
    <row r="485" spans="1:14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32"/>
      <c r="K485" s="4"/>
      <c r="L485" s="4"/>
      <c r="M485" s="4"/>
      <c r="N485" s="4"/>
    </row>
    <row r="486" spans="1:14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32"/>
      <c r="K486" s="4"/>
      <c r="L486" s="4"/>
      <c r="M486" s="4"/>
      <c r="N486" s="4"/>
    </row>
    <row r="487" spans="1:14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32"/>
      <c r="K487" s="4"/>
      <c r="L487" s="4"/>
      <c r="M487" s="4"/>
      <c r="N487" s="4"/>
    </row>
    <row r="488" spans="1:14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32"/>
      <c r="K488" s="4"/>
      <c r="L488" s="4"/>
      <c r="M488" s="4"/>
      <c r="N488" s="4"/>
    </row>
    <row r="489" spans="1:14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32"/>
      <c r="K489" s="4"/>
      <c r="L489" s="4"/>
      <c r="M489" s="4"/>
      <c r="N489" s="4"/>
    </row>
    <row r="490" spans="1:14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32"/>
      <c r="K490" s="4"/>
      <c r="L490" s="4"/>
      <c r="M490" s="4"/>
      <c r="N490" s="4"/>
    </row>
    <row r="491" spans="1:14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32"/>
      <c r="K491" s="4"/>
      <c r="L491" s="4"/>
      <c r="M491" s="4"/>
      <c r="N491" s="4"/>
    </row>
    <row r="492" spans="1:14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32"/>
      <c r="K492" s="4"/>
      <c r="L492" s="4"/>
      <c r="M492" s="4"/>
      <c r="N492" s="4"/>
    </row>
    <row r="493" spans="1:14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32"/>
      <c r="K493" s="4"/>
      <c r="L493" s="4"/>
      <c r="M493" s="4"/>
      <c r="N493" s="4"/>
    </row>
    <row r="494" spans="1:14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32"/>
      <c r="K494" s="4"/>
      <c r="L494" s="4"/>
      <c r="M494" s="4"/>
      <c r="N494" s="4"/>
    </row>
    <row r="495" spans="1:14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32"/>
      <c r="K495" s="4"/>
      <c r="L495" s="4"/>
      <c r="M495" s="4"/>
      <c r="N495" s="4"/>
    </row>
    <row r="496" spans="1:14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32"/>
      <c r="K496" s="4"/>
      <c r="L496" s="4"/>
      <c r="M496" s="4"/>
      <c r="N496" s="4"/>
    </row>
    <row r="497" spans="1:14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32"/>
      <c r="K497" s="4"/>
      <c r="L497" s="4"/>
      <c r="M497" s="4"/>
      <c r="N497" s="4"/>
    </row>
    <row r="498" spans="1:14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32"/>
      <c r="K498" s="4"/>
      <c r="L498" s="4"/>
      <c r="M498" s="4"/>
      <c r="N498" s="4"/>
    </row>
    <row r="499" spans="1:14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32"/>
      <c r="K499" s="4"/>
      <c r="L499" s="4"/>
      <c r="M499" s="4"/>
      <c r="N499" s="4"/>
    </row>
    <row r="500" spans="1:14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32"/>
      <c r="K500" s="4"/>
      <c r="L500" s="4"/>
      <c r="M500" s="4"/>
      <c r="N500" s="4"/>
    </row>
    <row r="501" spans="1:14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32"/>
      <c r="K501" s="4"/>
      <c r="L501" s="4"/>
      <c r="M501" s="4"/>
      <c r="N501" s="4"/>
    </row>
    <row r="502" spans="1:14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32"/>
      <c r="K502" s="4"/>
      <c r="L502" s="4"/>
      <c r="M502" s="4"/>
      <c r="N502" s="4"/>
    </row>
    <row r="503" spans="1:14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32"/>
      <c r="K503" s="4"/>
      <c r="L503" s="4"/>
      <c r="M503" s="4"/>
      <c r="N503" s="4"/>
    </row>
    <row r="504" spans="1:14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32"/>
      <c r="K504" s="4"/>
      <c r="L504" s="4"/>
      <c r="M504" s="4"/>
      <c r="N504" s="4"/>
    </row>
    <row r="505" spans="1:14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32"/>
      <c r="K505" s="4"/>
      <c r="L505" s="4"/>
      <c r="M505" s="4"/>
      <c r="N505" s="4"/>
    </row>
    <row r="506" spans="1:14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32"/>
      <c r="K506" s="4"/>
      <c r="L506" s="4"/>
      <c r="M506" s="4"/>
      <c r="N506" s="4"/>
    </row>
    <row r="507" spans="1:14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32"/>
      <c r="K507" s="4"/>
      <c r="L507" s="4"/>
      <c r="M507" s="4"/>
      <c r="N507" s="4"/>
    </row>
    <row r="508" spans="1:14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32"/>
      <c r="K508" s="4"/>
      <c r="L508" s="4"/>
      <c r="M508" s="4"/>
      <c r="N508" s="4"/>
    </row>
    <row r="509" spans="1:14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32"/>
      <c r="K509" s="4"/>
      <c r="L509" s="4"/>
      <c r="M509" s="4"/>
      <c r="N509" s="4"/>
    </row>
    <row r="510" spans="1:14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32"/>
      <c r="K510" s="4"/>
      <c r="L510" s="4"/>
      <c r="M510" s="4"/>
      <c r="N510" s="4"/>
    </row>
    <row r="511" spans="1:14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32"/>
      <c r="K511" s="4"/>
      <c r="L511" s="4"/>
      <c r="M511" s="4"/>
      <c r="N511" s="4"/>
    </row>
    <row r="512" spans="1:14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32"/>
      <c r="K512" s="4"/>
      <c r="L512" s="4"/>
      <c r="M512" s="4"/>
      <c r="N512" s="4"/>
    </row>
    <row r="513" spans="1:14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32"/>
      <c r="K513" s="4"/>
      <c r="L513" s="4"/>
      <c r="M513" s="4"/>
      <c r="N513" s="4"/>
    </row>
    <row r="514" spans="1:14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32"/>
      <c r="K514" s="4"/>
      <c r="L514" s="4"/>
      <c r="M514" s="4"/>
      <c r="N514" s="4"/>
    </row>
    <row r="515" spans="1:14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32"/>
      <c r="K515" s="4"/>
      <c r="L515" s="4"/>
      <c r="M515" s="4"/>
      <c r="N515" s="4"/>
    </row>
    <row r="516" spans="1:14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32"/>
      <c r="K516" s="4"/>
      <c r="L516" s="4"/>
      <c r="M516" s="4"/>
      <c r="N516" s="4"/>
    </row>
    <row r="517" spans="1:14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32"/>
      <c r="K517" s="4"/>
      <c r="L517" s="4"/>
      <c r="M517" s="4"/>
      <c r="N517" s="4"/>
    </row>
    <row r="518" spans="1:14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32"/>
      <c r="K518" s="4"/>
      <c r="L518" s="4"/>
      <c r="M518" s="4"/>
      <c r="N518" s="4"/>
    </row>
    <row r="519" spans="1:14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32"/>
      <c r="K519" s="4"/>
      <c r="L519" s="4"/>
      <c r="M519" s="4"/>
      <c r="N519" s="4"/>
    </row>
    <row r="520" spans="1:14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32"/>
      <c r="K520" s="4"/>
      <c r="L520" s="4"/>
      <c r="M520" s="4"/>
      <c r="N520" s="4"/>
    </row>
    <row r="521" spans="1:14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32"/>
      <c r="K521" s="4"/>
      <c r="L521" s="4"/>
      <c r="M521" s="4"/>
      <c r="N521" s="4"/>
    </row>
    <row r="522" spans="1:14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32"/>
      <c r="K522" s="4"/>
      <c r="L522" s="4"/>
      <c r="M522" s="4"/>
      <c r="N522" s="4"/>
    </row>
    <row r="523" spans="1:14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32"/>
      <c r="K523" s="4"/>
      <c r="L523" s="4"/>
      <c r="M523" s="4"/>
      <c r="N523" s="4"/>
    </row>
    <row r="524" spans="1:14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32"/>
      <c r="K524" s="4"/>
      <c r="L524" s="4"/>
      <c r="M524" s="4"/>
      <c r="N524" s="4"/>
    </row>
    <row r="525" spans="1:14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32"/>
      <c r="K525" s="4"/>
      <c r="L525" s="4"/>
      <c r="M525" s="4"/>
      <c r="N525" s="4"/>
    </row>
    <row r="526" spans="1:14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32"/>
      <c r="K526" s="4"/>
      <c r="L526" s="4"/>
      <c r="M526" s="4"/>
      <c r="N526" s="4"/>
    </row>
    <row r="527" spans="1:14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32"/>
      <c r="K527" s="4"/>
      <c r="L527" s="4"/>
      <c r="M527" s="4"/>
      <c r="N527" s="4"/>
    </row>
    <row r="528" spans="1:14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32"/>
      <c r="K528" s="4"/>
      <c r="L528" s="4"/>
      <c r="M528" s="4"/>
      <c r="N528" s="4"/>
    </row>
    <row r="529" spans="1:14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32"/>
      <c r="K529" s="4"/>
      <c r="L529" s="4"/>
      <c r="M529" s="4"/>
      <c r="N529" s="4"/>
    </row>
    <row r="530" spans="1:14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32"/>
      <c r="K530" s="4"/>
      <c r="L530" s="4"/>
      <c r="M530" s="4"/>
      <c r="N530" s="4"/>
    </row>
    <row r="531" spans="1:14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32"/>
      <c r="K531" s="4"/>
      <c r="L531" s="4"/>
      <c r="M531" s="4"/>
      <c r="N531" s="4"/>
    </row>
    <row r="532" spans="1:14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32"/>
      <c r="K532" s="4"/>
      <c r="L532" s="4"/>
      <c r="M532" s="4"/>
      <c r="N532" s="4"/>
    </row>
    <row r="533" spans="1:14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32"/>
      <c r="K533" s="4"/>
      <c r="L533" s="4"/>
      <c r="M533" s="4"/>
      <c r="N533" s="4"/>
    </row>
    <row r="534" spans="1:14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32"/>
      <c r="K534" s="4"/>
      <c r="L534" s="4"/>
      <c r="M534" s="4"/>
      <c r="N534" s="4"/>
    </row>
    <row r="535" spans="1:14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32"/>
      <c r="K535" s="4"/>
      <c r="L535" s="4"/>
      <c r="M535" s="4"/>
      <c r="N535" s="4"/>
    </row>
    <row r="536" spans="1:14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32"/>
      <c r="K536" s="4"/>
      <c r="L536" s="4"/>
      <c r="M536" s="4"/>
      <c r="N536" s="4"/>
    </row>
    <row r="537" spans="1:14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32"/>
      <c r="K537" s="4"/>
      <c r="L537" s="4"/>
      <c r="M537" s="4"/>
      <c r="N537" s="4"/>
    </row>
    <row r="538" spans="1:14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32"/>
      <c r="K538" s="4"/>
      <c r="L538" s="4"/>
      <c r="M538" s="4"/>
      <c r="N538" s="4"/>
    </row>
    <row r="539" spans="1:14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32"/>
      <c r="K539" s="4"/>
      <c r="L539" s="4"/>
      <c r="M539" s="4"/>
      <c r="N539" s="4"/>
    </row>
    <row r="540" spans="1:14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32"/>
      <c r="K540" s="4"/>
      <c r="L540" s="4"/>
      <c r="M540" s="4"/>
      <c r="N540" s="4"/>
    </row>
    <row r="541" spans="1:14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32"/>
      <c r="K541" s="4"/>
      <c r="L541" s="4"/>
      <c r="M541" s="4"/>
      <c r="N541" s="4"/>
    </row>
    <row r="542" spans="1:14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32"/>
      <c r="K542" s="4"/>
      <c r="L542" s="4"/>
      <c r="M542" s="4"/>
      <c r="N542" s="4"/>
    </row>
    <row r="543" spans="1:14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32"/>
      <c r="K543" s="4"/>
      <c r="L543" s="4"/>
      <c r="M543" s="4"/>
      <c r="N543" s="4"/>
    </row>
    <row r="544" spans="1:14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32"/>
      <c r="K544" s="4"/>
      <c r="L544" s="4"/>
      <c r="M544" s="4"/>
      <c r="N544" s="4"/>
    </row>
    <row r="545" spans="1:14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32"/>
      <c r="K545" s="4"/>
      <c r="L545" s="4"/>
      <c r="M545" s="4"/>
      <c r="N545" s="4"/>
    </row>
    <row r="546" spans="1:14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32"/>
      <c r="K546" s="4"/>
      <c r="L546" s="4"/>
      <c r="M546" s="4"/>
      <c r="N546" s="4"/>
    </row>
    <row r="547" spans="1:14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32"/>
      <c r="K547" s="4"/>
      <c r="L547" s="4"/>
      <c r="M547" s="4"/>
      <c r="N547" s="4"/>
    </row>
    <row r="548" spans="1:14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32"/>
      <c r="K548" s="4"/>
      <c r="L548" s="4"/>
      <c r="M548" s="4"/>
      <c r="N548" s="4"/>
    </row>
    <row r="549" spans="1:14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32"/>
      <c r="K549" s="4"/>
      <c r="L549" s="4"/>
      <c r="M549" s="4"/>
      <c r="N549" s="4"/>
    </row>
    <row r="550" spans="1:14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32"/>
      <c r="K550" s="4"/>
      <c r="L550" s="4"/>
      <c r="M550" s="4"/>
      <c r="N550" s="4"/>
    </row>
    <row r="551" spans="1:14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32"/>
      <c r="K551" s="4"/>
      <c r="L551" s="4"/>
      <c r="M551" s="4"/>
      <c r="N551" s="4"/>
    </row>
    <row r="552" spans="1:14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32"/>
      <c r="K552" s="4"/>
      <c r="L552" s="4"/>
      <c r="M552" s="4"/>
      <c r="N552" s="4"/>
    </row>
    <row r="553" spans="1:14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32"/>
      <c r="K553" s="4"/>
      <c r="L553" s="4"/>
      <c r="M553" s="4"/>
      <c r="N553" s="4"/>
    </row>
    <row r="554" spans="1:14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32"/>
      <c r="K554" s="4"/>
      <c r="L554" s="4"/>
      <c r="M554" s="4"/>
      <c r="N554" s="4"/>
    </row>
    <row r="555" spans="1:14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32"/>
      <c r="K555" s="4"/>
      <c r="L555" s="4"/>
      <c r="M555" s="4"/>
      <c r="N555" s="4"/>
    </row>
    <row r="556" spans="1:14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32"/>
      <c r="K556" s="4"/>
      <c r="L556" s="4"/>
      <c r="M556" s="4"/>
      <c r="N556" s="4"/>
    </row>
    <row r="557" spans="1:14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32"/>
      <c r="K557" s="4"/>
      <c r="L557" s="4"/>
      <c r="M557" s="4"/>
      <c r="N557" s="4"/>
    </row>
    <row r="558" spans="1:14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32"/>
      <c r="K558" s="4"/>
      <c r="L558" s="4"/>
      <c r="M558" s="4"/>
      <c r="N558" s="4"/>
    </row>
    <row r="559" spans="1:14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32"/>
      <c r="K559" s="4"/>
      <c r="L559" s="4"/>
      <c r="M559" s="4"/>
      <c r="N559" s="4"/>
    </row>
    <row r="560" spans="1:14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32"/>
      <c r="K560" s="4"/>
      <c r="L560" s="4"/>
      <c r="M560" s="4"/>
      <c r="N560" s="4"/>
    </row>
    <row r="561" spans="1:14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32"/>
      <c r="K561" s="4"/>
      <c r="L561" s="4"/>
      <c r="M561" s="4"/>
      <c r="N561" s="4"/>
    </row>
    <row r="562" spans="1:14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32"/>
      <c r="K562" s="4"/>
      <c r="L562" s="4"/>
      <c r="M562" s="4"/>
      <c r="N562" s="4"/>
    </row>
    <row r="563" spans="1:14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32"/>
      <c r="K563" s="4"/>
      <c r="L563" s="4"/>
      <c r="M563" s="4"/>
      <c r="N563" s="4"/>
    </row>
    <row r="564" spans="1:14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32"/>
      <c r="K564" s="4"/>
      <c r="L564" s="4"/>
      <c r="M564" s="4"/>
      <c r="N564" s="4"/>
    </row>
    <row r="565" spans="1:14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32"/>
      <c r="K565" s="4"/>
      <c r="L565" s="4"/>
      <c r="M565" s="4"/>
      <c r="N565" s="4"/>
    </row>
    <row r="566" spans="1:14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32"/>
      <c r="K566" s="4"/>
      <c r="L566" s="4"/>
      <c r="M566" s="4"/>
      <c r="N566" s="4"/>
    </row>
    <row r="567" spans="1:14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32"/>
      <c r="K567" s="4"/>
      <c r="L567" s="4"/>
      <c r="M567" s="4"/>
      <c r="N567" s="4"/>
    </row>
    <row r="568" spans="1:14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32"/>
      <c r="K568" s="4"/>
      <c r="L568" s="4"/>
      <c r="M568" s="4"/>
      <c r="N568" s="4"/>
    </row>
    <row r="569" spans="1:14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32"/>
      <c r="K569" s="4"/>
      <c r="L569" s="4"/>
      <c r="M569" s="4"/>
      <c r="N569" s="4"/>
    </row>
    <row r="570" spans="1:14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32"/>
      <c r="K570" s="4"/>
      <c r="L570" s="4"/>
      <c r="M570" s="4"/>
      <c r="N570" s="4"/>
    </row>
    <row r="571" spans="1:14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32"/>
      <c r="K571" s="4"/>
      <c r="L571" s="4"/>
      <c r="M571" s="4"/>
      <c r="N571" s="4"/>
    </row>
    <row r="572" spans="1:14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32"/>
      <c r="K572" s="4"/>
      <c r="L572" s="4"/>
      <c r="M572" s="4"/>
      <c r="N572" s="4"/>
    </row>
    <row r="573" spans="1:14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32"/>
      <c r="K573" s="4"/>
      <c r="L573" s="4"/>
      <c r="M573" s="4"/>
      <c r="N573" s="4"/>
    </row>
    <row r="574" spans="1:14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32"/>
      <c r="K574" s="4"/>
      <c r="L574" s="4"/>
      <c r="M574" s="4"/>
      <c r="N574" s="4"/>
    </row>
    <row r="575" spans="1:14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32"/>
      <c r="K575" s="4"/>
      <c r="L575" s="4"/>
      <c r="M575" s="4"/>
      <c r="N575" s="4"/>
    </row>
    <row r="576" spans="1:14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32"/>
      <c r="K576" s="4"/>
      <c r="L576" s="4"/>
      <c r="M576" s="4"/>
      <c r="N576" s="4"/>
    </row>
    <row r="577" spans="1:14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32"/>
      <c r="K577" s="4"/>
      <c r="L577" s="4"/>
      <c r="M577" s="4"/>
      <c r="N577" s="4"/>
    </row>
    <row r="578" spans="1:14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32"/>
      <c r="K578" s="4"/>
      <c r="L578" s="4"/>
      <c r="M578" s="4"/>
      <c r="N578" s="4"/>
    </row>
    <row r="579" spans="1:14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32"/>
      <c r="K579" s="4"/>
      <c r="L579" s="4"/>
      <c r="M579" s="4"/>
      <c r="N579" s="4"/>
    </row>
    <row r="580" spans="1:14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32"/>
      <c r="K580" s="4"/>
      <c r="L580" s="4"/>
      <c r="M580" s="4"/>
      <c r="N580" s="4"/>
    </row>
    <row r="581" spans="1:14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32"/>
      <c r="K581" s="4"/>
      <c r="L581" s="4"/>
      <c r="M581" s="4"/>
      <c r="N581" s="4"/>
    </row>
    <row r="582" spans="1:14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32"/>
      <c r="K582" s="4"/>
      <c r="L582" s="4"/>
      <c r="M582" s="4"/>
      <c r="N582" s="4"/>
    </row>
    <row r="583" spans="1:14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32"/>
      <c r="K583" s="4"/>
      <c r="L583" s="4"/>
      <c r="M583" s="4"/>
      <c r="N583" s="4"/>
    </row>
    <row r="584" spans="1:14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32"/>
      <c r="K584" s="4"/>
      <c r="L584" s="4"/>
      <c r="M584" s="4"/>
      <c r="N584" s="4"/>
    </row>
    <row r="585" spans="1:14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32"/>
      <c r="K585" s="4"/>
      <c r="L585" s="4"/>
      <c r="M585" s="4"/>
      <c r="N585" s="4"/>
    </row>
    <row r="586" spans="1:14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32"/>
      <c r="K586" s="4"/>
      <c r="L586" s="4"/>
      <c r="M586" s="4"/>
      <c r="N586" s="4"/>
    </row>
    <row r="587" spans="1:14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32"/>
      <c r="K587" s="4"/>
      <c r="L587" s="4"/>
      <c r="M587" s="4"/>
      <c r="N587" s="4"/>
    </row>
    <row r="588" spans="1:14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32"/>
      <c r="K588" s="4"/>
      <c r="L588" s="4"/>
      <c r="M588" s="4"/>
      <c r="N588" s="4"/>
    </row>
    <row r="589" spans="1:14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32"/>
      <c r="K589" s="4"/>
      <c r="L589" s="4"/>
      <c r="M589" s="4"/>
      <c r="N589" s="4"/>
    </row>
    <row r="590" spans="1:14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32"/>
      <c r="K590" s="4"/>
      <c r="L590" s="4"/>
      <c r="M590" s="4"/>
      <c r="N590" s="4"/>
    </row>
    <row r="591" spans="1:14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32"/>
      <c r="K591" s="4"/>
      <c r="L591" s="4"/>
      <c r="M591" s="4"/>
      <c r="N591" s="4"/>
    </row>
    <row r="592" spans="1:14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32"/>
      <c r="K592" s="4"/>
      <c r="L592" s="4"/>
      <c r="M592" s="4"/>
      <c r="N592" s="4"/>
    </row>
    <row r="593" spans="1:14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32"/>
      <c r="K593" s="4"/>
      <c r="L593" s="4"/>
      <c r="M593" s="4"/>
      <c r="N593" s="4"/>
    </row>
    <row r="594" spans="1:14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32"/>
      <c r="K594" s="4"/>
      <c r="L594" s="4"/>
      <c r="M594" s="4"/>
      <c r="N594" s="4"/>
    </row>
    <row r="595" spans="1:14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32"/>
      <c r="K595" s="4"/>
      <c r="L595" s="4"/>
      <c r="M595" s="4"/>
      <c r="N595" s="4"/>
    </row>
    <row r="596" spans="1:14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32"/>
      <c r="K596" s="4"/>
      <c r="L596" s="4"/>
      <c r="M596" s="4"/>
      <c r="N596" s="4"/>
    </row>
    <row r="597" spans="1:14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32"/>
      <c r="K597" s="4"/>
      <c r="L597" s="4"/>
      <c r="M597" s="4"/>
      <c r="N597" s="4"/>
    </row>
    <row r="598" spans="1:14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32"/>
      <c r="K598" s="4"/>
      <c r="L598" s="4"/>
      <c r="M598" s="4"/>
      <c r="N598" s="4"/>
    </row>
    <row r="599" spans="1:14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32"/>
      <c r="K599" s="4"/>
      <c r="L599" s="4"/>
      <c r="M599" s="4"/>
      <c r="N599" s="4"/>
    </row>
    <row r="600" spans="1:14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32"/>
      <c r="K600" s="4"/>
      <c r="L600" s="4"/>
      <c r="M600" s="4"/>
      <c r="N600" s="4"/>
    </row>
    <row r="601" spans="1:14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32"/>
      <c r="K601" s="4"/>
      <c r="L601" s="4"/>
      <c r="M601" s="4"/>
      <c r="N601" s="4"/>
    </row>
    <row r="602" spans="1:14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32"/>
      <c r="K602" s="4"/>
      <c r="L602" s="4"/>
      <c r="M602" s="4"/>
      <c r="N602" s="4"/>
    </row>
    <row r="603" spans="1:14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32"/>
      <c r="K603" s="4"/>
      <c r="L603" s="4"/>
      <c r="M603" s="4"/>
      <c r="N603" s="4"/>
    </row>
    <row r="604" spans="1:14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32"/>
      <c r="K604" s="4"/>
      <c r="L604" s="4"/>
      <c r="M604" s="4"/>
      <c r="N604" s="4"/>
    </row>
    <row r="605" spans="1:14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32"/>
      <c r="K605" s="4"/>
      <c r="L605" s="4"/>
      <c r="M605" s="4"/>
      <c r="N605" s="4"/>
    </row>
    <row r="606" spans="1:14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32"/>
      <c r="K606" s="4"/>
      <c r="L606" s="4"/>
      <c r="M606" s="4"/>
      <c r="N606" s="4"/>
    </row>
    <row r="607" spans="1:14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32"/>
      <c r="K607" s="4"/>
      <c r="L607" s="4"/>
      <c r="M607" s="4"/>
      <c r="N607" s="4"/>
    </row>
    <row r="608" spans="1:14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32"/>
      <c r="K608" s="4"/>
      <c r="L608" s="4"/>
      <c r="M608" s="4"/>
      <c r="N608" s="4"/>
    </row>
    <row r="609" spans="1:14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32"/>
      <c r="K609" s="4"/>
      <c r="L609" s="4"/>
      <c r="M609" s="4"/>
      <c r="N609" s="4"/>
    </row>
    <row r="610" spans="1:14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32"/>
      <c r="K610" s="4"/>
      <c r="L610" s="4"/>
      <c r="M610" s="4"/>
      <c r="N610" s="4"/>
    </row>
    <row r="611" spans="1:14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32"/>
      <c r="K611" s="4"/>
      <c r="L611" s="4"/>
      <c r="M611" s="4"/>
      <c r="N611" s="4"/>
    </row>
    <row r="612" spans="1:14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32"/>
      <c r="K612" s="4"/>
      <c r="L612" s="4"/>
      <c r="M612" s="4"/>
      <c r="N612" s="4"/>
    </row>
    <row r="613" spans="1:14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32"/>
      <c r="K613" s="4"/>
      <c r="L613" s="4"/>
      <c r="M613" s="4"/>
      <c r="N613" s="4"/>
    </row>
    <row r="614" spans="1:14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32"/>
      <c r="K614" s="4"/>
      <c r="L614" s="4"/>
      <c r="M614" s="4"/>
      <c r="N614" s="4"/>
    </row>
    <row r="615" spans="1:14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32"/>
      <c r="K615" s="4"/>
      <c r="L615" s="4"/>
      <c r="M615" s="4"/>
      <c r="N615" s="4"/>
    </row>
    <row r="616" spans="1:14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32"/>
      <c r="K616" s="4"/>
      <c r="L616" s="4"/>
      <c r="M616" s="4"/>
      <c r="N616" s="4"/>
    </row>
    <row r="617" spans="1:14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32"/>
      <c r="K617" s="4"/>
      <c r="L617" s="4"/>
      <c r="M617" s="4"/>
      <c r="N617" s="4"/>
    </row>
    <row r="618" spans="1:14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32"/>
      <c r="K618" s="4"/>
      <c r="L618" s="4"/>
      <c r="M618" s="4"/>
      <c r="N618" s="4"/>
    </row>
    <row r="619" spans="1:14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32"/>
      <c r="K619" s="4"/>
      <c r="L619" s="4"/>
      <c r="M619" s="4"/>
      <c r="N619" s="4"/>
    </row>
    <row r="620" spans="1:14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32"/>
      <c r="K620" s="4"/>
      <c r="L620" s="4"/>
      <c r="M620" s="4"/>
      <c r="N620" s="4"/>
    </row>
    <row r="621" spans="1:14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32"/>
      <c r="K621" s="4"/>
      <c r="L621" s="4"/>
      <c r="M621" s="4"/>
      <c r="N621" s="4"/>
    </row>
    <row r="622" spans="1:14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32"/>
      <c r="K622" s="4"/>
      <c r="L622" s="4"/>
      <c r="M622" s="4"/>
      <c r="N622" s="4"/>
    </row>
    <row r="623" spans="1:14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32"/>
      <c r="K623" s="4"/>
      <c r="L623" s="4"/>
      <c r="M623" s="4"/>
      <c r="N623" s="4"/>
    </row>
    <row r="624" spans="1:14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32"/>
      <c r="K624" s="4"/>
      <c r="L624" s="4"/>
      <c r="M624" s="4"/>
      <c r="N624" s="4"/>
    </row>
    <row r="625" spans="1:14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32"/>
      <c r="K625" s="4"/>
      <c r="L625" s="4"/>
      <c r="M625" s="4"/>
      <c r="N625" s="4"/>
    </row>
    <row r="626" spans="1:14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32"/>
      <c r="K626" s="4"/>
      <c r="L626" s="4"/>
      <c r="M626" s="4"/>
      <c r="N626" s="4"/>
    </row>
    <row r="627" spans="1:14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32"/>
      <c r="K627" s="4"/>
      <c r="L627" s="4"/>
      <c r="M627" s="4"/>
      <c r="N627" s="4"/>
    </row>
    <row r="628" spans="1:14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32"/>
      <c r="K628" s="4"/>
      <c r="L628" s="4"/>
      <c r="M628" s="4"/>
      <c r="N628" s="4"/>
    </row>
    <row r="629" spans="1:14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32"/>
      <c r="K629" s="4"/>
      <c r="L629" s="4"/>
      <c r="M629" s="4"/>
      <c r="N629" s="4"/>
    </row>
    <row r="630" spans="1:14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32"/>
      <c r="K630" s="4"/>
      <c r="L630" s="4"/>
      <c r="M630" s="4"/>
      <c r="N630" s="4"/>
    </row>
    <row r="631" spans="1:14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32"/>
      <c r="K631" s="4"/>
      <c r="L631" s="4"/>
      <c r="M631" s="4"/>
      <c r="N631" s="4"/>
    </row>
    <row r="632" spans="1:14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32"/>
      <c r="K632" s="4"/>
      <c r="L632" s="4"/>
      <c r="M632" s="4"/>
      <c r="N632" s="4"/>
    </row>
    <row r="633" spans="1:14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32"/>
      <c r="K633" s="4"/>
      <c r="L633" s="4"/>
      <c r="M633" s="4"/>
      <c r="N633" s="4"/>
    </row>
    <row r="634" spans="1:14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32"/>
      <c r="K634" s="4"/>
      <c r="L634" s="4"/>
      <c r="M634" s="4"/>
      <c r="N634" s="4"/>
    </row>
    <row r="635" spans="1:14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32"/>
      <c r="K635" s="4"/>
      <c r="L635" s="4"/>
      <c r="M635" s="4"/>
      <c r="N635" s="4"/>
    </row>
    <row r="636" spans="1:14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32"/>
      <c r="K636" s="4"/>
      <c r="L636" s="4"/>
      <c r="M636" s="4"/>
      <c r="N636" s="4"/>
    </row>
    <row r="637" spans="1:14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32"/>
      <c r="K637" s="4"/>
      <c r="L637" s="4"/>
      <c r="M637" s="4"/>
      <c r="N637" s="4"/>
    </row>
    <row r="638" spans="1:14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32"/>
      <c r="K638" s="4"/>
      <c r="L638" s="4"/>
      <c r="M638" s="4"/>
      <c r="N638" s="4"/>
    </row>
    <row r="639" spans="1:14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32"/>
      <c r="K639" s="4"/>
      <c r="L639" s="4"/>
      <c r="M639" s="4"/>
      <c r="N639" s="4"/>
    </row>
    <row r="640" spans="1:14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32"/>
      <c r="K640" s="4"/>
      <c r="L640" s="4"/>
      <c r="M640" s="4"/>
      <c r="N640" s="4"/>
    </row>
    <row r="641" spans="1:14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32"/>
      <c r="K641" s="4"/>
      <c r="L641" s="4"/>
      <c r="M641" s="4"/>
      <c r="N641" s="4"/>
    </row>
    <row r="642" spans="1:14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32"/>
      <c r="K642" s="4"/>
      <c r="L642" s="4"/>
      <c r="M642" s="4"/>
      <c r="N642" s="4"/>
    </row>
    <row r="643" spans="1:14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32"/>
      <c r="K643" s="4"/>
      <c r="L643" s="4"/>
      <c r="M643" s="4"/>
      <c r="N643" s="4"/>
    </row>
    <row r="644" spans="1:14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32"/>
      <c r="K644" s="4"/>
      <c r="L644" s="4"/>
      <c r="M644" s="4"/>
      <c r="N644" s="4"/>
    </row>
    <row r="645" spans="1:14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32"/>
      <c r="K645" s="4"/>
      <c r="L645" s="4"/>
      <c r="M645" s="4"/>
      <c r="N645" s="4"/>
    </row>
    <row r="646" spans="1:14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32"/>
      <c r="K646" s="4"/>
      <c r="L646" s="4"/>
      <c r="M646" s="4"/>
      <c r="N646" s="4"/>
    </row>
    <row r="647" spans="1:14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32"/>
      <c r="K647" s="4"/>
      <c r="L647" s="4"/>
      <c r="M647" s="4"/>
      <c r="N647" s="4"/>
    </row>
    <row r="648" spans="1:14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32"/>
      <c r="K648" s="4"/>
      <c r="L648" s="4"/>
      <c r="M648" s="4"/>
      <c r="N648" s="4"/>
    </row>
    <row r="649" spans="1:14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32"/>
      <c r="K649" s="4"/>
      <c r="L649" s="4"/>
      <c r="M649" s="4"/>
      <c r="N649" s="4"/>
    </row>
    <row r="650" spans="1:14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32"/>
      <c r="K650" s="4"/>
      <c r="L650" s="4"/>
      <c r="M650" s="4"/>
      <c r="N650" s="4"/>
    </row>
    <row r="651" spans="1:14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32"/>
      <c r="K651" s="4"/>
      <c r="L651" s="4"/>
      <c r="M651" s="4"/>
      <c r="N651" s="4"/>
    </row>
    <row r="652" spans="1:14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32"/>
      <c r="K652" s="4"/>
      <c r="L652" s="4"/>
      <c r="M652" s="4"/>
      <c r="N652" s="4"/>
    </row>
    <row r="653" spans="1:14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32"/>
      <c r="K653" s="4"/>
      <c r="L653" s="4"/>
      <c r="M653" s="4"/>
      <c r="N653" s="4"/>
    </row>
    <row r="654" spans="1:14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32"/>
      <c r="K654" s="4"/>
      <c r="L654" s="4"/>
      <c r="M654" s="4"/>
      <c r="N654" s="4"/>
    </row>
    <row r="655" spans="1:14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32"/>
      <c r="K655" s="4"/>
      <c r="L655" s="4"/>
      <c r="M655" s="4"/>
      <c r="N655" s="4"/>
    </row>
    <row r="656" spans="1:14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32"/>
      <c r="K656" s="4"/>
      <c r="L656" s="4"/>
      <c r="M656" s="4"/>
      <c r="N656" s="4"/>
    </row>
    <row r="657" spans="1:14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32"/>
      <c r="K657" s="4"/>
      <c r="L657" s="4"/>
      <c r="M657" s="4"/>
      <c r="N657" s="4"/>
    </row>
    <row r="658" spans="1:14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32"/>
      <c r="K658" s="4"/>
      <c r="L658" s="4"/>
      <c r="M658" s="4"/>
      <c r="N658" s="4"/>
    </row>
    <row r="659" spans="1:14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32"/>
      <c r="K659" s="4"/>
      <c r="L659" s="4"/>
      <c r="M659" s="4"/>
      <c r="N659" s="4"/>
    </row>
    <row r="660" spans="1:14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32"/>
      <c r="K660" s="4"/>
      <c r="L660" s="4"/>
      <c r="M660" s="4"/>
      <c r="N660" s="4"/>
    </row>
    <row r="661" spans="1:14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32"/>
      <c r="K661" s="4"/>
      <c r="L661" s="4"/>
      <c r="M661" s="4"/>
      <c r="N661" s="4"/>
    </row>
    <row r="662" spans="1:14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32"/>
      <c r="K662" s="4"/>
      <c r="L662" s="4"/>
      <c r="M662" s="4"/>
      <c r="N662" s="4"/>
    </row>
    <row r="663" spans="1:14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32"/>
      <c r="K663" s="4"/>
      <c r="L663" s="4"/>
      <c r="M663" s="4"/>
      <c r="N663" s="4"/>
    </row>
    <row r="664" spans="1:14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32"/>
      <c r="K664" s="4"/>
      <c r="L664" s="4"/>
      <c r="M664" s="4"/>
      <c r="N664" s="4"/>
    </row>
    <row r="665" spans="1:14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32"/>
      <c r="K665" s="4"/>
      <c r="L665" s="4"/>
      <c r="M665" s="4"/>
      <c r="N665" s="4"/>
    </row>
    <row r="666" spans="1:14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32"/>
      <c r="K666" s="4"/>
      <c r="L666" s="4"/>
      <c r="M666" s="4"/>
      <c r="N666" s="4"/>
    </row>
    <row r="667" spans="1:14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32"/>
      <c r="K667" s="4"/>
      <c r="L667" s="4"/>
      <c r="M667" s="4"/>
      <c r="N667" s="4"/>
    </row>
    <row r="668" spans="1:14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32"/>
      <c r="K668" s="4"/>
      <c r="L668" s="4"/>
      <c r="M668" s="4"/>
      <c r="N668" s="4"/>
    </row>
    <row r="669" spans="1:14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32"/>
      <c r="K669" s="4"/>
      <c r="L669" s="4"/>
      <c r="M669" s="4"/>
      <c r="N669" s="4"/>
    </row>
    <row r="670" spans="1:14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32"/>
      <c r="K670" s="4"/>
      <c r="L670" s="4"/>
      <c r="M670" s="4"/>
      <c r="N670" s="4"/>
    </row>
    <row r="671" spans="1:14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32"/>
      <c r="K671" s="4"/>
      <c r="L671" s="4"/>
      <c r="M671" s="4"/>
      <c r="N671" s="4"/>
    </row>
    <row r="672" spans="1:14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32"/>
      <c r="K672" s="4"/>
      <c r="L672" s="4"/>
      <c r="M672" s="4"/>
      <c r="N672" s="4"/>
    </row>
    <row r="673" spans="1:14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32"/>
      <c r="K673" s="4"/>
      <c r="L673" s="4"/>
      <c r="M673" s="4"/>
      <c r="N673" s="4"/>
    </row>
    <row r="674" spans="1:14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32"/>
      <c r="K674" s="4"/>
      <c r="L674" s="4"/>
      <c r="M674" s="4"/>
      <c r="N674" s="4"/>
    </row>
    <row r="675" spans="1:14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32"/>
      <c r="K675" s="4"/>
      <c r="L675" s="4"/>
      <c r="M675" s="4"/>
      <c r="N675" s="4"/>
    </row>
    <row r="676" spans="1:14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32"/>
      <c r="K676" s="4"/>
      <c r="L676" s="4"/>
      <c r="M676" s="4"/>
      <c r="N676" s="4"/>
    </row>
    <row r="677" spans="1:14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32"/>
      <c r="K677" s="4"/>
      <c r="L677" s="4"/>
      <c r="M677" s="4"/>
      <c r="N677" s="4"/>
    </row>
    <row r="678" spans="1:14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32"/>
      <c r="K678" s="4"/>
      <c r="L678" s="4"/>
      <c r="M678" s="4"/>
      <c r="N678" s="4"/>
    </row>
    <row r="679" spans="1:14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32"/>
      <c r="K679" s="4"/>
      <c r="L679" s="4"/>
      <c r="M679" s="4"/>
      <c r="N679" s="4"/>
    </row>
    <row r="680" spans="1:14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32"/>
      <c r="K680" s="4"/>
      <c r="L680" s="4"/>
      <c r="M680" s="4"/>
      <c r="N680" s="4"/>
    </row>
    <row r="681" spans="1:14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32"/>
      <c r="K681" s="4"/>
      <c r="L681" s="4"/>
      <c r="M681" s="4"/>
      <c r="N681" s="4"/>
    </row>
    <row r="682" spans="1:14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32"/>
      <c r="K682" s="4"/>
      <c r="L682" s="4"/>
      <c r="M682" s="4"/>
      <c r="N682" s="4"/>
    </row>
    <row r="683" spans="1:14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32"/>
      <c r="K683" s="4"/>
      <c r="L683" s="4"/>
      <c r="M683" s="4"/>
      <c r="N683" s="4"/>
    </row>
    <row r="684" spans="1:14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32"/>
      <c r="K684" s="4"/>
      <c r="L684" s="4"/>
      <c r="M684" s="4"/>
      <c r="N684" s="4"/>
    </row>
    <row r="685" spans="1:14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32"/>
      <c r="K685" s="4"/>
      <c r="L685" s="4"/>
      <c r="M685" s="4"/>
      <c r="N685" s="4"/>
    </row>
    <row r="686" spans="1:14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32"/>
      <c r="K686" s="4"/>
      <c r="L686" s="4"/>
      <c r="M686" s="4"/>
      <c r="N686" s="4"/>
    </row>
    <row r="687" spans="1:14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32"/>
      <c r="K687" s="4"/>
      <c r="L687" s="4"/>
      <c r="M687" s="4"/>
      <c r="N687" s="4"/>
    </row>
    <row r="688" spans="1:14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32"/>
      <c r="K688" s="4"/>
      <c r="L688" s="4"/>
      <c r="M688" s="4"/>
      <c r="N688" s="4"/>
    </row>
    <row r="689" spans="1:14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32"/>
      <c r="K689" s="4"/>
      <c r="L689" s="4"/>
      <c r="M689" s="4"/>
      <c r="N689" s="4"/>
    </row>
    <row r="690" spans="1:14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32"/>
      <c r="K690" s="4"/>
      <c r="L690" s="4"/>
      <c r="M690" s="4"/>
      <c r="N690" s="4"/>
    </row>
    <row r="691" spans="1:14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32"/>
      <c r="K691" s="4"/>
      <c r="L691" s="4"/>
      <c r="M691" s="4"/>
      <c r="N691" s="4"/>
    </row>
    <row r="692" spans="1:14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32"/>
      <c r="K692" s="4"/>
      <c r="L692" s="4"/>
      <c r="M692" s="4"/>
      <c r="N692" s="4"/>
    </row>
    <row r="693" spans="1:14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32"/>
      <c r="K693" s="4"/>
      <c r="L693" s="4"/>
      <c r="M693" s="4"/>
      <c r="N693" s="4"/>
    </row>
    <row r="694" spans="1:14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32"/>
      <c r="K694" s="4"/>
      <c r="L694" s="4"/>
      <c r="M694" s="4"/>
      <c r="N694" s="4"/>
    </row>
    <row r="695" spans="1:14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32"/>
      <c r="K695" s="4"/>
      <c r="L695" s="4"/>
      <c r="M695" s="4"/>
      <c r="N695" s="4"/>
    </row>
    <row r="696" spans="1:14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32"/>
      <c r="K696" s="4"/>
      <c r="L696" s="4"/>
      <c r="M696" s="4"/>
      <c r="N696" s="4"/>
    </row>
    <row r="697" spans="1:14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32"/>
      <c r="K697" s="4"/>
      <c r="L697" s="4"/>
      <c r="M697" s="4"/>
      <c r="N697" s="4"/>
    </row>
    <row r="698" spans="1:14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32"/>
      <c r="K698" s="4"/>
      <c r="L698" s="4"/>
      <c r="M698" s="4"/>
      <c r="N698" s="4"/>
    </row>
    <row r="699" spans="1:14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32"/>
      <c r="K699" s="4"/>
      <c r="L699" s="4"/>
      <c r="M699" s="4"/>
      <c r="N699" s="4"/>
    </row>
    <row r="700" spans="1:14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32"/>
      <c r="K700" s="4"/>
      <c r="L700" s="4"/>
      <c r="M700" s="4"/>
      <c r="N700" s="4"/>
    </row>
    <row r="701" spans="1:14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32"/>
      <c r="K701" s="4"/>
      <c r="L701" s="4"/>
      <c r="M701" s="4"/>
      <c r="N701" s="4"/>
    </row>
    <row r="702" spans="1:14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32"/>
      <c r="K702" s="4"/>
      <c r="L702" s="4"/>
      <c r="M702" s="4"/>
      <c r="N702" s="4"/>
    </row>
    <row r="703" spans="1:14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32"/>
      <c r="K703" s="4"/>
      <c r="L703" s="4"/>
      <c r="M703" s="4"/>
      <c r="N703" s="4"/>
    </row>
    <row r="704" spans="1:14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32"/>
      <c r="K704" s="4"/>
      <c r="L704" s="4"/>
      <c r="M704" s="4"/>
      <c r="N704" s="4"/>
    </row>
    <row r="705" spans="1:14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32"/>
      <c r="K705" s="4"/>
      <c r="L705" s="4"/>
      <c r="M705" s="4"/>
      <c r="N705" s="4"/>
    </row>
    <row r="706" spans="1:14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32"/>
      <c r="K706" s="4"/>
      <c r="L706" s="4"/>
      <c r="M706" s="4"/>
      <c r="N706" s="4"/>
    </row>
    <row r="707" spans="1:14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32"/>
      <c r="K707" s="4"/>
      <c r="L707" s="4"/>
      <c r="M707" s="4"/>
      <c r="N707" s="4"/>
    </row>
    <row r="708" spans="1:14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32"/>
      <c r="K708" s="4"/>
      <c r="L708" s="4"/>
      <c r="M708" s="4"/>
      <c r="N708" s="4"/>
    </row>
    <row r="709" spans="1:14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32"/>
      <c r="K709" s="4"/>
      <c r="L709" s="4"/>
      <c r="M709" s="4"/>
      <c r="N709" s="4"/>
    </row>
    <row r="710" spans="1:14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32"/>
      <c r="K710" s="4"/>
      <c r="L710" s="4"/>
      <c r="M710" s="4"/>
      <c r="N710" s="4"/>
    </row>
    <row r="711" spans="1:14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32"/>
      <c r="K711" s="4"/>
      <c r="L711" s="4"/>
      <c r="M711" s="4"/>
      <c r="N711" s="4"/>
    </row>
    <row r="712" spans="1:14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32"/>
      <c r="K712" s="4"/>
      <c r="L712" s="4"/>
      <c r="M712" s="4"/>
      <c r="N712" s="4"/>
    </row>
    <row r="713" spans="1:14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32"/>
      <c r="K713" s="4"/>
      <c r="L713" s="4"/>
      <c r="M713" s="4"/>
      <c r="N713" s="4"/>
    </row>
    <row r="714" spans="1:14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32"/>
      <c r="K714" s="4"/>
      <c r="L714" s="4"/>
      <c r="M714" s="4"/>
      <c r="N714" s="4"/>
    </row>
    <row r="715" spans="1:14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32"/>
      <c r="K715" s="4"/>
      <c r="L715" s="4"/>
      <c r="M715" s="4"/>
      <c r="N715" s="4"/>
    </row>
    <row r="716" spans="1:14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32"/>
      <c r="K716" s="4"/>
      <c r="L716" s="4"/>
      <c r="M716" s="4"/>
      <c r="N716" s="4"/>
    </row>
    <row r="717" spans="1:14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32"/>
      <c r="K717" s="4"/>
      <c r="L717" s="4"/>
      <c r="M717" s="4"/>
      <c r="N717" s="4"/>
    </row>
    <row r="718" spans="1:14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32"/>
      <c r="K718" s="4"/>
      <c r="L718" s="4"/>
      <c r="M718" s="4"/>
      <c r="N718" s="4"/>
    </row>
    <row r="719" spans="1:14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32"/>
      <c r="K719" s="4"/>
      <c r="L719" s="4"/>
      <c r="M719" s="4"/>
      <c r="N719" s="4"/>
    </row>
    <row r="720" spans="1:14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32"/>
      <c r="K720" s="4"/>
      <c r="L720" s="4"/>
      <c r="M720" s="4"/>
      <c r="N720" s="4"/>
    </row>
    <row r="721" spans="1:14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32"/>
      <c r="K721" s="4"/>
      <c r="L721" s="4"/>
      <c r="M721" s="4"/>
      <c r="N721" s="4"/>
    </row>
    <row r="722" spans="1:14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32"/>
      <c r="K722" s="4"/>
      <c r="L722" s="4"/>
      <c r="M722" s="4"/>
      <c r="N722" s="4"/>
    </row>
    <row r="723" spans="1:14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32"/>
      <c r="K723" s="4"/>
      <c r="L723" s="4"/>
      <c r="M723" s="4"/>
      <c r="N723" s="4"/>
    </row>
    <row r="724" spans="1:14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32"/>
      <c r="K724" s="4"/>
      <c r="L724" s="4"/>
      <c r="M724" s="4"/>
      <c r="N724" s="4"/>
    </row>
    <row r="725" spans="1:14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32"/>
      <c r="K725" s="4"/>
      <c r="L725" s="4"/>
      <c r="M725" s="4"/>
      <c r="N725" s="4"/>
    </row>
    <row r="726" spans="1:14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32"/>
      <c r="K726" s="4"/>
      <c r="L726" s="4"/>
      <c r="M726" s="4"/>
      <c r="N726" s="4"/>
    </row>
    <row r="727" spans="1:14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32"/>
      <c r="K727" s="4"/>
      <c r="L727" s="4"/>
      <c r="M727" s="4"/>
      <c r="N727" s="4"/>
    </row>
    <row r="728" spans="1:14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32"/>
      <c r="K728" s="4"/>
      <c r="L728" s="4"/>
      <c r="M728" s="4"/>
      <c r="N728" s="4"/>
    </row>
    <row r="729" spans="1:14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32"/>
      <c r="K729" s="4"/>
      <c r="L729" s="4"/>
      <c r="M729" s="4"/>
      <c r="N729" s="4"/>
    </row>
    <row r="730" spans="1:14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32"/>
      <c r="K730" s="4"/>
      <c r="L730" s="4"/>
      <c r="M730" s="4"/>
      <c r="N730" s="4"/>
    </row>
    <row r="731" spans="1:14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32"/>
      <c r="K731" s="4"/>
      <c r="L731" s="4"/>
      <c r="M731" s="4"/>
      <c r="N731" s="4"/>
    </row>
    <row r="732" spans="1:14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32"/>
      <c r="K732" s="4"/>
      <c r="L732" s="4"/>
      <c r="M732" s="4"/>
      <c r="N732" s="4"/>
    </row>
    <row r="733" spans="1:14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32"/>
      <c r="K733" s="4"/>
      <c r="L733" s="4"/>
      <c r="M733" s="4"/>
      <c r="N733" s="4"/>
    </row>
    <row r="734" spans="1:14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32"/>
      <c r="K734" s="4"/>
      <c r="L734" s="4"/>
      <c r="M734" s="4"/>
      <c r="N734" s="4"/>
    </row>
    <row r="735" spans="1:14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32"/>
      <c r="K735" s="4"/>
      <c r="L735" s="4"/>
      <c r="M735" s="4"/>
      <c r="N735" s="4"/>
    </row>
    <row r="736" spans="1:14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32"/>
      <c r="K736" s="4"/>
      <c r="L736" s="4"/>
      <c r="M736" s="4"/>
      <c r="N736" s="4"/>
    </row>
    <row r="737" spans="1:14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32"/>
      <c r="K737" s="4"/>
      <c r="L737" s="4"/>
      <c r="M737" s="4"/>
      <c r="N737" s="4"/>
    </row>
    <row r="738" spans="1:14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32"/>
      <c r="K738" s="4"/>
      <c r="L738" s="4"/>
      <c r="M738" s="4"/>
      <c r="N738" s="4"/>
    </row>
    <row r="739" spans="1:14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32"/>
      <c r="K739" s="4"/>
      <c r="L739" s="4"/>
      <c r="M739" s="4"/>
      <c r="N739" s="4"/>
    </row>
    <row r="740" spans="1:14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32"/>
      <c r="K740" s="4"/>
      <c r="L740" s="4"/>
      <c r="M740" s="4"/>
      <c r="N740" s="4"/>
    </row>
    <row r="741" spans="1:14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32"/>
      <c r="K741" s="4"/>
      <c r="L741" s="4"/>
      <c r="M741" s="4"/>
      <c r="N741" s="4"/>
    </row>
    <row r="742" spans="1:14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32"/>
      <c r="K742" s="4"/>
      <c r="L742" s="4"/>
      <c r="M742" s="4"/>
      <c r="N742" s="4"/>
    </row>
    <row r="743" spans="1:14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32"/>
      <c r="K743" s="4"/>
      <c r="L743" s="4"/>
      <c r="M743" s="4"/>
      <c r="N743" s="4"/>
    </row>
    <row r="744" spans="1:14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32"/>
      <c r="K744" s="4"/>
      <c r="L744" s="4"/>
      <c r="M744" s="4"/>
      <c r="N744" s="4"/>
    </row>
    <row r="745" spans="1:14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32"/>
      <c r="K745" s="4"/>
      <c r="L745" s="4"/>
      <c r="M745" s="4"/>
      <c r="N745" s="4"/>
    </row>
    <row r="746" spans="1:14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32"/>
      <c r="K746" s="4"/>
      <c r="L746" s="4"/>
      <c r="M746" s="4"/>
      <c r="N746" s="4"/>
    </row>
    <row r="747" spans="1:14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32"/>
      <c r="K747" s="4"/>
      <c r="L747" s="4"/>
      <c r="M747" s="4"/>
      <c r="N747" s="4"/>
    </row>
    <row r="748" spans="1:14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32"/>
      <c r="K748" s="4"/>
      <c r="L748" s="4"/>
      <c r="M748" s="4"/>
      <c r="N748" s="4"/>
    </row>
    <row r="749" spans="1:14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32"/>
      <c r="K749" s="4"/>
      <c r="L749" s="4"/>
      <c r="M749" s="4"/>
      <c r="N749" s="4"/>
    </row>
    <row r="750" spans="1:14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32"/>
      <c r="K750" s="4"/>
      <c r="L750" s="4"/>
      <c r="M750" s="4"/>
      <c r="N750" s="4"/>
    </row>
    <row r="751" spans="1:14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32"/>
      <c r="K751" s="4"/>
      <c r="L751" s="4"/>
      <c r="M751" s="4"/>
      <c r="N751" s="4"/>
    </row>
    <row r="752" spans="1:14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32"/>
      <c r="K752" s="4"/>
      <c r="L752" s="4"/>
      <c r="M752" s="4"/>
      <c r="N752" s="4"/>
    </row>
    <row r="753" spans="1:14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32"/>
      <c r="K753" s="4"/>
      <c r="L753" s="4"/>
      <c r="M753" s="4"/>
      <c r="N753" s="4"/>
    </row>
    <row r="754" spans="1:14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32"/>
      <c r="K754" s="4"/>
      <c r="L754" s="4"/>
      <c r="M754" s="4"/>
      <c r="N754" s="4"/>
    </row>
    <row r="755" spans="1:14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32"/>
      <c r="K755" s="4"/>
      <c r="L755" s="4"/>
      <c r="M755" s="4"/>
      <c r="N755" s="4"/>
    </row>
    <row r="756" spans="1:14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32"/>
      <c r="K756" s="4"/>
      <c r="L756" s="4"/>
      <c r="M756" s="4"/>
      <c r="N756" s="4"/>
    </row>
    <row r="757" spans="1:14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32"/>
      <c r="K757" s="4"/>
      <c r="L757" s="4"/>
      <c r="M757" s="4"/>
      <c r="N757" s="4"/>
    </row>
    <row r="758" spans="1:14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32"/>
      <c r="K758" s="4"/>
      <c r="L758" s="4"/>
      <c r="M758" s="4"/>
      <c r="N758" s="4"/>
    </row>
    <row r="759" spans="1:14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32"/>
      <c r="K759" s="4"/>
      <c r="L759" s="4"/>
      <c r="M759" s="4"/>
      <c r="N759" s="4"/>
    </row>
    <row r="760" spans="1:14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32"/>
      <c r="K760" s="4"/>
      <c r="L760" s="4"/>
      <c r="M760" s="4"/>
      <c r="N760" s="4"/>
    </row>
    <row r="761" spans="1:14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32"/>
      <c r="K761" s="4"/>
      <c r="L761" s="4"/>
      <c r="M761" s="4"/>
      <c r="N761" s="4"/>
    </row>
    <row r="762" spans="1:14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32"/>
      <c r="K762" s="4"/>
      <c r="L762" s="4"/>
      <c r="M762" s="4"/>
      <c r="N762" s="4"/>
    </row>
    <row r="763" spans="1:14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32"/>
      <c r="K763" s="4"/>
      <c r="L763" s="4"/>
      <c r="M763" s="4"/>
      <c r="N763" s="4"/>
    </row>
    <row r="764" spans="1:14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32"/>
      <c r="K764" s="4"/>
      <c r="L764" s="4"/>
      <c r="M764" s="4"/>
      <c r="N764" s="4"/>
    </row>
    <row r="765" spans="1:14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32"/>
      <c r="K765" s="4"/>
      <c r="L765" s="4"/>
      <c r="M765" s="4"/>
      <c r="N765" s="4"/>
    </row>
    <row r="766" spans="1:14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32"/>
      <c r="K766" s="4"/>
      <c r="L766" s="4"/>
      <c r="M766" s="4"/>
      <c r="N766" s="4"/>
    </row>
    <row r="767" spans="1:14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32"/>
      <c r="K767" s="4"/>
      <c r="L767" s="4"/>
      <c r="M767" s="4"/>
      <c r="N767" s="4"/>
    </row>
    <row r="768" spans="1:14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32"/>
      <c r="K768" s="4"/>
      <c r="L768" s="4"/>
      <c r="M768" s="4"/>
      <c r="N768" s="4"/>
    </row>
    <row r="769" spans="1:14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32"/>
      <c r="K769" s="4"/>
      <c r="L769" s="4"/>
      <c r="M769" s="4"/>
      <c r="N769" s="4"/>
    </row>
    <row r="770" spans="1:14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32"/>
      <c r="K770" s="4"/>
      <c r="L770" s="4"/>
      <c r="M770" s="4"/>
      <c r="N770" s="4"/>
    </row>
    <row r="771" spans="1:14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32"/>
      <c r="K771" s="4"/>
      <c r="L771" s="4"/>
      <c r="M771" s="4"/>
      <c r="N771" s="4"/>
    </row>
    <row r="772" spans="1:14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32"/>
      <c r="K772" s="4"/>
      <c r="L772" s="4"/>
      <c r="M772" s="4"/>
      <c r="N772" s="4"/>
    </row>
    <row r="773" spans="1:14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32"/>
      <c r="K773" s="4"/>
      <c r="L773" s="4"/>
      <c r="M773" s="4"/>
      <c r="N773" s="4"/>
    </row>
    <row r="774" spans="1:14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32"/>
      <c r="K774" s="4"/>
      <c r="L774" s="4"/>
      <c r="M774" s="4"/>
      <c r="N774" s="4"/>
    </row>
    <row r="775" spans="1:14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32"/>
      <c r="K775" s="4"/>
      <c r="L775" s="4"/>
      <c r="M775" s="4"/>
      <c r="N775" s="4"/>
    </row>
    <row r="776" spans="1:14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32"/>
      <c r="K776" s="4"/>
      <c r="L776" s="4"/>
      <c r="M776" s="4"/>
      <c r="N776" s="4"/>
    </row>
    <row r="777" spans="1:14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32"/>
      <c r="K777" s="4"/>
      <c r="L777" s="4"/>
      <c r="M777" s="4"/>
      <c r="N777" s="4"/>
    </row>
    <row r="778" spans="1:14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32"/>
      <c r="K778" s="4"/>
      <c r="L778" s="4"/>
      <c r="M778" s="4"/>
      <c r="N778" s="4"/>
    </row>
    <row r="779" spans="1:14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32"/>
      <c r="K779" s="4"/>
      <c r="L779" s="4"/>
      <c r="M779" s="4"/>
      <c r="N779" s="4"/>
    </row>
    <row r="780" spans="1:14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32"/>
      <c r="K780" s="4"/>
      <c r="L780" s="4"/>
      <c r="M780" s="4"/>
      <c r="N780" s="4"/>
    </row>
    <row r="781" spans="1:14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32"/>
      <c r="K781" s="4"/>
      <c r="L781" s="4"/>
      <c r="M781" s="4"/>
      <c r="N781" s="4"/>
    </row>
    <row r="782" spans="1:14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32"/>
      <c r="K782" s="4"/>
      <c r="L782" s="4"/>
      <c r="M782" s="4"/>
      <c r="N782" s="4"/>
    </row>
    <row r="783" spans="1:14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32"/>
      <c r="K783" s="4"/>
      <c r="L783" s="4"/>
      <c r="M783" s="4"/>
      <c r="N783" s="4"/>
    </row>
    <row r="784" spans="1:14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32"/>
      <c r="K784" s="4"/>
      <c r="L784" s="4"/>
      <c r="M784" s="4"/>
      <c r="N784" s="4"/>
    </row>
    <row r="785" spans="1:14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32"/>
      <c r="K785" s="4"/>
      <c r="L785" s="4"/>
      <c r="M785" s="4"/>
      <c r="N785" s="4"/>
    </row>
    <row r="786" spans="1:14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32"/>
      <c r="K786" s="4"/>
      <c r="L786" s="4"/>
      <c r="M786" s="4"/>
      <c r="N786" s="4"/>
    </row>
    <row r="787" spans="1:14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32"/>
      <c r="K787" s="4"/>
      <c r="L787" s="4"/>
      <c r="M787" s="4"/>
      <c r="N787" s="4"/>
    </row>
    <row r="788" spans="1:14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32"/>
      <c r="K788" s="4"/>
      <c r="L788" s="4"/>
      <c r="M788" s="4"/>
      <c r="N788" s="4"/>
    </row>
    <row r="789" spans="1:14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32"/>
      <c r="K789" s="4"/>
      <c r="L789" s="4"/>
      <c r="M789" s="4"/>
      <c r="N789" s="4"/>
    </row>
    <row r="790" spans="1:14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32"/>
      <c r="K790" s="4"/>
      <c r="L790" s="4"/>
      <c r="M790" s="4"/>
      <c r="N790" s="4"/>
    </row>
    <row r="791" spans="1:14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32"/>
      <c r="K791" s="4"/>
      <c r="L791" s="4"/>
      <c r="M791" s="4"/>
      <c r="N791" s="4"/>
    </row>
    <row r="792" spans="1:14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32"/>
      <c r="K792" s="4"/>
      <c r="L792" s="4"/>
      <c r="M792" s="4"/>
      <c r="N792" s="4"/>
    </row>
    <row r="793" spans="1:14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32"/>
      <c r="K793" s="4"/>
      <c r="L793" s="4"/>
      <c r="M793" s="4"/>
      <c r="N793" s="4"/>
    </row>
    <row r="794" spans="1:14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32"/>
      <c r="K794" s="4"/>
      <c r="L794" s="4"/>
      <c r="M794" s="4"/>
      <c r="N794" s="4"/>
    </row>
    <row r="795" spans="1:14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32"/>
      <c r="K795" s="4"/>
      <c r="L795" s="4"/>
      <c r="M795" s="4"/>
      <c r="N795" s="4"/>
    </row>
    <row r="796" spans="1:14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32"/>
      <c r="K796" s="4"/>
      <c r="L796" s="4"/>
      <c r="M796" s="4"/>
      <c r="N796" s="4"/>
    </row>
    <row r="797" spans="1:14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32"/>
      <c r="K797" s="4"/>
      <c r="L797" s="4"/>
      <c r="M797" s="4"/>
      <c r="N797" s="4"/>
    </row>
    <row r="798" spans="1:14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32"/>
      <c r="K798" s="4"/>
      <c r="L798" s="4"/>
      <c r="M798" s="4"/>
      <c r="N798" s="4"/>
    </row>
    <row r="799" spans="1:14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32"/>
      <c r="K799" s="4"/>
      <c r="L799" s="4"/>
      <c r="M799" s="4"/>
      <c r="N799" s="4"/>
    </row>
    <row r="800" spans="1:14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32"/>
      <c r="K800" s="4"/>
      <c r="L800" s="4"/>
      <c r="M800" s="4"/>
      <c r="N800" s="4"/>
    </row>
    <row r="801" spans="1:14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32"/>
      <c r="K801" s="4"/>
      <c r="L801" s="4"/>
      <c r="M801" s="4"/>
      <c r="N801" s="4"/>
    </row>
    <row r="802" spans="1:14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32"/>
      <c r="K802" s="4"/>
      <c r="L802" s="4"/>
      <c r="M802" s="4"/>
      <c r="N802" s="4"/>
    </row>
    <row r="803" spans="1:14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32"/>
      <c r="K803" s="4"/>
      <c r="L803" s="4"/>
      <c r="M803" s="4"/>
      <c r="N803" s="4"/>
    </row>
    <row r="804" spans="1:14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32"/>
      <c r="K804" s="4"/>
      <c r="L804" s="4"/>
      <c r="M804" s="4"/>
      <c r="N804" s="4"/>
    </row>
    <row r="805" spans="1:14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32"/>
      <c r="K805" s="4"/>
      <c r="L805" s="4"/>
      <c r="M805" s="4"/>
      <c r="N805" s="4"/>
    </row>
    <row r="806" spans="1:14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32"/>
      <c r="K806" s="4"/>
      <c r="L806" s="4"/>
      <c r="M806" s="4"/>
      <c r="N806" s="4"/>
    </row>
    <row r="807" spans="1:14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32"/>
      <c r="K807" s="4"/>
      <c r="L807" s="4"/>
      <c r="M807" s="4"/>
      <c r="N807" s="4"/>
    </row>
    <row r="808" spans="1:14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32"/>
      <c r="K808" s="4"/>
      <c r="L808" s="4"/>
      <c r="M808" s="4"/>
      <c r="N808" s="4"/>
    </row>
    <row r="809" spans="1:14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32"/>
      <c r="K809" s="4"/>
      <c r="L809" s="4"/>
      <c r="M809" s="4"/>
      <c r="N809" s="4"/>
    </row>
    <row r="810" spans="1:14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32"/>
      <c r="K810" s="4"/>
      <c r="L810" s="4"/>
      <c r="M810" s="4"/>
      <c r="N810" s="4"/>
    </row>
    <row r="811" spans="1:14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32"/>
      <c r="K811" s="4"/>
      <c r="L811" s="4"/>
      <c r="M811" s="4"/>
      <c r="N811" s="4"/>
    </row>
    <row r="812" spans="1:14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32"/>
      <c r="K812" s="4"/>
      <c r="L812" s="4"/>
      <c r="M812" s="4"/>
      <c r="N812" s="4"/>
    </row>
    <row r="813" spans="1:14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32"/>
      <c r="K813" s="4"/>
      <c r="L813" s="4"/>
      <c r="M813" s="4"/>
      <c r="N813" s="4"/>
    </row>
    <row r="814" spans="1:14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32"/>
      <c r="K814" s="4"/>
      <c r="L814" s="4"/>
      <c r="M814" s="4"/>
      <c r="N814" s="4"/>
    </row>
    <row r="815" spans="1:14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32"/>
      <c r="K815" s="4"/>
      <c r="L815" s="4"/>
      <c r="M815" s="4"/>
      <c r="N815" s="4"/>
    </row>
    <row r="816" spans="1:14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32"/>
      <c r="K816" s="4"/>
      <c r="L816" s="4"/>
      <c r="M816" s="4"/>
      <c r="N816" s="4"/>
    </row>
    <row r="817" spans="1:14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32"/>
      <c r="K817" s="4"/>
      <c r="L817" s="4"/>
      <c r="M817" s="4"/>
      <c r="N817" s="4"/>
    </row>
    <row r="818" spans="1:14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32"/>
      <c r="K818" s="4"/>
      <c r="L818" s="4"/>
      <c r="M818" s="4"/>
      <c r="N818" s="4"/>
    </row>
    <row r="819" spans="1:14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32"/>
      <c r="K819" s="4"/>
      <c r="L819" s="4"/>
      <c r="M819" s="4"/>
      <c r="N819" s="4"/>
    </row>
    <row r="820" spans="1:14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32"/>
      <c r="K820" s="4"/>
      <c r="L820" s="4"/>
      <c r="M820" s="4"/>
      <c r="N820" s="4"/>
    </row>
    <row r="821" spans="1:14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32"/>
      <c r="K821" s="4"/>
      <c r="L821" s="4"/>
      <c r="M821" s="4"/>
      <c r="N821" s="4"/>
    </row>
    <row r="822" spans="1:14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32"/>
      <c r="K822" s="4"/>
      <c r="L822" s="4"/>
      <c r="M822" s="4"/>
      <c r="N822" s="4"/>
    </row>
    <row r="823" spans="1:14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32"/>
      <c r="K823" s="4"/>
      <c r="L823" s="4"/>
      <c r="M823" s="4"/>
      <c r="N823" s="4"/>
    </row>
    <row r="824" spans="1:14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32"/>
      <c r="K824" s="4"/>
      <c r="L824" s="4"/>
      <c r="M824" s="4"/>
      <c r="N824" s="4"/>
    </row>
    <row r="825" spans="1:14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32"/>
      <c r="K825" s="4"/>
      <c r="L825" s="4"/>
      <c r="M825" s="4"/>
      <c r="N825" s="4"/>
    </row>
    <row r="826" spans="1:14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32"/>
      <c r="K826" s="4"/>
      <c r="L826" s="4"/>
      <c r="M826" s="4"/>
      <c r="N826" s="4"/>
    </row>
    <row r="827" spans="1:14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32"/>
      <c r="K827" s="4"/>
      <c r="L827" s="4"/>
      <c r="M827" s="4"/>
      <c r="N827" s="4"/>
    </row>
    <row r="828" spans="1:14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32"/>
      <c r="K828" s="4"/>
      <c r="L828" s="4"/>
      <c r="M828" s="4"/>
      <c r="N828" s="4"/>
    </row>
    <row r="829" spans="1:14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32"/>
      <c r="K829" s="4"/>
      <c r="L829" s="4"/>
      <c r="M829" s="4"/>
      <c r="N829" s="4"/>
    </row>
    <row r="830" spans="1:14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32"/>
      <c r="K830" s="4"/>
      <c r="L830" s="4"/>
      <c r="M830" s="4"/>
      <c r="N830" s="4"/>
    </row>
    <row r="831" spans="1:14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32"/>
      <c r="K831" s="4"/>
      <c r="L831" s="4"/>
      <c r="M831" s="4"/>
      <c r="N831" s="4"/>
    </row>
    <row r="832" spans="1:14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32"/>
      <c r="K832" s="4"/>
      <c r="L832" s="4"/>
      <c r="M832" s="4"/>
      <c r="N832" s="4"/>
    </row>
    <row r="833" spans="1:14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32"/>
      <c r="K833" s="4"/>
      <c r="L833" s="4"/>
      <c r="M833" s="4"/>
      <c r="N833" s="4"/>
    </row>
    <row r="834" spans="1:14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32"/>
      <c r="K834" s="4"/>
      <c r="L834" s="4"/>
      <c r="M834" s="4"/>
      <c r="N834" s="4"/>
    </row>
    <row r="835" spans="1:14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32"/>
      <c r="K835" s="4"/>
      <c r="L835" s="4"/>
      <c r="M835" s="4"/>
      <c r="N835" s="4"/>
    </row>
    <row r="836" spans="1:14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32"/>
      <c r="K836" s="4"/>
      <c r="L836" s="4"/>
      <c r="M836" s="4"/>
      <c r="N836" s="4"/>
    </row>
    <row r="837" spans="1:14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32"/>
      <c r="K837" s="4"/>
      <c r="L837" s="4"/>
      <c r="M837" s="4"/>
      <c r="N837" s="4"/>
    </row>
    <row r="838" spans="1:14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32"/>
      <c r="K838" s="4"/>
      <c r="L838" s="4"/>
      <c r="M838" s="4"/>
      <c r="N838" s="4"/>
    </row>
    <row r="839" spans="1:14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32"/>
      <c r="K839" s="4"/>
      <c r="L839" s="4"/>
      <c r="M839" s="4"/>
      <c r="N839" s="4"/>
    </row>
    <row r="840" spans="1:14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32"/>
      <c r="K840" s="4"/>
      <c r="L840" s="4"/>
      <c r="M840" s="4"/>
      <c r="N840" s="4"/>
    </row>
    <row r="841" spans="1:14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32"/>
      <c r="K841" s="4"/>
      <c r="L841" s="4"/>
      <c r="M841" s="4"/>
      <c r="N841" s="4"/>
    </row>
    <row r="842" spans="1:14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32"/>
      <c r="K842" s="4"/>
      <c r="L842" s="4"/>
      <c r="M842" s="4"/>
      <c r="N842" s="4"/>
    </row>
    <row r="843" spans="1:14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32"/>
      <c r="K843" s="4"/>
      <c r="L843" s="4"/>
      <c r="M843" s="4"/>
      <c r="N843" s="4"/>
    </row>
    <row r="844" spans="1:14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32"/>
      <c r="K844" s="4"/>
      <c r="L844" s="4"/>
      <c r="M844" s="4"/>
      <c r="N844" s="4"/>
    </row>
    <row r="845" spans="1:14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32"/>
      <c r="K845" s="4"/>
      <c r="L845" s="4"/>
      <c r="M845" s="4"/>
      <c r="N845" s="4"/>
    </row>
    <row r="846" spans="1:14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32"/>
      <c r="K846" s="4"/>
      <c r="L846" s="4"/>
      <c r="M846" s="4"/>
      <c r="N846" s="4"/>
    </row>
    <row r="847" spans="1:14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32"/>
      <c r="K847" s="4"/>
      <c r="L847" s="4"/>
      <c r="M847" s="4"/>
      <c r="N847" s="4"/>
    </row>
    <row r="848" spans="1:14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32"/>
      <c r="K848" s="4"/>
      <c r="L848" s="4"/>
      <c r="M848" s="4"/>
      <c r="N848" s="4"/>
    </row>
    <row r="849" spans="1:14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32"/>
      <c r="K849" s="4"/>
      <c r="L849" s="4"/>
      <c r="M849" s="4"/>
      <c r="N849" s="4"/>
    </row>
    <row r="850" spans="1:14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32"/>
      <c r="K850" s="4"/>
      <c r="L850" s="4"/>
      <c r="M850" s="4"/>
      <c r="N850" s="4"/>
    </row>
    <row r="851" spans="1:14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32"/>
      <c r="K851" s="4"/>
      <c r="L851" s="4"/>
      <c r="M851" s="4"/>
      <c r="N851" s="4"/>
    </row>
    <row r="852" spans="1:14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32"/>
      <c r="K852" s="4"/>
      <c r="L852" s="4"/>
      <c r="M852" s="4"/>
      <c r="N852" s="4"/>
    </row>
    <row r="853" spans="1:14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32"/>
      <c r="K853" s="4"/>
      <c r="L853" s="4"/>
      <c r="M853" s="4"/>
      <c r="N853" s="4"/>
    </row>
    <row r="854" spans="1:14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32"/>
      <c r="K854" s="4"/>
      <c r="L854" s="4"/>
      <c r="M854" s="4"/>
      <c r="N854" s="4"/>
    </row>
    <row r="855" spans="1:14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32"/>
      <c r="K855" s="4"/>
      <c r="L855" s="4"/>
      <c r="M855" s="4"/>
      <c r="N855" s="4"/>
    </row>
    <row r="856" spans="1:14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32"/>
      <c r="K856" s="4"/>
      <c r="L856" s="4"/>
      <c r="M856" s="4"/>
      <c r="N856" s="4"/>
    </row>
    <row r="857" spans="1:14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32"/>
      <c r="K857" s="4"/>
      <c r="L857" s="4"/>
      <c r="M857" s="4"/>
      <c r="N857" s="4"/>
    </row>
    <row r="858" spans="1:14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32"/>
      <c r="K858" s="4"/>
      <c r="L858" s="4"/>
      <c r="M858" s="4"/>
      <c r="N858" s="4"/>
    </row>
    <row r="859" spans="1:14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32"/>
      <c r="K859" s="4"/>
      <c r="L859" s="4"/>
      <c r="M859" s="4"/>
      <c r="N859" s="4"/>
    </row>
    <row r="860" spans="1:14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32"/>
      <c r="K860" s="4"/>
      <c r="L860" s="4"/>
      <c r="M860" s="4"/>
      <c r="N860" s="4"/>
    </row>
    <row r="861" spans="1:14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32"/>
      <c r="K861" s="4"/>
      <c r="L861" s="4"/>
      <c r="M861" s="4"/>
      <c r="N861" s="4"/>
    </row>
    <row r="862" spans="1:14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32"/>
      <c r="K862" s="4"/>
      <c r="L862" s="4"/>
      <c r="M862" s="4"/>
      <c r="N862" s="4"/>
    </row>
    <row r="863" spans="1:14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32"/>
      <c r="K863" s="4"/>
      <c r="L863" s="4"/>
      <c r="M863" s="4"/>
      <c r="N863" s="4"/>
    </row>
    <row r="864" spans="1:14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32"/>
      <c r="K864" s="4"/>
      <c r="L864" s="4"/>
      <c r="M864" s="4"/>
      <c r="N864" s="4"/>
    </row>
    <row r="865" spans="1:14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32"/>
      <c r="K865" s="4"/>
      <c r="L865" s="4"/>
      <c r="M865" s="4"/>
      <c r="N865" s="4"/>
    </row>
    <row r="866" spans="1:14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32"/>
      <c r="K866" s="4"/>
      <c r="L866" s="4"/>
      <c r="M866" s="4"/>
      <c r="N866" s="4"/>
    </row>
    <row r="867" spans="1:14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32"/>
      <c r="K867" s="4"/>
      <c r="L867" s="4"/>
      <c r="M867" s="4"/>
      <c r="N867" s="4"/>
    </row>
    <row r="868" spans="1:14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32"/>
      <c r="K868" s="4"/>
      <c r="L868" s="4"/>
      <c r="M868" s="4"/>
      <c r="N868" s="4"/>
    </row>
    <row r="869" spans="1:14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32"/>
      <c r="K869" s="4"/>
      <c r="L869" s="4"/>
      <c r="M869" s="4"/>
      <c r="N869" s="4"/>
    </row>
    <row r="870" spans="1:14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32"/>
      <c r="K870" s="4"/>
      <c r="L870" s="4"/>
      <c r="M870" s="4"/>
      <c r="N870" s="4"/>
    </row>
    <row r="871" spans="1:14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32"/>
      <c r="K871" s="4"/>
      <c r="L871" s="4"/>
      <c r="M871" s="4"/>
      <c r="N871" s="4"/>
    </row>
    <row r="872" spans="1:14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32"/>
      <c r="K872" s="4"/>
      <c r="L872" s="4"/>
      <c r="M872" s="4"/>
      <c r="N872" s="4"/>
    </row>
    <row r="873" spans="1:14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32"/>
      <c r="K873" s="4"/>
      <c r="L873" s="4"/>
      <c r="M873" s="4"/>
      <c r="N873" s="4"/>
    </row>
    <row r="874" spans="1:14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32"/>
      <c r="K874" s="4"/>
      <c r="L874" s="4"/>
      <c r="M874" s="4"/>
      <c r="N874" s="4"/>
    </row>
    <row r="875" spans="1:14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32"/>
      <c r="K875" s="4"/>
      <c r="L875" s="4"/>
      <c r="M875" s="4"/>
      <c r="N875" s="4"/>
    </row>
    <row r="876" spans="1:14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32"/>
      <c r="K876" s="4"/>
      <c r="L876" s="4"/>
      <c r="M876" s="4"/>
      <c r="N876" s="4"/>
    </row>
    <row r="877" spans="1:14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32"/>
      <c r="K877" s="4"/>
      <c r="L877" s="4"/>
      <c r="M877" s="4"/>
      <c r="N877" s="4"/>
    </row>
    <row r="878" spans="1:14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32"/>
      <c r="K878" s="4"/>
      <c r="L878" s="4"/>
      <c r="M878" s="4"/>
      <c r="N878" s="4"/>
    </row>
    <row r="879" spans="1:14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32"/>
      <c r="K879" s="4"/>
      <c r="L879" s="4"/>
      <c r="M879" s="4"/>
      <c r="N879" s="4"/>
    </row>
    <row r="880" spans="1:14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32"/>
      <c r="K880" s="4"/>
      <c r="L880" s="4"/>
      <c r="M880" s="4"/>
      <c r="N880" s="4"/>
    </row>
    <row r="881" spans="1:14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32"/>
      <c r="K881" s="4"/>
      <c r="L881" s="4"/>
      <c r="M881" s="4"/>
      <c r="N881" s="4"/>
    </row>
    <row r="882" spans="1:14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32"/>
      <c r="K882" s="4"/>
      <c r="L882" s="4"/>
      <c r="M882" s="4"/>
      <c r="N882" s="4"/>
    </row>
    <row r="883" spans="1:14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32"/>
      <c r="K883" s="4"/>
      <c r="L883" s="4"/>
      <c r="M883" s="4"/>
      <c r="N883" s="4"/>
    </row>
    <row r="884" spans="1:14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32"/>
      <c r="K884" s="4"/>
      <c r="L884" s="4"/>
      <c r="M884" s="4"/>
      <c r="N884" s="4"/>
    </row>
    <row r="885" spans="1:14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32"/>
      <c r="K885" s="4"/>
      <c r="L885" s="4"/>
      <c r="M885" s="4"/>
      <c r="N885" s="4"/>
    </row>
    <row r="886" spans="1:14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32"/>
      <c r="K886" s="4"/>
      <c r="L886" s="4"/>
      <c r="M886" s="4"/>
      <c r="N886" s="4"/>
    </row>
    <row r="887" spans="1:14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32"/>
      <c r="K887" s="4"/>
      <c r="L887" s="4"/>
      <c r="M887" s="4"/>
      <c r="N887" s="4"/>
    </row>
    <row r="888" spans="1:14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32"/>
      <c r="K888" s="4"/>
      <c r="L888" s="4"/>
      <c r="M888" s="4"/>
      <c r="N888" s="4"/>
    </row>
    <row r="889" spans="1:14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32"/>
      <c r="K889" s="4"/>
      <c r="L889" s="4"/>
      <c r="M889" s="4"/>
      <c r="N889" s="4"/>
    </row>
    <row r="890" spans="1:14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32"/>
      <c r="K890" s="4"/>
      <c r="L890" s="4"/>
      <c r="M890" s="4"/>
      <c r="N890" s="4"/>
    </row>
    <row r="891" spans="1:14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32"/>
      <c r="K891" s="4"/>
      <c r="L891" s="4"/>
      <c r="M891" s="4"/>
      <c r="N891" s="4"/>
    </row>
    <row r="892" spans="1:14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32"/>
      <c r="K892" s="4"/>
      <c r="L892" s="4"/>
      <c r="M892" s="4"/>
      <c r="N892" s="4"/>
    </row>
    <row r="893" spans="1:14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32"/>
      <c r="K893" s="4"/>
      <c r="L893" s="4"/>
      <c r="M893" s="4"/>
      <c r="N893" s="4"/>
    </row>
    <row r="894" spans="1:14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32"/>
      <c r="K894" s="4"/>
      <c r="L894" s="4"/>
      <c r="M894" s="4"/>
      <c r="N894" s="4"/>
    </row>
    <row r="895" spans="1:14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32"/>
      <c r="K895" s="4"/>
      <c r="L895" s="4"/>
      <c r="M895" s="4"/>
      <c r="N895" s="4"/>
    </row>
    <row r="896" spans="1:14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32"/>
      <c r="K896" s="4"/>
      <c r="L896" s="4"/>
      <c r="M896" s="4"/>
      <c r="N896" s="4"/>
    </row>
    <row r="897" spans="1:14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32"/>
      <c r="K897" s="4"/>
      <c r="L897" s="4"/>
      <c r="M897" s="4"/>
      <c r="N897" s="4"/>
    </row>
    <row r="898" spans="1:14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32"/>
      <c r="K898" s="4"/>
      <c r="L898" s="4"/>
      <c r="M898" s="4"/>
      <c r="N898" s="4"/>
    </row>
    <row r="899" spans="1:14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32"/>
      <c r="K899" s="4"/>
      <c r="L899" s="4"/>
      <c r="M899" s="4"/>
      <c r="N899" s="4"/>
    </row>
    <row r="900" spans="1:14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32"/>
      <c r="K900" s="4"/>
      <c r="L900" s="4"/>
      <c r="M900" s="4"/>
      <c r="N900" s="4"/>
    </row>
    <row r="901" spans="1:14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32"/>
      <c r="K901" s="4"/>
      <c r="L901" s="4"/>
      <c r="M901" s="4"/>
      <c r="N901" s="4"/>
    </row>
    <row r="902" spans="1:14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32"/>
      <c r="K902" s="4"/>
      <c r="L902" s="4"/>
      <c r="M902" s="4"/>
      <c r="N902" s="4"/>
    </row>
    <row r="903" spans="1:14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32"/>
      <c r="K903" s="4"/>
      <c r="L903" s="4"/>
      <c r="M903" s="4"/>
      <c r="N903" s="4"/>
    </row>
    <row r="904" spans="1:14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32"/>
      <c r="K904" s="4"/>
      <c r="L904" s="4"/>
      <c r="M904" s="4"/>
      <c r="N904" s="4"/>
    </row>
    <row r="905" spans="1:14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32"/>
      <c r="K905" s="4"/>
      <c r="L905" s="4"/>
      <c r="M905" s="4"/>
      <c r="N905" s="4"/>
    </row>
    <row r="906" spans="1:14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32"/>
      <c r="K906" s="4"/>
      <c r="L906" s="4"/>
      <c r="M906" s="4"/>
      <c r="N906" s="4"/>
    </row>
    <row r="907" spans="1:14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32"/>
      <c r="K907" s="4"/>
      <c r="L907" s="4"/>
      <c r="M907" s="4"/>
      <c r="N907" s="4"/>
    </row>
    <row r="908" spans="1:14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32"/>
      <c r="K908" s="4"/>
      <c r="L908" s="4"/>
      <c r="M908" s="4"/>
      <c r="N908" s="4"/>
    </row>
    <row r="909" spans="1:14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32"/>
      <c r="K909" s="4"/>
      <c r="L909" s="4"/>
      <c r="M909" s="4"/>
      <c r="N909" s="4"/>
    </row>
    <row r="910" spans="1:14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32"/>
      <c r="K910" s="4"/>
      <c r="L910" s="4"/>
      <c r="M910" s="4"/>
      <c r="N910" s="4"/>
    </row>
    <row r="911" spans="1:14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32"/>
      <c r="K911" s="4"/>
      <c r="L911" s="4"/>
      <c r="M911" s="4"/>
      <c r="N911" s="4"/>
    </row>
    <row r="912" spans="1:14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32"/>
      <c r="K912" s="4"/>
      <c r="L912" s="4"/>
      <c r="M912" s="4"/>
      <c r="N912" s="4"/>
    </row>
    <row r="913" spans="1:14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32"/>
      <c r="K913" s="4"/>
      <c r="L913" s="4"/>
      <c r="M913" s="4"/>
      <c r="N913" s="4"/>
    </row>
    <row r="914" spans="1:14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32"/>
      <c r="K914" s="4"/>
      <c r="L914" s="4"/>
      <c r="M914" s="4"/>
      <c r="N914" s="4"/>
    </row>
    <row r="915" spans="1:14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32"/>
      <c r="K915" s="4"/>
      <c r="L915" s="4"/>
      <c r="M915" s="4"/>
      <c r="N915" s="4"/>
    </row>
    <row r="916" spans="1:14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32"/>
      <c r="K916" s="4"/>
      <c r="L916" s="4"/>
      <c r="M916" s="4"/>
      <c r="N916" s="4"/>
    </row>
    <row r="917" spans="1:14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32"/>
      <c r="K917" s="4"/>
      <c r="L917" s="4"/>
      <c r="M917" s="4"/>
      <c r="N917" s="4"/>
    </row>
    <row r="918" spans="1:14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32"/>
      <c r="K918" s="4"/>
      <c r="L918" s="4"/>
      <c r="M918" s="4"/>
      <c r="N918" s="4"/>
    </row>
    <row r="919" spans="1:14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32"/>
      <c r="K919" s="4"/>
      <c r="L919" s="4"/>
      <c r="M919" s="4"/>
      <c r="N919" s="4"/>
    </row>
    <row r="920" spans="1:14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32"/>
      <c r="K920" s="4"/>
      <c r="L920" s="4"/>
      <c r="M920" s="4"/>
      <c r="N920" s="4"/>
    </row>
    <row r="921" spans="1:14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32"/>
      <c r="K921" s="4"/>
      <c r="L921" s="4"/>
      <c r="M921" s="4"/>
      <c r="N921" s="4"/>
    </row>
    <row r="922" spans="1:14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32"/>
      <c r="K922" s="4"/>
      <c r="L922" s="4"/>
      <c r="M922" s="4"/>
      <c r="N922" s="4"/>
    </row>
    <row r="923" spans="1:14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32"/>
      <c r="K923" s="4"/>
      <c r="L923" s="4"/>
      <c r="M923" s="4"/>
      <c r="N923" s="4"/>
    </row>
    <row r="924" spans="1:14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32"/>
      <c r="K924" s="4"/>
      <c r="L924" s="4"/>
      <c r="M924" s="4"/>
      <c r="N924" s="4"/>
    </row>
    <row r="925" spans="1:14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32"/>
      <c r="K925" s="4"/>
      <c r="L925" s="4"/>
      <c r="M925" s="4"/>
      <c r="N925" s="4"/>
    </row>
    <row r="926" spans="1:14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32"/>
      <c r="K926" s="4"/>
      <c r="L926" s="4"/>
      <c r="M926" s="4"/>
      <c r="N926" s="4"/>
    </row>
    <row r="927" spans="1:14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32"/>
      <c r="K927" s="4"/>
      <c r="L927" s="4"/>
      <c r="M927" s="4"/>
      <c r="N927" s="4"/>
    </row>
    <row r="928" spans="1:14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32"/>
      <c r="K928" s="4"/>
      <c r="L928" s="4"/>
      <c r="M928" s="4"/>
      <c r="N928" s="4"/>
    </row>
    <row r="929" spans="1:14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32"/>
      <c r="K929" s="4"/>
      <c r="L929" s="4"/>
      <c r="M929" s="4"/>
      <c r="N929" s="4"/>
    </row>
    <row r="930" spans="1:14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32"/>
      <c r="K930" s="4"/>
      <c r="L930" s="4"/>
      <c r="M930" s="4"/>
      <c r="N930" s="4"/>
    </row>
    <row r="931" spans="1:14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32"/>
      <c r="K931" s="4"/>
      <c r="L931" s="4"/>
      <c r="M931" s="4"/>
      <c r="N931" s="4"/>
    </row>
    <row r="932" spans="1:14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32"/>
      <c r="K932" s="4"/>
      <c r="L932" s="4"/>
      <c r="M932" s="4"/>
      <c r="N932" s="4"/>
    </row>
    <row r="933" spans="1:14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32"/>
      <c r="K933" s="4"/>
      <c r="L933" s="4"/>
      <c r="M933" s="4"/>
      <c r="N933" s="4"/>
    </row>
    <row r="934" spans="1:14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32"/>
      <c r="K934" s="4"/>
      <c r="L934" s="4"/>
      <c r="M934" s="4"/>
      <c r="N934" s="4"/>
    </row>
    <row r="935" spans="1:14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32"/>
      <c r="K935" s="4"/>
      <c r="L935" s="4"/>
      <c r="M935" s="4"/>
      <c r="N935" s="4"/>
    </row>
    <row r="936" spans="1:14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32"/>
      <c r="K936" s="4"/>
      <c r="L936" s="4"/>
      <c r="M936" s="4"/>
      <c r="N936" s="4"/>
    </row>
    <row r="937" spans="1:14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32"/>
      <c r="K937" s="4"/>
      <c r="L937" s="4"/>
      <c r="M937" s="4"/>
      <c r="N937" s="4"/>
    </row>
    <row r="938" spans="1:14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32"/>
      <c r="K938" s="4"/>
      <c r="L938" s="4"/>
      <c r="M938" s="4"/>
      <c r="N938" s="4"/>
    </row>
    <row r="939" spans="1:14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32"/>
      <c r="K939" s="4"/>
      <c r="L939" s="4"/>
      <c r="M939" s="4"/>
      <c r="N939" s="4"/>
    </row>
    <row r="940" spans="1:14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32"/>
      <c r="K940" s="4"/>
      <c r="L940" s="4"/>
      <c r="M940" s="4"/>
      <c r="N940" s="4"/>
    </row>
    <row r="941" spans="1:14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32"/>
      <c r="K941" s="4"/>
      <c r="L941" s="4"/>
      <c r="M941" s="4"/>
      <c r="N941" s="4"/>
    </row>
    <row r="942" spans="1:14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32"/>
      <c r="K942" s="4"/>
      <c r="L942" s="4"/>
      <c r="M942" s="4"/>
      <c r="N942" s="4"/>
    </row>
    <row r="943" spans="1:14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32"/>
      <c r="K943" s="4"/>
      <c r="L943" s="4"/>
      <c r="M943" s="4"/>
      <c r="N943" s="4"/>
    </row>
    <row r="944" spans="1:14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32"/>
      <c r="K944" s="4"/>
      <c r="L944" s="4"/>
      <c r="M944" s="4"/>
      <c r="N944" s="4"/>
    </row>
    <row r="945" spans="1:14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32"/>
      <c r="K945" s="4"/>
      <c r="L945" s="4"/>
      <c r="M945" s="4"/>
      <c r="N945" s="4"/>
    </row>
    <row r="946" spans="1:14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32"/>
      <c r="K946" s="4"/>
      <c r="L946" s="4"/>
      <c r="M946" s="4"/>
      <c r="N946" s="4"/>
    </row>
    <row r="947" spans="1:14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32"/>
      <c r="K947" s="4"/>
      <c r="L947" s="4"/>
      <c r="M947" s="4"/>
      <c r="N947" s="4"/>
    </row>
    <row r="948" spans="1:14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32"/>
      <c r="K948" s="4"/>
      <c r="L948" s="4"/>
      <c r="M948" s="4"/>
      <c r="N948" s="4"/>
    </row>
    <row r="949" spans="1:14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32"/>
      <c r="K949" s="4"/>
      <c r="L949" s="4"/>
      <c r="M949" s="4"/>
      <c r="N949" s="4"/>
    </row>
    <row r="950" spans="1:14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32"/>
      <c r="K950" s="4"/>
      <c r="L950" s="4"/>
      <c r="M950" s="4"/>
      <c r="N950" s="4"/>
    </row>
    <row r="951" spans="1:14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32"/>
      <c r="K951" s="4"/>
      <c r="L951" s="4"/>
      <c r="M951" s="4"/>
      <c r="N951" s="4"/>
    </row>
    <row r="952" spans="1:14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32"/>
      <c r="K952" s="4"/>
      <c r="L952" s="4"/>
      <c r="M952" s="4"/>
      <c r="N952" s="4"/>
    </row>
    <row r="953" spans="1:14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32"/>
      <c r="K953" s="4"/>
      <c r="L953" s="4"/>
      <c r="M953" s="4"/>
      <c r="N953" s="4"/>
    </row>
    <row r="954" spans="1:14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32"/>
      <c r="K954" s="4"/>
      <c r="L954" s="4"/>
      <c r="M954" s="4"/>
      <c r="N954" s="4"/>
    </row>
    <row r="955" spans="1:14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32"/>
      <c r="K955" s="4"/>
      <c r="L955" s="4"/>
      <c r="M955" s="4"/>
      <c r="N955" s="4"/>
    </row>
    <row r="956" spans="1:14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32"/>
      <c r="K956" s="4"/>
      <c r="L956" s="4"/>
      <c r="M956" s="4"/>
      <c r="N956" s="4"/>
    </row>
    <row r="957" spans="1:14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32"/>
      <c r="K957" s="4"/>
      <c r="L957" s="4"/>
      <c r="M957" s="4"/>
      <c r="N957" s="4"/>
    </row>
    <row r="958" spans="1:14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32"/>
      <c r="K958" s="4"/>
      <c r="L958" s="4"/>
      <c r="M958" s="4"/>
      <c r="N958" s="4"/>
    </row>
    <row r="959" spans="1:14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32"/>
      <c r="K959" s="4"/>
      <c r="L959" s="4"/>
      <c r="M959" s="4"/>
      <c r="N959" s="4"/>
    </row>
    <row r="960" spans="1:14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32"/>
      <c r="K960" s="4"/>
      <c r="L960" s="4"/>
      <c r="M960" s="4"/>
      <c r="N960" s="4"/>
    </row>
    <row r="961" spans="1:14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32"/>
      <c r="K961" s="4"/>
      <c r="L961" s="4"/>
      <c r="M961" s="4"/>
      <c r="N961" s="4"/>
    </row>
    <row r="962" spans="1:14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32"/>
      <c r="K962" s="4"/>
      <c r="L962" s="4"/>
      <c r="M962" s="4"/>
      <c r="N962" s="4"/>
    </row>
    <row r="963" spans="1:14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32"/>
      <c r="K963" s="4"/>
      <c r="L963" s="4"/>
      <c r="M963" s="4"/>
      <c r="N963" s="4"/>
    </row>
    <row r="964" spans="1:14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32"/>
      <c r="K964" s="4"/>
      <c r="L964" s="4"/>
      <c r="M964" s="4"/>
      <c r="N964" s="4"/>
    </row>
    <row r="965" spans="1:14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32"/>
      <c r="K965" s="4"/>
      <c r="L965" s="4"/>
      <c r="M965" s="4"/>
      <c r="N965" s="4"/>
    </row>
    <row r="966" spans="1:14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32"/>
      <c r="K966" s="4"/>
      <c r="L966" s="4"/>
      <c r="M966" s="4"/>
      <c r="N966" s="4"/>
    </row>
    <row r="967" spans="1:14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32"/>
      <c r="K967" s="4"/>
      <c r="L967" s="4"/>
      <c r="M967" s="4"/>
      <c r="N967" s="4"/>
    </row>
    <row r="968" spans="1:14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32"/>
      <c r="K968" s="4"/>
      <c r="L968" s="4"/>
      <c r="M968" s="4"/>
      <c r="N968" s="4"/>
    </row>
    <row r="969" spans="1:14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32"/>
      <c r="K969" s="4"/>
      <c r="L969" s="4"/>
      <c r="M969" s="4"/>
      <c r="N969" s="4"/>
    </row>
    <row r="970" spans="1:14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32"/>
      <c r="K970" s="4"/>
      <c r="L970" s="4"/>
      <c r="M970" s="4"/>
      <c r="N970" s="4"/>
    </row>
    <row r="971" spans="1:14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32"/>
      <c r="K971" s="4"/>
      <c r="L971" s="4"/>
      <c r="M971" s="4"/>
      <c r="N971" s="4"/>
    </row>
    <row r="972" spans="1:14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32"/>
      <c r="K972" s="4"/>
      <c r="L972" s="4"/>
      <c r="M972" s="4"/>
      <c r="N972" s="4"/>
    </row>
    <row r="973" spans="1:14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32"/>
      <c r="K973" s="4"/>
      <c r="L973" s="4"/>
      <c r="M973" s="4"/>
      <c r="N973" s="4"/>
    </row>
    <row r="974" spans="1:14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32"/>
      <c r="K974" s="4"/>
      <c r="L974" s="4"/>
      <c r="M974" s="4"/>
      <c r="N974" s="4"/>
    </row>
    <row r="975" spans="1:14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32"/>
      <c r="K975" s="4"/>
      <c r="L975" s="4"/>
      <c r="M975" s="4"/>
      <c r="N975" s="4"/>
    </row>
    <row r="976" spans="1:14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32"/>
      <c r="K976" s="4"/>
      <c r="L976" s="4"/>
      <c r="M976" s="4"/>
      <c r="N976" s="4"/>
    </row>
    <row r="977" spans="1:14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32"/>
      <c r="K977" s="4"/>
      <c r="L977" s="4"/>
      <c r="M977" s="4"/>
      <c r="N977" s="4"/>
    </row>
    <row r="978" spans="1:14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32"/>
      <c r="K978" s="4"/>
      <c r="L978" s="4"/>
      <c r="M978" s="4"/>
      <c r="N978" s="4"/>
    </row>
    <row r="979" spans="1:14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32"/>
      <c r="K979" s="4"/>
      <c r="L979" s="4"/>
      <c r="M979" s="4"/>
      <c r="N979" s="4"/>
    </row>
    <row r="980" spans="1:14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32"/>
      <c r="K980" s="4"/>
      <c r="L980" s="4"/>
      <c r="M980" s="4"/>
      <c r="N980" s="4"/>
    </row>
    <row r="981" spans="1:14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32"/>
      <c r="K981" s="4"/>
      <c r="L981" s="4"/>
      <c r="M981" s="4"/>
      <c r="N981" s="4"/>
    </row>
    <row r="982" spans="1:14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32"/>
      <c r="K982" s="4"/>
      <c r="L982" s="4"/>
      <c r="M982" s="4"/>
      <c r="N982" s="4"/>
    </row>
    <row r="983" spans="1:14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32"/>
      <c r="K983" s="4"/>
      <c r="L983" s="4"/>
      <c r="M983" s="4"/>
      <c r="N983" s="4"/>
    </row>
    <row r="984" spans="1:14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32"/>
      <c r="K984" s="4"/>
      <c r="L984" s="4"/>
      <c r="M984" s="4"/>
      <c r="N984" s="4"/>
    </row>
    <row r="985" spans="1:14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32"/>
      <c r="K985" s="4"/>
      <c r="L985" s="4"/>
      <c r="M985" s="4"/>
      <c r="N985" s="4"/>
    </row>
    <row r="986" spans="1:14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32"/>
      <c r="K986" s="4"/>
      <c r="L986" s="4"/>
      <c r="M986" s="4"/>
      <c r="N986" s="4"/>
    </row>
    <row r="987" spans="1:14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32"/>
      <c r="K987" s="4"/>
      <c r="L987" s="4"/>
      <c r="M987" s="4"/>
      <c r="N987" s="4"/>
    </row>
    <row r="988" spans="1:14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32"/>
      <c r="K988" s="4"/>
      <c r="L988" s="4"/>
      <c r="M988" s="4"/>
      <c r="N988" s="4"/>
    </row>
    <row r="989" spans="1:14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32"/>
      <c r="K989" s="4"/>
      <c r="L989" s="4"/>
      <c r="M989" s="4"/>
      <c r="N989" s="4"/>
    </row>
    <row r="990" spans="1:14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32"/>
      <c r="K990" s="4"/>
      <c r="L990" s="4"/>
      <c r="M990" s="4"/>
      <c r="N990" s="4"/>
    </row>
    <row r="991" spans="1:14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32"/>
      <c r="K991" s="4"/>
      <c r="L991" s="4"/>
      <c r="M991" s="4"/>
      <c r="N991" s="4"/>
    </row>
    <row r="992" spans="1:14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32"/>
      <c r="K992" s="4"/>
      <c r="L992" s="4"/>
      <c r="M992" s="4"/>
      <c r="N992" s="4"/>
    </row>
    <row r="993" spans="1:14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32"/>
      <c r="K993" s="4"/>
      <c r="L993" s="4"/>
      <c r="M993" s="4"/>
      <c r="N993" s="4"/>
    </row>
    <row r="994" spans="1:14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32"/>
      <c r="K994" s="4"/>
      <c r="L994" s="4"/>
      <c r="M994" s="4"/>
      <c r="N994" s="4"/>
    </row>
    <row r="995" spans="1:14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32"/>
      <c r="K995" s="4"/>
      <c r="L995" s="4"/>
      <c r="M995" s="4"/>
      <c r="N995" s="4"/>
    </row>
    <row r="996" spans="1:14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32"/>
      <c r="K996" s="4"/>
      <c r="L996" s="4"/>
      <c r="M996" s="4"/>
      <c r="N996" s="4"/>
    </row>
    <row r="997" spans="1:14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32"/>
      <c r="K997" s="4"/>
      <c r="L997" s="4"/>
      <c r="M997" s="4"/>
      <c r="N997" s="4"/>
    </row>
    <row r="998" spans="1:14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32"/>
      <c r="K998" s="4"/>
      <c r="L998" s="4"/>
      <c r="M998" s="4"/>
      <c r="N998" s="4"/>
    </row>
    <row r="999" spans="1:14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32"/>
      <c r="K999" s="4"/>
      <c r="L999" s="4"/>
      <c r="M999" s="4"/>
      <c r="N999" s="4"/>
    </row>
  </sheetData>
  <autoFilter ref="A1:N359"/>
  <conditionalFormatting sqref="M2:M359">
    <cfRule type="containsText" dxfId="23" priority="1" operator="containsText" text="☐">
      <formula>NOT(ISERROR(SEARCH("☐",M2)))</formula>
    </cfRule>
    <cfRule type="containsText" dxfId="22" priority="2" operator="containsText" text="☒">
      <formula>NOT(ISERROR(SEARCH("☒",M2)))</formula>
    </cfRule>
    <cfRule type="containsText" dxfId="21" priority="3" operator="containsText" text="☑">
      <formula>NOT(ISERROR(SEARCH("☑",M2)))</formula>
    </cfRule>
  </conditionalFormatting>
  <dataValidations count="4">
    <dataValidation type="list" allowBlank="1" showInputMessage="1" showErrorMessage="1" sqref="L2:L359">
      <formula1>"Летний,Летне-зимний"</formula1>
    </dataValidation>
    <dataValidation type="list" allowBlank="1" showInputMessage="1" showErrorMessage="1" sqref="M2:M359">
      <formula1>"☑,☒,☐"</formula1>
    </dataValidation>
    <dataValidation type="list" allowBlank="1" showInputMessage="1" showErrorMessage="1" sqref="I2:I359">
      <formula1>"ГСС,ГРФ,ГСТ,ВГСС,ВГРФ,Инвалид ВОВ,УОВ,ВБД,Реабил,ЖБЛ,ЧАЭС,Маяк,Семип,Узник,Семья с 2+ инв. I/II,Многодет. (5+ до 16),Одинокий ИД,Одинокая мать,Семья с РИ до 16 лет,Вдова погибшего воина,Родитель погибшего воина,Уход за РИ,"</formula1>
    </dataValidation>
    <dataValidation type="list" allowBlank="1" showInputMessage="1" showErrorMessage="1" sqref="F2:F359">
      <formula1>"Адмиралтейский,Василеостровский,Выборгский,Калининский,Кировский,Колпинский,Красногвардейский,Красносельский,Кронштадтский,Курортный,Московский,Невский,Петроградский,Петродворцовый,Приморский,Пушкинский,Фрунзенский,Центральный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1"/>
  <sheetViews>
    <sheetView workbookViewId="0">
      <pane ySplit="1" topLeftCell="A2" activePane="bottomLeft" state="frozen"/>
      <selection pane="bottomLeft" activeCell="I8" sqref="I8"/>
    </sheetView>
  </sheetViews>
  <sheetFormatPr defaultRowHeight="15" x14ac:dyDescent="0.25"/>
  <cols>
    <col min="1" max="1" width="3.85546875" style="5" customWidth="1"/>
    <col min="2" max="2" width="17.140625" style="5" customWidth="1"/>
    <col min="3" max="3" width="17.140625" style="57" customWidth="1"/>
    <col min="4" max="4" width="16.7109375" style="5" hidden="1" customWidth="1"/>
    <col min="5" max="6" width="16.7109375" style="5" customWidth="1"/>
    <col min="7" max="7" width="16.7109375" style="5" hidden="1" customWidth="1"/>
    <col min="8" max="8" width="16.7109375" style="5" customWidth="1"/>
    <col min="9" max="9" width="24.42578125" style="5" customWidth="1"/>
    <col min="10" max="10" width="9.140625" style="5" customWidth="1"/>
    <col min="11" max="16384" width="9.140625" style="5"/>
  </cols>
  <sheetData>
    <row r="1" spans="1:9" ht="51" customHeight="1" x14ac:dyDescent="0.25">
      <c r="A1" s="1" t="s">
        <v>14</v>
      </c>
      <c r="B1" s="1" t="s">
        <v>5</v>
      </c>
      <c r="C1" s="51" t="s">
        <v>4934</v>
      </c>
      <c r="D1" s="1" t="s">
        <v>4928</v>
      </c>
      <c r="E1" s="1" t="s">
        <v>4932</v>
      </c>
      <c r="F1" s="1" t="s">
        <v>4933</v>
      </c>
      <c r="G1" s="1" t="s">
        <v>4931</v>
      </c>
      <c r="H1" s="1" t="s">
        <v>4929</v>
      </c>
      <c r="I1" s="1" t="s">
        <v>13</v>
      </c>
    </row>
    <row r="2" spans="1:9" s="47" customFormat="1" ht="25.5" customHeight="1" x14ac:dyDescent="0.25">
      <c r="A2" s="34">
        <v>1</v>
      </c>
      <c r="B2" s="35" t="s">
        <v>343</v>
      </c>
      <c r="C2" s="52">
        <f>SUM(0+9+18+20+5+3+0)</f>
        <v>55</v>
      </c>
      <c r="D2" s="35">
        <f>SUM(18+9+20+5+3)</f>
        <v>55</v>
      </c>
      <c r="E2" s="35">
        <f>SUM(18+16+26+6+5)</f>
        <v>71</v>
      </c>
      <c r="F2" s="35">
        <f>SUM(9+17+4)</f>
        <v>30</v>
      </c>
      <c r="G2" s="35"/>
      <c r="H2" s="35">
        <f>SUM(1+1)</f>
        <v>2</v>
      </c>
      <c r="I2" s="46"/>
    </row>
    <row r="3" spans="1:9" s="47" customFormat="1" ht="25.5" customHeight="1" x14ac:dyDescent="0.25">
      <c r="A3" s="34">
        <v>2</v>
      </c>
      <c r="B3" s="35" t="s">
        <v>101</v>
      </c>
      <c r="C3" s="52">
        <f>SUM(2+5+25+23+8+7+2)</f>
        <v>72</v>
      </c>
      <c r="D3" s="35">
        <f>SUM(2+25+5+25+8+9)</f>
        <v>74</v>
      </c>
      <c r="E3" s="35">
        <f>SUM(3+25+9+30+12+12)</f>
        <v>91</v>
      </c>
      <c r="F3" s="35">
        <f>SUM(2+5+21+6+5)</f>
        <v>39</v>
      </c>
      <c r="G3" s="35"/>
      <c r="H3" s="35">
        <f>SUM(2+1)</f>
        <v>3</v>
      </c>
      <c r="I3" s="34"/>
    </row>
    <row r="4" spans="1:9" s="47" customFormat="1" ht="25.5" customHeight="1" x14ac:dyDescent="0.25">
      <c r="A4" s="34">
        <v>3</v>
      </c>
      <c r="B4" s="35" t="s">
        <v>126</v>
      </c>
      <c r="C4" s="52">
        <f>SUM(2+18+23+57+15+6+0)</f>
        <v>121</v>
      </c>
      <c r="D4" s="35">
        <f>SUM(2+23+18+59+15+6)</f>
        <v>123</v>
      </c>
      <c r="E4" s="35">
        <f>SUM(5+23+33+71+18+9)</f>
        <v>159</v>
      </c>
      <c r="F4" s="35">
        <f>SUM(3+17+48+12+4)</f>
        <v>84</v>
      </c>
      <c r="G4" s="35"/>
      <c r="H4" s="35">
        <f>SUM(1+1+1)</f>
        <v>3</v>
      </c>
      <c r="I4" s="34"/>
    </row>
    <row r="5" spans="1:9" s="47" customFormat="1" ht="51" customHeight="1" x14ac:dyDescent="0.25">
      <c r="A5" s="34">
        <v>4</v>
      </c>
      <c r="B5" s="35" t="s">
        <v>19</v>
      </c>
      <c r="C5" s="52">
        <f>SUM(6+23+48+92+21+8+3)</f>
        <v>201</v>
      </c>
      <c r="D5" s="35">
        <f>SUM(6+48+23+94+22+12)</f>
        <v>205</v>
      </c>
      <c r="E5" s="35">
        <f>SUM(9+48+40+108+23+14)</f>
        <v>242</v>
      </c>
      <c r="F5" s="35">
        <f>SUM(5+23+67+13+8)</f>
        <v>116</v>
      </c>
      <c r="G5" s="35"/>
      <c r="H5" s="35">
        <f>SUM(3+6+2)</f>
        <v>11</v>
      </c>
      <c r="I5" s="34"/>
    </row>
    <row r="6" spans="1:9" s="47" customFormat="1" ht="25.5" customHeight="1" x14ac:dyDescent="0.25">
      <c r="A6" s="34">
        <v>5</v>
      </c>
      <c r="B6" s="35" t="s">
        <v>338</v>
      </c>
      <c r="C6" s="52">
        <f>SUM(0+5+22+45+6+6+0)</f>
        <v>84</v>
      </c>
      <c r="D6" s="35">
        <f>SUM(22+5+47+6+6)</f>
        <v>86</v>
      </c>
      <c r="E6" s="35">
        <f>SUM(22+10+53+6+6)</f>
        <v>97</v>
      </c>
      <c r="F6" s="35">
        <f>SUM(5+38+5+1)</f>
        <v>49</v>
      </c>
      <c r="G6" s="35"/>
      <c r="H6" s="35">
        <f>SUM(2+2)</f>
        <v>4</v>
      </c>
      <c r="I6" s="34"/>
    </row>
    <row r="7" spans="1:9" s="47" customFormat="1" ht="25.5" customHeight="1" x14ac:dyDescent="0.25">
      <c r="A7" s="34">
        <v>6</v>
      </c>
      <c r="B7" s="35" t="s">
        <v>73</v>
      </c>
      <c r="C7" s="52">
        <f>SUM(2+3+5+9+2+0+0)</f>
        <v>21</v>
      </c>
      <c r="D7" s="35">
        <f>SUM(2+5+3+9+2)</f>
        <v>21</v>
      </c>
      <c r="E7" s="35">
        <f>SUM(2+5+4+11+2)</f>
        <v>24</v>
      </c>
      <c r="F7" s="35">
        <f>SUM(1+3+7+2)</f>
        <v>13</v>
      </c>
      <c r="G7" s="35"/>
      <c r="H7" s="35">
        <f>SUM(2+1+1+2)</f>
        <v>6</v>
      </c>
      <c r="I7" s="34"/>
    </row>
    <row r="8" spans="1:9" s="47" customFormat="1" ht="25.5" customHeight="1" x14ac:dyDescent="0.25">
      <c r="A8" s="34">
        <v>7</v>
      </c>
      <c r="B8" s="35" t="s">
        <v>162</v>
      </c>
      <c r="C8" s="52">
        <f>SUM(2+18+21+51+9+3+0)</f>
        <v>104</v>
      </c>
      <c r="D8" s="35">
        <f>SUM(2+21+18+52+9+3)</f>
        <v>105</v>
      </c>
      <c r="E8" s="35">
        <f>SUM(2+21+29+66+9+4)</f>
        <v>131</v>
      </c>
      <c r="F8" s="35">
        <f>SUM(2+14+44+6+1)</f>
        <v>67</v>
      </c>
      <c r="G8" s="35"/>
      <c r="H8" s="35">
        <f>SUM(1)</f>
        <v>1</v>
      </c>
      <c r="I8" s="34"/>
    </row>
    <row r="9" spans="1:9" s="47" customFormat="1" ht="25.5" customHeight="1" x14ac:dyDescent="0.25">
      <c r="A9" s="34">
        <v>8</v>
      </c>
      <c r="B9" s="35" t="s">
        <v>62</v>
      </c>
      <c r="C9" s="52">
        <f>SUM(2+15+24+37+8+5+1)</f>
        <v>92</v>
      </c>
      <c r="D9" s="35">
        <f>SUM(2+24+15+39+8+6)</f>
        <v>94</v>
      </c>
      <c r="E9" s="35">
        <f>SUM(4+24+26+49+12+8)</f>
        <v>123</v>
      </c>
      <c r="F9" s="35">
        <f>SUM(2+15+32+8+1)</f>
        <v>58</v>
      </c>
      <c r="G9" s="35"/>
      <c r="H9" s="35">
        <f>SUM(1)</f>
        <v>1</v>
      </c>
      <c r="I9" s="34"/>
    </row>
    <row r="10" spans="1:9" s="47" customFormat="1" ht="25.5" customHeight="1" x14ac:dyDescent="0.25">
      <c r="A10" s="34">
        <v>9</v>
      </c>
      <c r="B10" s="35" t="s">
        <v>2059</v>
      </c>
      <c r="C10" s="52">
        <f>SUM(0+1+1+2+0+0+0)</f>
        <v>4</v>
      </c>
      <c r="D10" s="35">
        <f>SUM(1+1+2)</f>
        <v>4</v>
      </c>
      <c r="E10" s="35">
        <f>SUM(1+1+2)</f>
        <v>4</v>
      </c>
      <c r="F10" s="35">
        <f>SUM(1+1)</f>
        <v>2</v>
      </c>
      <c r="G10" s="35"/>
      <c r="H10" s="35">
        <f>SUM(1)</f>
        <v>1</v>
      </c>
      <c r="I10" s="34"/>
    </row>
    <row r="11" spans="1:9" s="47" customFormat="1" ht="51" customHeight="1" x14ac:dyDescent="0.25">
      <c r="A11" s="34">
        <v>10</v>
      </c>
      <c r="B11" s="35" t="s">
        <v>1030</v>
      </c>
      <c r="C11" s="52">
        <f>SUM(0+0+2+1+1+0+0)</f>
        <v>4</v>
      </c>
      <c r="D11" s="35">
        <f>SUM(2+1+1)</f>
        <v>4</v>
      </c>
      <c r="E11" s="35">
        <f>SUM(2+1+1)</f>
        <v>4</v>
      </c>
      <c r="F11" s="35">
        <f>SUM(1+1)</f>
        <v>2</v>
      </c>
      <c r="G11" s="35"/>
      <c r="H11" s="35">
        <f>SUM(1+1)</f>
        <v>2</v>
      </c>
      <c r="I11" s="34"/>
    </row>
    <row r="12" spans="1:9" s="47" customFormat="1" ht="63.75" customHeight="1" x14ac:dyDescent="0.25">
      <c r="A12" s="34">
        <v>11</v>
      </c>
      <c r="B12" s="35" t="s">
        <v>106</v>
      </c>
      <c r="C12" s="52">
        <f>SUM(1+12+26+42+7+5+0)</f>
        <v>93</v>
      </c>
      <c r="D12" s="35">
        <f>SUM(1+26+12+44+7+5)</f>
        <v>95</v>
      </c>
      <c r="E12" s="35">
        <f>SUM(1+26+21+56+11+7)</f>
        <v>122</v>
      </c>
      <c r="F12" s="35">
        <f>SUM(1+12+39+6+4)</f>
        <v>62</v>
      </c>
      <c r="G12" s="35"/>
      <c r="H12" s="35">
        <f>SUM(2+2+3)</f>
        <v>7</v>
      </c>
      <c r="I12" s="34"/>
    </row>
    <row r="13" spans="1:9" s="47" customFormat="1" ht="63.75" customHeight="1" x14ac:dyDescent="0.25">
      <c r="A13" s="34">
        <v>12</v>
      </c>
      <c r="B13" s="35" t="s">
        <v>121</v>
      </c>
      <c r="C13" s="52">
        <f>SUM(1+18+25+69+9+4+0)</f>
        <v>126</v>
      </c>
      <c r="D13" s="35">
        <f>SUM(1+25+18+71+9+4)</f>
        <v>128</v>
      </c>
      <c r="E13" s="35">
        <f>SUM(1+25+37+78+10+5)</f>
        <v>156</v>
      </c>
      <c r="F13" s="35">
        <f>SUM(1+18+56+7+4)</f>
        <v>86</v>
      </c>
      <c r="G13" s="35"/>
      <c r="H13" s="35">
        <f>SUM(1+1+1)</f>
        <v>3</v>
      </c>
      <c r="I13" s="34"/>
    </row>
    <row r="14" spans="1:9" s="47" customFormat="1" ht="76.5" customHeight="1" x14ac:dyDescent="0.25">
      <c r="A14" s="34">
        <v>13</v>
      </c>
      <c r="B14" s="35" t="s">
        <v>86</v>
      </c>
      <c r="C14" s="52">
        <f>SUM(1+3+10+21+6+3+1)</f>
        <v>45</v>
      </c>
      <c r="D14" s="35">
        <f>SUM(1+10+3+23+6+4)</f>
        <v>47</v>
      </c>
      <c r="E14" s="35">
        <f>SUM(1+10+6+31+6+4)</f>
        <v>58</v>
      </c>
      <c r="F14" s="35">
        <f>SUM(1+3+20+5+2)</f>
        <v>31</v>
      </c>
      <c r="G14" s="35"/>
      <c r="H14" s="35">
        <f>SUM(2+3)</f>
        <v>5</v>
      </c>
      <c r="I14" s="34"/>
    </row>
    <row r="15" spans="1:9" s="47" customFormat="1" ht="25.5" customHeight="1" x14ac:dyDescent="0.25">
      <c r="A15" s="34">
        <v>14</v>
      </c>
      <c r="B15" s="35" t="s">
        <v>2788</v>
      </c>
      <c r="C15" s="52">
        <f>SUM(0+0+0+1+0+0)</f>
        <v>1</v>
      </c>
      <c r="D15" s="35">
        <f>SUM(1)</f>
        <v>1</v>
      </c>
      <c r="E15" s="35">
        <f>SUM(1)</f>
        <v>1</v>
      </c>
      <c r="F15" s="35">
        <f>SUM(1)</f>
        <v>1</v>
      </c>
      <c r="G15" s="35"/>
      <c r="H15" s="35">
        <f>SUM(1)</f>
        <v>1</v>
      </c>
      <c r="I15" s="34"/>
    </row>
    <row r="16" spans="1:9" s="47" customFormat="1" ht="25.5" customHeight="1" x14ac:dyDescent="0.25">
      <c r="A16" s="34">
        <v>15</v>
      </c>
      <c r="B16" s="35" t="s">
        <v>31</v>
      </c>
      <c r="C16" s="52">
        <f>SUM(9+29+48+70+13+9+1)</f>
        <v>179</v>
      </c>
      <c r="D16" s="35">
        <f>SUM(9+48+29+74+14+10)</f>
        <v>184</v>
      </c>
      <c r="E16" s="35">
        <f>SUM(10+48+54+81+17+16)</f>
        <v>226</v>
      </c>
      <c r="F16" s="35">
        <f>SUM(6+29+50+12+4)</f>
        <v>101</v>
      </c>
      <c r="G16" s="35"/>
      <c r="H16" s="35">
        <f>SUM(6)</f>
        <v>6</v>
      </c>
      <c r="I16" s="34"/>
    </row>
    <row r="17" spans="1:9" s="47" customFormat="1" ht="76.5" customHeight="1" x14ac:dyDescent="0.25">
      <c r="A17" s="34">
        <v>16</v>
      </c>
      <c r="B17" s="35" t="s">
        <v>54</v>
      </c>
      <c r="C17" s="52">
        <f>SUM(2+5+8+7+2+1+0)</f>
        <v>25</v>
      </c>
      <c r="D17" s="35">
        <f>SUM(3+8+5+7+2+1)</f>
        <v>26</v>
      </c>
      <c r="E17" s="35">
        <f>SUM(3+8+10+7+3+1)</f>
        <v>32</v>
      </c>
      <c r="F17" s="35">
        <f>SUM(2+5+6+2+1)</f>
        <v>16</v>
      </c>
      <c r="G17" s="35"/>
      <c r="H17" s="35">
        <f t="shared" ref="H17" si="0">SUM(0)</f>
        <v>0</v>
      </c>
      <c r="I17" s="34"/>
    </row>
    <row r="18" spans="1:9" s="47" customFormat="1" ht="25.5" customHeight="1" x14ac:dyDescent="0.25">
      <c r="A18" s="34">
        <v>17</v>
      </c>
      <c r="B18" s="35" t="s">
        <v>151</v>
      </c>
      <c r="C18" s="52">
        <f>SUM(3+7+29+52+12+9+5)</f>
        <v>117</v>
      </c>
      <c r="D18" s="35">
        <f>SUM(3+29+7+55+13+14)</f>
        <v>121</v>
      </c>
      <c r="E18" s="35">
        <f>SUM(3+29+11+64+17+19)</f>
        <v>143</v>
      </c>
      <c r="F18" s="35">
        <f>SUM(2+7+46+11+6)</f>
        <v>72</v>
      </c>
      <c r="G18" s="35"/>
      <c r="H18" s="35">
        <f>SUM(2+1)</f>
        <v>3</v>
      </c>
      <c r="I18" s="34"/>
    </row>
    <row r="19" spans="1:9" s="47" customFormat="1" ht="25.5" customHeight="1" x14ac:dyDescent="0.25">
      <c r="A19" s="34">
        <v>18</v>
      </c>
      <c r="B19" s="35" t="s">
        <v>48</v>
      </c>
      <c r="C19" s="52">
        <f>SUM(4+9+20+37+5+6+1)</f>
        <v>82</v>
      </c>
      <c r="D19" s="35">
        <f>SUM(4+20+9+37+5+7)</f>
        <v>82</v>
      </c>
      <c r="E19" s="35">
        <f>SUM(4+20+17+44+8+10)</f>
        <v>103</v>
      </c>
      <c r="F19" s="35">
        <f>SUM(3+9+30+4+3)</f>
        <v>49</v>
      </c>
      <c r="G19" s="35"/>
      <c r="H19" s="35">
        <f>SUM(1+2)</f>
        <v>3</v>
      </c>
      <c r="I19" s="34"/>
    </row>
    <row r="20" spans="1:9" s="47" customFormat="1" ht="25.5" customHeight="1" x14ac:dyDescent="0.25">
      <c r="A20" s="34">
        <v>19</v>
      </c>
      <c r="B20" s="35" t="s">
        <v>962</v>
      </c>
      <c r="C20" s="52">
        <f>SUM(0+0+2+1+3)</f>
        <v>6</v>
      </c>
      <c r="D20" s="35">
        <f>SUM(2+1+3)</f>
        <v>6</v>
      </c>
      <c r="E20" s="35">
        <f>SUM(2+1+5)</f>
        <v>8</v>
      </c>
      <c r="F20" s="35">
        <f>SUM(1+4)</f>
        <v>5</v>
      </c>
      <c r="G20" s="35"/>
      <c r="H20" s="35">
        <f>SUM(6)</f>
        <v>6</v>
      </c>
      <c r="I20" s="34"/>
    </row>
    <row r="21" spans="1:9" s="47" customFormat="1" ht="25.5" customHeight="1" x14ac:dyDescent="0.25">
      <c r="A21" s="50">
        <v>20</v>
      </c>
      <c r="B21" s="9" t="s">
        <v>4930</v>
      </c>
      <c r="C21" s="53">
        <f>SUM(C2:C20)</f>
        <v>1432</v>
      </c>
      <c r="D21" s="9">
        <f>SUM(D2:D20)</f>
        <v>1461</v>
      </c>
      <c r="E21" s="9">
        <f>SUM(E2:E20)</f>
        <v>1795</v>
      </c>
      <c r="F21" s="9">
        <f>SUM(F2:F20)</f>
        <v>883</v>
      </c>
      <c r="G21" s="9"/>
      <c r="H21" s="9">
        <f>SUM(H2:H20)</f>
        <v>68</v>
      </c>
      <c r="I21" s="34"/>
    </row>
    <row r="22" spans="1:9" s="47" customFormat="1" ht="51" customHeight="1" x14ac:dyDescent="0.25">
      <c r="A22" s="48"/>
      <c r="B22" s="49"/>
      <c r="C22" s="54"/>
      <c r="D22" s="49"/>
      <c r="E22" s="49"/>
      <c r="F22" s="49"/>
      <c r="G22" s="49"/>
      <c r="H22" s="49"/>
      <c r="I22" s="48"/>
    </row>
    <row r="23" spans="1:9" s="47" customFormat="1" ht="25.5" customHeight="1" x14ac:dyDescent="0.25">
      <c r="A23" s="48"/>
      <c r="B23" s="49"/>
      <c r="C23" s="54"/>
      <c r="D23" s="49"/>
      <c r="E23" s="49"/>
      <c r="F23" s="49"/>
      <c r="G23" s="49"/>
      <c r="H23" s="49"/>
      <c r="I23" s="48"/>
    </row>
    <row r="24" spans="1:9" ht="25.5" customHeight="1" x14ac:dyDescent="0.25">
      <c r="A24" s="42"/>
      <c r="B24" s="43"/>
      <c r="C24" s="54"/>
      <c r="D24" s="43"/>
      <c r="E24" s="43"/>
      <c r="F24" s="43"/>
      <c r="G24" s="43"/>
      <c r="H24" s="43"/>
      <c r="I24" s="42"/>
    </row>
    <row r="25" spans="1:9" ht="25.5" customHeight="1" x14ac:dyDescent="0.25">
      <c r="A25" s="42"/>
      <c r="B25" s="43"/>
      <c r="C25" s="54"/>
      <c r="D25" s="43"/>
      <c r="E25" s="43"/>
      <c r="F25" s="43"/>
      <c r="G25" s="43"/>
      <c r="H25" s="43"/>
      <c r="I25" s="42"/>
    </row>
    <row r="26" spans="1:9" ht="25.5" customHeight="1" x14ac:dyDescent="0.25">
      <c r="A26" s="42"/>
      <c r="B26" s="43"/>
      <c r="C26" s="54"/>
      <c r="D26" s="43"/>
      <c r="E26" s="43"/>
      <c r="F26" s="43"/>
      <c r="G26" s="43"/>
      <c r="H26" s="43"/>
      <c r="I26" s="42"/>
    </row>
    <row r="27" spans="1:9" ht="25.5" customHeight="1" x14ac:dyDescent="0.25">
      <c r="A27" s="42"/>
      <c r="B27" s="43"/>
      <c r="C27" s="54"/>
      <c r="D27" s="43"/>
      <c r="E27" s="43"/>
      <c r="F27" s="43"/>
      <c r="G27" s="43"/>
      <c r="H27" s="43"/>
      <c r="I27" s="42"/>
    </row>
    <row r="28" spans="1:9" ht="25.5" customHeight="1" x14ac:dyDescent="0.25">
      <c r="A28" s="42"/>
      <c r="B28" s="43"/>
      <c r="C28" s="54"/>
      <c r="D28" s="43"/>
      <c r="E28" s="43"/>
      <c r="F28" s="43"/>
      <c r="G28" s="43"/>
      <c r="H28" s="43"/>
      <c r="I28" s="42"/>
    </row>
    <row r="29" spans="1:9" ht="63.75" customHeight="1" x14ac:dyDescent="0.25">
      <c r="A29" s="42"/>
      <c r="B29" s="43"/>
      <c r="C29" s="54"/>
      <c r="D29" s="43"/>
      <c r="E29" s="43"/>
      <c r="F29" s="43"/>
      <c r="G29" s="43"/>
      <c r="H29" s="43"/>
      <c r="I29" s="42"/>
    </row>
    <row r="30" spans="1:9" ht="25.5" customHeight="1" x14ac:dyDescent="0.25">
      <c r="A30" s="42"/>
      <c r="B30" s="43"/>
      <c r="C30" s="54"/>
      <c r="D30" s="43"/>
      <c r="E30" s="43"/>
      <c r="F30" s="43"/>
      <c r="G30" s="43"/>
      <c r="H30" s="43"/>
      <c r="I30" s="42"/>
    </row>
    <row r="31" spans="1:9" ht="25.5" customHeight="1" x14ac:dyDescent="0.25">
      <c r="A31" s="42"/>
      <c r="B31" s="43"/>
      <c r="C31" s="54"/>
      <c r="D31" s="43"/>
      <c r="E31" s="43"/>
      <c r="F31" s="43"/>
      <c r="G31" s="43"/>
      <c r="H31" s="43"/>
      <c r="I31" s="42"/>
    </row>
    <row r="32" spans="1:9" ht="51" customHeight="1" x14ac:dyDescent="0.25">
      <c r="A32" s="42"/>
      <c r="B32" s="43"/>
      <c r="C32" s="54"/>
      <c r="D32" s="43"/>
      <c r="E32" s="43"/>
      <c r="F32" s="43"/>
      <c r="G32" s="43"/>
      <c r="H32" s="43"/>
      <c r="I32" s="42"/>
    </row>
    <row r="33" spans="1:9" ht="51" customHeight="1" x14ac:dyDescent="0.25">
      <c r="A33" s="42"/>
      <c r="B33" s="43"/>
      <c r="C33" s="54"/>
      <c r="D33" s="43"/>
      <c r="E33" s="43"/>
      <c r="F33" s="43"/>
      <c r="G33" s="43"/>
      <c r="H33" s="43"/>
      <c r="I33" s="42"/>
    </row>
    <row r="34" spans="1:9" ht="51" customHeight="1" x14ac:dyDescent="0.25">
      <c r="A34" s="42"/>
      <c r="B34" s="43"/>
      <c r="C34" s="54"/>
      <c r="D34" s="43"/>
      <c r="E34" s="43"/>
      <c r="F34" s="43"/>
      <c r="G34" s="43"/>
      <c r="H34" s="43"/>
      <c r="I34" s="42"/>
    </row>
    <row r="35" spans="1:9" ht="25.5" customHeight="1" x14ac:dyDescent="0.25">
      <c r="A35" s="42"/>
      <c r="B35" s="43"/>
      <c r="C35" s="54"/>
      <c r="D35" s="43"/>
      <c r="E35" s="43"/>
      <c r="F35" s="43"/>
      <c r="G35" s="43"/>
      <c r="H35" s="43"/>
      <c r="I35" s="42"/>
    </row>
    <row r="36" spans="1:9" ht="25.5" customHeight="1" x14ac:dyDescent="0.25">
      <c r="A36" s="42"/>
      <c r="B36" s="43"/>
      <c r="C36" s="54"/>
      <c r="D36" s="43"/>
      <c r="E36" s="43"/>
      <c r="F36" s="43"/>
      <c r="G36" s="43"/>
      <c r="H36" s="43"/>
      <c r="I36" s="44"/>
    </row>
    <row r="37" spans="1:9" ht="25.5" customHeight="1" x14ac:dyDescent="0.25">
      <c r="A37" s="42"/>
      <c r="B37" s="43"/>
      <c r="C37" s="54"/>
      <c r="D37" s="43"/>
      <c r="E37" s="43"/>
      <c r="F37" s="43"/>
      <c r="G37" s="43"/>
      <c r="H37" s="43"/>
      <c r="I37" s="42"/>
    </row>
    <row r="38" spans="1:9" ht="25.5" customHeight="1" x14ac:dyDescent="0.25">
      <c r="A38" s="42"/>
      <c r="B38" s="43"/>
      <c r="C38" s="54"/>
      <c r="D38" s="43"/>
      <c r="E38" s="43"/>
      <c r="F38" s="43"/>
      <c r="G38" s="43"/>
      <c r="H38" s="43"/>
      <c r="I38" s="42"/>
    </row>
    <row r="39" spans="1:9" ht="25.5" customHeight="1" x14ac:dyDescent="0.25">
      <c r="A39" s="42"/>
      <c r="B39" s="43"/>
      <c r="C39" s="54"/>
      <c r="D39" s="43"/>
      <c r="E39" s="43"/>
      <c r="F39" s="43"/>
      <c r="G39" s="43"/>
      <c r="H39" s="43"/>
      <c r="I39" s="42"/>
    </row>
    <row r="40" spans="1:9" ht="25.5" customHeight="1" x14ac:dyDescent="0.25">
      <c r="A40" s="42"/>
      <c r="B40" s="43"/>
      <c r="C40" s="54"/>
      <c r="D40" s="43"/>
      <c r="E40" s="43"/>
      <c r="F40" s="43"/>
      <c r="G40" s="43"/>
      <c r="H40" s="43"/>
      <c r="I40" s="42"/>
    </row>
    <row r="41" spans="1:9" ht="51" customHeight="1" x14ac:dyDescent="0.25">
      <c r="A41" s="42"/>
      <c r="B41" s="43"/>
      <c r="C41" s="54"/>
      <c r="D41" s="43"/>
      <c r="E41" s="43"/>
      <c r="F41" s="43"/>
      <c r="G41" s="43"/>
      <c r="H41" s="43"/>
      <c r="I41" s="42"/>
    </row>
    <row r="42" spans="1:9" ht="51" customHeight="1" x14ac:dyDescent="0.25">
      <c r="A42" s="42"/>
      <c r="B42" s="43"/>
      <c r="C42" s="54"/>
      <c r="D42" s="43"/>
      <c r="E42" s="43"/>
      <c r="F42" s="43"/>
      <c r="G42" s="43"/>
      <c r="H42" s="43"/>
      <c r="I42" s="42"/>
    </row>
    <row r="43" spans="1:9" ht="51" customHeight="1" x14ac:dyDescent="0.25">
      <c r="A43" s="42"/>
      <c r="B43" s="43"/>
      <c r="C43" s="54"/>
      <c r="D43" s="43"/>
      <c r="E43" s="43"/>
      <c r="F43" s="43"/>
      <c r="G43" s="43"/>
      <c r="H43" s="43"/>
      <c r="I43" s="42"/>
    </row>
    <row r="44" spans="1:9" ht="25.5" customHeight="1" x14ac:dyDescent="0.25">
      <c r="A44" s="42"/>
      <c r="B44" s="43"/>
      <c r="C44" s="54"/>
      <c r="D44" s="43"/>
      <c r="E44" s="43"/>
      <c r="F44" s="43"/>
      <c r="G44" s="43"/>
      <c r="H44" s="43"/>
      <c r="I44" s="42"/>
    </row>
    <row r="45" spans="1:9" ht="25.5" customHeight="1" x14ac:dyDescent="0.25">
      <c r="A45" s="42"/>
      <c r="B45" s="43"/>
      <c r="C45" s="54"/>
      <c r="D45" s="43"/>
      <c r="E45" s="43"/>
      <c r="F45" s="43"/>
      <c r="G45" s="43"/>
      <c r="H45" s="43"/>
      <c r="I45" s="42"/>
    </row>
    <row r="46" spans="1:9" ht="51" customHeight="1" x14ac:dyDescent="0.25">
      <c r="A46" s="42"/>
      <c r="B46" s="43"/>
      <c r="C46" s="54"/>
      <c r="D46" s="43"/>
      <c r="E46" s="43"/>
      <c r="F46" s="43"/>
      <c r="G46" s="43"/>
      <c r="H46" s="43"/>
      <c r="I46" s="42"/>
    </row>
    <row r="47" spans="1:9" ht="25.5" customHeight="1" x14ac:dyDescent="0.25">
      <c r="A47" s="42"/>
      <c r="B47" s="43"/>
      <c r="C47" s="54"/>
      <c r="D47" s="43"/>
      <c r="E47" s="43"/>
      <c r="F47" s="43"/>
      <c r="G47" s="43"/>
      <c r="H47" s="43"/>
      <c r="I47" s="42"/>
    </row>
    <row r="48" spans="1:9" ht="25.5" customHeight="1" x14ac:dyDescent="0.25">
      <c r="A48" s="42"/>
      <c r="B48" s="43"/>
      <c r="C48" s="54"/>
      <c r="D48" s="43"/>
      <c r="E48" s="43"/>
      <c r="F48" s="43"/>
      <c r="G48" s="43"/>
      <c r="H48" s="43"/>
      <c r="I48" s="42"/>
    </row>
    <row r="49" spans="1:9" ht="38.25" customHeight="1" x14ac:dyDescent="0.25">
      <c r="A49" s="42"/>
      <c r="B49" s="43"/>
      <c r="C49" s="54"/>
      <c r="D49" s="43"/>
      <c r="E49" s="43"/>
      <c r="F49" s="43"/>
      <c r="G49" s="43"/>
      <c r="H49" s="43"/>
      <c r="I49" s="42"/>
    </row>
    <row r="50" spans="1:9" ht="25.5" customHeight="1" x14ac:dyDescent="0.25">
      <c r="A50" s="42"/>
      <c r="B50" s="43"/>
      <c r="C50" s="54"/>
      <c r="D50" s="43"/>
      <c r="E50" s="43"/>
      <c r="F50" s="43"/>
      <c r="G50" s="43"/>
      <c r="H50" s="43"/>
      <c r="I50" s="42"/>
    </row>
    <row r="51" spans="1:9" ht="25.5" customHeight="1" x14ac:dyDescent="0.25">
      <c r="A51" s="42"/>
      <c r="B51" s="43"/>
      <c r="C51" s="54"/>
      <c r="D51" s="43"/>
      <c r="E51" s="43"/>
      <c r="F51" s="43"/>
      <c r="G51" s="43"/>
      <c r="H51" s="43"/>
      <c r="I51" s="42"/>
    </row>
    <row r="52" spans="1:9" x14ac:dyDescent="0.25">
      <c r="A52" s="45"/>
      <c r="B52" s="45"/>
      <c r="C52" s="55"/>
      <c r="D52" s="45"/>
      <c r="E52" s="45"/>
      <c r="F52" s="45"/>
      <c r="G52" s="45"/>
      <c r="H52" s="45"/>
      <c r="I52" s="45"/>
    </row>
    <row r="53" spans="1:9" x14ac:dyDescent="0.25">
      <c r="A53" s="4"/>
      <c r="B53" s="4"/>
      <c r="C53" s="56"/>
      <c r="D53" s="4"/>
      <c r="E53" s="4"/>
      <c r="F53" s="4"/>
      <c r="G53" s="4"/>
      <c r="H53" s="4"/>
      <c r="I53" s="4"/>
    </row>
    <row r="54" spans="1:9" x14ac:dyDescent="0.25">
      <c r="A54" s="4"/>
      <c r="B54" s="4"/>
      <c r="C54" s="56"/>
      <c r="D54" s="4"/>
      <c r="E54" s="4"/>
      <c r="F54" s="4"/>
      <c r="G54" s="4"/>
      <c r="H54" s="4"/>
      <c r="I54" s="4"/>
    </row>
    <row r="55" spans="1:9" x14ac:dyDescent="0.25">
      <c r="A55" s="4"/>
      <c r="B55" s="4"/>
      <c r="C55" s="56"/>
      <c r="D55" s="4"/>
      <c r="E55" s="4"/>
      <c r="F55" s="4"/>
      <c r="G55" s="4"/>
      <c r="H55" s="4"/>
      <c r="I55" s="4"/>
    </row>
    <row r="56" spans="1:9" x14ac:dyDescent="0.25">
      <c r="A56" s="4"/>
      <c r="B56" s="4"/>
      <c r="C56" s="56"/>
      <c r="D56" s="4"/>
      <c r="E56" s="4"/>
      <c r="F56" s="4"/>
      <c r="G56" s="4"/>
      <c r="H56" s="4"/>
      <c r="I56" s="4"/>
    </row>
    <row r="57" spans="1:9" x14ac:dyDescent="0.25">
      <c r="A57" s="4"/>
      <c r="B57" s="4"/>
      <c r="C57" s="56"/>
      <c r="D57" s="4"/>
      <c r="E57" s="4"/>
      <c r="F57" s="4"/>
      <c r="G57" s="4"/>
      <c r="H57" s="4"/>
      <c r="I57" s="4"/>
    </row>
    <row r="58" spans="1:9" x14ac:dyDescent="0.25">
      <c r="A58" s="4"/>
      <c r="B58" s="4"/>
      <c r="C58" s="56"/>
      <c r="D58" s="4"/>
      <c r="E58" s="4"/>
      <c r="F58" s="4"/>
      <c r="G58" s="4"/>
      <c r="H58" s="4"/>
      <c r="I58" s="4"/>
    </row>
    <row r="59" spans="1:9" x14ac:dyDescent="0.25">
      <c r="A59" s="4"/>
      <c r="B59" s="4"/>
      <c r="C59" s="56"/>
      <c r="D59" s="4"/>
      <c r="E59" s="4"/>
      <c r="F59" s="4"/>
      <c r="G59" s="4"/>
      <c r="H59" s="4"/>
      <c r="I59" s="4"/>
    </row>
    <row r="60" spans="1:9" x14ac:dyDescent="0.25">
      <c r="A60" s="4"/>
      <c r="B60" s="4"/>
      <c r="C60" s="56"/>
      <c r="D60" s="4"/>
      <c r="E60" s="4"/>
      <c r="F60" s="4"/>
      <c r="G60" s="4"/>
      <c r="H60" s="4"/>
      <c r="I60" s="4"/>
    </row>
    <row r="61" spans="1:9" x14ac:dyDescent="0.25">
      <c r="A61" s="4"/>
      <c r="B61" s="4"/>
      <c r="C61" s="56"/>
      <c r="D61" s="4"/>
      <c r="E61" s="4"/>
      <c r="F61" s="4"/>
      <c r="G61" s="4"/>
      <c r="H61" s="4"/>
      <c r="I61" s="4"/>
    </row>
    <row r="62" spans="1:9" x14ac:dyDescent="0.25">
      <c r="A62" s="4"/>
      <c r="B62" s="4"/>
      <c r="C62" s="56"/>
      <c r="D62" s="4"/>
      <c r="E62" s="4"/>
      <c r="F62" s="4"/>
      <c r="G62" s="4"/>
      <c r="H62" s="4"/>
      <c r="I62" s="4"/>
    </row>
    <row r="63" spans="1:9" x14ac:dyDescent="0.25">
      <c r="A63" s="4"/>
      <c r="B63" s="4"/>
      <c r="C63" s="56"/>
      <c r="D63" s="4"/>
      <c r="E63" s="4"/>
      <c r="F63" s="4"/>
      <c r="G63" s="4"/>
      <c r="H63" s="4"/>
      <c r="I63" s="4"/>
    </row>
    <row r="64" spans="1:9" x14ac:dyDescent="0.25">
      <c r="A64" s="4"/>
      <c r="B64" s="4"/>
      <c r="C64" s="56"/>
      <c r="D64" s="4"/>
      <c r="E64" s="4"/>
      <c r="F64" s="4"/>
      <c r="G64" s="4"/>
      <c r="H64" s="4"/>
      <c r="I64" s="4"/>
    </row>
    <row r="65" spans="1:9" x14ac:dyDescent="0.25">
      <c r="A65" s="4"/>
      <c r="B65" s="4"/>
      <c r="C65" s="56"/>
      <c r="D65" s="4"/>
      <c r="E65" s="4"/>
      <c r="F65" s="4"/>
      <c r="G65" s="4"/>
      <c r="H65" s="4"/>
      <c r="I65" s="4"/>
    </row>
    <row r="66" spans="1:9" x14ac:dyDescent="0.25">
      <c r="A66" s="4"/>
      <c r="B66" s="4"/>
      <c r="C66" s="56"/>
      <c r="D66" s="4"/>
      <c r="E66" s="4"/>
      <c r="F66" s="4"/>
      <c r="G66" s="4"/>
      <c r="H66" s="4"/>
      <c r="I66" s="4"/>
    </row>
    <row r="67" spans="1:9" x14ac:dyDescent="0.25">
      <c r="A67" s="4"/>
      <c r="B67" s="4"/>
      <c r="C67" s="56"/>
      <c r="D67" s="4"/>
      <c r="E67" s="4"/>
      <c r="F67" s="4"/>
      <c r="G67" s="4"/>
      <c r="H67" s="4"/>
      <c r="I67" s="4"/>
    </row>
    <row r="68" spans="1:9" x14ac:dyDescent="0.25">
      <c r="A68" s="4"/>
      <c r="B68" s="4"/>
      <c r="C68" s="56"/>
      <c r="D68" s="4"/>
      <c r="E68" s="4"/>
      <c r="F68" s="4"/>
      <c r="G68" s="4"/>
      <c r="H68" s="4"/>
      <c r="I68" s="4"/>
    </row>
    <row r="69" spans="1:9" x14ac:dyDescent="0.25">
      <c r="A69" s="4"/>
      <c r="B69" s="4"/>
      <c r="C69" s="56"/>
      <c r="D69" s="4"/>
      <c r="E69" s="4"/>
      <c r="F69" s="4"/>
      <c r="G69" s="4"/>
      <c r="H69" s="4"/>
      <c r="I69" s="4"/>
    </row>
    <row r="70" spans="1:9" x14ac:dyDescent="0.25">
      <c r="A70" s="4"/>
      <c r="B70" s="4"/>
      <c r="C70" s="56"/>
      <c r="D70" s="4"/>
      <c r="E70" s="4"/>
      <c r="F70" s="4"/>
      <c r="G70" s="4"/>
      <c r="H70" s="4"/>
      <c r="I70" s="4"/>
    </row>
    <row r="71" spans="1:9" x14ac:dyDescent="0.25">
      <c r="A71" s="4"/>
      <c r="B71" s="4"/>
      <c r="C71" s="56"/>
      <c r="D71" s="4"/>
      <c r="E71" s="4"/>
      <c r="F71" s="4"/>
      <c r="G71" s="4"/>
      <c r="H71" s="4"/>
      <c r="I71" s="4"/>
    </row>
    <row r="72" spans="1:9" x14ac:dyDescent="0.25">
      <c r="A72" s="4"/>
      <c r="B72" s="4"/>
      <c r="C72" s="56"/>
      <c r="D72" s="4"/>
      <c r="E72" s="4"/>
      <c r="F72" s="4"/>
      <c r="G72" s="4"/>
      <c r="H72" s="4"/>
      <c r="I72" s="4"/>
    </row>
    <row r="73" spans="1:9" x14ac:dyDescent="0.25">
      <c r="A73" s="4"/>
      <c r="B73" s="4"/>
      <c r="C73" s="56"/>
      <c r="D73" s="4"/>
      <c r="E73" s="4"/>
      <c r="F73" s="4"/>
      <c r="G73" s="4"/>
      <c r="H73" s="4"/>
      <c r="I73" s="4"/>
    </row>
    <row r="74" spans="1:9" x14ac:dyDescent="0.25">
      <c r="A74" s="4"/>
      <c r="B74" s="4"/>
      <c r="C74" s="56"/>
      <c r="D74" s="4"/>
      <c r="E74" s="4"/>
      <c r="F74" s="4"/>
      <c r="G74" s="4"/>
      <c r="H74" s="4"/>
      <c r="I74" s="4"/>
    </row>
    <row r="75" spans="1:9" x14ac:dyDescent="0.25">
      <c r="A75" s="4"/>
      <c r="B75" s="4"/>
      <c r="C75" s="56"/>
      <c r="D75" s="4"/>
      <c r="E75" s="4"/>
      <c r="F75" s="4"/>
      <c r="G75" s="4"/>
      <c r="H75" s="4"/>
      <c r="I75" s="4"/>
    </row>
    <row r="76" spans="1:9" x14ac:dyDescent="0.25">
      <c r="A76" s="4"/>
      <c r="B76" s="4"/>
      <c r="C76" s="56"/>
      <c r="D76" s="4"/>
      <c r="E76" s="4"/>
      <c r="F76" s="4"/>
      <c r="G76" s="4"/>
      <c r="H76" s="4"/>
      <c r="I76" s="4"/>
    </row>
    <row r="77" spans="1:9" x14ac:dyDescent="0.25">
      <c r="A77" s="4"/>
      <c r="B77" s="4"/>
      <c r="C77" s="56"/>
      <c r="D77" s="4"/>
      <c r="E77" s="4"/>
      <c r="F77" s="4"/>
      <c r="G77" s="4"/>
      <c r="H77" s="4"/>
      <c r="I77" s="4"/>
    </row>
    <row r="78" spans="1:9" x14ac:dyDescent="0.25">
      <c r="A78" s="4"/>
      <c r="B78" s="4"/>
      <c r="C78" s="56"/>
      <c r="D78" s="4"/>
      <c r="E78" s="4"/>
      <c r="F78" s="4"/>
      <c r="G78" s="4"/>
      <c r="H78" s="4"/>
      <c r="I78" s="4"/>
    </row>
    <row r="79" spans="1:9" x14ac:dyDescent="0.25">
      <c r="A79" s="4"/>
      <c r="B79" s="4"/>
      <c r="C79" s="56"/>
      <c r="D79" s="4"/>
      <c r="E79" s="4"/>
      <c r="F79" s="4"/>
      <c r="G79" s="4"/>
      <c r="H79" s="4"/>
      <c r="I79" s="4"/>
    </row>
    <row r="80" spans="1:9" x14ac:dyDescent="0.25">
      <c r="A80" s="4"/>
      <c r="B80" s="4"/>
      <c r="C80" s="56"/>
      <c r="D80" s="4"/>
      <c r="E80" s="4"/>
      <c r="F80" s="4"/>
      <c r="G80" s="4"/>
      <c r="H80" s="4"/>
      <c r="I80" s="4"/>
    </row>
    <row r="81" spans="1:9" x14ac:dyDescent="0.25">
      <c r="A81" s="4"/>
      <c r="B81" s="4"/>
      <c r="C81" s="56"/>
      <c r="D81" s="4"/>
      <c r="E81" s="4"/>
      <c r="F81" s="4"/>
      <c r="G81" s="4"/>
      <c r="H81" s="4"/>
      <c r="I81" s="4"/>
    </row>
    <row r="82" spans="1:9" x14ac:dyDescent="0.25">
      <c r="A82" s="4"/>
      <c r="B82" s="4"/>
      <c r="C82" s="56"/>
      <c r="D82" s="4"/>
      <c r="E82" s="4"/>
      <c r="F82" s="4"/>
      <c r="G82" s="4"/>
      <c r="H82" s="4"/>
      <c r="I82" s="4"/>
    </row>
    <row r="83" spans="1:9" x14ac:dyDescent="0.25">
      <c r="A83" s="4"/>
      <c r="B83" s="4"/>
      <c r="C83" s="56"/>
      <c r="D83" s="4"/>
      <c r="E83" s="4"/>
      <c r="F83" s="4"/>
      <c r="G83" s="4"/>
      <c r="H83" s="4"/>
      <c r="I83" s="4"/>
    </row>
    <row r="84" spans="1:9" x14ac:dyDescent="0.25">
      <c r="A84" s="4"/>
      <c r="B84" s="4"/>
      <c r="C84" s="56"/>
      <c r="D84" s="4"/>
      <c r="E84" s="4"/>
      <c r="F84" s="4"/>
      <c r="G84" s="4"/>
      <c r="H84" s="4"/>
      <c r="I84" s="4"/>
    </row>
    <row r="85" spans="1:9" x14ac:dyDescent="0.25">
      <c r="A85" s="4"/>
      <c r="B85" s="4"/>
      <c r="C85" s="56"/>
      <c r="D85" s="4"/>
      <c r="E85" s="4"/>
      <c r="F85" s="4"/>
      <c r="G85" s="4"/>
      <c r="H85" s="4"/>
      <c r="I85" s="4"/>
    </row>
    <row r="86" spans="1:9" x14ac:dyDescent="0.25">
      <c r="A86" s="4"/>
      <c r="B86" s="4"/>
      <c r="C86" s="56"/>
      <c r="D86" s="4"/>
      <c r="E86" s="4"/>
      <c r="F86" s="4"/>
      <c r="G86" s="4"/>
      <c r="H86" s="4"/>
      <c r="I86" s="4"/>
    </row>
    <row r="87" spans="1:9" x14ac:dyDescent="0.25">
      <c r="A87" s="4"/>
      <c r="B87" s="4"/>
      <c r="C87" s="56"/>
      <c r="D87" s="4"/>
      <c r="E87" s="4"/>
      <c r="F87" s="4"/>
      <c r="G87" s="4"/>
      <c r="H87" s="4"/>
      <c r="I87" s="4"/>
    </row>
    <row r="88" spans="1:9" x14ac:dyDescent="0.25">
      <c r="A88" s="4"/>
      <c r="B88" s="4"/>
      <c r="C88" s="56"/>
      <c r="D88" s="4"/>
      <c r="E88" s="4"/>
      <c r="F88" s="4"/>
      <c r="G88" s="4"/>
      <c r="H88" s="4"/>
      <c r="I88" s="4"/>
    </row>
    <row r="89" spans="1:9" x14ac:dyDescent="0.25">
      <c r="A89" s="4"/>
      <c r="B89" s="4"/>
      <c r="C89" s="56"/>
      <c r="D89" s="4"/>
      <c r="E89" s="4"/>
      <c r="F89" s="4"/>
      <c r="G89" s="4"/>
      <c r="H89" s="4"/>
      <c r="I89" s="4"/>
    </row>
    <row r="90" spans="1:9" x14ac:dyDescent="0.25">
      <c r="A90" s="4"/>
      <c r="B90" s="4"/>
      <c r="C90" s="56"/>
      <c r="D90" s="4"/>
      <c r="E90" s="4"/>
      <c r="F90" s="4"/>
      <c r="G90" s="4"/>
      <c r="H90" s="4"/>
      <c r="I90" s="4"/>
    </row>
    <row r="91" spans="1:9" x14ac:dyDescent="0.25">
      <c r="A91" s="4"/>
      <c r="B91" s="4"/>
      <c r="C91" s="56"/>
      <c r="D91" s="4"/>
      <c r="E91" s="4"/>
      <c r="F91" s="4"/>
      <c r="G91" s="4"/>
      <c r="H91" s="4"/>
      <c r="I91" s="4"/>
    </row>
    <row r="92" spans="1:9" x14ac:dyDescent="0.25">
      <c r="A92" s="4"/>
      <c r="B92" s="4"/>
      <c r="C92" s="56"/>
      <c r="D92" s="4"/>
      <c r="E92" s="4"/>
      <c r="F92" s="4"/>
      <c r="G92" s="4"/>
      <c r="H92" s="4"/>
      <c r="I92" s="4"/>
    </row>
    <row r="93" spans="1:9" x14ac:dyDescent="0.25">
      <c r="A93" s="4"/>
      <c r="B93" s="4"/>
      <c r="C93" s="56"/>
      <c r="D93" s="4"/>
      <c r="E93" s="4"/>
      <c r="F93" s="4"/>
      <c r="G93" s="4"/>
      <c r="H93" s="4"/>
      <c r="I93" s="4"/>
    </row>
    <row r="94" spans="1:9" x14ac:dyDescent="0.25">
      <c r="A94" s="4"/>
      <c r="B94" s="4"/>
      <c r="C94" s="56"/>
      <c r="D94" s="4"/>
      <c r="E94" s="4"/>
      <c r="F94" s="4"/>
      <c r="G94" s="4"/>
      <c r="H94" s="4"/>
      <c r="I94" s="4"/>
    </row>
    <row r="95" spans="1:9" x14ac:dyDescent="0.25">
      <c r="A95" s="4"/>
      <c r="B95" s="4"/>
      <c r="C95" s="56"/>
      <c r="D95" s="4"/>
      <c r="E95" s="4"/>
      <c r="F95" s="4"/>
      <c r="G95" s="4"/>
      <c r="H95" s="4"/>
      <c r="I95" s="4"/>
    </row>
    <row r="96" spans="1:9" x14ac:dyDescent="0.25">
      <c r="A96" s="4"/>
      <c r="B96" s="4"/>
      <c r="C96" s="56"/>
      <c r="D96" s="4"/>
      <c r="E96" s="4"/>
      <c r="F96" s="4"/>
      <c r="G96" s="4"/>
      <c r="H96" s="4"/>
      <c r="I96" s="4"/>
    </row>
    <row r="97" spans="1:9" x14ac:dyDescent="0.25">
      <c r="A97" s="4"/>
      <c r="B97" s="4"/>
      <c r="C97" s="56"/>
      <c r="D97" s="4"/>
      <c r="E97" s="4"/>
      <c r="F97" s="4"/>
      <c r="G97" s="4"/>
      <c r="H97" s="4"/>
      <c r="I97" s="4"/>
    </row>
    <row r="98" spans="1:9" x14ac:dyDescent="0.25">
      <c r="A98" s="4"/>
      <c r="B98" s="4"/>
      <c r="C98" s="56"/>
      <c r="D98" s="4"/>
      <c r="E98" s="4"/>
      <c r="F98" s="4"/>
      <c r="G98" s="4"/>
      <c r="H98" s="4"/>
      <c r="I98" s="4"/>
    </row>
    <row r="99" spans="1:9" x14ac:dyDescent="0.25">
      <c r="A99" s="4"/>
      <c r="B99" s="4"/>
      <c r="C99" s="56"/>
      <c r="D99" s="4"/>
      <c r="E99" s="4"/>
      <c r="F99" s="4"/>
      <c r="G99" s="4"/>
      <c r="H99" s="4"/>
      <c r="I99" s="4"/>
    </row>
    <row r="100" spans="1:9" x14ac:dyDescent="0.25">
      <c r="A100" s="4"/>
      <c r="B100" s="4"/>
      <c r="C100" s="56"/>
      <c r="D100" s="4"/>
      <c r="E100" s="4"/>
      <c r="F100" s="4"/>
      <c r="G100" s="4"/>
      <c r="H100" s="4"/>
      <c r="I100" s="4"/>
    </row>
    <row r="101" spans="1:9" x14ac:dyDescent="0.25">
      <c r="A101" s="4"/>
      <c r="B101" s="4"/>
      <c r="C101" s="56"/>
      <c r="D101" s="4"/>
      <c r="E101" s="4"/>
      <c r="F101" s="4"/>
      <c r="G101" s="4"/>
      <c r="H101" s="4"/>
      <c r="I101" s="4"/>
    </row>
    <row r="102" spans="1:9" x14ac:dyDescent="0.25">
      <c r="A102" s="4"/>
      <c r="B102" s="4"/>
      <c r="C102" s="56"/>
      <c r="D102" s="4"/>
      <c r="E102" s="4"/>
      <c r="F102" s="4"/>
      <c r="G102" s="4"/>
      <c r="H102" s="4"/>
      <c r="I102" s="4"/>
    </row>
    <row r="103" spans="1:9" x14ac:dyDescent="0.25">
      <c r="A103" s="4"/>
      <c r="B103" s="4"/>
      <c r="C103" s="56"/>
      <c r="D103" s="4"/>
      <c r="E103" s="4"/>
      <c r="F103" s="4"/>
      <c r="G103" s="4"/>
      <c r="H103" s="4"/>
      <c r="I103" s="4"/>
    </row>
    <row r="104" spans="1:9" x14ac:dyDescent="0.25">
      <c r="A104" s="4"/>
      <c r="B104" s="4"/>
      <c r="C104" s="56"/>
      <c r="D104" s="4"/>
      <c r="E104" s="4"/>
      <c r="F104" s="4"/>
      <c r="G104" s="4"/>
      <c r="H104" s="4"/>
      <c r="I104" s="4"/>
    </row>
    <row r="105" spans="1:9" x14ac:dyDescent="0.25">
      <c r="A105" s="4"/>
      <c r="B105" s="4"/>
      <c r="C105" s="56"/>
      <c r="D105" s="4"/>
      <c r="E105" s="4"/>
      <c r="F105" s="4"/>
      <c r="G105" s="4"/>
      <c r="H105" s="4"/>
      <c r="I105" s="4"/>
    </row>
    <row r="106" spans="1:9" x14ac:dyDescent="0.25">
      <c r="A106" s="4"/>
      <c r="B106" s="4"/>
      <c r="C106" s="56"/>
      <c r="D106" s="4"/>
      <c r="E106" s="4"/>
      <c r="F106" s="4"/>
      <c r="G106" s="4"/>
      <c r="H106" s="4"/>
      <c r="I106" s="4"/>
    </row>
    <row r="107" spans="1:9" x14ac:dyDescent="0.25">
      <c r="A107" s="4"/>
      <c r="B107" s="4"/>
      <c r="C107" s="56"/>
      <c r="D107" s="4"/>
      <c r="E107" s="4"/>
      <c r="F107" s="4"/>
      <c r="G107" s="4"/>
      <c r="H107" s="4"/>
      <c r="I107" s="4"/>
    </row>
    <row r="108" spans="1:9" x14ac:dyDescent="0.25">
      <c r="A108" s="4"/>
      <c r="B108" s="4"/>
      <c r="C108" s="56"/>
      <c r="D108" s="4"/>
      <c r="E108" s="4"/>
      <c r="F108" s="4"/>
      <c r="G108" s="4"/>
      <c r="H108" s="4"/>
      <c r="I108" s="4"/>
    </row>
    <row r="109" spans="1:9" x14ac:dyDescent="0.25">
      <c r="A109" s="4"/>
      <c r="B109" s="4"/>
      <c r="C109" s="56"/>
      <c r="D109" s="4"/>
      <c r="E109" s="4"/>
      <c r="F109" s="4"/>
      <c r="G109" s="4"/>
      <c r="H109" s="4"/>
      <c r="I109" s="4"/>
    </row>
    <row r="110" spans="1:9" x14ac:dyDescent="0.25">
      <c r="A110" s="4"/>
      <c r="B110" s="4"/>
      <c r="C110" s="56"/>
      <c r="D110" s="4"/>
      <c r="E110" s="4"/>
      <c r="F110" s="4"/>
      <c r="G110" s="4"/>
      <c r="H110" s="4"/>
      <c r="I110" s="4"/>
    </row>
    <row r="111" spans="1:9" x14ac:dyDescent="0.25">
      <c r="A111" s="4"/>
      <c r="B111" s="4"/>
      <c r="C111" s="56"/>
      <c r="D111" s="4"/>
      <c r="E111" s="4"/>
      <c r="F111" s="4"/>
      <c r="G111" s="4"/>
      <c r="H111" s="4"/>
      <c r="I111" s="4"/>
    </row>
    <row r="112" spans="1:9" x14ac:dyDescent="0.25">
      <c r="A112" s="4"/>
      <c r="B112" s="4"/>
      <c r="C112" s="56"/>
      <c r="D112" s="4"/>
      <c r="E112" s="4"/>
      <c r="F112" s="4"/>
      <c r="G112" s="4"/>
      <c r="H112" s="4"/>
      <c r="I112" s="4"/>
    </row>
    <row r="113" spans="1:9" x14ac:dyDescent="0.25">
      <c r="A113" s="4"/>
      <c r="B113" s="4"/>
      <c r="C113" s="56"/>
      <c r="D113" s="4"/>
      <c r="E113" s="4"/>
      <c r="F113" s="4"/>
      <c r="G113" s="4"/>
      <c r="H113" s="4"/>
      <c r="I113" s="4"/>
    </row>
    <row r="114" spans="1:9" x14ac:dyDescent="0.25">
      <c r="A114" s="4"/>
      <c r="B114" s="4"/>
      <c r="C114" s="56"/>
      <c r="D114" s="4"/>
      <c r="E114" s="4"/>
      <c r="F114" s="4"/>
      <c r="G114" s="4"/>
      <c r="H114" s="4"/>
      <c r="I114" s="4"/>
    </row>
    <row r="115" spans="1:9" x14ac:dyDescent="0.25">
      <c r="A115" s="4"/>
      <c r="B115" s="4"/>
      <c r="C115" s="56"/>
      <c r="D115" s="4"/>
      <c r="E115" s="4"/>
      <c r="F115" s="4"/>
      <c r="G115" s="4"/>
      <c r="H115" s="4"/>
      <c r="I115" s="4"/>
    </row>
    <row r="116" spans="1:9" x14ac:dyDescent="0.25">
      <c r="A116" s="4"/>
      <c r="B116" s="4"/>
      <c r="C116" s="56"/>
      <c r="D116" s="4"/>
      <c r="E116" s="4"/>
      <c r="F116" s="4"/>
      <c r="G116" s="4"/>
      <c r="H116" s="4"/>
      <c r="I116" s="4"/>
    </row>
    <row r="117" spans="1:9" x14ac:dyDescent="0.25">
      <c r="A117" s="4"/>
      <c r="B117" s="4"/>
      <c r="C117" s="56"/>
      <c r="D117" s="4"/>
      <c r="E117" s="4"/>
      <c r="F117" s="4"/>
      <c r="G117" s="4"/>
      <c r="H117" s="4"/>
      <c r="I117" s="4"/>
    </row>
    <row r="118" spans="1:9" x14ac:dyDescent="0.25">
      <c r="A118" s="4"/>
      <c r="B118" s="4"/>
      <c r="C118" s="56"/>
      <c r="D118" s="4"/>
      <c r="E118" s="4"/>
      <c r="F118" s="4"/>
      <c r="G118" s="4"/>
      <c r="H118" s="4"/>
      <c r="I118" s="4"/>
    </row>
    <row r="119" spans="1:9" x14ac:dyDescent="0.25">
      <c r="A119" s="4"/>
      <c r="B119" s="4"/>
      <c r="C119" s="56"/>
      <c r="D119" s="4"/>
      <c r="E119" s="4"/>
      <c r="F119" s="4"/>
      <c r="G119" s="4"/>
      <c r="H119" s="4"/>
      <c r="I119" s="4"/>
    </row>
    <row r="120" spans="1:9" x14ac:dyDescent="0.25">
      <c r="A120" s="4"/>
      <c r="B120" s="4"/>
      <c r="C120" s="56"/>
      <c r="D120" s="4"/>
      <c r="E120" s="4"/>
      <c r="F120" s="4"/>
      <c r="G120" s="4"/>
      <c r="H120" s="4"/>
      <c r="I120" s="4"/>
    </row>
    <row r="121" spans="1:9" x14ac:dyDescent="0.25">
      <c r="A121" s="4"/>
      <c r="B121" s="4"/>
      <c r="C121" s="56"/>
      <c r="D121" s="4"/>
      <c r="E121" s="4"/>
      <c r="F121" s="4"/>
      <c r="G121" s="4"/>
      <c r="H121" s="4"/>
      <c r="I121" s="4"/>
    </row>
    <row r="122" spans="1:9" x14ac:dyDescent="0.25">
      <c r="A122" s="4"/>
      <c r="B122" s="4"/>
      <c r="C122" s="56"/>
      <c r="D122" s="4"/>
      <c r="E122" s="4"/>
      <c r="F122" s="4"/>
      <c r="G122" s="4"/>
      <c r="H122" s="4"/>
      <c r="I122" s="4"/>
    </row>
    <row r="123" spans="1:9" x14ac:dyDescent="0.25">
      <c r="A123" s="4"/>
      <c r="B123" s="4"/>
      <c r="C123" s="56"/>
      <c r="D123" s="4"/>
      <c r="E123" s="4"/>
      <c r="F123" s="4"/>
      <c r="G123" s="4"/>
      <c r="H123" s="4"/>
      <c r="I123" s="4"/>
    </row>
    <row r="124" spans="1:9" x14ac:dyDescent="0.25">
      <c r="A124" s="4"/>
      <c r="B124" s="4"/>
      <c r="C124" s="56"/>
      <c r="D124" s="4"/>
      <c r="E124" s="4"/>
      <c r="F124" s="4"/>
      <c r="G124" s="4"/>
      <c r="H124" s="4"/>
      <c r="I124" s="4"/>
    </row>
    <row r="125" spans="1:9" x14ac:dyDescent="0.25">
      <c r="A125" s="4"/>
      <c r="B125" s="4"/>
      <c r="C125" s="56"/>
      <c r="D125" s="4"/>
      <c r="E125" s="4"/>
      <c r="F125" s="4"/>
      <c r="G125" s="4"/>
      <c r="H125" s="4"/>
      <c r="I125" s="4"/>
    </row>
    <row r="126" spans="1:9" x14ac:dyDescent="0.25">
      <c r="A126" s="4"/>
      <c r="B126" s="4"/>
      <c r="C126" s="56"/>
      <c r="D126" s="4"/>
      <c r="E126" s="4"/>
      <c r="F126" s="4"/>
      <c r="G126" s="4"/>
      <c r="H126" s="4"/>
      <c r="I126" s="4"/>
    </row>
    <row r="127" spans="1:9" x14ac:dyDescent="0.25">
      <c r="A127" s="4"/>
      <c r="B127" s="4"/>
      <c r="C127" s="56"/>
      <c r="D127" s="4"/>
      <c r="E127" s="4"/>
      <c r="F127" s="4"/>
      <c r="G127" s="4"/>
      <c r="H127" s="4"/>
      <c r="I127" s="4"/>
    </row>
    <row r="128" spans="1:9" x14ac:dyDescent="0.25">
      <c r="A128" s="4"/>
      <c r="B128" s="4"/>
      <c r="C128" s="56"/>
      <c r="D128" s="4"/>
      <c r="E128" s="4"/>
      <c r="F128" s="4"/>
      <c r="G128" s="4"/>
      <c r="H128" s="4"/>
      <c r="I128" s="4"/>
    </row>
    <row r="129" spans="1:9" x14ac:dyDescent="0.25">
      <c r="A129" s="4"/>
      <c r="B129" s="4"/>
      <c r="C129" s="56"/>
      <c r="D129" s="4"/>
      <c r="E129" s="4"/>
      <c r="F129" s="4"/>
      <c r="G129" s="4"/>
      <c r="H129" s="4"/>
      <c r="I129" s="4"/>
    </row>
    <row r="130" spans="1:9" x14ac:dyDescent="0.25">
      <c r="A130" s="4"/>
      <c r="B130" s="4"/>
      <c r="C130" s="56"/>
      <c r="D130" s="4"/>
      <c r="E130" s="4"/>
      <c r="F130" s="4"/>
      <c r="G130" s="4"/>
      <c r="H130" s="4"/>
      <c r="I130" s="4"/>
    </row>
    <row r="131" spans="1:9" x14ac:dyDescent="0.25">
      <c r="A131" s="4"/>
      <c r="B131" s="4"/>
      <c r="C131" s="56"/>
      <c r="D131" s="4"/>
      <c r="E131" s="4"/>
      <c r="F131" s="4"/>
      <c r="G131" s="4"/>
      <c r="H131" s="4"/>
      <c r="I131" s="4"/>
    </row>
    <row r="132" spans="1:9" x14ac:dyDescent="0.25">
      <c r="A132" s="4"/>
      <c r="B132" s="4"/>
      <c r="C132" s="56"/>
      <c r="D132" s="4"/>
      <c r="E132" s="4"/>
      <c r="F132" s="4"/>
      <c r="G132" s="4"/>
      <c r="H132" s="4"/>
      <c r="I132" s="4"/>
    </row>
    <row r="133" spans="1:9" x14ac:dyDescent="0.25">
      <c r="A133" s="4"/>
      <c r="B133" s="4"/>
      <c r="C133" s="56"/>
      <c r="D133" s="4"/>
      <c r="E133" s="4"/>
      <c r="F133" s="4"/>
      <c r="G133" s="4"/>
      <c r="H133" s="4"/>
      <c r="I133" s="4"/>
    </row>
    <row r="134" spans="1:9" x14ac:dyDescent="0.25">
      <c r="A134" s="4"/>
      <c r="B134" s="4"/>
      <c r="C134" s="56"/>
      <c r="D134" s="4"/>
      <c r="E134" s="4"/>
      <c r="F134" s="4"/>
      <c r="G134" s="4"/>
      <c r="H134" s="4"/>
      <c r="I134" s="4"/>
    </row>
    <row r="135" spans="1:9" x14ac:dyDescent="0.25">
      <c r="A135" s="4"/>
      <c r="B135" s="4"/>
      <c r="C135" s="56"/>
      <c r="D135" s="4"/>
      <c r="E135" s="4"/>
      <c r="F135" s="4"/>
      <c r="G135" s="4"/>
      <c r="H135" s="4"/>
      <c r="I135" s="4"/>
    </row>
    <row r="136" spans="1:9" x14ac:dyDescent="0.25">
      <c r="A136" s="4"/>
      <c r="B136" s="4"/>
      <c r="C136" s="56"/>
      <c r="D136" s="4"/>
      <c r="E136" s="4"/>
      <c r="F136" s="4"/>
      <c r="G136" s="4"/>
      <c r="H136" s="4"/>
      <c r="I136" s="4"/>
    </row>
    <row r="137" spans="1:9" x14ac:dyDescent="0.25">
      <c r="A137" s="4"/>
      <c r="B137" s="4"/>
      <c r="C137" s="56"/>
      <c r="D137" s="4"/>
      <c r="E137" s="4"/>
      <c r="F137" s="4"/>
      <c r="G137" s="4"/>
      <c r="H137" s="4"/>
      <c r="I137" s="4"/>
    </row>
    <row r="138" spans="1:9" x14ac:dyDescent="0.25">
      <c r="A138" s="4"/>
      <c r="B138" s="4"/>
      <c r="C138" s="56"/>
      <c r="D138" s="4"/>
      <c r="E138" s="4"/>
      <c r="F138" s="4"/>
      <c r="G138" s="4"/>
      <c r="H138" s="4"/>
      <c r="I138" s="4"/>
    </row>
    <row r="139" spans="1:9" x14ac:dyDescent="0.25">
      <c r="A139" s="4"/>
      <c r="B139" s="4"/>
      <c r="C139" s="56"/>
      <c r="D139" s="4"/>
      <c r="E139" s="4"/>
      <c r="F139" s="4"/>
      <c r="G139" s="4"/>
      <c r="H139" s="4"/>
      <c r="I139" s="4"/>
    </row>
    <row r="140" spans="1:9" x14ac:dyDescent="0.25">
      <c r="A140" s="4"/>
      <c r="B140" s="4"/>
      <c r="C140" s="56"/>
      <c r="D140" s="4"/>
      <c r="E140" s="4"/>
      <c r="F140" s="4"/>
      <c r="G140" s="4"/>
      <c r="H140" s="4"/>
      <c r="I140" s="4"/>
    </row>
    <row r="141" spans="1:9" x14ac:dyDescent="0.25">
      <c r="A141" s="4"/>
      <c r="B141" s="4"/>
      <c r="C141" s="56"/>
      <c r="D141" s="4"/>
      <c r="E141" s="4"/>
      <c r="F141" s="4"/>
      <c r="G141" s="4"/>
      <c r="H141" s="4"/>
      <c r="I141" s="4"/>
    </row>
    <row r="142" spans="1:9" x14ac:dyDescent="0.25">
      <c r="A142" s="4"/>
      <c r="B142" s="4"/>
      <c r="C142" s="56"/>
      <c r="D142" s="4"/>
      <c r="E142" s="4"/>
      <c r="F142" s="4"/>
      <c r="G142" s="4"/>
      <c r="H142" s="4"/>
      <c r="I142" s="4"/>
    </row>
    <row r="143" spans="1:9" x14ac:dyDescent="0.25">
      <c r="A143" s="4"/>
      <c r="B143" s="4"/>
      <c r="C143" s="56"/>
      <c r="D143" s="4"/>
      <c r="E143" s="4"/>
      <c r="F143" s="4"/>
      <c r="G143" s="4"/>
      <c r="H143" s="4"/>
      <c r="I143" s="4"/>
    </row>
    <row r="144" spans="1:9" x14ac:dyDescent="0.25">
      <c r="A144" s="4"/>
      <c r="B144" s="4"/>
      <c r="C144" s="56"/>
      <c r="D144" s="4"/>
      <c r="E144" s="4"/>
      <c r="F144" s="4"/>
      <c r="G144" s="4"/>
      <c r="H144" s="4"/>
      <c r="I144" s="4"/>
    </row>
    <row r="145" spans="1:9" x14ac:dyDescent="0.25">
      <c r="A145" s="4"/>
      <c r="B145" s="4"/>
      <c r="C145" s="56"/>
      <c r="D145" s="4"/>
      <c r="E145" s="4"/>
      <c r="F145" s="4"/>
      <c r="G145" s="4"/>
      <c r="H145" s="4"/>
      <c r="I145" s="4"/>
    </row>
    <row r="146" spans="1:9" x14ac:dyDescent="0.25">
      <c r="A146" s="4"/>
      <c r="B146" s="4"/>
      <c r="C146" s="56"/>
      <c r="D146" s="4"/>
      <c r="E146" s="4"/>
      <c r="F146" s="4"/>
      <c r="G146" s="4"/>
      <c r="H146" s="4"/>
      <c r="I146" s="4"/>
    </row>
    <row r="147" spans="1:9" x14ac:dyDescent="0.25">
      <c r="A147" s="4"/>
      <c r="B147" s="4"/>
      <c r="C147" s="56"/>
      <c r="D147" s="4"/>
      <c r="E147" s="4"/>
      <c r="F147" s="4"/>
      <c r="G147" s="4"/>
      <c r="H147" s="4"/>
      <c r="I147" s="4"/>
    </row>
    <row r="148" spans="1:9" x14ac:dyDescent="0.25">
      <c r="A148" s="4"/>
      <c r="B148" s="4"/>
      <c r="C148" s="56"/>
      <c r="D148" s="4"/>
      <c r="E148" s="4"/>
      <c r="F148" s="4"/>
      <c r="G148" s="4"/>
      <c r="H148" s="4"/>
      <c r="I148" s="4"/>
    </row>
    <row r="149" spans="1:9" x14ac:dyDescent="0.25">
      <c r="A149" s="4"/>
      <c r="B149" s="4"/>
      <c r="C149" s="56"/>
      <c r="D149" s="4"/>
      <c r="E149" s="4"/>
      <c r="F149" s="4"/>
      <c r="G149" s="4"/>
      <c r="H149" s="4"/>
      <c r="I149" s="4"/>
    </row>
    <row r="150" spans="1:9" x14ac:dyDescent="0.25">
      <c r="A150" s="4"/>
      <c r="B150" s="4"/>
      <c r="C150" s="56"/>
      <c r="D150" s="4"/>
      <c r="E150" s="4"/>
      <c r="F150" s="4"/>
      <c r="G150" s="4"/>
      <c r="H150" s="4"/>
      <c r="I150" s="4"/>
    </row>
    <row r="151" spans="1:9" x14ac:dyDescent="0.25">
      <c r="A151" s="4"/>
      <c r="B151" s="4"/>
      <c r="C151" s="56"/>
      <c r="D151" s="4"/>
      <c r="E151" s="4"/>
      <c r="F151" s="4"/>
      <c r="G151" s="4"/>
      <c r="H151" s="4"/>
      <c r="I151" s="4"/>
    </row>
    <row r="152" spans="1:9" x14ac:dyDescent="0.25">
      <c r="A152" s="4"/>
      <c r="B152" s="4"/>
      <c r="C152" s="56"/>
      <c r="D152" s="4"/>
      <c r="E152" s="4"/>
      <c r="F152" s="4"/>
      <c r="G152" s="4"/>
      <c r="H152" s="4"/>
      <c r="I152" s="4"/>
    </row>
    <row r="153" spans="1:9" x14ac:dyDescent="0.25">
      <c r="A153" s="4"/>
      <c r="B153" s="4"/>
      <c r="C153" s="56"/>
      <c r="D153" s="4"/>
      <c r="E153" s="4"/>
      <c r="F153" s="4"/>
      <c r="G153" s="4"/>
      <c r="H153" s="4"/>
      <c r="I153" s="4"/>
    </row>
    <row r="154" spans="1:9" x14ac:dyDescent="0.25">
      <c r="A154" s="4"/>
      <c r="B154" s="4"/>
      <c r="C154" s="56"/>
      <c r="D154" s="4"/>
      <c r="E154" s="4"/>
      <c r="F154" s="4"/>
      <c r="G154" s="4"/>
      <c r="H154" s="4"/>
      <c r="I154" s="4"/>
    </row>
    <row r="155" spans="1:9" x14ac:dyDescent="0.25">
      <c r="A155" s="4"/>
      <c r="B155" s="4"/>
      <c r="C155" s="56"/>
      <c r="D155" s="4"/>
      <c r="E155" s="4"/>
      <c r="F155" s="4"/>
      <c r="G155" s="4"/>
      <c r="H155" s="4"/>
      <c r="I155" s="4"/>
    </row>
    <row r="156" spans="1:9" x14ac:dyDescent="0.25">
      <c r="A156" s="4"/>
      <c r="B156" s="4"/>
      <c r="C156" s="56"/>
      <c r="D156" s="4"/>
      <c r="E156" s="4"/>
      <c r="F156" s="4"/>
      <c r="G156" s="4"/>
      <c r="H156" s="4"/>
      <c r="I156" s="4"/>
    </row>
    <row r="157" spans="1:9" x14ac:dyDescent="0.25">
      <c r="A157" s="4"/>
      <c r="B157" s="4"/>
      <c r="C157" s="56"/>
      <c r="D157" s="4"/>
      <c r="E157" s="4"/>
      <c r="F157" s="4"/>
      <c r="G157" s="4"/>
      <c r="H157" s="4"/>
      <c r="I157" s="4"/>
    </row>
    <row r="158" spans="1:9" x14ac:dyDescent="0.25">
      <c r="A158" s="4"/>
      <c r="B158" s="4"/>
      <c r="C158" s="56"/>
      <c r="D158" s="4"/>
      <c r="E158" s="4"/>
      <c r="F158" s="4"/>
      <c r="G158" s="4"/>
      <c r="H158" s="4"/>
      <c r="I158" s="4"/>
    </row>
    <row r="159" spans="1:9" x14ac:dyDescent="0.25">
      <c r="A159" s="4"/>
      <c r="B159" s="4"/>
      <c r="C159" s="56"/>
      <c r="D159" s="4"/>
      <c r="E159" s="4"/>
      <c r="F159" s="4"/>
      <c r="G159" s="4"/>
      <c r="H159" s="4"/>
      <c r="I159" s="4"/>
    </row>
    <row r="160" spans="1:9" x14ac:dyDescent="0.25">
      <c r="A160" s="4"/>
      <c r="B160" s="4"/>
      <c r="C160" s="56"/>
      <c r="D160" s="4"/>
      <c r="E160" s="4"/>
      <c r="F160" s="4"/>
      <c r="G160" s="4"/>
      <c r="H160" s="4"/>
      <c r="I160" s="4"/>
    </row>
    <row r="161" spans="1:9" x14ac:dyDescent="0.25">
      <c r="A161" s="4"/>
      <c r="B161" s="4"/>
      <c r="C161" s="56"/>
      <c r="D161" s="4"/>
      <c r="E161" s="4"/>
      <c r="F161" s="4"/>
      <c r="G161" s="4"/>
      <c r="H161" s="4"/>
      <c r="I161" s="4"/>
    </row>
    <row r="162" spans="1:9" x14ac:dyDescent="0.25">
      <c r="A162" s="4"/>
      <c r="B162" s="4"/>
      <c r="C162" s="56"/>
      <c r="D162" s="4"/>
      <c r="E162" s="4"/>
      <c r="F162" s="4"/>
      <c r="G162" s="4"/>
      <c r="H162" s="4"/>
      <c r="I162" s="4"/>
    </row>
    <row r="163" spans="1:9" x14ac:dyDescent="0.25">
      <c r="A163" s="4"/>
      <c r="B163" s="4"/>
      <c r="C163" s="56"/>
      <c r="D163" s="4"/>
      <c r="E163" s="4"/>
      <c r="F163" s="4"/>
      <c r="G163" s="4"/>
      <c r="H163" s="4"/>
      <c r="I163" s="4"/>
    </row>
    <row r="164" spans="1:9" x14ac:dyDescent="0.25">
      <c r="A164" s="4"/>
      <c r="B164" s="4"/>
      <c r="C164" s="56"/>
      <c r="D164" s="4"/>
      <c r="E164" s="4"/>
      <c r="F164" s="4"/>
      <c r="G164" s="4"/>
      <c r="H164" s="4"/>
      <c r="I164" s="4"/>
    </row>
    <row r="165" spans="1:9" x14ac:dyDescent="0.25">
      <c r="A165" s="4"/>
      <c r="B165" s="4"/>
      <c r="C165" s="56"/>
      <c r="D165" s="4"/>
      <c r="E165" s="4"/>
      <c r="F165" s="4"/>
      <c r="G165" s="4"/>
      <c r="H165" s="4"/>
      <c r="I165" s="4"/>
    </row>
    <row r="166" spans="1:9" x14ac:dyDescent="0.25">
      <c r="A166" s="4"/>
      <c r="B166" s="4"/>
      <c r="C166" s="56"/>
      <c r="D166" s="4"/>
      <c r="E166" s="4"/>
      <c r="F166" s="4"/>
      <c r="G166" s="4"/>
      <c r="H166" s="4"/>
      <c r="I166" s="4"/>
    </row>
    <row r="167" spans="1:9" x14ac:dyDescent="0.25">
      <c r="A167" s="4"/>
      <c r="B167" s="4"/>
      <c r="C167" s="56"/>
      <c r="D167" s="4"/>
      <c r="E167" s="4"/>
      <c r="F167" s="4"/>
      <c r="G167" s="4"/>
      <c r="H167" s="4"/>
      <c r="I167" s="4"/>
    </row>
    <row r="168" spans="1:9" x14ac:dyDescent="0.25">
      <c r="A168" s="4"/>
      <c r="B168" s="4"/>
      <c r="C168" s="56"/>
      <c r="D168" s="4"/>
      <c r="E168" s="4"/>
      <c r="F168" s="4"/>
      <c r="G168" s="4"/>
      <c r="H168" s="4"/>
      <c r="I168" s="4"/>
    </row>
    <row r="169" spans="1:9" x14ac:dyDescent="0.25">
      <c r="A169" s="4"/>
      <c r="B169" s="4"/>
      <c r="C169" s="56"/>
      <c r="D169" s="4"/>
      <c r="E169" s="4"/>
      <c r="F169" s="4"/>
      <c r="G169" s="4"/>
      <c r="H169" s="4"/>
      <c r="I169" s="4"/>
    </row>
    <row r="170" spans="1:9" x14ac:dyDescent="0.25">
      <c r="A170" s="4"/>
      <c r="B170" s="4"/>
      <c r="C170" s="56"/>
      <c r="D170" s="4"/>
      <c r="E170" s="4"/>
      <c r="F170" s="4"/>
      <c r="G170" s="4"/>
      <c r="H170" s="4"/>
      <c r="I170" s="4"/>
    </row>
    <row r="171" spans="1:9" x14ac:dyDescent="0.25">
      <c r="A171" s="4"/>
      <c r="B171" s="4"/>
      <c r="C171" s="56"/>
      <c r="D171" s="4"/>
      <c r="E171" s="4"/>
      <c r="F171" s="4"/>
      <c r="G171" s="4"/>
      <c r="H171" s="4"/>
      <c r="I171" s="4"/>
    </row>
    <row r="172" spans="1:9" x14ac:dyDescent="0.25">
      <c r="A172" s="4"/>
      <c r="B172" s="4"/>
      <c r="C172" s="56"/>
      <c r="D172" s="4"/>
      <c r="E172" s="4"/>
      <c r="F172" s="4"/>
      <c r="G172" s="4"/>
      <c r="H172" s="4"/>
      <c r="I172" s="4"/>
    </row>
    <row r="173" spans="1:9" x14ac:dyDescent="0.25">
      <c r="A173" s="4"/>
      <c r="B173" s="4"/>
      <c r="C173" s="56"/>
      <c r="D173" s="4"/>
      <c r="E173" s="4"/>
      <c r="F173" s="4"/>
      <c r="G173" s="4"/>
      <c r="H173" s="4"/>
      <c r="I173" s="4"/>
    </row>
    <row r="174" spans="1:9" x14ac:dyDescent="0.25">
      <c r="A174" s="4"/>
      <c r="B174" s="4"/>
      <c r="C174" s="56"/>
      <c r="D174" s="4"/>
      <c r="E174" s="4"/>
      <c r="F174" s="4"/>
      <c r="G174" s="4"/>
      <c r="H174" s="4"/>
      <c r="I174" s="4"/>
    </row>
    <row r="175" spans="1:9" x14ac:dyDescent="0.25">
      <c r="A175" s="4"/>
      <c r="B175" s="4"/>
      <c r="C175" s="56"/>
      <c r="D175" s="4"/>
      <c r="E175" s="4"/>
      <c r="F175" s="4"/>
      <c r="G175" s="4"/>
      <c r="H175" s="4"/>
      <c r="I175" s="4"/>
    </row>
    <row r="176" spans="1:9" x14ac:dyDescent="0.25">
      <c r="A176" s="4"/>
      <c r="B176" s="4"/>
      <c r="C176" s="56"/>
      <c r="D176" s="4"/>
      <c r="E176" s="4"/>
      <c r="F176" s="4"/>
      <c r="G176" s="4"/>
      <c r="H176" s="4"/>
      <c r="I176" s="4"/>
    </row>
    <row r="177" spans="1:9" x14ac:dyDescent="0.25">
      <c r="A177" s="4"/>
      <c r="B177" s="4"/>
      <c r="C177" s="56"/>
      <c r="D177" s="4"/>
      <c r="E177" s="4"/>
      <c r="F177" s="4"/>
      <c r="G177" s="4"/>
      <c r="H177" s="4"/>
      <c r="I177" s="4"/>
    </row>
    <row r="178" spans="1:9" x14ac:dyDescent="0.25">
      <c r="A178" s="4"/>
      <c r="B178" s="4"/>
      <c r="C178" s="56"/>
      <c r="D178" s="4"/>
      <c r="E178" s="4"/>
      <c r="F178" s="4"/>
      <c r="G178" s="4"/>
      <c r="H178" s="4"/>
      <c r="I178" s="4"/>
    </row>
    <row r="179" spans="1:9" x14ac:dyDescent="0.25">
      <c r="A179" s="4"/>
      <c r="B179" s="4"/>
      <c r="C179" s="56"/>
      <c r="D179" s="4"/>
      <c r="E179" s="4"/>
      <c r="F179" s="4"/>
      <c r="G179" s="4"/>
      <c r="H179" s="4"/>
      <c r="I179" s="4"/>
    </row>
    <row r="180" spans="1:9" x14ac:dyDescent="0.25">
      <c r="A180" s="4"/>
      <c r="B180" s="4"/>
      <c r="C180" s="56"/>
      <c r="D180" s="4"/>
      <c r="E180" s="4"/>
      <c r="F180" s="4"/>
      <c r="G180" s="4"/>
      <c r="H180" s="4"/>
      <c r="I180" s="4"/>
    </row>
    <row r="181" spans="1:9" x14ac:dyDescent="0.25">
      <c r="A181" s="4"/>
      <c r="B181" s="4"/>
      <c r="C181" s="56"/>
      <c r="D181" s="4"/>
      <c r="E181" s="4"/>
      <c r="F181" s="4"/>
      <c r="G181" s="4"/>
      <c r="H181" s="4"/>
      <c r="I181" s="4"/>
    </row>
    <row r="182" spans="1:9" x14ac:dyDescent="0.25">
      <c r="A182" s="4"/>
      <c r="B182" s="4"/>
      <c r="C182" s="56"/>
      <c r="D182" s="4"/>
      <c r="E182" s="4"/>
      <c r="F182" s="4"/>
      <c r="G182" s="4"/>
      <c r="H182" s="4"/>
      <c r="I182" s="4"/>
    </row>
    <row r="183" spans="1:9" x14ac:dyDescent="0.25">
      <c r="A183" s="4"/>
      <c r="B183" s="4"/>
      <c r="C183" s="56"/>
      <c r="D183" s="4"/>
      <c r="E183" s="4"/>
      <c r="F183" s="4"/>
      <c r="G183" s="4"/>
      <c r="H183" s="4"/>
      <c r="I183" s="4"/>
    </row>
    <row r="184" spans="1:9" x14ac:dyDescent="0.25">
      <c r="A184" s="4"/>
      <c r="B184" s="4"/>
      <c r="C184" s="56"/>
      <c r="D184" s="4"/>
      <c r="E184" s="4"/>
      <c r="F184" s="4"/>
      <c r="G184" s="4"/>
      <c r="H184" s="4"/>
      <c r="I184" s="4"/>
    </row>
    <row r="185" spans="1:9" x14ac:dyDescent="0.25">
      <c r="A185" s="4"/>
      <c r="B185" s="4"/>
      <c r="C185" s="56"/>
      <c r="D185" s="4"/>
      <c r="E185" s="4"/>
      <c r="F185" s="4"/>
      <c r="G185" s="4"/>
      <c r="H185" s="4"/>
      <c r="I185" s="4"/>
    </row>
    <row r="186" spans="1:9" x14ac:dyDescent="0.25">
      <c r="A186" s="4"/>
      <c r="B186" s="4"/>
      <c r="C186" s="56"/>
      <c r="D186" s="4"/>
      <c r="E186" s="4"/>
      <c r="F186" s="4"/>
      <c r="G186" s="4"/>
      <c r="H186" s="4"/>
      <c r="I186" s="4"/>
    </row>
    <row r="187" spans="1:9" x14ac:dyDescent="0.25">
      <c r="A187" s="4"/>
      <c r="B187" s="4"/>
      <c r="C187" s="56"/>
      <c r="D187" s="4"/>
      <c r="E187" s="4"/>
      <c r="F187" s="4"/>
      <c r="G187" s="4"/>
      <c r="H187" s="4"/>
      <c r="I187" s="4"/>
    </row>
    <row r="188" spans="1:9" x14ac:dyDescent="0.25">
      <c r="A188" s="4"/>
      <c r="B188" s="4"/>
      <c r="C188" s="56"/>
      <c r="D188" s="4"/>
      <c r="E188" s="4"/>
      <c r="F188" s="4"/>
      <c r="G188" s="4"/>
      <c r="H188" s="4"/>
      <c r="I188" s="4"/>
    </row>
    <row r="189" spans="1:9" x14ac:dyDescent="0.25">
      <c r="A189" s="4"/>
      <c r="B189" s="4"/>
      <c r="C189" s="56"/>
      <c r="D189" s="4"/>
      <c r="E189" s="4"/>
      <c r="F189" s="4"/>
      <c r="G189" s="4"/>
      <c r="H189" s="4"/>
      <c r="I189" s="4"/>
    </row>
    <row r="190" spans="1:9" x14ac:dyDescent="0.25">
      <c r="A190" s="4"/>
      <c r="B190" s="4"/>
      <c r="C190" s="56"/>
      <c r="D190" s="4"/>
      <c r="E190" s="4"/>
      <c r="F190" s="4"/>
      <c r="G190" s="4"/>
      <c r="H190" s="4"/>
      <c r="I190" s="4"/>
    </row>
    <row r="191" spans="1:9" x14ac:dyDescent="0.25">
      <c r="A191" s="4"/>
      <c r="B191" s="4"/>
      <c r="C191" s="56"/>
      <c r="D191" s="4"/>
      <c r="E191" s="4"/>
      <c r="F191" s="4"/>
      <c r="G191" s="4"/>
      <c r="H191" s="4"/>
      <c r="I191" s="4"/>
    </row>
    <row r="192" spans="1:9" x14ac:dyDescent="0.25">
      <c r="A192" s="4"/>
      <c r="B192" s="4"/>
      <c r="C192" s="56"/>
      <c r="D192" s="4"/>
      <c r="E192" s="4"/>
      <c r="F192" s="4"/>
      <c r="G192" s="4"/>
      <c r="H192" s="4"/>
      <c r="I192" s="4"/>
    </row>
    <row r="193" spans="1:9" x14ac:dyDescent="0.25">
      <c r="A193" s="4"/>
      <c r="B193" s="4"/>
      <c r="C193" s="56"/>
      <c r="D193" s="4"/>
      <c r="E193" s="4"/>
      <c r="F193" s="4"/>
      <c r="G193" s="4"/>
      <c r="H193" s="4"/>
      <c r="I193" s="4"/>
    </row>
    <row r="194" spans="1:9" x14ac:dyDescent="0.25">
      <c r="A194" s="4"/>
      <c r="B194" s="4"/>
      <c r="C194" s="56"/>
      <c r="D194" s="4"/>
      <c r="E194" s="4"/>
      <c r="F194" s="4"/>
      <c r="G194" s="4"/>
      <c r="H194" s="4"/>
      <c r="I194" s="4"/>
    </row>
    <row r="195" spans="1:9" x14ac:dyDescent="0.25">
      <c r="A195" s="4"/>
      <c r="B195" s="4"/>
      <c r="C195" s="56"/>
      <c r="D195" s="4"/>
      <c r="E195" s="4"/>
      <c r="F195" s="4"/>
      <c r="G195" s="4"/>
      <c r="H195" s="4"/>
      <c r="I195" s="4"/>
    </row>
    <row r="196" spans="1:9" x14ac:dyDescent="0.25">
      <c r="A196" s="4"/>
      <c r="B196" s="4"/>
      <c r="C196" s="56"/>
      <c r="D196" s="4"/>
      <c r="E196" s="4"/>
      <c r="F196" s="4"/>
      <c r="G196" s="4"/>
      <c r="H196" s="4"/>
      <c r="I196" s="4"/>
    </row>
    <row r="197" spans="1:9" x14ac:dyDescent="0.25">
      <c r="A197" s="4"/>
      <c r="B197" s="4"/>
      <c r="C197" s="56"/>
      <c r="D197" s="4"/>
      <c r="E197" s="4"/>
      <c r="F197" s="4"/>
      <c r="G197" s="4"/>
      <c r="H197" s="4"/>
      <c r="I197" s="4"/>
    </row>
    <row r="198" spans="1:9" x14ac:dyDescent="0.25">
      <c r="A198" s="4"/>
      <c r="B198" s="4"/>
      <c r="C198" s="56"/>
      <c r="D198" s="4"/>
      <c r="E198" s="4"/>
      <c r="F198" s="4"/>
      <c r="G198" s="4"/>
      <c r="H198" s="4"/>
      <c r="I198" s="4"/>
    </row>
    <row r="199" spans="1:9" x14ac:dyDescent="0.25">
      <c r="A199" s="4"/>
      <c r="B199" s="4"/>
      <c r="C199" s="56"/>
      <c r="D199" s="4"/>
      <c r="E199" s="4"/>
      <c r="F199" s="4"/>
      <c r="G199" s="4"/>
      <c r="H199" s="4"/>
      <c r="I199" s="4"/>
    </row>
    <row r="200" spans="1:9" x14ac:dyDescent="0.25">
      <c r="A200" s="4"/>
      <c r="B200" s="4"/>
      <c r="C200" s="56"/>
      <c r="D200" s="4"/>
      <c r="E200" s="4"/>
      <c r="F200" s="4"/>
      <c r="G200" s="4"/>
      <c r="H200" s="4"/>
      <c r="I200" s="4"/>
    </row>
    <row r="201" spans="1:9" x14ac:dyDescent="0.25">
      <c r="A201" s="4"/>
      <c r="B201" s="4"/>
      <c r="C201" s="56"/>
      <c r="D201" s="4"/>
      <c r="E201" s="4"/>
      <c r="F201" s="4"/>
      <c r="G201" s="4"/>
      <c r="H201" s="4"/>
      <c r="I201" s="4"/>
    </row>
    <row r="202" spans="1:9" x14ac:dyDescent="0.25">
      <c r="A202" s="4"/>
      <c r="B202" s="4"/>
      <c r="C202" s="56"/>
      <c r="D202" s="4"/>
      <c r="E202" s="4"/>
      <c r="F202" s="4"/>
      <c r="G202" s="4"/>
      <c r="H202" s="4"/>
      <c r="I202" s="4"/>
    </row>
    <row r="203" spans="1:9" x14ac:dyDescent="0.25">
      <c r="A203" s="4"/>
      <c r="B203" s="4"/>
      <c r="C203" s="56"/>
      <c r="D203" s="4"/>
      <c r="E203" s="4"/>
      <c r="F203" s="4"/>
      <c r="G203" s="4"/>
      <c r="H203" s="4"/>
      <c r="I203" s="4"/>
    </row>
    <row r="204" spans="1:9" x14ac:dyDescent="0.25">
      <c r="A204" s="4"/>
      <c r="B204" s="4"/>
      <c r="C204" s="56"/>
      <c r="D204" s="4"/>
      <c r="E204" s="4"/>
      <c r="F204" s="4"/>
      <c r="G204" s="4"/>
      <c r="H204" s="4"/>
      <c r="I204" s="4"/>
    </row>
    <row r="205" spans="1:9" x14ac:dyDescent="0.25">
      <c r="A205" s="4"/>
      <c r="B205" s="4"/>
      <c r="C205" s="56"/>
      <c r="D205" s="4"/>
      <c r="E205" s="4"/>
      <c r="F205" s="4"/>
      <c r="G205" s="4"/>
      <c r="H205" s="4"/>
      <c r="I205" s="4"/>
    </row>
    <row r="206" spans="1:9" x14ac:dyDescent="0.25">
      <c r="A206" s="4"/>
      <c r="B206" s="4"/>
      <c r="C206" s="56"/>
      <c r="D206" s="4"/>
      <c r="E206" s="4"/>
      <c r="F206" s="4"/>
      <c r="G206" s="4"/>
      <c r="H206" s="4"/>
      <c r="I206" s="4"/>
    </row>
    <row r="207" spans="1:9" x14ac:dyDescent="0.25">
      <c r="A207" s="4"/>
      <c r="B207" s="4"/>
      <c r="C207" s="56"/>
      <c r="D207" s="4"/>
      <c r="E207" s="4"/>
      <c r="F207" s="4"/>
      <c r="G207" s="4"/>
      <c r="H207" s="4"/>
      <c r="I207" s="4"/>
    </row>
    <row r="208" spans="1:9" x14ac:dyDescent="0.25">
      <c r="A208" s="4"/>
      <c r="B208" s="4"/>
      <c r="C208" s="56"/>
      <c r="D208" s="4"/>
      <c r="E208" s="4"/>
      <c r="F208" s="4"/>
      <c r="G208" s="4"/>
      <c r="H208" s="4"/>
      <c r="I208" s="4"/>
    </row>
    <row r="209" spans="1:9" x14ac:dyDescent="0.25">
      <c r="A209" s="4"/>
      <c r="B209" s="4"/>
      <c r="C209" s="56"/>
      <c r="D209" s="4"/>
      <c r="E209" s="4"/>
      <c r="F209" s="4"/>
      <c r="G209" s="4"/>
      <c r="H209" s="4"/>
      <c r="I209" s="4"/>
    </row>
    <row r="210" spans="1:9" x14ac:dyDescent="0.25">
      <c r="A210" s="4"/>
      <c r="B210" s="4"/>
      <c r="C210" s="56"/>
      <c r="D210" s="4"/>
      <c r="E210" s="4"/>
      <c r="F210" s="4"/>
      <c r="G210" s="4"/>
      <c r="H210" s="4"/>
      <c r="I210" s="4"/>
    </row>
    <row r="211" spans="1:9" x14ac:dyDescent="0.25">
      <c r="A211" s="4"/>
      <c r="B211" s="4"/>
      <c r="C211" s="56"/>
      <c r="D211" s="4"/>
      <c r="E211" s="4"/>
      <c r="F211" s="4"/>
      <c r="G211" s="4"/>
      <c r="H211" s="4"/>
      <c r="I211" s="4"/>
    </row>
    <row r="212" spans="1:9" x14ac:dyDescent="0.25">
      <c r="A212" s="4"/>
      <c r="B212" s="4"/>
      <c r="C212" s="56"/>
      <c r="D212" s="4"/>
      <c r="E212" s="4"/>
      <c r="F212" s="4"/>
      <c r="G212" s="4"/>
      <c r="H212" s="4"/>
      <c r="I212" s="4"/>
    </row>
    <row r="213" spans="1:9" x14ac:dyDescent="0.25">
      <c r="A213" s="4"/>
      <c r="B213" s="4"/>
      <c r="C213" s="56"/>
      <c r="D213" s="4"/>
      <c r="E213" s="4"/>
      <c r="F213" s="4"/>
      <c r="G213" s="4"/>
      <c r="H213" s="4"/>
      <c r="I213" s="4"/>
    </row>
    <row r="214" spans="1:9" x14ac:dyDescent="0.25">
      <c r="A214" s="4"/>
      <c r="B214" s="4"/>
      <c r="C214" s="56"/>
      <c r="D214" s="4"/>
      <c r="E214" s="4"/>
      <c r="F214" s="4"/>
      <c r="G214" s="4"/>
      <c r="H214" s="4"/>
      <c r="I214" s="4"/>
    </row>
    <row r="215" spans="1:9" x14ac:dyDescent="0.25">
      <c r="A215" s="4"/>
      <c r="B215" s="4"/>
      <c r="C215" s="56"/>
      <c r="D215" s="4"/>
      <c r="E215" s="4"/>
      <c r="F215" s="4"/>
      <c r="G215" s="4"/>
      <c r="H215" s="4"/>
      <c r="I215" s="4"/>
    </row>
    <row r="216" spans="1:9" x14ac:dyDescent="0.25">
      <c r="A216" s="4"/>
      <c r="B216" s="4"/>
      <c r="C216" s="56"/>
      <c r="D216" s="4"/>
      <c r="E216" s="4"/>
      <c r="F216" s="4"/>
      <c r="G216" s="4"/>
      <c r="H216" s="4"/>
      <c r="I216" s="4"/>
    </row>
    <row r="217" spans="1:9" x14ac:dyDescent="0.25">
      <c r="A217" s="4"/>
      <c r="B217" s="4"/>
      <c r="C217" s="56"/>
      <c r="D217" s="4"/>
      <c r="E217" s="4"/>
      <c r="F217" s="4"/>
      <c r="G217" s="4"/>
      <c r="H217" s="4"/>
      <c r="I217" s="4"/>
    </row>
    <row r="218" spans="1:9" x14ac:dyDescent="0.25">
      <c r="A218" s="4"/>
      <c r="B218" s="4"/>
      <c r="C218" s="56"/>
      <c r="D218" s="4"/>
      <c r="E218" s="4"/>
      <c r="F218" s="4"/>
      <c r="G218" s="4"/>
      <c r="H218" s="4"/>
      <c r="I218" s="4"/>
    </row>
    <row r="219" spans="1:9" x14ac:dyDescent="0.25">
      <c r="A219" s="4"/>
      <c r="B219" s="4"/>
      <c r="C219" s="56"/>
      <c r="D219" s="4"/>
      <c r="E219" s="4"/>
      <c r="F219" s="4"/>
      <c r="G219" s="4"/>
      <c r="H219" s="4"/>
      <c r="I219" s="4"/>
    </row>
    <row r="220" spans="1:9" x14ac:dyDescent="0.25">
      <c r="A220" s="4"/>
      <c r="B220" s="4"/>
      <c r="C220" s="56"/>
      <c r="D220" s="4"/>
      <c r="E220" s="4"/>
      <c r="F220" s="4"/>
      <c r="G220" s="4"/>
      <c r="H220" s="4"/>
      <c r="I220" s="4"/>
    </row>
    <row r="221" spans="1:9" x14ac:dyDescent="0.25">
      <c r="A221" s="4"/>
      <c r="B221" s="4"/>
      <c r="C221" s="56"/>
      <c r="D221" s="4"/>
      <c r="E221" s="4"/>
      <c r="F221" s="4"/>
      <c r="G221" s="4"/>
      <c r="H221" s="4"/>
      <c r="I221" s="4"/>
    </row>
    <row r="222" spans="1:9" x14ac:dyDescent="0.25">
      <c r="A222" s="4"/>
      <c r="B222" s="4"/>
      <c r="C222" s="56"/>
      <c r="D222" s="4"/>
      <c r="E222" s="4"/>
      <c r="F222" s="4"/>
      <c r="G222" s="4"/>
      <c r="H222" s="4"/>
      <c r="I222" s="4"/>
    </row>
    <row r="223" spans="1:9" x14ac:dyDescent="0.25">
      <c r="A223" s="4"/>
      <c r="B223" s="4"/>
      <c r="C223" s="56"/>
      <c r="D223" s="4"/>
      <c r="E223" s="4"/>
      <c r="F223" s="4"/>
      <c r="G223" s="4"/>
      <c r="H223" s="4"/>
      <c r="I223" s="4"/>
    </row>
    <row r="224" spans="1:9" x14ac:dyDescent="0.25">
      <c r="A224" s="4"/>
      <c r="B224" s="4"/>
      <c r="C224" s="56"/>
      <c r="D224" s="4"/>
      <c r="E224" s="4"/>
      <c r="F224" s="4"/>
      <c r="G224" s="4"/>
      <c r="H224" s="4"/>
      <c r="I224" s="4"/>
    </row>
    <row r="225" spans="1:9" x14ac:dyDescent="0.25">
      <c r="A225" s="4"/>
      <c r="B225" s="4"/>
      <c r="C225" s="56"/>
      <c r="D225" s="4"/>
      <c r="E225" s="4"/>
      <c r="F225" s="4"/>
      <c r="G225" s="4"/>
      <c r="H225" s="4"/>
      <c r="I225" s="4"/>
    </row>
    <row r="226" spans="1:9" x14ac:dyDescent="0.25">
      <c r="A226" s="4"/>
      <c r="B226" s="4"/>
      <c r="C226" s="56"/>
      <c r="D226" s="4"/>
      <c r="E226" s="4"/>
      <c r="F226" s="4"/>
      <c r="G226" s="4"/>
      <c r="H226" s="4"/>
      <c r="I226" s="4"/>
    </row>
    <row r="227" spans="1:9" x14ac:dyDescent="0.25">
      <c r="A227" s="4"/>
      <c r="B227" s="4"/>
      <c r="C227" s="56"/>
      <c r="D227" s="4"/>
      <c r="E227" s="4"/>
      <c r="F227" s="4"/>
      <c r="G227" s="4"/>
      <c r="H227" s="4"/>
      <c r="I227" s="4"/>
    </row>
    <row r="228" spans="1:9" x14ac:dyDescent="0.25">
      <c r="A228" s="4"/>
      <c r="B228" s="4"/>
      <c r="C228" s="56"/>
      <c r="D228" s="4"/>
      <c r="E228" s="4"/>
      <c r="F228" s="4"/>
      <c r="G228" s="4"/>
      <c r="H228" s="4"/>
      <c r="I228" s="4"/>
    </row>
    <row r="229" spans="1:9" x14ac:dyDescent="0.25">
      <c r="A229" s="4"/>
      <c r="B229" s="4"/>
      <c r="C229" s="56"/>
      <c r="D229" s="4"/>
      <c r="E229" s="4"/>
      <c r="F229" s="4"/>
      <c r="G229" s="4"/>
      <c r="H229" s="4"/>
      <c r="I229" s="4"/>
    </row>
    <row r="230" spans="1:9" x14ac:dyDescent="0.25">
      <c r="A230" s="4"/>
      <c r="B230" s="4"/>
      <c r="C230" s="56"/>
      <c r="D230" s="4"/>
      <c r="E230" s="4"/>
      <c r="F230" s="4"/>
      <c r="G230" s="4"/>
      <c r="H230" s="4"/>
      <c r="I230" s="4"/>
    </row>
    <row r="231" spans="1:9" x14ac:dyDescent="0.25">
      <c r="A231" s="4"/>
      <c r="B231" s="4"/>
      <c r="C231" s="56"/>
      <c r="D231" s="4"/>
      <c r="E231" s="4"/>
      <c r="F231" s="4"/>
      <c r="G231" s="4"/>
      <c r="H231" s="4"/>
      <c r="I231" s="4"/>
    </row>
    <row r="232" spans="1:9" x14ac:dyDescent="0.25">
      <c r="A232" s="4"/>
      <c r="B232" s="4"/>
      <c r="C232" s="56"/>
      <c r="D232" s="4"/>
      <c r="E232" s="4"/>
      <c r="F232" s="4"/>
      <c r="G232" s="4"/>
      <c r="H232" s="4"/>
      <c r="I232" s="4"/>
    </row>
    <row r="233" spans="1:9" x14ac:dyDescent="0.25">
      <c r="A233" s="4"/>
      <c r="B233" s="4"/>
      <c r="C233" s="56"/>
      <c r="D233" s="4"/>
      <c r="E233" s="4"/>
      <c r="F233" s="4"/>
      <c r="G233" s="4"/>
      <c r="H233" s="4"/>
      <c r="I233" s="4"/>
    </row>
    <row r="234" spans="1:9" x14ac:dyDescent="0.25">
      <c r="A234" s="4"/>
      <c r="B234" s="4"/>
      <c r="C234" s="56"/>
      <c r="D234" s="4"/>
      <c r="E234" s="4"/>
      <c r="F234" s="4"/>
      <c r="G234" s="4"/>
      <c r="H234" s="4"/>
      <c r="I234" s="4"/>
    </row>
    <row r="235" spans="1:9" x14ac:dyDescent="0.25">
      <c r="A235" s="4"/>
      <c r="B235" s="4"/>
      <c r="C235" s="56"/>
      <c r="D235" s="4"/>
      <c r="E235" s="4"/>
      <c r="F235" s="4"/>
      <c r="G235" s="4"/>
      <c r="H235" s="4"/>
      <c r="I235" s="4"/>
    </row>
    <row r="236" spans="1:9" x14ac:dyDescent="0.25">
      <c r="A236" s="4"/>
      <c r="B236" s="4"/>
      <c r="C236" s="56"/>
      <c r="D236" s="4"/>
      <c r="E236" s="4"/>
      <c r="F236" s="4"/>
      <c r="G236" s="4"/>
      <c r="H236" s="4"/>
      <c r="I236" s="4"/>
    </row>
    <row r="237" spans="1:9" x14ac:dyDescent="0.25">
      <c r="A237" s="4"/>
      <c r="B237" s="4"/>
      <c r="C237" s="56"/>
      <c r="D237" s="4"/>
      <c r="E237" s="4"/>
      <c r="F237" s="4"/>
      <c r="G237" s="4"/>
      <c r="H237" s="4"/>
      <c r="I237" s="4"/>
    </row>
    <row r="238" spans="1:9" x14ac:dyDescent="0.25">
      <c r="A238" s="4"/>
      <c r="B238" s="4"/>
      <c r="C238" s="56"/>
      <c r="D238" s="4"/>
      <c r="E238" s="4"/>
      <c r="F238" s="4"/>
      <c r="G238" s="4"/>
      <c r="H238" s="4"/>
      <c r="I238" s="4"/>
    </row>
    <row r="239" spans="1:9" x14ac:dyDescent="0.25">
      <c r="A239" s="4"/>
      <c r="B239" s="4"/>
      <c r="C239" s="56"/>
      <c r="D239" s="4"/>
      <c r="E239" s="4"/>
      <c r="F239" s="4"/>
      <c r="G239" s="4"/>
      <c r="H239" s="4"/>
      <c r="I239" s="4"/>
    </row>
    <row r="240" spans="1:9" x14ac:dyDescent="0.25">
      <c r="A240" s="4"/>
      <c r="B240" s="4"/>
      <c r="C240" s="56"/>
      <c r="D240" s="4"/>
      <c r="E240" s="4"/>
      <c r="F240" s="4"/>
      <c r="G240" s="4"/>
      <c r="H240" s="4"/>
      <c r="I240" s="4"/>
    </row>
    <row r="241" spans="1:9" x14ac:dyDescent="0.25">
      <c r="A241" s="4"/>
      <c r="B241" s="4"/>
      <c r="C241" s="56"/>
      <c r="D241" s="4"/>
      <c r="E241" s="4"/>
      <c r="F241" s="4"/>
      <c r="G241" s="4"/>
      <c r="H241" s="4"/>
      <c r="I241" s="4"/>
    </row>
    <row r="242" spans="1:9" x14ac:dyDescent="0.25">
      <c r="A242" s="4"/>
      <c r="B242" s="4"/>
      <c r="C242" s="56"/>
      <c r="D242" s="4"/>
      <c r="E242" s="4"/>
      <c r="F242" s="4"/>
      <c r="G242" s="4"/>
      <c r="H242" s="4"/>
      <c r="I242" s="4"/>
    </row>
    <row r="243" spans="1:9" x14ac:dyDescent="0.25">
      <c r="A243" s="4"/>
      <c r="B243" s="4"/>
      <c r="C243" s="56"/>
      <c r="D243" s="4"/>
      <c r="E243" s="4"/>
      <c r="F243" s="4"/>
      <c r="G243" s="4"/>
      <c r="H243" s="4"/>
      <c r="I243" s="4"/>
    </row>
    <row r="244" spans="1:9" x14ac:dyDescent="0.25">
      <c r="A244" s="4"/>
      <c r="B244" s="4"/>
      <c r="C244" s="56"/>
      <c r="D244" s="4"/>
      <c r="E244" s="4"/>
      <c r="F244" s="4"/>
      <c r="G244" s="4"/>
      <c r="H244" s="4"/>
      <c r="I244" s="4"/>
    </row>
    <row r="245" spans="1:9" x14ac:dyDescent="0.25">
      <c r="A245" s="4"/>
      <c r="B245" s="4"/>
      <c r="C245" s="56"/>
      <c r="D245" s="4"/>
      <c r="E245" s="4"/>
      <c r="F245" s="4"/>
      <c r="G245" s="4"/>
      <c r="H245" s="4"/>
      <c r="I245" s="4"/>
    </row>
    <row r="246" spans="1:9" x14ac:dyDescent="0.25">
      <c r="A246" s="4"/>
      <c r="B246" s="4"/>
      <c r="C246" s="56"/>
      <c r="D246" s="4"/>
      <c r="E246" s="4"/>
      <c r="F246" s="4"/>
      <c r="G246" s="4"/>
      <c r="H246" s="4"/>
      <c r="I246" s="4"/>
    </row>
    <row r="247" spans="1:9" x14ac:dyDescent="0.25">
      <c r="A247" s="4"/>
      <c r="B247" s="4"/>
      <c r="C247" s="56"/>
      <c r="D247" s="4"/>
      <c r="E247" s="4"/>
      <c r="F247" s="4"/>
      <c r="G247" s="4"/>
      <c r="H247" s="4"/>
      <c r="I247" s="4"/>
    </row>
    <row r="248" spans="1:9" x14ac:dyDescent="0.25">
      <c r="A248" s="4"/>
      <c r="B248" s="4"/>
      <c r="C248" s="56"/>
      <c r="D248" s="4"/>
      <c r="E248" s="4"/>
      <c r="F248" s="4"/>
      <c r="G248" s="4"/>
      <c r="H248" s="4"/>
      <c r="I248" s="4"/>
    </row>
    <row r="249" spans="1:9" x14ac:dyDescent="0.25">
      <c r="A249" s="4"/>
      <c r="B249" s="4"/>
      <c r="C249" s="56"/>
      <c r="D249" s="4"/>
      <c r="E249" s="4"/>
      <c r="F249" s="4"/>
      <c r="G249" s="4"/>
      <c r="H249" s="4"/>
      <c r="I249" s="4"/>
    </row>
    <row r="250" spans="1:9" x14ac:dyDescent="0.25">
      <c r="A250" s="4"/>
      <c r="B250" s="4"/>
      <c r="C250" s="56"/>
      <c r="D250" s="4"/>
      <c r="E250" s="4"/>
      <c r="F250" s="4"/>
      <c r="G250" s="4"/>
      <c r="H250" s="4"/>
      <c r="I250" s="4"/>
    </row>
    <row r="251" spans="1:9" x14ac:dyDescent="0.25">
      <c r="A251" s="4"/>
      <c r="B251" s="4"/>
      <c r="C251" s="56"/>
      <c r="D251" s="4"/>
      <c r="E251" s="4"/>
      <c r="F251" s="4"/>
      <c r="G251" s="4"/>
      <c r="H251" s="4"/>
      <c r="I251" s="4"/>
    </row>
    <row r="252" spans="1:9" x14ac:dyDescent="0.25">
      <c r="A252" s="4"/>
      <c r="B252" s="4"/>
      <c r="C252" s="56"/>
      <c r="D252" s="4"/>
      <c r="E252" s="4"/>
      <c r="F252" s="4"/>
      <c r="G252" s="4"/>
      <c r="H252" s="4"/>
      <c r="I252" s="4"/>
    </row>
    <row r="253" spans="1:9" x14ac:dyDescent="0.25">
      <c r="A253" s="4"/>
      <c r="B253" s="4"/>
      <c r="C253" s="56"/>
      <c r="D253" s="4"/>
      <c r="E253" s="4"/>
      <c r="F253" s="4"/>
      <c r="G253" s="4"/>
      <c r="H253" s="4"/>
      <c r="I253" s="4"/>
    </row>
    <row r="254" spans="1:9" x14ac:dyDescent="0.25">
      <c r="A254" s="4"/>
      <c r="B254" s="4"/>
      <c r="C254" s="56"/>
      <c r="D254" s="4"/>
      <c r="E254" s="4"/>
      <c r="F254" s="4"/>
      <c r="G254" s="4"/>
      <c r="H254" s="4"/>
      <c r="I254" s="4"/>
    </row>
    <row r="255" spans="1:9" x14ac:dyDescent="0.25">
      <c r="A255" s="4"/>
      <c r="B255" s="4"/>
      <c r="C255" s="56"/>
      <c r="D255" s="4"/>
      <c r="E255" s="4"/>
      <c r="F255" s="4"/>
      <c r="G255" s="4"/>
      <c r="H255" s="4"/>
      <c r="I255" s="4"/>
    </row>
    <row r="256" spans="1:9" x14ac:dyDescent="0.25">
      <c r="A256" s="4"/>
      <c r="B256" s="4"/>
      <c r="C256" s="56"/>
      <c r="D256" s="4"/>
      <c r="E256" s="4"/>
      <c r="F256" s="4"/>
      <c r="G256" s="4"/>
      <c r="H256" s="4"/>
      <c r="I256" s="4"/>
    </row>
    <row r="257" spans="1:9" x14ac:dyDescent="0.25">
      <c r="A257" s="4"/>
      <c r="B257" s="4"/>
      <c r="C257" s="56"/>
      <c r="D257" s="4"/>
      <c r="E257" s="4"/>
      <c r="F257" s="4"/>
      <c r="G257" s="4"/>
      <c r="H257" s="4"/>
      <c r="I257" s="4"/>
    </row>
    <row r="258" spans="1:9" x14ac:dyDescent="0.25">
      <c r="A258" s="4"/>
      <c r="B258" s="4"/>
      <c r="C258" s="56"/>
      <c r="D258" s="4"/>
      <c r="E258" s="4"/>
      <c r="F258" s="4"/>
      <c r="G258" s="4"/>
      <c r="H258" s="4"/>
      <c r="I258" s="4"/>
    </row>
    <row r="259" spans="1:9" x14ac:dyDescent="0.25">
      <c r="A259" s="4"/>
      <c r="B259" s="4"/>
      <c r="C259" s="56"/>
      <c r="D259" s="4"/>
      <c r="E259" s="4"/>
      <c r="F259" s="4"/>
      <c r="G259" s="4"/>
      <c r="H259" s="4"/>
      <c r="I259" s="4"/>
    </row>
    <row r="260" spans="1:9" x14ac:dyDescent="0.25">
      <c r="A260" s="4"/>
      <c r="B260" s="4"/>
      <c r="C260" s="56"/>
      <c r="D260" s="4"/>
      <c r="E260" s="4"/>
      <c r="F260" s="4"/>
      <c r="G260" s="4"/>
      <c r="H260" s="4"/>
      <c r="I260" s="4"/>
    </row>
    <row r="261" spans="1:9" x14ac:dyDescent="0.25">
      <c r="A261" s="4"/>
      <c r="B261" s="4"/>
      <c r="C261" s="56"/>
      <c r="D261" s="4"/>
      <c r="E261" s="4"/>
      <c r="F261" s="4"/>
      <c r="G261" s="4"/>
      <c r="H261" s="4"/>
      <c r="I261" s="4"/>
    </row>
    <row r="262" spans="1:9" x14ac:dyDescent="0.25">
      <c r="A262" s="4"/>
      <c r="B262" s="4"/>
      <c r="C262" s="56"/>
      <c r="D262" s="4"/>
      <c r="E262" s="4"/>
      <c r="F262" s="4"/>
      <c r="G262" s="4"/>
      <c r="H262" s="4"/>
      <c r="I262" s="4"/>
    </row>
    <row r="263" spans="1:9" x14ac:dyDescent="0.25">
      <c r="A263" s="4"/>
      <c r="B263" s="4"/>
      <c r="C263" s="56"/>
      <c r="D263" s="4"/>
      <c r="E263" s="4"/>
      <c r="F263" s="4"/>
      <c r="G263" s="4"/>
      <c r="H263" s="4"/>
      <c r="I263" s="4"/>
    </row>
    <row r="264" spans="1:9" x14ac:dyDescent="0.25">
      <c r="A264" s="4"/>
      <c r="B264" s="4"/>
      <c r="C264" s="56"/>
      <c r="D264" s="4"/>
      <c r="E264" s="4"/>
      <c r="F264" s="4"/>
      <c r="G264" s="4"/>
      <c r="H264" s="4"/>
      <c r="I264" s="4"/>
    </row>
    <row r="265" spans="1:9" x14ac:dyDescent="0.25">
      <c r="A265" s="4"/>
      <c r="B265" s="4"/>
      <c r="C265" s="56"/>
      <c r="D265" s="4"/>
      <c r="E265" s="4"/>
      <c r="F265" s="4"/>
      <c r="G265" s="4"/>
      <c r="H265" s="4"/>
      <c r="I265" s="4"/>
    </row>
    <row r="266" spans="1:9" x14ac:dyDescent="0.25">
      <c r="A266" s="4"/>
      <c r="B266" s="4"/>
      <c r="C266" s="56"/>
      <c r="D266" s="4"/>
      <c r="E266" s="4"/>
      <c r="F266" s="4"/>
      <c r="G266" s="4"/>
      <c r="H266" s="4"/>
      <c r="I266" s="4"/>
    </row>
    <row r="267" spans="1:9" x14ac:dyDescent="0.25">
      <c r="A267" s="4"/>
      <c r="B267" s="4"/>
      <c r="C267" s="56"/>
      <c r="D267" s="4"/>
      <c r="E267" s="4"/>
      <c r="F267" s="4"/>
      <c r="G267" s="4"/>
      <c r="H267" s="4"/>
      <c r="I267" s="4"/>
    </row>
    <row r="268" spans="1:9" x14ac:dyDescent="0.25">
      <c r="A268" s="4"/>
      <c r="B268" s="4"/>
      <c r="C268" s="56"/>
      <c r="D268" s="4"/>
      <c r="E268" s="4"/>
      <c r="F268" s="4"/>
      <c r="G268" s="4"/>
      <c r="H268" s="4"/>
      <c r="I268" s="4"/>
    </row>
    <row r="269" spans="1:9" x14ac:dyDescent="0.25">
      <c r="A269" s="4"/>
      <c r="B269" s="4"/>
      <c r="C269" s="56"/>
      <c r="D269" s="4"/>
      <c r="E269" s="4"/>
      <c r="F269" s="4"/>
      <c r="G269" s="4"/>
      <c r="H269" s="4"/>
      <c r="I269" s="4"/>
    </row>
    <row r="270" spans="1:9" x14ac:dyDescent="0.25">
      <c r="A270" s="4"/>
      <c r="B270" s="4"/>
      <c r="C270" s="56"/>
      <c r="D270" s="4"/>
      <c r="E270" s="4"/>
      <c r="F270" s="4"/>
      <c r="G270" s="4"/>
      <c r="H270" s="4"/>
      <c r="I270" s="4"/>
    </row>
    <row r="271" spans="1:9" x14ac:dyDescent="0.25">
      <c r="A271" s="4"/>
      <c r="B271" s="4"/>
      <c r="C271" s="56"/>
      <c r="D271" s="4"/>
      <c r="E271" s="4"/>
      <c r="F271" s="4"/>
      <c r="G271" s="4"/>
      <c r="H271" s="4"/>
      <c r="I271" s="4"/>
    </row>
    <row r="272" spans="1:9" x14ac:dyDescent="0.25">
      <c r="A272" s="4"/>
      <c r="B272" s="4"/>
      <c r="C272" s="56"/>
      <c r="D272" s="4"/>
      <c r="E272" s="4"/>
      <c r="F272" s="4"/>
      <c r="G272" s="4"/>
      <c r="H272" s="4"/>
      <c r="I272" s="4"/>
    </row>
    <row r="273" spans="1:9" x14ac:dyDescent="0.25">
      <c r="A273" s="4"/>
      <c r="B273" s="4"/>
      <c r="C273" s="56"/>
      <c r="D273" s="4"/>
      <c r="E273" s="4"/>
      <c r="F273" s="4"/>
      <c r="G273" s="4"/>
      <c r="H273" s="4"/>
      <c r="I273" s="4"/>
    </row>
    <row r="274" spans="1:9" x14ac:dyDescent="0.25">
      <c r="A274" s="4"/>
      <c r="B274" s="4"/>
      <c r="C274" s="56"/>
      <c r="D274" s="4"/>
      <c r="E274" s="4"/>
      <c r="F274" s="4"/>
      <c r="G274" s="4"/>
      <c r="H274" s="4"/>
      <c r="I274" s="4"/>
    </row>
    <row r="275" spans="1:9" x14ac:dyDescent="0.25">
      <c r="A275" s="4"/>
      <c r="B275" s="4"/>
      <c r="C275" s="56"/>
      <c r="D275" s="4"/>
      <c r="E275" s="4"/>
      <c r="F275" s="4"/>
      <c r="G275" s="4"/>
      <c r="H275" s="4"/>
      <c r="I275" s="4"/>
    </row>
    <row r="276" spans="1:9" x14ac:dyDescent="0.25">
      <c r="A276" s="4"/>
      <c r="B276" s="4"/>
      <c r="C276" s="56"/>
      <c r="D276" s="4"/>
      <c r="E276" s="4"/>
      <c r="F276" s="4"/>
      <c r="G276" s="4"/>
      <c r="H276" s="4"/>
      <c r="I276" s="4"/>
    </row>
    <row r="277" spans="1:9" x14ac:dyDescent="0.25">
      <c r="A277" s="4"/>
      <c r="B277" s="4"/>
      <c r="C277" s="56"/>
      <c r="D277" s="4"/>
      <c r="E277" s="4"/>
      <c r="F277" s="4"/>
      <c r="G277" s="4"/>
      <c r="H277" s="4"/>
      <c r="I277" s="4"/>
    </row>
    <row r="278" spans="1:9" x14ac:dyDescent="0.25">
      <c r="A278" s="4"/>
      <c r="B278" s="4"/>
      <c r="C278" s="56"/>
      <c r="D278" s="4"/>
      <c r="E278" s="4"/>
      <c r="F278" s="4"/>
      <c r="G278" s="4"/>
      <c r="H278" s="4"/>
      <c r="I278" s="4"/>
    </row>
    <row r="279" spans="1:9" x14ac:dyDescent="0.25">
      <c r="A279" s="4"/>
      <c r="B279" s="4"/>
      <c r="C279" s="56"/>
      <c r="D279" s="4"/>
      <c r="E279" s="4"/>
      <c r="F279" s="4"/>
      <c r="G279" s="4"/>
      <c r="H279" s="4"/>
      <c r="I279" s="4"/>
    </row>
    <row r="280" spans="1:9" x14ac:dyDescent="0.25">
      <c r="A280" s="4"/>
      <c r="B280" s="4"/>
      <c r="C280" s="56"/>
      <c r="D280" s="4"/>
      <c r="E280" s="4"/>
      <c r="F280" s="4"/>
      <c r="G280" s="4"/>
      <c r="H280" s="4"/>
      <c r="I280" s="4"/>
    </row>
    <row r="281" spans="1:9" x14ac:dyDescent="0.25">
      <c r="A281" s="4"/>
      <c r="B281" s="4"/>
      <c r="C281" s="56"/>
      <c r="D281" s="4"/>
      <c r="E281" s="4"/>
      <c r="F281" s="4"/>
      <c r="G281" s="4"/>
      <c r="H281" s="4"/>
      <c r="I281" s="4"/>
    </row>
    <row r="282" spans="1:9" x14ac:dyDescent="0.25">
      <c r="A282" s="4"/>
      <c r="B282" s="4"/>
      <c r="C282" s="56"/>
      <c r="D282" s="4"/>
      <c r="E282" s="4"/>
      <c r="F282" s="4"/>
      <c r="G282" s="4"/>
      <c r="H282" s="4"/>
      <c r="I282" s="4"/>
    </row>
    <row r="283" spans="1:9" x14ac:dyDescent="0.25">
      <c r="A283" s="4"/>
      <c r="B283" s="4"/>
      <c r="C283" s="56"/>
      <c r="D283" s="4"/>
      <c r="E283" s="4"/>
      <c r="F283" s="4"/>
      <c r="G283" s="4"/>
      <c r="H283" s="4"/>
      <c r="I283" s="4"/>
    </row>
    <row r="284" spans="1:9" x14ac:dyDescent="0.25">
      <c r="A284" s="4"/>
      <c r="B284" s="4"/>
      <c r="C284" s="56"/>
      <c r="D284" s="4"/>
      <c r="E284" s="4"/>
      <c r="F284" s="4"/>
      <c r="G284" s="4"/>
      <c r="H284" s="4"/>
      <c r="I284" s="4"/>
    </row>
    <row r="285" spans="1:9" x14ac:dyDescent="0.25">
      <c r="A285" s="4"/>
      <c r="B285" s="4"/>
      <c r="C285" s="56"/>
      <c r="D285" s="4"/>
      <c r="E285" s="4"/>
      <c r="F285" s="4"/>
      <c r="G285" s="4"/>
      <c r="H285" s="4"/>
      <c r="I285" s="4"/>
    </row>
    <row r="286" spans="1:9" x14ac:dyDescent="0.25">
      <c r="A286" s="4"/>
      <c r="B286" s="4"/>
      <c r="C286" s="56"/>
      <c r="D286" s="4"/>
      <c r="E286" s="4"/>
      <c r="F286" s="4"/>
      <c r="G286" s="4"/>
      <c r="H286" s="4"/>
      <c r="I286" s="4"/>
    </row>
    <row r="287" spans="1:9" x14ac:dyDescent="0.25">
      <c r="A287" s="4"/>
      <c r="B287" s="4"/>
      <c r="C287" s="56"/>
      <c r="D287" s="4"/>
      <c r="E287" s="4"/>
      <c r="F287" s="4"/>
      <c r="G287" s="4"/>
      <c r="H287" s="4"/>
      <c r="I287" s="4"/>
    </row>
    <row r="288" spans="1:9" x14ac:dyDescent="0.25">
      <c r="A288" s="4"/>
      <c r="B288" s="4"/>
      <c r="C288" s="56"/>
      <c r="D288" s="4"/>
      <c r="E288" s="4"/>
      <c r="F288" s="4"/>
      <c r="G288" s="4"/>
      <c r="H288" s="4"/>
      <c r="I288" s="4"/>
    </row>
    <row r="289" spans="1:9" x14ac:dyDescent="0.25">
      <c r="A289" s="4"/>
      <c r="B289" s="4"/>
      <c r="C289" s="56"/>
      <c r="D289" s="4"/>
      <c r="E289" s="4"/>
      <c r="F289" s="4"/>
      <c r="G289" s="4"/>
      <c r="H289" s="4"/>
      <c r="I289" s="4"/>
    </row>
    <row r="290" spans="1:9" x14ac:dyDescent="0.25">
      <c r="A290" s="4"/>
      <c r="B290" s="4"/>
      <c r="C290" s="56"/>
      <c r="D290" s="4"/>
      <c r="E290" s="4"/>
      <c r="F290" s="4"/>
      <c r="G290" s="4"/>
      <c r="H290" s="4"/>
      <c r="I290" s="4"/>
    </row>
    <row r="291" spans="1:9" x14ac:dyDescent="0.25">
      <c r="A291" s="4"/>
      <c r="B291" s="4"/>
      <c r="C291" s="56"/>
      <c r="D291" s="4"/>
      <c r="E291" s="4"/>
      <c r="F291" s="4"/>
      <c r="G291" s="4"/>
      <c r="H291" s="4"/>
      <c r="I291" s="4"/>
    </row>
    <row r="292" spans="1:9" x14ac:dyDescent="0.25">
      <c r="A292" s="4"/>
      <c r="B292" s="4"/>
      <c r="C292" s="56"/>
      <c r="D292" s="4"/>
      <c r="E292" s="4"/>
      <c r="F292" s="4"/>
      <c r="G292" s="4"/>
      <c r="H292" s="4"/>
      <c r="I292" s="4"/>
    </row>
    <row r="293" spans="1:9" x14ac:dyDescent="0.25">
      <c r="A293" s="4"/>
      <c r="B293" s="4"/>
      <c r="C293" s="56"/>
      <c r="D293" s="4"/>
      <c r="E293" s="4"/>
      <c r="F293" s="4"/>
      <c r="G293" s="4"/>
      <c r="H293" s="4"/>
      <c r="I293" s="4"/>
    </row>
    <row r="294" spans="1:9" x14ac:dyDescent="0.25">
      <c r="A294" s="4"/>
      <c r="B294" s="4"/>
      <c r="C294" s="56"/>
      <c r="D294" s="4"/>
      <c r="E294" s="4"/>
      <c r="F294" s="4"/>
      <c r="G294" s="4"/>
      <c r="H294" s="4"/>
      <c r="I294" s="4"/>
    </row>
    <row r="295" spans="1:9" x14ac:dyDescent="0.25">
      <c r="A295" s="4"/>
      <c r="B295" s="4"/>
      <c r="C295" s="56"/>
      <c r="D295" s="4"/>
      <c r="E295" s="4"/>
      <c r="F295" s="4"/>
      <c r="G295" s="4"/>
      <c r="H295" s="4"/>
      <c r="I295" s="4"/>
    </row>
    <row r="296" spans="1:9" x14ac:dyDescent="0.25">
      <c r="A296" s="4"/>
      <c r="B296" s="4"/>
      <c r="C296" s="56"/>
      <c r="D296" s="4"/>
      <c r="E296" s="4"/>
      <c r="F296" s="4"/>
      <c r="G296" s="4"/>
      <c r="H296" s="4"/>
      <c r="I296" s="4"/>
    </row>
    <row r="297" spans="1:9" x14ac:dyDescent="0.25">
      <c r="A297" s="4"/>
      <c r="B297" s="4"/>
      <c r="C297" s="56"/>
      <c r="D297" s="4"/>
      <c r="E297" s="4"/>
      <c r="F297" s="4"/>
      <c r="G297" s="4"/>
      <c r="H297" s="4"/>
      <c r="I297" s="4"/>
    </row>
    <row r="298" spans="1:9" x14ac:dyDescent="0.25">
      <c r="A298" s="4"/>
      <c r="B298" s="4"/>
      <c r="C298" s="56"/>
      <c r="D298" s="4"/>
      <c r="E298" s="4"/>
      <c r="F298" s="4"/>
      <c r="G298" s="4"/>
      <c r="H298" s="4"/>
      <c r="I298" s="4"/>
    </row>
    <row r="299" spans="1:9" x14ac:dyDescent="0.25">
      <c r="A299" s="4"/>
      <c r="B299" s="4"/>
      <c r="C299" s="56"/>
      <c r="D299" s="4"/>
      <c r="E299" s="4"/>
      <c r="F299" s="4"/>
      <c r="G299" s="4"/>
      <c r="H299" s="4"/>
      <c r="I299" s="4"/>
    </row>
    <row r="300" spans="1:9" x14ac:dyDescent="0.25">
      <c r="A300" s="4"/>
      <c r="B300" s="4"/>
      <c r="C300" s="56"/>
      <c r="D300" s="4"/>
      <c r="E300" s="4"/>
      <c r="F300" s="4"/>
      <c r="G300" s="4"/>
      <c r="H300" s="4"/>
      <c r="I300" s="4"/>
    </row>
    <row r="301" spans="1:9" x14ac:dyDescent="0.25">
      <c r="A301" s="4"/>
      <c r="B301" s="4"/>
      <c r="C301" s="56"/>
      <c r="D301" s="4"/>
      <c r="E301" s="4"/>
      <c r="F301" s="4"/>
      <c r="G301" s="4"/>
      <c r="H301" s="4"/>
      <c r="I301" s="4"/>
    </row>
    <row r="302" spans="1:9" x14ac:dyDescent="0.25">
      <c r="A302" s="4"/>
      <c r="B302" s="4"/>
      <c r="C302" s="56"/>
      <c r="D302" s="4"/>
      <c r="E302" s="4"/>
      <c r="F302" s="4"/>
      <c r="G302" s="4"/>
      <c r="H302" s="4"/>
      <c r="I302" s="4"/>
    </row>
    <row r="303" spans="1:9" x14ac:dyDescent="0.25">
      <c r="A303" s="4"/>
      <c r="B303" s="4"/>
      <c r="C303" s="56"/>
      <c r="D303" s="4"/>
      <c r="E303" s="4"/>
      <c r="F303" s="4"/>
      <c r="G303" s="4"/>
      <c r="H303" s="4"/>
      <c r="I303" s="4"/>
    </row>
    <row r="304" spans="1:9" x14ac:dyDescent="0.25">
      <c r="A304" s="4"/>
      <c r="B304" s="4"/>
      <c r="C304" s="56"/>
      <c r="D304" s="4"/>
      <c r="E304" s="4"/>
      <c r="F304" s="4"/>
      <c r="G304" s="4"/>
      <c r="H304" s="4"/>
      <c r="I304" s="4"/>
    </row>
    <row r="305" spans="1:9" x14ac:dyDescent="0.25">
      <c r="A305" s="4"/>
      <c r="B305" s="4"/>
      <c r="C305" s="56"/>
      <c r="D305" s="4"/>
      <c r="E305" s="4"/>
      <c r="F305" s="4"/>
      <c r="G305" s="4"/>
      <c r="H305" s="4"/>
      <c r="I305" s="4"/>
    </row>
    <row r="306" spans="1:9" x14ac:dyDescent="0.25">
      <c r="A306" s="4"/>
      <c r="B306" s="4"/>
      <c r="C306" s="56"/>
      <c r="D306" s="4"/>
      <c r="E306" s="4"/>
      <c r="F306" s="4"/>
      <c r="G306" s="4"/>
      <c r="H306" s="4"/>
      <c r="I306" s="4"/>
    </row>
    <row r="307" spans="1:9" x14ac:dyDescent="0.25">
      <c r="A307" s="4"/>
      <c r="B307" s="4"/>
      <c r="C307" s="56"/>
      <c r="D307" s="4"/>
      <c r="E307" s="4"/>
      <c r="F307" s="4"/>
      <c r="G307" s="4"/>
      <c r="H307" s="4"/>
      <c r="I307" s="4"/>
    </row>
    <row r="308" spans="1:9" x14ac:dyDescent="0.25">
      <c r="A308" s="4"/>
      <c r="B308" s="4"/>
      <c r="C308" s="56"/>
      <c r="D308" s="4"/>
      <c r="E308" s="4"/>
      <c r="F308" s="4"/>
      <c r="G308" s="4"/>
      <c r="H308" s="4"/>
      <c r="I308" s="4"/>
    </row>
    <row r="309" spans="1:9" x14ac:dyDescent="0.25">
      <c r="A309" s="4"/>
      <c r="B309" s="4"/>
      <c r="C309" s="56"/>
      <c r="D309" s="4"/>
      <c r="E309" s="4"/>
      <c r="F309" s="4"/>
      <c r="G309" s="4"/>
      <c r="H309" s="4"/>
      <c r="I309" s="4"/>
    </row>
    <row r="310" spans="1:9" x14ac:dyDescent="0.25">
      <c r="A310" s="4"/>
      <c r="B310" s="4"/>
      <c r="C310" s="56"/>
      <c r="D310" s="4"/>
      <c r="E310" s="4"/>
      <c r="F310" s="4"/>
      <c r="G310" s="4"/>
      <c r="H310" s="4"/>
      <c r="I310" s="4"/>
    </row>
    <row r="311" spans="1:9" x14ac:dyDescent="0.25">
      <c r="A311" s="4"/>
      <c r="B311" s="4"/>
      <c r="C311" s="56"/>
      <c r="D311" s="4"/>
      <c r="E311" s="4"/>
      <c r="F311" s="4"/>
      <c r="G311" s="4"/>
      <c r="H311" s="4"/>
      <c r="I311" s="4"/>
    </row>
    <row r="312" spans="1:9" x14ac:dyDescent="0.25">
      <c r="A312" s="4"/>
      <c r="B312" s="4"/>
      <c r="C312" s="56"/>
      <c r="D312" s="4"/>
      <c r="E312" s="4"/>
      <c r="F312" s="4"/>
      <c r="G312" s="4"/>
      <c r="H312" s="4"/>
      <c r="I312" s="4"/>
    </row>
    <row r="313" spans="1:9" x14ac:dyDescent="0.25">
      <c r="A313" s="4"/>
      <c r="B313" s="4"/>
      <c r="C313" s="56"/>
      <c r="D313" s="4"/>
      <c r="E313" s="4"/>
      <c r="F313" s="4"/>
      <c r="G313" s="4"/>
      <c r="H313" s="4"/>
      <c r="I313" s="4"/>
    </row>
    <row r="314" spans="1:9" x14ac:dyDescent="0.25">
      <c r="A314" s="4"/>
      <c r="B314" s="4"/>
      <c r="C314" s="56"/>
      <c r="D314" s="4"/>
      <c r="E314" s="4"/>
      <c r="F314" s="4"/>
      <c r="G314" s="4"/>
      <c r="H314" s="4"/>
      <c r="I314" s="4"/>
    </row>
    <row r="315" spans="1:9" x14ac:dyDescent="0.25">
      <c r="A315" s="4"/>
      <c r="B315" s="4"/>
      <c r="C315" s="56"/>
      <c r="D315" s="4"/>
      <c r="E315" s="4"/>
      <c r="F315" s="4"/>
      <c r="G315" s="4"/>
      <c r="H315" s="4"/>
      <c r="I315" s="4"/>
    </row>
    <row r="316" spans="1:9" x14ac:dyDescent="0.25">
      <c r="A316" s="4"/>
      <c r="B316" s="4"/>
      <c r="C316" s="56"/>
      <c r="D316" s="4"/>
      <c r="E316" s="4"/>
      <c r="F316" s="4"/>
      <c r="G316" s="4"/>
      <c r="H316" s="4"/>
      <c r="I316" s="4"/>
    </row>
    <row r="317" spans="1:9" x14ac:dyDescent="0.25">
      <c r="A317" s="4"/>
      <c r="B317" s="4"/>
      <c r="C317" s="56"/>
      <c r="D317" s="4"/>
      <c r="E317" s="4"/>
      <c r="F317" s="4"/>
      <c r="G317" s="4"/>
      <c r="H317" s="4"/>
      <c r="I317" s="4"/>
    </row>
    <row r="318" spans="1:9" x14ac:dyDescent="0.25">
      <c r="A318" s="4"/>
      <c r="B318" s="4"/>
      <c r="C318" s="56"/>
      <c r="D318" s="4"/>
      <c r="E318" s="4"/>
      <c r="F318" s="4"/>
      <c r="G318" s="4"/>
      <c r="H318" s="4"/>
      <c r="I318" s="4"/>
    </row>
    <row r="319" spans="1:9" x14ac:dyDescent="0.25">
      <c r="A319" s="4"/>
      <c r="B319" s="4"/>
      <c r="C319" s="56"/>
      <c r="D319" s="4"/>
      <c r="E319" s="4"/>
      <c r="F319" s="4"/>
      <c r="G319" s="4"/>
      <c r="H319" s="4"/>
      <c r="I319" s="4"/>
    </row>
    <row r="320" spans="1:9" x14ac:dyDescent="0.25">
      <c r="A320" s="4"/>
      <c r="B320" s="4"/>
      <c r="C320" s="56"/>
      <c r="D320" s="4"/>
      <c r="E320" s="4"/>
      <c r="F320" s="4"/>
      <c r="G320" s="4"/>
      <c r="H320" s="4"/>
      <c r="I320" s="4"/>
    </row>
    <row r="321" spans="1:9" x14ac:dyDescent="0.25">
      <c r="A321" s="4"/>
      <c r="B321" s="4"/>
      <c r="C321" s="56"/>
      <c r="D321" s="4"/>
      <c r="E321" s="4"/>
      <c r="F321" s="4"/>
      <c r="G321" s="4"/>
      <c r="H321" s="4"/>
      <c r="I321" s="4"/>
    </row>
    <row r="322" spans="1:9" x14ac:dyDescent="0.25">
      <c r="A322" s="4"/>
      <c r="B322" s="4"/>
      <c r="C322" s="56"/>
      <c r="D322" s="4"/>
      <c r="E322" s="4"/>
      <c r="F322" s="4"/>
      <c r="G322" s="4"/>
      <c r="H322" s="4"/>
      <c r="I322" s="4"/>
    </row>
    <row r="323" spans="1:9" x14ac:dyDescent="0.25">
      <c r="A323" s="4"/>
      <c r="B323" s="4"/>
      <c r="C323" s="56"/>
      <c r="D323" s="4"/>
      <c r="E323" s="4"/>
      <c r="F323" s="4"/>
      <c r="G323" s="4"/>
      <c r="H323" s="4"/>
      <c r="I323" s="4"/>
    </row>
    <row r="324" spans="1:9" x14ac:dyDescent="0.25">
      <c r="A324" s="4"/>
      <c r="B324" s="4"/>
      <c r="C324" s="56"/>
      <c r="D324" s="4"/>
      <c r="E324" s="4"/>
      <c r="F324" s="4"/>
      <c r="G324" s="4"/>
      <c r="H324" s="4"/>
      <c r="I324" s="4"/>
    </row>
    <row r="325" spans="1:9" x14ac:dyDescent="0.25">
      <c r="A325" s="4"/>
      <c r="B325" s="4"/>
      <c r="C325" s="56"/>
      <c r="D325" s="4"/>
      <c r="E325" s="4"/>
      <c r="F325" s="4"/>
      <c r="G325" s="4"/>
      <c r="H325" s="4"/>
      <c r="I325" s="4"/>
    </row>
    <row r="326" spans="1:9" x14ac:dyDescent="0.25">
      <c r="A326" s="4"/>
      <c r="B326" s="4"/>
      <c r="C326" s="56"/>
      <c r="D326" s="4"/>
      <c r="E326" s="4"/>
      <c r="F326" s="4"/>
      <c r="G326" s="4"/>
      <c r="H326" s="4"/>
      <c r="I326" s="4"/>
    </row>
    <row r="327" spans="1:9" x14ac:dyDescent="0.25">
      <c r="A327" s="4"/>
      <c r="B327" s="4"/>
      <c r="C327" s="56"/>
      <c r="D327" s="4"/>
      <c r="E327" s="4"/>
      <c r="F327" s="4"/>
      <c r="G327" s="4"/>
      <c r="H327" s="4"/>
      <c r="I327" s="4"/>
    </row>
    <row r="328" spans="1:9" x14ac:dyDescent="0.25">
      <c r="A328" s="4"/>
      <c r="B328" s="4"/>
      <c r="C328" s="56"/>
      <c r="D328" s="4"/>
      <c r="E328" s="4"/>
      <c r="F328" s="4"/>
      <c r="G328" s="4"/>
      <c r="H328" s="4"/>
      <c r="I328" s="4"/>
    </row>
    <row r="329" spans="1:9" x14ac:dyDescent="0.25">
      <c r="A329" s="4"/>
      <c r="B329" s="4"/>
      <c r="C329" s="56"/>
      <c r="D329" s="4"/>
      <c r="E329" s="4"/>
      <c r="F329" s="4"/>
      <c r="G329" s="4"/>
      <c r="H329" s="4"/>
      <c r="I329" s="4"/>
    </row>
    <row r="330" spans="1:9" x14ac:dyDescent="0.25">
      <c r="A330" s="4"/>
      <c r="B330" s="4"/>
      <c r="C330" s="56"/>
      <c r="D330" s="4"/>
      <c r="E330" s="4"/>
      <c r="F330" s="4"/>
      <c r="G330" s="4"/>
      <c r="H330" s="4"/>
      <c r="I330" s="4"/>
    </row>
    <row r="331" spans="1:9" x14ac:dyDescent="0.25">
      <c r="A331" s="4"/>
      <c r="B331" s="4"/>
      <c r="C331" s="56"/>
      <c r="D331" s="4"/>
      <c r="E331" s="4"/>
      <c r="F331" s="4"/>
      <c r="G331" s="4"/>
      <c r="H331" s="4"/>
      <c r="I331" s="4"/>
    </row>
    <row r="332" spans="1:9" x14ac:dyDescent="0.25">
      <c r="A332" s="4"/>
      <c r="B332" s="4"/>
      <c r="C332" s="56"/>
      <c r="D332" s="4"/>
      <c r="E332" s="4"/>
      <c r="F332" s="4"/>
      <c r="G332" s="4"/>
      <c r="H332" s="4"/>
      <c r="I332" s="4"/>
    </row>
    <row r="333" spans="1:9" x14ac:dyDescent="0.25">
      <c r="A333" s="4"/>
      <c r="B333" s="4"/>
      <c r="C333" s="56"/>
      <c r="D333" s="4"/>
      <c r="E333" s="4"/>
      <c r="F333" s="4"/>
      <c r="G333" s="4"/>
      <c r="H333" s="4"/>
      <c r="I333" s="4"/>
    </row>
    <row r="334" spans="1:9" x14ac:dyDescent="0.25">
      <c r="A334" s="4"/>
      <c r="B334" s="4"/>
      <c r="C334" s="56"/>
      <c r="D334" s="4"/>
      <c r="E334" s="4"/>
      <c r="F334" s="4"/>
      <c r="G334" s="4"/>
      <c r="H334" s="4"/>
      <c r="I334" s="4"/>
    </row>
    <row r="335" spans="1:9" x14ac:dyDescent="0.25">
      <c r="A335" s="4"/>
      <c r="B335" s="4"/>
      <c r="C335" s="56"/>
      <c r="D335" s="4"/>
      <c r="E335" s="4"/>
      <c r="F335" s="4"/>
      <c r="G335" s="4"/>
      <c r="H335" s="4"/>
      <c r="I335" s="4"/>
    </row>
    <row r="336" spans="1:9" x14ac:dyDescent="0.25">
      <c r="A336" s="4"/>
      <c r="B336" s="4"/>
      <c r="C336" s="56"/>
      <c r="D336" s="4"/>
      <c r="E336" s="4"/>
      <c r="F336" s="4"/>
      <c r="G336" s="4"/>
      <c r="H336" s="4"/>
      <c r="I336" s="4"/>
    </row>
    <row r="337" spans="1:9" x14ac:dyDescent="0.25">
      <c r="A337" s="4"/>
      <c r="B337" s="4"/>
      <c r="C337" s="56"/>
      <c r="D337" s="4"/>
      <c r="E337" s="4"/>
      <c r="F337" s="4"/>
      <c r="G337" s="4"/>
      <c r="H337" s="4"/>
      <c r="I337" s="4"/>
    </row>
    <row r="338" spans="1:9" x14ac:dyDescent="0.25">
      <c r="A338" s="4"/>
      <c r="B338" s="4"/>
      <c r="C338" s="56"/>
      <c r="D338" s="4"/>
      <c r="E338" s="4"/>
      <c r="F338" s="4"/>
      <c r="G338" s="4"/>
      <c r="H338" s="4"/>
      <c r="I338" s="4"/>
    </row>
    <row r="339" spans="1:9" x14ac:dyDescent="0.25">
      <c r="A339" s="4"/>
      <c r="B339" s="4"/>
      <c r="C339" s="56"/>
      <c r="D339" s="4"/>
      <c r="E339" s="4"/>
      <c r="F339" s="4"/>
      <c r="G339" s="4"/>
      <c r="H339" s="4"/>
      <c r="I339" s="4"/>
    </row>
    <row r="340" spans="1:9" x14ac:dyDescent="0.25">
      <c r="A340" s="4"/>
      <c r="B340" s="4"/>
      <c r="C340" s="56"/>
      <c r="D340" s="4"/>
      <c r="E340" s="4"/>
      <c r="F340" s="4"/>
      <c r="G340" s="4"/>
      <c r="H340" s="4"/>
      <c r="I340" s="4"/>
    </row>
    <row r="341" spans="1:9" x14ac:dyDescent="0.25">
      <c r="A341" s="4"/>
      <c r="B341" s="4"/>
      <c r="C341" s="56"/>
      <c r="D341" s="4"/>
      <c r="E341" s="4"/>
      <c r="F341" s="4"/>
      <c r="G341" s="4"/>
      <c r="H341" s="4"/>
      <c r="I341" s="4"/>
    </row>
    <row r="342" spans="1:9" x14ac:dyDescent="0.25">
      <c r="A342" s="4"/>
      <c r="B342" s="4"/>
      <c r="C342" s="56"/>
      <c r="D342" s="4"/>
      <c r="E342" s="4"/>
      <c r="F342" s="4"/>
      <c r="G342" s="4"/>
      <c r="H342" s="4"/>
      <c r="I342" s="4"/>
    </row>
    <row r="343" spans="1:9" x14ac:dyDescent="0.25">
      <c r="A343" s="4"/>
      <c r="B343" s="4"/>
      <c r="C343" s="56"/>
      <c r="D343" s="4"/>
      <c r="E343" s="4"/>
      <c r="F343" s="4"/>
      <c r="G343" s="4"/>
      <c r="H343" s="4"/>
      <c r="I343" s="4"/>
    </row>
    <row r="344" spans="1:9" x14ac:dyDescent="0.25">
      <c r="A344" s="4"/>
      <c r="B344" s="4"/>
      <c r="C344" s="56"/>
      <c r="D344" s="4"/>
      <c r="E344" s="4"/>
      <c r="F344" s="4"/>
      <c r="G344" s="4"/>
      <c r="H344" s="4"/>
      <c r="I344" s="4"/>
    </row>
    <row r="345" spans="1:9" x14ac:dyDescent="0.25">
      <c r="A345" s="4"/>
      <c r="B345" s="4"/>
      <c r="C345" s="56"/>
      <c r="D345" s="4"/>
      <c r="E345" s="4"/>
      <c r="F345" s="4"/>
      <c r="G345" s="4"/>
      <c r="H345" s="4"/>
      <c r="I345" s="4"/>
    </row>
    <row r="346" spans="1:9" x14ac:dyDescent="0.25">
      <c r="A346" s="4"/>
      <c r="B346" s="4"/>
      <c r="C346" s="56"/>
      <c r="D346" s="4"/>
      <c r="E346" s="4"/>
      <c r="F346" s="4"/>
      <c r="G346" s="4"/>
      <c r="H346" s="4"/>
      <c r="I346" s="4"/>
    </row>
    <row r="347" spans="1:9" x14ac:dyDescent="0.25">
      <c r="A347" s="4"/>
      <c r="B347" s="4"/>
      <c r="C347" s="56"/>
      <c r="D347" s="4"/>
      <c r="E347" s="4"/>
      <c r="F347" s="4"/>
      <c r="G347" s="4"/>
      <c r="H347" s="4"/>
      <c r="I347" s="4"/>
    </row>
    <row r="348" spans="1:9" x14ac:dyDescent="0.25">
      <c r="A348" s="4"/>
      <c r="B348" s="4"/>
      <c r="C348" s="56"/>
      <c r="D348" s="4"/>
      <c r="E348" s="4"/>
      <c r="F348" s="4"/>
      <c r="G348" s="4"/>
      <c r="H348" s="4"/>
      <c r="I348" s="4"/>
    </row>
    <row r="349" spans="1:9" x14ac:dyDescent="0.25">
      <c r="A349" s="4"/>
      <c r="B349" s="4"/>
      <c r="C349" s="56"/>
      <c r="D349" s="4"/>
      <c r="E349" s="4"/>
      <c r="F349" s="4"/>
      <c r="G349" s="4"/>
      <c r="H349" s="4"/>
      <c r="I349" s="4"/>
    </row>
    <row r="350" spans="1:9" x14ac:dyDescent="0.25">
      <c r="A350" s="4"/>
      <c r="B350" s="4"/>
      <c r="C350" s="56"/>
      <c r="D350" s="4"/>
      <c r="E350" s="4"/>
      <c r="F350" s="4"/>
      <c r="G350" s="4"/>
      <c r="H350" s="4"/>
      <c r="I350" s="4"/>
    </row>
    <row r="351" spans="1:9" x14ac:dyDescent="0.25">
      <c r="A351" s="4"/>
      <c r="B351" s="4"/>
      <c r="C351" s="56"/>
      <c r="D351" s="4"/>
      <c r="E351" s="4"/>
      <c r="F351" s="4"/>
      <c r="G351" s="4"/>
      <c r="H351" s="4"/>
      <c r="I351" s="4"/>
    </row>
    <row r="352" spans="1:9" x14ac:dyDescent="0.25">
      <c r="A352" s="4"/>
      <c r="B352" s="4"/>
      <c r="C352" s="56"/>
      <c r="D352" s="4"/>
      <c r="E352" s="4"/>
      <c r="F352" s="4"/>
      <c r="G352" s="4"/>
      <c r="H352" s="4"/>
      <c r="I352" s="4"/>
    </row>
    <row r="353" spans="1:9" x14ac:dyDescent="0.25">
      <c r="A353" s="4"/>
      <c r="B353" s="4"/>
      <c r="C353" s="56"/>
      <c r="D353" s="4"/>
      <c r="E353" s="4"/>
      <c r="F353" s="4"/>
      <c r="G353" s="4"/>
      <c r="H353" s="4"/>
      <c r="I353" s="4"/>
    </row>
    <row r="354" spans="1:9" x14ac:dyDescent="0.25">
      <c r="A354" s="4"/>
      <c r="B354" s="4"/>
      <c r="C354" s="56"/>
      <c r="D354" s="4"/>
      <c r="E354" s="4"/>
      <c r="F354" s="4"/>
      <c r="G354" s="4"/>
      <c r="H354" s="4"/>
      <c r="I354" s="4"/>
    </row>
    <row r="355" spans="1:9" x14ac:dyDescent="0.25">
      <c r="A355" s="4"/>
      <c r="B355" s="4"/>
      <c r="C355" s="56"/>
      <c r="D355" s="4"/>
      <c r="E355" s="4"/>
      <c r="F355" s="4"/>
      <c r="G355" s="4"/>
      <c r="H355" s="4"/>
      <c r="I355" s="4"/>
    </row>
    <row r="356" spans="1:9" x14ac:dyDescent="0.25">
      <c r="A356" s="4"/>
      <c r="B356" s="4"/>
      <c r="C356" s="56"/>
      <c r="D356" s="4"/>
      <c r="E356" s="4"/>
      <c r="F356" s="4"/>
      <c r="G356" s="4"/>
      <c r="H356" s="4"/>
      <c r="I356" s="4"/>
    </row>
    <row r="357" spans="1:9" x14ac:dyDescent="0.25">
      <c r="A357" s="4"/>
      <c r="B357" s="4"/>
      <c r="C357" s="56"/>
      <c r="D357" s="4"/>
      <c r="E357" s="4"/>
      <c r="F357" s="4"/>
      <c r="G357" s="4"/>
      <c r="H357" s="4"/>
      <c r="I357" s="4"/>
    </row>
    <row r="358" spans="1:9" x14ac:dyDescent="0.25">
      <c r="A358" s="4"/>
      <c r="B358" s="4"/>
      <c r="C358" s="56"/>
      <c r="D358" s="4"/>
      <c r="E358" s="4"/>
      <c r="F358" s="4"/>
      <c r="G358" s="4"/>
      <c r="H358" s="4"/>
      <c r="I358" s="4"/>
    </row>
    <row r="359" spans="1:9" x14ac:dyDescent="0.25">
      <c r="A359" s="4"/>
      <c r="B359" s="4"/>
      <c r="C359" s="56"/>
      <c r="D359" s="4"/>
      <c r="E359" s="4"/>
      <c r="F359" s="4"/>
      <c r="G359" s="4"/>
      <c r="H359" s="4"/>
      <c r="I359" s="4"/>
    </row>
    <row r="360" spans="1:9" x14ac:dyDescent="0.25">
      <c r="A360" s="4"/>
      <c r="B360" s="4"/>
      <c r="C360" s="56"/>
      <c r="D360" s="4"/>
      <c r="E360" s="4"/>
      <c r="F360" s="4"/>
      <c r="G360" s="4"/>
      <c r="H360" s="4"/>
      <c r="I360" s="4"/>
    </row>
    <row r="361" spans="1:9" x14ac:dyDescent="0.25">
      <c r="A361" s="4"/>
      <c r="B361" s="4"/>
      <c r="C361" s="56"/>
      <c r="D361" s="4"/>
      <c r="E361" s="4"/>
      <c r="F361" s="4"/>
      <c r="G361" s="4"/>
      <c r="H361" s="4"/>
      <c r="I361" s="4"/>
    </row>
    <row r="362" spans="1:9" x14ac:dyDescent="0.25">
      <c r="A362" s="4"/>
      <c r="B362" s="4"/>
      <c r="C362" s="56"/>
      <c r="D362" s="4"/>
      <c r="E362" s="4"/>
      <c r="F362" s="4"/>
      <c r="G362" s="4"/>
      <c r="H362" s="4"/>
      <c r="I362" s="4"/>
    </row>
    <row r="363" spans="1:9" x14ac:dyDescent="0.25">
      <c r="A363" s="4"/>
      <c r="B363" s="4"/>
      <c r="C363" s="56"/>
      <c r="D363" s="4"/>
      <c r="E363" s="4"/>
      <c r="F363" s="4"/>
      <c r="G363" s="4"/>
      <c r="H363" s="4"/>
      <c r="I363" s="4"/>
    </row>
    <row r="364" spans="1:9" x14ac:dyDescent="0.25">
      <c r="A364" s="4"/>
      <c r="B364" s="4"/>
      <c r="C364" s="56"/>
      <c r="D364" s="4"/>
      <c r="E364" s="4"/>
      <c r="F364" s="4"/>
      <c r="G364" s="4"/>
      <c r="H364" s="4"/>
      <c r="I364" s="4"/>
    </row>
    <row r="365" spans="1:9" x14ac:dyDescent="0.25">
      <c r="A365" s="4"/>
      <c r="B365" s="4"/>
      <c r="C365" s="56"/>
      <c r="D365" s="4"/>
      <c r="E365" s="4"/>
      <c r="F365" s="4"/>
      <c r="G365" s="4"/>
      <c r="H365" s="4"/>
      <c r="I365" s="4"/>
    </row>
    <row r="366" spans="1:9" x14ac:dyDescent="0.25">
      <c r="A366" s="4"/>
      <c r="B366" s="4"/>
      <c r="C366" s="56"/>
      <c r="D366" s="4"/>
      <c r="E366" s="4"/>
      <c r="F366" s="4"/>
      <c r="G366" s="4"/>
      <c r="H366" s="4"/>
      <c r="I366" s="4"/>
    </row>
    <row r="367" spans="1:9" x14ac:dyDescent="0.25">
      <c r="A367" s="4"/>
      <c r="B367" s="4"/>
      <c r="C367" s="56"/>
      <c r="D367" s="4"/>
      <c r="E367" s="4"/>
      <c r="F367" s="4"/>
      <c r="G367" s="4"/>
      <c r="H367" s="4"/>
      <c r="I367" s="4"/>
    </row>
    <row r="368" spans="1:9" x14ac:dyDescent="0.25">
      <c r="A368" s="4"/>
      <c r="B368" s="4"/>
      <c r="C368" s="56"/>
      <c r="D368" s="4"/>
      <c r="E368" s="4"/>
      <c r="F368" s="4"/>
      <c r="G368" s="4"/>
      <c r="H368" s="4"/>
      <c r="I368" s="4"/>
    </row>
    <row r="369" spans="1:9" x14ac:dyDescent="0.25">
      <c r="A369" s="4"/>
      <c r="B369" s="4"/>
      <c r="C369" s="56"/>
      <c r="D369" s="4"/>
      <c r="E369" s="4"/>
      <c r="F369" s="4"/>
      <c r="G369" s="4"/>
      <c r="H369" s="4"/>
      <c r="I369" s="4"/>
    </row>
    <row r="370" spans="1:9" x14ac:dyDescent="0.25">
      <c r="A370" s="4"/>
      <c r="B370" s="4"/>
      <c r="C370" s="56"/>
      <c r="D370" s="4"/>
      <c r="E370" s="4"/>
      <c r="F370" s="4"/>
      <c r="G370" s="4"/>
      <c r="H370" s="4"/>
      <c r="I370" s="4"/>
    </row>
    <row r="371" spans="1:9" x14ac:dyDescent="0.25">
      <c r="A371" s="4"/>
      <c r="B371" s="4"/>
      <c r="C371" s="56"/>
      <c r="D371" s="4"/>
      <c r="E371" s="4"/>
      <c r="F371" s="4"/>
      <c r="G371" s="4"/>
      <c r="H371" s="4"/>
      <c r="I371" s="4"/>
    </row>
    <row r="372" spans="1:9" x14ac:dyDescent="0.25">
      <c r="A372" s="4"/>
      <c r="B372" s="4"/>
      <c r="C372" s="56"/>
      <c r="D372" s="4"/>
      <c r="E372" s="4"/>
      <c r="F372" s="4"/>
      <c r="G372" s="4"/>
      <c r="H372" s="4"/>
      <c r="I372" s="4"/>
    </row>
    <row r="373" spans="1:9" x14ac:dyDescent="0.25">
      <c r="A373" s="4"/>
      <c r="B373" s="4"/>
      <c r="C373" s="56"/>
      <c r="D373" s="4"/>
      <c r="E373" s="4"/>
      <c r="F373" s="4"/>
      <c r="G373" s="4"/>
      <c r="H373" s="4"/>
      <c r="I373" s="4"/>
    </row>
    <row r="374" spans="1:9" x14ac:dyDescent="0.25">
      <c r="A374" s="4"/>
      <c r="B374" s="4"/>
      <c r="C374" s="56"/>
      <c r="D374" s="4"/>
      <c r="E374" s="4"/>
      <c r="F374" s="4"/>
      <c r="G374" s="4"/>
      <c r="H374" s="4"/>
      <c r="I374" s="4"/>
    </row>
    <row r="375" spans="1:9" x14ac:dyDescent="0.25">
      <c r="A375" s="4"/>
      <c r="B375" s="4"/>
      <c r="C375" s="56"/>
      <c r="D375" s="4"/>
      <c r="E375" s="4"/>
      <c r="F375" s="4"/>
      <c r="G375" s="4"/>
      <c r="H375" s="4"/>
      <c r="I375" s="4"/>
    </row>
    <row r="376" spans="1:9" x14ac:dyDescent="0.25">
      <c r="A376" s="4"/>
      <c r="B376" s="4"/>
      <c r="C376" s="56"/>
      <c r="D376" s="4"/>
      <c r="E376" s="4"/>
      <c r="F376" s="4"/>
      <c r="G376" s="4"/>
      <c r="H376" s="4"/>
      <c r="I376" s="4"/>
    </row>
    <row r="377" spans="1:9" x14ac:dyDescent="0.25">
      <c r="A377" s="4"/>
      <c r="B377" s="4"/>
      <c r="C377" s="56"/>
      <c r="D377" s="4"/>
      <c r="E377" s="4"/>
      <c r="F377" s="4"/>
      <c r="G377" s="4"/>
      <c r="H377" s="4"/>
      <c r="I377" s="4"/>
    </row>
    <row r="378" spans="1:9" x14ac:dyDescent="0.25">
      <c r="A378" s="4"/>
      <c r="B378" s="4"/>
      <c r="C378" s="56"/>
      <c r="D378" s="4"/>
      <c r="E378" s="4"/>
      <c r="F378" s="4"/>
      <c r="G378" s="4"/>
      <c r="H378" s="4"/>
      <c r="I378" s="4"/>
    </row>
    <row r="379" spans="1:9" x14ac:dyDescent="0.25">
      <c r="A379" s="4"/>
      <c r="B379" s="4"/>
      <c r="C379" s="56"/>
      <c r="D379" s="4"/>
      <c r="E379" s="4"/>
      <c r="F379" s="4"/>
      <c r="G379" s="4"/>
      <c r="H379" s="4"/>
      <c r="I379" s="4"/>
    </row>
    <row r="380" spans="1:9" x14ac:dyDescent="0.25">
      <c r="A380" s="4"/>
      <c r="B380" s="4"/>
      <c r="C380" s="56"/>
      <c r="D380" s="4"/>
      <c r="E380" s="4"/>
      <c r="F380" s="4"/>
      <c r="G380" s="4"/>
      <c r="H380" s="4"/>
      <c r="I380" s="4"/>
    </row>
    <row r="381" spans="1:9" x14ac:dyDescent="0.25">
      <c r="A381" s="4"/>
      <c r="B381" s="4"/>
      <c r="C381" s="56"/>
      <c r="D381" s="4"/>
      <c r="E381" s="4"/>
      <c r="F381" s="4"/>
      <c r="G381" s="4"/>
      <c r="H381" s="4"/>
      <c r="I381" s="4"/>
    </row>
    <row r="382" spans="1:9" x14ac:dyDescent="0.25">
      <c r="A382" s="4"/>
      <c r="B382" s="4"/>
      <c r="C382" s="56"/>
      <c r="D382" s="4"/>
      <c r="E382" s="4"/>
      <c r="F382" s="4"/>
      <c r="G382" s="4"/>
      <c r="H382" s="4"/>
      <c r="I382" s="4"/>
    </row>
    <row r="383" spans="1:9" x14ac:dyDescent="0.25">
      <c r="A383" s="4"/>
      <c r="B383" s="4"/>
      <c r="C383" s="56"/>
      <c r="D383" s="4"/>
      <c r="E383" s="4"/>
      <c r="F383" s="4"/>
      <c r="G383" s="4"/>
      <c r="H383" s="4"/>
      <c r="I383" s="4"/>
    </row>
    <row r="384" spans="1:9" x14ac:dyDescent="0.25">
      <c r="A384" s="4"/>
      <c r="B384" s="4"/>
      <c r="C384" s="56"/>
      <c r="D384" s="4"/>
      <c r="E384" s="4"/>
      <c r="F384" s="4"/>
      <c r="G384" s="4"/>
      <c r="H384" s="4"/>
      <c r="I384" s="4"/>
    </row>
    <row r="385" spans="1:9" x14ac:dyDescent="0.25">
      <c r="A385" s="4"/>
      <c r="B385" s="4"/>
      <c r="C385" s="56"/>
      <c r="D385" s="4"/>
      <c r="E385" s="4"/>
      <c r="F385" s="4"/>
      <c r="G385" s="4"/>
      <c r="H385" s="4"/>
      <c r="I385" s="4"/>
    </row>
    <row r="386" spans="1:9" x14ac:dyDescent="0.25">
      <c r="A386" s="4"/>
      <c r="B386" s="4"/>
      <c r="C386" s="56"/>
      <c r="D386" s="4"/>
      <c r="E386" s="4"/>
      <c r="F386" s="4"/>
      <c r="G386" s="4"/>
      <c r="H386" s="4"/>
      <c r="I386" s="4"/>
    </row>
    <row r="387" spans="1:9" x14ac:dyDescent="0.25">
      <c r="A387" s="4"/>
      <c r="B387" s="4"/>
      <c r="C387" s="56"/>
      <c r="D387" s="4"/>
      <c r="E387" s="4"/>
      <c r="F387" s="4"/>
      <c r="G387" s="4"/>
      <c r="H387" s="4"/>
      <c r="I387" s="4"/>
    </row>
    <row r="388" spans="1:9" x14ac:dyDescent="0.25">
      <c r="A388" s="4"/>
      <c r="B388" s="4"/>
      <c r="C388" s="56"/>
      <c r="D388" s="4"/>
      <c r="E388" s="4"/>
      <c r="F388" s="4"/>
      <c r="G388" s="4"/>
      <c r="H388" s="4"/>
      <c r="I388" s="4"/>
    </row>
    <row r="389" spans="1:9" x14ac:dyDescent="0.25">
      <c r="A389" s="4"/>
      <c r="B389" s="4"/>
      <c r="C389" s="56"/>
      <c r="D389" s="4"/>
      <c r="E389" s="4"/>
      <c r="F389" s="4"/>
      <c r="G389" s="4"/>
      <c r="H389" s="4"/>
      <c r="I389" s="4"/>
    </row>
    <row r="390" spans="1:9" x14ac:dyDescent="0.25">
      <c r="A390" s="4"/>
      <c r="B390" s="4"/>
      <c r="C390" s="56"/>
      <c r="D390" s="4"/>
      <c r="E390" s="4"/>
      <c r="F390" s="4"/>
      <c r="G390" s="4"/>
      <c r="H390" s="4"/>
      <c r="I390" s="4"/>
    </row>
    <row r="391" spans="1:9" x14ac:dyDescent="0.25">
      <c r="A391" s="4"/>
      <c r="B391" s="4"/>
      <c r="C391" s="56"/>
      <c r="D391" s="4"/>
      <c r="E391" s="4"/>
      <c r="F391" s="4"/>
      <c r="G391" s="4"/>
      <c r="H391" s="4"/>
      <c r="I391" s="4"/>
    </row>
    <row r="392" spans="1:9" x14ac:dyDescent="0.25">
      <c r="A392" s="4"/>
      <c r="B392" s="4"/>
      <c r="C392" s="56"/>
      <c r="D392" s="4"/>
      <c r="E392" s="4"/>
      <c r="F392" s="4"/>
      <c r="G392" s="4"/>
      <c r="H392" s="4"/>
      <c r="I392" s="4"/>
    </row>
    <row r="393" spans="1:9" x14ac:dyDescent="0.25">
      <c r="A393" s="4"/>
      <c r="B393" s="4"/>
      <c r="C393" s="56"/>
      <c r="D393" s="4"/>
      <c r="E393" s="4"/>
      <c r="F393" s="4"/>
      <c r="G393" s="4"/>
      <c r="H393" s="4"/>
      <c r="I393" s="4"/>
    </row>
    <row r="394" spans="1:9" x14ac:dyDescent="0.25">
      <c r="A394" s="4"/>
      <c r="B394" s="4"/>
      <c r="C394" s="56"/>
      <c r="D394" s="4"/>
      <c r="E394" s="4"/>
      <c r="F394" s="4"/>
      <c r="G394" s="4"/>
      <c r="H394" s="4"/>
      <c r="I394" s="4"/>
    </row>
    <row r="395" spans="1:9" x14ac:dyDescent="0.25">
      <c r="A395" s="4"/>
      <c r="B395" s="4"/>
      <c r="C395" s="56"/>
      <c r="D395" s="4"/>
      <c r="E395" s="4"/>
      <c r="F395" s="4"/>
      <c r="G395" s="4"/>
      <c r="H395" s="4"/>
      <c r="I395" s="4"/>
    </row>
    <row r="396" spans="1:9" x14ac:dyDescent="0.25">
      <c r="A396" s="4"/>
      <c r="B396" s="4"/>
      <c r="C396" s="56"/>
      <c r="D396" s="4"/>
      <c r="E396" s="4"/>
      <c r="F396" s="4"/>
      <c r="G396" s="4"/>
      <c r="H396" s="4"/>
      <c r="I396" s="4"/>
    </row>
    <row r="397" spans="1:9" x14ac:dyDescent="0.25">
      <c r="A397" s="4"/>
      <c r="B397" s="4"/>
      <c r="C397" s="56"/>
      <c r="D397" s="4"/>
      <c r="E397" s="4"/>
      <c r="F397" s="4"/>
      <c r="G397" s="4"/>
      <c r="H397" s="4"/>
      <c r="I397" s="4"/>
    </row>
    <row r="398" spans="1:9" x14ac:dyDescent="0.25">
      <c r="A398" s="4"/>
      <c r="B398" s="4"/>
      <c r="C398" s="56"/>
      <c r="D398" s="4"/>
      <c r="E398" s="4"/>
      <c r="F398" s="4"/>
      <c r="G398" s="4"/>
      <c r="H398" s="4"/>
      <c r="I398" s="4"/>
    </row>
    <row r="399" spans="1:9" x14ac:dyDescent="0.25">
      <c r="A399" s="4"/>
      <c r="B399" s="4"/>
      <c r="C399" s="56"/>
      <c r="D399" s="4"/>
      <c r="E399" s="4"/>
      <c r="F399" s="4"/>
      <c r="G399" s="4"/>
      <c r="H399" s="4"/>
      <c r="I399" s="4"/>
    </row>
    <row r="400" spans="1:9" x14ac:dyDescent="0.25">
      <c r="A400" s="4"/>
      <c r="B400" s="4"/>
      <c r="C400" s="56"/>
      <c r="D400" s="4"/>
      <c r="E400" s="4"/>
      <c r="F400" s="4"/>
      <c r="G400" s="4"/>
      <c r="H400" s="4"/>
      <c r="I400" s="4"/>
    </row>
    <row r="401" spans="1:9" x14ac:dyDescent="0.25">
      <c r="A401" s="4"/>
      <c r="B401" s="4"/>
      <c r="C401" s="56"/>
      <c r="D401" s="4"/>
      <c r="E401" s="4"/>
      <c r="F401" s="4"/>
      <c r="G401" s="4"/>
      <c r="H401" s="4"/>
      <c r="I401" s="4"/>
    </row>
    <row r="402" spans="1:9" x14ac:dyDescent="0.25">
      <c r="A402" s="4"/>
      <c r="B402" s="4"/>
      <c r="C402" s="56"/>
      <c r="D402" s="4"/>
      <c r="E402" s="4"/>
      <c r="F402" s="4"/>
      <c r="G402" s="4"/>
      <c r="H402" s="4"/>
      <c r="I402" s="4"/>
    </row>
    <row r="403" spans="1:9" x14ac:dyDescent="0.25">
      <c r="A403" s="4"/>
      <c r="B403" s="4"/>
      <c r="C403" s="56"/>
      <c r="D403" s="4"/>
      <c r="E403" s="4"/>
      <c r="F403" s="4"/>
      <c r="G403" s="4"/>
      <c r="H403" s="4"/>
      <c r="I403" s="4"/>
    </row>
    <row r="404" spans="1:9" x14ac:dyDescent="0.25">
      <c r="A404" s="4"/>
      <c r="B404" s="4"/>
      <c r="C404" s="56"/>
      <c r="D404" s="4"/>
      <c r="E404" s="4"/>
      <c r="F404" s="4"/>
      <c r="G404" s="4"/>
      <c r="H404" s="4"/>
      <c r="I404" s="4"/>
    </row>
    <row r="405" spans="1:9" x14ac:dyDescent="0.25">
      <c r="A405" s="4"/>
      <c r="B405" s="4"/>
      <c r="C405" s="56"/>
      <c r="D405" s="4"/>
      <c r="E405" s="4"/>
      <c r="F405" s="4"/>
      <c r="G405" s="4"/>
      <c r="H405" s="4"/>
      <c r="I405" s="4"/>
    </row>
    <row r="406" spans="1:9" x14ac:dyDescent="0.25">
      <c r="A406" s="4"/>
      <c r="B406" s="4"/>
      <c r="C406" s="56"/>
      <c r="D406" s="4"/>
      <c r="E406" s="4"/>
      <c r="F406" s="4"/>
      <c r="G406" s="4"/>
      <c r="H406" s="4"/>
      <c r="I406" s="4"/>
    </row>
    <row r="407" spans="1:9" x14ac:dyDescent="0.25">
      <c r="A407" s="4"/>
      <c r="B407" s="4"/>
      <c r="C407" s="56"/>
      <c r="D407" s="4"/>
      <c r="E407" s="4"/>
      <c r="F407" s="4"/>
      <c r="G407" s="4"/>
      <c r="H407" s="4"/>
      <c r="I407" s="4"/>
    </row>
    <row r="408" spans="1:9" x14ac:dyDescent="0.25">
      <c r="A408" s="4"/>
      <c r="B408" s="4"/>
      <c r="C408" s="56"/>
      <c r="D408" s="4"/>
      <c r="E408" s="4"/>
      <c r="F408" s="4"/>
      <c r="G408" s="4"/>
      <c r="H408" s="4"/>
      <c r="I408" s="4"/>
    </row>
    <row r="409" spans="1:9" x14ac:dyDescent="0.25">
      <c r="A409" s="4"/>
      <c r="B409" s="4"/>
      <c r="C409" s="56"/>
      <c r="D409" s="4"/>
      <c r="E409" s="4"/>
      <c r="F409" s="4"/>
      <c r="G409" s="4"/>
      <c r="H409" s="4"/>
      <c r="I409" s="4"/>
    </row>
    <row r="410" spans="1:9" x14ac:dyDescent="0.25">
      <c r="A410" s="4"/>
      <c r="B410" s="4"/>
      <c r="C410" s="56"/>
      <c r="D410" s="4"/>
      <c r="E410" s="4"/>
      <c r="F410" s="4"/>
      <c r="G410" s="4"/>
      <c r="H410" s="4"/>
      <c r="I410" s="4"/>
    </row>
    <row r="411" spans="1:9" x14ac:dyDescent="0.25">
      <c r="A411" s="4"/>
      <c r="B411" s="4"/>
      <c r="C411" s="56"/>
      <c r="D411" s="4"/>
      <c r="E411" s="4"/>
      <c r="F411" s="4"/>
      <c r="G411" s="4"/>
      <c r="H411" s="4"/>
      <c r="I411" s="4"/>
    </row>
    <row r="412" spans="1:9" x14ac:dyDescent="0.25">
      <c r="A412" s="4"/>
      <c r="B412" s="4"/>
      <c r="C412" s="56"/>
      <c r="D412" s="4"/>
      <c r="E412" s="4"/>
      <c r="F412" s="4"/>
      <c r="G412" s="4"/>
      <c r="H412" s="4"/>
      <c r="I412" s="4"/>
    </row>
    <row r="413" spans="1:9" x14ac:dyDescent="0.25">
      <c r="A413" s="4"/>
      <c r="B413" s="4"/>
      <c r="C413" s="56"/>
      <c r="D413" s="4"/>
      <c r="E413" s="4"/>
      <c r="F413" s="4"/>
      <c r="G413" s="4"/>
      <c r="H413" s="4"/>
      <c r="I413" s="4"/>
    </row>
    <row r="414" spans="1:9" x14ac:dyDescent="0.25">
      <c r="A414" s="4"/>
      <c r="B414" s="4"/>
      <c r="C414" s="56"/>
      <c r="D414" s="4"/>
      <c r="E414" s="4"/>
      <c r="F414" s="4"/>
      <c r="G414" s="4"/>
      <c r="H414" s="4"/>
      <c r="I414" s="4"/>
    </row>
    <row r="415" spans="1:9" x14ac:dyDescent="0.25">
      <c r="A415" s="4"/>
      <c r="B415" s="4"/>
      <c r="C415" s="56"/>
      <c r="D415" s="4"/>
      <c r="E415" s="4"/>
      <c r="F415" s="4"/>
      <c r="G415" s="4"/>
      <c r="H415" s="4"/>
      <c r="I415" s="4"/>
    </row>
    <row r="416" spans="1:9" x14ac:dyDescent="0.25">
      <c r="A416" s="4"/>
      <c r="B416" s="4"/>
      <c r="C416" s="56"/>
      <c r="D416" s="4"/>
      <c r="E416" s="4"/>
      <c r="F416" s="4"/>
      <c r="G416" s="4"/>
      <c r="H416" s="4"/>
      <c r="I416" s="4"/>
    </row>
    <row r="417" spans="1:9" x14ac:dyDescent="0.25">
      <c r="A417" s="4"/>
      <c r="B417" s="4"/>
      <c r="C417" s="56"/>
      <c r="D417" s="4"/>
      <c r="E417" s="4"/>
      <c r="F417" s="4"/>
      <c r="G417" s="4"/>
      <c r="H417" s="4"/>
      <c r="I417" s="4"/>
    </row>
    <row r="418" spans="1:9" x14ac:dyDescent="0.25">
      <c r="A418" s="4"/>
      <c r="B418" s="4"/>
      <c r="C418" s="56"/>
      <c r="D418" s="4"/>
      <c r="E418" s="4"/>
      <c r="F418" s="4"/>
      <c r="G418" s="4"/>
      <c r="H418" s="4"/>
      <c r="I418" s="4"/>
    </row>
    <row r="419" spans="1:9" x14ac:dyDescent="0.25">
      <c r="A419" s="4"/>
      <c r="B419" s="4"/>
      <c r="C419" s="56"/>
      <c r="D419" s="4"/>
      <c r="E419" s="4"/>
      <c r="F419" s="4"/>
      <c r="G419" s="4"/>
      <c r="H419" s="4"/>
      <c r="I419" s="4"/>
    </row>
    <row r="420" spans="1:9" x14ac:dyDescent="0.25">
      <c r="A420" s="4"/>
      <c r="B420" s="4"/>
      <c r="C420" s="56"/>
      <c r="D420" s="4"/>
      <c r="E420" s="4"/>
      <c r="F420" s="4"/>
      <c r="G420" s="4"/>
      <c r="H420" s="4"/>
      <c r="I420" s="4"/>
    </row>
    <row r="421" spans="1:9" x14ac:dyDescent="0.25">
      <c r="A421" s="4"/>
      <c r="B421" s="4"/>
      <c r="C421" s="56"/>
      <c r="D421" s="4"/>
      <c r="E421" s="4"/>
      <c r="F421" s="4"/>
      <c r="G421" s="4"/>
      <c r="H421" s="4"/>
      <c r="I421" s="4"/>
    </row>
    <row r="422" spans="1:9" x14ac:dyDescent="0.25">
      <c r="A422" s="4"/>
      <c r="B422" s="4"/>
      <c r="C422" s="56"/>
      <c r="D422" s="4"/>
      <c r="E422" s="4"/>
      <c r="F422" s="4"/>
      <c r="G422" s="4"/>
      <c r="H422" s="4"/>
      <c r="I422" s="4"/>
    </row>
    <row r="423" spans="1:9" x14ac:dyDescent="0.25">
      <c r="A423" s="4"/>
      <c r="B423" s="4"/>
      <c r="C423" s="56"/>
      <c r="D423" s="4"/>
      <c r="E423" s="4"/>
      <c r="F423" s="4"/>
      <c r="G423" s="4"/>
      <c r="H423" s="4"/>
      <c r="I423" s="4"/>
    </row>
    <row r="424" spans="1:9" x14ac:dyDescent="0.25">
      <c r="A424" s="4"/>
      <c r="B424" s="4"/>
      <c r="C424" s="56"/>
      <c r="D424" s="4"/>
      <c r="E424" s="4"/>
      <c r="F424" s="4"/>
      <c r="G424" s="4"/>
      <c r="H424" s="4"/>
      <c r="I424" s="4"/>
    </row>
    <row r="425" spans="1:9" x14ac:dyDescent="0.25">
      <c r="A425" s="4"/>
      <c r="B425" s="4"/>
      <c r="C425" s="56"/>
      <c r="D425" s="4"/>
      <c r="E425" s="4"/>
      <c r="F425" s="4"/>
      <c r="G425" s="4"/>
      <c r="H425" s="4"/>
      <c r="I425" s="4"/>
    </row>
    <row r="426" spans="1:9" x14ac:dyDescent="0.25">
      <c r="A426" s="4"/>
      <c r="B426" s="4"/>
      <c r="C426" s="56"/>
      <c r="D426" s="4"/>
      <c r="E426" s="4"/>
      <c r="F426" s="4"/>
      <c r="G426" s="4"/>
      <c r="H426" s="4"/>
      <c r="I426" s="4"/>
    </row>
    <row r="427" spans="1:9" x14ac:dyDescent="0.25">
      <c r="A427" s="4"/>
      <c r="B427" s="4"/>
      <c r="C427" s="56"/>
      <c r="D427" s="4"/>
      <c r="E427" s="4"/>
      <c r="F427" s="4"/>
      <c r="G427" s="4"/>
      <c r="H427" s="4"/>
      <c r="I427" s="4"/>
    </row>
    <row r="428" spans="1:9" x14ac:dyDescent="0.25">
      <c r="A428" s="4"/>
      <c r="B428" s="4"/>
      <c r="C428" s="56"/>
      <c r="D428" s="4"/>
      <c r="E428" s="4"/>
      <c r="F428" s="4"/>
      <c r="G428" s="4"/>
      <c r="H428" s="4"/>
      <c r="I428" s="4"/>
    </row>
    <row r="429" spans="1:9" x14ac:dyDescent="0.25">
      <c r="A429" s="4"/>
      <c r="B429" s="4"/>
      <c r="C429" s="56"/>
      <c r="D429" s="4"/>
      <c r="E429" s="4"/>
      <c r="F429" s="4"/>
      <c r="G429" s="4"/>
      <c r="H429" s="4"/>
      <c r="I429" s="4"/>
    </row>
    <row r="430" spans="1:9" x14ac:dyDescent="0.25">
      <c r="A430" s="4"/>
      <c r="B430" s="4"/>
      <c r="C430" s="56"/>
      <c r="D430" s="4"/>
      <c r="E430" s="4"/>
      <c r="F430" s="4"/>
      <c r="G430" s="4"/>
      <c r="H430" s="4"/>
      <c r="I430" s="4"/>
    </row>
    <row r="431" spans="1:9" x14ac:dyDescent="0.25">
      <c r="A431" s="4"/>
      <c r="B431" s="4"/>
      <c r="C431" s="56"/>
      <c r="D431" s="4"/>
      <c r="E431" s="4"/>
      <c r="F431" s="4"/>
      <c r="G431" s="4"/>
      <c r="H431" s="4"/>
      <c r="I431" s="4"/>
    </row>
    <row r="432" spans="1:9" x14ac:dyDescent="0.25">
      <c r="A432" s="4"/>
      <c r="B432" s="4"/>
      <c r="C432" s="56"/>
      <c r="D432" s="4"/>
      <c r="E432" s="4"/>
      <c r="F432" s="4"/>
      <c r="G432" s="4"/>
      <c r="H432" s="4"/>
      <c r="I432" s="4"/>
    </row>
    <row r="433" spans="1:9" x14ac:dyDescent="0.25">
      <c r="A433" s="4"/>
      <c r="B433" s="4"/>
      <c r="C433" s="56"/>
      <c r="D433" s="4"/>
      <c r="E433" s="4"/>
      <c r="F433" s="4"/>
      <c r="G433" s="4"/>
      <c r="H433" s="4"/>
      <c r="I433" s="4"/>
    </row>
    <row r="434" spans="1:9" x14ac:dyDescent="0.25">
      <c r="A434" s="4"/>
      <c r="B434" s="4"/>
      <c r="C434" s="56"/>
      <c r="D434" s="4"/>
      <c r="E434" s="4"/>
      <c r="F434" s="4"/>
      <c r="G434" s="4"/>
      <c r="H434" s="4"/>
      <c r="I434" s="4"/>
    </row>
    <row r="435" spans="1:9" x14ac:dyDescent="0.25">
      <c r="A435" s="4"/>
      <c r="B435" s="4"/>
      <c r="C435" s="56"/>
      <c r="D435" s="4"/>
      <c r="E435" s="4"/>
      <c r="F435" s="4"/>
      <c r="G435" s="4"/>
      <c r="H435" s="4"/>
      <c r="I435" s="4"/>
    </row>
    <row r="436" spans="1:9" x14ac:dyDescent="0.25">
      <c r="A436" s="4"/>
      <c r="B436" s="4"/>
      <c r="C436" s="56"/>
      <c r="D436" s="4"/>
      <c r="E436" s="4"/>
      <c r="F436" s="4"/>
      <c r="G436" s="4"/>
      <c r="H436" s="4"/>
      <c r="I436" s="4"/>
    </row>
    <row r="437" spans="1:9" x14ac:dyDescent="0.25">
      <c r="A437" s="4"/>
      <c r="B437" s="4"/>
      <c r="C437" s="56"/>
      <c r="D437" s="4"/>
      <c r="E437" s="4"/>
      <c r="F437" s="4"/>
      <c r="G437" s="4"/>
      <c r="H437" s="4"/>
      <c r="I437" s="4"/>
    </row>
    <row r="438" spans="1:9" x14ac:dyDescent="0.25">
      <c r="A438" s="4"/>
      <c r="B438" s="4"/>
      <c r="C438" s="56"/>
      <c r="D438" s="4"/>
      <c r="E438" s="4"/>
      <c r="F438" s="4"/>
      <c r="G438" s="4"/>
      <c r="H438" s="4"/>
      <c r="I438" s="4"/>
    </row>
    <row r="439" spans="1:9" x14ac:dyDescent="0.25">
      <c r="A439" s="4"/>
      <c r="B439" s="4"/>
      <c r="C439" s="56"/>
      <c r="D439" s="4"/>
      <c r="E439" s="4"/>
      <c r="F439" s="4"/>
      <c r="G439" s="4"/>
      <c r="H439" s="4"/>
      <c r="I439" s="4"/>
    </row>
    <row r="440" spans="1:9" x14ac:dyDescent="0.25">
      <c r="A440" s="4"/>
      <c r="B440" s="4"/>
      <c r="C440" s="56"/>
      <c r="D440" s="4"/>
      <c r="E440" s="4"/>
      <c r="F440" s="4"/>
      <c r="G440" s="4"/>
      <c r="H440" s="4"/>
      <c r="I440" s="4"/>
    </row>
    <row r="441" spans="1:9" x14ac:dyDescent="0.25">
      <c r="A441" s="4"/>
      <c r="B441" s="4"/>
      <c r="C441" s="56"/>
      <c r="D441" s="4"/>
      <c r="E441" s="4"/>
      <c r="F441" s="4"/>
      <c r="G441" s="4"/>
      <c r="H441" s="4"/>
      <c r="I441" s="4"/>
    </row>
    <row r="442" spans="1:9" x14ac:dyDescent="0.25">
      <c r="A442" s="4"/>
      <c r="B442" s="4"/>
      <c r="C442" s="56"/>
      <c r="D442" s="4"/>
      <c r="E442" s="4"/>
      <c r="F442" s="4"/>
      <c r="G442" s="4"/>
      <c r="H442" s="4"/>
      <c r="I442" s="4"/>
    </row>
    <row r="443" spans="1:9" x14ac:dyDescent="0.25">
      <c r="A443" s="4"/>
      <c r="B443" s="4"/>
      <c r="C443" s="56"/>
      <c r="D443" s="4"/>
      <c r="E443" s="4"/>
      <c r="F443" s="4"/>
      <c r="G443" s="4"/>
      <c r="H443" s="4"/>
      <c r="I443" s="4"/>
    </row>
    <row r="444" spans="1:9" x14ac:dyDescent="0.25">
      <c r="A444" s="4"/>
      <c r="B444" s="4"/>
      <c r="C444" s="56"/>
      <c r="D444" s="4"/>
      <c r="E444" s="4"/>
      <c r="F444" s="4"/>
      <c r="G444" s="4"/>
      <c r="H444" s="4"/>
      <c r="I444" s="4"/>
    </row>
    <row r="445" spans="1:9" x14ac:dyDescent="0.25">
      <c r="A445" s="4"/>
      <c r="B445" s="4"/>
      <c r="C445" s="56"/>
      <c r="D445" s="4"/>
      <c r="E445" s="4"/>
      <c r="F445" s="4"/>
      <c r="G445" s="4"/>
      <c r="H445" s="4"/>
      <c r="I445" s="4"/>
    </row>
    <row r="446" spans="1:9" x14ac:dyDescent="0.25">
      <c r="A446" s="4"/>
      <c r="B446" s="4"/>
      <c r="C446" s="56"/>
      <c r="D446" s="4"/>
      <c r="E446" s="4"/>
      <c r="F446" s="4"/>
      <c r="G446" s="4"/>
      <c r="H446" s="4"/>
      <c r="I446" s="4"/>
    </row>
    <row r="447" spans="1:9" x14ac:dyDescent="0.25">
      <c r="A447" s="4"/>
      <c r="B447" s="4"/>
      <c r="C447" s="56"/>
      <c r="D447" s="4"/>
      <c r="E447" s="4"/>
      <c r="F447" s="4"/>
      <c r="G447" s="4"/>
      <c r="H447" s="4"/>
      <c r="I447" s="4"/>
    </row>
    <row r="448" spans="1:9" x14ac:dyDescent="0.25">
      <c r="A448" s="4"/>
      <c r="B448" s="4"/>
      <c r="C448" s="56"/>
      <c r="D448" s="4"/>
      <c r="E448" s="4"/>
      <c r="F448" s="4"/>
      <c r="G448" s="4"/>
      <c r="H448" s="4"/>
      <c r="I448" s="4"/>
    </row>
    <row r="449" spans="1:9" x14ac:dyDescent="0.25">
      <c r="A449" s="4"/>
      <c r="B449" s="4"/>
      <c r="C449" s="56"/>
      <c r="D449" s="4"/>
      <c r="E449" s="4"/>
      <c r="F449" s="4"/>
      <c r="G449" s="4"/>
      <c r="H449" s="4"/>
      <c r="I449" s="4"/>
    </row>
    <row r="450" spans="1:9" x14ac:dyDescent="0.25">
      <c r="A450" s="4"/>
      <c r="B450" s="4"/>
      <c r="C450" s="56"/>
      <c r="D450" s="4"/>
      <c r="E450" s="4"/>
      <c r="F450" s="4"/>
      <c r="G450" s="4"/>
      <c r="H450" s="4"/>
      <c r="I450" s="4"/>
    </row>
    <row r="451" spans="1:9" x14ac:dyDescent="0.25">
      <c r="A451" s="4"/>
      <c r="B451" s="4"/>
      <c r="C451" s="56"/>
      <c r="D451" s="4"/>
      <c r="E451" s="4"/>
      <c r="F451" s="4"/>
      <c r="G451" s="4"/>
      <c r="H451" s="4"/>
      <c r="I451" s="4"/>
    </row>
    <row r="452" spans="1:9" x14ac:dyDescent="0.25">
      <c r="A452" s="4"/>
      <c r="B452" s="4"/>
      <c r="C452" s="56"/>
      <c r="D452" s="4"/>
      <c r="E452" s="4"/>
      <c r="F452" s="4"/>
      <c r="G452" s="4"/>
      <c r="H452" s="4"/>
      <c r="I452" s="4"/>
    </row>
    <row r="453" spans="1:9" x14ac:dyDescent="0.25">
      <c r="A453" s="4"/>
      <c r="B453" s="4"/>
      <c r="C453" s="56"/>
      <c r="D453" s="4"/>
      <c r="E453" s="4"/>
      <c r="F453" s="4"/>
      <c r="G453" s="4"/>
      <c r="H453" s="4"/>
      <c r="I453" s="4"/>
    </row>
    <row r="454" spans="1:9" x14ac:dyDescent="0.25">
      <c r="A454" s="4"/>
      <c r="B454" s="4"/>
      <c r="C454" s="56"/>
      <c r="D454" s="4"/>
      <c r="E454" s="4"/>
      <c r="F454" s="4"/>
      <c r="G454" s="4"/>
      <c r="H454" s="4"/>
      <c r="I454" s="4"/>
    </row>
    <row r="455" spans="1:9" x14ac:dyDescent="0.25">
      <c r="A455" s="4"/>
      <c r="B455" s="4"/>
      <c r="C455" s="56"/>
      <c r="D455" s="4"/>
      <c r="E455" s="4"/>
      <c r="F455" s="4"/>
      <c r="G455" s="4"/>
      <c r="H455" s="4"/>
      <c r="I455" s="4"/>
    </row>
    <row r="456" spans="1:9" x14ac:dyDescent="0.25">
      <c r="A456" s="4"/>
      <c r="B456" s="4"/>
      <c r="C456" s="56"/>
      <c r="D456" s="4"/>
      <c r="E456" s="4"/>
      <c r="F456" s="4"/>
      <c r="G456" s="4"/>
      <c r="H456" s="4"/>
      <c r="I456" s="4"/>
    </row>
    <row r="457" spans="1:9" x14ac:dyDescent="0.25">
      <c r="A457" s="4"/>
      <c r="B457" s="4"/>
      <c r="C457" s="56"/>
      <c r="D457" s="4"/>
      <c r="E457" s="4"/>
      <c r="F457" s="4"/>
      <c r="G457" s="4"/>
      <c r="H457" s="4"/>
      <c r="I457" s="4"/>
    </row>
    <row r="458" spans="1:9" x14ac:dyDescent="0.25">
      <c r="A458" s="4"/>
      <c r="B458" s="4"/>
      <c r="C458" s="56"/>
      <c r="D458" s="4"/>
      <c r="E458" s="4"/>
      <c r="F458" s="4"/>
      <c r="G458" s="4"/>
      <c r="H458" s="4"/>
      <c r="I458" s="4"/>
    </row>
    <row r="459" spans="1:9" x14ac:dyDescent="0.25">
      <c r="A459" s="4"/>
      <c r="B459" s="4"/>
      <c r="C459" s="56"/>
      <c r="D459" s="4"/>
      <c r="E459" s="4"/>
      <c r="F459" s="4"/>
      <c r="G459" s="4"/>
      <c r="H459" s="4"/>
      <c r="I459" s="4"/>
    </row>
    <row r="460" spans="1:9" x14ac:dyDescent="0.25">
      <c r="A460" s="4"/>
      <c r="B460" s="4"/>
      <c r="C460" s="56"/>
      <c r="D460" s="4"/>
      <c r="E460" s="4"/>
      <c r="F460" s="4"/>
      <c r="G460" s="4"/>
      <c r="H460" s="4"/>
      <c r="I460" s="4"/>
    </row>
    <row r="461" spans="1:9" x14ac:dyDescent="0.25">
      <c r="A461" s="4"/>
      <c r="B461" s="4"/>
      <c r="C461" s="56"/>
      <c r="D461" s="4"/>
      <c r="E461" s="4"/>
      <c r="F461" s="4"/>
      <c r="G461" s="4"/>
      <c r="H461" s="4"/>
      <c r="I461" s="4"/>
    </row>
    <row r="462" spans="1:9" x14ac:dyDescent="0.25">
      <c r="A462" s="4"/>
      <c r="B462" s="4"/>
      <c r="C462" s="56"/>
      <c r="D462" s="4"/>
      <c r="E462" s="4"/>
      <c r="F462" s="4"/>
      <c r="G462" s="4"/>
      <c r="H462" s="4"/>
      <c r="I462" s="4"/>
    </row>
    <row r="463" spans="1:9" x14ac:dyDescent="0.25">
      <c r="A463" s="4"/>
      <c r="B463" s="4"/>
      <c r="C463" s="56"/>
      <c r="D463" s="4"/>
      <c r="E463" s="4"/>
      <c r="F463" s="4"/>
      <c r="G463" s="4"/>
      <c r="H463" s="4"/>
      <c r="I463" s="4"/>
    </row>
    <row r="464" spans="1:9" x14ac:dyDescent="0.25">
      <c r="A464" s="4"/>
      <c r="B464" s="4"/>
      <c r="C464" s="56"/>
      <c r="D464" s="4"/>
      <c r="E464" s="4"/>
      <c r="F464" s="4"/>
      <c r="G464" s="4"/>
      <c r="H464" s="4"/>
      <c r="I464" s="4"/>
    </row>
    <row r="465" spans="1:9" x14ac:dyDescent="0.25">
      <c r="A465" s="4"/>
      <c r="B465" s="4"/>
      <c r="C465" s="56"/>
      <c r="D465" s="4"/>
      <c r="E465" s="4"/>
      <c r="F465" s="4"/>
      <c r="G465" s="4"/>
      <c r="H465" s="4"/>
      <c r="I465" s="4"/>
    </row>
    <row r="466" spans="1:9" x14ac:dyDescent="0.25">
      <c r="A466" s="4"/>
      <c r="B466" s="4"/>
      <c r="C466" s="56"/>
      <c r="D466" s="4"/>
      <c r="E466" s="4"/>
      <c r="F466" s="4"/>
      <c r="G466" s="4"/>
      <c r="H466" s="4"/>
      <c r="I466" s="4"/>
    </row>
    <row r="467" spans="1:9" x14ac:dyDescent="0.25">
      <c r="A467" s="4"/>
      <c r="B467" s="4"/>
      <c r="C467" s="56"/>
      <c r="D467" s="4"/>
      <c r="E467" s="4"/>
      <c r="F467" s="4"/>
      <c r="G467" s="4"/>
      <c r="H467" s="4"/>
      <c r="I467" s="4"/>
    </row>
    <row r="468" spans="1:9" x14ac:dyDescent="0.25">
      <c r="A468" s="4"/>
      <c r="B468" s="4"/>
      <c r="C468" s="56"/>
      <c r="D468" s="4"/>
      <c r="E468" s="4"/>
      <c r="F468" s="4"/>
      <c r="G468" s="4"/>
      <c r="H468" s="4"/>
      <c r="I468" s="4"/>
    </row>
    <row r="469" spans="1:9" x14ac:dyDescent="0.25">
      <c r="A469" s="4"/>
      <c r="B469" s="4"/>
      <c r="C469" s="56"/>
      <c r="D469" s="4"/>
      <c r="E469" s="4"/>
      <c r="F469" s="4"/>
      <c r="G469" s="4"/>
      <c r="H469" s="4"/>
      <c r="I469" s="4"/>
    </row>
    <row r="470" spans="1:9" x14ac:dyDescent="0.25">
      <c r="A470" s="4"/>
      <c r="B470" s="4"/>
      <c r="C470" s="56"/>
      <c r="D470" s="4"/>
      <c r="E470" s="4"/>
      <c r="F470" s="4"/>
      <c r="G470" s="4"/>
      <c r="H470" s="4"/>
      <c r="I470" s="4"/>
    </row>
    <row r="471" spans="1:9" x14ac:dyDescent="0.25">
      <c r="A471" s="4"/>
      <c r="B471" s="4"/>
      <c r="C471" s="56"/>
      <c r="D471" s="4"/>
      <c r="E471" s="4"/>
      <c r="F471" s="4"/>
      <c r="G471" s="4"/>
      <c r="H471" s="4"/>
      <c r="I471" s="4"/>
    </row>
    <row r="472" spans="1:9" x14ac:dyDescent="0.25">
      <c r="A472" s="4"/>
      <c r="B472" s="4"/>
      <c r="C472" s="56"/>
      <c r="D472" s="4"/>
      <c r="E472" s="4"/>
      <c r="F472" s="4"/>
      <c r="G472" s="4"/>
      <c r="H472" s="4"/>
      <c r="I472" s="4"/>
    </row>
    <row r="473" spans="1:9" x14ac:dyDescent="0.25">
      <c r="A473" s="4"/>
      <c r="B473" s="4"/>
      <c r="C473" s="56"/>
      <c r="D473" s="4"/>
      <c r="E473" s="4"/>
      <c r="F473" s="4"/>
      <c r="G473" s="4"/>
      <c r="H473" s="4"/>
      <c r="I473" s="4"/>
    </row>
    <row r="474" spans="1:9" x14ac:dyDescent="0.25">
      <c r="A474" s="4"/>
      <c r="B474" s="4"/>
      <c r="C474" s="56"/>
      <c r="D474" s="4"/>
      <c r="E474" s="4"/>
      <c r="F474" s="4"/>
      <c r="G474" s="4"/>
      <c r="H474" s="4"/>
      <c r="I474" s="4"/>
    </row>
    <row r="475" spans="1:9" x14ac:dyDescent="0.25">
      <c r="A475" s="4"/>
      <c r="B475" s="4"/>
      <c r="C475" s="56"/>
      <c r="D475" s="4"/>
      <c r="E475" s="4"/>
      <c r="F475" s="4"/>
      <c r="G475" s="4"/>
      <c r="H475" s="4"/>
      <c r="I475" s="4"/>
    </row>
    <row r="476" spans="1:9" x14ac:dyDescent="0.25">
      <c r="A476" s="4"/>
      <c r="B476" s="4"/>
      <c r="C476" s="56"/>
      <c r="D476" s="4"/>
      <c r="E476" s="4"/>
      <c r="F476" s="4"/>
      <c r="G476" s="4"/>
      <c r="H476" s="4"/>
      <c r="I476" s="4"/>
    </row>
    <row r="477" spans="1:9" x14ac:dyDescent="0.25">
      <c r="A477" s="4"/>
      <c r="B477" s="4"/>
      <c r="C477" s="56"/>
      <c r="D477" s="4"/>
      <c r="E477" s="4"/>
      <c r="F477" s="4"/>
      <c r="G477" s="4"/>
      <c r="H477" s="4"/>
      <c r="I477" s="4"/>
    </row>
    <row r="478" spans="1:9" x14ac:dyDescent="0.25">
      <c r="A478" s="4"/>
      <c r="B478" s="4"/>
      <c r="C478" s="56"/>
      <c r="D478" s="4"/>
      <c r="E478" s="4"/>
      <c r="F478" s="4"/>
      <c r="G478" s="4"/>
      <c r="H478" s="4"/>
      <c r="I478" s="4"/>
    </row>
    <row r="479" spans="1:9" x14ac:dyDescent="0.25">
      <c r="A479" s="4"/>
      <c r="B479" s="4"/>
      <c r="C479" s="56"/>
      <c r="D479" s="4"/>
      <c r="E479" s="4"/>
      <c r="F479" s="4"/>
      <c r="G479" s="4"/>
      <c r="H479" s="4"/>
      <c r="I479" s="4"/>
    </row>
    <row r="480" spans="1:9" x14ac:dyDescent="0.25">
      <c r="A480" s="4"/>
      <c r="B480" s="4"/>
      <c r="C480" s="56"/>
      <c r="D480" s="4"/>
      <c r="E480" s="4"/>
      <c r="F480" s="4"/>
      <c r="G480" s="4"/>
      <c r="H480" s="4"/>
      <c r="I480" s="4"/>
    </row>
    <row r="481" spans="1:9" x14ac:dyDescent="0.25">
      <c r="A481" s="4"/>
      <c r="B481" s="4"/>
      <c r="C481" s="56"/>
      <c r="D481" s="4"/>
      <c r="E481" s="4"/>
      <c r="F481" s="4"/>
      <c r="G481" s="4"/>
      <c r="H481" s="4"/>
      <c r="I481" s="4"/>
    </row>
    <row r="482" spans="1:9" x14ac:dyDescent="0.25">
      <c r="A482" s="4"/>
      <c r="B482" s="4"/>
      <c r="C482" s="56"/>
      <c r="D482" s="4"/>
      <c r="E482" s="4"/>
      <c r="F482" s="4"/>
      <c r="G482" s="4"/>
      <c r="H482" s="4"/>
      <c r="I482" s="4"/>
    </row>
    <row r="483" spans="1:9" x14ac:dyDescent="0.25">
      <c r="A483" s="4"/>
      <c r="B483" s="4"/>
      <c r="C483" s="56"/>
      <c r="D483" s="4"/>
      <c r="E483" s="4"/>
      <c r="F483" s="4"/>
      <c r="G483" s="4"/>
      <c r="H483" s="4"/>
      <c r="I483" s="4"/>
    </row>
    <row r="484" spans="1:9" x14ac:dyDescent="0.25">
      <c r="A484" s="4"/>
      <c r="B484" s="4"/>
      <c r="C484" s="56"/>
      <c r="D484" s="4"/>
      <c r="E484" s="4"/>
      <c r="F484" s="4"/>
      <c r="G484" s="4"/>
      <c r="H484" s="4"/>
      <c r="I484" s="4"/>
    </row>
    <row r="485" spans="1:9" x14ac:dyDescent="0.25">
      <c r="A485" s="4"/>
      <c r="B485" s="4"/>
      <c r="C485" s="56"/>
      <c r="D485" s="4"/>
      <c r="E485" s="4"/>
      <c r="F485" s="4"/>
      <c r="G485" s="4"/>
      <c r="H485" s="4"/>
      <c r="I485" s="4"/>
    </row>
    <row r="486" spans="1:9" x14ac:dyDescent="0.25">
      <c r="A486" s="4"/>
      <c r="B486" s="4"/>
      <c r="C486" s="56"/>
      <c r="D486" s="4"/>
      <c r="E486" s="4"/>
      <c r="F486" s="4"/>
      <c r="G486" s="4"/>
      <c r="H486" s="4"/>
      <c r="I486" s="4"/>
    </row>
    <row r="487" spans="1:9" x14ac:dyDescent="0.25">
      <c r="A487" s="4"/>
      <c r="B487" s="4"/>
      <c r="C487" s="56"/>
      <c r="D487" s="4"/>
      <c r="E487" s="4"/>
      <c r="F487" s="4"/>
      <c r="G487" s="4"/>
      <c r="H487" s="4"/>
      <c r="I487" s="4"/>
    </row>
    <row r="488" spans="1:9" x14ac:dyDescent="0.25">
      <c r="A488" s="4"/>
      <c r="B488" s="4"/>
      <c r="C488" s="56"/>
      <c r="D488" s="4"/>
      <c r="E488" s="4"/>
      <c r="F488" s="4"/>
      <c r="G488" s="4"/>
      <c r="H488" s="4"/>
      <c r="I488" s="4"/>
    </row>
    <row r="489" spans="1:9" x14ac:dyDescent="0.25">
      <c r="A489" s="4"/>
      <c r="B489" s="4"/>
      <c r="C489" s="56"/>
      <c r="D489" s="4"/>
      <c r="E489" s="4"/>
      <c r="F489" s="4"/>
      <c r="G489" s="4"/>
      <c r="H489" s="4"/>
      <c r="I489" s="4"/>
    </row>
    <row r="490" spans="1:9" x14ac:dyDescent="0.25">
      <c r="A490" s="4"/>
      <c r="B490" s="4"/>
      <c r="C490" s="56"/>
      <c r="D490" s="4"/>
      <c r="E490" s="4"/>
      <c r="F490" s="4"/>
      <c r="G490" s="4"/>
      <c r="H490" s="4"/>
      <c r="I490" s="4"/>
    </row>
    <row r="491" spans="1:9" x14ac:dyDescent="0.25">
      <c r="A491" s="4"/>
      <c r="B491" s="4"/>
      <c r="C491" s="56"/>
      <c r="D491" s="4"/>
      <c r="E491" s="4"/>
      <c r="F491" s="4"/>
      <c r="G491" s="4"/>
      <c r="H491" s="4"/>
      <c r="I491" s="4"/>
    </row>
    <row r="492" spans="1:9" x14ac:dyDescent="0.25">
      <c r="A492" s="4"/>
      <c r="B492" s="4"/>
      <c r="C492" s="56"/>
      <c r="D492" s="4"/>
      <c r="E492" s="4"/>
      <c r="F492" s="4"/>
      <c r="G492" s="4"/>
      <c r="H492" s="4"/>
      <c r="I492" s="4"/>
    </row>
    <row r="493" spans="1:9" x14ac:dyDescent="0.25">
      <c r="A493" s="4"/>
      <c r="B493" s="4"/>
      <c r="C493" s="56"/>
      <c r="D493" s="4"/>
      <c r="E493" s="4"/>
      <c r="F493" s="4"/>
      <c r="G493" s="4"/>
      <c r="H493" s="4"/>
      <c r="I493" s="4"/>
    </row>
    <row r="494" spans="1:9" x14ac:dyDescent="0.25">
      <c r="A494" s="4"/>
      <c r="B494" s="4"/>
      <c r="C494" s="56"/>
      <c r="D494" s="4"/>
      <c r="E494" s="4"/>
      <c r="F494" s="4"/>
      <c r="G494" s="4"/>
      <c r="H494" s="4"/>
      <c r="I494" s="4"/>
    </row>
    <row r="495" spans="1:9" x14ac:dyDescent="0.25">
      <c r="A495" s="4"/>
      <c r="B495" s="4"/>
      <c r="C495" s="56"/>
      <c r="D495" s="4"/>
      <c r="E495" s="4"/>
      <c r="F495" s="4"/>
      <c r="G495" s="4"/>
      <c r="H495" s="4"/>
      <c r="I495" s="4"/>
    </row>
    <row r="496" spans="1:9" x14ac:dyDescent="0.25">
      <c r="A496" s="4"/>
      <c r="B496" s="4"/>
      <c r="C496" s="56"/>
      <c r="D496" s="4"/>
      <c r="E496" s="4"/>
      <c r="F496" s="4"/>
      <c r="G496" s="4"/>
      <c r="H496" s="4"/>
      <c r="I496" s="4"/>
    </row>
    <row r="497" spans="1:9" x14ac:dyDescent="0.25">
      <c r="A497" s="4"/>
      <c r="B497" s="4"/>
      <c r="C497" s="56"/>
      <c r="D497" s="4"/>
      <c r="E497" s="4"/>
      <c r="F497" s="4"/>
      <c r="G497" s="4"/>
      <c r="H497" s="4"/>
      <c r="I497" s="4"/>
    </row>
    <row r="498" spans="1:9" x14ac:dyDescent="0.25">
      <c r="A498" s="4"/>
      <c r="B498" s="4"/>
      <c r="C498" s="56"/>
      <c r="D498" s="4"/>
      <c r="E498" s="4"/>
      <c r="F498" s="4"/>
      <c r="G498" s="4"/>
      <c r="H498" s="4"/>
      <c r="I498" s="4"/>
    </row>
    <row r="499" spans="1:9" x14ac:dyDescent="0.25">
      <c r="A499" s="4"/>
      <c r="B499" s="4"/>
      <c r="C499" s="56"/>
      <c r="D499" s="4"/>
      <c r="E499" s="4"/>
      <c r="F499" s="4"/>
      <c r="G499" s="4"/>
      <c r="H499" s="4"/>
      <c r="I499" s="4"/>
    </row>
    <row r="500" spans="1:9" x14ac:dyDescent="0.25">
      <c r="A500" s="4"/>
      <c r="B500" s="4"/>
      <c r="C500" s="56"/>
      <c r="D500" s="4"/>
      <c r="E500" s="4"/>
      <c r="F500" s="4"/>
      <c r="G500" s="4"/>
      <c r="H500" s="4"/>
      <c r="I500" s="4"/>
    </row>
    <row r="501" spans="1:9" x14ac:dyDescent="0.25">
      <c r="A501" s="4"/>
      <c r="B501" s="4"/>
      <c r="C501" s="56"/>
      <c r="D501" s="4"/>
      <c r="E501" s="4"/>
      <c r="F501" s="4"/>
      <c r="G501" s="4"/>
      <c r="H501" s="4"/>
      <c r="I501" s="4"/>
    </row>
    <row r="502" spans="1:9" x14ac:dyDescent="0.25">
      <c r="A502" s="4"/>
      <c r="B502" s="4"/>
      <c r="C502" s="56"/>
      <c r="D502" s="4"/>
      <c r="E502" s="4"/>
      <c r="F502" s="4"/>
      <c r="G502" s="4"/>
      <c r="H502" s="4"/>
      <c r="I502" s="4"/>
    </row>
    <row r="503" spans="1:9" x14ac:dyDescent="0.25">
      <c r="A503" s="4"/>
      <c r="B503" s="4"/>
      <c r="C503" s="56"/>
      <c r="D503" s="4"/>
      <c r="E503" s="4"/>
      <c r="F503" s="4"/>
      <c r="G503" s="4"/>
      <c r="H503" s="4"/>
      <c r="I503" s="4"/>
    </row>
    <row r="504" spans="1:9" x14ac:dyDescent="0.25">
      <c r="A504" s="4"/>
      <c r="B504" s="4"/>
      <c r="C504" s="56"/>
      <c r="D504" s="4"/>
      <c r="E504" s="4"/>
      <c r="F504" s="4"/>
      <c r="G504" s="4"/>
      <c r="H504" s="4"/>
      <c r="I504" s="4"/>
    </row>
    <row r="505" spans="1:9" x14ac:dyDescent="0.25">
      <c r="A505" s="4"/>
      <c r="B505" s="4"/>
      <c r="C505" s="56"/>
      <c r="D505" s="4"/>
      <c r="E505" s="4"/>
      <c r="F505" s="4"/>
      <c r="G505" s="4"/>
      <c r="H505" s="4"/>
      <c r="I505" s="4"/>
    </row>
    <row r="506" spans="1:9" x14ac:dyDescent="0.25">
      <c r="A506" s="4"/>
      <c r="B506" s="4"/>
      <c r="C506" s="56"/>
      <c r="D506" s="4"/>
      <c r="E506" s="4"/>
      <c r="F506" s="4"/>
      <c r="G506" s="4"/>
      <c r="H506" s="4"/>
      <c r="I506" s="4"/>
    </row>
    <row r="507" spans="1:9" x14ac:dyDescent="0.25">
      <c r="A507" s="4"/>
      <c r="B507" s="4"/>
      <c r="C507" s="56"/>
      <c r="D507" s="4"/>
      <c r="E507" s="4"/>
      <c r="F507" s="4"/>
      <c r="G507" s="4"/>
      <c r="H507" s="4"/>
      <c r="I507" s="4"/>
    </row>
    <row r="508" spans="1:9" x14ac:dyDescent="0.25">
      <c r="A508" s="4"/>
      <c r="B508" s="4"/>
      <c r="C508" s="56"/>
      <c r="D508" s="4"/>
      <c r="E508" s="4"/>
      <c r="F508" s="4"/>
      <c r="G508" s="4"/>
      <c r="H508" s="4"/>
      <c r="I508" s="4"/>
    </row>
    <row r="509" spans="1:9" x14ac:dyDescent="0.25">
      <c r="A509" s="4"/>
      <c r="B509" s="4"/>
      <c r="C509" s="56"/>
      <c r="D509" s="4"/>
      <c r="E509" s="4"/>
      <c r="F509" s="4"/>
      <c r="G509" s="4"/>
      <c r="H509" s="4"/>
      <c r="I509" s="4"/>
    </row>
    <row r="510" spans="1:9" x14ac:dyDescent="0.25">
      <c r="A510" s="4"/>
      <c r="B510" s="4"/>
      <c r="C510" s="56"/>
      <c r="D510" s="4"/>
      <c r="E510" s="4"/>
      <c r="F510" s="4"/>
      <c r="G510" s="4"/>
      <c r="H510" s="4"/>
      <c r="I510" s="4"/>
    </row>
    <row r="511" spans="1:9" x14ac:dyDescent="0.25">
      <c r="A511" s="4"/>
      <c r="B511" s="4"/>
      <c r="C511" s="56"/>
      <c r="D511" s="4"/>
      <c r="E511" s="4"/>
      <c r="F511" s="4"/>
      <c r="G511" s="4"/>
      <c r="H511" s="4"/>
      <c r="I511" s="4"/>
    </row>
    <row r="512" spans="1:9" x14ac:dyDescent="0.25">
      <c r="A512" s="4"/>
      <c r="B512" s="4"/>
      <c r="C512" s="56"/>
      <c r="D512" s="4"/>
      <c r="E512" s="4"/>
      <c r="F512" s="4"/>
      <c r="G512" s="4"/>
      <c r="H512" s="4"/>
      <c r="I512" s="4"/>
    </row>
    <row r="513" spans="1:9" x14ac:dyDescent="0.25">
      <c r="A513" s="4"/>
      <c r="B513" s="4"/>
      <c r="C513" s="56"/>
      <c r="D513" s="4"/>
      <c r="E513" s="4"/>
      <c r="F513" s="4"/>
      <c r="G513" s="4"/>
      <c r="H513" s="4"/>
      <c r="I513" s="4"/>
    </row>
    <row r="514" spans="1:9" x14ac:dyDescent="0.25">
      <c r="A514" s="4"/>
      <c r="B514" s="4"/>
      <c r="C514" s="56"/>
      <c r="D514" s="4"/>
      <c r="E514" s="4"/>
      <c r="F514" s="4"/>
      <c r="G514" s="4"/>
      <c r="H514" s="4"/>
      <c r="I514" s="4"/>
    </row>
    <row r="515" spans="1:9" x14ac:dyDescent="0.25">
      <c r="A515" s="4"/>
      <c r="B515" s="4"/>
      <c r="C515" s="56"/>
      <c r="D515" s="4"/>
      <c r="E515" s="4"/>
      <c r="F515" s="4"/>
      <c r="G515" s="4"/>
      <c r="H515" s="4"/>
      <c r="I515" s="4"/>
    </row>
    <row r="516" spans="1:9" x14ac:dyDescent="0.25">
      <c r="A516" s="4"/>
      <c r="B516" s="4"/>
      <c r="C516" s="56"/>
      <c r="D516" s="4"/>
      <c r="E516" s="4"/>
      <c r="F516" s="4"/>
      <c r="G516" s="4"/>
      <c r="H516" s="4"/>
      <c r="I516" s="4"/>
    </row>
    <row r="517" spans="1:9" x14ac:dyDescent="0.25">
      <c r="A517" s="4"/>
      <c r="B517" s="4"/>
      <c r="C517" s="56"/>
      <c r="D517" s="4"/>
      <c r="E517" s="4"/>
      <c r="F517" s="4"/>
      <c r="G517" s="4"/>
      <c r="H517" s="4"/>
      <c r="I517" s="4"/>
    </row>
    <row r="518" spans="1:9" x14ac:dyDescent="0.25">
      <c r="A518" s="4"/>
      <c r="B518" s="4"/>
      <c r="C518" s="56"/>
      <c r="D518" s="4"/>
      <c r="E518" s="4"/>
      <c r="F518" s="4"/>
      <c r="G518" s="4"/>
      <c r="H518" s="4"/>
      <c r="I518" s="4"/>
    </row>
    <row r="519" spans="1:9" x14ac:dyDescent="0.25">
      <c r="A519" s="4"/>
      <c r="B519" s="4"/>
      <c r="C519" s="56"/>
      <c r="D519" s="4"/>
      <c r="E519" s="4"/>
      <c r="F519" s="4"/>
      <c r="G519" s="4"/>
      <c r="H519" s="4"/>
      <c r="I519" s="4"/>
    </row>
    <row r="520" spans="1:9" x14ac:dyDescent="0.25">
      <c r="A520" s="4"/>
      <c r="B520" s="4"/>
      <c r="C520" s="56"/>
      <c r="D520" s="4"/>
      <c r="E520" s="4"/>
      <c r="F520" s="4"/>
      <c r="G520" s="4"/>
      <c r="H520" s="4"/>
      <c r="I520" s="4"/>
    </row>
    <row r="521" spans="1:9" x14ac:dyDescent="0.25">
      <c r="A521" s="4"/>
      <c r="B521" s="4"/>
      <c r="C521" s="56"/>
      <c r="D521" s="4"/>
      <c r="E521" s="4"/>
      <c r="F521" s="4"/>
      <c r="G521" s="4"/>
      <c r="H521" s="4"/>
      <c r="I521" s="4"/>
    </row>
    <row r="522" spans="1:9" x14ac:dyDescent="0.25">
      <c r="A522" s="4"/>
      <c r="B522" s="4"/>
      <c r="C522" s="56"/>
      <c r="D522" s="4"/>
      <c r="E522" s="4"/>
      <c r="F522" s="4"/>
      <c r="G522" s="4"/>
      <c r="H522" s="4"/>
      <c r="I522" s="4"/>
    </row>
    <row r="523" spans="1:9" x14ac:dyDescent="0.25">
      <c r="A523" s="4"/>
      <c r="B523" s="4"/>
      <c r="C523" s="56"/>
      <c r="D523" s="4"/>
      <c r="E523" s="4"/>
      <c r="F523" s="4"/>
      <c r="G523" s="4"/>
      <c r="H523" s="4"/>
      <c r="I523" s="4"/>
    </row>
    <row r="524" spans="1:9" x14ac:dyDescent="0.25">
      <c r="A524" s="4"/>
      <c r="B524" s="4"/>
      <c r="C524" s="56"/>
      <c r="D524" s="4"/>
      <c r="E524" s="4"/>
      <c r="F524" s="4"/>
      <c r="G524" s="4"/>
      <c r="H524" s="4"/>
      <c r="I524" s="4"/>
    </row>
    <row r="525" spans="1:9" x14ac:dyDescent="0.25">
      <c r="A525" s="4"/>
      <c r="B525" s="4"/>
      <c r="C525" s="56"/>
      <c r="D525" s="4"/>
      <c r="E525" s="4"/>
      <c r="F525" s="4"/>
      <c r="G525" s="4"/>
      <c r="H525" s="4"/>
      <c r="I525" s="4"/>
    </row>
    <row r="526" spans="1:9" x14ac:dyDescent="0.25">
      <c r="A526" s="4"/>
      <c r="B526" s="4"/>
      <c r="C526" s="56"/>
      <c r="D526" s="4"/>
      <c r="E526" s="4"/>
      <c r="F526" s="4"/>
      <c r="G526" s="4"/>
      <c r="H526" s="4"/>
      <c r="I526" s="4"/>
    </row>
    <row r="527" spans="1:9" x14ac:dyDescent="0.25">
      <c r="A527" s="4"/>
      <c r="B527" s="4"/>
      <c r="C527" s="56"/>
      <c r="D527" s="4"/>
      <c r="E527" s="4"/>
      <c r="F527" s="4"/>
      <c r="G527" s="4"/>
      <c r="H527" s="4"/>
      <c r="I527" s="4"/>
    </row>
    <row r="528" spans="1:9" x14ac:dyDescent="0.25">
      <c r="A528" s="4"/>
      <c r="B528" s="4"/>
      <c r="C528" s="56"/>
      <c r="D528" s="4"/>
      <c r="E528" s="4"/>
      <c r="F528" s="4"/>
      <c r="G528" s="4"/>
      <c r="H528" s="4"/>
      <c r="I528" s="4"/>
    </row>
    <row r="529" spans="1:9" x14ac:dyDescent="0.25">
      <c r="A529" s="4"/>
      <c r="B529" s="4"/>
      <c r="C529" s="56"/>
      <c r="D529" s="4"/>
      <c r="E529" s="4"/>
      <c r="F529" s="4"/>
      <c r="G529" s="4"/>
      <c r="H529" s="4"/>
      <c r="I529" s="4"/>
    </row>
    <row r="530" spans="1:9" x14ac:dyDescent="0.25">
      <c r="A530" s="4"/>
      <c r="B530" s="4"/>
      <c r="C530" s="56"/>
      <c r="D530" s="4"/>
      <c r="E530" s="4"/>
      <c r="F530" s="4"/>
      <c r="G530" s="4"/>
      <c r="H530" s="4"/>
      <c r="I530" s="4"/>
    </row>
    <row r="531" spans="1:9" x14ac:dyDescent="0.25">
      <c r="A531" s="4"/>
      <c r="B531" s="4"/>
      <c r="C531" s="56"/>
      <c r="D531" s="4"/>
      <c r="E531" s="4"/>
      <c r="F531" s="4"/>
      <c r="G531" s="4"/>
      <c r="H531" s="4"/>
      <c r="I531" s="4"/>
    </row>
    <row r="532" spans="1:9" x14ac:dyDescent="0.25">
      <c r="A532" s="4"/>
      <c r="B532" s="4"/>
      <c r="C532" s="56"/>
      <c r="D532" s="4"/>
      <c r="E532" s="4"/>
      <c r="F532" s="4"/>
      <c r="G532" s="4"/>
      <c r="H532" s="4"/>
      <c r="I532" s="4"/>
    </row>
    <row r="533" spans="1:9" x14ac:dyDescent="0.25">
      <c r="A533" s="4"/>
      <c r="B533" s="4"/>
      <c r="C533" s="56"/>
      <c r="D533" s="4"/>
      <c r="E533" s="4"/>
      <c r="F533" s="4"/>
      <c r="G533" s="4"/>
      <c r="H533" s="4"/>
      <c r="I533" s="4"/>
    </row>
    <row r="534" spans="1:9" x14ac:dyDescent="0.25">
      <c r="A534" s="4"/>
      <c r="B534" s="4"/>
      <c r="C534" s="56"/>
      <c r="D534" s="4"/>
      <c r="E534" s="4"/>
      <c r="F534" s="4"/>
      <c r="G534" s="4"/>
      <c r="H534" s="4"/>
      <c r="I534" s="4"/>
    </row>
    <row r="535" spans="1:9" x14ac:dyDescent="0.25">
      <c r="A535" s="4"/>
      <c r="B535" s="4"/>
      <c r="C535" s="56"/>
      <c r="D535" s="4"/>
      <c r="E535" s="4"/>
      <c r="F535" s="4"/>
      <c r="G535" s="4"/>
      <c r="H535" s="4"/>
      <c r="I535" s="4"/>
    </row>
    <row r="536" spans="1:9" x14ac:dyDescent="0.25">
      <c r="A536" s="4"/>
      <c r="B536" s="4"/>
      <c r="C536" s="56"/>
      <c r="D536" s="4"/>
      <c r="E536" s="4"/>
      <c r="F536" s="4"/>
      <c r="G536" s="4"/>
      <c r="H536" s="4"/>
      <c r="I536" s="4"/>
    </row>
    <row r="537" spans="1:9" x14ac:dyDescent="0.25">
      <c r="A537" s="4"/>
      <c r="B537" s="4"/>
      <c r="C537" s="56"/>
      <c r="D537" s="4"/>
      <c r="E537" s="4"/>
      <c r="F537" s="4"/>
      <c r="G537" s="4"/>
      <c r="H537" s="4"/>
      <c r="I537" s="4"/>
    </row>
    <row r="538" spans="1:9" x14ac:dyDescent="0.25">
      <c r="A538" s="4"/>
      <c r="B538" s="4"/>
      <c r="C538" s="56"/>
      <c r="D538" s="4"/>
      <c r="E538" s="4"/>
      <c r="F538" s="4"/>
      <c r="G538" s="4"/>
      <c r="H538" s="4"/>
      <c r="I538" s="4"/>
    </row>
    <row r="539" spans="1:9" x14ac:dyDescent="0.25">
      <c r="A539" s="4"/>
      <c r="B539" s="4"/>
      <c r="C539" s="56"/>
      <c r="D539" s="4"/>
      <c r="E539" s="4"/>
      <c r="F539" s="4"/>
      <c r="G539" s="4"/>
      <c r="H539" s="4"/>
      <c r="I539" s="4"/>
    </row>
    <row r="540" spans="1:9" x14ac:dyDescent="0.25">
      <c r="A540" s="4"/>
      <c r="B540" s="4"/>
      <c r="C540" s="56"/>
      <c r="D540" s="4"/>
      <c r="E540" s="4"/>
      <c r="F540" s="4"/>
      <c r="G540" s="4"/>
      <c r="H540" s="4"/>
      <c r="I540" s="4"/>
    </row>
    <row r="541" spans="1:9" x14ac:dyDescent="0.25">
      <c r="A541" s="4"/>
      <c r="B541" s="4"/>
      <c r="C541" s="56"/>
      <c r="D541" s="4"/>
      <c r="E541" s="4"/>
      <c r="F541" s="4"/>
      <c r="G541" s="4"/>
      <c r="H541" s="4"/>
      <c r="I541" s="4"/>
    </row>
    <row r="542" spans="1:9" x14ac:dyDescent="0.25">
      <c r="A542" s="4"/>
      <c r="B542" s="4"/>
      <c r="C542" s="56"/>
      <c r="D542" s="4"/>
      <c r="E542" s="4"/>
      <c r="F542" s="4"/>
      <c r="G542" s="4"/>
      <c r="H542" s="4"/>
      <c r="I542" s="4"/>
    </row>
    <row r="543" spans="1:9" x14ac:dyDescent="0.25">
      <c r="A543" s="4"/>
      <c r="B543" s="4"/>
      <c r="C543" s="56"/>
      <c r="D543" s="4"/>
      <c r="E543" s="4"/>
      <c r="F543" s="4"/>
      <c r="G543" s="4"/>
      <c r="H543" s="4"/>
      <c r="I543" s="4"/>
    </row>
    <row r="544" spans="1:9" x14ac:dyDescent="0.25">
      <c r="A544" s="4"/>
      <c r="B544" s="4"/>
      <c r="C544" s="56"/>
      <c r="D544" s="4"/>
      <c r="E544" s="4"/>
      <c r="F544" s="4"/>
      <c r="G544" s="4"/>
      <c r="H544" s="4"/>
      <c r="I544" s="4"/>
    </row>
    <row r="545" spans="1:9" x14ac:dyDescent="0.25">
      <c r="A545" s="4"/>
      <c r="B545" s="4"/>
      <c r="C545" s="56"/>
      <c r="D545" s="4"/>
      <c r="E545" s="4"/>
      <c r="F545" s="4"/>
      <c r="G545" s="4"/>
      <c r="H545" s="4"/>
      <c r="I545" s="4"/>
    </row>
    <row r="546" spans="1:9" x14ac:dyDescent="0.25">
      <c r="A546" s="4"/>
      <c r="B546" s="4"/>
      <c r="C546" s="56"/>
      <c r="D546" s="4"/>
      <c r="E546" s="4"/>
      <c r="F546" s="4"/>
      <c r="G546" s="4"/>
      <c r="H546" s="4"/>
      <c r="I546" s="4"/>
    </row>
    <row r="547" spans="1:9" x14ac:dyDescent="0.25">
      <c r="A547" s="4"/>
      <c r="B547" s="4"/>
      <c r="C547" s="56"/>
      <c r="D547" s="4"/>
      <c r="E547" s="4"/>
      <c r="F547" s="4"/>
      <c r="G547" s="4"/>
      <c r="H547" s="4"/>
      <c r="I547" s="4"/>
    </row>
    <row r="548" spans="1:9" x14ac:dyDescent="0.25">
      <c r="A548" s="4"/>
      <c r="B548" s="4"/>
      <c r="C548" s="56"/>
      <c r="D548" s="4"/>
      <c r="E548" s="4"/>
      <c r="F548" s="4"/>
      <c r="G548" s="4"/>
      <c r="H548" s="4"/>
      <c r="I548" s="4"/>
    </row>
    <row r="549" spans="1:9" x14ac:dyDescent="0.25">
      <c r="A549" s="4"/>
      <c r="B549" s="4"/>
      <c r="C549" s="56"/>
      <c r="D549" s="4"/>
      <c r="E549" s="4"/>
      <c r="F549" s="4"/>
      <c r="G549" s="4"/>
      <c r="H549" s="4"/>
      <c r="I549" s="4"/>
    </row>
    <row r="550" spans="1:9" x14ac:dyDescent="0.25">
      <c r="A550" s="4"/>
      <c r="B550" s="4"/>
      <c r="C550" s="56"/>
      <c r="D550" s="4"/>
      <c r="E550" s="4"/>
      <c r="F550" s="4"/>
      <c r="G550" s="4"/>
      <c r="H550" s="4"/>
      <c r="I550" s="4"/>
    </row>
    <row r="551" spans="1:9" x14ac:dyDescent="0.25">
      <c r="A551" s="4"/>
      <c r="B551" s="4"/>
      <c r="C551" s="56"/>
      <c r="D551" s="4"/>
      <c r="E551" s="4"/>
      <c r="F551" s="4"/>
      <c r="G551" s="4"/>
      <c r="H551" s="4"/>
      <c r="I551" s="4"/>
    </row>
    <row r="552" spans="1:9" x14ac:dyDescent="0.25">
      <c r="A552" s="4"/>
      <c r="B552" s="4"/>
      <c r="C552" s="56"/>
      <c r="D552" s="4"/>
      <c r="E552" s="4"/>
      <c r="F552" s="4"/>
      <c r="G552" s="4"/>
      <c r="H552" s="4"/>
      <c r="I552" s="4"/>
    </row>
    <row r="553" spans="1:9" x14ac:dyDescent="0.25">
      <c r="A553" s="4"/>
      <c r="B553" s="4"/>
      <c r="C553" s="56"/>
      <c r="D553" s="4"/>
      <c r="E553" s="4"/>
      <c r="F553" s="4"/>
      <c r="G553" s="4"/>
      <c r="H553" s="4"/>
      <c r="I553" s="4"/>
    </row>
    <row r="554" spans="1:9" x14ac:dyDescent="0.25">
      <c r="A554" s="4"/>
      <c r="B554" s="4"/>
      <c r="C554" s="56"/>
      <c r="D554" s="4"/>
      <c r="E554" s="4"/>
      <c r="F554" s="4"/>
      <c r="G554" s="4"/>
      <c r="H554" s="4"/>
      <c r="I554" s="4"/>
    </row>
    <row r="555" spans="1:9" x14ac:dyDescent="0.25">
      <c r="A555" s="4"/>
      <c r="B555" s="4"/>
      <c r="C555" s="56"/>
      <c r="D555" s="4"/>
      <c r="E555" s="4"/>
      <c r="F555" s="4"/>
      <c r="G555" s="4"/>
      <c r="H555" s="4"/>
      <c r="I555" s="4"/>
    </row>
    <row r="556" spans="1:9" x14ac:dyDescent="0.25">
      <c r="A556" s="4"/>
      <c r="B556" s="4"/>
      <c r="C556" s="56"/>
      <c r="D556" s="4"/>
      <c r="E556" s="4"/>
      <c r="F556" s="4"/>
      <c r="G556" s="4"/>
      <c r="H556" s="4"/>
      <c r="I556" s="4"/>
    </row>
    <row r="557" spans="1:9" x14ac:dyDescent="0.25">
      <c r="A557" s="4"/>
      <c r="B557" s="4"/>
      <c r="C557" s="56"/>
      <c r="D557" s="4"/>
      <c r="E557" s="4"/>
      <c r="F557" s="4"/>
      <c r="G557" s="4"/>
      <c r="H557" s="4"/>
      <c r="I557" s="4"/>
    </row>
    <row r="558" spans="1:9" x14ac:dyDescent="0.25">
      <c r="A558" s="4"/>
      <c r="B558" s="4"/>
      <c r="C558" s="56"/>
      <c r="D558" s="4"/>
      <c r="E558" s="4"/>
      <c r="F558" s="4"/>
      <c r="G558" s="4"/>
      <c r="H558" s="4"/>
      <c r="I558" s="4"/>
    </row>
    <row r="559" spans="1:9" x14ac:dyDescent="0.25">
      <c r="A559" s="4"/>
      <c r="B559" s="4"/>
      <c r="C559" s="56"/>
      <c r="D559" s="4"/>
      <c r="E559" s="4"/>
      <c r="F559" s="4"/>
      <c r="G559" s="4"/>
      <c r="H559" s="4"/>
      <c r="I559" s="4"/>
    </row>
    <row r="560" spans="1:9" x14ac:dyDescent="0.25">
      <c r="A560" s="4"/>
      <c r="B560" s="4"/>
      <c r="C560" s="56"/>
      <c r="D560" s="4"/>
      <c r="E560" s="4"/>
      <c r="F560" s="4"/>
      <c r="G560" s="4"/>
      <c r="H560" s="4"/>
      <c r="I560" s="4"/>
    </row>
    <row r="561" spans="1:9" x14ac:dyDescent="0.25">
      <c r="A561" s="4"/>
      <c r="B561" s="4"/>
      <c r="C561" s="56"/>
      <c r="D561" s="4"/>
      <c r="E561" s="4"/>
      <c r="F561" s="4"/>
      <c r="G561" s="4"/>
      <c r="H561" s="4"/>
      <c r="I561" s="4"/>
    </row>
    <row r="562" spans="1:9" x14ac:dyDescent="0.25">
      <c r="A562" s="4"/>
      <c r="B562" s="4"/>
      <c r="C562" s="56"/>
      <c r="D562" s="4"/>
      <c r="E562" s="4"/>
      <c r="F562" s="4"/>
      <c r="G562" s="4"/>
      <c r="H562" s="4"/>
      <c r="I562" s="4"/>
    </row>
    <row r="563" spans="1:9" x14ac:dyDescent="0.25">
      <c r="A563" s="4"/>
      <c r="B563" s="4"/>
      <c r="C563" s="56"/>
      <c r="D563" s="4"/>
      <c r="E563" s="4"/>
      <c r="F563" s="4"/>
      <c r="G563" s="4"/>
      <c r="H563" s="4"/>
      <c r="I563" s="4"/>
    </row>
    <row r="564" spans="1:9" x14ac:dyDescent="0.25">
      <c r="A564" s="4"/>
      <c r="B564" s="4"/>
      <c r="C564" s="56"/>
      <c r="D564" s="4"/>
      <c r="E564" s="4"/>
      <c r="F564" s="4"/>
      <c r="G564" s="4"/>
      <c r="H564" s="4"/>
      <c r="I564" s="4"/>
    </row>
    <row r="565" spans="1:9" x14ac:dyDescent="0.25">
      <c r="A565" s="4"/>
      <c r="B565" s="4"/>
      <c r="C565" s="56"/>
      <c r="D565" s="4"/>
      <c r="E565" s="4"/>
      <c r="F565" s="4"/>
      <c r="G565" s="4"/>
      <c r="H565" s="4"/>
      <c r="I565" s="4"/>
    </row>
    <row r="566" spans="1:9" x14ac:dyDescent="0.25">
      <c r="A566" s="4"/>
      <c r="B566" s="4"/>
      <c r="C566" s="56"/>
      <c r="D566" s="4"/>
      <c r="E566" s="4"/>
      <c r="F566" s="4"/>
      <c r="G566" s="4"/>
      <c r="H566" s="4"/>
      <c r="I566" s="4"/>
    </row>
    <row r="567" spans="1:9" x14ac:dyDescent="0.25">
      <c r="A567" s="4"/>
      <c r="B567" s="4"/>
      <c r="C567" s="56"/>
      <c r="D567" s="4"/>
      <c r="E567" s="4"/>
      <c r="F567" s="4"/>
      <c r="G567" s="4"/>
      <c r="H567" s="4"/>
      <c r="I567" s="4"/>
    </row>
    <row r="568" spans="1:9" x14ac:dyDescent="0.25">
      <c r="A568" s="4"/>
      <c r="B568" s="4"/>
      <c r="C568" s="56"/>
      <c r="D568" s="4"/>
      <c r="E568" s="4"/>
      <c r="F568" s="4"/>
      <c r="G568" s="4"/>
      <c r="H568" s="4"/>
      <c r="I568" s="4"/>
    </row>
    <row r="569" spans="1:9" x14ac:dyDescent="0.25">
      <c r="A569" s="4"/>
      <c r="B569" s="4"/>
      <c r="C569" s="56"/>
      <c r="D569" s="4"/>
      <c r="E569" s="4"/>
      <c r="F569" s="4"/>
      <c r="G569" s="4"/>
      <c r="H569" s="4"/>
      <c r="I569" s="4"/>
    </row>
    <row r="570" spans="1:9" x14ac:dyDescent="0.25">
      <c r="A570" s="4"/>
      <c r="B570" s="4"/>
      <c r="C570" s="56"/>
      <c r="D570" s="4"/>
      <c r="E570" s="4"/>
      <c r="F570" s="4"/>
      <c r="G570" s="4"/>
      <c r="H570" s="4"/>
      <c r="I570" s="4"/>
    </row>
    <row r="571" spans="1:9" x14ac:dyDescent="0.25">
      <c r="A571" s="4"/>
      <c r="B571" s="4"/>
      <c r="C571" s="56"/>
      <c r="D571" s="4"/>
      <c r="E571" s="4"/>
      <c r="F571" s="4"/>
      <c r="G571" s="4"/>
      <c r="H571" s="4"/>
      <c r="I571" s="4"/>
    </row>
    <row r="572" spans="1:9" x14ac:dyDescent="0.25">
      <c r="A572" s="4"/>
      <c r="B572" s="4"/>
      <c r="C572" s="56"/>
      <c r="D572" s="4"/>
      <c r="E572" s="4"/>
      <c r="F572" s="4"/>
      <c r="G572" s="4"/>
      <c r="H572" s="4"/>
      <c r="I572" s="4"/>
    </row>
    <row r="573" spans="1:9" x14ac:dyDescent="0.25">
      <c r="A573" s="4"/>
      <c r="B573" s="4"/>
      <c r="C573" s="56"/>
      <c r="D573" s="4"/>
      <c r="E573" s="4"/>
      <c r="F573" s="4"/>
      <c r="G573" s="4"/>
      <c r="H573" s="4"/>
      <c r="I573" s="4"/>
    </row>
    <row r="574" spans="1:9" x14ac:dyDescent="0.25">
      <c r="A574" s="4"/>
      <c r="B574" s="4"/>
      <c r="C574" s="56"/>
      <c r="D574" s="4"/>
      <c r="E574" s="4"/>
      <c r="F574" s="4"/>
      <c r="G574" s="4"/>
      <c r="H574" s="4"/>
      <c r="I574" s="4"/>
    </row>
    <row r="575" spans="1:9" x14ac:dyDescent="0.25">
      <c r="A575" s="4"/>
      <c r="B575" s="4"/>
      <c r="C575" s="56"/>
      <c r="D575" s="4"/>
      <c r="E575" s="4"/>
      <c r="F575" s="4"/>
      <c r="G575" s="4"/>
      <c r="H575" s="4"/>
      <c r="I575" s="4"/>
    </row>
    <row r="576" spans="1:9" x14ac:dyDescent="0.25">
      <c r="A576" s="4"/>
      <c r="B576" s="4"/>
      <c r="C576" s="56"/>
      <c r="D576" s="4"/>
      <c r="E576" s="4"/>
      <c r="F576" s="4"/>
      <c r="G576" s="4"/>
      <c r="H576" s="4"/>
      <c r="I576" s="4"/>
    </row>
    <row r="577" spans="1:9" x14ac:dyDescent="0.25">
      <c r="A577" s="4"/>
      <c r="B577" s="4"/>
      <c r="C577" s="56"/>
      <c r="D577" s="4"/>
      <c r="E577" s="4"/>
      <c r="F577" s="4"/>
      <c r="G577" s="4"/>
      <c r="H577" s="4"/>
      <c r="I577" s="4"/>
    </row>
    <row r="578" spans="1:9" x14ac:dyDescent="0.25">
      <c r="A578" s="4"/>
      <c r="B578" s="4"/>
      <c r="C578" s="56"/>
      <c r="D578" s="4"/>
      <c r="E578" s="4"/>
      <c r="F578" s="4"/>
      <c r="G578" s="4"/>
      <c r="H578" s="4"/>
      <c r="I578" s="4"/>
    </row>
    <row r="579" spans="1:9" x14ac:dyDescent="0.25">
      <c r="A579" s="4"/>
      <c r="B579" s="4"/>
      <c r="C579" s="56"/>
      <c r="D579" s="4"/>
      <c r="E579" s="4"/>
      <c r="F579" s="4"/>
      <c r="G579" s="4"/>
      <c r="H579" s="4"/>
      <c r="I579" s="4"/>
    </row>
    <row r="580" spans="1:9" x14ac:dyDescent="0.25">
      <c r="A580" s="4"/>
      <c r="B580" s="4"/>
      <c r="C580" s="56"/>
      <c r="D580" s="4"/>
      <c r="E580" s="4"/>
      <c r="F580" s="4"/>
      <c r="G580" s="4"/>
      <c r="H580" s="4"/>
      <c r="I580" s="4"/>
    </row>
    <row r="581" spans="1:9" x14ac:dyDescent="0.25">
      <c r="A581" s="4"/>
      <c r="B581" s="4"/>
      <c r="C581" s="56"/>
      <c r="D581" s="4"/>
      <c r="E581" s="4"/>
      <c r="F581" s="4"/>
      <c r="G581" s="4"/>
      <c r="H581" s="4"/>
      <c r="I581" s="4"/>
    </row>
    <row r="582" spans="1:9" x14ac:dyDescent="0.25">
      <c r="A582" s="4"/>
      <c r="B582" s="4"/>
      <c r="C582" s="56"/>
      <c r="D582" s="4"/>
      <c r="E582" s="4"/>
      <c r="F582" s="4"/>
      <c r="G582" s="4"/>
      <c r="H582" s="4"/>
      <c r="I582" s="4"/>
    </row>
    <row r="583" spans="1:9" x14ac:dyDescent="0.25">
      <c r="A583" s="4"/>
      <c r="B583" s="4"/>
      <c r="C583" s="56"/>
      <c r="D583" s="4"/>
      <c r="E583" s="4"/>
      <c r="F583" s="4"/>
      <c r="G583" s="4"/>
      <c r="H583" s="4"/>
      <c r="I583" s="4"/>
    </row>
    <row r="584" spans="1:9" x14ac:dyDescent="0.25">
      <c r="A584" s="4"/>
      <c r="B584" s="4"/>
      <c r="C584" s="56"/>
      <c r="D584" s="4"/>
      <c r="E584" s="4"/>
      <c r="F584" s="4"/>
      <c r="G584" s="4"/>
      <c r="H584" s="4"/>
      <c r="I584" s="4"/>
    </row>
    <row r="585" spans="1:9" x14ac:dyDescent="0.25">
      <c r="A585" s="4"/>
      <c r="B585" s="4"/>
      <c r="C585" s="56"/>
      <c r="D585" s="4"/>
      <c r="E585" s="4"/>
      <c r="F585" s="4"/>
      <c r="G585" s="4"/>
      <c r="H585" s="4"/>
      <c r="I585" s="4"/>
    </row>
    <row r="586" spans="1:9" x14ac:dyDescent="0.25">
      <c r="A586" s="4"/>
      <c r="B586" s="4"/>
      <c r="C586" s="56"/>
      <c r="D586" s="4"/>
      <c r="E586" s="4"/>
      <c r="F586" s="4"/>
      <c r="G586" s="4"/>
      <c r="H586" s="4"/>
      <c r="I586" s="4"/>
    </row>
    <row r="587" spans="1:9" x14ac:dyDescent="0.25">
      <c r="A587" s="4"/>
      <c r="B587" s="4"/>
      <c r="C587" s="56"/>
      <c r="D587" s="4"/>
      <c r="E587" s="4"/>
      <c r="F587" s="4"/>
      <c r="G587" s="4"/>
      <c r="H587" s="4"/>
      <c r="I587" s="4"/>
    </row>
    <row r="588" spans="1:9" x14ac:dyDescent="0.25">
      <c r="A588" s="4"/>
      <c r="B588" s="4"/>
      <c r="C588" s="56"/>
      <c r="D588" s="4"/>
      <c r="E588" s="4"/>
      <c r="F588" s="4"/>
      <c r="G588" s="4"/>
      <c r="H588" s="4"/>
      <c r="I588" s="4"/>
    </row>
    <row r="589" spans="1:9" x14ac:dyDescent="0.25">
      <c r="A589" s="4"/>
      <c r="B589" s="4"/>
      <c r="C589" s="56"/>
      <c r="D589" s="4"/>
      <c r="E589" s="4"/>
      <c r="F589" s="4"/>
      <c r="G589" s="4"/>
      <c r="H589" s="4"/>
      <c r="I589" s="4"/>
    </row>
    <row r="590" spans="1:9" x14ac:dyDescent="0.25">
      <c r="A590" s="4"/>
      <c r="B590" s="4"/>
      <c r="C590" s="56"/>
      <c r="D590" s="4"/>
      <c r="E590" s="4"/>
      <c r="F590" s="4"/>
      <c r="G590" s="4"/>
      <c r="H590" s="4"/>
      <c r="I590" s="4"/>
    </row>
    <row r="591" spans="1:9" x14ac:dyDescent="0.25">
      <c r="A591" s="4"/>
      <c r="B591" s="4"/>
      <c r="C591" s="56"/>
      <c r="D591" s="4"/>
      <c r="E591" s="4"/>
      <c r="F591" s="4"/>
      <c r="G591" s="4"/>
      <c r="H591" s="4"/>
      <c r="I591" s="4"/>
    </row>
    <row r="592" spans="1:9" x14ac:dyDescent="0.25">
      <c r="A592" s="4"/>
      <c r="B592" s="4"/>
      <c r="C592" s="56"/>
      <c r="D592" s="4"/>
      <c r="E592" s="4"/>
      <c r="F592" s="4"/>
      <c r="G592" s="4"/>
      <c r="H592" s="4"/>
      <c r="I592" s="4"/>
    </row>
    <row r="593" spans="1:9" x14ac:dyDescent="0.25">
      <c r="A593" s="4"/>
      <c r="B593" s="4"/>
      <c r="C593" s="56"/>
      <c r="D593" s="4"/>
      <c r="E593" s="4"/>
      <c r="F593" s="4"/>
      <c r="G593" s="4"/>
      <c r="H593" s="4"/>
      <c r="I593" s="4"/>
    </row>
    <row r="594" spans="1:9" x14ac:dyDescent="0.25">
      <c r="A594" s="4"/>
      <c r="B594" s="4"/>
      <c r="C594" s="56"/>
      <c r="D594" s="4"/>
      <c r="E594" s="4"/>
      <c r="F594" s="4"/>
      <c r="G594" s="4"/>
      <c r="H594" s="4"/>
      <c r="I594" s="4"/>
    </row>
    <row r="595" spans="1:9" x14ac:dyDescent="0.25">
      <c r="A595" s="4"/>
      <c r="B595" s="4"/>
      <c r="C595" s="56"/>
      <c r="D595" s="4"/>
      <c r="E595" s="4"/>
      <c r="F595" s="4"/>
      <c r="G595" s="4"/>
      <c r="H595" s="4"/>
      <c r="I595" s="4"/>
    </row>
    <row r="596" spans="1:9" x14ac:dyDescent="0.25">
      <c r="A596" s="4"/>
      <c r="B596" s="4"/>
      <c r="C596" s="56"/>
      <c r="D596" s="4"/>
      <c r="E596" s="4"/>
      <c r="F596" s="4"/>
      <c r="G596" s="4"/>
      <c r="H596" s="4"/>
      <c r="I596" s="4"/>
    </row>
    <row r="597" spans="1:9" x14ac:dyDescent="0.25">
      <c r="A597" s="4"/>
      <c r="B597" s="4"/>
      <c r="C597" s="56"/>
      <c r="D597" s="4"/>
      <c r="E597" s="4"/>
      <c r="F597" s="4"/>
      <c r="G597" s="4"/>
      <c r="H597" s="4"/>
      <c r="I597" s="4"/>
    </row>
    <row r="598" spans="1:9" x14ac:dyDescent="0.25">
      <c r="A598" s="4"/>
      <c r="B598" s="4"/>
      <c r="C598" s="56"/>
      <c r="D598" s="4"/>
      <c r="E598" s="4"/>
      <c r="F598" s="4"/>
      <c r="G598" s="4"/>
      <c r="H598" s="4"/>
      <c r="I598" s="4"/>
    </row>
    <row r="599" spans="1:9" x14ac:dyDescent="0.25">
      <c r="A599" s="4"/>
      <c r="B599" s="4"/>
      <c r="C599" s="56"/>
      <c r="D599" s="4"/>
      <c r="E599" s="4"/>
      <c r="F599" s="4"/>
      <c r="G599" s="4"/>
      <c r="H599" s="4"/>
      <c r="I599" s="4"/>
    </row>
    <row r="600" spans="1:9" x14ac:dyDescent="0.25">
      <c r="A600" s="4"/>
      <c r="B600" s="4"/>
      <c r="C600" s="56"/>
      <c r="D600" s="4"/>
      <c r="E600" s="4"/>
      <c r="F600" s="4"/>
      <c r="G600" s="4"/>
      <c r="H600" s="4"/>
      <c r="I600" s="4"/>
    </row>
    <row r="601" spans="1:9" x14ac:dyDescent="0.25">
      <c r="A601" s="4"/>
      <c r="B601" s="4"/>
      <c r="C601" s="56"/>
      <c r="D601" s="4"/>
      <c r="E601" s="4"/>
      <c r="F601" s="4"/>
      <c r="G601" s="4"/>
      <c r="H601" s="4"/>
      <c r="I601" s="4"/>
    </row>
    <row r="602" spans="1:9" x14ac:dyDescent="0.25">
      <c r="A602" s="4"/>
      <c r="B602" s="4"/>
      <c r="C602" s="56"/>
      <c r="D602" s="4"/>
      <c r="E602" s="4"/>
      <c r="F602" s="4"/>
      <c r="G602" s="4"/>
      <c r="H602" s="4"/>
      <c r="I602" s="4"/>
    </row>
    <row r="603" spans="1:9" x14ac:dyDescent="0.25">
      <c r="A603" s="4"/>
      <c r="B603" s="4"/>
      <c r="C603" s="56"/>
      <c r="D603" s="4"/>
      <c r="E603" s="4"/>
      <c r="F603" s="4"/>
      <c r="G603" s="4"/>
      <c r="H603" s="4"/>
      <c r="I603" s="4"/>
    </row>
    <row r="604" spans="1:9" x14ac:dyDescent="0.25">
      <c r="A604" s="4"/>
      <c r="B604" s="4"/>
      <c r="C604" s="56"/>
      <c r="D604" s="4"/>
      <c r="E604" s="4"/>
      <c r="F604" s="4"/>
      <c r="G604" s="4"/>
      <c r="H604" s="4"/>
      <c r="I604" s="4"/>
    </row>
    <row r="605" spans="1:9" x14ac:dyDescent="0.25">
      <c r="A605" s="4"/>
      <c r="B605" s="4"/>
      <c r="C605" s="56"/>
      <c r="D605" s="4"/>
      <c r="E605" s="4"/>
      <c r="F605" s="4"/>
      <c r="G605" s="4"/>
      <c r="H605" s="4"/>
      <c r="I605" s="4"/>
    </row>
    <row r="606" spans="1:9" x14ac:dyDescent="0.25">
      <c r="A606" s="4"/>
      <c r="B606" s="4"/>
      <c r="C606" s="56"/>
      <c r="D606" s="4"/>
      <c r="E606" s="4"/>
      <c r="F606" s="4"/>
      <c r="G606" s="4"/>
      <c r="H606" s="4"/>
      <c r="I606" s="4"/>
    </row>
    <row r="607" spans="1:9" x14ac:dyDescent="0.25">
      <c r="A607" s="4"/>
      <c r="B607" s="4"/>
      <c r="C607" s="56"/>
      <c r="D607" s="4"/>
      <c r="E607" s="4"/>
      <c r="F607" s="4"/>
      <c r="G607" s="4"/>
      <c r="H607" s="4"/>
      <c r="I607" s="4"/>
    </row>
    <row r="608" spans="1:9" x14ac:dyDescent="0.25">
      <c r="A608" s="4"/>
      <c r="B608" s="4"/>
      <c r="C608" s="56"/>
      <c r="D608" s="4"/>
      <c r="E608" s="4"/>
      <c r="F608" s="4"/>
      <c r="G608" s="4"/>
      <c r="H608" s="4"/>
      <c r="I608" s="4"/>
    </row>
    <row r="609" spans="1:9" x14ac:dyDescent="0.25">
      <c r="A609" s="4"/>
      <c r="B609" s="4"/>
      <c r="C609" s="56"/>
      <c r="D609" s="4"/>
      <c r="E609" s="4"/>
      <c r="F609" s="4"/>
      <c r="G609" s="4"/>
      <c r="H609" s="4"/>
      <c r="I609" s="4"/>
    </row>
    <row r="610" spans="1:9" x14ac:dyDescent="0.25">
      <c r="A610" s="4"/>
      <c r="B610" s="4"/>
      <c r="C610" s="56"/>
      <c r="D610" s="4"/>
      <c r="E610" s="4"/>
      <c r="F610" s="4"/>
      <c r="G610" s="4"/>
      <c r="H610" s="4"/>
      <c r="I610" s="4"/>
    </row>
    <row r="611" spans="1:9" x14ac:dyDescent="0.25">
      <c r="A611" s="4"/>
      <c r="B611" s="4"/>
      <c r="C611" s="56"/>
      <c r="D611" s="4"/>
      <c r="E611" s="4"/>
      <c r="F611" s="4"/>
      <c r="G611" s="4"/>
      <c r="H611" s="4"/>
      <c r="I611" s="4"/>
    </row>
    <row r="612" spans="1:9" x14ac:dyDescent="0.25">
      <c r="A612" s="4"/>
      <c r="B612" s="4"/>
      <c r="C612" s="56"/>
      <c r="D612" s="4"/>
      <c r="E612" s="4"/>
      <c r="F612" s="4"/>
      <c r="G612" s="4"/>
      <c r="H612" s="4"/>
      <c r="I612" s="4"/>
    </row>
    <row r="613" spans="1:9" x14ac:dyDescent="0.25">
      <c r="A613" s="4"/>
      <c r="B613" s="4"/>
      <c r="C613" s="56"/>
      <c r="D613" s="4"/>
      <c r="E613" s="4"/>
      <c r="F613" s="4"/>
      <c r="G613" s="4"/>
      <c r="H613" s="4"/>
      <c r="I613" s="4"/>
    </row>
    <row r="614" spans="1:9" x14ac:dyDescent="0.25">
      <c r="A614" s="4"/>
      <c r="B614" s="4"/>
      <c r="C614" s="56"/>
      <c r="D614" s="4"/>
      <c r="E614" s="4"/>
      <c r="F614" s="4"/>
      <c r="G614" s="4"/>
      <c r="H614" s="4"/>
      <c r="I614" s="4"/>
    </row>
    <row r="615" spans="1:9" x14ac:dyDescent="0.25">
      <c r="A615" s="4"/>
      <c r="B615" s="4"/>
      <c r="C615" s="56"/>
      <c r="D615" s="4"/>
      <c r="E615" s="4"/>
      <c r="F615" s="4"/>
      <c r="G615" s="4"/>
      <c r="H615" s="4"/>
      <c r="I615" s="4"/>
    </row>
    <row r="616" spans="1:9" x14ac:dyDescent="0.25">
      <c r="A616" s="4"/>
      <c r="B616" s="4"/>
      <c r="C616" s="56"/>
      <c r="D616" s="4"/>
      <c r="E616" s="4"/>
      <c r="F616" s="4"/>
      <c r="G616" s="4"/>
      <c r="H616" s="4"/>
      <c r="I616" s="4"/>
    </row>
    <row r="617" spans="1:9" x14ac:dyDescent="0.25">
      <c r="A617" s="4"/>
      <c r="B617" s="4"/>
      <c r="C617" s="56"/>
      <c r="D617" s="4"/>
      <c r="E617" s="4"/>
      <c r="F617" s="4"/>
      <c r="G617" s="4"/>
      <c r="H617" s="4"/>
      <c r="I617" s="4"/>
    </row>
    <row r="618" spans="1:9" x14ac:dyDescent="0.25">
      <c r="A618" s="4"/>
      <c r="B618" s="4"/>
      <c r="C618" s="56"/>
      <c r="D618" s="4"/>
      <c r="E618" s="4"/>
      <c r="F618" s="4"/>
      <c r="G618" s="4"/>
      <c r="H618" s="4"/>
      <c r="I618" s="4"/>
    </row>
    <row r="619" spans="1:9" x14ac:dyDescent="0.25">
      <c r="A619" s="4"/>
      <c r="B619" s="4"/>
      <c r="C619" s="56"/>
      <c r="D619" s="4"/>
      <c r="E619" s="4"/>
      <c r="F619" s="4"/>
      <c r="G619" s="4"/>
      <c r="H619" s="4"/>
      <c r="I619" s="4"/>
    </row>
    <row r="620" spans="1:9" x14ac:dyDescent="0.25">
      <c r="A620" s="4"/>
      <c r="B620" s="4"/>
      <c r="C620" s="56"/>
      <c r="D620" s="4"/>
      <c r="E620" s="4"/>
      <c r="F620" s="4"/>
      <c r="G620" s="4"/>
      <c r="H620" s="4"/>
      <c r="I620" s="4"/>
    </row>
    <row r="621" spans="1:9" x14ac:dyDescent="0.25">
      <c r="A621" s="4"/>
      <c r="B621" s="4"/>
      <c r="C621" s="56"/>
      <c r="D621" s="4"/>
      <c r="E621" s="4"/>
      <c r="F621" s="4"/>
      <c r="G621" s="4"/>
      <c r="H621" s="4"/>
      <c r="I621" s="4"/>
    </row>
    <row r="622" spans="1:9" x14ac:dyDescent="0.25">
      <c r="A622" s="4"/>
      <c r="B622" s="4"/>
      <c r="C622" s="56"/>
      <c r="D622" s="4"/>
      <c r="E622" s="4"/>
      <c r="F622" s="4"/>
      <c r="G622" s="4"/>
      <c r="H622" s="4"/>
      <c r="I622" s="4"/>
    </row>
    <row r="623" spans="1:9" x14ac:dyDescent="0.25">
      <c r="A623" s="4"/>
      <c r="B623" s="4"/>
      <c r="C623" s="56"/>
      <c r="D623" s="4"/>
      <c r="E623" s="4"/>
      <c r="F623" s="4"/>
      <c r="G623" s="4"/>
      <c r="H623" s="4"/>
      <c r="I623" s="4"/>
    </row>
    <row r="624" spans="1:9" x14ac:dyDescent="0.25">
      <c r="A624" s="4"/>
      <c r="B624" s="4"/>
      <c r="C624" s="56"/>
      <c r="D624" s="4"/>
      <c r="E624" s="4"/>
      <c r="F624" s="4"/>
      <c r="G624" s="4"/>
      <c r="H624" s="4"/>
      <c r="I624" s="4"/>
    </row>
    <row r="625" spans="1:9" x14ac:dyDescent="0.25">
      <c r="A625" s="4"/>
      <c r="B625" s="4"/>
      <c r="C625" s="56"/>
      <c r="D625" s="4"/>
      <c r="E625" s="4"/>
      <c r="F625" s="4"/>
      <c r="G625" s="4"/>
      <c r="H625" s="4"/>
      <c r="I625" s="4"/>
    </row>
    <row r="626" spans="1:9" x14ac:dyDescent="0.25">
      <c r="A626" s="4"/>
      <c r="B626" s="4"/>
      <c r="C626" s="56"/>
      <c r="D626" s="4"/>
      <c r="E626" s="4"/>
      <c r="F626" s="4"/>
      <c r="G626" s="4"/>
      <c r="H626" s="4"/>
      <c r="I626" s="4"/>
    </row>
    <row r="627" spans="1:9" x14ac:dyDescent="0.25">
      <c r="A627" s="4"/>
      <c r="B627" s="4"/>
      <c r="C627" s="56"/>
      <c r="D627" s="4"/>
      <c r="E627" s="4"/>
      <c r="F627" s="4"/>
      <c r="G627" s="4"/>
      <c r="H627" s="4"/>
      <c r="I627" s="4"/>
    </row>
    <row r="628" spans="1:9" x14ac:dyDescent="0.25">
      <c r="A628" s="4"/>
      <c r="B628" s="4"/>
      <c r="C628" s="56"/>
      <c r="D628" s="4"/>
      <c r="E628" s="4"/>
      <c r="F628" s="4"/>
      <c r="G628" s="4"/>
      <c r="H628" s="4"/>
      <c r="I628" s="4"/>
    </row>
    <row r="629" spans="1:9" x14ac:dyDescent="0.25">
      <c r="A629" s="4"/>
      <c r="B629" s="4"/>
      <c r="C629" s="56"/>
      <c r="D629" s="4"/>
      <c r="E629" s="4"/>
      <c r="F629" s="4"/>
      <c r="G629" s="4"/>
      <c r="H629" s="4"/>
      <c r="I629" s="4"/>
    </row>
    <row r="630" spans="1:9" x14ac:dyDescent="0.25">
      <c r="A630" s="4"/>
      <c r="B630" s="4"/>
      <c r="C630" s="56"/>
      <c r="D630" s="4"/>
      <c r="E630" s="4"/>
      <c r="F630" s="4"/>
      <c r="G630" s="4"/>
      <c r="H630" s="4"/>
      <c r="I630" s="4"/>
    </row>
    <row r="631" spans="1:9" x14ac:dyDescent="0.25">
      <c r="A631" s="4"/>
      <c r="B631" s="4"/>
      <c r="C631" s="56"/>
      <c r="D631" s="4"/>
      <c r="E631" s="4"/>
      <c r="F631" s="4"/>
      <c r="G631" s="4"/>
      <c r="H631" s="4"/>
      <c r="I631" s="4"/>
    </row>
    <row r="632" spans="1:9" x14ac:dyDescent="0.25">
      <c r="A632" s="4"/>
      <c r="B632" s="4"/>
      <c r="C632" s="56"/>
      <c r="D632" s="4"/>
      <c r="E632" s="4"/>
      <c r="F632" s="4"/>
      <c r="G632" s="4"/>
      <c r="H632" s="4"/>
      <c r="I632" s="4"/>
    </row>
    <row r="633" spans="1:9" x14ac:dyDescent="0.25">
      <c r="A633" s="4"/>
      <c r="B633" s="4"/>
      <c r="C633" s="56"/>
      <c r="D633" s="4"/>
      <c r="E633" s="4"/>
      <c r="F633" s="4"/>
      <c r="G633" s="4"/>
      <c r="H633" s="4"/>
      <c r="I633" s="4"/>
    </row>
    <row r="634" spans="1:9" x14ac:dyDescent="0.25">
      <c r="A634" s="4"/>
      <c r="B634" s="4"/>
      <c r="C634" s="56"/>
      <c r="D634" s="4"/>
      <c r="E634" s="4"/>
      <c r="F634" s="4"/>
      <c r="G634" s="4"/>
      <c r="H634" s="4"/>
      <c r="I634" s="4"/>
    </row>
    <row r="635" spans="1:9" x14ac:dyDescent="0.25">
      <c r="A635" s="4"/>
      <c r="B635" s="4"/>
      <c r="C635" s="56"/>
      <c r="D635" s="4"/>
      <c r="E635" s="4"/>
      <c r="F635" s="4"/>
      <c r="G635" s="4"/>
      <c r="H635" s="4"/>
      <c r="I635" s="4"/>
    </row>
    <row r="636" spans="1:9" x14ac:dyDescent="0.25">
      <c r="A636" s="4"/>
      <c r="B636" s="4"/>
      <c r="C636" s="56"/>
      <c r="D636" s="4"/>
      <c r="E636" s="4"/>
      <c r="F636" s="4"/>
      <c r="G636" s="4"/>
      <c r="H636" s="4"/>
      <c r="I636" s="4"/>
    </row>
    <row r="637" spans="1:9" x14ac:dyDescent="0.25">
      <c r="A637" s="4"/>
      <c r="B637" s="4"/>
      <c r="C637" s="56"/>
      <c r="D637" s="4"/>
      <c r="E637" s="4"/>
      <c r="F637" s="4"/>
      <c r="G637" s="4"/>
      <c r="H637" s="4"/>
      <c r="I637" s="4"/>
    </row>
    <row r="638" spans="1:9" x14ac:dyDescent="0.25">
      <c r="A638" s="4"/>
      <c r="B638" s="4"/>
      <c r="C638" s="56"/>
      <c r="D638" s="4"/>
      <c r="E638" s="4"/>
      <c r="F638" s="4"/>
      <c r="G638" s="4"/>
      <c r="H638" s="4"/>
      <c r="I638" s="4"/>
    </row>
    <row r="639" spans="1:9" x14ac:dyDescent="0.25">
      <c r="A639" s="4"/>
      <c r="B639" s="4"/>
      <c r="C639" s="56"/>
      <c r="D639" s="4"/>
      <c r="E639" s="4"/>
      <c r="F639" s="4"/>
      <c r="G639" s="4"/>
      <c r="H639" s="4"/>
      <c r="I639" s="4"/>
    </row>
    <row r="640" spans="1:9" x14ac:dyDescent="0.25">
      <c r="A640" s="4"/>
      <c r="B640" s="4"/>
      <c r="C640" s="56"/>
      <c r="D640" s="4"/>
      <c r="E640" s="4"/>
      <c r="F640" s="4"/>
      <c r="G640" s="4"/>
      <c r="H640" s="4"/>
      <c r="I640" s="4"/>
    </row>
    <row r="641" spans="1:9" x14ac:dyDescent="0.25">
      <c r="A641" s="4"/>
      <c r="B641" s="4"/>
      <c r="C641" s="56"/>
      <c r="D641" s="4"/>
      <c r="E641" s="4"/>
      <c r="F641" s="4"/>
      <c r="G641" s="4"/>
      <c r="H641" s="4"/>
      <c r="I641" s="4"/>
    </row>
    <row r="642" spans="1:9" x14ac:dyDescent="0.25">
      <c r="A642" s="4"/>
      <c r="B642" s="4"/>
      <c r="C642" s="56"/>
      <c r="D642" s="4"/>
      <c r="E642" s="4"/>
      <c r="F642" s="4"/>
      <c r="G642" s="4"/>
      <c r="H642" s="4"/>
      <c r="I642" s="4"/>
    </row>
    <row r="643" spans="1:9" x14ac:dyDescent="0.25">
      <c r="A643" s="4"/>
      <c r="B643" s="4"/>
      <c r="C643" s="56"/>
      <c r="D643" s="4"/>
      <c r="E643" s="4"/>
      <c r="F643" s="4"/>
      <c r="G643" s="4"/>
      <c r="H643" s="4"/>
      <c r="I643" s="4"/>
    </row>
    <row r="644" spans="1:9" x14ac:dyDescent="0.25">
      <c r="A644" s="4"/>
      <c r="B644" s="4"/>
      <c r="C644" s="56"/>
      <c r="D644" s="4"/>
      <c r="E644" s="4"/>
      <c r="F644" s="4"/>
      <c r="G644" s="4"/>
      <c r="H644" s="4"/>
      <c r="I644" s="4"/>
    </row>
    <row r="645" spans="1:9" x14ac:dyDescent="0.25">
      <c r="A645" s="4"/>
      <c r="B645" s="4"/>
      <c r="C645" s="56"/>
      <c r="D645" s="4"/>
      <c r="E645" s="4"/>
      <c r="F645" s="4"/>
      <c r="G645" s="4"/>
      <c r="H645" s="4"/>
      <c r="I645" s="4"/>
    </row>
    <row r="646" spans="1:9" x14ac:dyDescent="0.25">
      <c r="A646" s="4"/>
      <c r="B646" s="4"/>
      <c r="C646" s="56"/>
      <c r="D646" s="4"/>
      <c r="E646" s="4"/>
      <c r="F646" s="4"/>
      <c r="G646" s="4"/>
      <c r="H646" s="4"/>
      <c r="I646" s="4"/>
    </row>
    <row r="647" spans="1:9" x14ac:dyDescent="0.25">
      <c r="A647" s="4"/>
      <c r="B647" s="4"/>
      <c r="C647" s="56"/>
      <c r="D647" s="4"/>
      <c r="E647" s="4"/>
      <c r="F647" s="4"/>
      <c r="G647" s="4"/>
      <c r="H647" s="4"/>
      <c r="I647" s="4"/>
    </row>
    <row r="648" spans="1:9" x14ac:dyDescent="0.25">
      <c r="A648" s="4"/>
      <c r="B648" s="4"/>
      <c r="C648" s="56"/>
      <c r="D648" s="4"/>
      <c r="E648" s="4"/>
      <c r="F648" s="4"/>
      <c r="G648" s="4"/>
      <c r="H648" s="4"/>
      <c r="I648" s="4"/>
    </row>
    <row r="649" spans="1:9" x14ac:dyDescent="0.25">
      <c r="A649" s="4"/>
      <c r="B649" s="4"/>
      <c r="C649" s="56"/>
      <c r="D649" s="4"/>
      <c r="E649" s="4"/>
      <c r="F649" s="4"/>
      <c r="G649" s="4"/>
      <c r="H649" s="4"/>
      <c r="I649" s="4"/>
    </row>
    <row r="650" spans="1:9" x14ac:dyDescent="0.25">
      <c r="A650" s="4"/>
      <c r="B650" s="4"/>
      <c r="C650" s="56"/>
      <c r="D650" s="4"/>
      <c r="E650" s="4"/>
      <c r="F650" s="4"/>
      <c r="G650" s="4"/>
      <c r="H650" s="4"/>
      <c r="I650" s="4"/>
    </row>
    <row r="651" spans="1:9" x14ac:dyDescent="0.25">
      <c r="A651" s="4"/>
      <c r="B651" s="4"/>
      <c r="C651" s="56"/>
      <c r="D651" s="4"/>
      <c r="E651" s="4"/>
      <c r="F651" s="4"/>
      <c r="G651" s="4"/>
      <c r="H651" s="4"/>
      <c r="I651" s="4"/>
    </row>
    <row r="652" spans="1:9" x14ac:dyDescent="0.25">
      <c r="A652" s="4"/>
      <c r="B652" s="4"/>
      <c r="C652" s="56"/>
      <c r="D652" s="4"/>
      <c r="E652" s="4"/>
      <c r="F652" s="4"/>
      <c r="G652" s="4"/>
      <c r="H652" s="4"/>
      <c r="I652" s="4"/>
    </row>
    <row r="653" spans="1:9" x14ac:dyDescent="0.25">
      <c r="A653" s="4"/>
      <c r="B653" s="4"/>
      <c r="C653" s="56"/>
      <c r="D653" s="4"/>
      <c r="E653" s="4"/>
      <c r="F653" s="4"/>
      <c r="G653" s="4"/>
      <c r="H653" s="4"/>
      <c r="I653" s="4"/>
    </row>
    <row r="654" spans="1:9" x14ac:dyDescent="0.25">
      <c r="A654" s="4"/>
      <c r="B654" s="4"/>
      <c r="C654" s="56"/>
      <c r="D654" s="4"/>
      <c r="E654" s="4"/>
      <c r="F654" s="4"/>
      <c r="G654" s="4"/>
      <c r="H654" s="4"/>
      <c r="I654" s="4"/>
    </row>
    <row r="655" spans="1:9" x14ac:dyDescent="0.25">
      <c r="A655" s="4"/>
      <c r="B655" s="4"/>
      <c r="C655" s="56"/>
      <c r="D655" s="4"/>
      <c r="E655" s="4"/>
      <c r="F655" s="4"/>
      <c r="G655" s="4"/>
      <c r="H655" s="4"/>
      <c r="I655" s="4"/>
    </row>
    <row r="656" spans="1:9" x14ac:dyDescent="0.25">
      <c r="A656" s="4"/>
      <c r="B656" s="4"/>
      <c r="C656" s="56"/>
      <c r="D656" s="4"/>
      <c r="E656" s="4"/>
      <c r="F656" s="4"/>
      <c r="G656" s="4"/>
      <c r="H656" s="4"/>
      <c r="I656" s="4"/>
    </row>
    <row r="657" spans="1:9" x14ac:dyDescent="0.25">
      <c r="A657" s="4"/>
      <c r="B657" s="4"/>
      <c r="C657" s="56"/>
      <c r="D657" s="4"/>
      <c r="E657" s="4"/>
      <c r="F657" s="4"/>
      <c r="G657" s="4"/>
      <c r="H657" s="4"/>
      <c r="I657" s="4"/>
    </row>
    <row r="658" spans="1:9" x14ac:dyDescent="0.25">
      <c r="A658" s="4"/>
      <c r="B658" s="4"/>
      <c r="C658" s="56"/>
      <c r="D658" s="4"/>
      <c r="E658" s="4"/>
      <c r="F658" s="4"/>
      <c r="G658" s="4"/>
      <c r="H658" s="4"/>
      <c r="I658" s="4"/>
    </row>
    <row r="659" spans="1:9" x14ac:dyDescent="0.25">
      <c r="A659" s="4"/>
      <c r="B659" s="4"/>
      <c r="C659" s="56"/>
      <c r="D659" s="4"/>
      <c r="E659" s="4"/>
      <c r="F659" s="4"/>
      <c r="G659" s="4"/>
      <c r="H659" s="4"/>
      <c r="I659" s="4"/>
    </row>
    <row r="660" spans="1:9" x14ac:dyDescent="0.25">
      <c r="A660" s="4"/>
      <c r="B660" s="4"/>
      <c r="C660" s="56"/>
      <c r="D660" s="4"/>
      <c r="E660" s="4"/>
      <c r="F660" s="4"/>
      <c r="G660" s="4"/>
      <c r="H660" s="4"/>
      <c r="I660" s="4"/>
    </row>
    <row r="661" spans="1:9" x14ac:dyDescent="0.25">
      <c r="A661" s="4"/>
      <c r="B661" s="4"/>
      <c r="C661" s="56"/>
      <c r="D661" s="4"/>
      <c r="E661" s="4"/>
      <c r="F661" s="4"/>
      <c r="G661" s="4"/>
      <c r="H661" s="4"/>
      <c r="I661" s="4"/>
    </row>
    <row r="662" spans="1:9" x14ac:dyDescent="0.25">
      <c r="A662" s="4"/>
      <c r="B662" s="4"/>
      <c r="C662" s="56"/>
      <c r="D662" s="4"/>
      <c r="E662" s="4"/>
      <c r="F662" s="4"/>
      <c r="G662" s="4"/>
      <c r="H662" s="4"/>
      <c r="I662" s="4"/>
    </row>
    <row r="663" spans="1:9" x14ac:dyDescent="0.25">
      <c r="A663" s="4"/>
      <c r="B663" s="4"/>
      <c r="C663" s="56"/>
      <c r="D663" s="4"/>
      <c r="E663" s="4"/>
      <c r="F663" s="4"/>
      <c r="G663" s="4"/>
      <c r="H663" s="4"/>
      <c r="I663" s="4"/>
    </row>
    <row r="664" spans="1:9" x14ac:dyDescent="0.25">
      <c r="A664" s="4"/>
      <c r="B664" s="4"/>
      <c r="C664" s="56"/>
      <c r="D664" s="4"/>
      <c r="E664" s="4"/>
      <c r="F664" s="4"/>
      <c r="G664" s="4"/>
      <c r="H664" s="4"/>
      <c r="I664" s="4"/>
    </row>
    <row r="665" spans="1:9" x14ac:dyDescent="0.25">
      <c r="A665" s="4"/>
      <c r="B665" s="4"/>
      <c r="C665" s="56"/>
      <c r="D665" s="4"/>
      <c r="E665" s="4"/>
      <c r="F665" s="4"/>
      <c r="G665" s="4"/>
      <c r="H665" s="4"/>
      <c r="I665" s="4"/>
    </row>
    <row r="666" spans="1:9" x14ac:dyDescent="0.25">
      <c r="A666" s="4"/>
      <c r="B666" s="4"/>
      <c r="C666" s="56"/>
      <c r="D666" s="4"/>
      <c r="E666" s="4"/>
      <c r="F666" s="4"/>
      <c r="G666" s="4"/>
      <c r="H666" s="4"/>
      <c r="I666" s="4"/>
    </row>
    <row r="667" spans="1:9" x14ac:dyDescent="0.25">
      <c r="A667" s="4"/>
      <c r="B667" s="4"/>
      <c r="C667" s="56"/>
      <c r="D667" s="4"/>
      <c r="E667" s="4"/>
      <c r="F667" s="4"/>
      <c r="G667" s="4"/>
      <c r="H667" s="4"/>
      <c r="I667" s="4"/>
    </row>
    <row r="668" spans="1:9" x14ac:dyDescent="0.25">
      <c r="A668" s="4"/>
      <c r="B668" s="4"/>
      <c r="C668" s="56"/>
      <c r="D668" s="4"/>
      <c r="E668" s="4"/>
      <c r="F668" s="4"/>
      <c r="G668" s="4"/>
      <c r="H668" s="4"/>
      <c r="I668" s="4"/>
    </row>
    <row r="669" spans="1:9" x14ac:dyDescent="0.25">
      <c r="A669" s="4"/>
      <c r="B669" s="4"/>
      <c r="C669" s="56"/>
      <c r="D669" s="4"/>
      <c r="E669" s="4"/>
      <c r="F669" s="4"/>
      <c r="G669" s="4"/>
      <c r="H669" s="4"/>
      <c r="I669" s="4"/>
    </row>
    <row r="670" spans="1:9" x14ac:dyDescent="0.25">
      <c r="A670" s="4"/>
      <c r="B670" s="4"/>
      <c r="C670" s="56"/>
      <c r="D670" s="4"/>
      <c r="E670" s="4"/>
      <c r="F670" s="4"/>
      <c r="G670" s="4"/>
      <c r="H670" s="4"/>
      <c r="I670" s="4"/>
    </row>
    <row r="671" spans="1:9" x14ac:dyDescent="0.25">
      <c r="A671" s="4"/>
      <c r="B671" s="4"/>
      <c r="C671" s="56"/>
      <c r="D671" s="4"/>
      <c r="E671" s="4"/>
      <c r="F671" s="4"/>
      <c r="G671" s="4"/>
      <c r="H671" s="4"/>
      <c r="I671" s="4"/>
    </row>
    <row r="672" spans="1:9" x14ac:dyDescent="0.25">
      <c r="A672" s="4"/>
      <c r="B672" s="4"/>
      <c r="C672" s="56"/>
      <c r="D672" s="4"/>
      <c r="E672" s="4"/>
      <c r="F672" s="4"/>
      <c r="G672" s="4"/>
      <c r="H672" s="4"/>
      <c r="I672" s="4"/>
    </row>
    <row r="673" spans="1:9" x14ac:dyDescent="0.25">
      <c r="A673" s="4"/>
      <c r="B673" s="4"/>
      <c r="C673" s="56"/>
      <c r="D673" s="4"/>
      <c r="E673" s="4"/>
      <c r="F673" s="4"/>
      <c r="G673" s="4"/>
      <c r="H673" s="4"/>
      <c r="I673" s="4"/>
    </row>
    <row r="674" spans="1:9" x14ac:dyDescent="0.25">
      <c r="A674" s="4"/>
      <c r="B674" s="4"/>
      <c r="C674" s="56"/>
      <c r="D674" s="4"/>
      <c r="E674" s="4"/>
      <c r="F674" s="4"/>
      <c r="G674" s="4"/>
      <c r="H674" s="4"/>
      <c r="I674" s="4"/>
    </row>
    <row r="675" spans="1:9" x14ac:dyDescent="0.25">
      <c r="A675" s="4"/>
      <c r="B675" s="4"/>
      <c r="C675" s="56"/>
      <c r="D675" s="4"/>
      <c r="E675" s="4"/>
      <c r="F675" s="4"/>
      <c r="G675" s="4"/>
      <c r="H675" s="4"/>
      <c r="I675" s="4"/>
    </row>
    <row r="676" spans="1:9" x14ac:dyDescent="0.25">
      <c r="A676" s="4"/>
      <c r="B676" s="4"/>
      <c r="C676" s="56"/>
      <c r="D676" s="4"/>
      <c r="E676" s="4"/>
      <c r="F676" s="4"/>
      <c r="G676" s="4"/>
      <c r="H676" s="4"/>
      <c r="I676" s="4"/>
    </row>
    <row r="677" spans="1:9" x14ac:dyDescent="0.25">
      <c r="A677" s="4"/>
      <c r="B677" s="4"/>
      <c r="C677" s="56"/>
      <c r="D677" s="4"/>
      <c r="E677" s="4"/>
      <c r="F677" s="4"/>
      <c r="G677" s="4"/>
      <c r="H677" s="4"/>
      <c r="I677" s="4"/>
    </row>
    <row r="678" spans="1:9" x14ac:dyDescent="0.25">
      <c r="A678" s="4"/>
      <c r="B678" s="4"/>
      <c r="C678" s="56"/>
      <c r="D678" s="4"/>
      <c r="E678" s="4"/>
      <c r="F678" s="4"/>
      <c r="G678" s="4"/>
      <c r="H678" s="4"/>
      <c r="I678" s="4"/>
    </row>
    <row r="679" spans="1:9" x14ac:dyDescent="0.25">
      <c r="A679" s="4"/>
      <c r="B679" s="4"/>
      <c r="C679" s="56"/>
      <c r="D679" s="4"/>
      <c r="E679" s="4"/>
      <c r="F679" s="4"/>
      <c r="G679" s="4"/>
      <c r="H679" s="4"/>
      <c r="I679" s="4"/>
    </row>
    <row r="680" spans="1:9" x14ac:dyDescent="0.25">
      <c r="A680" s="4"/>
      <c r="B680" s="4"/>
      <c r="C680" s="56"/>
      <c r="D680" s="4"/>
      <c r="E680" s="4"/>
      <c r="F680" s="4"/>
      <c r="G680" s="4"/>
      <c r="H680" s="4"/>
      <c r="I680" s="4"/>
    </row>
    <row r="681" spans="1:9" x14ac:dyDescent="0.25">
      <c r="A681" s="4"/>
      <c r="B681" s="4"/>
      <c r="C681" s="56"/>
      <c r="D681" s="4"/>
      <c r="E681" s="4"/>
      <c r="F681" s="4"/>
      <c r="G681" s="4"/>
      <c r="H681" s="4"/>
      <c r="I681" s="4"/>
    </row>
    <row r="682" spans="1:9" x14ac:dyDescent="0.25">
      <c r="A682" s="4"/>
      <c r="B682" s="4"/>
      <c r="C682" s="56"/>
      <c r="D682" s="4"/>
      <c r="E682" s="4"/>
      <c r="F682" s="4"/>
      <c r="G682" s="4"/>
      <c r="H682" s="4"/>
      <c r="I682" s="4"/>
    </row>
    <row r="683" spans="1:9" x14ac:dyDescent="0.25">
      <c r="A683" s="4"/>
      <c r="B683" s="4"/>
      <c r="C683" s="56"/>
      <c r="D683" s="4"/>
      <c r="E683" s="4"/>
      <c r="F683" s="4"/>
      <c r="G683" s="4"/>
      <c r="H683" s="4"/>
      <c r="I683" s="4"/>
    </row>
    <row r="684" spans="1:9" x14ac:dyDescent="0.25">
      <c r="A684" s="4"/>
      <c r="B684" s="4"/>
      <c r="C684" s="56"/>
      <c r="D684" s="4"/>
      <c r="E684" s="4"/>
      <c r="F684" s="4"/>
      <c r="G684" s="4"/>
      <c r="H684" s="4"/>
      <c r="I684" s="4"/>
    </row>
    <row r="685" spans="1:9" x14ac:dyDescent="0.25">
      <c r="A685" s="4"/>
      <c r="B685" s="4"/>
      <c r="C685" s="56"/>
      <c r="D685" s="4"/>
      <c r="E685" s="4"/>
      <c r="F685" s="4"/>
      <c r="G685" s="4"/>
      <c r="H685" s="4"/>
      <c r="I685" s="4"/>
    </row>
    <row r="686" spans="1:9" x14ac:dyDescent="0.25">
      <c r="A686" s="4"/>
      <c r="B686" s="4"/>
      <c r="C686" s="56"/>
      <c r="D686" s="4"/>
      <c r="E686" s="4"/>
      <c r="F686" s="4"/>
      <c r="G686" s="4"/>
      <c r="H686" s="4"/>
      <c r="I686" s="4"/>
    </row>
    <row r="687" spans="1:9" x14ac:dyDescent="0.25">
      <c r="A687" s="4"/>
      <c r="B687" s="4"/>
      <c r="C687" s="56"/>
      <c r="D687" s="4"/>
      <c r="E687" s="4"/>
      <c r="F687" s="4"/>
      <c r="G687" s="4"/>
      <c r="H687" s="4"/>
      <c r="I687" s="4"/>
    </row>
    <row r="688" spans="1:9" x14ac:dyDescent="0.25">
      <c r="A688" s="4"/>
      <c r="B688" s="4"/>
      <c r="C688" s="56"/>
      <c r="D688" s="4"/>
      <c r="E688" s="4"/>
      <c r="F688" s="4"/>
      <c r="G688" s="4"/>
      <c r="H688" s="4"/>
      <c r="I688" s="4"/>
    </row>
    <row r="689" spans="1:9" x14ac:dyDescent="0.25">
      <c r="A689" s="4"/>
      <c r="B689" s="4"/>
      <c r="C689" s="56"/>
      <c r="D689" s="4"/>
      <c r="E689" s="4"/>
      <c r="F689" s="4"/>
      <c r="G689" s="4"/>
      <c r="H689" s="4"/>
      <c r="I689" s="4"/>
    </row>
    <row r="690" spans="1:9" x14ac:dyDescent="0.25">
      <c r="A690" s="4"/>
      <c r="B690" s="4"/>
      <c r="C690" s="56"/>
      <c r="D690" s="4"/>
      <c r="E690" s="4"/>
      <c r="F690" s="4"/>
      <c r="G690" s="4"/>
      <c r="H690" s="4"/>
      <c r="I690" s="4"/>
    </row>
    <row r="691" spans="1:9" x14ac:dyDescent="0.25">
      <c r="A691" s="4"/>
      <c r="B691" s="4"/>
      <c r="C691" s="56"/>
      <c r="D691" s="4"/>
      <c r="E691" s="4"/>
      <c r="F691" s="4"/>
      <c r="G691" s="4"/>
      <c r="H691" s="4"/>
      <c r="I691" s="4"/>
    </row>
    <row r="692" spans="1:9" x14ac:dyDescent="0.25">
      <c r="A692" s="4"/>
      <c r="B692" s="4"/>
      <c r="C692" s="56"/>
      <c r="D692" s="4"/>
      <c r="E692" s="4"/>
      <c r="F692" s="4"/>
      <c r="G692" s="4"/>
      <c r="H692" s="4"/>
      <c r="I692" s="4"/>
    </row>
    <row r="693" spans="1:9" x14ac:dyDescent="0.25">
      <c r="A693" s="4"/>
      <c r="B693" s="4"/>
      <c r="C693" s="56"/>
      <c r="D693" s="4"/>
      <c r="E693" s="4"/>
      <c r="F693" s="4"/>
      <c r="G693" s="4"/>
      <c r="H693" s="4"/>
      <c r="I693" s="4"/>
    </row>
    <row r="694" spans="1:9" x14ac:dyDescent="0.25">
      <c r="A694" s="4"/>
      <c r="B694" s="4"/>
      <c r="C694" s="56"/>
      <c r="D694" s="4"/>
      <c r="E694" s="4"/>
      <c r="F694" s="4"/>
      <c r="G694" s="4"/>
      <c r="H694" s="4"/>
      <c r="I694" s="4"/>
    </row>
    <row r="695" spans="1:9" x14ac:dyDescent="0.25">
      <c r="A695" s="4"/>
      <c r="B695" s="4"/>
      <c r="C695" s="56"/>
      <c r="D695" s="4"/>
      <c r="E695" s="4"/>
      <c r="F695" s="4"/>
      <c r="G695" s="4"/>
      <c r="H695" s="4"/>
      <c r="I695" s="4"/>
    </row>
    <row r="696" spans="1:9" x14ac:dyDescent="0.25">
      <c r="A696" s="4"/>
      <c r="B696" s="4"/>
      <c r="C696" s="56"/>
      <c r="D696" s="4"/>
      <c r="E696" s="4"/>
      <c r="F696" s="4"/>
      <c r="G696" s="4"/>
      <c r="H696" s="4"/>
      <c r="I696" s="4"/>
    </row>
    <row r="697" spans="1:9" x14ac:dyDescent="0.25">
      <c r="A697" s="4"/>
      <c r="B697" s="4"/>
      <c r="C697" s="56"/>
      <c r="D697" s="4"/>
      <c r="E697" s="4"/>
      <c r="F697" s="4"/>
      <c r="G697" s="4"/>
      <c r="H697" s="4"/>
      <c r="I697" s="4"/>
    </row>
    <row r="698" spans="1:9" x14ac:dyDescent="0.25">
      <c r="A698" s="4"/>
      <c r="B698" s="4"/>
      <c r="C698" s="56"/>
      <c r="D698" s="4"/>
      <c r="E698" s="4"/>
      <c r="F698" s="4"/>
      <c r="G698" s="4"/>
      <c r="H698" s="4"/>
      <c r="I698" s="4"/>
    </row>
    <row r="699" spans="1:9" x14ac:dyDescent="0.25">
      <c r="A699" s="4"/>
      <c r="B699" s="4"/>
      <c r="C699" s="56"/>
      <c r="D699" s="4"/>
      <c r="E699" s="4"/>
      <c r="F699" s="4"/>
      <c r="G699" s="4"/>
      <c r="H699" s="4"/>
      <c r="I699" s="4"/>
    </row>
    <row r="700" spans="1:9" x14ac:dyDescent="0.25">
      <c r="A700" s="4"/>
      <c r="B700" s="4"/>
      <c r="C700" s="56"/>
      <c r="D700" s="4"/>
      <c r="E700" s="4"/>
      <c r="F700" s="4"/>
      <c r="G700" s="4"/>
      <c r="H700" s="4"/>
      <c r="I700" s="4"/>
    </row>
    <row r="701" spans="1:9" x14ac:dyDescent="0.25">
      <c r="A701" s="4"/>
      <c r="B701" s="4"/>
      <c r="C701" s="56"/>
      <c r="D701" s="4"/>
      <c r="E701" s="4"/>
      <c r="F701" s="4"/>
      <c r="G701" s="4"/>
      <c r="H701" s="4"/>
      <c r="I701" s="4"/>
    </row>
    <row r="702" spans="1:9" x14ac:dyDescent="0.25">
      <c r="A702" s="4"/>
      <c r="B702" s="4"/>
      <c r="C702" s="56"/>
      <c r="D702" s="4"/>
      <c r="E702" s="4"/>
      <c r="F702" s="4"/>
      <c r="G702" s="4"/>
      <c r="H702" s="4"/>
      <c r="I702" s="4"/>
    </row>
    <row r="703" spans="1:9" x14ac:dyDescent="0.25">
      <c r="A703" s="4"/>
      <c r="B703" s="4"/>
      <c r="C703" s="56"/>
      <c r="D703" s="4"/>
      <c r="E703" s="4"/>
      <c r="F703" s="4"/>
      <c r="G703" s="4"/>
      <c r="H703" s="4"/>
      <c r="I703" s="4"/>
    </row>
    <row r="704" spans="1:9" x14ac:dyDescent="0.25">
      <c r="A704" s="4"/>
      <c r="B704" s="4"/>
      <c r="C704" s="56"/>
      <c r="D704" s="4"/>
      <c r="E704" s="4"/>
      <c r="F704" s="4"/>
      <c r="G704" s="4"/>
      <c r="H704" s="4"/>
      <c r="I704" s="4"/>
    </row>
    <row r="705" spans="1:9" x14ac:dyDescent="0.25">
      <c r="A705" s="4"/>
      <c r="B705" s="4"/>
      <c r="C705" s="56"/>
      <c r="D705" s="4"/>
      <c r="E705" s="4"/>
      <c r="F705" s="4"/>
      <c r="G705" s="4"/>
      <c r="H705" s="4"/>
      <c r="I705" s="4"/>
    </row>
    <row r="706" spans="1:9" x14ac:dyDescent="0.25">
      <c r="A706" s="4"/>
      <c r="B706" s="4"/>
      <c r="C706" s="56"/>
      <c r="D706" s="4"/>
      <c r="E706" s="4"/>
      <c r="F706" s="4"/>
      <c r="G706" s="4"/>
      <c r="H706" s="4"/>
      <c r="I706" s="4"/>
    </row>
    <row r="707" spans="1:9" x14ac:dyDescent="0.25">
      <c r="A707" s="4"/>
      <c r="B707" s="4"/>
      <c r="C707" s="56"/>
      <c r="D707" s="4"/>
      <c r="E707" s="4"/>
      <c r="F707" s="4"/>
      <c r="G707" s="4"/>
      <c r="H707" s="4"/>
      <c r="I707" s="4"/>
    </row>
    <row r="708" spans="1:9" x14ac:dyDescent="0.25">
      <c r="A708" s="4"/>
      <c r="B708" s="4"/>
      <c r="C708" s="56"/>
      <c r="D708" s="4"/>
      <c r="E708" s="4"/>
      <c r="F708" s="4"/>
      <c r="G708" s="4"/>
      <c r="H708" s="4"/>
      <c r="I708" s="4"/>
    </row>
    <row r="709" spans="1:9" x14ac:dyDescent="0.25">
      <c r="A709" s="4"/>
      <c r="B709" s="4"/>
      <c r="C709" s="56"/>
      <c r="D709" s="4"/>
      <c r="E709" s="4"/>
      <c r="F709" s="4"/>
      <c r="G709" s="4"/>
      <c r="H709" s="4"/>
      <c r="I709" s="4"/>
    </row>
    <row r="710" spans="1:9" x14ac:dyDescent="0.25">
      <c r="A710" s="4"/>
      <c r="B710" s="4"/>
      <c r="C710" s="56"/>
      <c r="D710" s="4"/>
      <c r="E710" s="4"/>
      <c r="F710" s="4"/>
      <c r="G710" s="4"/>
      <c r="H710" s="4"/>
      <c r="I710" s="4"/>
    </row>
    <row r="711" spans="1:9" x14ac:dyDescent="0.25">
      <c r="A711" s="4"/>
      <c r="B711" s="4"/>
      <c r="C711" s="56"/>
      <c r="D711" s="4"/>
      <c r="E711" s="4"/>
      <c r="F711" s="4"/>
      <c r="G711" s="4"/>
      <c r="H711" s="4"/>
      <c r="I711" s="4"/>
    </row>
    <row r="712" spans="1:9" x14ac:dyDescent="0.25">
      <c r="A712" s="4"/>
      <c r="B712" s="4"/>
      <c r="C712" s="56"/>
      <c r="D712" s="4"/>
      <c r="E712" s="4"/>
      <c r="F712" s="4"/>
      <c r="G712" s="4"/>
      <c r="H712" s="4"/>
      <c r="I712" s="4"/>
    </row>
    <row r="713" spans="1:9" x14ac:dyDescent="0.25">
      <c r="A713" s="4"/>
      <c r="B713" s="4"/>
      <c r="C713" s="56"/>
      <c r="D713" s="4"/>
      <c r="E713" s="4"/>
      <c r="F713" s="4"/>
      <c r="G713" s="4"/>
      <c r="H713" s="4"/>
      <c r="I713" s="4"/>
    </row>
    <row r="714" spans="1:9" x14ac:dyDescent="0.25">
      <c r="A714" s="4"/>
      <c r="B714" s="4"/>
      <c r="C714" s="56"/>
      <c r="D714" s="4"/>
      <c r="E714" s="4"/>
      <c r="F714" s="4"/>
      <c r="G714" s="4"/>
      <c r="H714" s="4"/>
      <c r="I714" s="4"/>
    </row>
    <row r="715" spans="1:9" x14ac:dyDescent="0.25">
      <c r="A715" s="4"/>
      <c r="B715" s="4"/>
      <c r="C715" s="56"/>
      <c r="D715" s="4"/>
      <c r="E715" s="4"/>
      <c r="F715" s="4"/>
      <c r="G715" s="4"/>
      <c r="H715" s="4"/>
      <c r="I715" s="4"/>
    </row>
    <row r="716" spans="1:9" x14ac:dyDescent="0.25">
      <c r="A716" s="4"/>
      <c r="B716" s="4"/>
      <c r="C716" s="56"/>
      <c r="D716" s="4"/>
      <c r="E716" s="4"/>
      <c r="F716" s="4"/>
      <c r="G716" s="4"/>
      <c r="H716" s="4"/>
      <c r="I716" s="4"/>
    </row>
    <row r="717" spans="1:9" x14ac:dyDescent="0.25">
      <c r="A717" s="4"/>
      <c r="B717" s="4"/>
      <c r="C717" s="56"/>
      <c r="D717" s="4"/>
      <c r="E717" s="4"/>
      <c r="F717" s="4"/>
      <c r="G717" s="4"/>
      <c r="H717" s="4"/>
      <c r="I717" s="4"/>
    </row>
    <row r="718" spans="1:9" x14ac:dyDescent="0.25">
      <c r="A718" s="4"/>
      <c r="B718" s="4"/>
      <c r="C718" s="56"/>
      <c r="D718" s="4"/>
      <c r="E718" s="4"/>
      <c r="F718" s="4"/>
      <c r="G718" s="4"/>
      <c r="H718" s="4"/>
      <c r="I718" s="4"/>
    </row>
    <row r="719" spans="1:9" x14ac:dyDescent="0.25">
      <c r="A719" s="4"/>
      <c r="B719" s="4"/>
      <c r="C719" s="56"/>
      <c r="D719" s="4"/>
      <c r="E719" s="4"/>
      <c r="F719" s="4"/>
      <c r="G719" s="4"/>
      <c r="H719" s="4"/>
      <c r="I719" s="4"/>
    </row>
    <row r="720" spans="1:9" x14ac:dyDescent="0.25">
      <c r="A720" s="4"/>
      <c r="B720" s="4"/>
      <c r="C720" s="56"/>
      <c r="D720" s="4"/>
      <c r="E720" s="4"/>
      <c r="F720" s="4"/>
      <c r="G720" s="4"/>
      <c r="H720" s="4"/>
      <c r="I720" s="4"/>
    </row>
    <row r="721" spans="1:9" x14ac:dyDescent="0.25">
      <c r="A721" s="4"/>
      <c r="B721" s="4"/>
      <c r="C721" s="56"/>
      <c r="D721" s="4"/>
      <c r="E721" s="4"/>
      <c r="F721" s="4"/>
      <c r="G721" s="4"/>
      <c r="H721" s="4"/>
      <c r="I721" s="4"/>
    </row>
    <row r="722" spans="1:9" x14ac:dyDescent="0.25">
      <c r="A722" s="4"/>
      <c r="B722" s="4"/>
      <c r="C722" s="56"/>
      <c r="D722" s="4"/>
      <c r="E722" s="4"/>
      <c r="F722" s="4"/>
      <c r="G722" s="4"/>
      <c r="H722" s="4"/>
      <c r="I722" s="4"/>
    </row>
    <row r="723" spans="1:9" x14ac:dyDescent="0.25">
      <c r="A723" s="4"/>
      <c r="B723" s="4"/>
      <c r="C723" s="56"/>
      <c r="D723" s="4"/>
      <c r="E723" s="4"/>
      <c r="F723" s="4"/>
      <c r="G723" s="4"/>
      <c r="H723" s="4"/>
      <c r="I723" s="4"/>
    </row>
    <row r="724" spans="1:9" x14ac:dyDescent="0.25">
      <c r="A724" s="4"/>
      <c r="B724" s="4"/>
      <c r="C724" s="56"/>
      <c r="D724" s="4"/>
      <c r="E724" s="4"/>
      <c r="F724" s="4"/>
      <c r="G724" s="4"/>
      <c r="H724" s="4"/>
      <c r="I724" s="4"/>
    </row>
    <row r="725" spans="1:9" x14ac:dyDescent="0.25">
      <c r="A725" s="4"/>
      <c r="B725" s="4"/>
      <c r="C725" s="56"/>
      <c r="D725" s="4"/>
      <c r="E725" s="4"/>
      <c r="F725" s="4"/>
      <c r="G725" s="4"/>
      <c r="H725" s="4"/>
      <c r="I725" s="4"/>
    </row>
    <row r="726" spans="1:9" x14ac:dyDescent="0.25">
      <c r="A726" s="4"/>
      <c r="B726" s="4"/>
      <c r="C726" s="56"/>
      <c r="D726" s="4"/>
      <c r="E726" s="4"/>
      <c r="F726" s="4"/>
      <c r="G726" s="4"/>
      <c r="H726" s="4"/>
      <c r="I726" s="4"/>
    </row>
    <row r="727" spans="1:9" x14ac:dyDescent="0.25">
      <c r="A727" s="4"/>
      <c r="B727" s="4"/>
      <c r="C727" s="56"/>
      <c r="D727" s="4"/>
      <c r="E727" s="4"/>
      <c r="F727" s="4"/>
      <c r="G727" s="4"/>
      <c r="H727" s="4"/>
      <c r="I727" s="4"/>
    </row>
    <row r="728" spans="1:9" x14ac:dyDescent="0.25">
      <c r="A728" s="4"/>
      <c r="B728" s="4"/>
      <c r="C728" s="56"/>
      <c r="D728" s="4"/>
      <c r="E728" s="4"/>
      <c r="F728" s="4"/>
      <c r="G728" s="4"/>
      <c r="H728" s="4"/>
      <c r="I728" s="4"/>
    </row>
    <row r="729" spans="1:9" x14ac:dyDescent="0.25">
      <c r="A729" s="4"/>
      <c r="B729" s="4"/>
      <c r="C729" s="56"/>
      <c r="D729" s="4"/>
      <c r="E729" s="4"/>
      <c r="F729" s="4"/>
      <c r="G729" s="4"/>
      <c r="H729" s="4"/>
      <c r="I729" s="4"/>
    </row>
    <row r="730" spans="1:9" x14ac:dyDescent="0.25">
      <c r="A730" s="4"/>
      <c r="B730" s="4"/>
      <c r="C730" s="56"/>
      <c r="D730" s="4"/>
      <c r="E730" s="4"/>
      <c r="F730" s="4"/>
      <c r="G730" s="4"/>
      <c r="H730" s="4"/>
      <c r="I730" s="4"/>
    </row>
    <row r="731" spans="1:9" x14ac:dyDescent="0.25">
      <c r="A731" s="4"/>
      <c r="B731" s="4"/>
      <c r="C731" s="56"/>
      <c r="D731" s="4"/>
      <c r="E731" s="4"/>
      <c r="F731" s="4"/>
      <c r="G731" s="4"/>
      <c r="H731" s="4"/>
      <c r="I731" s="4"/>
    </row>
    <row r="732" spans="1:9" x14ac:dyDescent="0.25">
      <c r="A732" s="4"/>
      <c r="B732" s="4"/>
      <c r="C732" s="56"/>
      <c r="D732" s="4"/>
      <c r="E732" s="4"/>
      <c r="F732" s="4"/>
      <c r="G732" s="4"/>
      <c r="H732" s="4"/>
      <c r="I732" s="4"/>
    </row>
    <row r="733" spans="1:9" x14ac:dyDescent="0.25">
      <c r="A733" s="4"/>
      <c r="B733" s="4"/>
      <c r="C733" s="56"/>
      <c r="D733" s="4"/>
      <c r="E733" s="4"/>
      <c r="F733" s="4"/>
      <c r="G733" s="4"/>
      <c r="H733" s="4"/>
      <c r="I733" s="4"/>
    </row>
    <row r="734" spans="1:9" x14ac:dyDescent="0.25">
      <c r="A734" s="4"/>
      <c r="B734" s="4"/>
      <c r="C734" s="56"/>
      <c r="D734" s="4"/>
      <c r="E734" s="4"/>
      <c r="F734" s="4"/>
      <c r="G734" s="4"/>
      <c r="H734" s="4"/>
      <c r="I734" s="4"/>
    </row>
    <row r="735" spans="1:9" x14ac:dyDescent="0.25">
      <c r="A735" s="4"/>
      <c r="B735" s="4"/>
      <c r="C735" s="56"/>
      <c r="D735" s="4"/>
      <c r="E735" s="4"/>
      <c r="F735" s="4"/>
      <c r="G735" s="4"/>
      <c r="H735" s="4"/>
      <c r="I735" s="4"/>
    </row>
    <row r="736" spans="1:9" x14ac:dyDescent="0.25">
      <c r="A736" s="4"/>
      <c r="B736" s="4"/>
      <c r="C736" s="56"/>
      <c r="D736" s="4"/>
      <c r="E736" s="4"/>
      <c r="F736" s="4"/>
      <c r="G736" s="4"/>
      <c r="H736" s="4"/>
      <c r="I736" s="4"/>
    </row>
    <row r="737" spans="1:9" x14ac:dyDescent="0.25">
      <c r="A737" s="4"/>
      <c r="B737" s="4"/>
      <c r="C737" s="56"/>
      <c r="D737" s="4"/>
      <c r="E737" s="4"/>
      <c r="F737" s="4"/>
      <c r="G737" s="4"/>
      <c r="H737" s="4"/>
      <c r="I737" s="4"/>
    </row>
    <row r="738" spans="1:9" x14ac:dyDescent="0.25">
      <c r="A738" s="4"/>
      <c r="B738" s="4"/>
      <c r="C738" s="56"/>
      <c r="D738" s="4"/>
      <c r="E738" s="4"/>
      <c r="F738" s="4"/>
      <c r="G738" s="4"/>
      <c r="H738" s="4"/>
      <c r="I738" s="4"/>
    </row>
    <row r="739" spans="1:9" x14ac:dyDescent="0.25">
      <c r="A739" s="4"/>
      <c r="B739" s="4"/>
      <c r="C739" s="56"/>
      <c r="D739" s="4"/>
      <c r="E739" s="4"/>
      <c r="F739" s="4"/>
      <c r="G739" s="4"/>
      <c r="H739" s="4"/>
      <c r="I739" s="4"/>
    </row>
    <row r="740" spans="1:9" x14ac:dyDescent="0.25">
      <c r="A740" s="4"/>
      <c r="B740" s="4"/>
      <c r="C740" s="56"/>
      <c r="D740" s="4"/>
      <c r="E740" s="4"/>
      <c r="F740" s="4"/>
      <c r="G740" s="4"/>
      <c r="H740" s="4"/>
      <c r="I740" s="4"/>
    </row>
    <row r="741" spans="1:9" x14ac:dyDescent="0.25">
      <c r="A741" s="4"/>
      <c r="B741" s="4"/>
      <c r="C741" s="56"/>
      <c r="D741" s="4"/>
      <c r="E741" s="4"/>
      <c r="F741" s="4"/>
      <c r="G741" s="4"/>
      <c r="H741" s="4"/>
      <c r="I741" s="4"/>
    </row>
    <row r="742" spans="1:9" x14ac:dyDescent="0.25">
      <c r="A742" s="4"/>
      <c r="B742" s="4"/>
      <c r="C742" s="56"/>
      <c r="D742" s="4"/>
      <c r="E742" s="4"/>
      <c r="F742" s="4"/>
      <c r="G742" s="4"/>
      <c r="H742" s="4"/>
      <c r="I742" s="4"/>
    </row>
    <row r="743" spans="1:9" x14ac:dyDescent="0.25">
      <c r="A743" s="4"/>
      <c r="B743" s="4"/>
      <c r="C743" s="56"/>
      <c r="D743" s="4"/>
      <c r="E743" s="4"/>
      <c r="F743" s="4"/>
      <c r="G743" s="4"/>
      <c r="H743" s="4"/>
      <c r="I743" s="4"/>
    </row>
    <row r="744" spans="1:9" x14ac:dyDescent="0.25">
      <c r="A744" s="4"/>
      <c r="B744" s="4"/>
      <c r="C744" s="56"/>
      <c r="D744" s="4"/>
      <c r="E744" s="4"/>
      <c r="F744" s="4"/>
      <c r="G744" s="4"/>
      <c r="H744" s="4"/>
      <c r="I744" s="4"/>
    </row>
    <row r="745" spans="1:9" x14ac:dyDescent="0.25">
      <c r="A745" s="4"/>
      <c r="B745" s="4"/>
      <c r="C745" s="56"/>
      <c r="D745" s="4"/>
      <c r="E745" s="4"/>
      <c r="F745" s="4"/>
      <c r="G745" s="4"/>
      <c r="H745" s="4"/>
      <c r="I745" s="4"/>
    </row>
    <row r="746" spans="1:9" x14ac:dyDescent="0.25">
      <c r="A746" s="4"/>
      <c r="B746" s="4"/>
      <c r="C746" s="56"/>
      <c r="D746" s="4"/>
      <c r="E746" s="4"/>
      <c r="F746" s="4"/>
      <c r="G746" s="4"/>
      <c r="H746" s="4"/>
      <c r="I746" s="4"/>
    </row>
    <row r="747" spans="1:9" x14ac:dyDescent="0.25">
      <c r="A747" s="4"/>
      <c r="B747" s="4"/>
      <c r="C747" s="56"/>
      <c r="D747" s="4"/>
      <c r="E747" s="4"/>
      <c r="F747" s="4"/>
      <c r="G747" s="4"/>
      <c r="H747" s="4"/>
      <c r="I747" s="4"/>
    </row>
    <row r="748" spans="1:9" x14ac:dyDescent="0.25">
      <c r="A748" s="4"/>
      <c r="B748" s="4"/>
      <c r="C748" s="56"/>
      <c r="D748" s="4"/>
      <c r="E748" s="4"/>
      <c r="F748" s="4"/>
      <c r="G748" s="4"/>
      <c r="H748" s="4"/>
      <c r="I748" s="4"/>
    </row>
    <row r="749" spans="1:9" x14ac:dyDescent="0.25">
      <c r="A749" s="4"/>
      <c r="B749" s="4"/>
      <c r="C749" s="56"/>
      <c r="D749" s="4"/>
      <c r="E749" s="4"/>
      <c r="F749" s="4"/>
      <c r="G749" s="4"/>
      <c r="H749" s="4"/>
      <c r="I749" s="4"/>
    </row>
    <row r="750" spans="1:9" x14ac:dyDescent="0.25">
      <c r="A750" s="4"/>
      <c r="B750" s="4"/>
      <c r="C750" s="56"/>
      <c r="D750" s="4"/>
      <c r="E750" s="4"/>
      <c r="F750" s="4"/>
      <c r="G750" s="4"/>
      <c r="H750" s="4"/>
      <c r="I750" s="4"/>
    </row>
    <row r="751" spans="1:9" x14ac:dyDescent="0.25">
      <c r="A751" s="4"/>
      <c r="B751" s="4"/>
      <c r="C751" s="56"/>
      <c r="D751" s="4"/>
      <c r="E751" s="4"/>
      <c r="F751" s="4"/>
      <c r="G751" s="4"/>
      <c r="H751" s="4"/>
      <c r="I751" s="4"/>
    </row>
    <row r="752" spans="1:9" x14ac:dyDescent="0.25">
      <c r="A752" s="4"/>
      <c r="B752" s="4"/>
      <c r="C752" s="56"/>
      <c r="D752" s="4"/>
      <c r="E752" s="4"/>
      <c r="F752" s="4"/>
      <c r="G752" s="4"/>
      <c r="H752" s="4"/>
      <c r="I752" s="4"/>
    </row>
    <row r="753" spans="1:9" x14ac:dyDescent="0.25">
      <c r="A753" s="4"/>
      <c r="B753" s="4"/>
      <c r="C753" s="56"/>
      <c r="D753" s="4"/>
      <c r="E753" s="4"/>
      <c r="F753" s="4"/>
      <c r="G753" s="4"/>
      <c r="H753" s="4"/>
      <c r="I753" s="4"/>
    </row>
    <row r="754" spans="1:9" x14ac:dyDescent="0.25">
      <c r="A754" s="4"/>
      <c r="B754" s="4"/>
      <c r="C754" s="56"/>
      <c r="D754" s="4"/>
      <c r="E754" s="4"/>
      <c r="F754" s="4"/>
      <c r="G754" s="4"/>
      <c r="H754" s="4"/>
      <c r="I754" s="4"/>
    </row>
    <row r="755" spans="1:9" x14ac:dyDescent="0.25">
      <c r="A755" s="4"/>
      <c r="B755" s="4"/>
      <c r="C755" s="56"/>
      <c r="D755" s="4"/>
      <c r="E755" s="4"/>
      <c r="F755" s="4"/>
      <c r="G755" s="4"/>
      <c r="H755" s="4"/>
      <c r="I755" s="4"/>
    </row>
    <row r="756" spans="1:9" x14ac:dyDescent="0.25">
      <c r="A756" s="4"/>
      <c r="B756" s="4"/>
      <c r="C756" s="56"/>
      <c r="D756" s="4"/>
      <c r="E756" s="4"/>
      <c r="F756" s="4"/>
      <c r="G756" s="4"/>
      <c r="H756" s="4"/>
      <c r="I756" s="4"/>
    </row>
    <row r="757" spans="1:9" x14ac:dyDescent="0.25">
      <c r="A757" s="4"/>
      <c r="B757" s="4"/>
      <c r="C757" s="56"/>
      <c r="D757" s="4"/>
      <c r="E757" s="4"/>
      <c r="F757" s="4"/>
      <c r="G757" s="4"/>
      <c r="H757" s="4"/>
      <c r="I757" s="4"/>
    </row>
    <row r="758" spans="1:9" x14ac:dyDescent="0.25">
      <c r="A758" s="4"/>
      <c r="B758" s="4"/>
      <c r="C758" s="56"/>
      <c r="D758" s="4"/>
      <c r="E758" s="4"/>
      <c r="F758" s="4"/>
      <c r="G758" s="4"/>
      <c r="H758" s="4"/>
      <c r="I758" s="4"/>
    </row>
    <row r="759" spans="1:9" x14ac:dyDescent="0.25">
      <c r="A759" s="4"/>
      <c r="B759" s="4"/>
      <c r="C759" s="56"/>
      <c r="D759" s="4"/>
      <c r="E759" s="4"/>
      <c r="F759" s="4"/>
      <c r="G759" s="4"/>
      <c r="H759" s="4"/>
      <c r="I759" s="4"/>
    </row>
    <row r="760" spans="1:9" x14ac:dyDescent="0.25">
      <c r="A760" s="4"/>
      <c r="B760" s="4"/>
      <c r="C760" s="56"/>
      <c r="D760" s="4"/>
      <c r="E760" s="4"/>
      <c r="F760" s="4"/>
      <c r="G760" s="4"/>
      <c r="H760" s="4"/>
      <c r="I760" s="4"/>
    </row>
    <row r="761" spans="1:9" x14ac:dyDescent="0.25">
      <c r="A761" s="4"/>
      <c r="B761" s="4"/>
      <c r="C761" s="56"/>
      <c r="D761" s="4"/>
      <c r="E761" s="4"/>
      <c r="F761" s="4"/>
      <c r="G761" s="4"/>
      <c r="H761" s="4"/>
      <c r="I761" s="4"/>
    </row>
    <row r="762" spans="1:9" x14ac:dyDescent="0.25">
      <c r="A762" s="4"/>
      <c r="B762" s="4"/>
      <c r="C762" s="56"/>
      <c r="D762" s="4"/>
      <c r="E762" s="4"/>
      <c r="F762" s="4"/>
      <c r="G762" s="4"/>
      <c r="H762" s="4"/>
      <c r="I762" s="4"/>
    </row>
    <row r="763" spans="1:9" x14ac:dyDescent="0.25">
      <c r="A763" s="4"/>
      <c r="B763" s="4"/>
      <c r="C763" s="56"/>
      <c r="D763" s="4"/>
      <c r="E763" s="4"/>
      <c r="F763" s="4"/>
      <c r="G763" s="4"/>
      <c r="H763" s="4"/>
      <c r="I763" s="4"/>
    </row>
    <row r="764" spans="1:9" x14ac:dyDescent="0.25">
      <c r="A764" s="4"/>
      <c r="B764" s="4"/>
      <c r="C764" s="56"/>
      <c r="D764" s="4"/>
      <c r="E764" s="4"/>
      <c r="F764" s="4"/>
      <c r="G764" s="4"/>
      <c r="H764" s="4"/>
      <c r="I764" s="4"/>
    </row>
    <row r="765" spans="1:9" x14ac:dyDescent="0.25">
      <c r="A765" s="4"/>
      <c r="B765" s="4"/>
      <c r="C765" s="56"/>
      <c r="D765" s="4"/>
      <c r="E765" s="4"/>
      <c r="F765" s="4"/>
      <c r="G765" s="4"/>
      <c r="H765" s="4"/>
      <c r="I765" s="4"/>
    </row>
    <row r="766" spans="1:9" x14ac:dyDescent="0.25">
      <c r="A766" s="4"/>
      <c r="B766" s="4"/>
      <c r="C766" s="56"/>
      <c r="D766" s="4"/>
      <c r="E766" s="4"/>
      <c r="F766" s="4"/>
      <c r="G766" s="4"/>
      <c r="H766" s="4"/>
      <c r="I766" s="4"/>
    </row>
    <row r="767" spans="1:9" x14ac:dyDescent="0.25">
      <c r="A767" s="4"/>
      <c r="B767" s="4"/>
      <c r="C767" s="56"/>
      <c r="D767" s="4"/>
      <c r="E767" s="4"/>
      <c r="F767" s="4"/>
      <c r="G767" s="4"/>
      <c r="H767" s="4"/>
      <c r="I767" s="4"/>
    </row>
    <row r="768" spans="1:9" x14ac:dyDescent="0.25">
      <c r="A768" s="4"/>
      <c r="B768" s="4"/>
      <c r="C768" s="56"/>
      <c r="D768" s="4"/>
      <c r="E768" s="4"/>
      <c r="F768" s="4"/>
      <c r="G768" s="4"/>
      <c r="H768" s="4"/>
      <c r="I768" s="4"/>
    </row>
    <row r="769" spans="1:9" x14ac:dyDescent="0.25">
      <c r="A769" s="4"/>
      <c r="B769" s="4"/>
      <c r="C769" s="56"/>
      <c r="D769" s="4"/>
      <c r="E769" s="4"/>
      <c r="F769" s="4"/>
      <c r="G769" s="4"/>
      <c r="H769" s="4"/>
      <c r="I769" s="4"/>
    </row>
    <row r="770" spans="1:9" x14ac:dyDescent="0.25">
      <c r="A770" s="4"/>
      <c r="B770" s="4"/>
      <c r="C770" s="56"/>
      <c r="D770" s="4"/>
      <c r="E770" s="4"/>
      <c r="F770" s="4"/>
      <c r="G770" s="4"/>
      <c r="H770" s="4"/>
      <c r="I770" s="4"/>
    </row>
    <row r="771" spans="1:9" x14ac:dyDescent="0.25">
      <c r="A771" s="4"/>
      <c r="B771" s="4"/>
      <c r="C771" s="56"/>
      <c r="D771" s="4"/>
      <c r="E771" s="4"/>
      <c r="F771" s="4"/>
      <c r="G771" s="4"/>
      <c r="H771" s="4"/>
      <c r="I771" s="4"/>
    </row>
    <row r="772" spans="1:9" x14ac:dyDescent="0.25">
      <c r="A772" s="4"/>
      <c r="B772" s="4"/>
      <c r="C772" s="56"/>
      <c r="D772" s="4"/>
      <c r="E772" s="4"/>
      <c r="F772" s="4"/>
      <c r="G772" s="4"/>
      <c r="H772" s="4"/>
      <c r="I772" s="4"/>
    </row>
    <row r="773" spans="1:9" x14ac:dyDescent="0.25">
      <c r="A773" s="4"/>
      <c r="B773" s="4"/>
      <c r="C773" s="56"/>
      <c r="D773" s="4"/>
      <c r="E773" s="4"/>
      <c r="F773" s="4"/>
      <c r="G773" s="4"/>
      <c r="H773" s="4"/>
      <c r="I773" s="4"/>
    </row>
    <row r="774" spans="1:9" x14ac:dyDescent="0.25">
      <c r="A774" s="4"/>
      <c r="B774" s="4"/>
      <c r="C774" s="56"/>
      <c r="D774" s="4"/>
      <c r="E774" s="4"/>
      <c r="F774" s="4"/>
      <c r="G774" s="4"/>
      <c r="H774" s="4"/>
      <c r="I774" s="4"/>
    </row>
    <row r="775" spans="1:9" x14ac:dyDescent="0.25">
      <c r="A775" s="4"/>
      <c r="B775" s="4"/>
      <c r="C775" s="56"/>
      <c r="D775" s="4"/>
      <c r="E775" s="4"/>
      <c r="F775" s="4"/>
      <c r="G775" s="4"/>
      <c r="H775" s="4"/>
      <c r="I775" s="4"/>
    </row>
    <row r="776" spans="1:9" x14ac:dyDescent="0.25">
      <c r="A776" s="4"/>
      <c r="B776" s="4"/>
      <c r="C776" s="56"/>
      <c r="D776" s="4"/>
      <c r="E776" s="4"/>
      <c r="F776" s="4"/>
      <c r="G776" s="4"/>
      <c r="H776" s="4"/>
      <c r="I776" s="4"/>
    </row>
    <row r="777" spans="1:9" x14ac:dyDescent="0.25">
      <c r="A777" s="4"/>
      <c r="B777" s="4"/>
      <c r="C777" s="56"/>
      <c r="D777" s="4"/>
      <c r="E777" s="4"/>
      <c r="F777" s="4"/>
      <c r="G777" s="4"/>
      <c r="H777" s="4"/>
      <c r="I777" s="4"/>
    </row>
    <row r="778" spans="1:9" x14ac:dyDescent="0.25">
      <c r="A778" s="4"/>
      <c r="B778" s="4"/>
      <c r="C778" s="56"/>
      <c r="D778" s="4"/>
      <c r="E778" s="4"/>
      <c r="F778" s="4"/>
      <c r="G778" s="4"/>
      <c r="H778" s="4"/>
      <c r="I778" s="4"/>
    </row>
    <row r="779" spans="1:9" x14ac:dyDescent="0.25">
      <c r="A779" s="4"/>
      <c r="B779" s="4"/>
      <c r="C779" s="56"/>
      <c r="D779" s="4"/>
      <c r="E779" s="4"/>
      <c r="F779" s="4"/>
      <c r="G779" s="4"/>
      <c r="H779" s="4"/>
      <c r="I779" s="4"/>
    </row>
    <row r="780" spans="1:9" x14ac:dyDescent="0.25">
      <c r="A780" s="4"/>
      <c r="B780" s="4"/>
      <c r="C780" s="56"/>
      <c r="D780" s="4"/>
      <c r="E780" s="4"/>
      <c r="F780" s="4"/>
      <c r="G780" s="4"/>
      <c r="H780" s="4"/>
      <c r="I780" s="4"/>
    </row>
    <row r="781" spans="1:9" x14ac:dyDescent="0.25">
      <c r="A781" s="4"/>
      <c r="B781" s="4"/>
      <c r="C781" s="56"/>
      <c r="D781" s="4"/>
      <c r="E781" s="4"/>
      <c r="F781" s="4"/>
      <c r="G781" s="4"/>
      <c r="H781" s="4"/>
      <c r="I781" s="4"/>
    </row>
    <row r="782" spans="1:9" x14ac:dyDescent="0.25">
      <c r="A782" s="4"/>
      <c r="B782" s="4"/>
      <c r="C782" s="56"/>
      <c r="D782" s="4"/>
      <c r="E782" s="4"/>
      <c r="F782" s="4"/>
      <c r="G782" s="4"/>
      <c r="H782" s="4"/>
      <c r="I782" s="4"/>
    </row>
    <row r="783" spans="1:9" x14ac:dyDescent="0.25">
      <c r="A783" s="4"/>
      <c r="B783" s="4"/>
      <c r="C783" s="56"/>
      <c r="D783" s="4"/>
      <c r="E783" s="4"/>
      <c r="F783" s="4"/>
      <c r="G783" s="4"/>
      <c r="H783" s="4"/>
      <c r="I783" s="4"/>
    </row>
    <row r="784" spans="1:9" x14ac:dyDescent="0.25">
      <c r="A784" s="4"/>
      <c r="B784" s="4"/>
      <c r="C784" s="56"/>
      <c r="D784" s="4"/>
      <c r="E784" s="4"/>
      <c r="F784" s="4"/>
      <c r="G784" s="4"/>
      <c r="H784" s="4"/>
      <c r="I784" s="4"/>
    </row>
    <row r="785" spans="1:9" x14ac:dyDescent="0.25">
      <c r="A785" s="4"/>
      <c r="B785" s="4"/>
      <c r="C785" s="56"/>
      <c r="D785" s="4"/>
      <c r="E785" s="4"/>
      <c r="F785" s="4"/>
      <c r="G785" s="4"/>
      <c r="H785" s="4"/>
      <c r="I785" s="4"/>
    </row>
    <row r="786" spans="1:9" x14ac:dyDescent="0.25">
      <c r="A786" s="4"/>
      <c r="B786" s="4"/>
      <c r="C786" s="56"/>
      <c r="D786" s="4"/>
      <c r="E786" s="4"/>
      <c r="F786" s="4"/>
      <c r="G786" s="4"/>
      <c r="H786" s="4"/>
      <c r="I786" s="4"/>
    </row>
    <row r="787" spans="1:9" x14ac:dyDescent="0.25">
      <c r="A787" s="4"/>
      <c r="B787" s="4"/>
      <c r="C787" s="56"/>
      <c r="D787" s="4"/>
      <c r="E787" s="4"/>
      <c r="F787" s="4"/>
      <c r="G787" s="4"/>
      <c r="H787" s="4"/>
      <c r="I787" s="4"/>
    </row>
    <row r="788" spans="1:9" x14ac:dyDescent="0.25">
      <c r="A788" s="4"/>
      <c r="B788" s="4"/>
      <c r="C788" s="56"/>
      <c r="D788" s="4"/>
      <c r="E788" s="4"/>
      <c r="F788" s="4"/>
      <c r="G788" s="4"/>
      <c r="H788" s="4"/>
      <c r="I788" s="4"/>
    </row>
    <row r="789" spans="1:9" x14ac:dyDescent="0.25">
      <c r="A789" s="4"/>
      <c r="B789" s="4"/>
      <c r="C789" s="56"/>
      <c r="D789" s="4"/>
      <c r="E789" s="4"/>
      <c r="F789" s="4"/>
      <c r="G789" s="4"/>
      <c r="H789" s="4"/>
      <c r="I789" s="4"/>
    </row>
    <row r="790" spans="1:9" x14ac:dyDescent="0.25">
      <c r="A790" s="4"/>
      <c r="B790" s="4"/>
      <c r="C790" s="56"/>
      <c r="D790" s="4"/>
      <c r="E790" s="4"/>
      <c r="F790" s="4"/>
      <c r="G790" s="4"/>
      <c r="H790" s="4"/>
      <c r="I790" s="4"/>
    </row>
    <row r="791" spans="1:9" x14ac:dyDescent="0.25">
      <c r="A791" s="4"/>
      <c r="B791" s="4"/>
      <c r="C791" s="56"/>
      <c r="D791" s="4"/>
      <c r="E791" s="4"/>
      <c r="F791" s="4"/>
      <c r="G791" s="4"/>
      <c r="H791" s="4"/>
      <c r="I791" s="4"/>
    </row>
    <row r="792" spans="1:9" x14ac:dyDescent="0.25">
      <c r="A792" s="4"/>
      <c r="B792" s="4"/>
      <c r="C792" s="56"/>
      <c r="D792" s="4"/>
      <c r="E792" s="4"/>
      <c r="F792" s="4"/>
      <c r="G792" s="4"/>
      <c r="H792" s="4"/>
      <c r="I792" s="4"/>
    </row>
    <row r="793" spans="1:9" x14ac:dyDescent="0.25">
      <c r="A793" s="4"/>
      <c r="B793" s="4"/>
      <c r="C793" s="56"/>
      <c r="D793" s="4"/>
      <c r="E793" s="4"/>
      <c r="F793" s="4"/>
      <c r="G793" s="4"/>
      <c r="H793" s="4"/>
      <c r="I793" s="4"/>
    </row>
    <row r="794" spans="1:9" x14ac:dyDescent="0.25">
      <c r="A794" s="4"/>
      <c r="B794" s="4"/>
      <c r="C794" s="56"/>
      <c r="D794" s="4"/>
      <c r="E794" s="4"/>
      <c r="F794" s="4"/>
      <c r="G794" s="4"/>
      <c r="H794" s="4"/>
      <c r="I794" s="4"/>
    </row>
    <row r="795" spans="1:9" x14ac:dyDescent="0.25">
      <c r="A795" s="4"/>
      <c r="B795" s="4"/>
      <c r="C795" s="56"/>
      <c r="D795" s="4"/>
      <c r="E795" s="4"/>
      <c r="F795" s="4"/>
      <c r="G795" s="4"/>
      <c r="H795" s="4"/>
      <c r="I795" s="4"/>
    </row>
    <row r="796" spans="1:9" x14ac:dyDescent="0.25">
      <c r="A796" s="4"/>
      <c r="B796" s="4"/>
      <c r="C796" s="56"/>
      <c r="D796" s="4"/>
      <c r="E796" s="4"/>
      <c r="F796" s="4"/>
      <c r="G796" s="4"/>
      <c r="H796" s="4"/>
      <c r="I796" s="4"/>
    </row>
    <row r="797" spans="1:9" x14ac:dyDescent="0.25">
      <c r="A797" s="4"/>
      <c r="B797" s="4"/>
      <c r="C797" s="56"/>
      <c r="D797" s="4"/>
      <c r="E797" s="4"/>
      <c r="F797" s="4"/>
      <c r="G797" s="4"/>
      <c r="H797" s="4"/>
      <c r="I797" s="4"/>
    </row>
    <row r="798" spans="1:9" x14ac:dyDescent="0.25">
      <c r="A798" s="4"/>
      <c r="B798" s="4"/>
      <c r="C798" s="56"/>
      <c r="D798" s="4"/>
      <c r="E798" s="4"/>
      <c r="F798" s="4"/>
      <c r="G798" s="4"/>
      <c r="H798" s="4"/>
      <c r="I798" s="4"/>
    </row>
    <row r="799" spans="1:9" x14ac:dyDescent="0.25">
      <c r="A799" s="4"/>
      <c r="B799" s="4"/>
      <c r="C799" s="56"/>
      <c r="D799" s="4"/>
      <c r="E799" s="4"/>
      <c r="F799" s="4"/>
      <c r="G799" s="4"/>
      <c r="H799" s="4"/>
      <c r="I799" s="4"/>
    </row>
    <row r="800" spans="1:9" x14ac:dyDescent="0.25">
      <c r="A800" s="4"/>
      <c r="B800" s="4"/>
      <c r="C800" s="56"/>
      <c r="D800" s="4"/>
      <c r="E800" s="4"/>
      <c r="F800" s="4"/>
      <c r="G800" s="4"/>
      <c r="H800" s="4"/>
      <c r="I800" s="4"/>
    </row>
    <row r="801" spans="1:9" x14ac:dyDescent="0.25">
      <c r="A801" s="4"/>
      <c r="B801" s="4"/>
      <c r="C801" s="56"/>
      <c r="D801" s="4"/>
      <c r="E801" s="4"/>
      <c r="F801" s="4"/>
      <c r="G801" s="4"/>
      <c r="H801" s="4"/>
      <c r="I801" s="4"/>
    </row>
    <row r="802" spans="1:9" x14ac:dyDescent="0.25">
      <c r="A802" s="4"/>
      <c r="B802" s="4"/>
      <c r="C802" s="56"/>
      <c r="D802" s="4"/>
      <c r="E802" s="4"/>
      <c r="F802" s="4"/>
      <c r="G802" s="4"/>
      <c r="H802" s="4"/>
      <c r="I802" s="4"/>
    </row>
    <row r="803" spans="1:9" x14ac:dyDescent="0.25">
      <c r="A803" s="4"/>
      <c r="B803" s="4"/>
      <c r="C803" s="56"/>
      <c r="D803" s="4"/>
      <c r="E803" s="4"/>
      <c r="F803" s="4"/>
      <c r="G803" s="4"/>
      <c r="H803" s="4"/>
      <c r="I803" s="4"/>
    </row>
    <row r="804" spans="1:9" x14ac:dyDescent="0.25">
      <c r="A804" s="4"/>
      <c r="B804" s="4"/>
      <c r="C804" s="56"/>
      <c r="D804" s="4"/>
      <c r="E804" s="4"/>
      <c r="F804" s="4"/>
      <c r="G804" s="4"/>
      <c r="H804" s="4"/>
      <c r="I804" s="4"/>
    </row>
    <row r="805" spans="1:9" x14ac:dyDescent="0.25">
      <c r="A805" s="4"/>
      <c r="B805" s="4"/>
      <c r="C805" s="56"/>
      <c r="D805" s="4"/>
      <c r="E805" s="4"/>
      <c r="F805" s="4"/>
      <c r="G805" s="4"/>
      <c r="H805" s="4"/>
      <c r="I805" s="4"/>
    </row>
    <row r="806" spans="1:9" x14ac:dyDescent="0.25">
      <c r="A806" s="4"/>
      <c r="B806" s="4"/>
      <c r="C806" s="56"/>
      <c r="D806" s="4"/>
      <c r="E806" s="4"/>
      <c r="F806" s="4"/>
      <c r="G806" s="4"/>
      <c r="H806" s="4"/>
      <c r="I806" s="4"/>
    </row>
    <row r="807" spans="1:9" x14ac:dyDescent="0.25">
      <c r="A807" s="4"/>
      <c r="B807" s="4"/>
      <c r="C807" s="56"/>
      <c r="D807" s="4"/>
      <c r="E807" s="4"/>
      <c r="F807" s="4"/>
      <c r="G807" s="4"/>
      <c r="H807" s="4"/>
      <c r="I807" s="4"/>
    </row>
    <row r="808" spans="1:9" x14ac:dyDescent="0.25">
      <c r="A808" s="4"/>
      <c r="B808" s="4"/>
      <c r="C808" s="56"/>
      <c r="D808" s="4"/>
      <c r="E808" s="4"/>
      <c r="F808" s="4"/>
      <c r="G808" s="4"/>
      <c r="H808" s="4"/>
      <c r="I808" s="4"/>
    </row>
    <row r="809" spans="1:9" x14ac:dyDescent="0.25">
      <c r="A809" s="4"/>
      <c r="B809" s="4"/>
      <c r="C809" s="56"/>
      <c r="D809" s="4"/>
      <c r="E809" s="4"/>
      <c r="F809" s="4"/>
      <c r="G809" s="4"/>
      <c r="H809" s="4"/>
      <c r="I809" s="4"/>
    </row>
    <row r="810" spans="1:9" x14ac:dyDescent="0.25">
      <c r="A810" s="4"/>
      <c r="B810" s="4"/>
      <c r="C810" s="56"/>
      <c r="D810" s="4"/>
      <c r="E810" s="4"/>
      <c r="F810" s="4"/>
      <c r="G810" s="4"/>
      <c r="H810" s="4"/>
      <c r="I810" s="4"/>
    </row>
    <row r="811" spans="1:9" x14ac:dyDescent="0.25">
      <c r="A811" s="4"/>
      <c r="B811" s="4"/>
      <c r="C811" s="56"/>
      <c r="D811" s="4"/>
      <c r="E811" s="4"/>
      <c r="F811" s="4"/>
      <c r="G811" s="4"/>
      <c r="H811" s="4"/>
      <c r="I811" s="4"/>
    </row>
    <row r="812" spans="1:9" x14ac:dyDescent="0.25">
      <c r="A812" s="4"/>
      <c r="B812" s="4"/>
      <c r="C812" s="56"/>
      <c r="D812" s="4"/>
      <c r="E812" s="4"/>
      <c r="F812" s="4"/>
      <c r="G812" s="4"/>
      <c r="H812" s="4"/>
      <c r="I812" s="4"/>
    </row>
    <row r="813" spans="1:9" x14ac:dyDescent="0.25">
      <c r="A813" s="4"/>
      <c r="B813" s="4"/>
      <c r="C813" s="56"/>
      <c r="D813" s="4"/>
      <c r="E813" s="4"/>
      <c r="F813" s="4"/>
      <c r="G813" s="4"/>
      <c r="H813" s="4"/>
      <c r="I813" s="4"/>
    </row>
    <row r="814" spans="1:9" x14ac:dyDescent="0.25">
      <c r="A814" s="4"/>
      <c r="B814" s="4"/>
      <c r="C814" s="56"/>
      <c r="D814" s="4"/>
      <c r="E814" s="4"/>
      <c r="F814" s="4"/>
      <c r="G814" s="4"/>
      <c r="H814" s="4"/>
      <c r="I814" s="4"/>
    </row>
    <row r="815" spans="1:9" x14ac:dyDescent="0.25">
      <c r="A815" s="4"/>
      <c r="B815" s="4"/>
      <c r="C815" s="56"/>
      <c r="D815" s="4"/>
      <c r="E815" s="4"/>
      <c r="F815" s="4"/>
      <c r="G815" s="4"/>
      <c r="H815" s="4"/>
      <c r="I815" s="4"/>
    </row>
    <row r="816" spans="1:9" x14ac:dyDescent="0.25">
      <c r="A816" s="4"/>
      <c r="B816" s="4"/>
      <c r="C816" s="56"/>
      <c r="D816" s="4"/>
      <c r="E816" s="4"/>
      <c r="F816" s="4"/>
      <c r="G816" s="4"/>
      <c r="H816" s="4"/>
      <c r="I816" s="4"/>
    </row>
    <row r="817" spans="1:9" x14ac:dyDescent="0.25">
      <c r="A817" s="4"/>
      <c r="B817" s="4"/>
      <c r="C817" s="56"/>
      <c r="D817" s="4"/>
      <c r="E817" s="4"/>
      <c r="F817" s="4"/>
      <c r="G817" s="4"/>
      <c r="H817" s="4"/>
      <c r="I817" s="4"/>
    </row>
    <row r="818" spans="1:9" x14ac:dyDescent="0.25">
      <c r="A818" s="4"/>
      <c r="B818" s="4"/>
      <c r="C818" s="56"/>
      <c r="D818" s="4"/>
      <c r="E818" s="4"/>
      <c r="F818" s="4"/>
      <c r="G818" s="4"/>
      <c r="H818" s="4"/>
      <c r="I818" s="4"/>
    </row>
    <row r="819" spans="1:9" x14ac:dyDescent="0.25">
      <c r="A819" s="4"/>
      <c r="B819" s="4"/>
      <c r="C819" s="56"/>
      <c r="D819" s="4"/>
      <c r="E819" s="4"/>
      <c r="F819" s="4"/>
      <c r="G819" s="4"/>
      <c r="H819" s="4"/>
      <c r="I819" s="4"/>
    </row>
    <row r="820" spans="1:9" x14ac:dyDescent="0.25">
      <c r="A820" s="4"/>
      <c r="B820" s="4"/>
      <c r="C820" s="56"/>
      <c r="D820" s="4"/>
      <c r="E820" s="4"/>
      <c r="F820" s="4"/>
      <c r="G820" s="4"/>
      <c r="H820" s="4"/>
      <c r="I820" s="4"/>
    </row>
    <row r="821" spans="1:9" x14ac:dyDescent="0.25">
      <c r="A821" s="4"/>
      <c r="B821" s="4"/>
      <c r="C821" s="56"/>
      <c r="D821" s="4"/>
      <c r="E821" s="4"/>
      <c r="F821" s="4"/>
      <c r="G821" s="4"/>
      <c r="H821" s="4"/>
      <c r="I821" s="4"/>
    </row>
    <row r="822" spans="1:9" x14ac:dyDescent="0.25">
      <c r="A822" s="4"/>
      <c r="B822" s="4"/>
      <c r="C822" s="56"/>
      <c r="D822" s="4"/>
      <c r="E822" s="4"/>
      <c r="F822" s="4"/>
      <c r="G822" s="4"/>
      <c r="H822" s="4"/>
      <c r="I822" s="4"/>
    </row>
    <row r="823" spans="1:9" x14ac:dyDescent="0.25">
      <c r="A823" s="4"/>
      <c r="B823" s="4"/>
      <c r="C823" s="56"/>
      <c r="D823" s="4"/>
      <c r="E823" s="4"/>
      <c r="F823" s="4"/>
      <c r="G823" s="4"/>
      <c r="H823" s="4"/>
      <c r="I823" s="4"/>
    </row>
    <row r="824" spans="1:9" x14ac:dyDescent="0.25">
      <c r="A824" s="4"/>
      <c r="B824" s="4"/>
      <c r="C824" s="56"/>
      <c r="D824" s="4"/>
      <c r="E824" s="4"/>
      <c r="F824" s="4"/>
      <c r="G824" s="4"/>
      <c r="H824" s="4"/>
      <c r="I824" s="4"/>
    </row>
    <row r="825" spans="1:9" x14ac:dyDescent="0.25">
      <c r="A825" s="4"/>
      <c r="B825" s="4"/>
      <c r="C825" s="56"/>
      <c r="D825" s="4"/>
      <c r="E825" s="4"/>
      <c r="F825" s="4"/>
      <c r="G825" s="4"/>
      <c r="H825" s="4"/>
      <c r="I825" s="4"/>
    </row>
    <row r="826" spans="1:9" x14ac:dyDescent="0.25">
      <c r="A826" s="4"/>
      <c r="B826" s="4"/>
      <c r="C826" s="56"/>
      <c r="D826" s="4"/>
      <c r="E826" s="4"/>
      <c r="F826" s="4"/>
      <c r="G826" s="4"/>
      <c r="H826" s="4"/>
      <c r="I826" s="4"/>
    </row>
    <row r="827" spans="1:9" x14ac:dyDescent="0.25">
      <c r="A827" s="4"/>
      <c r="B827" s="4"/>
      <c r="C827" s="56"/>
      <c r="D827" s="4"/>
      <c r="E827" s="4"/>
      <c r="F827" s="4"/>
      <c r="G827" s="4"/>
      <c r="H827" s="4"/>
      <c r="I827" s="4"/>
    </row>
    <row r="828" spans="1:9" x14ac:dyDescent="0.25">
      <c r="A828" s="4"/>
      <c r="B828" s="4"/>
      <c r="C828" s="56"/>
      <c r="D828" s="4"/>
      <c r="E828" s="4"/>
      <c r="F828" s="4"/>
      <c r="G828" s="4"/>
      <c r="H828" s="4"/>
      <c r="I828" s="4"/>
    </row>
    <row r="829" spans="1:9" x14ac:dyDescent="0.25">
      <c r="A829" s="4"/>
      <c r="B829" s="4"/>
      <c r="C829" s="56"/>
      <c r="D829" s="4"/>
      <c r="E829" s="4"/>
      <c r="F829" s="4"/>
      <c r="G829" s="4"/>
      <c r="H829" s="4"/>
      <c r="I829" s="4"/>
    </row>
    <row r="830" spans="1:9" x14ac:dyDescent="0.25">
      <c r="A830" s="4"/>
      <c r="B830" s="4"/>
      <c r="C830" s="56"/>
      <c r="D830" s="4"/>
      <c r="E830" s="4"/>
      <c r="F830" s="4"/>
      <c r="G830" s="4"/>
      <c r="H830" s="4"/>
      <c r="I830" s="4"/>
    </row>
    <row r="831" spans="1:9" x14ac:dyDescent="0.25">
      <c r="A831" s="4"/>
      <c r="B831" s="4"/>
      <c r="C831" s="56"/>
      <c r="D831" s="4"/>
      <c r="E831" s="4"/>
      <c r="F831" s="4"/>
      <c r="G831" s="4"/>
      <c r="H831" s="4"/>
      <c r="I831" s="4"/>
    </row>
    <row r="832" spans="1:9" x14ac:dyDescent="0.25">
      <c r="A832" s="4"/>
      <c r="B832" s="4"/>
      <c r="C832" s="56"/>
      <c r="D832" s="4"/>
      <c r="E832" s="4"/>
      <c r="F832" s="4"/>
      <c r="G832" s="4"/>
      <c r="H832" s="4"/>
      <c r="I832" s="4"/>
    </row>
    <row r="833" spans="1:9" x14ac:dyDescent="0.25">
      <c r="A833" s="4"/>
      <c r="B833" s="4"/>
      <c r="C833" s="56"/>
      <c r="D833" s="4"/>
      <c r="E833" s="4"/>
      <c r="F833" s="4"/>
      <c r="G833" s="4"/>
      <c r="H833" s="4"/>
      <c r="I833" s="4"/>
    </row>
    <row r="834" spans="1:9" x14ac:dyDescent="0.25">
      <c r="A834" s="4"/>
      <c r="B834" s="4"/>
      <c r="C834" s="56"/>
      <c r="D834" s="4"/>
      <c r="E834" s="4"/>
      <c r="F834" s="4"/>
      <c r="G834" s="4"/>
      <c r="H834" s="4"/>
      <c r="I834" s="4"/>
    </row>
    <row r="835" spans="1:9" x14ac:dyDescent="0.25">
      <c r="A835" s="4"/>
      <c r="B835" s="4"/>
      <c r="C835" s="56"/>
      <c r="D835" s="4"/>
      <c r="E835" s="4"/>
      <c r="F835" s="4"/>
      <c r="G835" s="4"/>
      <c r="H835" s="4"/>
      <c r="I835" s="4"/>
    </row>
    <row r="836" spans="1:9" x14ac:dyDescent="0.25">
      <c r="A836" s="4"/>
      <c r="B836" s="4"/>
      <c r="C836" s="56"/>
      <c r="D836" s="4"/>
      <c r="E836" s="4"/>
      <c r="F836" s="4"/>
      <c r="G836" s="4"/>
      <c r="H836" s="4"/>
      <c r="I836" s="4"/>
    </row>
    <row r="837" spans="1:9" x14ac:dyDescent="0.25">
      <c r="A837" s="4"/>
      <c r="B837" s="4"/>
      <c r="C837" s="56"/>
      <c r="D837" s="4"/>
      <c r="E837" s="4"/>
      <c r="F837" s="4"/>
      <c r="G837" s="4"/>
      <c r="H837" s="4"/>
      <c r="I837" s="4"/>
    </row>
    <row r="838" spans="1:9" x14ac:dyDescent="0.25">
      <c r="A838" s="4"/>
      <c r="B838" s="4"/>
      <c r="C838" s="56"/>
      <c r="D838" s="4"/>
      <c r="E838" s="4"/>
      <c r="F838" s="4"/>
      <c r="G838" s="4"/>
      <c r="H838" s="4"/>
      <c r="I838" s="4"/>
    </row>
    <row r="839" spans="1:9" x14ac:dyDescent="0.25">
      <c r="A839" s="4"/>
      <c r="B839" s="4"/>
      <c r="C839" s="56"/>
      <c r="D839" s="4"/>
      <c r="E839" s="4"/>
      <c r="F839" s="4"/>
      <c r="G839" s="4"/>
      <c r="H839" s="4"/>
      <c r="I839" s="4"/>
    </row>
    <row r="840" spans="1:9" x14ac:dyDescent="0.25">
      <c r="A840" s="4"/>
      <c r="B840" s="4"/>
      <c r="C840" s="56"/>
      <c r="D840" s="4"/>
      <c r="E840" s="4"/>
      <c r="F840" s="4"/>
      <c r="G840" s="4"/>
      <c r="H840" s="4"/>
      <c r="I840" s="4"/>
    </row>
    <row r="841" spans="1:9" x14ac:dyDescent="0.25">
      <c r="A841" s="4"/>
      <c r="B841" s="4"/>
      <c r="C841" s="56"/>
      <c r="D841" s="4"/>
      <c r="E841" s="4"/>
      <c r="F841" s="4"/>
      <c r="G841" s="4"/>
      <c r="H841" s="4"/>
      <c r="I841" s="4"/>
    </row>
    <row r="842" spans="1:9" x14ac:dyDescent="0.25">
      <c r="A842" s="4"/>
      <c r="B842" s="4"/>
      <c r="C842" s="56"/>
      <c r="D842" s="4"/>
      <c r="E842" s="4"/>
      <c r="F842" s="4"/>
      <c r="G842" s="4"/>
      <c r="H842" s="4"/>
      <c r="I842" s="4"/>
    </row>
    <row r="843" spans="1:9" x14ac:dyDescent="0.25">
      <c r="A843" s="4"/>
      <c r="B843" s="4"/>
      <c r="C843" s="56"/>
      <c r="D843" s="4"/>
      <c r="E843" s="4"/>
      <c r="F843" s="4"/>
      <c r="G843" s="4"/>
      <c r="H843" s="4"/>
      <c r="I843" s="4"/>
    </row>
    <row r="844" spans="1:9" x14ac:dyDescent="0.25">
      <c r="A844" s="4"/>
      <c r="B844" s="4"/>
      <c r="C844" s="56"/>
      <c r="D844" s="4"/>
      <c r="E844" s="4"/>
      <c r="F844" s="4"/>
      <c r="G844" s="4"/>
      <c r="H844" s="4"/>
      <c r="I844" s="4"/>
    </row>
    <row r="845" spans="1:9" x14ac:dyDescent="0.25">
      <c r="A845" s="4"/>
      <c r="B845" s="4"/>
      <c r="C845" s="56"/>
      <c r="D845" s="4"/>
      <c r="E845" s="4"/>
      <c r="F845" s="4"/>
      <c r="G845" s="4"/>
      <c r="H845" s="4"/>
      <c r="I845" s="4"/>
    </row>
    <row r="846" spans="1:9" x14ac:dyDescent="0.25">
      <c r="A846" s="4"/>
      <c r="B846" s="4"/>
      <c r="C846" s="56"/>
      <c r="D846" s="4"/>
      <c r="E846" s="4"/>
      <c r="F846" s="4"/>
      <c r="G846" s="4"/>
      <c r="H846" s="4"/>
      <c r="I846" s="4"/>
    </row>
    <row r="847" spans="1:9" x14ac:dyDescent="0.25">
      <c r="A847" s="4"/>
      <c r="B847" s="4"/>
      <c r="C847" s="56"/>
      <c r="D847" s="4"/>
      <c r="E847" s="4"/>
      <c r="F847" s="4"/>
      <c r="G847" s="4"/>
      <c r="H847" s="4"/>
      <c r="I847" s="4"/>
    </row>
    <row r="848" spans="1:9" x14ac:dyDescent="0.25">
      <c r="A848" s="4"/>
      <c r="B848" s="4"/>
      <c r="C848" s="56"/>
      <c r="D848" s="4"/>
      <c r="E848" s="4"/>
      <c r="F848" s="4"/>
      <c r="G848" s="4"/>
      <c r="H848" s="4"/>
      <c r="I848" s="4"/>
    </row>
    <row r="849" spans="1:9" x14ac:dyDescent="0.25">
      <c r="A849" s="4"/>
      <c r="B849" s="4"/>
      <c r="C849" s="56"/>
      <c r="D849" s="4"/>
      <c r="E849" s="4"/>
      <c r="F849" s="4"/>
      <c r="G849" s="4"/>
      <c r="H849" s="4"/>
      <c r="I849" s="4"/>
    </row>
    <row r="850" spans="1:9" x14ac:dyDescent="0.25">
      <c r="A850" s="4"/>
      <c r="B850" s="4"/>
      <c r="C850" s="56"/>
      <c r="D850" s="4"/>
      <c r="E850" s="4"/>
      <c r="F850" s="4"/>
      <c r="G850" s="4"/>
      <c r="H850" s="4"/>
      <c r="I850" s="4"/>
    </row>
    <row r="851" spans="1:9" x14ac:dyDescent="0.25">
      <c r="A851" s="4"/>
      <c r="B851" s="4"/>
      <c r="C851" s="56"/>
      <c r="D851" s="4"/>
      <c r="E851" s="4"/>
      <c r="F851" s="4"/>
      <c r="G851" s="4"/>
      <c r="H851" s="4"/>
      <c r="I851" s="4"/>
    </row>
    <row r="852" spans="1:9" x14ac:dyDescent="0.25">
      <c r="A852" s="4"/>
      <c r="B852" s="4"/>
      <c r="C852" s="56"/>
      <c r="D852" s="4"/>
      <c r="E852" s="4"/>
      <c r="F852" s="4"/>
      <c r="G852" s="4"/>
      <c r="H852" s="4"/>
      <c r="I852" s="4"/>
    </row>
    <row r="853" spans="1:9" x14ac:dyDescent="0.25">
      <c r="A853" s="4"/>
      <c r="B853" s="4"/>
      <c r="C853" s="56"/>
      <c r="D853" s="4"/>
      <c r="E853" s="4"/>
      <c r="F853" s="4"/>
      <c r="G853" s="4"/>
      <c r="H853" s="4"/>
      <c r="I853" s="4"/>
    </row>
    <row r="854" spans="1:9" x14ac:dyDescent="0.25">
      <c r="A854" s="4"/>
      <c r="B854" s="4"/>
      <c r="C854" s="56"/>
      <c r="D854" s="4"/>
      <c r="E854" s="4"/>
      <c r="F854" s="4"/>
      <c r="G854" s="4"/>
      <c r="H854" s="4"/>
      <c r="I854" s="4"/>
    </row>
    <row r="855" spans="1:9" x14ac:dyDescent="0.25">
      <c r="A855" s="4"/>
      <c r="B855" s="4"/>
      <c r="C855" s="56"/>
      <c r="D855" s="4"/>
      <c r="E855" s="4"/>
      <c r="F855" s="4"/>
      <c r="G855" s="4"/>
      <c r="H855" s="4"/>
      <c r="I855" s="4"/>
    </row>
    <row r="856" spans="1:9" x14ac:dyDescent="0.25">
      <c r="A856" s="4"/>
      <c r="B856" s="4"/>
      <c r="C856" s="56"/>
      <c r="D856" s="4"/>
      <c r="E856" s="4"/>
      <c r="F856" s="4"/>
      <c r="G856" s="4"/>
      <c r="H856" s="4"/>
      <c r="I856" s="4"/>
    </row>
    <row r="857" spans="1:9" x14ac:dyDescent="0.25">
      <c r="A857" s="4"/>
      <c r="B857" s="4"/>
      <c r="C857" s="56"/>
      <c r="D857" s="4"/>
      <c r="E857" s="4"/>
      <c r="F857" s="4"/>
      <c r="G857" s="4"/>
      <c r="H857" s="4"/>
      <c r="I857" s="4"/>
    </row>
    <row r="858" spans="1:9" x14ac:dyDescent="0.25">
      <c r="A858" s="4"/>
      <c r="B858" s="4"/>
      <c r="C858" s="56"/>
      <c r="D858" s="4"/>
      <c r="E858" s="4"/>
      <c r="F858" s="4"/>
      <c r="G858" s="4"/>
      <c r="H858" s="4"/>
      <c r="I858" s="4"/>
    </row>
    <row r="859" spans="1:9" x14ac:dyDescent="0.25">
      <c r="A859" s="4"/>
      <c r="B859" s="4"/>
      <c r="C859" s="56"/>
      <c r="D859" s="4"/>
      <c r="E859" s="4"/>
      <c r="F859" s="4"/>
      <c r="G859" s="4"/>
      <c r="H859" s="4"/>
      <c r="I859" s="4"/>
    </row>
    <row r="860" spans="1:9" x14ac:dyDescent="0.25">
      <c r="A860" s="4"/>
      <c r="B860" s="4"/>
      <c r="C860" s="56"/>
      <c r="D860" s="4"/>
      <c r="E860" s="4"/>
      <c r="F860" s="4"/>
      <c r="G860" s="4"/>
      <c r="H860" s="4"/>
      <c r="I860" s="4"/>
    </row>
    <row r="861" spans="1:9" x14ac:dyDescent="0.25">
      <c r="A861" s="4"/>
      <c r="B861" s="4"/>
      <c r="C861" s="56"/>
      <c r="D861" s="4"/>
      <c r="E861" s="4"/>
      <c r="F861" s="4"/>
      <c r="G861" s="4"/>
      <c r="H861" s="4"/>
      <c r="I861" s="4"/>
    </row>
    <row r="862" spans="1:9" x14ac:dyDescent="0.25">
      <c r="A862" s="4"/>
      <c r="B862" s="4"/>
      <c r="C862" s="56"/>
      <c r="D862" s="4"/>
      <c r="E862" s="4"/>
      <c r="F862" s="4"/>
      <c r="G862" s="4"/>
      <c r="H862" s="4"/>
      <c r="I862" s="4"/>
    </row>
    <row r="863" spans="1:9" x14ac:dyDescent="0.25">
      <c r="A863" s="4"/>
      <c r="B863" s="4"/>
      <c r="C863" s="56"/>
      <c r="D863" s="4"/>
      <c r="E863" s="4"/>
      <c r="F863" s="4"/>
      <c r="G863" s="4"/>
      <c r="H863" s="4"/>
      <c r="I863" s="4"/>
    </row>
    <row r="864" spans="1:9" x14ac:dyDescent="0.25">
      <c r="A864" s="4"/>
      <c r="B864" s="4"/>
      <c r="C864" s="56"/>
      <c r="D864" s="4"/>
      <c r="E864" s="4"/>
      <c r="F864" s="4"/>
      <c r="G864" s="4"/>
      <c r="H864" s="4"/>
      <c r="I864" s="4"/>
    </row>
    <row r="865" spans="1:9" x14ac:dyDescent="0.25">
      <c r="A865" s="4"/>
      <c r="B865" s="4"/>
      <c r="C865" s="56"/>
      <c r="D865" s="4"/>
      <c r="E865" s="4"/>
      <c r="F865" s="4"/>
      <c r="G865" s="4"/>
      <c r="H865" s="4"/>
      <c r="I865" s="4"/>
    </row>
    <row r="866" spans="1:9" x14ac:dyDescent="0.25">
      <c r="A866" s="4"/>
      <c r="B866" s="4"/>
      <c r="C866" s="56"/>
      <c r="D866" s="4"/>
      <c r="E866" s="4"/>
      <c r="F866" s="4"/>
      <c r="G866" s="4"/>
      <c r="H866" s="4"/>
      <c r="I866" s="4"/>
    </row>
    <row r="867" spans="1:9" x14ac:dyDescent="0.25">
      <c r="A867" s="4"/>
      <c r="B867" s="4"/>
      <c r="C867" s="56"/>
      <c r="D867" s="4"/>
      <c r="E867" s="4"/>
      <c r="F867" s="4"/>
      <c r="G867" s="4"/>
      <c r="H867" s="4"/>
      <c r="I867" s="4"/>
    </row>
    <row r="868" spans="1:9" x14ac:dyDescent="0.25">
      <c r="A868" s="4"/>
      <c r="B868" s="4"/>
      <c r="C868" s="56"/>
      <c r="D868" s="4"/>
      <c r="E868" s="4"/>
      <c r="F868" s="4"/>
      <c r="G868" s="4"/>
      <c r="H868" s="4"/>
      <c r="I868" s="4"/>
    </row>
    <row r="869" spans="1:9" x14ac:dyDescent="0.25">
      <c r="A869" s="4"/>
      <c r="B869" s="4"/>
      <c r="C869" s="56"/>
      <c r="D869" s="4"/>
      <c r="E869" s="4"/>
      <c r="F869" s="4"/>
      <c r="G869" s="4"/>
      <c r="H869" s="4"/>
      <c r="I869" s="4"/>
    </row>
    <row r="870" spans="1:9" x14ac:dyDescent="0.25">
      <c r="A870" s="4"/>
      <c r="B870" s="4"/>
      <c r="C870" s="56"/>
      <c r="D870" s="4"/>
      <c r="E870" s="4"/>
      <c r="F870" s="4"/>
      <c r="G870" s="4"/>
      <c r="H870" s="4"/>
      <c r="I870" s="4"/>
    </row>
    <row r="871" spans="1:9" x14ac:dyDescent="0.25">
      <c r="A871" s="4"/>
      <c r="B871" s="4"/>
      <c r="C871" s="56"/>
      <c r="D871" s="4"/>
      <c r="E871" s="4"/>
      <c r="F871" s="4"/>
      <c r="G871" s="4"/>
      <c r="H871" s="4"/>
      <c r="I871" s="4"/>
    </row>
    <row r="872" spans="1:9" x14ac:dyDescent="0.25">
      <c r="A872" s="4"/>
      <c r="B872" s="4"/>
      <c r="C872" s="56"/>
      <c r="D872" s="4"/>
      <c r="E872" s="4"/>
      <c r="F872" s="4"/>
      <c r="G872" s="4"/>
      <c r="H872" s="4"/>
      <c r="I872" s="4"/>
    </row>
    <row r="873" spans="1:9" x14ac:dyDescent="0.25">
      <c r="A873" s="4"/>
      <c r="B873" s="4"/>
      <c r="C873" s="56"/>
      <c r="D873" s="4"/>
      <c r="E873" s="4"/>
      <c r="F873" s="4"/>
      <c r="G873" s="4"/>
      <c r="H873" s="4"/>
      <c r="I873" s="4"/>
    </row>
    <row r="874" spans="1:9" x14ac:dyDescent="0.25">
      <c r="A874" s="4"/>
      <c r="B874" s="4"/>
      <c r="C874" s="56"/>
      <c r="D874" s="4"/>
      <c r="E874" s="4"/>
      <c r="F874" s="4"/>
      <c r="G874" s="4"/>
      <c r="H874" s="4"/>
      <c r="I874" s="4"/>
    </row>
    <row r="875" spans="1:9" x14ac:dyDescent="0.25">
      <c r="A875" s="4"/>
      <c r="B875" s="4"/>
      <c r="C875" s="56"/>
      <c r="D875" s="4"/>
      <c r="E875" s="4"/>
      <c r="F875" s="4"/>
      <c r="G875" s="4"/>
      <c r="H875" s="4"/>
      <c r="I875" s="4"/>
    </row>
    <row r="876" spans="1:9" x14ac:dyDescent="0.25">
      <c r="A876" s="4"/>
      <c r="B876" s="4"/>
      <c r="C876" s="56"/>
      <c r="D876" s="4"/>
      <c r="E876" s="4"/>
      <c r="F876" s="4"/>
      <c r="G876" s="4"/>
      <c r="H876" s="4"/>
      <c r="I876" s="4"/>
    </row>
    <row r="877" spans="1:9" x14ac:dyDescent="0.25">
      <c r="A877" s="4"/>
      <c r="B877" s="4"/>
      <c r="C877" s="56"/>
      <c r="D877" s="4"/>
      <c r="E877" s="4"/>
      <c r="F877" s="4"/>
      <c r="G877" s="4"/>
      <c r="H877" s="4"/>
      <c r="I877" s="4"/>
    </row>
    <row r="878" spans="1:9" x14ac:dyDescent="0.25">
      <c r="A878" s="4"/>
      <c r="B878" s="4"/>
      <c r="C878" s="56"/>
      <c r="D878" s="4"/>
      <c r="E878" s="4"/>
      <c r="F878" s="4"/>
      <c r="G878" s="4"/>
      <c r="H878" s="4"/>
      <c r="I878" s="4"/>
    </row>
    <row r="879" spans="1:9" x14ac:dyDescent="0.25">
      <c r="A879" s="4"/>
      <c r="B879" s="4"/>
      <c r="C879" s="56"/>
      <c r="D879" s="4"/>
      <c r="E879" s="4"/>
      <c r="F879" s="4"/>
      <c r="G879" s="4"/>
      <c r="H879" s="4"/>
      <c r="I879" s="4"/>
    </row>
    <row r="880" spans="1:9" x14ac:dyDescent="0.25">
      <c r="A880" s="4"/>
      <c r="B880" s="4"/>
      <c r="C880" s="56"/>
      <c r="D880" s="4"/>
      <c r="E880" s="4"/>
      <c r="F880" s="4"/>
      <c r="G880" s="4"/>
      <c r="H880" s="4"/>
      <c r="I880" s="4"/>
    </row>
    <row r="881" spans="1:9" x14ac:dyDescent="0.25">
      <c r="A881" s="4"/>
      <c r="B881" s="4"/>
      <c r="C881" s="56"/>
      <c r="D881" s="4"/>
      <c r="E881" s="4"/>
      <c r="F881" s="4"/>
      <c r="G881" s="4"/>
      <c r="H881" s="4"/>
      <c r="I881" s="4"/>
    </row>
    <row r="882" spans="1:9" x14ac:dyDescent="0.25">
      <c r="A882" s="4"/>
      <c r="B882" s="4"/>
      <c r="C882" s="56"/>
      <c r="D882" s="4"/>
      <c r="E882" s="4"/>
      <c r="F882" s="4"/>
      <c r="G882" s="4"/>
      <c r="H882" s="4"/>
      <c r="I882" s="4"/>
    </row>
    <row r="883" spans="1:9" x14ac:dyDescent="0.25">
      <c r="A883" s="4"/>
      <c r="B883" s="4"/>
      <c r="C883" s="56"/>
      <c r="D883" s="4"/>
      <c r="E883" s="4"/>
      <c r="F883" s="4"/>
      <c r="G883" s="4"/>
      <c r="H883" s="4"/>
      <c r="I883" s="4"/>
    </row>
    <row r="884" spans="1:9" x14ac:dyDescent="0.25">
      <c r="A884" s="4"/>
      <c r="B884" s="4"/>
      <c r="C884" s="56"/>
      <c r="D884" s="4"/>
      <c r="E884" s="4"/>
      <c r="F884" s="4"/>
      <c r="G884" s="4"/>
      <c r="H884" s="4"/>
      <c r="I884" s="4"/>
    </row>
    <row r="885" spans="1:9" x14ac:dyDescent="0.25">
      <c r="A885" s="4"/>
      <c r="B885" s="4"/>
      <c r="C885" s="56"/>
      <c r="D885" s="4"/>
      <c r="E885" s="4"/>
      <c r="F885" s="4"/>
      <c r="G885" s="4"/>
      <c r="H885" s="4"/>
      <c r="I885" s="4"/>
    </row>
    <row r="886" spans="1:9" x14ac:dyDescent="0.25">
      <c r="A886" s="4"/>
      <c r="B886" s="4"/>
      <c r="C886" s="56"/>
      <c r="D886" s="4"/>
      <c r="E886" s="4"/>
      <c r="F886" s="4"/>
      <c r="G886" s="4"/>
      <c r="H886" s="4"/>
      <c r="I886" s="4"/>
    </row>
    <row r="887" spans="1:9" x14ac:dyDescent="0.25">
      <c r="A887" s="4"/>
      <c r="B887" s="4"/>
      <c r="C887" s="56"/>
      <c r="D887" s="4"/>
      <c r="E887" s="4"/>
      <c r="F887" s="4"/>
      <c r="G887" s="4"/>
      <c r="H887" s="4"/>
      <c r="I887" s="4"/>
    </row>
    <row r="888" spans="1:9" x14ac:dyDescent="0.25">
      <c r="A888" s="4"/>
      <c r="B888" s="4"/>
      <c r="C888" s="56"/>
      <c r="D888" s="4"/>
      <c r="E888" s="4"/>
      <c r="F888" s="4"/>
      <c r="G888" s="4"/>
      <c r="H888" s="4"/>
      <c r="I888" s="4"/>
    </row>
    <row r="889" spans="1:9" x14ac:dyDescent="0.25">
      <c r="A889" s="4"/>
      <c r="B889" s="4"/>
      <c r="C889" s="56"/>
      <c r="D889" s="4"/>
      <c r="E889" s="4"/>
      <c r="F889" s="4"/>
      <c r="G889" s="4"/>
      <c r="H889" s="4"/>
      <c r="I889" s="4"/>
    </row>
    <row r="890" spans="1:9" x14ac:dyDescent="0.25">
      <c r="A890" s="4"/>
      <c r="B890" s="4"/>
      <c r="C890" s="56"/>
      <c r="D890" s="4"/>
      <c r="E890" s="4"/>
      <c r="F890" s="4"/>
      <c r="G890" s="4"/>
      <c r="H890" s="4"/>
      <c r="I890" s="4"/>
    </row>
    <row r="891" spans="1:9" x14ac:dyDescent="0.25">
      <c r="A891" s="4"/>
      <c r="B891" s="4"/>
      <c r="C891" s="56"/>
      <c r="D891" s="4"/>
      <c r="E891" s="4"/>
      <c r="F891" s="4"/>
      <c r="G891" s="4"/>
      <c r="H891" s="4"/>
      <c r="I891" s="4"/>
    </row>
    <row r="892" spans="1:9" x14ac:dyDescent="0.25">
      <c r="A892" s="4"/>
      <c r="B892" s="4"/>
      <c r="C892" s="56"/>
      <c r="D892" s="4"/>
      <c r="E892" s="4"/>
      <c r="F892" s="4"/>
      <c r="G892" s="4"/>
      <c r="H892" s="4"/>
      <c r="I892" s="4"/>
    </row>
    <row r="893" spans="1:9" x14ac:dyDescent="0.25">
      <c r="A893" s="4"/>
      <c r="B893" s="4"/>
      <c r="C893" s="56"/>
      <c r="D893" s="4"/>
      <c r="E893" s="4"/>
      <c r="F893" s="4"/>
      <c r="G893" s="4"/>
      <c r="H893" s="4"/>
      <c r="I893" s="4"/>
    </row>
    <row r="894" spans="1:9" x14ac:dyDescent="0.25">
      <c r="A894" s="4"/>
      <c r="B894" s="4"/>
      <c r="C894" s="56"/>
      <c r="D894" s="4"/>
      <c r="E894" s="4"/>
      <c r="F894" s="4"/>
      <c r="G894" s="4"/>
      <c r="H894" s="4"/>
      <c r="I894" s="4"/>
    </row>
    <row r="895" spans="1:9" x14ac:dyDescent="0.25">
      <c r="A895" s="4"/>
      <c r="B895" s="4"/>
      <c r="C895" s="56"/>
      <c r="D895" s="4"/>
      <c r="E895" s="4"/>
      <c r="F895" s="4"/>
      <c r="G895" s="4"/>
      <c r="H895" s="4"/>
      <c r="I895" s="4"/>
    </row>
    <row r="896" spans="1:9" x14ac:dyDescent="0.25">
      <c r="A896" s="4"/>
      <c r="B896" s="4"/>
      <c r="C896" s="56"/>
      <c r="D896" s="4"/>
      <c r="E896" s="4"/>
      <c r="F896" s="4"/>
      <c r="G896" s="4"/>
      <c r="H896" s="4"/>
      <c r="I896" s="4"/>
    </row>
    <row r="897" spans="1:9" x14ac:dyDescent="0.25">
      <c r="A897" s="4"/>
      <c r="B897" s="4"/>
      <c r="C897" s="56"/>
      <c r="D897" s="4"/>
      <c r="E897" s="4"/>
      <c r="F897" s="4"/>
      <c r="G897" s="4"/>
      <c r="H897" s="4"/>
      <c r="I897" s="4"/>
    </row>
    <row r="898" spans="1:9" x14ac:dyDescent="0.25">
      <c r="A898" s="4"/>
      <c r="B898" s="4"/>
      <c r="C898" s="56"/>
      <c r="D898" s="4"/>
      <c r="E898" s="4"/>
      <c r="F898" s="4"/>
      <c r="G898" s="4"/>
      <c r="H898" s="4"/>
      <c r="I898" s="4"/>
    </row>
    <row r="899" spans="1:9" x14ac:dyDescent="0.25">
      <c r="A899" s="4"/>
      <c r="B899" s="4"/>
      <c r="C899" s="56"/>
      <c r="D899" s="4"/>
      <c r="E899" s="4"/>
      <c r="F899" s="4"/>
      <c r="G899" s="4"/>
      <c r="H899" s="4"/>
      <c r="I899" s="4"/>
    </row>
    <row r="900" spans="1:9" x14ac:dyDescent="0.25">
      <c r="A900" s="4"/>
      <c r="B900" s="4"/>
      <c r="C900" s="56"/>
      <c r="D900" s="4"/>
      <c r="E900" s="4"/>
      <c r="F900" s="4"/>
      <c r="G900" s="4"/>
      <c r="H900" s="4"/>
      <c r="I900" s="4"/>
    </row>
    <row r="901" spans="1:9" x14ac:dyDescent="0.25">
      <c r="A901" s="4"/>
      <c r="B901" s="4"/>
      <c r="C901" s="56"/>
      <c r="D901" s="4"/>
      <c r="E901" s="4"/>
      <c r="F901" s="4"/>
      <c r="G901" s="4"/>
      <c r="H901" s="4"/>
      <c r="I901" s="4"/>
    </row>
    <row r="902" spans="1:9" x14ac:dyDescent="0.25">
      <c r="A902" s="4"/>
      <c r="B902" s="4"/>
      <c r="C902" s="56"/>
      <c r="D902" s="4"/>
      <c r="E902" s="4"/>
      <c r="F902" s="4"/>
      <c r="G902" s="4"/>
      <c r="H902" s="4"/>
      <c r="I902" s="4"/>
    </row>
    <row r="903" spans="1:9" x14ac:dyDescent="0.25">
      <c r="A903" s="4"/>
      <c r="B903" s="4"/>
      <c r="C903" s="56"/>
      <c r="D903" s="4"/>
      <c r="E903" s="4"/>
      <c r="F903" s="4"/>
      <c r="G903" s="4"/>
      <c r="H903" s="4"/>
      <c r="I903" s="4"/>
    </row>
    <row r="904" spans="1:9" x14ac:dyDescent="0.25">
      <c r="A904" s="4"/>
      <c r="B904" s="4"/>
      <c r="C904" s="56"/>
      <c r="D904" s="4"/>
      <c r="E904" s="4"/>
      <c r="F904" s="4"/>
      <c r="G904" s="4"/>
      <c r="H904" s="4"/>
      <c r="I904" s="4"/>
    </row>
    <row r="905" spans="1:9" x14ac:dyDescent="0.25">
      <c r="A905" s="4"/>
      <c r="B905" s="4"/>
      <c r="C905" s="56"/>
      <c r="D905" s="4"/>
      <c r="E905" s="4"/>
      <c r="F905" s="4"/>
      <c r="G905" s="4"/>
      <c r="H905" s="4"/>
      <c r="I905" s="4"/>
    </row>
    <row r="906" spans="1:9" x14ac:dyDescent="0.25">
      <c r="A906" s="4"/>
      <c r="B906" s="4"/>
      <c r="C906" s="56"/>
      <c r="D906" s="4"/>
      <c r="E906" s="4"/>
      <c r="F906" s="4"/>
      <c r="G906" s="4"/>
      <c r="H906" s="4"/>
      <c r="I906" s="4"/>
    </row>
    <row r="907" spans="1:9" x14ac:dyDescent="0.25">
      <c r="A907" s="4"/>
      <c r="B907" s="4"/>
      <c r="C907" s="56"/>
      <c r="D907" s="4"/>
      <c r="E907" s="4"/>
      <c r="F907" s="4"/>
      <c r="G907" s="4"/>
      <c r="H907" s="4"/>
      <c r="I907" s="4"/>
    </row>
    <row r="908" spans="1:9" x14ac:dyDescent="0.25">
      <c r="A908" s="4"/>
      <c r="B908" s="4"/>
      <c r="C908" s="56"/>
      <c r="D908" s="4"/>
      <c r="E908" s="4"/>
      <c r="F908" s="4"/>
      <c r="G908" s="4"/>
      <c r="H908" s="4"/>
      <c r="I908" s="4"/>
    </row>
    <row r="909" spans="1:9" x14ac:dyDescent="0.25">
      <c r="A909" s="4"/>
      <c r="B909" s="4"/>
      <c r="C909" s="56"/>
      <c r="D909" s="4"/>
      <c r="E909" s="4"/>
      <c r="F909" s="4"/>
      <c r="G909" s="4"/>
      <c r="H909" s="4"/>
      <c r="I909" s="4"/>
    </row>
    <row r="910" spans="1:9" x14ac:dyDescent="0.25">
      <c r="A910" s="4"/>
      <c r="B910" s="4"/>
      <c r="C910" s="56"/>
      <c r="D910" s="4"/>
      <c r="E910" s="4"/>
      <c r="F910" s="4"/>
      <c r="G910" s="4"/>
      <c r="H910" s="4"/>
      <c r="I910" s="4"/>
    </row>
    <row r="911" spans="1:9" x14ac:dyDescent="0.25">
      <c r="A911" s="4"/>
      <c r="B911" s="4"/>
      <c r="C911" s="56"/>
      <c r="D911" s="4"/>
      <c r="E911" s="4"/>
      <c r="F911" s="4"/>
      <c r="G911" s="4"/>
      <c r="H911" s="4"/>
      <c r="I911" s="4"/>
    </row>
    <row r="912" spans="1:9" x14ac:dyDescent="0.25">
      <c r="A912" s="4"/>
      <c r="B912" s="4"/>
      <c r="C912" s="56"/>
      <c r="D912" s="4"/>
      <c r="E912" s="4"/>
      <c r="F912" s="4"/>
      <c r="G912" s="4"/>
      <c r="H912" s="4"/>
      <c r="I912" s="4"/>
    </row>
    <row r="913" spans="1:9" x14ac:dyDescent="0.25">
      <c r="A913" s="4"/>
      <c r="B913" s="4"/>
      <c r="C913" s="56"/>
      <c r="D913" s="4"/>
      <c r="E913" s="4"/>
      <c r="F913" s="4"/>
      <c r="G913" s="4"/>
      <c r="H913" s="4"/>
      <c r="I913" s="4"/>
    </row>
    <row r="914" spans="1:9" x14ac:dyDescent="0.25">
      <c r="A914" s="4"/>
      <c r="B914" s="4"/>
      <c r="C914" s="56"/>
      <c r="D914" s="4"/>
      <c r="E914" s="4"/>
      <c r="F914" s="4"/>
      <c r="G914" s="4"/>
      <c r="H914" s="4"/>
      <c r="I914" s="4"/>
    </row>
    <row r="915" spans="1:9" x14ac:dyDescent="0.25">
      <c r="A915" s="4"/>
      <c r="B915" s="4"/>
      <c r="C915" s="56"/>
      <c r="D915" s="4"/>
      <c r="E915" s="4"/>
      <c r="F915" s="4"/>
      <c r="G915" s="4"/>
      <c r="H915" s="4"/>
      <c r="I915" s="4"/>
    </row>
    <row r="916" spans="1:9" x14ac:dyDescent="0.25">
      <c r="A916" s="4"/>
      <c r="B916" s="4"/>
      <c r="C916" s="56"/>
      <c r="D916" s="4"/>
      <c r="E916" s="4"/>
      <c r="F916" s="4"/>
      <c r="G916" s="4"/>
      <c r="H916" s="4"/>
      <c r="I916" s="4"/>
    </row>
    <row r="917" spans="1:9" x14ac:dyDescent="0.25">
      <c r="A917" s="4"/>
      <c r="B917" s="4"/>
      <c r="C917" s="56"/>
      <c r="D917" s="4"/>
      <c r="E917" s="4"/>
      <c r="F917" s="4"/>
      <c r="G917" s="4"/>
      <c r="H917" s="4"/>
      <c r="I917" s="4"/>
    </row>
    <row r="918" spans="1:9" x14ac:dyDescent="0.25">
      <c r="A918" s="4"/>
      <c r="B918" s="4"/>
      <c r="C918" s="56"/>
      <c r="D918" s="4"/>
      <c r="E918" s="4"/>
      <c r="F918" s="4"/>
      <c r="G918" s="4"/>
      <c r="H918" s="4"/>
      <c r="I918" s="4"/>
    </row>
    <row r="919" spans="1:9" x14ac:dyDescent="0.25">
      <c r="A919" s="4"/>
      <c r="B919" s="4"/>
      <c r="C919" s="56"/>
      <c r="D919" s="4"/>
      <c r="E919" s="4"/>
      <c r="F919" s="4"/>
      <c r="G919" s="4"/>
      <c r="H919" s="4"/>
      <c r="I919" s="4"/>
    </row>
    <row r="920" spans="1:9" x14ac:dyDescent="0.25">
      <c r="A920" s="4"/>
      <c r="B920" s="4"/>
      <c r="C920" s="56"/>
      <c r="D920" s="4"/>
      <c r="E920" s="4"/>
      <c r="F920" s="4"/>
      <c r="G920" s="4"/>
      <c r="H920" s="4"/>
      <c r="I920" s="4"/>
    </row>
    <row r="921" spans="1:9" x14ac:dyDescent="0.25">
      <c r="A921" s="4"/>
      <c r="B921" s="4"/>
      <c r="C921" s="56"/>
      <c r="D921" s="4"/>
      <c r="E921" s="4"/>
      <c r="F921" s="4"/>
      <c r="G921" s="4"/>
      <c r="H921" s="4"/>
      <c r="I921" s="4"/>
    </row>
    <row r="922" spans="1:9" x14ac:dyDescent="0.25">
      <c r="A922" s="4"/>
      <c r="B922" s="4"/>
      <c r="C922" s="56"/>
      <c r="D922" s="4"/>
      <c r="E922" s="4"/>
      <c r="F922" s="4"/>
      <c r="G922" s="4"/>
      <c r="H922" s="4"/>
      <c r="I922" s="4"/>
    </row>
    <row r="923" spans="1:9" x14ac:dyDescent="0.25">
      <c r="A923" s="4"/>
      <c r="B923" s="4"/>
      <c r="C923" s="56"/>
      <c r="D923" s="4"/>
      <c r="E923" s="4"/>
      <c r="F923" s="4"/>
      <c r="G923" s="4"/>
      <c r="H923" s="4"/>
      <c r="I923" s="4"/>
    </row>
    <row r="924" spans="1:9" x14ac:dyDescent="0.25">
      <c r="A924" s="4"/>
      <c r="B924" s="4"/>
      <c r="C924" s="56"/>
      <c r="D924" s="4"/>
      <c r="E924" s="4"/>
      <c r="F924" s="4"/>
      <c r="G924" s="4"/>
      <c r="H924" s="4"/>
      <c r="I924" s="4"/>
    </row>
    <row r="925" spans="1:9" x14ac:dyDescent="0.25">
      <c r="A925" s="4"/>
      <c r="B925" s="4"/>
      <c r="C925" s="56"/>
      <c r="D925" s="4"/>
      <c r="E925" s="4"/>
      <c r="F925" s="4"/>
      <c r="G925" s="4"/>
      <c r="H925" s="4"/>
      <c r="I925" s="4"/>
    </row>
    <row r="926" spans="1:9" x14ac:dyDescent="0.25">
      <c r="A926" s="4"/>
      <c r="B926" s="4"/>
      <c r="C926" s="56"/>
      <c r="D926" s="4"/>
      <c r="E926" s="4"/>
      <c r="F926" s="4"/>
      <c r="G926" s="4"/>
      <c r="H926" s="4"/>
      <c r="I926" s="4"/>
    </row>
    <row r="927" spans="1:9" x14ac:dyDescent="0.25">
      <c r="A927" s="4"/>
      <c r="B927" s="4"/>
      <c r="C927" s="56"/>
      <c r="D927" s="4"/>
      <c r="E927" s="4"/>
      <c r="F927" s="4"/>
      <c r="G927" s="4"/>
      <c r="H927" s="4"/>
      <c r="I927" s="4"/>
    </row>
    <row r="928" spans="1:9" x14ac:dyDescent="0.25">
      <c r="A928" s="4"/>
      <c r="B928" s="4"/>
      <c r="C928" s="56"/>
      <c r="D928" s="4"/>
      <c r="E928" s="4"/>
      <c r="F928" s="4"/>
      <c r="G928" s="4"/>
      <c r="H928" s="4"/>
      <c r="I928" s="4"/>
    </row>
    <row r="929" spans="1:9" x14ac:dyDescent="0.25">
      <c r="A929" s="4"/>
      <c r="B929" s="4"/>
      <c r="C929" s="56"/>
      <c r="D929" s="4"/>
      <c r="E929" s="4"/>
      <c r="F929" s="4"/>
      <c r="G929" s="4"/>
      <c r="H929" s="4"/>
      <c r="I929" s="4"/>
    </row>
    <row r="930" spans="1:9" x14ac:dyDescent="0.25">
      <c r="A930" s="4"/>
      <c r="B930" s="4"/>
      <c r="C930" s="56"/>
      <c r="D930" s="4"/>
      <c r="E930" s="4"/>
      <c r="F930" s="4"/>
      <c r="G930" s="4"/>
      <c r="H930" s="4"/>
      <c r="I930" s="4"/>
    </row>
    <row r="931" spans="1:9" x14ac:dyDescent="0.25">
      <c r="A931" s="4"/>
      <c r="B931" s="4"/>
      <c r="C931" s="56"/>
      <c r="D931" s="4"/>
      <c r="E931" s="4"/>
      <c r="F931" s="4"/>
      <c r="G931" s="4"/>
      <c r="H931" s="4"/>
      <c r="I931" s="4"/>
    </row>
    <row r="932" spans="1:9" x14ac:dyDescent="0.25">
      <c r="A932" s="4"/>
      <c r="B932" s="4"/>
      <c r="C932" s="56"/>
      <c r="D932" s="4"/>
      <c r="E932" s="4"/>
      <c r="F932" s="4"/>
      <c r="G932" s="4"/>
      <c r="H932" s="4"/>
      <c r="I932" s="4"/>
    </row>
    <row r="933" spans="1:9" x14ac:dyDescent="0.25">
      <c r="A933" s="4"/>
      <c r="B933" s="4"/>
      <c r="C933" s="56"/>
      <c r="D933" s="4"/>
      <c r="E933" s="4"/>
      <c r="F933" s="4"/>
      <c r="G933" s="4"/>
      <c r="H933" s="4"/>
      <c r="I933" s="4"/>
    </row>
    <row r="934" spans="1:9" x14ac:dyDescent="0.25">
      <c r="A934" s="4"/>
      <c r="B934" s="4"/>
      <c r="C934" s="56"/>
      <c r="D934" s="4"/>
      <c r="E934" s="4"/>
      <c r="F934" s="4"/>
      <c r="G934" s="4"/>
      <c r="H934" s="4"/>
      <c r="I934" s="4"/>
    </row>
    <row r="935" spans="1:9" x14ac:dyDescent="0.25">
      <c r="A935" s="4"/>
      <c r="B935" s="4"/>
      <c r="C935" s="56"/>
      <c r="D935" s="4"/>
      <c r="E935" s="4"/>
      <c r="F935" s="4"/>
      <c r="G935" s="4"/>
      <c r="H935" s="4"/>
      <c r="I935" s="4"/>
    </row>
    <row r="936" spans="1:9" x14ac:dyDescent="0.25">
      <c r="A936" s="4"/>
      <c r="B936" s="4"/>
      <c r="C936" s="56"/>
      <c r="D936" s="4"/>
      <c r="E936" s="4"/>
      <c r="F936" s="4"/>
      <c r="G936" s="4"/>
      <c r="H936" s="4"/>
      <c r="I936" s="4"/>
    </row>
    <row r="937" spans="1:9" x14ac:dyDescent="0.25">
      <c r="A937" s="4"/>
      <c r="B937" s="4"/>
      <c r="C937" s="56"/>
      <c r="D937" s="4"/>
      <c r="E937" s="4"/>
      <c r="F937" s="4"/>
      <c r="G937" s="4"/>
      <c r="H937" s="4"/>
      <c r="I937" s="4"/>
    </row>
    <row r="938" spans="1:9" x14ac:dyDescent="0.25">
      <c r="A938" s="4"/>
      <c r="B938" s="4"/>
      <c r="C938" s="56"/>
      <c r="D938" s="4"/>
      <c r="E938" s="4"/>
      <c r="F938" s="4"/>
      <c r="G938" s="4"/>
      <c r="H938" s="4"/>
      <c r="I938" s="4"/>
    </row>
    <row r="939" spans="1:9" x14ac:dyDescent="0.25">
      <c r="A939" s="4"/>
      <c r="B939" s="4"/>
      <c r="C939" s="56"/>
      <c r="D939" s="4"/>
      <c r="E939" s="4"/>
      <c r="F939" s="4"/>
      <c r="G939" s="4"/>
      <c r="H939" s="4"/>
      <c r="I939" s="4"/>
    </row>
    <row r="940" spans="1:9" x14ac:dyDescent="0.25">
      <c r="A940" s="4"/>
      <c r="B940" s="4"/>
      <c r="C940" s="56"/>
      <c r="D940" s="4"/>
      <c r="E940" s="4"/>
      <c r="F940" s="4"/>
      <c r="G940" s="4"/>
      <c r="H940" s="4"/>
      <c r="I940" s="4"/>
    </row>
    <row r="941" spans="1:9" x14ac:dyDescent="0.25">
      <c r="A941" s="4"/>
      <c r="B941" s="4"/>
      <c r="C941" s="56"/>
      <c r="D941" s="4"/>
      <c r="E941" s="4"/>
      <c r="F941" s="4"/>
      <c r="G941" s="4"/>
      <c r="H941" s="4"/>
      <c r="I941" s="4"/>
    </row>
    <row r="942" spans="1:9" x14ac:dyDescent="0.25">
      <c r="A942" s="4"/>
      <c r="B942" s="4"/>
      <c r="C942" s="56"/>
      <c r="D942" s="4"/>
      <c r="E942" s="4"/>
      <c r="F942" s="4"/>
      <c r="G942" s="4"/>
      <c r="H942" s="4"/>
      <c r="I942" s="4"/>
    </row>
    <row r="943" spans="1:9" x14ac:dyDescent="0.25">
      <c r="A943" s="4"/>
      <c r="B943" s="4"/>
      <c r="C943" s="56"/>
      <c r="D943" s="4"/>
      <c r="E943" s="4"/>
      <c r="F943" s="4"/>
      <c r="G943" s="4"/>
      <c r="H943" s="4"/>
      <c r="I943" s="4"/>
    </row>
    <row r="944" spans="1:9" x14ac:dyDescent="0.25">
      <c r="A944" s="4"/>
      <c r="B944" s="4"/>
      <c r="C944" s="56"/>
      <c r="D944" s="4"/>
      <c r="E944" s="4"/>
      <c r="F944" s="4"/>
      <c r="G944" s="4"/>
      <c r="H944" s="4"/>
      <c r="I944" s="4"/>
    </row>
    <row r="945" spans="1:9" x14ac:dyDescent="0.25">
      <c r="A945" s="4"/>
      <c r="B945" s="4"/>
      <c r="C945" s="56"/>
      <c r="D945" s="4"/>
      <c r="E945" s="4"/>
      <c r="F945" s="4"/>
      <c r="G945" s="4"/>
      <c r="H945" s="4"/>
      <c r="I945" s="4"/>
    </row>
    <row r="946" spans="1:9" x14ac:dyDescent="0.25">
      <c r="A946" s="4"/>
      <c r="B946" s="4"/>
      <c r="C946" s="56"/>
      <c r="D946" s="4"/>
      <c r="E946" s="4"/>
      <c r="F946" s="4"/>
      <c r="G946" s="4"/>
      <c r="H946" s="4"/>
      <c r="I946" s="4"/>
    </row>
    <row r="947" spans="1:9" x14ac:dyDescent="0.25">
      <c r="A947" s="4"/>
      <c r="B947" s="4"/>
      <c r="C947" s="56"/>
      <c r="D947" s="4"/>
      <c r="E947" s="4"/>
      <c r="F947" s="4"/>
      <c r="G947" s="4"/>
      <c r="H947" s="4"/>
      <c r="I947" s="4"/>
    </row>
    <row r="948" spans="1:9" x14ac:dyDescent="0.25">
      <c r="A948" s="4"/>
      <c r="B948" s="4"/>
      <c r="C948" s="56"/>
      <c r="D948" s="4"/>
      <c r="E948" s="4"/>
      <c r="F948" s="4"/>
      <c r="G948" s="4"/>
      <c r="H948" s="4"/>
      <c r="I948" s="4"/>
    </row>
    <row r="949" spans="1:9" x14ac:dyDescent="0.25">
      <c r="A949" s="4"/>
      <c r="B949" s="4"/>
      <c r="C949" s="56"/>
      <c r="D949" s="4"/>
      <c r="E949" s="4"/>
      <c r="F949" s="4"/>
      <c r="G949" s="4"/>
      <c r="H949" s="4"/>
      <c r="I949" s="4"/>
    </row>
    <row r="950" spans="1:9" x14ac:dyDescent="0.25">
      <c r="A950" s="4"/>
      <c r="B950" s="4"/>
      <c r="C950" s="56"/>
      <c r="D950" s="4"/>
      <c r="E950" s="4"/>
      <c r="F950" s="4"/>
      <c r="G950" s="4"/>
      <c r="H950" s="4"/>
      <c r="I950" s="4"/>
    </row>
    <row r="951" spans="1:9" x14ac:dyDescent="0.25">
      <c r="A951" s="4"/>
      <c r="B951" s="4"/>
      <c r="C951" s="56"/>
      <c r="D951" s="4"/>
      <c r="E951" s="4"/>
      <c r="F951" s="4"/>
      <c r="G951" s="4"/>
      <c r="H951" s="4"/>
      <c r="I951" s="4"/>
    </row>
    <row r="952" spans="1:9" x14ac:dyDescent="0.25">
      <c r="A952" s="4"/>
      <c r="B952" s="4"/>
      <c r="C952" s="56"/>
      <c r="D952" s="4"/>
      <c r="E952" s="4"/>
      <c r="F952" s="4"/>
      <c r="G952" s="4"/>
      <c r="H952" s="4"/>
      <c r="I952" s="4"/>
    </row>
    <row r="953" spans="1:9" x14ac:dyDescent="0.25">
      <c r="A953" s="4"/>
      <c r="B953" s="4"/>
      <c r="C953" s="56"/>
      <c r="D953" s="4"/>
      <c r="E953" s="4"/>
      <c r="F953" s="4"/>
      <c r="G953" s="4"/>
      <c r="H953" s="4"/>
      <c r="I953" s="4"/>
    </row>
    <row r="954" spans="1:9" x14ac:dyDescent="0.25">
      <c r="A954" s="4"/>
      <c r="B954" s="4"/>
      <c r="C954" s="56"/>
      <c r="D954" s="4"/>
      <c r="E954" s="4"/>
      <c r="F954" s="4"/>
      <c r="G954" s="4"/>
      <c r="H954" s="4"/>
      <c r="I954" s="4"/>
    </row>
    <row r="955" spans="1:9" x14ac:dyDescent="0.25">
      <c r="A955" s="4"/>
      <c r="B955" s="4"/>
      <c r="C955" s="56"/>
      <c r="D955" s="4"/>
      <c r="E955" s="4"/>
      <c r="F955" s="4"/>
      <c r="G955" s="4"/>
      <c r="H955" s="4"/>
      <c r="I955" s="4"/>
    </row>
    <row r="956" spans="1:9" x14ac:dyDescent="0.25">
      <c r="A956" s="4"/>
      <c r="B956" s="4"/>
      <c r="C956" s="56"/>
      <c r="D956" s="4"/>
      <c r="E956" s="4"/>
      <c r="F956" s="4"/>
      <c r="G956" s="4"/>
      <c r="H956" s="4"/>
      <c r="I956" s="4"/>
    </row>
    <row r="957" spans="1:9" x14ac:dyDescent="0.25">
      <c r="A957" s="4"/>
      <c r="B957" s="4"/>
      <c r="C957" s="56"/>
      <c r="D957" s="4"/>
      <c r="E957" s="4"/>
      <c r="F957" s="4"/>
      <c r="G957" s="4"/>
      <c r="H957" s="4"/>
      <c r="I957" s="4"/>
    </row>
    <row r="958" spans="1:9" x14ac:dyDescent="0.25">
      <c r="A958" s="4"/>
      <c r="B958" s="4"/>
      <c r="C958" s="56"/>
      <c r="D958" s="4"/>
      <c r="E958" s="4"/>
      <c r="F958" s="4"/>
      <c r="G958" s="4"/>
      <c r="H958" s="4"/>
      <c r="I958" s="4"/>
    </row>
    <row r="959" spans="1:9" x14ac:dyDescent="0.25">
      <c r="A959" s="4"/>
      <c r="B959" s="4"/>
      <c r="C959" s="56"/>
      <c r="D959" s="4"/>
      <c r="E959" s="4"/>
      <c r="F959" s="4"/>
      <c r="G959" s="4"/>
      <c r="H959" s="4"/>
      <c r="I959" s="4"/>
    </row>
    <row r="960" spans="1:9" x14ac:dyDescent="0.25">
      <c r="A960" s="4"/>
      <c r="B960" s="4"/>
      <c r="C960" s="56"/>
      <c r="D960" s="4"/>
      <c r="E960" s="4"/>
      <c r="F960" s="4"/>
      <c r="G960" s="4"/>
      <c r="H960" s="4"/>
      <c r="I960" s="4"/>
    </row>
    <row r="961" spans="1:9" x14ac:dyDescent="0.25">
      <c r="A961" s="4"/>
      <c r="B961" s="4"/>
      <c r="C961" s="56"/>
      <c r="D961" s="4"/>
      <c r="E961" s="4"/>
      <c r="F961" s="4"/>
      <c r="G961" s="4"/>
      <c r="H961" s="4"/>
      <c r="I961" s="4"/>
    </row>
    <row r="962" spans="1:9" x14ac:dyDescent="0.25">
      <c r="A962" s="4"/>
      <c r="B962" s="4"/>
      <c r="C962" s="56"/>
      <c r="D962" s="4"/>
      <c r="E962" s="4"/>
      <c r="F962" s="4"/>
      <c r="G962" s="4"/>
      <c r="H962" s="4"/>
      <c r="I962" s="4"/>
    </row>
    <row r="963" spans="1:9" x14ac:dyDescent="0.25">
      <c r="A963" s="4"/>
      <c r="B963" s="4"/>
      <c r="C963" s="56"/>
      <c r="D963" s="4"/>
      <c r="E963" s="4"/>
      <c r="F963" s="4"/>
      <c r="G963" s="4"/>
      <c r="H963" s="4"/>
      <c r="I963" s="4"/>
    </row>
    <row r="964" spans="1:9" x14ac:dyDescent="0.25">
      <c r="A964" s="4"/>
      <c r="B964" s="4"/>
      <c r="C964" s="56"/>
      <c r="D964" s="4"/>
      <c r="E964" s="4"/>
      <c r="F964" s="4"/>
      <c r="G964" s="4"/>
      <c r="H964" s="4"/>
      <c r="I964" s="4"/>
    </row>
    <row r="965" spans="1:9" x14ac:dyDescent="0.25">
      <c r="A965" s="4"/>
      <c r="B965" s="4"/>
      <c r="C965" s="56"/>
      <c r="D965" s="4"/>
      <c r="E965" s="4"/>
      <c r="F965" s="4"/>
      <c r="G965" s="4"/>
      <c r="H965" s="4"/>
      <c r="I965" s="4"/>
    </row>
    <row r="966" spans="1:9" x14ac:dyDescent="0.25">
      <c r="A966" s="4"/>
      <c r="B966" s="4"/>
      <c r="C966" s="56"/>
      <c r="D966" s="4"/>
      <c r="E966" s="4"/>
      <c r="F966" s="4"/>
      <c r="G966" s="4"/>
      <c r="H966" s="4"/>
      <c r="I966" s="4"/>
    </row>
    <row r="967" spans="1:9" x14ac:dyDescent="0.25">
      <c r="A967" s="4"/>
      <c r="B967" s="4"/>
      <c r="C967" s="56"/>
      <c r="D967" s="4"/>
      <c r="E967" s="4"/>
      <c r="F967" s="4"/>
      <c r="G967" s="4"/>
      <c r="H967" s="4"/>
      <c r="I967" s="4"/>
    </row>
    <row r="968" spans="1:9" x14ac:dyDescent="0.25">
      <c r="A968" s="4"/>
      <c r="B968" s="4"/>
      <c r="C968" s="56"/>
      <c r="D968" s="4"/>
      <c r="E968" s="4"/>
      <c r="F968" s="4"/>
      <c r="G968" s="4"/>
      <c r="H968" s="4"/>
      <c r="I968" s="4"/>
    </row>
    <row r="969" spans="1:9" x14ac:dyDescent="0.25">
      <c r="A969" s="4"/>
      <c r="B969" s="4"/>
      <c r="C969" s="56"/>
      <c r="D969" s="4"/>
      <c r="E969" s="4"/>
      <c r="F969" s="4"/>
      <c r="G969" s="4"/>
      <c r="H969" s="4"/>
      <c r="I969" s="4"/>
    </row>
    <row r="970" spans="1:9" x14ac:dyDescent="0.25">
      <c r="A970" s="4"/>
      <c r="B970" s="4"/>
      <c r="C970" s="56"/>
      <c r="D970" s="4"/>
      <c r="E970" s="4"/>
      <c r="F970" s="4"/>
      <c r="G970" s="4"/>
      <c r="H970" s="4"/>
      <c r="I970" s="4"/>
    </row>
    <row r="971" spans="1:9" x14ac:dyDescent="0.25">
      <c r="A971" s="4"/>
      <c r="B971" s="4"/>
      <c r="C971" s="56"/>
      <c r="D971" s="4"/>
      <c r="E971" s="4"/>
      <c r="F971" s="4"/>
      <c r="G971" s="4"/>
      <c r="H971" s="4"/>
      <c r="I971" s="4"/>
    </row>
    <row r="972" spans="1:9" x14ac:dyDescent="0.25">
      <c r="A972" s="4"/>
      <c r="B972" s="4"/>
      <c r="C972" s="56"/>
      <c r="D972" s="4"/>
      <c r="E972" s="4"/>
      <c r="F972" s="4"/>
      <c r="G972" s="4"/>
      <c r="H972" s="4"/>
      <c r="I972" s="4"/>
    </row>
    <row r="973" spans="1:9" x14ac:dyDescent="0.25">
      <c r="A973" s="4"/>
      <c r="B973" s="4"/>
      <c r="C973" s="56"/>
      <c r="D973" s="4"/>
      <c r="E973" s="4"/>
      <c r="F973" s="4"/>
      <c r="G973" s="4"/>
      <c r="H973" s="4"/>
      <c r="I973" s="4"/>
    </row>
    <row r="974" spans="1:9" x14ac:dyDescent="0.25">
      <c r="A974" s="4"/>
      <c r="B974" s="4"/>
      <c r="C974" s="56"/>
      <c r="D974" s="4"/>
      <c r="E974" s="4"/>
      <c r="F974" s="4"/>
      <c r="G974" s="4"/>
      <c r="H974" s="4"/>
      <c r="I974" s="4"/>
    </row>
    <row r="975" spans="1:9" x14ac:dyDescent="0.25">
      <c r="A975" s="4"/>
      <c r="B975" s="4"/>
      <c r="C975" s="56"/>
      <c r="D975" s="4"/>
      <c r="E975" s="4"/>
      <c r="F975" s="4"/>
      <c r="G975" s="4"/>
      <c r="H975" s="4"/>
      <c r="I975" s="4"/>
    </row>
    <row r="976" spans="1:9" x14ac:dyDescent="0.25">
      <c r="A976" s="4"/>
      <c r="B976" s="4"/>
      <c r="C976" s="56"/>
      <c r="D976" s="4"/>
      <c r="E976" s="4"/>
      <c r="F976" s="4"/>
      <c r="G976" s="4"/>
      <c r="H976" s="4"/>
      <c r="I976" s="4"/>
    </row>
    <row r="977" spans="1:9" x14ac:dyDescent="0.25">
      <c r="A977" s="4"/>
      <c r="B977" s="4"/>
      <c r="C977" s="56"/>
      <c r="D977" s="4"/>
      <c r="E977" s="4"/>
      <c r="F977" s="4"/>
      <c r="G977" s="4"/>
      <c r="H977" s="4"/>
      <c r="I977" s="4"/>
    </row>
    <row r="978" spans="1:9" x14ac:dyDescent="0.25">
      <c r="A978" s="4"/>
      <c r="B978" s="4"/>
      <c r="C978" s="56"/>
      <c r="D978" s="4"/>
      <c r="E978" s="4"/>
      <c r="F978" s="4"/>
      <c r="G978" s="4"/>
      <c r="H978" s="4"/>
      <c r="I978" s="4"/>
    </row>
    <row r="979" spans="1:9" x14ac:dyDescent="0.25">
      <c r="A979" s="4"/>
      <c r="B979" s="4"/>
      <c r="C979" s="56"/>
      <c r="D979" s="4"/>
      <c r="E979" s="4"/>
      <c r="F979" s="4"/>
      <c r="G979" s="4"/>
      <c r="H979" s="4"/>
      <c r="I979" s="4"/>
    </row>
    <row r="980" spans="1:9" x14ac:dyDescent="0.25">
      <c r="A980" s="4"/>
      <c r="B980" s="4"/>
      <c r="C980" s="56"/>
      <c r="D980" s="4"/>
      <c r="E980" s="4"/>
      <c r="F980" s="4"/>
      <c r="G980" s="4"/>
      <c r="H980" s="4"/>
      <c r="I980" s="4"/>
    </row>
    <row r="981" spans="1:9" x14ac:dyDescent="0.25">
      <c r="A981" s="4"/>
      <c r="B981" s="4"/>
      <c r="C981" s="56"/>
      <c r="D981" s="4"/>
      <c r="E981" s="4"/>
      <c r="F981" s="4"/>
      <c r="G981" s="4"/>
      <c r="H981" s="4"/>
      <c r="I981" s="4"/>
    </row>
    <row r="982" spans="1:9" x14ac:dyDescent="0.25">
      <c r="A982" s="4"/>
      <c r="B982" s="4"/>
      <c r="C982" s="56"/>
      <c r="D982" s="4"/>
      <c r="E982" s="4"/>
      <c r="F982" s="4"/>
      <c r="G982" s="4"/>
      <c r="H982" s="4"/>
      <c r="I982" s="4"/>
    </row>
    <row r="983" spans="1:9" x14ac:dyDescent="0.25">
      <c r="A983" s="4"/>
      <c r="B983" s="4"/>
      <c r="C983" s="56"/>
      <c r="D983" s="4"/>
      <c r="E983" s="4"/>
      <c r="F983" s="4"/>
      <c r="G983" s="4"/>
      <c r="H983" s="4"/>
      <c r="I983" s="4"/>
    </row>
    <row r="984" spans="1:9" x14ac:dyDescent="0.25">
      <c r="A984" s="4"/>
      <c r="B984" s="4"/>
      <c r="C984" s="56"/>
      <c r="D984" s="4"/>
      <c r="E984" s="4"/>
      <c r="F984" s="4"/>
      <c r="G984" s="4"/>
      <c r="H984" s="4"/>
      <c r="I984" s="4"/>
    </row>
    <row r="985" spans="1:9" x14ac:dyDescent="0.25">
      <c r="A985" s="4"/>
      <c r="B985" s="4"/>
      <c r="C985" s="56"/>
      <c r="D985" s="4"/>
      <c r="E985" s="4"/>
      <c r="F985" s="4"/>
      <c r="G985" s="4"/>
      <c r="H985" s="4"/>
      <c r="I985" s="4"/>
    </row>
    <row r="986" spans="1:9" x14ac:dyDescent="0.25">
      <c r="A986" s="4"/>
      <c r="B986" s="4"/>
      <c r="C986" s="56"/>
      <c r="D986" s="4"/>
      <c r="E986" s="4"/>
      <c r="F986" s="4"/>
      <c r="G986" s="4"/>
      <c r="H986" s="4"/>
      <c r="I986" s="4"/>
    </row>
    <row r="987" spans="1:9" x14ac:dyDescent="0.25">
      <c r="A987" s="4"/>
      <c r="B987" s="4"/>
      <c r="C987" s="56"/>
      <c r="D987" s="4"/>
      <c r="E987" s="4"/>
      <c r="F987" s="4"/>
      <c r="G987" s="4"/>
      <c r="H987" s="4"/>
      <c r="I987" s="4"/>
    </row>
    <row r="988" spans="1:9" x14ac:dyDescent="0.25">
      <c r="A988" s="4"/>
      <c r="B988" s="4"/>
      <c r="C988" s="56"/>
      <c r="D988" s="4"/>
      <c r="E988" s="4"/>
      <c r="F988" s="4"/>
      <c r="G988" s="4"/>
      <c r="H988" s="4"/>
      <c r="I988" s="4"/>
    </row>
    <row r="989" spans="1:9" x14ac:dyDescent="0.25">
      <c r="A989" s="4"/>
      <c r="B989" s="4"/>
      <c r="C989" s="56"/>
      <c r="D989" s="4"/>
      <c r="E989" s="4"/>
      <c r="F989" s="4"/>
      <c r="G989" s="4"/>
      <c r="H989" s="4"/>
      <c r="I989" s="4"/>
    </row>
    <row r="990" spans="1:9" x14ac:dyDescent="0.25">
      <c r="A990" s="4"/>
      <c r="B990" s="4"/>
      <c r="C990" s="56"/>
      <c r="D990" s="4"/>
      <c r="E990" s="4"/>
      <c r="F990" s="4"/>
      <c r="G990" s="4"/>
      <c r="H990" s="4"/>
      <c r="I990" s="4"/>
    </row>
    <row r="991" spans="1:9" x14ac:dyDescent="0.25">
      <c r="A991" s="4"/>
      <c r="B991" s="4"/>
      <c r="C991" s="56"/>
      <c r="D991" s="4"/>
      <c r="E991" s="4"/>
      <c r="F991" s="4"/>
      <c r="G991" s="4"/>
      <c r="H991" s="4"/>
      <c r="I991" s="4"/>
    </row>
    <row r="992" spans="1:9" x14ac:dyDescent="0.25">
      <c r="A992" s="4"/>
      <c r="B992" s="4"/>
      <c r="C992" s="56"/>
      <c r="D992" s="4"/>
      <c r="E992" s="4"/>
      <c r="F992" s="4"/>
      <c r="G992" s="4"/>
      <c r="H992" s="4"/>
      <c r="I992" s="4"/>
    </row>
    <row r="993" spans="1:9" x14ac:dyDescent="0.25">
      <c r="A993" s="4"/>
      <c r="B993" s="4"/>
      <c r="C993" s="56"/>
      <c r="D993" s="4"/>
      <c r="E993" s="4"/>
      <c r="F993" s="4"/>
      <c r="G993" s="4"/>
      <c r="H993" s="4"/>
      <c r="I993" s="4"/>
    </row>
    <row r="994" spans="1:9" x14ac:dyDescent="0.25">
      <c r="A994" s="4"/>
      <c r="B994" s="4"/>
      <c r="C994" s="56"/>
      <c r="D994" s="4"/>
      <c r="E994" s="4"/>
      <c r="F994" s="4"/>
      <c r="G994" s="4"/>
      <c r="H994" s="4"/>
      <c r="I994" s="4"/>
    </row>
    <row r="995" spans="1:9" x14ac:dyDescent="0.25">
      <c r="A995" s="4"/>
      <c r="B995" s="4"/>
      <c r="C995" s="56"/>
      <c r="D995" s="4"/>
      <c r="E995" s="4"/>
      <c r="F995" s="4"/>
      <c r="G995" s="4"/>
      <c r="H995" s="4"/>
      <c r="I995" s="4"/>
    </row>
    <row r="996" spans="1:9" x14ac:dyDescent="0.25">
      <c r="A996" s="4"/>
      <c r="B996" s="4"/>
      <c r="C996" s="56"/>
      <c r="D996" s="4"/>
      <c r="E996" s="4"/>
      <c r="F996" s="4"/>
      <c r="G996" s="4"/>
      <c r="H996" s="4"/>
      <c r="I996" s="4"/>
    </row>
    <row r="997" spans="1:9" x14ac:dyDescent="0.25">
      <c r="A997" s="4"/>
      <c r="B997" s="4"/>
      <c r="C997" s="56"/>
      <c r="D997" s="4"/>
      <c r="E997" s="4"/>
      <c r="F997" s="4"/>
      <c r="G997" s="4"/>
      <c r="H997" s="4"/>
      <c r="I997" s="4"/>
    </row>
    <row r="998" spans="1:9" x14ac:dyDescent="0.25">
      <c r="A998" s="4"/>
      <c r="B998" s="4"/>
      <c r="C998" s="56"/>
      <c r="D998" s="4"/>
      <c r="E998" s="4"/>
      <c r="F998" s="4"/>
      <c r="G998" s="4"/>
      <c r="H998" s="4"/>
      <c r="I998" s="4"/>
    </row>
    <row r="999" spans="1:9" x14ac:dyDescent="0.25">
      <c r="A999" s="4"/>
      <c r="B999" s="4"/>
      <c r="C999" s="56"/>
      <c r="D999" s="4"/>
      <c r="E999" s="4"/>
      <c r="F999" s="4"/>
      <c r="G999" s="4"/>
      <c r="H999" s="4"/>
      <c r="I999" s="4"/>
    </row>
    <row r="1000" spans="1:9" x14ac:dyDescent="0.25">
      <c r="A1000" s="4"/>
      <c r="B1000" s="4"/>
      <c r="C1000" s="56"/>
      <c r="D1000" s="4"/>
      <c r="E1000" s="4"/>
      <c r="F1000" s="4"/>
      <c r="G1000" s="4"/>
      <c r="H1000" s="4"/>
      <c r="I1000" s="4"/>
    </row>
    <row r="1001" spans="1:9" x14ac:dyDescent="0.25">
      <c r="A1001" s="4"/>
      <c r="B1001" s="4"/>
      <c r="C1001" s="56"/>
      <c r="D1001" s="4"/>
      <c r="E1001" s="4"/>
      <c r="F1001" s="4"/>
      <c r="G1001" s="4"/>
      <c r="H1001" s="4"/>
      <c r="I1001" s="4"/>
    </row>
  </sheetData>
  <dataValidations count="1">
    <dataValidation type="list" allowBlank="1" showInputMessage="1" showErrorMessage="1" sqref="B2:B19 B22:C51">
      <formula1>"Адмиралтейский,Василеостровский,Выборгский,Калининский,Кировский,Колпинский,Красногвардейский,Красносельский,Кронштадтский,Курортный,Московский,Невский,Петроградский,Петродворцовый,Приморский,Пушкинский,Фрунзенский,Центральный"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999"/>
  <sheetViews>
    <sheetView tabSelected="1" workbookViewId="0">
      <pane ySplit="1" topLeftCell="A8" activePane="bottomLeft" state="frozen"/>
      <selection pane="bottomLeft" activeCell="R14" sqref="R14"/>
    </sheetView>
  </sheetViews>
  <sheetFormatPr defaultRowHeight="15" x14ac:dyDescent="0.25"/>
  <cols>
    <col min="1" max="1" width="3.85546875" style="5" customWidth="1"/>
    <col min="2" max="2" width="7.7109375" style="5" customWidth="1"/>
    <col min="3" max="3" width="10.42578125" style="5" customWidth="1"/>
    <col min="4" max="4" width="11.140625" style="5" customWidth="1"/>
    <col min="5" max="5" width="10.42578125" style="5" customWidth="1"/>
    <col min="6" max="6" width="16.7109375" style="5" customWidth="1"/>
    <col min="7" max="7" width="21.5703125" style="3" customWidth="1"/>
    <col min="8" max="8" width="25.140625" style="5" customWidth="1"/>
    <col min="9" max="9" width="16.140625" style="5" bestFit="1" customWidth="1"/>
    <col min="10" max="10" width="8.7109375" style="5" customWidth="1"/>
    <col min="11" max="11" width="10.7109375" style="5" customWidth="1"/>
    <col min="12" max="12" width="12.7109375" style="5" customWidth="1"/>
    <col min="13" max="13" width="10.28515625" style="5" customWidth="1"/>
    <col min="14" max="14" width="24.42578125" style="5" customWidth="1"/>
    <col min="15" max="15" width="9.140625" style="5" customWidth="1"/>
    <col min="16" max="16384" width="9.140625" style="5"/>
  </cols>
  <sheetData>
    <row r="1" spans="1:14" ht="51" customHeight="1" x14ac:dyDescent="0.25">
      <c r="A1" s="1" t="s">
        <v>14</v>
      </c>
      <c r="B1" s="1" t="s">
        <v>15</v>
      </c>
      <c r="C1" s="1" t="s">
        <v>16</v>
      </c>
      <c r="D1" s="1" t="s">
        <v>3</v>
      </c>
      <c r="E1" s="1" t="s">
        <v>4</v>
      </c>
      <c r="F1" s="9" t="s">
        <v>5</v>
      </c>
      <c r="G1" s="1" t="s">
        <v>6</v>
      </c>
      <c r="H1" s="1" t="s">
        <v>7</v>
      </c>
      <c r="I1" s="1" t="s">
        <v>8</v>
      </c>
      <c r="J1" s="1" t="s">
        <v>17</v>
      </c>
      <c r="K1" s="1" t="s">
        <v>10</v>
      </c>
      <c r="L1" s="1" t="s">
        <v>11</v>
      </c>
      <c r="M1" s="9" t="s">
        <v>12</v>
      </c>
      <c r="N1" s="1" t="s">
        <v>13</v>
      </c>
    </row>
    <row r="2" spans="1:14" ht="25.5" customHeight="1" x14ac:dyDescent="0.25">
      <c r="A2" s="17">
        <v>1</v>
      </c>
      <c r="B2" s="16" t="s">
        <v>18</v>
      </c>
      <c r="C2" s="17">
        <v>1</v>
      </c>
      <c r="D2" s="17">
        <v>9.6</v>
      </c>
      <c r="E2" s="17">
        <v>8.3000000000000007</v>
      </c>
      <c r="F2" s="16" t="s">
        <v>19</v>
      </c>
      <c r="G2" s="17" t="s">
        <v>20</v>
      </c>
      <c r="H2" s="17" t="s">
        <v>21</v>
      </c>
      <c r="I2" s="17" t="s">
        <v>22</v>
      </c>
      <c r="J2" s="17" t="s">
        <v>23</v>
      </c>
      <c r="K2" s="18">
        <v>46150</v>
      </c>
      <c r="L2" s="17" t="s">
        <v>24</v>
      </c>
      <c r="M2" s="7" t="s">
        <v>25</v>
      </c>
      <c r="N2" s="8"/>
    </row>
    <row r="3" spans="1:14" ht="25.5" customHeight="1" x14ac:dyDescent="0.25">
      <c r="A3" s="17">
        <v>2</v>
      </c>
      <c r="B3" s="16" t="s">
        <v>18</v>
      </c>
      <c r="C3" s="17">
        <v>2</v>
      </c>
      <c r="D3" s="17">
        <v>16.3</v>
      </c>
      <c r="E3" s="17">
        <v>8.1999999999999993</v>
      </c>
      <c r="F3" s="16" t="s">
        <v>19</v>
      </c>
      <c r="G3" s="17" t="s">
        <v>26</v>
      </c>
      <c r="H3" s="17" t="s">
        <v>27</v>
      </c>
      <c r="I3" s="17" t="s">
        <v>921</v>
      </c>
      <c r="J3" s="17" t="s">
        <v>29</v>
      </c>
      <c r="K3" s="18">
        <v>46135</v>
      </c>
      <c r="L3" s="17" t="s">
        <v>24</v>
      </c>
      <c r="M3" s="7" t="s">
        <v>25</v>
      </c>
      <c r="N3" s="17"/>
    </row>
    <row r="4" spans="1:14" ht="25.5" customHeight="1" x14ac:dyDescent="0.25">
      <c r="A4" s="17">
        <v>3</v>
      </c>
      <c r="B4" s="16" t="s">
        <v>18</v>
      </c>
      <c r="C4" s="17">
        <v>3</v>
      </c>
      <c r="D4" s="17">
        <v>12.2</v>
      </c>
      <c r="E4" s="17"/>
      <c r="F4" s="16" t="s">
        <v>19</v>
      </c>
      <c r="G4" s="17" t="s">
        <v>20</v>
      </c>
      <c r="H4" s="17" t="s">
        <v>21</v>
      </c>
      <c r="I4" s="17" t="s">
        <v>22</v>
      </c>
      <c r="J4" s="17" t="s">
        <v>23</v>
      </c>
      <c r="K4" s="18">
        <v>46150</v>
      </c>
      <c r="L4" s="17" t="s">
        <v>24</v>
      </c>
      <c r="M4" s="7" t="s">
        <v>25</v>
      </c>
      <c r="N4" s="17"/>
    </row>
    <row r="5" spans="1:14" ht="51" customHeight="1" x14ac:dyDescent="0.25">
      <c r="A5" s="17">
        <v>4</v>
      </c>
      <c r="B5" s="16" t="s">
        <v>30</v>
      </c>
      <c r="C5" s="17">
        <v>1</v>
      </c>
      <c r="D5" s="17">
        <v>12.2</v>
      </c>
      <c r="E5" s="17">
        <v>9.8000000000000007</v>
      </c>
      <c r="F5" s="16" t="s">
        <v>31</v>
      </c>
      <c r="G5" s="17" t="s">
        <v>32</v>
      </c>
      <c r="H5" s="17" t="s">
        <v>33</v>
      </c>
      <c r="I5" s="17" t="s">
        <v>34</v>
      </c>
      <c r="J5" s="17" t="s">
        <v>35</v>
      </c>
      <c r="K5" s="18">
        <v>46144</v>
      </c>
      <c r="L5" s="17" t="s">
        <v>24</v>
      </c>
      <c r="M5" s="7" t="s">
        <v>25</v>
      </c>
      <c r="N5" s="17"/>
    </row>
    <row r="6" spans="1:14" ht="25.5" customHeight="1" x14ac:dyDescent="0.25">
      <c r="A6" s="17">
        <v>5</v>
      </c>
      <c r="B6" s="16" t="s">
        <v>30</v>
      </c>
      <c r="C6" s="17">
        <v>2</v>
      </c>
      <c r="D6" s="17">
        <v>11.8</v>
      </c>
      <c r="E6" s="17">
        <v>9.3000000000000007</v>
      </c>
      <c r="F6" s="16" t="s">
        <v>31</v>
      </c>
      <c r="G6" s="17" t="s">
        <v>36</v>
      </c>
      <c r="H6" s="17" t="s">
        <v>37</v>
      </c>
      <c r="I6" s="17" t="s">
        <v>38</v>
      </c>
      <c r="J6" s="17" t="s">
        <v>39</v>
      </c>
      <c r="K6" s="18">
        <v>46144</v>
      </c>
      <c r="L6" s="17" t="s">
        <v>24</v>
      </c>
      <c r="M6" s="7" t="s">
        <v>25</v>
      </c>
      <c r="N6" s="17"/>
    </row>
    <row r="7" spans="1:14" ht="25.5" customHeight="1" x14ac:dyDescent="0.25">
      <c r="A7" s="17">
        <v>6</v>
      </c>
      <c r="B7" s="16" t="s">
        <v>30</v>
      </c>
      <c r="C7" s="17">
        <v>3</v>
      </c>
      <c r="D7" s="17">
        <v>19.2</v>
      </c>
      <c r="E7" s="17">
        <v>12.6</v>
      </c>
      <c r="F7" s="16" t="s">
        <v>31</v>
      </c>
      <c r="G7" s="17" t="s">
        <v>40</v>
      </c>
      <c r="H7" s="17" t="s">
        <v>41</v>
      </c>
      <c r="I7" s="17" t="s">
        <v>42</v>
      </c>
      <c r="J7" s="17" t="s">
        <v>43</v>
      </c>
      <c r="K7" s="18">
        <v>46147</v>
      </c>
      <c r="L7" s="17" t="s">
        <v>24</v>
      </c>
      <c r="M7" s="7" t="s">
        <v>25</v>
      </c>
      <c r="N7" s="17"/>
    </row>
    <row r="8" spans="1:14" ht="25.5" customHeight="1" x14ac:dyDescent="0.25">
      <c r="A8" s="17">
        <v>7</v>
      </c>
      <c r="B8" s="16" t="s">
        <v>44</v>
      </c>
      <c r="C8" s="17">
        <v>1</v>
      </c>
      <c r="D8" s="17">
        <v>11</v>
      </c>
      <c r="E8" s="17"/>
      <c r="F8" s="16" t="s">
        <v>31</v>
      </c>
      <c r="G8" s="17" t="s">
        <v>45</v>
      </c>
      <c r="H8" s="17" t="s">
        <v>46</v>
      </c>
      <c r="I8" s="17" t="s">
        <v>22</v>
      </c>
      <c r="J8" s="17" t="s">
        <v>47</v>
      </c>
      <c r="K8" s="18">
        <v>46148</v>
      </c>
      <c r="L8" s="17" t="s">
        <v>24</v>
      </c>
      <c r="M8" s="7" t="s">
        <v>25</v>
      </c>
      <c r="N8" s="17"/>
    </row>
    <row r="9" spans="1:14" ht="25.5" customHeight="1" x14ac:dyDescent="0.25">
      <c r="A9" s="17">
        <v>8</v>
      </c>
      <c r="B9" s="16" t="s">
        <v>44</v>
      </c>
      <c r="C9" s="17">
        <v>2</v>
      </c>
      <c r="D9" s="17">
        <v>14.8</v>
      </c>
      <c r="E9" s="17"/>
      <c r="F9" s="16" t="s">
        <v>31</v>
      </c>
      <c r="G9" s="17" t="s">
        <v>45</v>
      </c>
      <c r="H9" s="17" t="s">
        <v>46</v>
      </c>
      <c r="I9" s="17" t="s">
        <v>22</v>
      </c>
      <c r="J9" s="17" t="s">
        <v>47</v>
      </c>
      <c r="K9" s="18">
        <v>46148</v>
      </c>
      <c r="L9" s="17" t="s">
        <v>24</v>
      </c>
      <c r="M9" s="7" t="s">
        <v>25</v>
      </c>
      <c r="N9" s="17"/>
    </row>
    <row r="10" spans="1:14" ht="25.5" customHeight="1" x14ac:dyDescent="0.25">
      <c r="A10" s="17">
        <v>9</v>
      </c>
      <c r="B10" s="16" t="s">
        <v>44</v>
      </c>
      <c r="C10" s="17">
        <v>3</v>
      </c>
      <c r="D10" s="17">
        <v>11.1</v>
      </c>
      <c r="E10" s="17">
        <v>8.5</v>
      </c>
      <c r="F10" s="16" t="s">
        <v>48</v>
      </c>
      <c r="G10" s="17" t="s">
        <v>49</v>
      </c>
      <c r="H10" s="17" t="s">
        <v>50</v>
      </c>
      <c r="I10" s="17" t="s">
        <v>51</v>
      </c>
      <c r="J10" s="18" t="s">
        <v>52</v>
      </c>
      <c r="K10" s="18">
        <v>46137</v>
      </c>
      <c r="L10" s="17" t="s">
        <v>24</v>
      </c>
      <c r="M10" s="7" t="s">
        <v>25</v>
      </c>
      <c r="N10" s="17"/>
    </row>
    <row r="11" spans="1:14" ht="51" customHeight="1" x14ac:dyDescent="0.25">
      <c r="A11" s="17">
        <v>10</v>
      </c>
      <c r="B11" s="16" t="s">
        <v>53</v>
      </c>
      <c r="C11" s="17">
        <v>1</v>
      </c>
      <c r="D11" s="17">
        <v>15.5</v>
      </c>
      <c r="E11" s="17">
        <v>10.3</v>
      </c>
      <c r="F11" s="16" t="s">
        <v>54</v>
      </c>
      <c r="G11" s="17" t="s">
        <v>55</v>
      </c>
      <c r="H11" s="17" t="s">
        <v>56</v>
      </c>
      <c r="I11" s="17" t="s">
        <v>293</v>
      </c>
      <c r="J11" s="17" t="s">
        <v>57</v>
      </c>
      <c r="K11" s="18">
        <v>46144</v>
      </c>
      <c r="L11" s="17" t="s">
        <v>24</v>
      </c>
      <c r="M11" s="7" t="s">
        <v>25</v>
      </c>
      <c r="N11" s="17"/>
    </row>
    <row r="12" spans="1:14" ht="63.75" customHeight="1" x14ac:dyDescent="0.25">
      <c r="A12" s="17">
        <v>11</v>
      </c>
      <c r="B12" s="16" t="s">
        <v>53</v>
      </c>
      <c r="C12" s="17">
        <v>2</v>
      </c>
      <c r="D12" s="17">
        <v>16</v>
      </c>
      <c r="E12" s="17"/>
      <c r="F12" s="16" t="s">
        <v>54</v>
      </c>
      <c r="G12" s="17" t="s">
        <v>58</v>
      </c>
      <c r="H12" s="17" t="s">
        <v>4935</v>
      </c>
      <c r="I12" s="17" t="s">
        <v>34</v>
      </c>
      <c r="J12" s="17" t="s">
        <v>59</v>
      </c>
      <c r="K12" s="18">
        <v>46157</v>
      </c>
      <c r="L12" s="17" t="s">
        <v>24</v>
      </c>
      <c r="M12" s="7" t="s">
        <v>25</v>
      </c>
      <c r="N12" s="17"/>
    </row>
    <row r="13" spans="1:14" ht="63.75" customHeight="1" x14ac:dyDescent="0.25">
      <c r="A13" s="17">
        <v>12</v>
      </c>
      <c r="B13" s="16" t="s">
        <v>53</v>
      </c>
      <c r="C13" s="17">
        <v>3</v>
      </c>
      <c r="D13" s="17">
        <v>13.7</v>
      </c>
      <c r="E13" s="17">
        <v>10.3</v>
      </c>
      <c r="F13" s="16" t="s">
        <v>54</v>
      </c>
      <c r="G13" s="17" t="s">
        <v>58</v>
      </c>
      <c r="H13" s="17" t="s">
        <v>4935</v>
      </c>
      <c r="I13" s="17" t="s">
        <v>34</v>
      </c>
      <c r="J13" s="17" t="s">
        <v>60</v>
      </c>
      <c r="K13" s="18">
        <v>46142</v>
      </c>
      <c r="L13" s="17" t="s">
        <v>24</v>
      </c>
      <c r="M13" s="7" t="s">
        <v>25</v>
      </c>
      <c r="N13" s="17"/>
    </row>
    <row r="14" spans="1:14" ht="76.5" customHeight="1" x14ac:dyDescent="0.25">
      <c r="A14" s="17">
        <v>13</v>
      </c>
      <c r="B14" s="16" t="s">
        <v>61</v>
      </c>
      <c r="C14" s="17">
        <v>1</v>
      </c>
      <c r="D14" s="17">
        <v>10.6</v>
      </c>
      <c r="E14" s="17"/>
      <c r="F14" s="16" t="s">
        <v>62</v>
      </c>
      <c r="G14" s="17" t="s">
        <v>63</v>
      </c>
      <c r="H14" s="17" t="s">
        <v>64</v>
      </c>
      <c r="I14" s="17" t="s">
        <v>34</v>
      </c>
      <c r="J14" s="17" t="s">
        <v>65</v>
      </c>
      <c r="K14" s="18">
        <v>46154</v>
      </c>
      <c r="L14" s="17" t="s">
        <v>24</v>
      </c>
      <c r="M14" s="7" t="s">
        <v>25</v>
      </c>
      <c r="N14" s="17"/>
    </row>
    <row r="15" spans="1:14" ht="25.5" customHeight="1" x14ac:dyDescent="0.25">
      <c r="A15" s="17">
        <v>14</v>
      </c>
      <c r="B15" s="16" t="s">
        <v>61</v>
      </c>
      <c r="C15" s="17">
        <v>2</v>
      </c>
      <c r="D15" s="17">
        <v>16.7</v>
      </c>
      <c r="E15" s="17">
        <v>14.5</v>
      </c>
      <c r="F15" s="16" t="s">
        <v>48</v>
      </c>
      <c r="G15" s="17" t="s">
        <v>66</v>
      </c>
      <c r="H15" s="17" t="s">
        <v>67</v>
      </c>
      <c r="I15" s="17" t="s">
        <v>51</v>
      </c>
      <c r="J15" s="17" t="s">
        <v>68</v>
      </c>
      <c r="K15" s="18">
        <v>46154</v>
      </c>
      <c r="L15" s="17" t="s">
        <v>24</v>
      </c>
      <c r="M15" s="7" t="s">
        <v>25</v>
      </c>
      <c r="N15" s="17"/>
    </row>
    <row r="16" spans="1:14" ht="76.5" customHeight="1" x14ac:dyDescent="0.25">
      <c r="A16" s="17">
        <v>15</v>
      </c>
      <c r="B16" s="16" t="s">
        <v>61</v>
      </c>
      <c r="C16" s="17">
        <v>3</v>
      </c>
      <c r="D16" s="17">
        <v>10.7</v>
      </c>
      <c r="E16" s="17">
        <v>12.3</v>
      </c>
      <c r="F16" s="16" t="s">
        <v>62</v>
      </c>
      <c r="G16" s="17" t="s">
        <v>63</v>
      </c>
      <c r="H16" s="17" t="s">
        <v>64</v>
      </c>
      <c r="I16" s="17" t="s">
        <v>34</v>
      </c>
      <c r="J16" s="17" t="s">
        <v>65</v>
      </c>
      <c r="K16" s="18">
        <v>46154</v>
      </c>
      <c r="L16" s="17" t="s">
        <v>24</v>
      </c>
      <c r="M16" s="7" t="s">
        <v>25</v>
      </c>
      <c r="N16" s="17"/>
    </row>
    <row r="17" spans="1:14" ht="25.5" customHeight="1" x14ac:dyDescent="0.25">
      <c r="A17" s="17">
        <v>16</v>
      </c>
      <c r="B17" s="16" t="s">
        <v>69</v>
      </c>
      <c r="C17" s="17">
        <v>1</v>
      </c>
      <c r="D17" s="17">
        <v>9.6</v>
      </c>
      <c r="E17" s="17">
        <v>6.7</v>
      </c>
      <c r="F17" s="16" t="s">
        <v>19</v>
      </c>
      <c r="G17" s="17" t="s">
        <v>70</v>
      </c>
      <c r="H17" s="17" t="s">
        <v>71</v>
      </c>
      <c r="I17" s="17" t="s">
        <v>51</v>
      </c>
      <c r="J17" s="17" t="s">
        <v>72</v>
      </c>
      <c r="K17" s="18">
        <v>46136</v>
      </c>
      <c r="L17" s="17" t="s">
        <v>24</v>
      </c>
      <c r="M17" s="7" t="s">
        <v>25</v>
      </c>
      <c r="N17" s="17"/>
    </row>
    <row r="18" spans="1:14" ht="25.5" customHeight="1" x14ac:dyDescent="0.25">
      <c r="A18" s="17">
        <v>17</v>
      </c>
      <c r="B18" s="16" t="s">
        <v>69</v>
      </c>
      <c r="C18" s="17">
        <v>2</v>
      </c>
      <c r="D18" s="17">
        <v>14.9</v>
      </c>
      <c r="E18" s="17">
        <v>6.7</v>
      </c>
      <c r="F18" s="16" t="s">
        <v>73</v>
      </c>
      <c r="G18" s="17" t="s">
        <v>74</v>
      </c>
      <c r="H18" s="17" t="s">
        <v>75</v>
      </c>
      <c r="I18" s="17" t="s">
        <v>76</v>
      </c>
      <c r="J18" s="17" t="s">
        <v>77</v>
      </c>
      <c r="K18" s="18">
        <v>46148</v>
      </c>
      <c r="L18" s="17" t="s">
        <v>24</v>
      </c>
      <c r="M18" s="7" t="s">
        <v>25</v>
      </c>
      <c r="N18" s="17"/>
    </row>
    <row r="19" spans="1:14" ht="25.5" customHeight="1" x14ac:dyDescent="0.25">
      <c r="A19" s="17">
        <v>18</v>
      </c>
      <c r="B19" s="16" t="s">
        <v>69</v>
      </c>
      <c r="C19" s="17">
        <v>3</v>
      </c>
      <c r="D19" s="17">
        <v>11.6</v>
      </c>
      <c r="E19" s="17"/>
      <c r="F19" s="16" t="s">
        <v>19</v>
      </c>
      <c r="G19" s="17" t="s">
        <v>70</v>
      </c>
      <c r="H19" s="17" t="s">
        <v>71</v>
      </c>
      <c r="I19" s="17" t="s">
        <v>51</v>
      </c>
      <c r="J19" s="18" t="s">
        <v>72</v>
      </c>
      <c r="K19" s="18">
        <v>46136</v>
      </c>
      <c r="L19" s="17" t="s">
        <v>24</v>
      </c>
      <c r="M19" s="7" t="s">
        <v>25</v>
      </c>
      <c r="N19" s="17"/>
    </row>
    <row r="20" spans="1:14" ht="51" customHeight="1" x14ac:dyDescent="0.25">
      <c r="A20" s="17">
        <v>19</v>
      </c>
      <c r="B20" s="16" t="s">
        <v>78</v>
      </c>
      <c r="C20" s="17">
        <v>1</v>
      </c>
      <c r="D20" s="17">
        <v>11</v>
      </c>
      <c r="E20" s="17">
        <v>9.1</v>
      </c>
      <c r="F20" s="16" t="s">
        <v>31</v>
      </c>
      <c r="G20" s="17" t="s">
        <v>79</v>
      </c>
      <c r="H20" s="17" t="s">
        <v>80</v>
      </c>
      <c r="I20" s="17" t="s">
        <v>34</v>
      </c>
      <c r="J20" s="17" t="s">
        <v>81</v>
      </c>
      <c r="K20" s="18">
        <v>46140</v>
      </c>
      <c r="L20" s="17" t="s">
        <v>82</v>
      </c>
      <c r="M20" s="7" t="s">
        <v>25</v>
      </c>
      <c r="N20" s="17"/>
    </row>
    <row r="21" spans="1:14" ht="25.5" customHeight="1" x14ac:dyDescent="0.25">
      <c r="A21" s="17">
        <v>20</v>
      </c>
      <c r="B21" s="16" t="s">
        <v>78</v>
      </c>
      <c r="C21" s="17">
        <v>2</v>
      </c>
      <c r="D21" s="17">
        <v>15</v>
      </c>
      <c r="E21" s="17"/>
      <c r="F21" s="16" t="s">
        <v>31</v>
      </c>
      <c r="G21" s="17" t="s">
        <v>83</v>
      </c>
      <c r="H21" s="17" t="s">
        <v>84</v>
      </c>
      <c r="I21" s="17" t="s">
        <v>51</v>
      </c>
      <c r="J21" s="17" t="s">
        <v>85</v>
      </c>
      <c r="K21" s="18">
        <v>46136</v>
      </c>
      <c r="L21" s="17" t="s">
        <v>24</v>
      </c>
      <c r="M21" s="7" t="s">
        <v>25</v>
      </c>
      <c r="N21" s="17"/>
    </row>
    <row r="22" spans="1:14" ht="25.5" customHeight="1" x14ac:dyDescent="0.25">
      <c r="A22" s="17">
        <v>21</v>
      </c>
      <c r="B22" s="16" t="s">
        <v>78</v>
      </c>
      <c r="C22" s="17">
        <v>3</v>
      </c>
      <c r="D22" s="17">
        <v>10.6</v>
      </c>
      <c r="E22" s="17">
        <v>8.6</v>
      </c>
      <c r="F22" s="16" t="s">
        <v>86</v>
      </c>
      <c r="G22" s="17" t="s">
        <v>87</v>
      </c>
      <c r="H22" s="17" t="s">
        <v>88</v>
      </c>
      <c r="I22" s="17" t="s">
        <v>28</v>
      </c>
      <c r="J22" s="17" t="s">
        <v>89</v>
      </c>
      <c r="K22" s="18">
        <v>46137</v>
      </c>
      <c r="L22" s="17" t="s">
        <v>24</v>
      </c>
      <c r="M22" s="7" t="s">
        <v>25</v>
      </c>
      <c r="N22" s="17"/>
    </row>
    <row r="23" spans="1:14" ht="25.5" customHeight="1" x14ac:dyDescent="0.25">
      <c r="A23" s="17">
        <v>22</v>
      </c>
      <c r="B23" s="16" t="s">
        <v>90</v>
      </c>
      <c r="C23" s="17">
        <v>3</v>
      </c>
      <c r="D23" s="17">
        <v>10.6</v>
      </c>
      <c r="E23" s="17">
        <v>8.6999999999999993</v>
      </c>
      <c r="F23" s="16" t="s">
        <v>19</v>
      </c>
      <c r="G23" s="17" t="s">
        <v>91</v>
      </c>
      <c r="H23" s="17" t="s">
        <v>92</v>
      </c>
      <c r="I23" s="17" t="s">
        <v>28</v>
      </c>
      <c r="J23" s="17" t="s">
        <v>93</v>
      </c>
      <c r="K23" s="18">
        <v>46133</v>
      </c>
      <c r="L23" s="17" t="s">
        <v>24</v>
      </c>
      <c r="M23" s="7" t="s">
        <v>25</v>
      </c>
      <c r="N23" s="17"/>
    </row>
    <row r="24" spans="1:14" ht="25.5" customHeight="1" x14ac:dyDescent="0.25">
      <c r="A24" s="17">
        <v>23</v>
      </c>
      <c r="B24" s="16" t="s">
        <v>94</v>
      </c>
      <c r="C24" s="17">
        <v>1</v>
      </c>
      <c r="D24" s="17">
        <v>10.4</v>
      </c>
      <c r="E24" s="17">
        <v>8.8000000000000007</v>
      </c>
      <c r="F24" s="16" t="s">
        <v>48</v>
      </c>
      <c r="G24" s="17" t="s">
        <v>95</v>
      </c>
      <c r="H24" s="17" t="s">
        <v>96</v>
      </c>
      <c r="I24" s="17" t="s">
        <v>51</v>
      </c>
      <c r="J24" s="17" t="s">
        <v>97</v>
      </c>
      <c r="K24" s="18">
        <v>46154</v>
      </c>
      <c r="L24" s="17" t="s">
        <v>24</v>
      </c>
      <c r="M24" s="7" t="s">
        <v>25</v>
      </c>
      <c r="N24" s="17"/>
    </row>
    <row r="25" spans="1:14" ht="25.5" customHeight="1" x14ac:dyDescent="0.25">
      <c r="A25" s="17">
        <v>24</v>
      </c>
      <c r="B25" s="16" t="s">
        <v>94</v>
      </c>
      <c r="C25" s="17">
        <v>2</v>
      </c>
      <c r="D25" s="17">
        <v>14.1</v>
      </c>
      <c r="E25" s="17"/>
      <c r="F25" s="16" t="s">
        <v>48</v>
      </c>
      <c r="G25" s="17" t="s">
        <v>98</v>
      </c>
      <c r="H25" s="17" t="s">
        <v>99</v>
      </c>
      <c r="I25" s="17" t="s">
        <v>51</v>
      </c>
      <c r="J25" s="17" t="s">
        <v>100</v>
      </c>
      <c r="K25" s="18">
        <v>46150</v>
      </c>
      <c r="L25" s="17" t="s">
        <v>24</v>
      </c>
      <c r="M25" s="7" t="s">
        <v>25</v>
      </c>
      <c r="N25" s="17"/>
    </row>
    <row r="26" spans="1:14" ht="25.5" customHeight="1" x14ac:dyDescent="0.25">
      <c r="A26" s="17">
        <v>25</v>
      </c>
      <c r="B26" s="16" t="s">
        <v>94</v>
      </c>
      <c r="C26" s="17">
        <v>3</v>
      </c>
      <c r="D26" s="17">
        <v>10.9</v>
      </c>
      <c r="E26" s="17">
        <v>9.5</v>
      </c>
      <c r="F26" s="16" t="s">
        <v>101</v>
      </c>
      <c r="G26" s="17" t="s">
        <v>102</v>
      </c>
      <c r="H26" s="17" t="s">
        <v>103</v>
      </c>
      <c r="I26" s="17" t="s">
        <v>28</v>
      </c>
      <c r="J26" s="17" t="s">
        <v>104</v>
      </c>
      <c r="K26" s="18">
        <v>46140</v>
      </c>
      <c r="L26" s="17" t="s">
        <v>82</v>
      </c>
      <c r="M26" s="7" t="s">
        <v>25</v>
      </c>
      <c r="N26" s="17"/>
    </row>
    <row r="27" spans="1:14" ht="63.75" customHeight="1" x14ac:dyDescent="0.25">
      <c r="A27" s="17">
        <v>26</v>
      </c>
      <c r="B27" s="16" t="s">
        <v>105</v>
      </c>
      <c r="C27" s="17">
        <v>1</v>
      </c>
      <c r="D27" s="17">
        <v>11.2</v>
      </c>
      <c r="E27" s="17">
        <v>9.6999999999999993</v>
      </c>
      <c r="F27" s="16" t="s">
        <v>106</v>
      </c>
      <c r="G27" s="17" t="s">
        <v>107</v>
      </c>
      <c r="H27" s="17" t="s">
        <v>108</v>
      </c>
      <c r="I27" s="17" t="s">
        <v>34</v>
      </c>
      <c r="J27" s="17" t="s">
        <v>109</v>
      </c>
      <c r="K27" s="18">
        <v>46144</v>
      </c>
      <c r="L27" s="17" t="s">
        <v>24</v>
      </c>
      <c r="M27" s="7" t="s">
        <v>25</v>
      </c>
      <c r="N27" s="17"/>
    </row>
    <row r="28" spans="1:14" ht="25.5" customHeight="1" x14ac:dyDescent="0.25">
      <c r="A28" s="17">
        <v>27</v>
      </c>
      <c r="B28" s="16" t="s">
        <v>105</v>
      </c>
      <c r="C28" s="17">
        <v>2</v>
      </c>
      <c r="D28" s="17">
        <v>13.9</v>
      </c>
      <c r="E28" s="17"/>
      <c r="F28" s="16" t="s">
        <v>31</v>
      </c>
      <c r="G28" s="17" t="s">
        <v>110</v>
      </c>
      <c r="H28" s="17" t="s">
        <v>111</v>
      </c>
      <c r="I28" s="17" t="s">
        <v>112</v>
      </c>
      <c r="J28" s="17" t="s">
        <v>113</v>
      </c>
      <c r="K28" s="18">
        <v>46154</v>
      </c>
      <c r="L28" s="17" t="s">
        <v>24</v>
      </c>
      <c r="M28" s="7" t="s">
        <v>25</v>
      </c>
      <c r="N28" s="17"/>
    </row>
    <row r="29" spans="1:14" ht="25.5" customHeight="1" x14ac:dyDescent="0.25">
      <c r="A29" s="17">
        <v>28</v>
      </c>
      <c r="B29" s="16" t="s">
        <v>105</v>
      </c>
      <c r="C29" s="17">
        <v>3</v>
      </c>
      <c r="D29" s="17">
        <v>10.199999999999999</v>
      </c>
      <c r="E29" s="17">
        <v>8.6999999999999993</v>
      </c>
      <c r="F29" s="16" t="s">
        <v>31</v>
      </c>
      <c r="G29" s="17" t="s">
        <v>114</v>
      </c>
      <c r="H29" s="17" t="s">
        <v>115</v>
      </c>
      <c r="I29" s="17" t="s">
        <v>28</v>
      </c>
      <c r="J29" s="17" t="s">
        <v>116</v>
      </c>
      <c r="K29" s="18">
        <v>46148</v>
      </c>
      <c r="L29" s="17" t="s">
        <v>24</v>
      </c>
      <c r="M29" s="7" t="s">
        <v>25</v>
      </c>
      <c r="N29" s="17"/>
    </row>
    <row r="30" spans="1:14" ht="51" customHeight="1" x14ac:dyDescent="0.25">
      <c r="A30" s="17">
        <v>29</v>
      </c>
      <c r="B30" s="16" t="s">
        <v>117</v>
      </c>
      <c r="C30" s="17">
        <v>1</v>
      </c>
      <c r="D30" s="17">
        <v>11.2</v>
      </c>
      <c r="E30" s="17">
        <v>9</v>
      </c>
      <c r="F30" s="16" t="s">
        <v>62</v>
      </c>
      <c r="G30" s="17" t="s">
        <v>118</v>
      </c>
      <c r="H30" s="17" t="s">
        <v>119</v>
      </c>
      <c r="I30" s="17" t="s">
        <v>34</v>
      </c>
      <c r="J30" s="17" t="s">
        <v>120</v>
      </c>
      <c r="K30" s="18">
        <v>46134</v>
      </c>
      <c r="L30" s="17" t="s">
        <v>24</v>
      </c>
      <c r="M30" s="7" t="s">
        <v>25</v>
      </c>
      <c r="N30" s="17"/>
    </row>
    <row r="31" spans="1:14" ht="51" customHeight="1" x14ac:dyDescent="0.25">
      <c r="A31" s="17">
        <v>30</v>
      </c>
      <c r="B31" s="16" t="s">
        <v>117</v>
      </c>
      <c r="C31" s="17">
        <v>2</v>
      </c>
      <c r="D31" s="17">
        <v>13.9</v>
      </c>
      <c r="E31" s="17"/>
      <c r="F31" s="16" t="s">
        <v>62</v>
      </c>
      <c r="G31" s="17" t="s">
        <v>118</v>
      </c>
      <c r="H31" s="17" t="s">
        <v>119</v>
      </c>
      <c r="I31" s="17" t="s">
        <v>34</v>
      </c>
      <c r="J31" s="18" t="s">
        <v>120</v>
      </c>
      <c r="K31" s="18">
        <v>46134</v>
      </c>
      <c r="L31" s="17" t="s">
        <v>24</v>
      </c>
      <c r="M31" s="7" t="s">
        <v>25</v>
      </c>
      <c r="N31" s="17"/>
    </row>
    <row r="32" spans="1:14" ht="51" customHeight="1" x14ac:dyDescent="0.25">
      <c r="A32" s="17">
        <v>31</v>
      </c>
      <c r="B32" s="16" t="s">
        <v>117</v>
      </c>
      <c r="C32" s="17">
        <v>3</v>
      </c>
      <c r="D32" s="17">
        <v>10.8</v>
      </c>
      <c r="E32" s="17">
        <v>9.1999999999999993</v>
      </c>
      <c r="F32" s="16" t="s">
        <v>121</v>
      </c>
      <c r="G32" s="17" t="s">
        <v>122</v>
      </c>
      <c r="H32" s="17" t="s">
        <v>123</v>
      </c>
      <c r="I32" s="17" t="s">
        <v>34</v>
      </c>
      <c r="J32" s="17" t="s">
        <v>124</v>
      </c>
      <c r="K32" s="18">
        <v>46140</v>
      </c>
      <c r="L32" s="17" t="s">
        <v>24</v>
      </c>
      <c r="M32" s="7" t="s">
        <v>25</v>
      </c>
      <c r="N32" s="17"/>
    </row>
    <row r="33" spans="1:14" ht="25.5" customHeight="1" x14ac:dyDescent="0.25">
      <c r="A33" s="17">
        <v>32</v>
      </c>
      <c r="B33" s="16" t="s">
        <v>125</v>
      </c>
      <c r="C33" s="17">
        <v>1</v>
      </c>
      <c r="D33" s="17">
        <v>10.6</v>
      </c>
      <c r="E33" s="17"/>
      <c r="F33" s="16" t="s">
        <v>126</v>
      </c>
      <c r="G33" s="17" t="s">
        <v>127</v>
      </c>
      <c r="H33" s="17" t="s">
        <v>128</v>
      </c>
      <c r="I33" s="17" t="s">
        <v>28</v>
      </c>
      <c r="J33" s="17" t="s">
        <v>129</v>
      </c>
      <c r="K33" s="18">
        <v>46136</v>
      </c>
      <c r="L33" s="17" t="s">
        <v>24</v>
      </c>
      <c r="M33" s="7" t="s">
        <v>25</v>
      </c>
      <c r="N33" s="17"/>
    </row>
    <row r="34" spans="1:14" ht="25.5" customHeight="1" x14ac:dyDescent="0.25">
      <c r="A34" s="17">
        <v>33</v>
      </c>
      <c r="B34" s="16" t="s">
        <v>125</v>
      </c>
      <c r="C34" s="17">
        <v>2</v>
      </c>
      <c r="D34" s="17">
        <v>15.3</v>
      </c>
      <c r="E34" s="17"/>
      <c r="F34" s="16" t="s">
        <v>73</v>
      </c>
      <c r="G34" s="17" t="s">
        <v>130</v>
      </c>
      <c r="H34" s="17" t="s">
        <v>131</v>
      </c>
      <c r="I34" s="17" t="s">
        <v>51</v>
      </c>
      <c r="J34" s="17" t="s">
        <v>132</v>
      </c>
      <c r="K34" s="18">
        <v>46147</v>
      </c>
      <c r="L34" s="17" t="s">
        <v>24</v>
      </c>
      <c r="M34" s="7" t="s">
        <v>25</v>
      </c>
      <c r="N34" s="6"/>
    </row>
    <row r="35" spans="1:14" ht="25.5" customHeight="1" x14ac:dyDescent="0.25">
      <c r="A35" s="17">
        <v>34</v>
      </c>
      <c r="B35" s="16" t="s">
        <v>125</v>
      </c>
      <c r="C35" s="17">
        <v>3</v>
      </c>
      <c r="D35" s="17">
        <v>12</v>
      </c>
      <c r="E35" s="17">
        <v>8.5</v>
      </c>
      <c r="F35" s="16" t="s">
        <v>126</v>
      </c>
      <c r="G35" s="17" t="s">
        <v>127</v>
      </c>
      <c r="H35" s="17" t="s">
        <v>128</v>
      </c>
      <c r="I35" s="17" t="s">
        <v>28</v>
      </c>
      <c r="J35" s="17" t="s">
        <v>129</v>
      </c>
      <c r="K35" s="18">
        <v>46136</v>
      </c>
      <c r="L35" s="17" t="s">
        <v>24</v>
      </c>
      <c r="M35" s="7" t="s">
        <v>25</v>
      </c>
      <c r="N35" s="17"/>
    </row>
    <row r="36" spans="1:14" ht="25.5" customHeight="1" x14ac:dyDescent="0.25">
      <c r="A36" s="17">
        <v>35</v>
      </c>
      <c r="B36" s="16" t="s">
        <v>133</v>
      </c>
      <c r="C36" s="17">
        <v>1</v>
      </c>
      <c r="D36" s="17">
        <v>10.6</v>
      </c>
      <c r="E36" s="17"/>
      <c r="F36" s="16" t="s">
        <v>19</v>
      </c>
      <c r="G36" s="17" t="s">
        <v>134</v>
      </c>
      <c r="H36" s="17" t="s">
        <v>135</v>
      </c>
      <c r="I36" s="17" t="s">
        <v>28</v>
      </c>
      <c r="J36" s="17" t="s">
        <v>136</v>
      </c>
      <c r="K36" s="18">
        <v>46134</v>
      </c>
      <c r="L36" s="17" t="s">
        <v>24</v>
      </c>
      <c r="M36" s="7" t="s">
        <v>25</v>
      </c>
      <c r="N36" s="17"/>
    </row>
    <row r="37" spans="1:14" ht="25.5" customHeight="1" x14ac:dyDescent="0.25">
      <c r="A37" s="17">
        <v>36</v>
      </c>
      <c r="B37" s="16" t="s">
        <v>133</v>
      </c>
      <c r="C37" s="17">
        <v>2</v>
      </c>
      <c r="D37" s="17">
        <v>15</v>
      </c>
      <c r="E37" s="17"/>
      <c r="F37" s="16" t="s">
        <v>19</v>
      </c>
      <c r="G37" s="17" t="s">
        <v>134</v>
      </c>
      <c r="H37" s="17" t="s">
        <v>135</v>
      </c>
      <c r="I37" s="17" t="s">
        <v>28</v>
      </c>
      <c r="J37" s="17" t="s">
        <v>136</v>
      </c>
      <c r="K37" s="18">
        <v>46134</v>
      </c>
      <c r="L37" s="17" t="s">
        <v>24</v>
      </c>
      <c r="M37" s="7" t="s">
        <v>25</v>
      </c>
      <c r="N37" s="17"/>
    </row>
    <row r="38" spans="1:14" ht="25.5" customHeight="1" x14ac:dyDescent="0.25">
      <c r="A38" s="17">
        <v>37</v>
      </c>
      <c r="B38" s="16" t="s">
        <v>133</v>
      </c>
      <c r="C38" s="17">
        <v>3</v>
      </c>
      <c r="D38" s="17">
        <v>11.2</v>
      </c>
      <c r="E38" s="17">
        <v>8.4</v>
      </c>
      <c r="F38" s="16" t="s">
        <v>31</v>
      </c>
      <c r="G38" s="17" t="s">
        <v>137</v>
      </c>
      <c r="H38" s="17" t="s">
        <v>138</v>
      </c>
      <c r="I38" s="17" t="s">
        <v>28</v>
      </c>
      <c r="J38" s="17" t="s">
        <v>139</v>
      </c>
      <c r="K38" s="18">
        <v>46148</v>
      </c>
      <c r="L38" s="17" t="s">
        <v>24</v>
      </c>
      <c r="M38" s="7" t="s">
        <v>25</v>
      </c>
      <c r="N38" s="17"/>
    </row>
    <row r="39" spans="1:14" ht="51" customHeight="1" x14ac:dyDescent="0.25">
      <c r="A39" s="17">
        <v>38</v>
      </c>
      <c r="B39" s="16" t="s">
        <v>140</v>
      </c>
      <c r="C39" s="17">
        <v>1</v>
      </c>
      <c r="D39" s="17">
        <v>10.7</v>
      </c>
      <c r="E39" s="17">
        <v>8.6999999999999993</v>
      </c>
      <c r="F39" s="16" t="s">
        <v>126</v>
      </c>
      <c r="G39" s="17" t="s">
        <v>141</v>
      </c>
      <c r="H39" s="17" t="s">
        <v>142</v>
      </c>
      <c r="I39" s="17" t="s">
        <v>34</v>
      </c>
      <c r="J39" s="17">
        <v>382</v>
      </c>
      <c r="K39" s="18">
        <v>46150</v>
      </c>
      <c r="L39" s="17" t="s">
        <v>82</v>
      </c>
      <c r="M39" s="7" t="s">
        <v>25</v>
      </c>
      <c r="N39" s="17"/>
    </row>
    <row r="40" spans="1:14" ht="51" customHeight="1" x14ac:dyDescent="0.25">
      <c r="A40" s="17">
        <v>39</v>
      </c>
      <c r="B40" s="16" t="s">
        <v>140</v>
      </c>
      <c r="C40" s="17">
        <v>2</v>
      </c>
      <c r="D40" s="17">
        <v>15.6</v>
      </c>
      <c r="E40" s="17">
        <v>9.1999999999999993</v>
      </c>
      <c r="F40" s="16" t="s">
        <v>126</v>
      </c>
      <c r="G40" s="17" t="s">
        <v>141</v>
      </c>
      <c r="H40" s="17" t="s">
        <v>142</v>
      </c>
      <c r="I40" s="17" t="s">
        <v>34</v>
      </c>
      <c r="J40" s="17">
        <v>382</v>
      </c>
      <c r="K40" s="18">
        <v>46150</v>
      </c>
      <c r="L40" s="17" t="s">
        <v>82</v>
      </c>
      <c r="M40" s="7" t="s">
        <v>25</v>
      </c>
      <c r="N40" s="17"/>
    </row>
    <row r="41" spans="1:14" ht="51" customHeight="1" x14ac:dyDescent="0.25">
      <c r="A41" s="17">
        <v>40</v>
      </c>
      <c r="B41" s="16" t="s">
        <v>140</v>
      </c>
      <c r="C41" s="17">
        <v>3</v>
      </c>
      <c r="D41" s="17">
        <v>11.6</v>
      </c>
      <c r="E41" s="17"/>
      <c r="F41" s="16" t="s">
        <v>126</v>
      </c>
      <c r="G41" s="17" t="s">
        <v>141</v>
      </c>
      <c r="H41" s="17" t="s">
        <v>142</v>
      </c>
      <c r="I41" s="17" t="s">
        <v>34</v>
      </c>
      <c r="J41" s="17">
        <v>382</v>
      </c>
      <c r="K41" s="18">
        <v>46150</v>
      </c>
      <c r="L41" s="17" t="s">
        <v>82</v>
      </c>
      <c r="M41" s="7" t="s">
        <v>25</v>
      </c>
      <c r="N41" s="17"/>
    </row>
    <row r="42" spans="1:14" ht="25.5" customHeight="1" x14ac:dyDescent="0.25">
      <c r="A42" s="17">
        <v>41</v>
      </c>
      <c r="B42" s="16" t="s">
        <v>143</v>
      </c>
      <c r="C42" s="17">
        <v>1</v>
      </c>
      <c r="D42" s="17">
        <v>10.8</v>
      </c>
      <c r="E42" s="17">
        <v>8.1999999999999993</v>
      </c>
      <c r="F42" s="16" t="s">
        <v>101</v>
      </c>
      <c r="G42" s="17" t="s">
        <v>144</v>
      </c>
      <c r="H42" s="17" t="s">
        <v>145</v>
      </c>
      <c r="I42" s="17" t="s">
        <v>28</v>
      </c>
      <c r="J42" s="17" t="s">
        <v>146</v>
      </c>
      <c r="K42" s="18">
        <v>46133</v>
      </c>
      <c r="L42" s="17" t="s">
        <v>82</v>
      </c>
      <c r="M42" s="7" t="s">
        <v>25</v>
      </c>
      <c r="N42" s="17"/>
    </row>
    <row r="43" spans="1:14" ht="25.5" customHeight="1" x14ac:dyDescent="0.25">
      <c r="A43" s="17">
        <v>42</v>
      </c>
      <c r="B43" s="16" t="s">
        <v>143</v>
      </c>
      <c r="C43" s="17">
        <v>2</v>
      </c>
      <c r="D43" s="17">
        <v>14.7</v>
      </c>
      <c r="E43" s="17"/>
      <c r="F43" s="16" t="s">
        <v>101</v>
      </c>
      <c r="G43" s="17" t="s">
        <v>144</v>
      </c>
      <c r="H43" s="17" t="s">
        <v>145</v>
      </c>
      <c r="I43" s="17" t="s">
        <v>28</v>
      </c>
      <c r="J43" s="17" t="s">
        <v>146</v>
      </c>
      <c r="K43" s="18">
        <v>46133</v>
      </c>
      <c r="L43" s="17" t="s">
        <v>82</v>
      </c>
      <c r="M43" s="7" t="s">
        <v>25</v>
      </c>
      <c r="N43" s="17"/>
    </row>
    <row r="44" spans="1:14" ht="51" customHeight="1" x14ac:dyDescent="0.25">
      <c r="A44" s="17">
        <v>43</v>
      </c>
      <c r="B44" s="16" t="s">
        <v>143</v>
      </c>
      <c r="C44" s="17">
        <v>3</v>
      </c>
      <c r="D44" s="17">
        <v>11.1</v>
      </c>
      <c r="E44" s="17">
        <v>8.6999999999999993</v>
      </c>
      <c r="F44" s="16" t="s">
        <v>19</v>
      </c>
      <c r="G44" s="17" t="s">
        <v>147</v>
      </c>
      <c r="H44" s="17" t="s">
        <v>148</v>
      </c>
      <c r="I44" s="17" t="s">
        <v>34</v>
      </c>
      <c r="J44" s="17" t="s">
        <v>149</v>
      </c>
      <c r="K44" s="18">
        <v>46140</v>
      </c>
      <c r="L44" s="17" t="s">
        <v>24</v>
      </c>
      <c r="M44" s="7" t="s">
        <v>25</v>
      </c>
      <c r="N44" s="17"/>
    </row>
    <row r="45" spans="1:14" ht="25.5" customHeight="1" x14ac:dyDescent="0.25">
      <c r="A45" s="17">
        <v>44</v>
      </c>
      <c r="B45" s="16" t="s">
        <v>150</v>
      </c>
      <c r="C45" s="17">
        <v>1</v>
      </c>
      <c r="D45" s="17">
        <v>10</v>
      </c>
      <c r="E45" s="17">
        <v>8.3000000000000007</v>
      </c>
      <c r="F45" s="16" t="s">
        <v>151</v>
      </c>
      <c r="G45" s="17" t="s">
        <v>152</v>
      </c>
      <c r="H45" s="17" t="s">
        <v>153</v>
      </c>
      <c r="I45" s="17" t="s">
        <v>22</v>
      </c>
      <c r="J45" s="17" t="s">
        <v>154</v>
      </c>
      <c r="K45" s="18">
        <v>46141</v>
      </c>
      <c r="L45" s="17" t="s">
        <v>24</v>
      </c>
      <c r="M45" s="7" t="s">
        <v>25</v>
      </c>
      <c r="N45" s="17"/>
    </row>
    <row r="46" spans="1:14" ht="25.5" customHeight="1" x14ac:dyDescent="0.25">
      <c r="A46" s="17">
        <v>45</v>
      </c>
      <c r="B46" s="16" t="s">
        <v>150</v>
      </c>
      <c r="C46" s="17">
        <v>2</v>
      </c>
      <c r="D46" s="17">
        <v>15.3</v>
      </c>
      <c r="E46" s="17"/>
      <c r="F46" s="16" t="s">
        <v>151</v>
      </c>
      <c r="G46" s="17" t="s">
        <v>155</v>
      </c>
      <c r="H46" s="17" t="s">
        <v>156</v>
      </c>
      <c r="I46" s="17" t="s">
        <v>28</v>
      </c>
      <c r="J46" s="17" t="s">
        <v>157</v>
      </c>
      <c r="K46" s="18">
        <v>46137</v>
      </c>
      <c r="L46" s="17" t="s">
        <v>24</v>
      </c>
      <c r="M46" s="7" t="s">
        <v>25</v>
      </c>
      <c r="N46" s="17"/>
    </row>
    <row r="47" spans="1:14" ht="38.25" customHeight="1" x14ac:dyDescent="0.25">
      <c r="A47" s="17">
        <v>46</v>
      </c>
      <c r="B47" s="16" t="s">
        <v>150</v>
      </c>
      <c r="C47" s="17">
        <v>3</v>
      </c>
      <c r="D47" s="17">
        <v>12.2</v>
      </c>
      <c r="E47" s="17">
        <v>8.3000000000000007</v>
      </c>
      <c r="F47" s="16" t="s">
        <v>151</v>
      </c>
      <c r="G47" s="17" t="s">
        <v>158</v>
      </c>
      <c r="H47" s="17" t="s">
        <v>159</v>
      </c>
      <c r="I47" s="17" t="s">
        <v>34</v>
      </c>
      <c r="J47" s="17" t="s">
        <v>160</v>
      </c>
      <c r="K47" s="18">
        <v>46157</v>
      </c>
      <c r="L47" s="17" t="s">
        <v>24</v>
      </c>
      <c r="M47" s="7" t="s">
        <v>25</v>
      </c>
      <c r="N47" s="17"/>
    </row>
    <row r="48" spans="1:14" ht="25.5" customHeight="1" x14ac:dyDescent="0.25">
      <c r="A48" s="17">
        <v>47</v>
      </c>
      <c r="B48" s="16" t="s">
        <v>161</v>
      </c>
      <c r="C48" s="17">
        <v>1</v>
      </c>
      <c r="D48" s="17">
        <v>11</v>
      </c>
      <c r="E48" s="17">
        <v>8.5</v>
      </c>
      <c r="F48" s="16" t="s">
        <v>162</v>
      </c>
      <c r="G48" s="17" t="s">
        <v>163</v>
      </c>
      <c r="H48" s="17" t="s">
        <v>164</v>
      </c>
      <c r="I48" s="17" t="s">
        <v>28</v>
      </c>
      <c r="J48" s="17" t="s">
        <v>165</v>
      </c>
      <c r="K48" s="18">
        <v>46140</v>
      </c>
      <c r="L48" s="17" t="s">
        <v>24</v>
      </c>
      <c r="M48" s="7" t="s">
        <v>25</v>
      </c>
      <c r="N48" s="17"/>
    </row>
    <row r="49" spans="1:14" ht="25.5" customHeight="1" x14ac:dyDescent="0.25">
      <c r="A49" s="17">
        <v>48</v>
      </c>
      <c r="B49" s="16" t="s">
        <v>161</v>
      </c>
      <c r="C49" s="17">
        <v>3</v>
      </c>
      <c r="D49" s="17">
        <v>11.6</v>
      </c>
      <c r="E49" s="17">
        <v>8.6</v>
      </c>
      <c r="F49" s="16" t="s">
        <v>162</v>
      </c>
      <c r="G49" s="17" t="s">
        <v>166</v>
      </c>
      <c r="H49" s="17" t="s">
        <v>167</v>
      </c>
      <c r="I49" s="17" t="s">
        <v>28</v>
      </c>
      <c r="J49" s="17" t="s">
        <v>168</v>
      </c>
      <c r="K49" s="18">
        <v>46137</v>
      </c>
      <c r="L49" s="17" t="s">
        <v>24</v>
      </c>
      <c r="M49" s="7" t="s">
        <v>25</v>
      </c>
      <c r="N49" s="17"/>
    </row>
    <row r="50" spans="1:14" x14ac:dyDescent="0.25">
      <c r="A50" s="4"/>
      <c r="B50" s="4"/>
      <c r="C50" s="4"/>
      <c r="D50" s="2"/>
      <c r="E50" s="2"/>
      <c r="F50" s="4"/>
      <c r="G50" s="4"/>
      <c r="H50" s="4"/>
      <c r="I50" s="4"/>
      <c r="J50" s="4"/>
      <c r="K50" s="4"/>
      <c r="L50" s="4"/>
      <c r="M50" s="4"/>
      <c r="N50" s="4"/>
    </row>
    <row r="51" spans="1:14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</row>
    <row r="52" spans="1:14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</row>
    <row r="53" spans="1:14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</row>
    <row r="56" spans="1:14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</row>
    <row r="58" spans="1:14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</row>
    <row r="59" spans="1:14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</row>
    <row r="60" spans="1:14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</row>
    <row r="61" spans="1:14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</row>
    <row r="62" spans="1:14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</row>
    <row r="63" spans="1:14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</row>
    <row r="64" spans="1:14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</row>
    <row r="65" spans="1:14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</row>
    <row r="66" spans="1:14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</row>
    <row r="67" spans="1:14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</row>
    <row r="68" spans="1:14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1:14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1:14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1:14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1:14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1:14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</row>
    <row r="74" spans="1:14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</row>
    <row r="75" spans="1:14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</row>
    <row r="76" spans="1:14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</row>
    <row r="77" spans="1:14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</row>
    <row r="78" spans="1:14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</row>
    <row r="79" spans="1:14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</row>
    <row r="80" spans="1:14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</row>
    <row r="81" spans="1:14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</row>
    <row r="82" spans="1:14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</row>
    <row r="83" spans="1:14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</row>
    <row r="84" spans="1:14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</row>
    <row r="85" spans="1:14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</row>
    <row r="86" spans="1:14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</row>
    <row r="87" spans="1:14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</row>
    <row r="88" spans="1:14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</row>
    <row r="89" spans="1:14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</row>
    <row r="90" spans="1:14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</row>
    <row r="91" spans="1:14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</row>
    <row r="92" spans="1:14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</row>
    <row r="93" spans="1:14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</row>
    <row r="94" spans="1:14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</row>
    <row r="95" spans="1:14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</row>
    <row r="96" spans="1:14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</row>
    <row r="97" spans="1:14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</row>
    <row r="98" spans="1:14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</row>
    <row r="99" spans="1:14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</row>
    <row r="100" spans="1:14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</row>
    <row r="101" spans="1:14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</row>
    <row r="102" spans="1:14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</row>
    <row r="103" spans="1:14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</row>
    <row r="104" spans="1:14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</row>
    <row r="105" spans="1:14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</row>
    <row r="106" spans="1:14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</row>
    <row r="107" spans="1:14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</row>
    <row r="108" spans="1:14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</row>
    <row r="109" spans="1:14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</row>
    <row r="110" spans="1:14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 x14ac:dyDescent="0.2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 x14ac:dyDescent="0.2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 x14ac:dyDescent="0.2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 x14ac:dyDescent="0.2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 x14ac:dyDescent="0.2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 x14ac:dyDescent="0.2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 x14ac:dyDescent="0.2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 x14ac:dyDescent="0.2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 x14ac:dyDescent="0.2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 x14ac:dyDescent="0.2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 x14ac:dyDescent="0.2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 x14ac:dyDescent="0.2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 x14ac:dyDescent="0.2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 x14ac:dyDescent="0.2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 x14ac:dyDescent="0.2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 x14ac:dyDescent="0.2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 x14ac:dyDescent="0.2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 x14ac:dyDescent="0.2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 x14ac:dyDescent="0.2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 x14ac:dyDescent="0.2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 x14ac:dyDescent="0.2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 x14ac:dyDescent="0.2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 x14ac:dyDescent="0.2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 x14ac:dyDescent="0.2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 x14ac:dyDescent="0.2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 x14ac:dyDescent="0.2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 x14ac:dyDescent="0.2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 x14ac:dyDescent="0.2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 x14ac:dyDescent="0.2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 x14ac:dyDescent="0.2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 x14ac:dyDescent="0.2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 x14ac:dyDescent="0.2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 x14ac:dyDescent="0.2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 x14ac:dyDescent="0.2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 x14ac:dyDescent="0.2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 x14ac:dyDescent="0.2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 x14ac:dyDescent="0.2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 x14ac:dyDescent="0.2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 x14ac:dyDescent="0.2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 x14ac:dyDescent="0.2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 x14ac:dyDescent="0.2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 x14ac:dyDescent="0.2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 x14ac:dyDescent="0.2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 x14ac:dyDescent="0.2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 x14ac:dyDescent="0.2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 x14ac:dyDescent="0.2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 x14ac:dyDescent="0.2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 x14ac:dyDescent="0.2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 x14ac:dyDescent="0.2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 x14ac:dyDescent="0.2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 x14ac:dyDescent="0.2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 x14ac:dyDescent="0.2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 x14ac:dyDescent="0.2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 x14ac:dyDescent="0.2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 x14ac:dyDescent="0.2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 x14ac:dyDescent="0.2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 x14ac:dyDescent="0.2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 x14ac:dyDescent="0.2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 x14ac:dyDescent="0.2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 x14ac:dyDescent="0.2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 x14ac:dyDescent="0.2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 x14ac:dyDescent="0.2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 x14ac:dyDescent="0.2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 x14ac:dyDescent="0.2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 x14ac:dyDescent="0.2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 x14ac:dyDescent="0.2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 x14ac:dyDescent="0.2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 x14ac:dyDescent="0.2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 x14ac:dyDescent="0.2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 x14ac:dyDescent="0.2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</row>
  </sheetData>
  <autoFilter ref="A1:N49"/>
  <conditionalFormatting sqref="M2:M49">
    <cfRule type="containsText" dxfId="20" priority="1" operator="containsText" text="☐">
      <formula>NOT(ISERROR(SEARCH("☐",M2)))</formula>
    </cfRule>
    <cfRule type="containsText" dxfId="19" priority="2" operator="containsText" text="☒">
      <formula>NOT(ISERROR(SEARCH("☒",M2)))</formula>
    </cfRule>
    <cfRule type="containsText" dxfId="18" priority="3" operator="containsText" text="☑">
      <formula>NOT(ISERROR(SEARCH("☑",M2)))</formula>
    </cfRule>
  </conditionalFormatting>
  <dataValidations count="4">
    <dataValidation type="list" allowBlank="1" showInputMessage="1" showErrorMessage="1" sqref="L2:L49">
      <formula1>"Летний,Летне-зимний"</formula1>
    </dataValidation>
    <dataValidation type="list" allowBlank="1" showInputMessage="1" showErrorMessage="1" sqref="M2:M49">
      <formula1>"☑,☒,☐"</formula1>
    </dataValidation>
    <dataValidation type="list" allowBlank="1" showInputMessage="1" showErrorMessage="1" sqref="I2:I49">
      <formula1>"ГСС,ГРФ,ГСТ,ВГСС,ВГРФ,Инвалид ВОВ,УОВ,ВБД,Реабил,ЖБЛ,ЧАЭС,Маяк,Семип,Узник,Семья с 2+ инв. I/II,Многодет. (5+ до 16),Одинокий ИД,Одинокая мать,Семья с РИ до 16 лет,Вдова погибшего воина,Родитель погибшего воина,Уход за РИ,"</formula1>
    </dataValidation>
    <dataValidation type="list" allowBlank="1" showInputMessage="1" showErrorMessage="1" sqref="F2:F49">
      <formula1>"Адмиралтейский,Василеостровский,Выборгский,Калининский,Кировский,Колпинский,Красногвардейский,Красносельский,Кронштадтский,Курортный,Московский,Невский,Петроградский,Петродворцовый,Приморский,Пушкинский,Фрунзенский,Центральный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N999"/>
  <sheetViews>
    <sheetView topLeftCell="B1" workbookViewId="0">
      <pane ySplit="1" topLeftCell="A109" activePane="bottomLeft" state="frozen"/>
      <selection pane="bottomLeft" activeCell="H111" sqref="H111"/>
    </sheetView>
  </sheetViews>
  <sheetFormatPr defaultRowHeight="12.75" x14ac:dyDescent="0.2"/>
  <cols>
    <col min="1" max="1" width="3.85546875" style="11" customWidth="1"/>
    <col min="2" max="2" width="7.7109375" style="11" customWidth="1"/>
    <col min="3" max="3" width="10.42578125" style="11" customWidth="1"/>
    <col min="4" max="4" width="11.140625" style="11" customWidth="1"/>
    <col min="5" max="5" width="10.42578125" style="11" customWidth="1"/>
    <col min="6" max="6" width="16.7109375" style="11" customWidth="1"/>
    <col min="7" max="7" width="21.5703125" style="22" customWidth="1"/>
    <col min="8" max="8" width="25.140625" style="22" customWidth="1"/>
    <col min="9" max="9" width="16.140625" style="22" bestFit="1" customWidth="1"/>
    <col min="10" max="10" width="8.7109375" style="22" customWidth="1"/>
    <col min="11" max="11" width="10.7109375" style="22" customWidth="1"/>
    <col min="12" max="12" width="12.7109375" style="22" customWidth="1"/>
    <col min="13" max="13" width="10.28515625" style="11" customWidth="1"/>
    <col min="14" max="14" width="24.42578125" style="11" customWidth="1"/>
    <col min="15" max="15" width="9.140625" style="11" customWidth="1"/>
    <col min="16" max="16384" width="9.140625" style="11"/>
  </cols>
  <sheetData>
    <row r="1" spans="1:14" ht="51" x14ac:dyDescent="0.2">
      <c r="A1" s="1" t="s">
        <v>14</v>
      </c>
      <c r="B1" s="1" t="s">
        <v>169</v>
      </c>
      <c r="C1" s="1" t="s">
        <v>16</v>
      </c>
      <c r="D1" s="1" t="s">
        <v>3</v>
      </c>
      <c r="E1" s="1" t="s">
        <v>4</v>
      </c>
      <c r="F1" s="9" t="s">
        <v>5</v>
      </c>
      <c r="G1" s="1" t="s">
        <v>6</v>
      </c>
      <c r="H1" s="1" t="s">
        <v>7</v>
      </c>
      <c r="I1" s="1" t="s">
        <v>8</v>
      </c>
      <c r="J1" s="1" t="s">
        <v>17</v>
      </c>
      <c r="K1" s="1" t="s">
        <v>10</v>
      </c>
      <c r="L1" s="1" t="s">
        <v>11</v>
      </c>
      <c r="M1" s="9" t="s">
        <v>12</v>
      </c>
      <c r="N1" s="1" t="s">
        <v>13</v>
      </c>
    </row>
    <row r="2" spans="1:14" ht="63.75" customHeight="1" x14ac:dyDescent="0.2">
      <c r="A2" s="17">
        <v>1</v>
      </c>
      <c r="B2" s="16" t="s">
        <v>170</v>
      </c>
      <c r="C2" s="17" t="s">
        <v>171</v>
      </c>
      <c r="D2" s="17">
        <v>15.3</v>
      </c>
      <c r="E2" s="17">
        <v>8.5</v>
      </c>
      <c r="F2" s="16" t="s">
        <v>54</v>
      </c>
      <c r="G2" s="17" t="s">
        <v>172</v>
      </c>
      <c r="H2" s="17" t="s">
        <v>173</v>
      </c>
      <c r="I2" s="17" t="s">
        <v>34</v>
      </c>
      <c r="J2" s="17" t="s">
        <v>171</v>
      </c>
      <c r="K2" s="18">
        <v>46155</v>
      </c>
      <c r="L2" s="17" t="s">
        <v>24</v>
      </c>
      <c r="M2" s="7" t="s">
        <v>25</v>
      </c>
      <c r="N2" s="17"/>
    </row>
    <row r="3" spans="1:14" ht="63.75" customHeight="1" x14ac:dyDescent="0.2">
      <c r="A3" s="17">
        <v>2</v>
      </c>
      <c r="B3" s="16" t="s">
        <v>170</v>
      </c>
      <c r="C3" s="17" t="s">
        <v>174</v>
      </c>
      <c r="D3" s="17">
        <v>8</v>
      </c>
      <c r="E3" s="17"/>
      <c r="F3" s="16" t="s">
        <v>54</v>
      </c>
      <c r="G3" s="17" t="s">
        <v>172</v>
      </c>
      <c r="H3" s="17" t="s">
        <v>173</v>
      </c>
      <c r="I3" s="17" t="s">
        <v>34</v>
      </c>
      <c r="J3" s="17" t="s">
        <v>171</v>
      </c>
      <c r="K3" s="18">
        <v>46155</v>
      </c>
      <c r="L3" s="17" t="s">
        <v>24</v>
      </c>
      <c r="M3" s="7" t="s">
        <v>25</v>
      </c>
      <c r="N3" s="17"/>
    </row>
    <row r="4" spans="1:14" ht="51" customHeight="1" x14ac:dyDescent="0.2">
      <c r="A4" s="17">
        <v>3</v>
      </c>
      <c r="B4" s="16" t="s">
        <v>175</v>
      </c>
      <c r="C4" s="17" t="s">
        <v>176</v>
      </c>
      <c r="D4" s="17">
        <v>15.3</v>
      </c>
      <c r="E4" s="17">
        <v>8.5</v>
      </c>
      <c r="F4" s="16" t="s">
        <v>121</v>
      </c>
      <c r="G4" s="17" t="s">
        <v>177</v>
      </c>
      <c r="H4" s="17" t="s">
        <v>178</v>
      </c>
      <c r="I4" s="17" t="s">
        <v>34</v>
      </c>
      <c r="J4" s="17" t="s">
        <v>179</v>
      </c>
      <c r="K4" s="18">
        <v>46155</v>
      </c>
      <c r="L4" s="17" t="s">
        <v>82</v>
      </c>
      <c r="M4" s="7" t="s">
        <v>25</v>
      </c>
      <c r="N4" s="17"/>
    </row>
    <row r="5" spans="1:14" ht="51" customHeight="1" x14ac:dyDescent="0.2">
      <c r="A5" s="17">
        <v>4</v>
      </c>
      <c r="B5" s="16" t="s">
        <v>175</v>
      </c>
      <c r="C5" s="17" t="s">
        <v>179</v>
      </c>
      <c r="D5" s="17">
        <v>7.5</v>
      </c>
      <c r="E5" s="17"/>
      <c r="F5" s="16" t="s">
        <v>121</v>
      </c>
      <c r="G5" s="17" t="s">
        <v>177</v>
      </c>
      <c r="H5" s="17" t="s">
        <v>178</v>
      </c>
      <c r="I5" s="17" t="s">
        <v>34</v>
      </c>
      <c r="J5" s="17" t="s">
        <v>179</v>
      </c>
      <c r="K5" s="18">
        <v>46155</v>
      </c>
      <c r="L5" s="17" t="s">
        <v>82</v>
      </c>
      <c r="M5" s="7" t="s">
        <v>25</v>
      </c>
      <c r="N5" s="17"/>
    </row>
    <row r="6" spans="1:14" ht="51" customHeight="1" x14ac:dyDescent="0.2">
      <c r="A6" s="17">
        <v>5</v>
      </c>
      <c r="B6" s="16" t="s">
        <v>175</v>
      </c>
      <c r="C6" s="17" t="s">
        <v>171</v>
      </c>
      <c r="D6" s="17">
        <v>15.4</v>
      </c>
      <c r="E6" s="17">
        <v>8.3000000000000007</v>
      </c>
      <c r="F6" s="16" t="s">
        <v>31</v>
      </c>
      <c r="G6" s="17" t="s">
        <v>180</v>
      </c>
      <c r="H6" s="17" t="s">
        <v>181</v>
      </c>
      <c r="I6" s="17" t="s">
        <v>34</v>
      </c>
      <c r="J6" s="17" t="s">
        <v>182</v>
      </c>
      <c r="K6" s="18">
        <v>46154</v>
      </c>
      <c r="L6" s="17" t="s">
        <v>82</v>
      </c>
      <c r="M6" s="7" t="s">
        <v>25</v>
      </c>
      <c r="N6" s="17"/>
    </row>
    <row r="7" spans="1:14" ht="51" customHeight="1" x14ac:dyDescent="0.2">
      <c r="A7" s="17">
        <v>6</v>
      </c>
      <c r="B7" s="16" t="s">
        <v>175</v>
      </c>
      <c r="C7" s="17" t="s">
        <v>174</v>
      </c>
      <c r="D7" s="17">
        <v>7.7</v>
      </c>
      <c r="E7" s="17"/>
      <c r="F7" s="16" t="s">
        <v>31</v>
      </c>
      <c r="G7" s="17" t="s">
        <v>180</v>
      </c>
      <c r="H7" s="17" t="s">
        <v>181</v>
      </c>
      <c r="I7" s="17" t="s">
        <v>34</v>
      </c>
      <c r="J7" s="17" t="s">
        <v>182</v>
      </c>
      <c r="K7" s="18">
        <v>46154</v>
      </c>
      <c r="L7" s="17" t="s">
        <v>82</v>
      </c>
      <c r="M7" s="7" t="s">
        <v>25</v>
      </c>
      <c r="N7" s="17"/>
    </row>
    <row r="8" spans="1:14" ht="63.75" customHeight="1" x14ac:dyDescent="0.2">
      <c r="A8" s="17">
        <v>7</v>
      </c>
      <c r="B8" s="16" t="s">
        <v>183</v>
      </c>
      <c r="C8" s="17" t="s">
        <v>176</v>
      </c>
      <c r="D8" s="17">
        <v>15.5</v>
      </c>
      <c r="E8" s="17">
        <v>8.3000000000000007</v>
      </c>
      <c r="F8" s="16" t="s">
        <v>19</v>
      </c>
      <c r="G8" s="17" t="s">
        <v>184</v>
      </c>
      <c r="H8" s="17" t="s">
        <v>185</v>
      </c>
      <c r="I8" s="17" t="s">
        <v>34</v>
      </c>
      <c r="J8" s="17" t="s">
        <v>186</v>
      </c>
      <c r="K8" s="18">
        <v>46137</v>
      </c>
      <c r="L8" s="17" t="s">
        <v>82</v>
      </c>
      <c r="M8" s="7" t="s">
        <v>25</v>
      </c>
      <c r="N8" s="17"/>
    </row>
    <row r="9" spans="1:14" ht="63.75" customHeight="1" x14ac:dyDescent="0.2">
      <c r="A9" s="17">
        <v>8</v>
      </c>
      <c r="B9" s="16" t="s">
        <v>183</v>
      </c>
      <c r="C9" s="17" t="s">
        <v>179</v>
      </c>
      <c r="D9" s="17">
        <v>7.9</v>
      </c>
      <c r="E9" s="17"/>
      <c r="F9" s="16" t="s">
        <v>19</v>
      </c>
      <c r="G9" s="17" t="s">
        <v>184</v>
      </c>
      <c r="H9" s="17" t="s">
        <v>185</v>
      </c>
      <c r="I9" s="17" t="s">
        <v>34</v>
      </c>
      <c r="J9" s="17" t="s">
        <v>187</v>
      </c>
      <c r="K9" s="18">
        <v>46137</v>
      </c>
      <c r="L9" s="17" t="s">
        <v>82</v>
      </c>
      <c r="M9" s="7" t="s">
        <v>25</v>
      </c>
      <c r="N9" s="17"/>
    </row>
    <row r="10" spans="1:14" ht="51" customHeight="1" x14ac:dyDescent="0.2">
      <c r="A10" s="17">
        <v>9</v>
      </c>
      <c r="B10" s="16" t="s">
        <v>183</v>
      </c>
      <c r="C10" s="17" t="s">
        <v>171</v>
      </c>
      <c r="D10" s="17">
        <v>15.3</v>
      </c>
      <c r="E10" s="17">
        <v>8.6</v>
      </c>
      <c r="F10" s="16" t="s">
        <v>31</v>
      </c>
      <c r="G10" s="17" t="s">
        <v>188</v>
      </c>
      <c r="H10" s="17" t="s">
        <v>189</v>
      </c>
      <c r="I10" s="17" t="s">
        <v>34</v>
      </c>
      <c r="J10" s="18" t="s">
        <v>190</v>
      </c>
      <c r="K10" s="18">
        <v>46156</v>
      </c>
      <c r="L10" s="17" t="s">
        <v>24</v>
      </c>
      <c r="M10" s="7" t="s">
        <v>25</v>
      </c>
      <c r="N10" s="17"/>
    </row>
    <row r="11" spans="1:14" ht="51" customHeight="1" x14ac:dyDescent="0.2">
      <c r="A11" s="17">
        <v>10</v>
      </c>
      <c r="B11" s="16" t="s">
        <v>183</v>
      </c>
      <c r="C11" s="17" t="s">
        <v>174</v>
      </c>
      <c r="D11" s="17">
        <v>7.9</v>
      </c>
      <c r="E11" s="17"/>
      <c r="F11" s="16" t="s">
        <v>31</v>
      </c>
      <c r="G11" s="17" t="s">
        <v>188</v>
      </c>
      <c r="H11" s="17" t="s">
        <v>189</v>
      </c>
      <c r="I11" s="17" t="s">
        <v>34</v>
      </c>
      <c r="J11" s="18" t="s">
        <v>190</v>
      </c>
      <c r="K11" s="18">
        <v>46156</v>
      </c>
      <c r="L11" s="17" t="s">
        <v>24</v>
      </c>
      <c r="M11" s="7" t="s">
        <v>25</v>
      </c>
      <c r="N11" s="17"/>
    </row>
    <row r="12" spans="1:14" ht="51" customHeight="1" x14ac:dyDescent="0.2">
      <c r="A12" s="17">
        <v>11</v>
      </c>
      <c r="B12" s="16" t="s">
        <v>191</v>
      </c>
      <c r="C12" s="17" t="s">
        <v>176</v>
      </c>
      <c r="D12" s="17">
        <v>15.3</v>
      </c>
      <c r="E12" s="17">
        <v>8.6</v>
      </c>
      <c r="F12" s="16" t="s">
        <v>62</v>
      </c>
      <c r="G12" s="17" t="s">
        <v>192</v>
      </c>
      <c r="H12" s="17" t="s">
        <v>193</v>
      </c>
      <c r="I12" s="17" t="s">
        <v>34</v>
      </c>
      <c r="J12" s="17" t="s">
        <v>194</v>
      </c>
      <c r="K12" s="18">
        <v>46149</v>
      </c>
      <c r="L12" s="17" t="s">
        <v>82</v>
      </c>
      <c r="M12" s="7" t="s">
        <v>25</v>
      </c>
      <c r="N12" s="17"/>
    </row>
    <row r="13" spans="1:14" ht="51" customHeight="1" x14ac:dyDescent="0.2">
      <c r="A13" s="17">
        <v>12</v>
      </c>
      <c r="B13" s="16" t="s">
        <v>191</v>
      </c>
      <c r="C13" s="17" t="s">
        <v>179</v>
      </c>
      <c r="D13" s="17">
        <v>8.4</v>
      </c>
      <c r="E13" s="17"/>
      <c r="F13" s="16" t="s">
        <v>62</v>
      </c>
      <c r="G13" s="17" t="s">
        <v>192</v>
      </c>
      <c r="H13" s="17" t="s">
        <v>193</v>
      </c>
      <c r="I13" s="17" t="s">
        <v>34</v>
      </c>
      <c r="J13" s="17" t="s">
        <v>194</v>
      </c>
      <c r="K13" s="18">
        <v>46149</v>
      </c>
      <c r="L13" s="17" t="s">
        <v>24</v>
      </c>
      <c r="M13" s="7" t="s">
        <v>25</v>
      </c>
      <c r="N13" s="17"/>
    </row>
    <row r="14" spans="1:14" ht="51" customHeight="1" x14ac:dyDescent="0.2">
      <c r="A14" s="17">
        <v>13</v>
      </c>
      <c r="B14" s="16" t="s">
        <v>195</v>
      </c>
      <c r="C14" s="17" t="s">
        <v>176</v>
      </c>
      <c r="D14" s="17">
        <v>15.5</v>
      </c>
      <c r="E14" s="17">
        <v>8.6999999999999993</v>
      </c>
      <c r="F14" s="16" t="s">
        <v>126</v>
      </c>
      <c r="G14" s="17" t="s">
        <v>196</v>
      </c>
      <c r="H14" s="17" t="s">
        <v>4868</v>
      </c>
      <c r="I14" s="17" t="s">
        <v>34</v>
      </c>
      <c r="J14" s="17" t="s">
        <v>197</v>
      </c>
      <c r="K14" s="18">
        <v>46156</v>
      </c>
      <c r="L14" s="17" t="s">
        <v>24</v>
      </c>
      <c r="M14" s="7" t="s">
        <v>25</v>
      </c>
      <c r="N14" s="17"/>
    </row>
    <row r="15" spans="1:14" ht="51" customHeight="1" x14ac:dyDescent="0.2">
      <c r="A15" s="17">
        <v>14</v>
      </c>
      <c r="B15" s="16" t="s">
        <v>195</v>
      </c>
      <c r="C15" s="17" t="s">
        <v>179</v>
      </c>
      <c r="D15" s="17">
        <v>8.3000000000000007</v>
      </c>
      <c r="E15" s="17"/>
      <c r="F15" s="16" t="s">
        <v>126</v>
      </c>
      <c r="G15" s="17" t="s">
        <v>196</v>
      </c>
      <c r="H15" s="17" t="s">
        <v>4868</v>
      </c>
      <c r="I15" s="17" t="s">
        <v>34</v>
      </c>
      <c r="J15" s="17" t="s">
        <v>197</v>
      </c>
      <c r="K15" s="18">
        <v>46156</v>
      </c>
      <c r="L15" s="17" t="s">
        <v>24</v>
      </c>
      <c r="M15" s="7" t="s">
        <v>25</v>
      </c>
      <c r="N15" s="17"/>
    </row>
    <row r="16" spans="1:14" ht="63.75" customHeight="1" x14ac:dyDescent="0.2">
      <c r="A16" s="17">
        <v>15</v>
      </c>
      <c r="B16" s="16" t="s">
        <v>195</v>
      </c>
      <c r="C16" s="17" t="s">
        <v>171</v>
      </c>
      <c r="D16" s="17">
        <v>15.6</v>
      </c>
      <c r="E16" s="17">
        <v>8.3000000000000007</v>
      </c>
      <c r="F16" s="16" t="s">
        <v>106</v>
      </c>
      <c r="G16" s="17" t="s">
        <v>4905</v>
      </c>
      <c r="H16" s="17" t="s">
        <v>198</v>
      </c>
      <c r="I16" s="17" t="s">
        <v>34</v>
      </c>
      <c r="J16" s="17" t="s">
        <v>199</v>
      </c>
      <c r="K16" s="18">
        <v>46157</v>
      </c>
      <c r="L16" s="17" t="s">
        <v>24</v>
      </c>
      <c r="M16" s="7" t="s">
        <v>25</v>
      </c>
      <c r="N16" s="17"/>
    </row>
    <row r="17" spans="1:14" ht="63.75" customHeight="1" x14ac:dyDescent="0.2">
      <c r="A17" s="17">
        <v>16</v>
      </c>
      <c r="B17" s="16" t="s">
        <v>195</v>
      </c>
      <c r="C17" s="17" t="s">
        <v>174</v>
      </c>
      <c r="D17" s="17">
        <v>8.1999999999999993</v>
      </c>
      <c r="E17" s="17"/>
      <c r="F17" s="16" t="s">
        <v>106</v>
      </c>
      <c r="G17" s="17" t="s">
        <v>4905</v>
      </c>
      <c r="H17" s="17" t="s">
        <v>198</v>
      </c>
      <c r="I17" s="17" t="s">
        <v>34</v>
      </c>
      <c r="J17" s="17" t="s">
        <v>199</v>
      </c>
      <c r="K17" s="18">
        <v>46157</v>
      </c>
      <c r="L17" s="17" t="s">
        <v>24</v>
      </c>
      <c r="M17" s="7" t="s">
        <v>25</v>
      </c>
      <c r="N17" s="17"/>
    </row>
    <row r="18" spans="1:14" ht="25.5" customHeight="1" x14ac:dyDescent="0.2">
      <c r="A18" s="17">
        <v>17</v>
      </c>
      <c r="B18" s="16" t="s">
        <v>200</v>
      </c>
      <c r="C18" s="17" t="s">
        <v>176</v>
      </c>
      <c r="D18" s="17">
        <v>16.7</v>
      </c>
      <c r="E18" s="17">
        <v>12</v>
      </c>
      <c r="F18" s="16" t="s">
        <v>62</v>
      </c>
      <c r="G18" s="17" t="s">
        <v>201</v>
      </c>
      <c r="H18" s="17" t="s">
        <v>202</v>
      </c>
      <c r="I18" s="17" t="s">
        <v>28</v>
      </c>
      <c r="J18" s="17">
        <v>7</v>
      </c>
      <c r="K18" s="18">
        <v>46133</v>
      </c>
      <c r="L18" s="17" t="s">
        <v>24</v>
      </c>
      <c r="M18" s="7" t="s">
        <v>25</v>
      </c>
      <c r="N18" s="17"/>
    </row>
    <row r="19" spans="1:14" ht="25.5" customHeight="1" x14ac:dyDescent="0.2">
      <c r="A19" s="17">
        <v>18</v>
      </c>
      <c r="B19" s="16" t="s">
        <v>200</v>
      </c>
      <c r="C19" s="17" t="s">
        <v>179</v>
      </c>
      <c r="D19" s="17">
        <v>24.1</v>
      </c>
      <c r="E19" s="17"/>
      <c r="F19" s="16" t="s">
        <v>62</v>
      </c>
      <c r="G19" s="17" t="s">
        <v>201</v>
      </c>
      <c r="H19" s="17" t="s">
        <v>202</v>
      </c>
      <c r="I19" s="17" t="s">
        <v>28</v>
      </c>
      <c r="J19" s="17">
        <v>7</v>
      </c>
      <c r="K19" s="18">
        <v>46133</v>
      </c>
      <c r="L19" s="17" t="s">
        <v>24</v>
      </c>
      <c r="M19" s="7" t="s">
        <v>25</v>
      </c>
      <c r="N19" s="17"/>
    </row>
    <row r="20" spans="1:14" ht="51" customHeight="1" x14ac:dyDescent="0.2">
      <c r="A20" s="17">
        <v>19</v>
      </c>
      <c r="B20" s="16" t="s">
        <v>203</v>
      </c>
      <c r="C20" s="17" t="s">
        <v>176</v>
      </c>
      <c r="D20" s="17">
        <v>17.3</v>
      </c>
      <c r="E20" s="17">
        <v>12.5</v>
      </c>
      <c r="F20" s="16" t="s">
        <v>31</v>
      </c>
      <c r="G20" s="17" t="s">
        <v>204</v>
      </c>
      <c r="H20" s="17" t="s">
        <v>205</v>
      </c>
      <c r="I20" s="17" t="s">
        <v>34</v>
      </c>
      <c r="J20" s="17">
        <v>8</v>
      </c>
      <c r="K20" s="18">
        <v>46154</v>
      </c>
      <c r="L20" s="17" t="s">
        <v>82</v>
      </c>
      <c r="M20" s="7" t="s">
        <v>25</v>
      </c>
      <c r="N20" s="17"/>
    </row>
    <row r="21" spans="1:14" ht="51" customHeight="1" x14ac:dyDescent="0.2">
      <c r="A21" s="17">
        <v>20</v>
      </c>
      <c r="B21" s="16" t="s">
        <v>203</v>
      </c>
      <c r="C21" s="17" t="s">
        <v>179</v>
      </c>
      <c r="D21" s="17">
        <v>23.3</v>
      </c>
      <c r="E21" s="17"/>
      <c r="F21" s="16" t="s">
        <v>31</v>
      </c>
      <c r="G21" s="17" t="s">
        <v>204</v>
      </c>
      <c r="H21" s="17" t="s">
        <v>205</v>
      </c>
      <c r="I21" s="17" t="s">
        <v>34</v>
      </c>
      <c r="J21" s="17">
        <v>8</v>
      </c>
      <c r="K21" s="18">
        <v>46154</v>
      </c>
      <c r="L21" s="17" t="s">
        <v>82</v>
      </c>
      <c r="M21" s="7" t="s">
        <v>25</v>
      </c>
      <c r="N21" s="17"/>
    </row>
    <row r="22" spans="1:14" ht="25.5" customHeight="1" x14ac:dyDescent="0.2">
      <c r="A22" s="17">
        <v>21</v>
      </c>
      <c r="B22" s="16" t="s">
        <v>206</v>
      </c>
      <c r="C22" s="17" t="s">
        <v>176</v>
      </c>
      <c r="D22" s="17">
        <v>16.8</v>
      </c>
      <c r="E22" s="17">
        <v>12.4</v>
      </c>
      <c r="F22" s="16" t="s">
        <v>126</v>
      </c>
      <c r="G22" s="17" t="s">
        <v>207</v>
      </c>
      <c r="H22" s="17" t="s">
        <v>208</v>
      </c>
      <c r="I22" s="17" t="s">
        <v>42</v>
      </c>
      <c r="J22" s="17">
        <v>9</v>
      </c>
      <c r="K22" s="18">
        <v>46156</v>
      </c>
      <c r="L22" s="17" t="s">
        <v>24</v>
      </c>
      <c r="M22" s="7" t="s">
        <v>25</v>
      </c>
      <c r="N22" s="17"/>
    </row>
    <row r="23" spans="1:14" ht="25.5" customHeight="1" x14ac:dyDescent="0.2">
      <c r="A23" s="17">
        <v>22</v>
      </c>
      <c r="B23" s="16" t="s">
        <v>206</v>
      </c>
      <c r="C23" s="17" t="s">
        <v>179</v>
      </c>
      <c r="D23" s="17">
        <v>23.8</v>
      </c>
      <c r="E23" s="17"/>
      <c r="F23" s="16" t="s">
        <v>126</v>
      </c>
      <c r="G23" s="17" t="s">
        <v>207</v>
      </c>
      <c r="H23" s="17" t="s">
        <v>208</v>
      </c>
      <c r="I23" s="17" t="s">
        <v>42</v>
      </c>
      <c r="J23" s="17">
        <v>9</v>
      </c>
      <c r="K23" s="18">
        <v>46156</v>
      </c>
      <c r="L23" s="17" t="s">
        <v>24</v>
      </c>
      <c r="M23" s="7" t="s">
        <v>25</v>
      </c>
      <c r="N23" s="17"/>
    </row>
    <row r="24" spans="1:14" ht="63.75" customHeight="1" x14ac:dyDescent="0.2">
      <c r="A24" s="17">
        <v>23</v>
      </c>
      <c r="B24" s="16" t="s">
        <v>209</v>
      </c>
      <c r="C24" s="17" t="s">
        <v>176</v>
      </c>
      <c r="D24" s="17">
        <v>18.3</v>
      </c>
      <c r="E24" s="17">
        <v>13</v>
      </c>
      <c r="F24" s="16" t="s">
        <v>62</v>
      </c>
      <c r="G24" s="17" t="s">
        <v>210</v>
      </c>
      <c r="H24" s="17" t="s">
        <v>211</v>
      </c>
      <c r="I24" s="17" t="s">
        <v>34</v>
      </c>
      <c r="J24" s="17" t="s">
        <v>212</v>
      </c>
      <c r="K24" s="18">
        <v>46133</v>
      </c>
      <c r="L24" s="17" t="s">
        <v>24</v>
      </c>
      <c r="M24" s="7" t="s">
        <v>25</v>
      </c>
      <c r="N24" s="17"/>
    </row>
    <row r="25" spans="1:14" ht="38.25" customHeight="1" x14ac:dyDescent="0.2">
      <c r="A25" s="17">
        <v>24</v>
      </c>
      <c r="B25" s="16" t="s">
        <v>209</v>
      </c>
      <c r="C25" s="17" t="s">
        <v>171</v>
      </c>
      <c r="D25" s="17">
        <v>17</v>
      </c>
      <c r="E25" s="17">
        <v>13.4</v>
      </c>
      <c r="F25" s="16" t="s">
        <v>126</v>
      </c>
      <c r="G25" s="17" t="s">
        <v>213</v>
      </c>
      <c r="H25" s="17" t="s">
        <v>214</v>
      </c>
      <c r="I25" s="17" t="s">
        <v>22</v>
      </c>
      <c r="J25" s="17" t="s">
        <v>215</v>
      </c>
      <c r="K25" s="18">
        <v>46137</v>
      </c>
      <c r="L25" s="17" t="s">
        <v>24</v>
      </c>
      <c r="M25" s="7" t="s">
        <v>25</v>
      </c>
      <c r="N25" s="17"/>
    </row>
    <row r="26" spans="1:14" ht="89.25" customHeight="1" x14ac:dyDescent="0.2">
      <c r="A26" s="17">
        <v>25</v>
      </c>
      <c r="B26" s="16" t="s">
        <v>216</v>
      </c>
      <c r="C26" s="17" t="s">
        <v>176</v>
      </c>
      <c r="D26" s="17">
        <v>16.899999999999999</v>
      </c>
      <c r="E26" s="17">
        <v>12.8</v>
      </c>
      <c r="F26" s="16" t="s">
        <v>121</v>
      </c>
      <c r="G26" s="17" t="s">
        <v>217</v>
      </c>
      <c r="H26" s="17" t="s">
        <v>218</v>
      </c>
      <c r="I26" s="17" t="s">
        <v>34</v>
      </c>
      <c r="J26" s="17" t="s">
        <v>219</v>
      </c>
      <c r="K26" s="18">
        <v>46149</v>
      </c>
      <c r="L26" s="17" t="s">
        <v>24</v>
      </c>
      <c r="M26" s="7" t="s">
        <v>25</v>
      </c>
      <c r="N26" s="17"/>
    </row>
    <row r="27" spans="1:14" ht="89.25" customHeight="1" x14ac:dyDescent="0.2">
      <c r="A27" s="17">
        <v>26</v>
      </c>
      <c r="B27" s="16" t="s">
        <v>216</v>
      </c>
      <c r="C27" s="17" t="s">
        <v>179</v>
      </c>
      <c r="D27" s="17">
        <v>8</v>
      </c>
      <c r="E27" s="17"/>
      <c r="F27" s="16" t="s">
        <v>121</v>
      </c>
      <c r="G27" s="17" t="s">
        <v>217</v>
      </c>
      <c r="H27" s="17" t="s">
        <v>218</v>
      </c>
      <c r="I27" s="17" t="s">
        <v>34</v>
      </c>
      <c r="J27" s="17" t="s">
        <v>219</v>
      </c>
      <c r="K27" s="18">
        <v>46149</v>
      </c>
      <c r="L27" s="17" t="s">
        <v>24</v>
      </c>
      <c r="M27" s="7" t="s">
        <v>25</v>
      </c>
      <c r="N27" s="17"/>
    </row>
    <row r="28" spans="1:14" ht="51" customHeight="1" x14ac:dyDescent="0.2">
      <c r="A28" s="17">
        <v>27</v>
      </c>
      <c r="B28" s="16" t="s">
        <v>216</v>
      </c>
      <c r="C28" s="17" t="s">
        <v>171</v>
      </c>
      <c r="D28" s="17">
        <v>16.899999999999999</v>
      </c>
      <c r="E28" s="17">
        <v>12.7</v>
      </c>
      <c r="F28" s="16" t="s">
        <v>121</v>
      </c>
      <c r="G28" s="17" t="s">
        <v>220</v>
      </c>
      <c r="H28" s="17" t="s">
        <v>221</v>
      </c>
      <c r="I28" s="17" t="s">
        <v>34</v>
      </c>
      <c r="J28" s="17" t="s">
        <v>222</v>
      </c>
      <c r="K28" s="18">
        <v>46149</v>
      </c>
      <c r="L28" s="17" t="s">
        <v>24</v>
      </c>
      <c r="M28" s="7" t="s">
        <v>25</v>
      </c>
      <c r="N28" s="17"/>
    </row>
    <row r="29" spans="1:14" ht="51" customHeight="1" x14ac:dyDescent="0.2">
      <c r="A29" s="17">
        <v>28</v>
      </c>
      <c r="B29" s="16" t="s">
        <v>216</v>
      </c>
      <c r="C29" s="17" t="s">
        <v>174</v>
      </c>
      <c r="D29" s="17">
        <v>7.9</v>
      </c>
      <c r="E29" s="17"/>
      <c r="F29" s="16" t="s">
        <v>121</v>
      </c>
      <c r="G29" s="17" t="s">
        <v>220</v>
      </c>
      <c r="H29" s="17" t="s">
        <v>221</v>
      </c>
      <c r="I29" s="17" t="s">
        <v>34</v>
      </c>
      <c r="J29" s="17" t="s">
        <v>222</v>
      </c>
      <c r="K29" s="18">
        <v>46149</v>
      </c>
      <c r="L29" s="17" t="s">
        <v>24</v>
      </c>
      <c r="M29" s="7" t="s">
        <v>25</v>
      </c>
      <c r="N29" s="17"/>
    </row>
    <row r="30" spans="1:14" ht="63.75" customHeight="1" x14ac:dyDescent="0.2">
      <c r="A30" s="17">
        <v>29</v>
      </c>
      <c r="B30" s="16" t="s">
        <v>223</v>
      </c>
      <c r="C30" s="17" t="s">
        <v>171</v>
      </c>
      <c r="D30" s="17">
        <v>16.2</v>
      </c>
      <c r="E30" s="17">
        <v>12.8</v>
      </c>
      <c r="F30" s="16" t="s">
        <v>62</v>
      </c>
      <c r="G30" s="17" t="s">
        <v>224</v>
      </c>
      <c r="H30" s="17" t="s">
        <v>225</v>
      </c>
      <c r="I30" s="17" t="s">
        <v>34</v>
      </c>
      <c r="J30" s="17" t="s">
        <v>226</v>
      </c>
      <c r="K30" s="18">
        <v>46133</v>
      </c>
      <c r="L30" s="17" t="s">
        <v>24</v>
      </c>
      <c r="M30" s="7" t="s">
        <v>25</v>
      </c>
      <c r="N30" s="17"/>
    </row>
    <row r="31" spans="1:14" ht="51" customHeight="1" x14ac:dyDescent="0.2">
      <c r="A31" s="17">
        <v>30</v>
      </c>
      <c r="B31" s="16" t="s">
        <v>227</v>
      </c>
      <c r="C31" s="17" t="s">
        <v>176</v>
      </c>
      <c r="D31" s="17">
        <v>18.100000000000001</v>
      </c>
      <c r="E31" s="17">
        <v>12.8</v>
      </c>
      <c r="F31" s="16" t="s">
        <v>106</v>
      </c>
      <c r="G31" s="17" t="s">
        <v>228</v>
      </c>
      <c r="H31" s="17" t="s">
        <v>229</v>
      </c>
      <c r="I31" s="17" t="s">
        <v>34</v>
      </c>
      <c r="J31" s="18" t="s">
        <v>230</v>
      </c>
      <c r="K31" s="18">
        <v>46141</v>
      </c>
      <c r="L31" s="17" t="s">
        <v>82</v>
      </c>
      <c r="M31" s="7" t="s">
        <v>25</v>
      </c>
      <c r="N31" s="17"/>
    </row>
    <row r="32" spans="1:14" ht="51" customHeight="1" x14ac:dyDescent="0.2">
      <c r="A32" s="17">
        <v>31</v>
      </c>
      <c r="B32" s="16" t="s">
        <v>227</v>
      </c>
      <c r="C32" s="17" t="s">
        <v>179</v>
      </c>
      <c r="D32" s="17">
        <v>8</v>
      </c>
      <c r="E32" s="17"/>
      <c r="F32" s="16" t="s">
        <v>106</v>
      </c>
      <c r="G32" s="17" t="s">
        <v>228</v>
      </c>
      <c r="H32" s="17" t="s">
        <v>229</v>
      </c>
      <c r="I32" s="17" t="s">
        <v>34</v>
      </c>
      <c r="J32" s="18" t="s">
        <v>230</v>
      </c>
      <c r="K32" s="18">
        <v>46141</v>
      </c>
      <c r="L32" s="17" t="s">
        <v>82</v>
      </c>
      <c r="M32" s="7" t="s">
        <v>25</v>
      </c>
      <c r="N32" s="17"/>
    </row>
    <row r="33" spans="1:14" ht="51" customHeight="1" x14ac:dyDescent="0.2">
      <c r="A33" s="17">
        <v>32</v>
      </c>
      <c r="B33" s="16" t="s">
        <v>227</v>
      </c>
      <c r="C33" s="17" t="s">
        <v>171</v>
      </c>
      <c r="D33" s="17">
        <v>17.7</v>
      </c>
      <c r="E33" s="17">
        <v>12.7</v>
      </c>
      <c r="F33" s="16" t="s">
        <v>106</v>
      </c>
      <c r="G33" s="17" t="s">
        <v>231</v>
      </c>
      <c r="H33" s="17" t="s">
        <v>232</v>
      </c>
      <c r="I33" s="17" t="s">
        <v>34</v>
      </c>
      <c r="J33" s="17" t="s">
        <v>233</v>
      </c>
      <c r="K33" s="18">
        <v>46141</v>
      </c>
      <c r="L33" s="17" t="s">
        <v>82</v>
      </c>
      <c r="M33" s="7" t="s">
        <v>25</v>
      </c>
      <c r="N33" s="17"/>
    </row>
    <row r="34" spans="1:14" ht="25.5" customHeight="1" x14ac:dyDescent="0.2">
      <c r="A34" s="17">
        <v>33</v>
      </c>
      <c r="B34" s="16" t="s">
        <v>234</v>
      </c>
      <c r="C34" s="17" t="s">
        <v>176</v>
      </c>
      <c r="D34" s="17">
        <v>16.8</v>
      </c>
      <c r="E34" s="17">
        <v>13.1</v>
      </c>
      <c r="F34" s="16" t="s">
        <v>19</v>
      </c>
      <c r="G34" s="17" t="s">
        <v>235</v>
      </c>
      <c r="H34" s="17" t="s">
        <v>236</v>
      </c>
      <c r="I34" s="17" t="s">
        <v>2304</v>
      </c>
      <c r="J34" s="17" t="s">
        <v>237</v>
      </c>
      <c r="K34" s="18">
        <v>46137</v>
      </c>
      <c r="L34" s="17" t="s">
        <v>24</v>
      </c>
      <c r="M34" s="7" t="s">
        <v>25</v>
      </c>
      <c r="N34" s="17"/>
    </row>
    <row r="35" spans="1:14" ht="25.5" customHeight="1" x14ac:dyDescent="0.2">
      <c r="A35" s="17">
        <v>34</v>
      </c>
      <c r="B35" s="16" t="s">
        <v>234</v>
      </c>
      <c r="C35" s="17" t="s">
        <v>179</v>
      </c>
      <c r="D35" s="17">
        <v>7.8</v>
      </c>
      <c r="E35" s="17"/>
      <c r="F35" s="16" t="s">
        <v>19</v>
      </c>
      <c r="G35" s="17" t="s">
        <v>235</v>
      </c>
      <c r="H35" s="17" t="s">
        <v>236</v>
      </c>
      <c r="I35" s="17" t="s">
        <v>2304</v>
      </c>
      <c r="J35" s="17" t="s">
        <v>237</v>
      </c>
      <c r="K35" s="18">
        <v>46137</v>
      </c>
      <c r="L35" s="17" t="s">
        <v>24</v>
      </c>
      <c r="M35" s="7" t="s">
        <v>25</v>
      </c>
      <c r="N35" s="17"/>
    </row>
    <row r="36" spans="1:14" ht="51" customHeight="1" x14ac:dyDescent="0.2">
      <c r="A36" s="17">
        <v>35</v>
      </c>
      <c r="B36" s="16" t="s">
        <v>234</v>
      </c>
      <c r="C36" s="17" t="s">
        <v>171</v>
      </c>
      <c r="D36" s="17">
        <v>16.5</v>
      </c>
      <c r="E36" s="17">
        <v>13.1</v>
      </c>
      <c r="F36" s="16" t="s">
        <v>126</v>
      </c>
      <c r="G36" s="17" t="s">
        <v>238</v>
      </c>
      <c r="H36" s="17" t="s">
        <v>239</v>
      </c>
      <c r="I36" s="17" t="s">
        <v>34</v>
      </c>
      <c r="J36" s="17" t="s">
        <v>240</v>
      </c>
      <c r="K36" s="18">
        <v>46156</v>
      </c>
      <c r="L36" s="17" t="s">
        <v>82</v>
      </c>
      <c r="M36" s="7" t="s">
        <v>25</v>
      </c>
      <c r="N36" s="17"/>
    </row>
    <row r="37" spans="1:14" ht="51" customHeight="1" x14ac:dyDescent="0.2">
      <c r="A37" s="17">
        <v>36</v>
      </c>
      <c r="B37" s="16" t="s">
        <v>234</v>
      </c>
      <c r="C37" s="17" t="s">
        <v>174</v>
      </c>
      <c r="D37" s="17">
        <v>7.8</v>
      </c>
      <c r="E37" s="17"/>
      <c r="F37" s="16" t="s">
        <v>126</v>
      </c>
      <c r="G37" s="17" t="s">
        <v>238</v>
      </c>
      <c r="H37" s="17" t="s">
        <v>239</v>
      </c>
      <c r="I37" s="17" t="s">
        <v>34</v>
      </c>
      <c r="J37" s="17" t="s">
        <v>240</v>
      </c>
      <c r="K37" s="18">
        <v>46156</v>
      </c>
      <c r="L37" s="17" t="s">
        <v>82</v>
      </c>
      <c r="M37" s="7" t="s">
        <v>25</v>
      </c>
      <c r="N37" s="17"/>
    </row>
    <row r="38" spans="1:14" ht="63.75" customHeight="1" x14ac:dyDescent="0.2">
      <c r="A38" s="17">
        <v>37</v>
      </c>
      <c r="B38" s="16" t="s">
        <v>241</v>
      </c>
      <c r="C38" s="17" t="s">
        <v>176</v>
      </c>
      <c r="D38" s="17">
        <v>17.8</v>
      </c>
      <c r="E38" s="17">
        <v>13.3</v>
      </c>
      <c r="F38" s="16" t="s">
        <v>31</v>
      </c>
      <c r="G38" s="17" t="s">
        <v>242</v>
      </c>
      <c r="H38" s="17" t="s">
        <v>243</v>
      </c>
      <c r="I38" s="17" t="s">
        <v>34</v>
      </c>
      <c r="J38" s="17">
        <v>17</v>
      </c>
      <c r="K38" s="18">
        <v>46154</v>
      </c>
      <c r="L38" s="17" t="s">
        <v>24</v>
      </c>
      <c r="M38" s="7" t="s">
        <v>25</v>
      </c>
      <c r="N38" s="17"/>
    </row>
    <row r="39" spans="1:14" ht="63.75" customHeight="1" x14ac:dyDescent="0.2">
      <c r="A39" s="17">
        <v>38</v>
      </c>
      <c r="B39" s="16" t="s">
        <v>241</v>
      </c>
      <c r="C39" s="17" t="s">
        <v>179</v>
      </c>
      <c r="D39" s="17">
        <v>22.1</v>
      </c>
      <c r="E39" s="17"/>
      <c r="F39" s="16" t="s">
        <v>31</v>
      </c>
      <c r="G39" s="17" t="s">
        <v>242</v>
      </c>
      <c r="H39" s="17" t="s">
        <v>243</v>
      </c>
      <c r="I39" s="17" t="s">
        <v>34</v>
      </c>
      <c r="J39" s="17">
        <v>17</v>
      </c>
      <c r="K39" s="18">
        <v>46154</v>
      </c>
      <c r="L39" s="17" t="s">
        <v>24</v>
      </c>
      <c r="M39" s="7" t="s">
        <v>25</v>
      </c>
      <c r="N39" s="17"/>
    </row>
    <row r="40" spans="1:14" ht="63.75" customHeight="1" x14ac:dyDescent="0.2">
      <c r="A40" s="17">
        <v>39</v>
      </c>
      <c r="B40" s="16" t="s">
        <v>244</v>
      </c>
      <c r="C40" s="17" t="s">
        <v>176</v>
      </c>
      <c r="D40" s="17">
        <v>17.600000000000001</v>
      </c>
      <c r="E40" s="17">
        <v>13.1</v>
      </c>
      <c r="F40" s="16" t="s">
        <v>31</v>
      </c>
      <c r="G40" s="17" t="s">
        <v>245</v>
      </c>
      <c r="H40" s="17" t="s">
        <v>246</v>
      </c>
      <c r="I40" s="17" t="s">
        <v>34</v>
      </c>
      <c r="J40" s="17" t="s">
        <v>247</v>
      </c>
      <c r="K40" s="18">
        <v>46154</v>
      </c>
      <c r="L40" s="17" t="s">
        <v>82</v>
      </c>
      <c r="M40" s="7" t="s">
        <v>25</v>
      </c>
      <c r="N40" s="17"/>
    </row>
    <row r="41" spans="1:14" ht="63.75" customHeight="1" x14ac:dyDescent="0.2">
      <c r="A41" s="17">
        <v>40</v>
      </c>
      <c r="B41" s="16" t="s">
        <v>244</v>
      </c>
      <c r="C41" s="17" t="s">
        <v>179</v>
      </c>
      <c r="D41" s="17">
        <v>7.4</v>
      </c>
      <c r="E41" s="17"/>
      <c r="F41" s="16" t="s">
        <v>31</v>
      </c>
      <c r="G41" s="17" t="s">
        <v>245</v>
      </c>
      <c r="H41" s="17" t="s">
        <v>246</v>
      </c>
      <c r="I41" s="17" t="s">
        <v>34</v>
      </c>
      <c r="J41" s="17" t="s">
        <v>247</v>
      </c>
      <c r="K41" s="18">
        <v>46154</v>
      </c>
      <c r="L41" s="17" t="s">
        <v>82</v>
      </c>
      <c r="M41" s="7" t="s">
        <v>25</v>
      </c>
      <c r="N41" s="17"/>
    </row>
    <row r="42" spans="1:14" ht="25.5" customHeight="1" x14ac:dyDescent="0.2">
      <c r="A42" s="17">
        <v>41</v>
      </c>
      <c r="B42" s="16" t="s">
        <v>244</v>
      </c>
      <c r="C42" s="17" t="s">
        <v>171</v>
      </c>
      <c r="D42" s="17">
        <v>17.5</v>
      </c>
      <c r="E42" s="17">
        <v>13.1</v>
      </c>
      <c r="F42" s="16" t="s">
        <v>151</v>
      </c>
      <c r="G42" s="17" t="s">
        <v>248</v>
      </c>
      <c r="H42" s="17" t="s">
        <v>249</v>
      </c>
      <c r="I42" s="17" t="s">
        <v>51</v>
      </c>
      <c r="J42" s="17" t="s">
        <v>250</v>
      </c>
      <c r="K42" s="18">
        <v>46142</v>
      </c>
      <c r="L42" s="17" t="s">
        <v>82</v>
      </c>
      <c r="M42" s="7" t="s">
        <v>25</v>
      </c>
      <c r="N42" s="17"/>
    </row>
    <row r="43" spans="1:14" ht="25.5" customHeight="1" x14ac:dyDescent="0.2">
      <c r="A43" s="17">
        <v>42</v>
      </c>
      <c r="B43" s="16" t="s">
        <v>244</v>
      </c>
      <c r="C43" s="17" t="s">
        <v>174</v>
      </c>
      <c r="D43" s="17">
        <v>7.4</v>
      </c>
      <c r="E43" s="17"/>
      <c r="F43" s="16" t="s">
        <v>151</v>
      </c>
      <c r="G43" s="17" t="s">
        <v>248</v>
      </c>
      <c r="H43" s="17" t="s">
        <v>249</v>
      </c>
      <c r="I43" s="17" t="s">
        <v>51</v>
      </c>
      <c r="J43" s="17" t="s">
        <v>250</v>
      </c>
      <c r="K43" s="18">
        <v>46142</v>
      </c>
      <c r="L43" s="17" t="s">
        <v>82</v>
      </c>
      <c r="M43" s="7" t="s">
        <v>25</v>
      </c>
      <c r="N43" s="17"/>
    </row>
    <row r="44" spans="1:14" ht="63.75" customHeight="1" x14ac:dyDescent="0.2">
      <c r="A44" s="17">
        <v>43</v>
      </c>
      <c r="B44" s="16" t="s">
        <v>251</v>
      </c>
      <c r="C44" s="17" t="s">
        <v>176</v>
      </c>
      <c r="D44" s="17">
        <v>17.2</v>
      </c>
      <c r="E44" s="17">
        <v>13.5</v>
      </c>
      <c r="F44" s="16" t="s">
        <v>31</v>
      </c>
      <c r="G44" s="17" t="s">
        <v>252</v>
      </c>
      <c r="H44" s="17" t="s">
        <v>253</v>
      </c>
      <c r="I44" s="17" t="s">
        <v>34</v>
      </c>
      <c r="J44" s="17">
        <v>19</v>
      </c>
      <c r="K44" s="18">
        <v>46154</v>
      </c>
      <c r="L44" s="17" t="s">
        <v>24</v>
      </c>
      <c r="M44" s="7" t="s">
        <v>25</v>
      </c>
      <c r="N44" s="17"/>
    </row>
    <row r="45" spans="1:14" ht="63.75" customHeight="1" x14ac:dyDescent="0.2">
      <c r="A45" s="17">
        <v>44</v>
      </c>
      <c r="B45" s="16" t="s">
        <v>251</v>
      </c>
      <c r="C45" s="17" t="s">
        <v>179</v>
      </c>
      <c r="D45" s="17">
        <v>20.8</v>
      </c>
      <c r="E45" s="17"/>
      <c r="F45" s="16" t="s">
        <v>31</v>
      </c>
      <c r="G45" s="17" t="s">
        <v>252</v>
      </c>
      <c r="H45" s="17" t="s">
        <v>253</v>
      </c>
      <c r="I45" s="17" t="s">
        <v>34</v>
      </c>
      <c r="J45" s="17">
        <v>19</v>
      </c>
      <c r="K45" s="18">
        <v>46154</v>
      </c>
      <c r="L45" s="17" t="s">
        <v>24</v>
      </c>
      <c r="M45" s="7" t="s">
        <v>25</v>
      </c>
      <c r="N45" s="17"/>
    </row>
    <row r="46" spans="1:14" ht="63.75" customHeight="1" x14ac:dyDescent="0.2">
      <c r="A46" s="17">
        <v>45</v>
      </c>
      <c r="B46" s="16" t="s">
        <v>254</v>
      </c>
      <c r="C46" s="17" t="s">
        <v>176</v>
      </c>
      <c r="D46" s="17">
        <v>16.5</v>
      </c>
      <c r="E46" s="17">
        <v>12.8</v>
      </c>
      <c r="F46" s="16" t="s">
        <v>31</v>
      </c>
      <c r="G46" s="17" t="s">
        <v>255</v>
      </c>
      <c r="H46" s="17" t="s">
        <v>256</v>
      </c>
      <c r="I46" s="17" t="s">
        <v>34</v>
      </c>
      <c r="J46" s="17" t="s">
        <v>257</v>
      </c>
      <c r="K46" s="18">
        <v>46154</v>
      </c>
      <c r="L46" s="17" t="s">
        <v>24</v>
      </c>
      <c r="M46" s="7" t="s">
        <v>25</v>
      </c>
      <c r="N46" s="17"/>
    </row>
    <row r="47" spans="1:14" ht="63.75" customHeight="1" x14ac:dyDescent="0.2">
      <c r="A47" s="17">
        <v>46</v>
      </c>
      <c r="B47" s="16" t="s">
        <v>254</v>
      </c>
      <c r="C47" s="17" t="s">
        <v>179</v>
      </c>
      <c r="D47" s="17">
        <v>7.8</v>
      </c>
      <c r="E47" s="17"/>
      <c r="F47" s="16" t="s">
        <v>31</v>
      </c>
      <c r="G47" s="17" t="s">
        <v>255</v>
      </c>
      <c r="H47" s="17" t="s">
        <v>256</v>
      </c>
      <c r="I47" s="17" t="s">
        <v>34</v>
      </c>
      <c r="J47" s="17" t="s">
        <v>257</v>
      </c>
      <c r="K47" s="18">
        <v>46154</v>
      </c>
      <c r="L47" s="17" t="s">
        <v>24</v>
      </c>
      <c r="M47" s="7" t="s">
        <v>25</v>
      </c>
      <c r="N47" s="17"/>
    </row>
    <row r="48" spans="1:14" ht="63.75" customHeight="1" x14ac:dyDescent="0.2">
      <c r="A48" s="17">
        <v>47</v>
      </c>
      <c r="B48" s="16" t="s">
        <v>254</v>
      </c>
      <c r="C48" s="17" t="s">
        <v>171</v>
      </c>
      <c r="D48" s="17">
        <v>16.3</v>
      </c>
      <c r="E48" s="17">
        <v>12.8</v>
      </c>
      <c r="F48" s="16" t="s">
        <v>31</v>
      </c>
      <c r="G48" s="17" t="s">
        <v>258</v>
      </c>
      <c r="H48" s="17" t="s">
        <v>259</v>
      </c>
      <c r="I48" s="17" t="s">
        <v>34</v>
      </c>
      <c r="J48" s="17" t="s">
        <v>260</v>
      </c>
      <c r="K48" s="18">
        <v>46154</v>
      </c>
      <c r="L48" s="17" t="s">
        <v>24</v>
      </c>
      <c r="M48" s="7" t="s">
        <v>25</v>
      </c>
      <c r="N48" s="17"/>
    </row>
    <row r="49" spans="1:14" ht="63.75" customHeight="1" x14ac:dyDescent="0.2">
      <c r="A49" s="17">
        <v>48</v>
      </c>
      <c r="B49" s="16" t="s">
        <v>254</v>
      </c>
      <c r="C49" s="17" t="s">
        <v>174</v>
      </c>
      <c r="D49" s="17">
        <v>7.7</v>
      </c>
      <c r="E49" s="17"/>
      <c r="F49" s="16" t="s">
        <v>31</v>
      </c>
      <c r="G49" s="17" t="s">
        <v>258</v>
      </c>
      <c r="H49" s="17" t="s">
        <v>259</v>
      </c>
      <c r="I49" s="17" t="s">
        <v>34</v>
      </c>
      <c r="J49" s="17" t="s">
        <v>260</v>
      </c>
      <c r="K49" s="18">
        <v>46154</v>
      </c>
      <c r="L49" s="17" t="s">
        <v>24</v>
      </c>
      <c r="M49" s="7" t="s">
        <v>25</v>
      </c>
      <c r="N49" s="17"/>
    </row>
    <row r="50" spans="1:14" ht="63.75" customHeight="1" x14ac:dyDescent="0.2">
      <c r="A50" s="17">
        <v>49</v>
      </c>
      <c r="B50" s="16" t="s">
        <v>261</v>
      </c>
      <c r="C50" s="17" t="s">
        <v>176</v>
      </c>
      <c r="D50" s="17">
        <v>16.600000000000001</v>
      </c>
      <c r="E50" s="17">
        <v>13.4</v>
      </c>
      <c r="F50" s="16" t="s">
        <v>121</v>
      </c>
      <c r="G50" s="17" t="s">
        <v>262</v>
      </c>
      <c r="H50" s="17" t="s">
        <v>263</v>
      </c>
      <c r="I50" s="17" t="s">
        <v>34</v>
      </c>
      <c r="J50" s="17" t="s">
        <v>264</v>
      </c>
      <c r="K50" s="18">
        <v>46149</v>
      </c>
      <c r="L50" s="17" t="s">
        <v>82</v>
      </c>
      <c r="M50" s="7" t="s">
        <v>25</v>
      </c>
      <c r="N50" s="17"/>
    </row>
    <row r="51" spans="1:14" ht="63.75" customHeight="1" x14ac:dyDescent="0.2">
      <c r="A51" s="17">
        <v>50</v>
      </c>
      <c r="B51" s="16" t="s">
        <v>261</v>
      </c>
      <c r="C51" s="17" t="s">
        <v>179</v>
      </c>
      <c r="D51" s="17">
        <v>8.1</v>
      </c>
      <c r="E51" s="17"/>
      <c r="F51" s="16" t="s">
        <v>121</v>
      </c>
      <c r="G51" s="17" t="s">
        <v>262</v>
      </c>
      <c r="H51" s="17" t="s">
        <v>263</v>
      </c>
      <c r="I51" s="17" t="s">
        <v>34</v>
      </c>
      <c r="J51" s="17" t="s">
        <v>264</v>
      </c>
      <c r="K51" s="18">
        <v>46149</v>
      </c>
      <c r="L51" s="17" t="s">
        <v>82</v>
      </c>
      <c r="M51" s="7" t="s">
        <v>25</v>
      </c>
      <c r="N51" s="17"/>
    </row>
    <row r="52" spans="1:14" ht="25.5" customHeight="1" x14ac:dyDescent="0.2">
      <c r="A52" s="17">
        <v>51</v>
      </c>
      <c r="B52" s="16" t="s">
        <v>261</v>
      </c>
      <c r="C52" s="17" t="s">
        <v>171</v>
      </c>
      <c r="D52" s="17">
        <v>17.3</v>
      </c>
      <c r="E52" s="17">
        <v>13.2</v>
      </c>
      <c r="F52" s="16" t="s">
        <v>62</v>
      </c>
      <c r="G52" s="17" t="s">
        <v>265</v>
      </c>
      <c r="H52" s="17" t="s">
        <v>266</v>
      </c>
      <c r="I52" s="17" t="s">
        <v>267</v>
      </c>
      <c r="J52" s="17" t="s">
        <v>268</v>
      </c>
      <c r="K52" s="18">
        <v>46140</v>
      </c>
      <c r="L52" s="17" t="s">
        <v>82</v>
      </c>
      <c r="M52" s="7" t="s">
        <v>25</v>
      </c>
      <c r="N52" s="17"/>
    </row>
    <row r="53" spans="1:14" ht="25.5" customHeight="1" x14ac:dyDescent="0.2">
      <c r="A53" s="17">
        <v>52</v>
      </c>
      <c r="B53" s="16" t="s">
        <v>261</v>
      </c>
      <c r="C53" s="17" t="s">
        <v>174</v>
      </c>
      <c r="D53" s="17">
        <v>7.3</v>
      </c>
      <c r="E53" s="17"/>
      <c r="F53" s="16" t="s">
        <v>62</v>
      </c>
      <c r="G53" s="17" t="s">
        <v>265</v>
      </c>
      <c r="H53" s="17" t="s">
        <v>266</v>
      </c>
      <c r="I53" s="17" t="s">
        <v>267</v>
      </c>
      <c r="J53" s="17" t="s">
        <v>268</v>
      </c>
      <c r="K53" s="18">
        <v>46140</v>
      </c>
      <c r="L53" s="17" t="s">
        <v>82</v>
      </c>
      <c r="M53" s="7" t="s">
        <v>25</v>
      </c>
      <c r="N53" s="17"/>
    </row>
    <row r="54" spans="1:14" ht="63.75" customHeight="1" x14ac:dyDescent="0.2">
      <c r="A54" s="17">
        <v>53</v>
      </c>
      <c r="B54" s="16" t="s">
        <v>269</v>
      </c>
      <c r="C54" s="17" t="s">
        <v>176</v>
      </c>
      <c r="D54" s="17">
        <v>19.100000000000001</v>
      </c>
      <c r="E54" s="17">
        <v>13.4</v>
      </c>
      <c r="F54" s="16" t="s">
        <v>48</v>
      </c>
      <c r="G54" s="17" t="s">
        <v>270</v>
      </c>
      <c r="H54" s="17" t="s">
        <v>271</v>
      </c>
      <c r="I54" s="17" t="s">
        <v>34</v>
      </c>
      <c r="J54" s="17" t="s">
        <v>272</v>
      </c>
      <c r="K54" s="18">
        <v>46144</v>
      </c>
      <c r="L54" s="17" t="s">
        <v>82</v>
      </c>
      <c r="M54" s="7" t="s">
        <v>25</v>
      </c>
      <c r="N54" s="17"/>
    </row>
    <row r="55" spans="1:14" ht="63.75" customHeight="1" x14ac:dyDescent="0.2">
      <c r="A55" s="17">
        <v>54</v>
      </c>
      <c r="B55" s="16" t="s">
        <v>269</v>
      </c>
      <c r="C55" s="17" t="s">
        <v>179</v>
      </c>
      <c r="D55" s="17">
        <v>23.9</v>
      </c>
      <c r="E55" s="17"/>
      <c r="F55" s="16" t="s">
        <v>48</v>
      </c>
      <c r="G55" s="17" t="s">
        <v>270</v>
      </c>
      <c r="H55" s="17" t="s">
        <v>271</v>
      </c>
      <c r="I55" s="17" t="s">
        <v>34</v>
      </c>
      <c r="J55" s="17" t="s">
        <v>272</v>
      </c>
      <c r="K55" s="18">
        <v>46144</v>
      </c>
      <c r="L55" s="17" t="s">
        <v>82</v>
      </c>
      <c r="M55" s="7" t="s">
        <v>25</v>
      </c>
      <c r="N55" s="17"/>
    </row>
    <row r="56" spans="1:14" ht="63.75" customHeight="1" x14ac:dyDescent="0.2">
      <c r="A56" s="17">
        <v>55</v>
      </c>
      <c r="B56" s="16" t="s">
        <v>273</v>
      </c>
      <c r="C56" s="17" t="s">
        <v>176</v>
      </c>
      <c r="D56" s="17">
        <v>18.5</v>
      </c>
      <c r="E56" s="17">
        <v>13.3</v>
      </c>
      <c r="F56" s="16" t="s">
        <v>19</v>
      </c>
      <c r="G56" s="17" t="s">
        <v>274</v>
      </c>
      <c r="H56" s="17" t="s">
        <v>275</v>
      </c>
      <c r="I56" s="17" t="s">
        <v>34</v>
      </c>
      <c r="J56" s="17">
        <v>24</v>
      </c>
      <c r="K56" s="18">
        <v>46137</v>
      </c>
      <c r="L56" s="17" t="s">
        <v>24</v>
      </c>
      <c r="M56" s="7" t="s">
        <v>25</v>
      </c>
      <c r="N56" s="17"/>
    </row>
    <row r="57" spans="1:14" ht="63.75" customHeight="1" x14ac:dyDescent="0.2">
      <c r="A57" s="17">
        <v>56</v>
      </c>
      <c r="B57" s="16" t="s">
        <v>273</v>
      </c>
      <c r="C57" s="17" t="s">
        <v>179</v>
      </c>
      <c r="D57" s="17">
        <v>23.2</v>
      </c>
      <c r="E57" s="17"/>
      <c r="F57" s="16" t="s">
        <v>19</v>
      </c>
      <c r="G57" s="17" t="s">
        <v>274</v>
      </c>
      <c r="H57" s="17" t="s">
        <v>275</v>
      </c>
      <c r="I57" s="17" t="s">
        <v>34</v>
      </c>
      <c r="J57" s="17">
        <v>24</v>
      </c>
      <c r="K57" s="18">
        <v>46137</v>
      </c>
      <c r="L57" s="17" t="s">
        <v>24</v>
      </c>
      <c r="M57" s="7" t="s">
        <v>25</v>
      </c>
      <c r="N57" s="17"/>
    </row>
    <row r="58" spans="1:14" ht="51" customHeight="1" x14ac:dyDescent="0.2">
      <c r="A58" s="17">
        <v>57</v>
      </c>
      <c r="B58" s="16" t="s">
        <v>276</v>
      </c>
      <c r="C58" s="17" t="s">
        <v>176</v>
      </c>
      <c r="D58" s="17">
        <v>17</v>
      </c>
      <c r="E58" s="17">
        <v>12.7</v>
      </c>
      <c r="F58" s="16" t="s">
        <v>126</v>
      </c>
      <c r="G58" s="17" t="s">
        <v>277</v>
      </c>
      <c r="H58" s="17" t="s">
        <v>278</v>
      </c>
      <c r="I58" s="17" t="s">
        <v>34</v>
      </c>
      <c r="J58" s="17">
        <v>25</v>
      </c>
      <c r="K58" s="18">
        <v>46156</v>
      </c>
      <c r="L58" s="17" t="s">
        <v>24</v>
      </c>
      <c r="M58" s="7" t="s">
        <v>25</v>
      </c>
      <c r="N58" s="17"/>
    </row>
    <row r="59" spans="1:14" ht="51" customHeight="1" x14ac:dyDescent="0.2">
      <c r="A59" s="17">
        <v>58</v>
      </c>
      <c r="B59" s="16" t="s">
        <v>276</v>
      </c>
      <c r="C59" s="17" t="s">
        <v>179</v>
      </c>
      <c r="D59" s="17">
        <v>24</v>
      </c>
      <c r="E59" s="17"/>
      <c r="F59" s="16" t="s">
        <v>126</v>
      </c>
      <c r="G59" s="17" t="s">
        <v>277</v>
      </c>
      <c r="H59" s="17" t="s">
        <v>278</v>
      </c>
      <c r="I59" s="17" t="s">
        <v>34</v>
      </c>
      <c r="J59" s="17">
        <v>25</v>
      </c>
      <c r="K59" s="18">
        <v>46156</v>
      </c>
      <c r="L59" s="17" t="s">
        <v>24</v>
      </c>
      <c r="M59" s="7" t="s">
        <v>25</v>
      </c>
      <c r="N59" s="17"/>
    </row>
    <row r="60" spans="1:14" ht="63.75" customHeight="1" x14ac:dyDescent="0.2">
      <c r="A60" s="17">
        <v>59</v>
      </c>
      <c r="B60" s="16" t="s">
        <v>279</v>
      </c>
      <c r="C60" s="17" t="s">
        <v>176</v>
      </c>
      <c r="D60" s="17">
        <v>17</v>
      </c>
      <c r="E60" s="17">
        <v>12.5</v>
      </c>
      <c r="F60" s="16" t="s">
        <v>54</v>
      </c>
      <c r="G60" s="17" t="s">
        <v>280</v>
      </c>
      <c r="H60" s="17" t="s">
        <v>281</v>
      </c>
      <c r="I60" s="17" t="s">
        <v>34</v>
      </c>
      <c r="J60" s="17">
        <v>26</v>
      </c>
      <c r="K60" s="18">
        <v>46155</v>
      </c>
      <c r="L60" s="17" t="s">
        <v>82</v>
      </c>
      <c r="M60" s="7" t="s">
        <v>25</v>
      </c>
      <c r="N60" s="17"/>
    </row>
    <row r="61" spans="1:14" ht="63.75" customHeight="1" x14ac:dyDescent="0.2">
      <c r="A61" s="17">
        <v>60</v>
      </c>
      <c r="B61" s="16" t="s">
        <v>279</v>
      </c>
      <c r="C61" s="17" t="s">
        <v>179</v>
      </c>
      <c r="D61" s="17">
        <v>24.4</v>
      </c>
      <c r="E61" s="17"/>
      <c r="F61" s="16" t="s">
        <v>54</v>
      </c>
      <c r="G61" s="17" t="s">
        <v>280</v>
      </c>
      <c r="H61" s="17" t="s">
        <v>281</v>
      </c>
      <c r="I61" s="17" t="s">
        <v>34</v>
      </c>
      <c r="J61" s="17">
        <v>26</v>
      </c>
      <c r="K61" s="18">
        <v>46155</v>
      </c>
      <c r="L61" s="17" t="s">
        <v>82</v>
      </c>
      <c r="M61" s="7" t="s">
        <v>25</v>
      </c>
      <c r="N61" s="17"/>
    </row>
    <row r="62" spans="1:14" ht="51" customHeight="1" x14ac:dyDescent="0.2">
      <c r="A62" s="17">
        <v>61</v>
      </c>
      <c r="B62" s="16" t="s">
        <v>282</v>
      </c>
      <c r="C62" s="17" t="s">
        <v>176</v>
      </c>
      <c r="D62" s="17">
        <v>16.7</v>
      </c>
      <c r="E62" s="17">
        <v>12.6</v>
      </c>
      <c r="F62" s="16" t="s">
        <v>31</v>
      </c>
      <c r="G62" s="17" t="s">
        <v>283</v>
      </c>
      <c r="H62" s="17" t="s">
        <v>284</v>
      </c>
      <c r="I62" s="17" t="s">
        <v>34</v>
      </c>
      <c r="J62" s="17">
        <v>27</v>
      </c>
      <c r="K62" s="18">
        <v>46155</v>
      </c>
      <c r="L62" s="17" t="s">
        <v>24</v>
      </c>
      <c r="M62" s="7" t="s">
        <v>25</v>
      </c>
      <c r="N62" s="17"/>
    </row>
    <row r="63" spans="1:14" ht="51" customHeight="1" x14ac:dyDescent="0.2">
      <c r="A63" s="17">
        <v>62</v>
      </c>
      <c r="B63" s="16" t="s">
        <v>282</v>
      </c>
      <c r="C63" s="17" t="s">
        <v>179</v>
      </c>
      <c r="D63" s="17">
        <v>24.2</v>
      </c>
      <c r="E63" s="17"/>
      <c r="F63" s="16" t="s">
        <v>31</v>
      </c>
      <c r="G63" s="17" t="s">
        <v>283</v>
      </c>
      <c r="H63" s="17" t="s">
        <v>284</v>
      </c>
      <c r="I63" s="17" t="s">
        <v>34</v>
      </c>
      <c r="J63" s="17">
        <v>27</v>
      </c>
      <c r="K63" s="18">
        <v>46155</v>
      </c>
      <c r="L63" s="17" t="s">
        <v>24</v>
      </c>
      <c r="M63" s="7" t="s">
        <v>25</v>
      </c>
      <c r="N63" s="17"/>
    </row>
    <row r="64" spans="1:14" x14ac:dyDescent="0.2">
      <c r="A64" s="14">
        <v>63</v>
      </c>
      <c r="B64" s="15" t="s">
        <v>285</v>
      </c>
      <c r="C64" s="14" t="s">
        <v>176</v>
      </c>
      <c r="D64" s="14">
        <v>13.9</v>
      </c>
      <c r="E64" s="14">
        <v>13.2</v>
      </c>
      <c r="F64" s="15" t="s">
        <v>19</v>
      </c>
      <c r="G64" s="14"/>
      <c r="H64" s="14"/>
      <c r="I64" s="14"/>
      <c r="J64" s="14"/>
      <c r="K64" s="14"/>
      <c r="L64" s="14"/>
      <c r="M64" s="14" t="s">
        <v>286</v>
      </c>
      <c r="N64" s="14"/>
    </row>
    <row r="65" spans="1:14" x14ac:dyDescent="0.2">
      <c r="A65" s="14">
        <v>64</v>
      </c>
      <c r="B65" s="15" t="s">
        <v>285</v>
      </c>
      <c r="C65" s="14" t="s">
        <v>179</v>
      </c>
      <c r="D65" s="14">
        <v>19.2</v>
      </c>
      <c r="E65" s="14"/>
      <c r="F65" s="15" t="s">
        <v>19</v>
      </c>
      <c r="G65" s="14"/>
      <c r="H65" s="14"/>
      <c r="I65" s="14"/>
      <c r="J65" s="14"/>
      <c r="K65" s="14"/>
      <c r="L65" s="14"/>
      <c r="M65" s="14" t="s">
        <v>286</v>
      </c>
      <c r="N65" s="14"/>
    </row>
    <row r="66" spans="1:14" ht="63.75" customHeight="1" x14ac:dyDescent="0.2">
      <c r="A66" s="17">
        <v>65</v>
      </c>
      <c r="B66" s="16" t="s">
        <v>285</v>
      </c>
      <c r="C66" s="17" t="s">
        <v>171</v>
      </c>
      <c r="D66" s="17">
        <v>14</v>
      </c>
      <c r="E66" s="17">
        <v>13.2</v>
      </c>
      <c r="F66" s="16" t="s">
        <v>126</v>
      </c>
      <c r="G66" s="17" t="s">
        <v>287</v>
      </c>
      <c r="H66" s="17" t="s">
        <v>288</v>
      </c>
      <c r="I66" s="17" t="s">
        <v>34</v>
      </c>
      <c r="J66" s="17" t="s">
        <v>289</v>
      </c>
      <c r="K66" s="18">
        <v>46156</v>
      </c>
      <c r="L66" s="17" t="s">
        <v>24</v>
      </c>
      <c r="M66" s="7" t="s">
        <v>25</v>
      </c>
      <c r="N66" s="17"/>
    </row>
    <row r="67" spans="1:14" ht="63.75" customHeight="1" x14ac:dyDescent="0.2">
      <c r="A67" s="17">
        <v>66</v>
      </c>
      <c r="B67" s="16" t="s">
        <v>285</v>
      </c>
      <c r="C67" s="17" t="s">
        <v>174</v>
      </c>
      <c r="D67" s="17">
        <v>19.2</v>
      </c>
      <c r="E67" s="17"/>
      <c r="F67" s="16" t="s">
        <v>126</v>
      </c>
      <c r="G67" s="17" t="s">
        <v>287</v>
      </c>
      <c r="H67" s="17" t="s">
        <v>288</v>
      </c>
      <c r="I67" s="17" t="s">
        <v>34</v>
      </c>
      <c r="J67" s="17" t="s">
        <v>289</v>
      </c>
      <c r="K67" s="18">
        <v>46156</v>
      </c>
      <c r="L67" s="17" t="s">
        <v>24</v>
      </c>
      <c r="M67" s="7" t="s">
        <v>25</v>
      </c>
      <c r="N67" s="17"/>
    </row>
    <row r="68" spans="1:14" ht="63.75" customHeight="1" x14ac:dyDescent="0.2">
      <c r="A68" s="17">
        <v>67</v>
      </c>
      <c r="B68" s="16" t="s">
        <v>290</v>
      </c>
      <c r="C68" s="17" t="s">
        <v>176</v>
      </c>
      <c r="D68" s="17">
        <v>14.1</v>
      </c>
      <c r="E68" s="17">
        <v>13.3</v>
      </c>
      <c r="F68" s="16" t="s">
        <v>31</v>
      </c>
      <c r="G68" s="17" t="s">
        <v>291</v>
      </c>
      <c r="H68" s="17" t="s">
        <v>292</v>
      </c>
      <c r="I68" s="17" t="s">
        <v>293</v>
      </c>
      <c r="J68" s="17" t="s">
        <v>294</v>
      </c>
      <c r="K68" s="18">
        <v>46155</v>
      </c>
      <c r="L68" s="17" t="s">
        <v>24</v>
      </c>
      <c r="M68" s="7" t="s">
        <v>25</v>
      </c>
      <c r="N68" s="17"/>
    </row>
    <row r="69" spans="1:14" ht="63.75" customHeight="1" x14ac:dyDescent="0.2">
      <c r="A69" s="17">
        <v>68</v>
      </c>
      <c r="B69" s="16" t="s">
        <v>290</v>
      </c>
      <c r="C69" s="17" t="s">
        <v>179</v>
      </c>
      <c r="D69" s="17">
        <v>19.7</v>
      </c>
      <c r="E69" s="17"/>
      <c r="F69" s="16" t="s">
        <v>31</v>
      </c>
      <c r="G69" s="17" t="s">
        <v>291</v>
      </c>
      <c r="H69" s="17" t="s">
        <v>292</v>
      </c>
      <c r="I69" s="17" t="s">
        <v>293</v>
      </c>
      <c r="J69" s="17" t="s">
        <v>294</v>
      </c>
      <c r="K69" s="18">
        <v>46155</v>
      </c>
      <c r="L69" s="17" t="s">
        <v>24</v>
      </c>
      <c r="M69" s="7" t="s">
        <v>25</v>
      </c>
      <c r="N69" s="17"/>
    </row>
    <row r="70" spans="1:14" ht="63.75" customHeight="1" x14ac:dyDescent="0.2">
      <c r="A70" s="17">
        <v>69</v>
      </c>
      <c r="B70" s="16" t="s">
        <v>290</v>
      </c>
      <c r="C70" s="17" t="s">
        <v>171</v>
      </c>
      <c r="D70" s="17">
        <v>14.3</v>
      </c>
      <c r="E70" s="17">
        <v>13.4</v>
      </c>
      <c r="F70" s="16" t="s">
        <v>19</v>
      </c>
      <c r="G70" s="17" t="s">
        <v>295</v>
      </c>
      <c r="H70" s="17" t="s">
        <v>296</v>
      </c>
      <c r="I70" s="17" t="s">
        <v>34</v>
      </c>
      <c r="J70" s="17" t="s">
        <v>297</v>
      </c>
      <c r="K70" s="18">
        <v>46137</v>
      </c>
      <c r="L70" s="17" t="s">
        <v>24</v>
      </c>
      <c r="M70" s="7" t="s">
        <v>25</v>
      </c>
      <c r="N70" s="17"/>
    </row>
    <row r="71" spans="1:14" ht="63.75" customHeight="1" x14ac:dyDescent="0.2">
      <c r="A71" s="17">
        <v>70</v>
      </c>
      <c r="B71" s="16" t="s">
        <v>290</v>
      </c>
      <c r="C71" s="17" t="s">
        <v>174</v>
      </c>
      <c r="D71" s="17">
        <v>19.7</v>
      </c>
      <c r="E71" s="17"/>
      <c r="F71" s="16" t="s">
        <v>19</v>
      </c>
      <c r="G71" s="17" t="s">
        <v>295</v>
      </c>
      <c r="H71" s="17" t="s">
        <v>296</v>
      </c>
      <c r="I71" s="17" t="s">
        <v>34</v>
      </c>
      <c r="J71" s="17" t="s">
        <v>297</v>
      </c>
      <c r="K71" s="18">
        <v>46137</v>
      </c>
      <c r="L71" s="17" t="s">
        <v>24</v>
      </c>
      <c r="M71" s="7" t="s">
        <v>25</v>
      </c>
      <c r="N71" s="17"/>
    </row>
    <row r="72" spans="1:14" ht="51" customHeight="1" x14ac:dyDescent="0.2">
      <c r="A72" s="17">
        <v>71</v>
      </c>
      <c r="B72" s="16" t="s">
        <v>298</v>
      </c>
      <c r="C72" s="17" t="s">
        <v>171</v>
      </c>
      <c r="D72" s="17">
        <v>14.6</v>
      </c>
      <c r="E72" s="17">
        <v>13.1</v>
      </c>
      <c r="F72" s="16" t="s">
        <v>86</v>
      </c>
      <c r="G72" s="17" t="s">
        <v>299</v>
      </c>
      <c r="H72" s="17" t="s">
        <v>300</v>
      </c>
      <c r="I72" s="17" t="s">
        <v>34</v>
      </c>
      <c r="J72" s="17" t="s">
        <v>301</v>
      </c>
      <c r="K72" s="18">
        <v>46148</v>
      </c>
      <c r="L72" s="17" t="s">
        <v>24</v>
      </c>
      <c r="M72" s="7" t="s">
        <v>25</v>
      </c>
      <c r="N72" s="17"/>
    </row>
    <row r="73" spans="1:14" ht="51" customHeight="1" x14ac:dyDescent="0.2">
      <c r="A73" s="17">
        <v>72</v>
      </c>
      <c r="B73" s="16" t="s">
        <v>298</v>
      </c>
      <c r="C73" s="17" t="s">
        <v>174</v>
      </c>
      <c r="D73" s="17">
        <v>19.399999999999999</v>
      </c>
      <c r="E73" s="17"/>
      <c r="F73" s="16" t="s">
        <v>86</v>
      </c>
      <c r="G73" s="17" t="s">
        <v>299</v>
      </c>
      <c r="H73" s="17" t="s">
        <v>300</v>
      </c>
      <c r="I73" s="17" t="s">
        <v>34</v>
      </c>
      <c r="J73" s="17" t="s">
        <v>301</v>
      </c>
      <c r="K73" s="18">
        <v>46148</v>
      </c>
      <c r="L73" s="17" t="s">
        <v>24</v>
      </c>
      <c r="M73" s="7" t="s">
        <v>25</v>
      </c>
      <c r="N73" s="17"/>
    </row>
    <row r="74" spans="1:14" ht="63.75" customHeight="1" x14ac:dyDescent="0.2">
      <c r="A74" s="17">
        <v>73</v>
      </c>
      <c r="B74" s="16" t="s">
        <v>302</v>
      </c>
      <c r="C74" s="17" t="s">
        <v>176</v>
      </c>
      <c r="D74" s="17">
        <v>13.5</v>
      </c>
      <c r="E74" s="17">
        <v>12.9</v>
      </c>
      <c r="F74" s="16" t="s">
        <v>19</v>
      </c>
      <c r="G74" s="17" t="s">
        <v>4198</v>
      </c>
      <c r="H74" s="17" t="s">
        <v>303</v>
      </c>
      <c r="I74" s="17" t="s">
        <v>34</v>
      </c>
      <c r="J74" s="17" t="s">
        <v>304</v>
      </c>
      <c r="K74" s="18">
        <v>46144</v>
      </c>
      <c r="L74" s="17" t="s">
        <v>24</v>
      </c>
      <c r="M74" s="7" t="s">
        <v>25</v>
      </c>
      <c r="N74" s="17"/>
    </row>
    <row r="75" spans="1:14" ht="63.75" customHeight="1" x14ac:dyDescent="0.2">
      <c r="A75" s="17">
        <v>74</v>
      </c>
      <c r="B75" s="16" t="s">
        <v>302</v>
      </c>
      <c r="C75" s="17" t="s">
        <v>179</v>
      </c>
      <c r="D75" s="17">
        <v>17.8</v>
      </c>
      <c r="E75" s="17"/>
      <c r="F75" s="16" t="s">
        <v>19</v>
      </c>
      <c r="G75" s="17" t="s">
        <v>4198</v>
      </c>
      <c r="H75" s="17" t="s">
        <v>303</v>
      </c>
      <c r="I75" s="17" t="s">
        <v>34</v>
      </c>
      <c r="J75" s="17" t="s">
        <v>304</v>
      </c>
      <c r="K75" s="18">
        <v>46144</v>
      </c>
      <c r="L75" s="17" t="s">
        <v>24</v>
      </c>
      <c r="M75" s="7" t="s">
        <v>25</v>
      </c>
      <c r="N75" s="17"/>
    </row>
    <row r="76" spans="1:14" ht="25.5" customHeight="1" x14ac:dyDescent="0.2">
      <c r="A76" s="17">
        <v>75</v>
      </c>
      <c r="B76" s="16" t="s">
        <v>305</v>
      </c>
      <c r="C76" s="17" t="s">
        <v>171</v>
      </c>
      <c r="D76" s="17">
        <v>12.9</v>
      </c>
      <c r="E76" s="17">
        <v>12.9</v>
      </c>
      <c r="F76" s="16" t="s">
        <v>86</v>
      </c>
      <c r="G76" s="17" t="s">
        <v>306</v>
      </c>
      <c r="H76" s="17" t="s">
        <v>307</v>
      </c>
      <c r="I76" s="17" t="s">
        <v>267</v>
      </c>
      <c r="J76" s="17" t="s">
        <v>308</v>
      </c>
      <c r="K76" s="18">
        <v>46147</v>
      </c>
      <c r="L76" s="17" t="s">
        <v>24</v>
      </c>
      <c r="M76" s="7" t="s">
        <v>25</v>
      </c>
      <c r="N76" s="17"/>
    </row>
    <row r="77" spans="1:14" ht="25.5" customHeight="1" x14ac:dyDescent="0.2">
      <c r="A77" s="17">
        <v>76</v>
      </c>
      <c r="B77" s="16" t="s">
        <v>305</v>
      </c>
      <c r="C77" s="17" t="s">
        <v>174</v>
      </c>
      <c r="D77" s="17">
        <v>19.3</v>
      </c>
      <c r="E77" s="17"/>
      <c r="F77" s="16" t="s">
        <v>86</v>
      </c>
      <c r="G77" s="17" t="s">
        <v>306</v>
      </c>
      <c r="H77" s="17" t="s">
        <v>307</v>
      </c>
      <c r="I77" s="17" t="s">
        <v>267</v>
      </c>
      <c r="J77" s="17" t="s">
        <v>308</v>
      </c>
      <c r="K77" s="18">
        <v>46147</v>
      </c>
      <c r="L77" s="17" t="s">
        <v>24</v>
      </c>
      <c r="M77" s="7" t="s">
        <v>25</v>
      </c>
      <c r="N77" s="17"/>
    </row>
    <row r="78" spans="1:14" ht="25.5" customHeight="1" x14ac:dyDescent="0.2">
      <c r="A78" s="17">
        <v>77</v>
      </c>
      <c r="B78" s="16" t="s">
        <v>309</v>
      </c>
      <c r="C78" s="17" t="s">
        <v>176</v>
      </c>
      <c r="D78" s="17">
        <v>14.3</v>
      </c>
      <c r="E78" s="17">
        <v>13</v>
      </c>
      <c r="F78" s="16" t="s">
        <v>48</v>
      </c>
      <c r="G78" s="17" t="s">
        <v>310</v>
      </c>
      <c r="H78" s="17" t="s">
        <v>311</v>
      </c>
      <c r="I78" s="17" t="s">
        <v>312</v>
      </c>
      <c r="J78" s="17" t="s">
        <v>313</v>
      </c>
      <c r="K78" s="18">
        <v>46156</v>
      </c>
      <c r="L78" s="17" t="s">
        <v>24</v>
      </c>
      <c r="M78" s="7" t="s">
        <v>25</v>
      </c>
      <c r="N78" s="17"/>
    </row>
    <row r="79" spans="1:14" ht="25.5" customHeight="1" x14ac:dyDescent="0.2">
      <c r="A79" s="17">
        <v>78</v>
      </c>
      <c r="B79" s="16" t="s">
        <v>309</v>
      </c>
      <c r="C79" s="17" t="s">
        <v>179</v>
      </c>
      <c r="D79" s="17">
        <v>23.2</v>
      </c>
      <c r="E79" s="17"/>
      <c r="F79" s="16" t="s">
        <v>48</v>
      </c>
      <c r="G79" s="17" t="s">
        <v>310</v>
      </c>
      <c r="H79" s="17" t="s">
        <v>311</v>
      </c>
      <c r="I79" s="17" t="s">
        <v>312</v>
      </c>
      <c r="J79" s="17" t="s">
        <v>313</v>
      </c>
      <c r="K79" s="18">
        <v>46156</v>
      </c>
      <c r="L79" s="17" t="s">
        <v>24</v>
      </c>
      <c r="M79" s="7" t="s">
        <v>25</v>
      </c>
      <c r="N79" s="17"/>
    </row>
    <row r="80" spans="1:14" ht="25.5" customHeight="1" x14ac:dyDescent="0.2">
      <c r="A80" s="17">
        <v>79</v>
      </c>
      <c r="B80" s="16" t="s">
        <v>314</v>
      </c>
      <c r="C80" s="17" t="s">
        <v>176</v>
      </c>
      <c r="D80" s="17">
        <v>15.1</v>
      </c>
      <c r="E80" s="17">
        <v>13.1</v>
      </c>
      <c r="F80" s="16" t="s">
        <v>162</v>
      </c>
      <c r="G80" s="17" t="s">
        <v>315</v>
      </c>
      <c r="H80" s="17" t="s">
        <v>316</v>
      </c>
      <c r="I80" s="17" t="s">
        <v>42</v>
      </c>
      <c r="J80" s="17" t="s">
        <v>317</v>
      </c>
      <c r="K80" s="18">
        <v>46148</v>
      </c>
      <c r="L80" s="17" t="s">
        <v>24</v>
      </c>
      <c r="M80" s="7" t="s">
        <v>25</v>
      </c>
      <c r="N80" s="17"/>
    </row>
    <row r="81" spans="1:14" ht="25.5" customHeight="1" x14ac:dyDescent="0.2">
      <c r="A81" s="17">
        <v>80</v>
      </c>
      <c r="B81" s="16" t="s">
        <v>314</v>
      </c>
      <c r="C81" s="17" t="s">
        <v>179</v>
      </c>
      <c r="D81" s="17">
        <v>22</v>
      </c>
      <c r="E81" s="17"/>
      <c r="F81" s="16" t="s">
        <v>162</v>
      </c>
      <c r="G81" s="17" t="s">
        <v>315</v>
      </c>
      <c r="H81" s="17" t="s">
        <v>316</v>
      </c>
      <c r="I81" s="17" t="s">
        <v>42</v>
      </c>
      <c r="J81" s="17" t="s">
        <v>318</v>
      </c>
      <c r="K81" s="18">
        <v>46148</v>
      </c>
      <c r="L81" s="17" t="s">
        <v>24</v>
      </c>
      <c r="M81" s="7" t="s">
        <v>25</v>
      </c>
      <c r="N81" s="17"/>
    </row>
    <row r="82" spans="1:14" ht="51" customHeight="1" x14ac:dyDescent="0.2">
      <c r="A82" s="17">
        <v>81</v>
      </c>
      <c r="B82" s="16" t="s">
        <v>319</v>
      </c>
      <c r="C82" s="17" t="s">
        <v>176</v>
      </c>
      <c r="D82" s="17">
        <v>15.9</v>
      </c>
      <c r="E82" s="17">
        <v>12.3</v>
      </c>
      <c r="F82" s="16" t="s">
        <v>19</v>
      </c>
      <c r="G82" s="17" t="s">
        <v>320</v>
      </c>
      <c r="H82" s="17" t="s">
        <v>321</v>
      </c>
      <c r="I82" s="17" t="s">
        <v>34</v>
      </c>
      <c r="J82" s="17">
        <v>36</v>
      </c>
      <c r="K82" s="18">
        <v>46137</v>
      </c>
      <c r="L82" s="17" t="s">
        <v>24</v>
      </c>
      <c r="M82" s="7" t="s">
        <v>25</v>
      </c>
      <c r="N82" s="17"/>
    </row>
    <row r="83" spans="1:14" ht="51" customHeight="1" x14ac:dyDescent="0.2">
      <c r="A83" s="17">
        <v>82</v>
      </c>
      <c r="B83" s="16" t="s">
        <v>322</v>
      </c>
      <c r="C83" s="17" t="s">
        <v>176</v>
      </c>
      <c r="D83" s="17">
        <v>17.100000000000001</v>
      </c>
      <c r="E83" s="17">
        <v>10.4</v>
      </c>
      <c r="F83" s="16" t="s">
        <v>31</v>
      </c>
      <c r="G83" s="17" t="s">
        <v>323</v>
      </c>
      <c r="H83" s="17" t="s">
        <v>324</v>
      </c>
      <c r="I83" s="17" t="s">
        <v>34</v>
      </c>
      <c r="J83" s="17">
        <v>37</v>
      </c>
      <c r="K83" s="18">
        <v>46154</v>
      </c>
      <c r="L83" s="17" t="s">
        <v>24</v>
      </c>
      <c r="M83" s="7" t="s">
        <v>25</v>
      </c>
      <c r="N83" s="17"/>
    </row>
    <row r="84" spans="1:14" ht="51" customHeight="1" x14ac:dyDescent="0.2">
      <c r="A84" s="17">
        <v>83</v>
      </c>
      <c r="B84" s="16" t="s">
        <v>322</v>
      </c>
      <c r="C84" s="17" t="s">
        <v>179</v>
      </c>
      <c r="D84" s="17">
        <v>10</v>
      </c>
      <c r="E84" s="17"/>
      <c r="F84" s="16" t="s">
        <v>31</v>
      </c>
      <c r="G84" s="17" t="s">
        <v>323</v>
      </c>
      <c r="H84" s="17" t="s">
        <v>324</v>
      </c>
      <c r="I84" s="17" t="s">
        <v>34</v>
      </c>
      <c r="J84" s="17">
        <v>37</v>
      </c>
      <c r="K84" s="18">
        <v>46154</v>
      </c>
      <c r="L84" s="17" t="s">
        <v>24</v>
      </c>
      <c r="M84" s="7" t="s">
        <v>25</v>
      </c>
      <c r="N84" s="17"/>
    </row>
    <row r="85" spans="1:14" ht="63.75" customHeight="1" x14ac:dyDescent="0.2">
      <c r="A85" s="17">
        <v>84</v>
      </c>
      <c r="B85" s="16" t="s">
        <v>325</v>
      </c>
      <c r="C85" s="17" t="s">
        <v>176</v>
      </c>
      <c r="D85" s="17">
        <v>17</v>
      </c>
      <c r="E85" s="17">
        <v>11.2</v>
      </c>
      <c r="F85" s="16" t="s">
        <v>62</v>
      </c>
      <c r="G85" s="17" t="s">
        <v>326</v>
      </c>
      <c r="H85" s="17" t="s">
        <v>327</v>
      </c>
      <c r="I85" s="17" t="s">
        <v>34</v>
      </c>
      <c r="J85" s="17">
        <v>39</v>
      </c>
      <c r="K85" s="18">
        <v>46150</v>
      </c>
      <c r="L85" s="17" t="s">
        <v>24</v>
      </c>
      <c r="M85" s="7" t="s">
        <v>25</v>
      </c>
      <c r="N85" s="17"/>
    </row>
    <row r="86" spans="1:14" ht="63.75" customHeight="1" x14ac:dyDescent="0.2">
      <c r="A86" s="17">
        <v>85</v>
      </c>
      <c r="B86" s="16" t="s">
        <v>325</v>
      </c>
      <c r="C86" s="17" t="s">
        <v>179</v>
      </c>
      <c r="D86" s="17">
        <v>10.7</v>
      </c>
      <c r="E86" s="17"/>
      <c r="F86" s="16" t="s">
        <v>62</v>
      </c>
      <c r="G86" s="17" t="s">
        <v>326</v>
      </c>
      <c r="H86" s="17" t="s">
        <v>327</v>
      </c>
      <c r="I86" s="17" t="s">
        <v>34</v>
      </c>
      <c r="J86" s="17">
        <v>39</v>
      </c>
      <c r="K86" s="18">
        <v>46150</v>
      </c>
      <c r="L86" s="17" t="s">
        <v>24</v>
      </c>
      <c r="M86" s="7" t="s">
        <v>25</v>
      </c>
      <c r="N86" s="17"/>
    </row>
    <row r="87" spans="1:14" ht="63.75" customHeight="1" x14ac:dyDescent="0.2">
      <c r="A87" s="17">
        <v>86</v>
      </c>
      <c r="B87" s="16" t="s">
        <v>328</v>
      </c>
      <c r="C87" s="17" t="s">
        <v>176</v>
      </c>
      <c r="D87" s="17">
        <v>19.5</v>
      </c>
      <c r="E87" s="17">
        <v>11.3</v>
      </c>
      <c r="F87" s="16" t="s">
        <v>19</v>
      </c>
      <c r="G87" s="17" t="s">
        <v>329</v>
      </c>
      <c r="H87" s="17" t="s">
        <v>330</v>
      </c>
      <c r="I87" s="17" t="s">
        <v>34</v>
      </c>
      <c r="J87" s="17">
        <v>41</v>
      </c>
      <c r="K87" s="18">
        <v>46144</v>
      </c>
      <c r="L87" s="17" t="s">
        <v>24</v>
      </c>
      <c r="M87" s="7" t="s">
        <v>25</v>
      </c>
      <c r="N87" s="17"/>
    </row>
    <row r="88" spans="1:14" ht="63.75" customHeight="1" x14ac:dyDescent="0.2">
      <c r="A88" s="17">
        <v>87</v>
      </c>
      <c r="B88" s="16" t="s">
        <v>328</v>
      </c>
      <c r="C88" s="17" t="s">
        <v>179</v>
      </c>
      <c r="D88" s="17">
        <v>7.6</v>
      </c>
      <c r="E88" s="17"/>
      <c r="F88" s="16" t="s">
        <v>19</v>
      </c>
      <c r="G88" s="17" t="s">
        <v>329</v>
      </c>
      <c r="H88" s="17" t="s">
        <v>330</v>
      </c>
      <c r="I88" s="17" t="s">
        <v>34</v>
      </c>
      <c r="J88" s="17">
        <v>41</v>
      </c>
      <c r="K88" s="18">
        <v>46144</v>
      </c>
      <c r="L88" s="17" t="s">
        <v>24</v>
      </c>
      <c r="M88" s="7" t="s">
        <v>25</v>
      </c>
      <c r="N88" s="17"/>
    </row>
    <row r="89" spans="1:14" ht="63.75" customHeight="1" x14ac:dyDescent="0.2">
      <c r="A89" s="17">
        <v>88</v>
      </c>
      <c r="B89" s="16" t="s">
        <v>331</v>
      </c>
      <c r="C89" s="17" t="s">
        <v>176</v>
      </c>
      <c r="D89" s="17">
        <v>18.8</v>
      </c>
      <c r="E89" s="17">
        <v>11.7</v>
      </c>
      <c r="F89" s="16" t="s">
        <v>19</v>
      </c>
      <c r="G89" s="17" t="s">
        <v>332</v>
      </c>
      <c r="H89" s="17" t="s">
        <v>333</v>
      </c>
      <c r="I89" s="17" t="s">
        <v>34</v>
      </c>
      <c r="J89" s="17">
        <v>42</v>
      </c>
      <c r="K89" s="18">
        <v>46137</v>
      </c>
      <c r="L89" s="17" t="s">
        <v>24</v>
      </c>
      <c r="M89" s="7" t="s">
        <v>25</v>
      </c>
      <c r="N89" s="17"/>
    </row>
    <row r="90" spans="1:14" ht="25.5" customHeight="1" x14ac:dyDescent="0.2">
      <c r="A90" s="17">
        <v>89</v>
      </c>
      <c r="B90" s="16" t="s">
        <v>334</v>
      </c>
      <c r="C90" s="17" t="s">
        <v>176</v>
      </c>
      <c r="D90" s="17">
        <v>16.399999999999999</v>
      </c>
      <c r="E90" s="17">
        <v>12.2</v>
      </c>
      <c r="F90" s="16" t="s">
        <v>121</v>
      </c>
      <c r="G90" s="17" t="s">
        <v>335</v>
      </c>
      <c r="H90" s="17" t="s">
        <v>336</v>
      </c>
      <c r="I90" s="17" t="s">
        <v>2304</v>
      </c>
      <c r="J90" s="17">
        <v>43</v>
      </c>
      <c r="K90" s="18">
        <v>46149</v>
      </c>
      <c r="L90" s="17" t="s">
        <v>24</v>
      </c>
      <c r="M90" s="7" t="s">
        <v>25</v>
      </c>
      <c r="N90" s="17"/>
    </row>
    <row r="91" spans="1:14" ht="51" customHeight="1" x14ac:dyDescent="0.2">
      <c r="A91" s="17">
        <v>90</v>
      </c>
      <c r="B91" s="16" t="s">
        <v>337</v>
      </c>
      <c r="C91" s="17" t="s">
        <v>171</v>
      </c>
      <c r="D91" s="17">
        <v>18.399999999999999</v>
      </c>
      <c r="E91" s="17">
        <v>13.1</v>
      </c>
      <c r="F91" s="16" t="s">
        <v>338</v>
      </c>
      <c r="G91" s="17" t="s">
        <v>339</v>
      </c>
      <c r="H91" s="17" t="s">
        <v>340</v>
      </c>
      <c r="I91" s="17" t="s">
        <v>34</v>
      </c>
      <c r="J91" s="17" t="s">
        <v>341</v>
      </c>
      <c r="K91" s="18">
        <v>46150</v>
      </c>
      <c r="L91" s="17" t="s">
        <v>24</v>
      </c>
      <c r="M91" s="7" t="s">
        <v>25</v>
      </c>
      <c r="N91" s="17"/>
    </row>
    <row r="92" spans="1:14" ht="51" customHeight="1" x14ac:dyDescent="0.2">
      <c r="A92" s="17">
        <v>91</v>
      </c>
      <c r="B92" s="16" t="s">
        <v>337</v>
      </c>
      <c r="C92" s="17" t="s">
        <v>174</v>
      </c>
      <c r="D92" s="17">
        <v>7.3</v>
      </c>
      <c r="E92" s="17"/>
      <c r="F92" s="16" t="s">
        <v>338</v>
      </c>
      <c r="G92" s="17" t="s">
        <v>339</v>
      </c>
      <c r="H92" s="17" t="s">
        <v>340</v>
      </c>
      <c r="I92" s="17" t="s">
        <v>34</v>
      </c>
      <c r="J92" s="17" t="s">
        <v>341</v>
      </c>
      <c r="K92" s="18">
        <v>46150</v>
      </c>
      <c r="L92" s="17" t="s">
        <v>24</v>
      </c>
      <c r="M92" s="7" t="s">
        <v>25</v>
      </c>
      <c r="N92" s="17"/>
    </row>
    <row r="93" spans="1:14" ht="63.75" x14ac:dyDescent="0.2">
      <c r="A93" s="17">
        <v>147</v>
      </c>
      <c r="B93" s="16" t="s">
        <v>453</v>
      </c>
      <c r="C93" s="17" t="s">
        <v>171</v>
      </c>
      <c r="D93" s="17">
        <v>16.399999999999999</v>
      </c>
      <c r="E93" s="17">
        <v>13.5</v>
      </c>
      <c r="F93" s="16" t="s">
        <v>343</v>
      </c>
      <c r="G93" s="17" t="s">
        <v>457</v>
      </c>
      <c r="H93" s="17" t="s">
        <v>458</v>
      </c>
      <c r="I93" s="17" t="s">
        <v>34</v>
      </c>
      <c r="J93" s="17" t="s">
        <v>459</v>
      </c>
      <c r="K93" s="18">
        <v>46148</v>
      </c>
      <c r="L93" s="17" t="s">
        <v>24</v>
      </c>
      <c r="M93" s="7" t="s">
        <v>25</v>
      </c>
      <c r="N93" s="17"/>
    </row>
    <row r="94" spans="1:14" ht="63.75" x14ac:dyDescent="0.2">
      <c r="A94" s="17">
        <v>148</v>
      </c>
      <c r="B94" s="16" t="s">
        <v>453</v>
      </c>
      <c r="C94" s="17" t="s">
        <v>174</v>
      </c>
      <c r="D94" s="17">
        <v>7.8</v>
      </c>
      <c r="E94" s="17"/>
      <c r="F94" s="16" t="s">
        <v>343</v>
      </c>
      <c r="G94" s="17" t="s">
        <v>457</v>
      </c>
      <c r="H94" s="17" t="s">
        <v>458</v>
      </c>
      <c r="I94" s="17" t="s">
        <v>34</v>
      </c>
      <c r="J94" s="17" t="s">
        <v>459</v>
      </c>
      <c r="K94" s="18">
        <v>46148</v>
      </c>
      <c r="L94" s="17" t="s">
        <v>24</v>
      </c>
      <c r="M94" s="7" t="s">
        <v>25</v>
      </c>
      <c r="N94" s="17"/>
    </row>
    <row r="95" spans="1:14" ht="63.75" customHeight="1" x14ac:dyDescent="0.2">
      <c r="A95" s="17">
        <v>94</v>
      </c>
      <c r="B95" s="16" t="s">
        <v>342</v>
      </c>
      <c r="C95" s="17" t="s">
        <v>171</v>
      </c>
      <c r="D95" s="17">
        <v>18.5</v>
      </c>
      <c r="E95" s="17">
        <v>12.9</v>
      </c>
      <c r="F95" s="16" t="s">
        <v>54</v>
      </c>
      <c r="G95" s="17" t="s">
        <v>347</v>
      </c>
      <c r="H95" s="17" t="s">
        <v>348</v>
      </c>
      <c r="I95" s="17" t="s">
        <v>34</v>
      </c>
      <c r="J95" s="17" t="s">
        <v>349</v>
      </c>
      <c r="K95" s="17" t="s">
        <v>350</v>
      </c>
      <c r="L95" s="17" t="s">
        <v>82</v>
      </c>
      <c r="M95" s="7" t="s">
        <v>25</v>
      </c>
      <c r="N95" s="17"/>
    </row>
    <row r="96" spans="1:14" ht="63.75" customHeight="1" x14ac:dyDescent="0.2">
      <c r="A96" s="17">
        <v>95</v>
      </c>
      <c r="B96" s="16" t="s">
        <v>342</v>
      </c>
      <c r="C96" s="17" t="s">
        <v>174</v>
      </c>
      <c r="D96" s="17">
        <v>7.3</v>
      </c>
      <c r="E96" s="17"/>
      <c r="F96" s="16" t="s">
        <v>54</v>
      </c>
      <c r="G96" s="17" t="s">
        <v>347</v>
      </c>
      <c r="H96" s="17" t="s">
        <v>348</v>
      </c>
      <c r="I96" s="17" t="s">
        <v>34</v>
      </c>
      <c r="J96" s="17" t="s">
        <v>349</v>
      </c>
      <c r="K96" s="17" t="s">
        <v>350</v>
      </c>
      <c r="L96" s="17" t="s">
        <v>82</v>
      </c>
      <c r="M96" s="7" t="s">
        <v>25</v>
      </c>
      <c r="N96" s="17"/>
    </row>
    <row r="97" spans="1:14" ht="63.75" x14ac:dyDescent="0.2">
      <c r="A97" s="17">
        <v>263</v>
      </c>
      <c r="B97" s="16" t="s">
        <v>672</v>
      </c>
      <c r="C97" s="17" t="s">
        <v>176</v>
      </c>
      <c r="D97" s="17">
        <v>16.600000000000001</v>
      </c>
      <c r="E97" s="17">
        <v>12.4</v>
      </c>
      <c r="F97" s="16" t="s">
        <v>343</v>
      </c>
      <c r="G97" s="17" t="s">
        <v>673</v>
      </c>
      <c r="H97" s="17" t="s">
        <v>674</v>
      </c>
      <c r="I97" s="17" t="s">
        <v>34</v>
      </c>
      <c r="J97" s="17">
        <v>174</v>
      </c>
      <c r="K97" s="18">
        <v>46155</v>
      </c>
      <c r="L97" s="17" t="s">
        <v>24</v>
      </c>
      <c r="M97" s="7" t="s">
        <v>25</v>
      </c>
      <c r="N97" s="17"/>
    </row>
    <row r="98" spans="1:14" ht="63.75" x14ac:dyDescent="0.2">
      <c r="A98" s="17">
        <v>264</v>
      </c>
      <c r="B98" s="16" t="s">
        <v>672</v>
      </c>
      <c r="C98" s="17" t="s">
        <v>179</v>
      </c>
      <c r="D98" s="17">
        <v>23.2</v>
      </c>
      <c r="E98" s="17"/>
      <c r="F98" s="16" t="s">
        <v>343</v>
      </c>
      <c r="G98" s="17" t="s">
        <v>673</v>
      </c>
      <c r="H98" s="17" t="s">
        <v>674</v>
      </c>
      <c r="I98" s="17" t="s">
        <v>34</v>
      </c>
      <c r="J98" s="17">
        <v>174</v>
      </c>
      <c r="K98" s="18">
        <v>46155</v>
      </c>
      <c r="L98" s="17" t="s">
        <v>24</v>
      </c>
      <c r="M98" s="7" t="s">
        <v>25</v>
      </c>
      <c r="N98" s="17"/>
    </row>
    <row r="99" spans="1:14" ht="25.5" x14ac:dyDescent="0.2">
      <c r="A99" s="17">
        <v>97</v>
      </c>
      <c r="B99" s="16" t="s">
        <v>354</v>
      </c>
      <c r="C99" s="17" t="s">
        <v>176</v>
      </c>
      <c r="D99" s="17">
        <v>18.8</v>
      </c>
      <c r="E99" s="17">
        <v>13.1</v>
      </c>
      <c r="F99" s="16" t="s">
        <v>343</v>
      </c>
      <c r="G99" s="17" t="s">
        <v>355</v>
      </c>
      <c r="H99" s="17" t="s">
        <v>356</v>
      </c>
      <c r="I99" s="17" t="s">
        <v>28</v>
      </c>
      <c r="J99" s="17" t="s">
        <v>357</v>
      </c>
      <c r="K99" s="18">
        <v>46157</v>
      </c>
      <c r="L99" s="17" t="s">
        <v>24</v>
      </c>
      <c r="M99" s="7" t="s">
        <v>25</v>
      </c>
      <c r="N99" s="17"/>
    </row>
    <row r="100" spans="1:14" ht="51" customHeight="1" x14ac:dyDescent="0.2">
      <c r="A100" s="17">
        <v>99</v>
      </c>
      <c r="B100" s="16" t="s">
        <v>354</v>
      </c>
      <c r="C100" s="17" t="s">
        <v>171</v>
      </c>
      <c r="D100" s="17">
        <v>18.100000000000001</v>
      </c>
      <c r="E100" s="17">
        <v>13.3</v>
      </c>
      <c r="F100" s="16" t="s">
        <v>162</v>
      </c>
      <c r="G100" s="17" t="s">
        <v>358</v>
      </c>
      <c r="H100" s="17" t="s">
        <v>359</v>
      </c>
      <c r="I100" s="17" t="s">
        <v>34</v>
      </c>
      <c r="J100" s="17" t="s">
        <v>360</v>
      </c>
      <c r="K100" s="18">
        <v>46148</v>
      </c>
      <c r="L100" s="17" t="s">
        <v>24</v>
      </c>
      <c r="M100" s="7" t="s">
        <v>25</v>
      </c>
      <c r="N100" s="17"/>
    </row>
    <row r="101" spans="1:14" ht="51" customHeight="1" x14ac:dyDescent="0.2">
      <c r="A101" s="17">
        <v>100</v>
      </c>
      <c r="B101" s="16" t="s">
        <v>354</v>
      </c>
      <c r="C101" s="17" t="s">
        <v>174</v>
      </c>
      <c r="D101" s="17">
        <v>7.1</v>
      </c>
      <c r="E101" s="17"/>
      <c r="F101" s="16" t="s">
        <v>162</v>
      </c>
      <c r="G101" s="17" t="s">
        <v>358</v>
      </c>
      <c r="H101" s="17" t="s">
        <v>359</v>
      </c>
      <c r="I101" s="17" t="s">
        <v>34</v>
      </c>
      <c r="J101" s="17" t="s">
        <v>360</v>
      </c>
      <c r="K101" s="18">
        <v>46148</v>
      </c>
      <c r="L101" s="17" t="s">
        <v>24</v>
      </c>
      <c r="M101" s="7" t="s">
        <v>25</v>
      </c>
      <c r="N101" s="17"/>
    </row>
    <row r="102" spans="1:14" ht="63.75" customHeight="1" x14ac:dyDescent="0.2">
      <c r="A102" s="17">
        <v>101</v>
      </c>
      <c r="B102" s="16" t="s">
        <v>361</v>
      </c>
      <c r="C102" s="17" t="s">
        <v>176</v>
      </c>
      <c r="D102" s="17">
        <v>19.899999999999999</v>
      </c>
      <c r="E102" s="17">
        <v>12.8</v>
      </c>
      <c r="F102" s="16" t="s">
        <v>338</v>
      </c>
      <c r="G102" s="17" t="s">
        <v>362</v>
      </c>
      <c r="H102" s="17" t="s">
        <v>363</v>
      </c>
      <c r="I102" s="17" t="s">
        <v>34</v>
      </c>
      <c r="J102" s="17" t="s">
        <v>364</v>
      </c>
      <c r="K102" s="18">
        <v>46150</v>
      </c>
      <c r="L102" s="17" t="s">
        <v>24</v>
      </c>
      <c r="M102" s="7" t="s">
        <v>25</v>
      </c>
      <c r="N102" s="17"/>
    </row>
    <row r="103" spans="1:14" ht="63.75" customHeight="1" x14ac:dyDescent="0.2">
      <c r="A103" s="17">
        <v>102</v>
      </c>
      <c r="B103" s="16" t="s">
        <v>361</v>
      </c>
      <c r="C103" s="17" t="s">
        <v>179</v>
      </c>
      <c r="D103" s="17">
        <v>6.5</v>
      </c>
      <c r="E103" s="17"/>
      <c r="F103" s="16" t="s">
        <v>338</v>
      </c>
      <c r="G103" s="17" t="s">
        <v>362</v>
      </c>
      <c r="H103" s="17" t="s">
        <v>363</v>
      </c>
      <c r="I103" s="17" t="s">
        <v>34</v>
      </c>
      <c r="J103" s="17" t="s">
        <v>364</v>
      </c>
      <c r="K103" s="18">
        <v>46150</v>
      </c>
      <c r="L103" s="17" t="s">
        <v>24</v>
      </c>
      <c r="M103" s="7" t="s">
        <v>25</v>
      </c>
      <c r="N103" s="17"/>
    </row>
    <row r="104" spans="1:14" ht="63.75" customHeight="1" x14ac:dyDescent="0.2">
      <c r="A104" s="17">
        <v>103</v>
      </c>
      <c r="B104" s="16" t="s">
        <v>361</v>
      </c>
      <c r="C104" s="17" t="s">
        <v>171</v>
      </c>
      <c r="D104" s="17">
        <v>15.5</v>
      </c>
      <c r="E104" s="17">
        <v>13.2</v>
      </c>
      <c r="F104" s="16" t="s">
        <v>151</v>
      </c>
      <c r="G104" s="17" t="s">
        <v>365</v>
      </c>
      <c r="H104" s="17" t="s">
        <v>366</v>
      </c>
      <c r="I104" s="17" t="s">
        <v>34</v>
      </c>
      <c r="J104" s="17" t="s">
        <v>367</v>
      </c>
      <c r="K104" s="18">
        <v>46142</v>
      </c>
      <c r="L104" s="17" t="s">
        <v>24</v>
      </c>
      <c r="M104" s="7" t="s">
        <v>25</v>
      </c>
      <c r="N104" s="17"/>
    </row>
    <row r="105" spans="1:14" ht="63.75" customHeight="1" x14ac:dyDescent="0.2">
      <c r="A105" s="17">
        <v>104</v>
      </c>
      <c r="B105" s="16" t="s">
        <v>361</v>
      </c>
      <c r="C105" s="17" t="s">
        <v>174</v>
      </c>
      <c r="D105" s="17">
        <v>6.9</v>
      </c>
      <c r="E105" s="17"/>
      <c r="F105" s="16" t="s">
        <v>151</v>
      </c>
      <c r="G105" s="17" t="s">
        <v>365</v>
      </c>
      <c r="H105" s="17" t="s">
        <v>366</v>
      </c>
      <c r="I105" s="17" t="s">
        <v>34</v>
      </c>
      <c r="J105" s="17" t="s">
        <v>367</v>
      </c>
      <c r="K105" s="18">
        <v>46142</v>
      </c>
      <c r="L105" s="17" t="s">
        <v>24</v>
      </c>
      <c r="M105" s="7" t="s">
        <v>25</v>
      </c>
      <c r="N105" s="17"/>
    </row>
    <row r="106" spans="1:14" ht="63.75" customHeight="1" x14ac:dyDescent="0.2">
      <c r="A106" s="17">
        <v>105</v>
      </c>
      <c r="B106" s="16" t="s">
        <v>368</v>
      </c>
      <c r="C106" s="17" t="s">
        <v>176</v>
      </c>
      <c r="D106" s="17">
        <v>19.600000000000001</v>
      </c>
      <c r="E106" s="17">
        <v>11.9</v>
      </c>
      <c r="F106" s="16" t="s">
        <v>101</v>
      </c>
      <c r="G106" s="17" t="s">
        <v>369</v>
      </c>
      <c r="H106" s="17" t="s">
        <v>370</v>
      </c>
      <c r="I106" s="17" t="s">
        <v>34</v>
      </c>
      <c r="J106" s="17">
        <v>49</v>
      </c>
      <c r="K106" s="18">
        <v>46134</v>
      </c>
      <c r="L106" s="17" t="s">
        <v>24</v>
      </c>
      <c r="M106" s="7" t="s">
        <v>25</v>
      </c>
      <c r="N106" s="17"/>
    </row>
    <row r="107" spans="1:14" ht="63.75" customHeight="1" x14ac:dyDescent="0.2">
      <c r="A107" s="17">
        <v>106</v>
      </c>
      <c r="B107" s="16" t="s">
        <v>368</v>
      </c>
      <c r="C107" s="17" t="s">
        <v>179</v>
      </c>
      <c r="D107" s="17">
        <v>7.3</v>
      </c>
      <c r="E107" s="17"/>
      <c r="F107" s="16" t="s">
        <v>101</v>
      </c>
      <c r="G107" s="17" t="s">
        <v>369</v>
      </c>
      <c r="H107" s="17" t="s">
        <v>370</v>
      </c>
      <c r="I107" s="17" t="s">
        <v>34</v>
      </c>
      <c r="J107" s="17">
        <v>49</v>
      </c>
      <c r="K107" s="18">
        <v>46134</v>
      </c>
      <c r="L107" s="17" t="s">
        <v>24</v>
      </c>
      <c r="M107" s="7" t="s">
        <v>25</v>
      </c>
      <c r="N107" s="17"/>
    </row>
    <row r="108" spans="1:14" ht="51" customHeight="1" x14ac:dyDescent="0.2">
      <c r="A108" s="17">
        <v>107</v>
      </c>
      <c r="B108" s="16" t="s">
        <v>371</v>
      </c>
      <c r="C108" s="17" t="s">
        <v>176</v>
      </c>
      <c r="D108" s="17">
        <v>18.899999999999999</v>
      </c>
      <c r="E108" s="17">
        <v>11.6</v>
      </c>
      <c r="F108" s="16" t="s">
        <v>121</v>
      </c>
      <c r="G108" s="17" t="s">
        <v>372</v>
      </c>
      <c r="H108" s="17" t="s">
        <v>373</v>
      </c>
      <c r="I108" s="17" t="s">
        <v>34</v>
      </c>
      <c r="J108" s="17">
        <v>50</v>
      </c>
      <c r="K108" s="18">
        <v>46149</v>
      </c>
      <c r="L108" s="17" t="s">
        <v>82</v>
      </c>
      <c r="M108" s="7" t="s">
        <v>25</v>
      </c>
      <c r="N108" s="17"/>
    </row>
    <row r="109" spans="1:14" ht="51" customHeight="1" x14ac:dyDescent="0.2">
      <c r="A109" s="17">
        <v>108</v>
      </c>
      <c r="B109" s="16" t="s">
        <v>371</v>
      </c>
      <c r="C109" s="17" t="s">
        <v>179</v>
      </c>
      <c r="D109" s="17">
        <v>7.4</v>
      </c>
      <c r="E109" s="17"/>
      <c r="F109" s="16" t="s">
        <v>121</v>
      </c>
      <c r="G109" s="17" t="s">
        <v>372</v>
      </c>
      <c r="H109" s="17" t="s">
        <v>373</v>
      </c>
      <c r="I109" s="17" t="s">
        <v>34</v>
      </c>
      <c r="J109" s="17">
        <v>50</v>
      </c>
      <c r="K109" s="18">
        <v>46149</v>
      </c>
      <c r="L109" s="17" t="s">
        <v>82</v>
      </c>
      <c r="M109" s="7" t="s">
        <v>25</v>
      </c>
      <c r="N109" s="17"/>
    </row>
    <row r="110" spans="1:14" ht="89.25" customHeight="1" x14ac:dyDescent="0.2">
      <c r="A110" s="17">
        <v>109</v>
      </c>
      <c r="B110" s="16" t="s">
        <v>374</v>
      </c>
      <c r="C110" s="17" t="s">
        <v>176</v>
      </c>
      <c r="D110" s="17">
        <v>17</v>
      </c>
      <c r="E110" s="17">
        <v>12</v>
      </c>
      <c r="F110" s="16" t="s">
        <v>73</v>
      </c>
      <c r="G110" s="17" t="s">
        <v>375</v>
      </c>
      <c r="H110" s="17" t="s">
        <v>376</v>
      </c>
      <c r="I110" s="17" t="s">
        <v>293</v>
      </c>
      <c r="J110" s="17">
        <v>51</v>
      </c>
      <c r="K110" s="18">
        <v>46155</v>
      </c>
      <c r="L110" s="17" t="s">
        <v>24</v>
      </c>
      <c r="M110" s="7" t="s">
        <v>25</v>
      </c>
      <c r="N110" s="17"/>
    </row>
    <row r="111" spans="1:14" ht="89.25" customHeight="1" x14ac:dyDescent="0.2">
      <c r="A111" s="17">
        <v>110</v>
      </c>
      <c r="B111" s="16" t="s">
        <v>374</v>
      </c>
      <c r="C111" s="17" t="s">
        <v>179</v>
      </c>
      <c r="D111" s="17">
        <v>7.8</v>
      </c>
      <c r="E111" s="17"/>
      <c r="F111" s="16" t="s">
        <v>73</v>
      </c>
      <c r="G111" s="17" t="s">
        <v>375</v>
      </c>
      <c r="H111" s="17" t="s">
        <v>376</v>
      </c>
      <c r="I111" s="17" t="s">
        <v>293</v>
      </c>
      <c r="J111" s="17">
        <v>51</v>
      </c>
      <c r="K111" s="18">
        <v>46155</v>
      </c>
      <c r="L111" s="17" t="s">
        <v>24</v>
      </c>
      <c r="M111" s="7" t="s">
        <v>25</v>
      </c>
      <c r="N111" s="17"/>
    </row>
    <row r="112" spans="1:14" ht="63.75" customHeight="1" x14ac:dyDescent="0.2">
      <c r="A112" s="17">
        <v>111</v>
      </c>
      <c r="B112" s="16" t="s">
        <v>377</v>
      </c>
      <c r="C112" s="17" t="s">
        <v>176</v>
      </c>
      <c r="D112" s="17">
        <v>16.100000000000001</v>
      </c>
      <c r="E112" s="17">
        <v>10.3</v>
      </c>
      <c r="F112" s="16" t="s">
        <v>151</v>
      </c>
      <c r="G112" s="17" t="s">
        <v>378</v>
      </c>
      <c r="H112" s="17" t="s">
        <v>4957</v>
      </c>
      <c r="I112" s="17" t="s">
        <v>34</v>
      </c>
      <c r="J112" s="17">
        <v>52</v>
      </c>
      <c r="K112" s="18">
        <v>46142</v>
      </c>
      <c r="L112" s="17" t="s">
        <v>24</v>
      </c>
      <c r="M112" s="7" t="s">
        <v>25</v>
      </c>
      <c r="N112" s="17"/>
    </row>
    <row r="113" spans="1:14" ht="51" customHeight="1" x14ac:dyDescent="0.2">
      <c r="A113" s="17">
        <v>112</v>
      </c>
      <c r="B113" s="16" t="s">
        <v>379</v>
      </c>
      <c r="C113" s="17" t="s">
        <v>176</v>
      </c>
      <c r="D113" s="17">
        <v>16.399999999999999</v>
      </c>
      <c r="E113" s="17">
        <v>10.3</v>
      </c>
      <c r="F113" s="16" t="s">
        <v>19</v>
      </c>
      <c r="G113" s="17" t="s">
        <v>380</v>
      </c>
      <c r="H113" s="17" t="s">
        <v>381</v>
      </c>
      <c r="I113" s="17" t="s">
        <v>34</v>
      </c>
      <c r="J113" s="17">
        <v>53</v>
      </c>
      <c r="K113" s="18">
        <v>46157</v>
      </c>
      <c r="L113" s="17" t="s">
        <v>24</v>
      </c>
      <c r="M113" s="7" t="s">
        <v>25</v>
      </c>
      <c r="N113" s="17"/>
    </row>
    <row r="114" spans="1:14" ht="38.25" customHeight="1" x14ac:dyDescent="0.2">
      <c r="A114" s="17">
        <v>113</v>
      </c>
      <c r="B114" s="16" t="s">
        <v>382</v>
      </c>
      <c r="C114" s="17" t="s">
        <v>176</v>
      </c>
      <c r="D114" s="17">
        <v>12.8</v>
      </c>
      <c r="E114" s="17">
        <v>12.9</v>
      </c>
      <c r="F114" s="16" t="s">
        <v>54</v>
      </c>
      <c r="G114" s="17" t="s">
        <v>383</v>
      </c>
      <c r="H114" s="17" t="s">
        <v>384</v>
      </c>
      <c r="I114" s="17" t="s">
        <v>312</v>
      </c>
      <c r="J114" s="17" t="s">
        <v>385</v>
      </c>
      <c r="K114" s="18">
        <v>46155</v>
      </c>
      <c r="L114" s="17" t="s">
        <v>24</v>
      </c>
      <c r="M114" s="7" t="s">
        <v>25</v>
      </c>
      <c r="N114" s="17"/>
    </row>
    <row r="115" spans="1:14" ht="38.25" customHeight="1" x14ac:dyDescent="0.2">
      <c r="A115" s="17">
        <v>114</v>
      </c>
      <c r="B115" s="16" t="s">
        <v>382</v>
      </c>
      <c r="C115" s="17" t="s">
        <v>179</v>
      </c>
      <c r="D115" s="17">
        <v>22.2</v>
      </c>
      <c r="E115" s="17"/>
      <c r="F115" s="16" t="s">
        <v>54</v>
      </c>
      <c r="G115" s="17" t="s">
        <v>383</v>
      </c>
      <c r="H115" s="17" t="s">
        <v>384</v>
      </c>
      <c r="I115" s="17" t="s">
        <v>312</v>
      </c>
      <c r="J115" s="17" t="s">
        <v>385</v>
      </c>
      <c r="K115" s="18">
        <v>46155</v>
      </c>
      <c r="L115" s="17" t="s">
        <v>24</v>
      </c>
      <c r="M115" s="7" t="s">
        <v>25</v>
      </c>
      <c r="N115" s="17"/>
    </row>
    <row r="116" spans="1:14" ht="25.5" customHeight="1" x14ac:dyDescent="0.2">
      <c r="A116" s="17">
        <v>115</v>
      </c>
      <c r="B116" s="16" t="s">
        <v>382</v>
      </c>
      <c r="C116" s="17" t="s">
        <v>171</v>
      </c>
      <c r="D116" s="17">
        <v>12.8</v>
      </c>
      <c r="E116" s="17">
        <v>12.8</v>
      </c>
      <c r="F116" s="16" t="s">
        <v>106</v>
      </c>
      <c r="G116" s="17" t="s">
        <v>386</v>
      </c>
      <c r="H116" s="17" t="s">
        <v>387</v>
      </c>
      <c r="I116" s="17" t="s">
        <v>388</v>
      </c>
      <c r="J116" s="17" t="s">
        <v>389</v>
      </c>
      <c r="K116" s="18">
        <v>46141</v>
      </c>
      <c r="L116" s="17" t="s">
        <v>82</v>
      </c>
      <c r="M116" s="7" t="s">
        <v>25</v>
      </c>
      <c r="N116" s="17"/>
    </row>
    <row r="117" spans="1:14" ht="25.5" customHeight="1" x14ac:dyDescent="0.2">
      <c r="A117" s="17">
        <v>116</v>
      </c>
      <c r="B117" s="16" t="s">
        <v>382</v>
      </c>
      <c r="C117" s="17" t="s">
        <v>174</v>
      </c>
      <c r="D117" s="17">
        <v>22</v>
      </c>
      <c r="E117" s="17"/>
      <c r="F117" s="16" t="s">
        <v>106</v>
      </c>
      <c r="G117" s="17" t="s">
        <v>386</v>
      </c>
      <c r="H117" s="17" t="s">
        <v>387</v>
      </c>
      <c r="I117" s="17" t="s">
        <v>388</v>
      </c>
      <c r="J117" s="17" t="s">
        <v>389</v>
      </c>
      <c r="K117" s="18">
        <v>46141</v>
      </c>
      <c r="L117" s="17" t="s">
        <v>82</v>
      </c>
      <c r="M117" s="7" t="s">
        <v>25</v>
      </c>
      <c r="N117" s="17"/>
    </row>
    <row r="118" spans="1:14" ht="25.5" customHeight="1" x14ac:dyDescent="0.2">
      <c r="A118" s="17">
        <v>117</v>
      </c>
      <c r="B118" s="16" t="s">
        <v>390</v>
      </c>
      <c r="C118" s="17" t="s">
        <v>176</v>
      </c>
      <c r="D118" s="17">
        <v>12.6</v>
      </c>
      <c r="E118" s="17">
        <v>12.8</v>
      </c>
      <c r="F118" s="16" t="s">
        <v>62</v>
      </c>
      <c r="G118" s="17" t="s">
        <v>391</v>
      </c>
      <c r="H118" s="17" t="s">
        <v>392</v>
      </c>
      <c r="I118" s="17" t="s">
        <v>312</v>
      </c>
      <c r="J118" s="17" t="s">
        <v>393</v>
      </c>
      <c r="K118" s="18">
        <v>46133</v>
      </c>
      <c r="L118" s="17" t="s">
        <v>82</v>
      </c>
      <c r="M118" s="7" t="s">
        <v>25</v>
      </c>
      <c r="N118" s="17"/>
    </row>
    <row r="119" spans="1:14" ht="25.5" customHeight="1" x14ac:dyDescent="0.2">
      <c r="A119" s="17">
        <v>118</v>
      </c>
      <c r="B119" s="16" t="s">
        <v>390</v>
      </c>
      <c r="C119" s="17" t="s">
        <v>179</v>
      </c>
      <c r="D119" s="17">
        <v>22</v>
      </c>
      <c r="E119" s="17"/>
      <c r="F119" s="16" t="s">
        <v>62</v>
      </c>
      <c r="G119" s="17" t="s">
        <v>391</v>
      </c>
      <c r="H119" s="17" t="s">
        <v>392</v>
      </c>
      <c r="I119" s="17" t="s">
        <v>312</v>
      </c>
      <c r="J119" s="17" t="s">
        <v>393</v>
      </c>
      <c r="K119" s="18">
        <v>46133</v>
      </c>
      <c r="L119" s="17" t="s">
        <v>82</v>
      </c>
      <c r="M119" s="7" t="s">
        <v>25</v>
      </c>
      <c r="N119" s="17"/>
    </row>
    <row r="120" spans="1:14" ht="25.5" customHeight="1" x14ac:dyDescent="0.2">
      <c r="A120" s="17">
        <v>119</v>
      </c>
      <c r="B120" s="16" t="s">
        <v>390</v>
      </c>
      <c r="C120" s="17" t="s">
        <v>171</v>
      </c>
      <c r="D120" s="17">
        <v>12.1</v>
      </c>
      <c r="E120" s="17">
        <v>12.9</v>
      </c>
      <c r="F120" s="16" t="s">
        <v>338</v>
      </c>
      <c r="G120" s="17" t="s">
        <v>394</v>
      </c>
      <c r="H120" s="17" t="s">
        <v>4946</v>
      </c>
      <c r="I120" s="17" t="s">
        <v>312</v>
      </c>
      <c r="J120" s="17" t="s">
        <v>395</v>
      </c>
      <c r="K120" s="18">
        <v>46150</v>
      </c>
      <c r="L120" s="17" t="s">
        <v>24</v>
      </c>
      <c r="M120" s="7" t="s">
        <v>25</v>
      </c>
      <c r="N120" s="17"/>
    </row>
    <row r="121" spans="1:14" ht="25.5" customHeight="1" x14ac:dyDescent="0.2">
      <c r="A121" s="17">
        <v>120</v>
      </c>
      <c r="B121" s="16" t="s">
        <v>390</v>
      </c>
      <c r="C121" s="17" t="s">
        <v>174</v>
      </c>
      <c r="D121" s="17">
        <v>21.6</v>
      </c>
      <c r="E121" s="17"/>
      <c r="F121" s="16" t="s">
        <v>338</v>
      </c>
      <c r="G121" s="17" t="s">
        <v>394</v>
      </c>
      <c r="H121" s="17" t="s">
        <v>4946</v>
      </c>
      <c r="I121" s="17" t="s">
        <v>312</v>
      </c>
      <c r="J121" s="17" t="s">
        <v>395</v>
      </c>
      <c r="K121" s="18">
        <v>46150</v>
      </c>
      <c r="L121" s="17" t="s">
        <v>24</v>
      </c>
      <c r="M121" s="7" t="s">
        <v>25</v>
      </c>
      <c r="N121" s="17"/>
    </row>
    <row r="122" spans="1:14" ht="25.5" customHeight="1" x14ac:dyDescent="0.2">
      <c r="A122" s="17">
        <v>121</v>
      </c>
      <c r="B122" s="16" t="s">
        <v>396</v>
      </c>
      <c r="C122" s="17" t="s">
        <v>176</v>
      </c>
      <c r="D122" s="17">
        <v>12.8</v>
      </c>
      <c r="E122" s="17">
        <v>12.6</v>
      </c>
      <c r="F122" s="16" t="s">
        <v>48</v>
      </c>
      <c r="G122" s="17" t="s">
        <v>397</v>
      </c>
      <c r="H122" s="17" t="s">
        <v>398</v>
      </c>
      <c r="I122" s="17" t="s">
        <v>51</v>
      </c>
      <c r="J122" s="17" t="s">
        <v>399</v>
      </c>
      <c r="K122" s="18">
        <v>46144</v>
      </c>
      <c r="L122" s="17" t="s">
        <v>24</v>
      </c>
      <c r="M122" s="7" t="s">
        <v>25</v>
      </c>
      <c r="N122" s="17"/>
    </row>
    <row r="123" spans="1:14" ht="25.5" customHeight="1" x14ac:dyDescent="0.2">
      <c r="A123" s="17">
        <v>122</v>
      </c>
      <c r="B123" s="16" t="s">
        <v>396</v>
      </c>
      <c r="C123" s="17" t="s">
        <v>179</v>
      </c>
      <c r="D123" s="17">
        <v>22.2</v>
      </c>
      <c r="E123" s="17"/>
      <c r="F123" s="16" t="s">
        <v>48</v>
      </c>
      <c r="G123" s="17" t="s">
        <v>397</v>
      </c>
      <c r="H123" s="17" t="s">
        <v>398</v>
      </c>
      <c r="I123" s="17" t="s">
        <v>51</v>
      </c>
      <c r="J123" s="17" t="s">
        <v>399</v>
      </c>
      <c r="K123" s="18">
        <v>46144</v>
      </c>
      <c r="L123" s="17" t="s">
        <v>24</v>
      </c>
      <c r="M123" s="7" t="s">
        <v>25</v>
      </c>
      <c r="N123" s="17"/>
    </row>
    <row r="124" spans="1:14" x14ac:dyDescent="0.2">
      <c r="A124" s="17">
        <v>123</v>
      </c>
      <c r="B124" s="16" t="s">
        <v>396</v>
      </c>
      <c r="C124" s="17" t="s">
        <v>171</v>
      </c>
      <c r="D124" s="17">
        <v>12.6</v>
      </c>
      <c r="E124" s="17">
        <v>12.6</v>
      </c>
      <c r="F124" s="16" t="s">
        <v>48</v>
      </c>
      <c r="G124" s="17" t="s">
        <v>400</v>
      </c>
      <c r="H124" s="17" t="s">
        <v>401</v>
      </c>
      <c r="I124" s="17" t="s">
        <v>28</v>
      </c>
      <c r="J124" s="17" t="s">
        <v>402</v>
      </c>
      <c r="K124" s="18">
        <v>46144</v>
      </c>
      <c r="L124" s="17" t="s">
        <v>24</v>
      </c>
      <c r="M124" s="7" t="s">
        <v>25</v>
      </c>
      <c r="N124" s="17"/>
    </row>
    <row r="125" spans="1:14" x14ac:dyDescent="0.2">
      <c r="A125" s="17">
        <v>124</v>
      </c>
      <c r="B125" s="16" t="s">
        <v>396</v>
      </c>
      <c r="C125" s="17" t="s">
        <v>174</v>
      </c>
      <c r="D125" s="17">
        <v>22.7</v>
      </c>
      <c r="E125" s="17"/>
      <c r="F125" s="16" t="s">
        <v>48</v>
      </c>
      <c r="G125" s="17" t="s">
        <v>400</v>
      </c>
      <c r="H125" s="17" t="s">
        <v>401</v>
      </c>
      <c r="I125" s="17" t="s">
        <v>28</v>
      </c>
      <c r="J125" s="17" t="s">
        <v>402</v>
      </c>
      <c r="K125" s="18">
        <v>46144</v>
      </c>
      <c r="L125" s="17" t="s">
        <v>24</v>
      </c>
      <c r="M125" s="7" t="s">
        <v>25</v>
      </c>
      <c r="N125" s="17"/>
    </row>
    <row r="126" spans="1:14" ht="25.5" customHeight="1" x14ac:dyDescent="0.2">
      <c r="A126" s="17">
        <v>125</v>
      </c>
      <c r="B126" s="16" t="s">
        <v>403</v>
      </c>
      <c r="C126" s="17" t="s">
        <v>176</v>
      </c>
      <c r="D126" s="17">
        <v>15.7</v>
      </c>
      <c r="E126" s="17">
        <v>8.4</v>
      </c>
      <c r="F126" s="16" t="s">
        <v>19</v>
      </c>
      <c r="G126" s="17" t="s">
        <v>404</v>
      </c>
      <c r="H126" s="17" t="s">
        <v>405</v>
      </c>
      <c r="I126" s="17" t="s">
        <v>28</v>
      </c>
      <c r="J126" s="17" t="s">
        <v>406</v>
      </c>
      <c r="K126" s="18">
        <v>46137</v>
      </c>
      <c r="L126" s="17" t="s">
        <v>24</v>
      </c>
      <c r="M126" s="7" t="s">
        <v>25</v>
      </c>
      <c r="N126" s="17"/>
    </row>
    <row r="127" spans="1:14" ht="25.5" customHeight="1" x14ac:dyDescent="0.2">
      <c r="A127" s="17">
        <v>126</v>
      </c>
      <c r="B127" s="16" t="s">
        <v>403</v>
      </c>
      <c r="C127" s="17" t="s">
        <v>179</v>
      </c>
      <c r="D127" s="17">
        <v>8</v>
      </c>
      <c r="E127" s="17"/>
      <c r="F127" s="16" t="s">
        <v>19</v>
      </c>
      <c r="G127" s="17" t="s">
        <v>404</v>
      </c>
      <c r="H127" s="17" t="s">
        <v>405</v>
      </c>
      <c r="I127" s="17" t="s">
        <v>28</v>
      </c>
      <c r="J127" s="17" t="s">
        <v>406</v>
      </c>
      <c r="K127" s="18">
        <v>46137</v>
      </c>
      <c r="L127" s="17" t="s">
        <v>24</v>
      </c>
      <c r="M127" s="7" t="s">
        <v>25</v>
      </c>
      <c r="N127" s="17"/>
    </row>
    <row r="128" spans="1:14" ht="63.75" customHeight="1" x14ac:dyDescent="0.2">
      <c r="A128" s="17">
        <v>127</v>
      </c>
      <c r="B128" s="16" t="s">
        <v>403</v>
      </c>
      <c r="C128" s="17" t="s">
        <v>171</v>
      </c>
      <c r="D128" s="17">
        <v>15.8</v>
      </c>
      <c r="E128" s="17">
        <v>8.5</v>
      </c>
      <c r="F128" s="16" t="s">
        <v>121</v>
      </c>
      <c r="G128" s="17" t="s">
        <v>407</v>
      </c>
      <c r="H128" s="17" t="s">
        <v>408</v>
      </c>
      <c r="I128" s="17" t="s">
        <v>34</v>
      </c>
      <c r="J128" s="17" t="s">
        <v>409</v>
      </c>
      <c r="K128" s="18">
        <v>46150</v>
      </c>
      <c r="L128" s="17" t="s">
        <v>82</v>
      </c>
      <c r="M128" s="7" t="s">
        <v>25</v>
      </c>
      <c r="N128" s="17"/>
    </row>
    <row r="129" spans="1:14" ht="63.75" customHeight="1" x14ac:dyDescent="0.2">
      <c r="A129" s="17">
        <v>128</v>
      </c>
      <c r="B129" s="16" t="s">
        <v>403</v>
      </c>
      <c r="C129" s="17" t="s">
        <v>174</v>
      </c>
      <c r="D129" s="17">
        <v>8.1</v>
      </c>
      <c r="E129" s="17"/>
      <c r="F129" s="16" t="s">
        <v>121</v>
      </c>
      <c r="G129" s="17" t="s">
        <v>407</v>
      </c>
      <c r="H129" s="17" t="s">
        <v>408</v>
      </c>
      <c r="I129" s="17" t="s">
        <v>34</v>
      </c>
      <c r="J129" s="17" t="s">
        <v>409</v>
      </c>
      <c r="K129" s="18">
        <v>46150</v>
      </c>
      <c r="L129" s="17" t="s">
        <v>82</v>
      </c>
      <c r="M129" s="7" t="s">
        <v>25</v>
      </c>
      <c r="N129" s="17"/>
    </row>
    <row r="130" spans="1:14" ht="63.75" customHeight="1" x14ac:dyDescent="0.2">
      <c r="A130" s="17">
        <v>129</v>
      </c>
      <c r="B130" s="16" t="s">
        <v>410</v>
      </c>
      <c r="C130" s="17" t="s">
        <v>176</v>
      </c>
      <c r="D130" s="17">
        <v>15.7</v>
      </c>
      <c r="E130" s="17">
        <v>8.3000000000000007</v>
      </c>
      <c r="F130" s="16" t="s">
        <v>126</v>
      </c>
      <c r="G130" s="17" t="s">
        <v>411</v>
      </c>
      <c r="H130" s="17" t="s">
        <v>412</v>
      </c>
      <c r="I130" s="17" t="s">
        <v>34</v>
      </c>
      <c r="J130" s="17" t="s">
        <v>413</v>
      </c>
      <c r="K130" s="18">
        <v>46154</v>
      </c>
      <c r="L130" s="17" t="s">
        <v>24</v>
      </c>
      <c r="M130" s="7" t="s">
        <v>25</v>
      </c>
      <c r="N130" s="17"/>
    </row>
    <row r="131" spans="1:14" ht="63.75" customHeight="1" x14ac:dyDescent="0.2">
      <c r="A131" s="17">
        <v>130</v>
      </c>
      <c r="B131" s="16" t="s">
        <v>410</v>
      </c>
      <c r="C131" s="17" t="s">
        <v>179</v>
      </c>
      <c r="D131" s="17">
        <v>7.7</v>
      </c>
      <c r="E131" s="17"/>
      <c r="F131" s="16" t="s">
        <v>126</v>
      </c>
      <c r="G131" s="17" t="s">
        <v>411</v>
      </c>
      <c r="H131" s="17" t="s">
        <v>412</v>
      </c>
      <c r="I131" s="17" t="s">
        <v>34</v>
      </c>
      <c r="J131" s="17" t="s">
        <v>413</v>
      </c>
      <c r="K131" s="18">
        <v>46154</v>
      </c>
      <c r="L131" s="17" t="s">
        <v>24</v>
      </c>
      <c r="M131" s="7" t="s">
        <v>25</v>
      </c>
      <c r="N131" s="17"/>
    </row>
    <row r="132" spans="1:14" ht="51" customHeight="1" x14ac:dyDescent="0.2">
      <c r="A132" s="17">
        <v>131</v>
      </c>
      <c r="B132" s="16" t="s">
        <v>410</v>
      </c>
      <c r="C132" s="17" t="s">
        <v>171</v>
      </c>
      <c r="D132" s="17">
        <v>16</v>
      </c>
      <c r="E132" s="17">
        <v>8.4</v>
      </c>
      <c r="F132" s="16" t="s">
        <v>101</v>
      </c>
      <c r="G132" s="17" t="s">
        <v>414</v>
      </c>
      <c r="H132" s="17" t="s">
        <v>415</v>
      </c>
      <c r="I132" s="17" t="s">
        <v>34</v>
      </c>
      <c r="J132" s="17" t="s">
        <v>416</v>
      </c>
      <c r="K132" s="18">
        <v>46149</v>
      </c>
      <c r="L132" s="17" t="s">
        <v>24</v>
      </c>
      <c r="M132" s="7" t="s">
        <v>25</v>
      </c>
      <c r="N132" s="17"/>
    </row>
    <row r="133" spans="1:14" ht="51" customHeight="1" x14ac:dyDescent="0.2">
      <c r="A133" s="17">
        <v>132</v>
      </c>
      <c r="B133" s="16" t="s">
        <v>410</v>
      </c>
      <c r="C133" s="17" t="s">
        <v>174</v>
      </c>
      <c r="D133" s="17">
        <v>8.1</v>
      </c>
      <c r="E133" s="17"/>
      <c r="F133" s="16" t="s">
        <v>101</v>
      </c>
      <c r="G133" s="17" t="s">
        <v>414</v>
      </c>
      <c r="H133" s="17" t="s">
        <v>415</v>
      </c>
      <c r="I133" s="17" t="s">
        <v>34</v>
      </c>
      <c r="J133" s="17" t="s">
        <v>416</v>
      </c>
      <c r="K133" s="18">
        <v>46149</v>
      </c>
      <c r="L133" s="17" t="s">
        <v>24</v>
      </c>
      <c r="M133" s="7" t="s">
        <v>25</v>
      </c>
      <c r="N133" s="17"/>
    </row>
    <row r="134" spans="1:14" ht="25.5" customHeight="1" x14ac:dyDescent="0.2">
      <c r="A134" s="17">
        <v>133</v>
      </c>
      <c r="B134" s="16" t="s">
        <v>417</v>
      </c>
      <c r="C134" s="17" t="s">
        <v>176</v>
      </c>
      <c r="D134" s="17">
        <v>15.6</v>
      </c>
      <c r="E134" s="17">
        <v>8.4</v>
      </c>
      <c r="F134" s="16" t="s">
        <v>162</v>
      </c>
      <c r="G134" s="17" t="s">
        <v>418</v>
      </c>
      <c r="H134" s="17" t="s">
        <v>419</v>
      </c>
      <c r="I134" s="17" t="s">
        <v>312</v>
      </c>
      <c r="J134" s="17" t="s">
        <v>420</v>
      </c>
      <c r="K134" s="18">
        <v>46147</v>
      </c>
      <c r="L134" s="17" t="s">
        <v>421</v>
      </c>
      <c r="M134" s="7" t="s">
        <v>422</v>
      </c>
      <c r="N134" s="17"/>
    </row>
    <row r="135" spans="1:14" ht="25.5" customHeight="1" x14ac:dyDescent="0.2">
      <c r="A135" s="17">
        <v>134</v>
      </c>
      <c r="B135" s="16" t="s">
        <v>417</v>
      </c>
      <c r="C135" s="17" t="s">
        <v>179</v>
      </c>
      <c r="D135" s="17">
        <v>7.9</v>
      </c>
      <c r="E135" s="17"/>
      <c r="F135" s="16" t="s">
        <v>162</v>
      </c>
      <c r="G135" s="17" t="s">
        <v>418</v>
      </c>
      <c r="H135" s="17" t="s">
        <v>419</v>
      </c>
      <c r="I135" s="17" t="s">
        <v>312</v>
      </c>
      <c r="J135" s="17" t="s">
        <v>420</v>
      </c>
      <c r="K135" s="18">
        <v>46147</v>
      </c>
      <c r="L135" s="17" t="s">
        <v>24</v>
      </c>
      <c r="M135" s="7" t="s">
        <v>25</v>
      </c>
      <c r="N135" s="17"/>
    </row>
    <row r="136" spans="1:14" ht="51" customHeight="1" x14ac:dyDescent="0.2">
      <c r="A136" s="17">
        <v>135</v>
      </c>
      <c r="B136" s="16" t="s">
        <v>417</v>
      </c>
      <c r="C136" s="17" t="s">
        <v>171</v>
      </c>
      <c r="D136" s="17">
        <v>15.6</v>
      </c>
      <c r="E136" s="17">
        <v>8.3000000000000007</v>
      </c>
      <c r="F136" s="16" t="s">
        <v>106</v>
      </c>
      <c r="G136" s="17" t="s">
        <v>423</v>
      </c>
      <c r="H136" s="17" t="s">
        <v>424</v>
      </c>
      <c r="I136" s="17" t="s">
        <v>34</v>
      </c>
      <c r="J136" s="17" t="s">
        <v>425</v>
      </c>
      <c r="K136" s="18">
        <v>46141</v>
      </c>
      <c r="L136" s="17" t="s">
        <v>82</v>
      </c>
      <c r="M136" s="7" t="s">
        <v>25</v>
      </c>
      <c r="N136" s="17"/>
    </row>
    <row r="137" spans="1:14" ht="51" customHeight="1" x14ac:dyDescent="0.2">
      <c r="A137" s="17">
        <v>136</v>
      </c>
      <c r="B137" s="16" t="s">
        <v>417</v>
      </c>
      <c r="C137" s="17" t="s">
        <v>174</v>
      </c>
      <c r="D137" s="17">
        <v>8.1999999999999993</v>
      </c>
      <c r="E137" s="17"/>
      <c r="F137" s="16" t="s">
        <v>106</v>
      </c>
      <c r="G137" s="17" t="s">
        <v>423</v>
      </c>
      <c r="H137" s="17" t="s">
        <v>424</v>
      </c>
      <c r="I137" s="17" t="s">
        <v>34</v>
      </c>
      <c r="J137" s="17" t="s">
        <v>425</v>
      </c>
      <c r="K137" s="18">
        <v>46141</v>
      </c>
      <c r="L137" s="17" t="s">
        <v>82</v>
      </c>
      <c r="M137" s="7" t="s">
        <v>25</v>
      </c>
      <c r="N137" s="17"/>
    </row>
    <row r="138" spans="1:14" ht="25.5" customHeight="1" x14ac:dyDescent="0.2">
      <c r="A138" s="17">
        <v>137</v>
      </c>
      <c r="B138" s="16" t="s">
        <v>426</v>
      </c>
      <c r="C138" s="17" t="s">
        <v>176</v>
      </c>
      <c r="D138" s="17">
        <v>16.399999999999999</v>
      </c>
      <c r="E138" s="17">
        <v>12.8</v>
      </c>
      <c r="F138" s="16" t="s">
        <v>19</v>
      </c>
      <c r="G138" s="17" t="s">
        <v>427</v>
      </c>
      <c r="H138" s="17" t="s">
        <v>428</v>
      </c>
      <c r="I138" s="17" t="s">
        <v>28</v>
      </c>
      <c r="J138" s="17" t="s">
        <v>429</v>
      </c>
      <c r="K138" s="18">
        <v>46137</v>
      </c>
      <c r="L138" s="17" t="s">
        <v>82</v>
      </c>
      <c r="M138" s="7" t="s">
        <v>25</v>
      </c>
      <c r="N138" s="17"/>
    </row>
    <row r="139" spans="1:14" ht="51" customHeight="1" x14ac:dyDescent="0.2">
      <c r="A139" s="17">
        <v>138</v>
      </c>
      <c r="B139" s="16" t="s">
        <v>426</v>
      </c>
      <c r="C139" s="17" t="s">
        <v>171</v>
      </c>
      <c r="D139" s="17">
        <v>16.3</v>
      </c>
      <c r="E139" s="17">
        <v>12.6</v>
      </c>
      <c r="F139" s="16" t="s">
        <v>121</v>
      </c>
      <c r="G139" s="17" t="s">
        <v>430</v>
      </c>
      <c r="H139" s="17" t="s">
        <v>431</v>
      </c>
      <c r="I139" s="17" t="s">
        <v>34</v>
      </c>
      <c r="J139" s="17" t="s">
        <v>432</v>
      </c>
      <c r="K139" s="18">
        <v>46149</v>
      </c>
      <c r="L139" s="17" t="s">
        <v>82</v>
      </c>
      <c r="M139" s="7" t="s">
        <v>25</v>
      </c>
      <c r="N139" s="17"/>
    </row>
    <row r="140" spans="1:14" ht="63.75" customHeight="1" x14ac:dyDescent="0.2">
      <c r="A140" s="17">
        <v>139</v>
      </c>
      <c r="B140" s="16" t="s">
        <v>433</v>
      </c>
      <c r="C140" s="17" t="s">
        <v>176</v>
      </c>
      <c r="D140" s="17">
        <v>17</v>
      </c>
      <c r="E140" s="17">
        <v>13</v>
      </c>
      <c r="F140" s="16" t="s">
        <v>162</v>
      </c>
      <c r="G140" s="17" t="s">
        <v>434</v>
      </c>
      <c r="H140" s="17" t="s">
        <v>435</v>
      </c>
      <c r="I140" s="17" t="s">
        <v>34</v>
      </c>
      <c r="J140" s="17" t="s">
        <v>436</v>
      </c>
      <c r="K140" s="18">
        <v>46148</v>
      </c>
      <c r="L140" s="17" t="s">
        <v>24</v>
      </c>
      <c r="M140" s="7" t="s">
        <v>25</v>
      </c>
      <c r="N140" s="17"/>
    </row>
    <row r="141" spans="1:14" ht="63.75" customHeight="1" x14ac:dyDescent="0.2">
      <c r="A141" s="17">
        <v>140</v>
      </c>
      <c r="B141" s="16" t="s">
        <v>433</v>
      </c>
      <c r="C141" s="17" t="s">
        <v>171</v>
      </c>
      <c r="D141" s="17">
        <v>16.899999999999999</v>
      </c>
      <c r="E141" s="17">
        <v>13</v>
      </c>
      <c r="F141" s="16" t="s">
        <v>162</v>
      </c>
      <c r="G141" s="17" t="s">
        <v>437</v>
      </c>
      <c r="H141" s="17" t="s">
        <v>438</v>
      </c>
      <c r="I141" s="17" t="s">
        <v>34</v>
      </c>
      <c r="J141" s="17" t="s">
        <v>439</v>
      </c>
      <c r="K141" s="18">
        <v>46147</v>
      </c>
      <c r="L141" s="17" t="s">
        <v>24</v>
      </c>
      <c r="M141" s="7" t="s">
        <v>25</v>
      </c>
      <c r="N141" s="17"/>
    </row>
    <row r="142" spans="1:14" ht="51" customHeight="1" x14ac:dyDescent="0.2">
      <c r="A142" s="17">
        <v>141</v>
      </c>
      <c r="B142" s="16" t="s">
        <v>440</v>
      </c>
      <c r="C142" s="17" t="s">
        <v>176</v>
      </c>
      <c r="D142" s="17">
        <v>16.8</v>
      </c>
      <c r="E142" s="17">
        <v>13.6</v>
      </c>
      <c r="F142" s="16" t="s">
        <v>126</v>
      </c>
      <c r="G142" s="17" t="s">
        <v>441</v>
      </c>
      <c r="H142" s="17" t="s">
        <v>4869</v>
      </c>
      <c r="I142" s="17" t="s">
        <v>34</v>
      </c>
      <c r="J142" s="17" t="s">
        <v>442</v>
      </c>
      <c r="K142" s="18">
        <v>46156</v>
      </c>
      <c r="L142" s="17" t="s">
        <v>24</v>
      </c>
      <c r="M142" s="7" t="s">
        <v>25</v>
      </c>
      <c r="N142" s="17"/>
    </row>
    <row r="143" spans="1:14" ht="51" customHeight="1" x14ac:dyDescent="0.2">
      <c r="A143" s="17">
        <v>142</v>
      </c>
      <c r="B143" s="16" t="s">
        <v>440</v>
      </c>
      <c r="C143" s="17" t="s">
        <v>171</v>
      </c>
      <c r="D143" s="17">
        <v>16.8</v>
      </c>
      <c r="E143" s="17">
        <v>13.4</v>
      </c>
      <c r="F143" s="16" t="s">
        <v>162</v>
      </c>
      <c r="G143" s="17" t="s">
        <v>443</v>
      </c>
      <c r="H143" s="17" t="s">
        <v>444</v>
      </c>
      <c r="I143" s="17" t="s">
        <v>34</v>
      </c>
      <c r="J143" s="17" t="s">
        <v>445</v>
      </c>
      <c r="K143" s="18">
        <v>46147</v>
      </c>
      <c r="L143" s="17" t="s">
        <v>24</v>
      </c>
      <c r="M143" s="7" t="s">
        <v>25</v>
      </c>
      <c r="N143" s="17"/>
    </row>
    <row r="144" spans="1:14" ht="63.75" customHeight="1" x14ac:dyDescent="0.2">
      <c r="A144" s="17">
        <v>143</v>
      </c>
      <c r="B144" s="16" t="s">
        <v>446</v>
      </c>
      <c r="C144" s="17" t="s">
        <v>176</v>
      </c>
      <c r="D144" s="17">
        <v>18</v>
      </c>
      <c r="E144" s="17">
        <v>13.2</v>
      </c>
      <c r="F144" s="16" t="s">
        <v>162</v>
      </c>
      <c r="G144" s="17" t="s">
        <v>447</v>
      </c>
      <c r="H144" s="17" t="s">
        <v>448</v>
      </c>
      <c r="I144" s="17" t="s">
        <v>34</v>
      </c>
      <c r="J144" s="17" t="s">
        <v>449</v>
      </c>
      <c r="K144" s="18">
        <v>46147</v>
      </c>
      <c r="L144" s="17" t="s">
        <v>24</v>
      </c>
      <c r="M144" s="7" t="s">
        <v>25</v>
      </c>
      <c r="N144" s="17"/>
    </row>
    <row r="145" spans="1:14" ht="25.5" x14ac:dyDescent="0.2">
      <c r="A145" s="17">
        <v>98</v>
      </c>
      <c r="B145" s="16" t="s">
        <v>354</v>
      </c>
      <c r="C145" s="17" t="s">
        <v>179</v>
      </c>
      <c r="D145" s="17">
        <v>7.3</v>
      </c>
      <c r="E145" s="17"/>
      <c r="F145" s="16" t="s">
        <v>343</v>
      </c>
      <c r="G145" s="17" t="s">
        <v>355</v>
      </c>
      <c r="H145" s="17" t="s">
        <v>356</v>
      </c>
      <c r="I145" s="17" t="s">
        <v>28</v>
      </c>
      <c r="J145" s="17" t="s">
        <v>357</v>
      </c>
      <c r="K145" s="18">
        <v>46157</v>
      </c>
      <c r="L145" s="17" t="s">
        <v>24</v>
      </c>
      <c r="M145" s="7" t="s">
        <v>25</v>
      </c>
      <c r="N145" s="17"/>
    </row>
    <row r="146" spans="1:14" ht="63.75" customHeight="1" x14ac:dyDescent="0.2">
      <c r="A146" s="17">
        <v>145</v>
      </c>
      <c r="B146" s="16" t="s">
        <v>453</v>
      </c>
      <c r="C146" s="17" t="s">
        <v>176</v>
      </c>
      <c r="D146" s="17">
        <v>16.100000000000001</v>
      </c>
      <c r="E146" s="17">
        <v>13.3</v>
      </c>
      <c r="F146" s="16" t="s">
        <v>31</v>
      </c>
      <c r="G146" s="17" t="s">
        <v>454</v>
      </c>
      <c r="H146" s="17" t="s">
        <v>455</v>
      </c>
      <c r="I146" s="17" t="s">
        <v>34</v>
      </c>
      <c r="J146" s="17" t="s">
        <v>456</v>
      </c>
      <c r="K146" s="18">
        <v>46141</v>
      </c>
      <c r="L146" s="17" t="s">
        <v>24</v>
      </c>
      <c r="M146" s="7" t="s">
        <v>25</v>
      </c>
      <c r="N146" s="17"/>
    </row>
    <row r="147" spans="1:14" ht="63.75" customHeight="1" x14ac:dyDescent="0.2">
      <c r="A147" s="17">
        <v>146</v>
      </c>
      <c r="B147" s="16" t="s">
        <v>453</v>
      </c>
      <c r="C147" s="17" t="s">
        <v>179</v>
      </c>
      <c r="D147" s="17">
        <v>7.6</v>
      </c>
      <c r="E147" s="17"/>
      <c r="F147" s="16" t="s">
        <v>31</v>
      </c>
      <c r="G147" s="17" t="s">
        <v>454</v>
      </c>
      <c r="H147" s="17" t="s">
        <v>455</v>
      </c>
      <c r="I147" s="17" t="s">
        <v>34</v>
      </c>
      <c r="J147" s="17" t="s">
        <v>456</v>
      </c>
      <c r="K147" s="18">
        <v>46141</v>
      </c>
      <c r="L147" s="17" t="s">
        <v>24</v>
      </c>
      <c r="M147" s="7" t="s">
        <v>25</v>
      </c>
      <c r="N147" s="17"/>
    </row>
    <row r="148" spans="1:14" ht="63.75" x14ac:dyDescent="0.2">
      <c r="A148" s="17">
        <v>159</v>
      </c>
      <c r="B148" s="16" t="s">
        <v>476</v>
      </c>
      <c r="C148" s="17" t="s">
        <v>176</v>
      </c>
      <c r="D148" s="17">
        <v>15.5</v>
      </c>
      <c r="E148" s="17">
        <v>12.8</v>
      </c>
      <c r="F148" s="16" t="s">
        <v>343</v>
      </c>
      <c r="G148" s="17" t="s">
        <v>4856</v>
      </c>
      <c r="H148" s="17" t="s">
        <v>477</v>
      </c>
      <c r="I148" s="17" t="s">
        <v>34</v>
      </c>
      <c r="J148" s="17" t="s">
        <v>478</v>
      </c>
      <c r="K148" s="18">
        <v>46148</v>
      </c>
      <c r="L148" s="17" t="s">
        <v>82</v>
      </c>
      <c r="M148" s="7" t="s">
        <v>25</v>
      </c>
      <c r="N148" s="17"/>
    </row>
    <row r="149" spans="1:14" ht="63.75" x14ac:dyDescent="0.2">
      <c r="A149" s="17">
        <v>160</v>
      </c>
      <c r="B149" s="16" t="s">
        <v>476</v>
      </c>
      <c r="C149" s="17" t="s">
        <v>179</v>
      </c>
      <c r="D149" s="17">
        <v>23</v>
      </c>
      <c r="E149" s="17"/>
      <c r="F149" s="16" t="s">
        <v>343</v>
      </c>
      <c r="G149" s="17" t="s">
        <v>4856</v>
      </c>
      <c r="H149" s="17" t="s">
        <v>477</v>
      </c>
      <c r="I149" s="17" t="s">
        <v>34</v>
      </c>
      <c r="J149" s="17" t="s">
        <v>478</v>
      </c>
      <c r="K149" s="18">
        <v>46148</v>
      </c>
      <c r="L149" s="17" t="s">
        <v>82</v>
      </c>
      <c r="M149" s="7" t="s">
        <v>25</v>
      </c>
      <c r="N149" s="17"/>
    </row>
    <row r="150" spans="1:14" ht="51" customHeight="1" x14ac:dyDescent="0.2">
      <c r="A150" s="17">
        <v>149</v>
      </c>
      <c r="B150" s="16" t="s">
        <v>460</v>
      </c>
      <c r="C150" s="17" t="s">
        <v>176</v>
      </c>
      <c r="D150" s="17">
        <v>15</v>
      </c>
      <c r="E150" s="17">
        <v>17.399999999999999</v>
      </c>
      <c r="F150" s="16" t="s">
        <v>121</v>
      </c>
      <c r="G150" s="17" t="s">
        <v>461</v>
      </c>
      <c r="H150" s="17" t="s">
        <v>462</v>
      </c>
      <c r="I150" s="17" t="s">
        <v>34</v>
      </c>
      <c r="J150" s="17" t="s">
        <v>463</v>
      </c>
      <c r="K150" s="18">
        <v>46156</v>
      </c>
      <c r="L150" s="17" t="s">
        <v>82</v>
      </c>
      <c r="M150" s="7" t="s">
        <v>25</v>
      </c>
      <c r="N150" s="17"/>
    </row>
    <row r="151" spans="1:14" ht="51" customHeight="1" x14ac:dyDescent="0.2">
      <c r="A151" s="17">
        <v>150</v>
      </c>
      <c r="B151" s="16" t="s">
        <v>460</v>
      </c>
      <c r="C151" s="17" t="s">
        <v>179</v>
      </c>
      <c r="D151" s="17">
        <v>6.5</v>
      </c>
      <c r="E151" s="17"/>
      <c r="F151" s="16" t="s">
        <v>121</v>
      </c>
      <c r="G151" s="17" t="s">
        <v>461</v>
      </c>
      <c r="H151" s="17" t="s">
        <v>462</v>
      </c>
      <c r="I151" s="17" t="s">
        <v>34</v>
      </c>
      <c r="J151" s="17" t="s">
        <v>463</v>
      </c>
      <c r="K151" s="18">
        <v>46156</v>
      </c>
      <c r="L151" s="17" t="s">
        <v>82</v>
      </c>
      <c r="M151" s="7" t="s">
        <v>25</v>
      </c>
      <c r="N151" s="17"/>
    </row>
    <row r="152" spans="1:14" ht="51" customHeight="1" x14ac:dyDescent="0.2">
      <c r="A152" s="17">
        <v>151</v>
      </c>
      <c r="B152" s="16" t="s">
        <v>460</v>
      </c>
      <c r="C152" s="17" t="s">
        <v>464</v>
      </c>
      <c r="D152" s="17">
        <v>22.9</v>
      </c>
      <c r="E152" s="17"/>
      <c r="F152" s="16" t="s">
        <v>121</v>
      </c>
      <c r="G152" s="17" t="s">
        <v>461</v>
      </c>
      <c r="H152" s="17" t="s">
        <v>462</v>
      </c>
      <c r="I152" s="17" t="s">
        <v>34</v>
      </c>
      <c r="J152" s="17" t="s">
        <v>463</v>
      </c>
      <c r="K152" s="18">
        <v>46156</v>
      </c>
      <c r="L152" s="17" t="s">
        <v>82</v>
      </c>
      <c r="M152" s="7" t="s">
        <v>25</v>
      </c>
      <c r="N152" s="17"/>
    </row>
    <row r="153" spans="1:14" ht="25.5" customHeight="1" x14ac:dyDescent="0.2">
      <c r="A153" s="17">
        <v>152</v>
      </c>
      <c r="B153" s="16" t="s">
        <v>460</v>
      </c>
      <c r="C153" s="17" t="s">
        <v>171</v>
      </c>
      <c r="D153" s="17">
        <v>15.8</v>
      </c>
      <c r="E153" s="17">
        <v>17.2</v>
      </c>
      <c r="F153" s="16" t="s">
        <v>121</v>
      </c>
      <c r="G153" s="17" t="s">
        <v>465</v>
      </c>
      <c r="H153" s="17" t="s">
        <v>466</v>
      </c>
      <c r="I153" s="17" t="s">
        <v>312</v>
      </c>
      <c r="J153" s="17" t="s">
        <v>467</v>
      </c>
      <c r="K153" s="18">
        <v>46144</v>
      </c>
      <c r="L153" s="17" t="s">
        <v>24</v>
      </c>
      <c r="M153" s="7" t="s">
        <v>25</v>
      </c>
      <c r="N153" s="17"/>
    </row>
    <row r="154" spans="1:14" ht="25.5" customHeight="1" x14ac:dyDescent="0.2">
      <c r="A154" s="17">
        <v>153</v>
      </c>
      <c r="B154" s="16" t="s">
        <v>460</v>
      </c>
      <c r="C154" s="17" t="s">
        <v>174</v>
      </c>
      <c r="D154" s="17">
        <v>5.9</v>
      </c>
      <c r="E154" s="17"/>
      <c r="F154" s="16" t="s">
        <v>121</v>
      </c>
      <c r="G154" s="17" t="s">
        <v>465</v>
      </c>
      <c r="H154" s="17" t="s">
        <v>466</v>
      </c>
      <c r="I154" s="17" t="s">
        <v>312</v>
      </c>
      <c r="J154" s="17" t="s">
        <v>467</v>
      </c>
      <c r="K154" s="18">
        <v>46144</v>
      </c>
      <c r="L154" s="17" t="s">
        <v>24</v>
      </c>
      <c r="M154" s="7" t="s">
        <v>25</v>
      </c>
      <c r="N154" s="17"/>
    </row>
    <row r="155" spans="1:14" ht="25.5" customHeight="1" x14ac:dyDescent="0.2">
      <c r="A155" s="17">
        <v>154</v>
      </c>
      <c r="B155" s="16" t="s">
        <v>460</v>
      </c>
      <c r="C155" s="17" t="s">
        <v>468</v>
      </c>
      <c r="D155" s="17">
        <v>22.7</v>
      </c>
      <c r="E155" s="17"/>
      <c r="F155" s="16" t="s">
        <v>121</v>
      </c>
      <c r="G155" s="17" t="s">
        <v>465</v>
      </c>
      <c r="H155" s="17" t="s">
        <v>466</v>
      </c>
      <c r="I155" s="17" t="s">
        <v>312</v>
      </c>
      <c r="J155" s="17" t="s">
        <v>467</v>
      </c>
      <c r="K155" s="18">
        <v>46144</v>
      </c>
      <c r="L155" s="17" t="s">
        <v>24</v>
      </c>
      <c r="M155" s="7" t="s">
        <v>25</v>
      </c>
      <c r="N155" s="17"/>
    </row>
    <row r="156" spans="1:14" ht="51" customHeight="1" x14ac:dyDescent="0.2">
      <c r="A156" s="17">
        <v>155</v>
      </c>
      <c r="B156" s="16" t="s">
        <v>469</v>
      </c>
      <c r="C156" s="17" t="s">
        <v>176</v>
      </c>
      <c r="D156" s="17">
        <v>16.100000000000001</v>
      </c>
      <c r="E156" s="17">
        <v>12.8</v>
      </c>
      <c r="F156" s="16" t="s">
        <v>62</v>
      </c>
      <c r="G156" s="17" t="s">
        <v>470</v>
      </c>
      <c r="H156" s="17" t="s">
        <v>471</v>
      </c>
      <c r="I156" s="17" t="s">
        <v>34</v>
      </c>
      <c r="J156" s="17" t="s">
        <v>472</v>
      </c>
      <c r="K156" s="18">
        <v>46134</v>
      </c>
      <c r="L156" s="17" t="s">
        <v>82</v>
      </c>
      <c r="M156" s="7" t="s">
        <v>25</v>
      </c>
      <c r="N156" s="17"/>
    </row>
    <row r="157" spans="1:14" ht="51" customHeight="1" x14ac:dyDescent="0.2">
      <c r="A157" s="17">
        <v>156</v>
      </c>
      <c r="B157" s="16" t="s">
        <v>469</v>
      </c>
      <c r="C157" s="17" t="s">
        <v>179</v>
      </c>
      <c r="D157" s="17">
        <v>23.8</v>
      </c>
      <c r="E157" s="17"/>
      <c r="F157" s="16" t="s">
        <v>62</v>
      </c>
      <c r="G157" s="17" t="s">
        <v>470</v>
      </c>
      <c r="H157" s="17" t="s">
        <v>471</v>
      </c>
      <c r="I157" s="17" t="s">
        <v>34</v>
      </c>
      <c r="J157" s="17" t="s">
        <v>472</v>
      </c>
      <c r="K157" s="18">
        <v>46134</v>
      </c>
      <c r="L157" s="17" t="s">
        <v>82</v>
      </c>
      <c r="M157" s="7" t="s">
        <v>25</v>
      </c>
      <c r="N157" s="17"/>
    </row>
    <row r="158" spans="1:14" ht="25.5" customHeight="1" x14ac:dyDescent="0.2">
      <c r="A158" s="17">
        <v>157</v>
      </c>
      <c r="B158" s="16" t="s">
        <v>469</v>
      </c>
      <c r="C158" s="17" t="s">
        <v>171</v>
      </c>
      <c r="D158" s="17">
        <v>11.9</v>
      </c>
      <c r="E158" s="17">
        <v>12.8</v>
      </c>
      <c r="F158" s="16" t="s">
        <v>106</v>
      </c>
      <c r="G158" s="17" t="s">
        <v>473</v>
      </c>
      <c r="H158" s="17" t="s">
        <v>474</v>
      </c>
      <c r="I158" s="17" t="s">
        <v>51</v>
      </c>
      <c r="J158" s="17" t="s">
        <v>475</v>
      </c>
      <c r="K158" s="18">
        <v>46141</v>
      </c>
      <c r="L158" s="17" t="s">
        <v>24</v>
      </c>
      <c r="M158" s="7" t="s">
        <v>25</v>
      </c>
      <c r="N158" s="17"/>
    </row>
    <row r="159" spans="1:14" ht="25.5" customHeight="1" x14ac:dyDescent="0.2">
      <c r="A159" s="17">
        <v>158</v>
      </c>
      <c r="B159" s="16" t="s">
        <v>469</v>
      </c>
      <c r="C159" s="17" t="s">
        <v>174</v>
      </c>
      <c r="D159" s="17">
        <v>23.1</v>
      </c>
      <c r="E159" s="17"/>
      <c r="F159" s="16" t="s">
        <v>106</v>
      </c>
      <c r="G159" s="17" t="s">
        <v>473</v>
      </c>
      <c r="H159" s="17" t="s">
        <v>474</v>
      </c>
      <c r="I159" s="17" t="s">
        <v>51</v>
      </c>
      <c r="J159" s="17" t="s">
        <v>475</v>
      </c>
      <c r="K159" s="18">
        <v>46141</v>
      </c>
      <c r="L159" s="17" t="s">
        <v>24</v>
      </c>
      <c r="M159" s="7" t="s">
        <v>25</v>
      </c>
      <c r="N159" s="17"/>
    </row>
    <row r="160" spans="1:14" ht="63.75" x14ac:dyDescent="0.2">
      <c r="A160" s="17">
        <v>92</v>
      </c>
      <c r="B160" s="16" t="s">
        <v>342</v>
      </c>
      <c r="C160" s="17" t="s">
        <v>176</v>
      </c>
      <c r="D160" s="17">
        <v>19.3</v>
      </c>
      <c r="E160" s="17">
        <v>12.8</v>
      </c>
      <c r="F160" s="16" t="s">
        <v>343</v>
      </c>
      <c r="G160" s="17" t="s">
        <v>344</v>
      </c>
      <c r="H160" s="17" t="s">
        <v>345</v>
      </c>
      <c r="I160" s="17" t="s">
        <v>34</v>
      </c>
      <c r="J160" s="17" t="s">
        <v>346</v>
      </c>
      <c r="K160" s="18">
        <v>46155</v>
      </c>
      <c r="L160" s="17" t="s">
        <v>24</v>
      </c>
      <c r="M160" s="7" t="s">
        <v>25</v>
      </c>
      <c r="N160" s="17"/>
    </row>
    <row r="161" spans="1:14" ht="63.75" x14ac:dyDescent="0.2">
      <c r="A161" s="17">
        <v>93</v>
      </c>
      <c r="B161" s="16" t="s">
        <v>342</v>
      </c>
      <c r="C161" s="17" t="s">
        <v>179</v>
      </c>
      <c r="D161" s="17">
        <v>6.2</v>
      </c>
      <c r="E161" s="17"/>
      <c r="F161" s="16" t="s">
        <v>343</v>
      </c>
      <c r="G161" s="17" t="s">
        <v>344</v>
      </c>
      <c r="H161" s="17" t="s">
        <v>345</v>
      </c>
      <c r="I161" s="17" t="s">
        <v>34</v>
      </c>
      <c r="J161" s="17" t="s">
        <v>346</v>
      </c>
      <c r="K161" s="18">
        <v>46155</v>
      </c>
      <c r="L161" s="17" t="s">
        <v>24</v>
      </c>
      <c r="M161" s="7" t="s">
        <v>25</v>
      </c>
      <c r="N161" s="17"/>
    </row>
    <row r="162" spans="1:14" ht="63.75" x14ac:dyDescent="0.2">
      <c r="A162" s="17">
        <v>144</v>
      </c>
      <c r="B162" s="16" t="s">
        <v>446</v>
      </c>
      <c r="C162" s="17" t="s">
        <v>171</v>
      </c>
      <c r="D162" s="17">
        <v>17.100000000000001</v>
      </c>
      <c r="E162" s="17">
        <v>13.3</v>
      </c>
      <c r="F162" s="16" t="s">
        <v>343</v>
      </c>
      <c r="G162" s="17" t="s">
        <v>450</v>
      </c>
      <c r="H162" s="17" t="s">
        <v>451</v>
      </c>
      <c r="I162" s="17" t="s">
        <v>34</v>
      </c>
      <c r="J162" s="17" t="s">
        <v>452</v>
      </c>
      <c r="K162" s="18">
        <v>46150</v>
      </c>
      <c r="L162" s="17" t="s">
        <v>24</v>
      </c>
      <c r="M162" s="7" t="s">
        <v>25</v>
      </c>
      <c r="N162" s="17"/>
    </row>
    <row r="163" spans="1:14" ht="63.75" x14ac:dyDescent="0.2">
      <c r="A163" s="17">
        <v>96</v>
      </c>
      <c r="B163" s="16" t="s">
        <v>351</v>
      </c>
      <c r="C163" s="17" t="s">
        <v>176</v>
      </c>
      <c r="D163" s="17">
        <v>16.5</v>
      </c>
      <c r="E163" s="17">
        <v>9.6999999999999993</v>
      </c>
      <c r="F163" s="16" t="s">
        <v>343</v>
      </c>
      <c r="G163" s="17" t="s">
        <v>352</v>
      </c>
      <c r="H163" s="17" t="s">
        <v>353</v>
      </c>
      <c r="I163" s="17" t="s">
        <v>34</v>
      </c>
      <c r="J163" s="17">
        <v>46</v>
      </c>
      <c r="K163" s="18">
        <v>46148</v>
      </c>
      <c r="L163" s="17" t="s">
        <v>24</v>
      </c>
      <c r="M163" s="7" t="s">
        <v>25</v>
      </c>
      <c r="N163" s="17"/>
    </row>
    <row r="164" spans="1:14" ht="25.5" customHeight="1" x14ac:dyDescent="0.2">
      <c r="A164" s="17">
        <v>163</v>
      </c>
      <c r="B164" s="16" t="s">
        <v>479</v>
      </c>
      <c r="C164" s="17" t="s">
        <v>176</v>
      </c>
      <c r="D164" s="17">
        <v>17.3</v>
      </c>
      <c r="E164" s="17">
        <v>13.1</v>
      </c>
      <c r="F164" s="16" t="s">
        <v>31</v>
      </c>
      <c r="G164" s="17" t="s">
        <v>480</v>
      </c>
      <c r="H164" s="17" t="s">
        <v>481</v>
      </c>
      <c r="I164" s="17" t="s">
        <v>22</v>
      </c>
      <c r="J164" s="17" t="s">
        <v>482</v>
      </c>
      <c r="K164" s="18">
        <v>46133</v>
      </c>
      <c r="L164" s="17" t="s">
        <v>24</v>
      </c>
      <c r="M164" s="7" t="s">
        <v>25</v>
      </c>
      <c r="N164" s="17"/>
    </row>
    <row r="165" spans="1:14" ht="25.5" customHeight="1" x14ac:dyDescent="0.2">
      <c r="A165" s="17">
        <v>164</v>
      </c>
      <c r="B165" s="16" t="s">
        <v>479</v>
      </c>
      <c r="C165" s="17" t="s">
        <v>171</v>
      </c>
      <c r="D165" s="17">
        <v>17.8</v>
      </c>
      <c r="E165" s="17">
        <v>13.1</v>
      </c>
      <c r="F165" s="16" t="s">
        <v>106</v>
      </c>
      <c r="G165" s="17" t="s">
        <v>483</v>
      </c>
      <c r="H165" s="17" t="s">
        <v>484</v>
      </c>
      <c r="I165" s="17" t="s">
        <v>51</v>
      </c>
      <c r="J165" s="17" t="s">
        <v>485</v>
      </c>
      <c r="K165" s="18">
        <v>46141</v>
      </c>
      <c r="L165" s="17" t="s">
        <v>24</v>
      </c>
      <c r="M165" s="7" t="s">
        <v>25</v>
      </c>
      <c r="N165" s="17"/>
    </row>
    <row r="166" spans="1:14" x14ac:dyDescent="0.2">
      <c r="A166" s="14">
        <v>165</v>
      </c>
      <c r="B166" s="15" t="s">
        <v>486</v>
      </c>
      <c r="C166" s="14" t="s">
        <v>176</v>
      </c>
      <c r="D166" s="14">
        <v>16.600000000000001</v>
      </c>
      <c r="E166" s="14">
        <v>12.9</v>
      </c>
      <c r="F166" s="15" t="s">
        <v>19</v>
      </c>
      <c r="G166" s="14"/>
      <c r="H166" s="14"/>
      <c r="I166" s="14"/>
      <c r="J166" s="14"/>
      <c r="K166" s="14"/>
      <c r="L166" s="14"/>
      <c r="M166" s="14" t="s">
        <v>286</v>
      </c>
      <c r="N166" s="14"/>
    </row>
    <row r="167" spans="1:14" ht="63.75" customHeight="1" x14ac:dyDescent="0.2">
      <c r="A167" s="17">
        <v>166</v>
      </c>
      <c r="B167" s="16" t="s">
        <v>486</v>
      </c>
      <c r="C167" s="17" t="s">
        <v>171</v>
      </c>
      <c r="D167" s="17">
        <v>17.100000000000001</v>
      </c>
      <c r="E167" s="17">
        <v>13.1</v>
      </c>
      <c r="F167" s="16" t="s">
        <v>162</v>
      </c>
      <c r="G167" s="17" t="s">
        <v>487</v>
      </c>
      <c r="H167" s="17" t="s">
        <v>488</v>
      </c>
      <c r="I167" s="17" t="s">
        <v>34</v>
      </c>
      <c r="J167" s="17" t="s">
        <v>489</v>
      </c>
      <c r="K167" s="18">
        <v>46147</v>
      </c>
      <c r="L167" s="17" t="s">
        <v>24</v>
      </c>
      <c r="M167" s="7" t="s">
        <v>25</v>
      </c>
      <c r="N167" s="17"/>
    </row>
    <row r="168" spans="1:14" ht="25.5" customHeight="1" x14ac:dyDescent="0.2">
      <c r="A168" s="17">
        <v>167</v>
      </c>
      <c r="B168" s="16" t="s">
        <v>490</v>
      </c>
      <c r="C168" s="17" t="s">
        <v>176</v>
      </c>
      <c r="D168" s="17">
        <v>16.600000000000001</v>
      </c>
      <c r="E168" s="17">
        <v>12.6</v>
      </c>
      <c r="F168" s="16" t="s">
        <v>19</v>
      </c>
      <c r="G168" s="17" t="s">
        <v>491</v>
      </c>
      <c r="H168" s="17" t="s">
        <v>492</v>
      </c>
      <c r="I168" s="17" t="s">
        <v>51</v>
      </c>
      <c r="J168" s="17" t="s">
        <v>493</v>
      </c>
      <c r="K168" s="18">
        <v>46137</v>
      </c>
      <c r="L168" s="17" t="s">
        <v>24</v>
      </c>
      <c r="M168" s="7" t="s">
        <v>25</v>
      </c>
      <c r="N168" s="17"/>
    </row>
    <row r="169" spans="1:14" ht="25.5" customHeight="1" x14ac:dyDescent="0.2">
      <c r="A169" s="17">
        <v>168</v>
      </c>
      <c r="B169" s="16" t="s">
        <v>490</v>
      </c>
      <c r="C169" s="17" t="s">
        <v>171</v>
      </c>
      <c r="D169" s="17">
        <v>16.100000000000001</v>
      </c>
      <c r="E169" s="17">
        <v>12.6</v>
      </c>
      <c r="F169" s="16" t="s">
        <v>48</v>
      </c>
      <c r="G169" s="17" t="s">
        <v>494</v>
      </c>
      <c r="H169" s="17" t="s">
        <v>495</v>
      </c>
      <c r="I169" s="17" t="s">
        <v>312</v>
      </c>
      <c r="J169" s="17" t="s">
        <v>496</v>
      </c>
      <c r="K169" s="18">
        <v>46144</v>
      </c>
      <c r="L169" s="17" t="s">
        <v>82</v>
      </c>
      <c r="M169" s="7" t="s">
        <v>25</v>
      </c>
      <c r="N169" s="17"/>
    </row>
    <row r="170" spans="1:14" ht="25.5" customHeight="1" x14ac:dyDescent="0.2">
      <c r="A170" s="17">
        <v>169</v>
      </c>
      <c r="B170" s="16" t="s">
        <v>497</v>
      </c>
      <c r="C170" s="17" t="s">
        <v>176</v>
      </c>
      <c r="D170" s="17">
        <v>16.399999999999999</v>
      </c>
      <c r="E170" s="17">
        <v>13</v>
      </c>
      <c r="F170" s="16" t="s">
        <v>19</v>
      </c>
      <c r="G170" s="17" t="s">
        <v>498</v>
      </c>
      <c r="H170" s="17" t="s">
        <v>499</v>
      </c>
      <c r="I170" s="17" t="s">
        <v>2304</v>
      </c>
      <c r="J170" s="17" t="s">
        <v>500</v>
      </c>
      <c r="K170" s="18">
        <v>46137</v>
      </c>
      <c r="L170" s="17" t="s">
        <v>24</v>
      </c>
      <c r="M170" s="7" t="s">
        <v>25</v>
      </c>
      <c r="N170" s="17"/>
    </row>
    <row r="171" spans="1:14" ht="25.5" customHeight="1" x14ac:dyDescent="0.2">
      <c r="A171" s="17">
        <v>170</v>
      </c>
      <c r="B171" s="16" t="s">
        <v>497</v>
      </c>
      <c r="C171" s="17" t="s">
        <v>179</v>
      </c>
      <c r="D171" s="17">
        <v>8.1999999999999993</v>
      </c>
      <c r="E171" s="17"/>
      <c r="F171" s="16" t="s">
        <v>19</v>
      </c>
      <c r="G171" s="17" t="s">
        <v>498</v>
      </c>
      <c r="H171" s="17" t="s">
        <v>499</v>
      </c>
      <c r="I171" s="17" t="s">
        <v>2304</v>
      </c>
      <c r="J171" s="17" t="s">
        <v>500</v>
      </c>
      <c r="K171" s="18">
        <v>46137</v>
      </c>
      <c r="L171" s="17" t="s">
        <v>24</v>
      </c>
      <c r="M171" s="7" t="s">
        <v>25</v>
      </c>
      <c r="N171" s="17"/>
    </row>
    <row r="172" spans="1:14" ht="25.5" customHeight="1" x14ac:dyDescent="0.2">
      <c r="A172" s="17">
        <v>171</v>
      </c>
      <c r="B172" s="16" t="s">
        <v>497</v>
      </c>
      <c r="C172" s="17" t="s">
        <v>171</v>
      </c>
      <c r="D172" s="17">
        <v>17</v>
      </c>
      <c r="E172" s="17">
        <v>13</v>
      </c>
      <c r="F172" s="16" t="s">
        <v>162</v>
      </c>
      <c r="G172" s="17" t="s">
        <v>501</v>
      </c>
      <c r="H172" s="17" t="s">
        <v>502</v>
      </c>
      <c r="I172" s="17" t="s">
        <v>312</v>
      </c>
      <c r="J172" s="17" t="s">
        <v>503</v>
      </c>
      <c r="K172" s="18">
        <v>46147</v>
      </c>
      <c r="L172" s="17" t="s">
        <v>24</v>
      </c>
      <c r="M172" s="7" t="s">
        <v>25</v>
      </c>
      <c r="N172" s="17"/>
    </row>
    <row r="173" spans="1:14" ht="25.5" customHeight="1" x14ac:dyDescent="0.2">
      <c r="A173" s="17">
        <v>172</v>
      </c>
      <c r="B173" s="16" t="s">
        <v>497</v>
      </c>
      <c r="C173" s="17" t="s">
        <v>174</v>
      </c>
      <c r="D173" s="17">
        <v>8</v>
      </c>
      <c r="E173" s="17"/>
      <c r="F173" s="16" t="s">
        <v>162</v>
      </c>
      <c r="G173" s="17" t="s">
        <v>501</v>
      </c>
      <c r="H173" s="17" t="s">
        <v>502</v>
      </c>
      <c r="I173" s="17" t="s">
        <v>312</v>
      </c>
      <c r="J173" s="17" t="s">
        <v>503</v>
      </c>
      <c r="K173" s="18">
        <v>46147</v>
      </c>
      <c r="L173" s="17" t="s">
        <v>24</v>
      </c>
      <c r="M173" s="7" t="s">
        <v>25</v>
      </c>
      <c r="N173" s="17"/>
    </row>
    <row r="174" spans="1:14" ht="63.75" customHeight="1" x14ac:dyDescent="0.2">
      <c r="A174" s="17">
        <v>173</v>
      </c>
      <c r="B174" s="16" t="s">
        <v>504</v>
      </c>
      <c r="C174" s="17" t="s">
        <v>171</v>
      </c>
      <c r="D174" s="17">
        <v>17.100000000000001</v>
      </c>
      <c r="E174" s="17">
        <v>12.7</v>
      </c>
      <c r="F174" s="16" t="s">
        <v>31</v>
      </c>
      <c r="G174" s="17" t="s">
        <v>505</v>
      </c>
      <c r="H174" s="17" t="s">
        <v>506</v>
      </c>
      <c r="I174" s="17" t="s">
        <v>34</v>
      </c>
      <c r="J174" s="17" t="s">
        <v>507</v>
      </c>
      <c r="K174" s="18">
        <v>46154</v>
      </c>
      <c r="L174" s="17" t="s">
        <v>82</v>
      </c>
      <c r="M174" s="7" t="s">
        <v>25</v>
      </c>
      <c r="N174" s="17"/>
    </row>
    <row r="175" spans="1:14" ht="63.75" customHeight="1" x14ac:dyDescent="0.2">
      <c r="A175" s="17">
        <v>174</v>
      </c>
      <c r="B175" s="16" t="s">
        <v>504</v>
      </c>
      <c r="C175" s="17" t="s">
        <v>174</v>
      </c>
      <c r="D175" s="17">
        <v>9</v>
      </c>
      <c r="E175" s="17"/>
      <c r="F175" s="16" t="s">
        <v>31</v>
      </c>
      <c r="G175" s="17" t="s">
        <v>505</v>
      </c>
      <c r="H175" s="17" t="s">
        <v>506</v>
      </c>
      <c r="I175" s="17" t="s">
        <v>34</v>
      </c>
      <c r="J175" s="17" t="s">
        <v>507</v>
      </c>
      <c r="K175" s="18">
        <v>46154</v>
      </c>
      <c r="L175" s="17" t="s">
        <v>82</v>
      </c>
      <c r="M175" s="7" t="s">
        <v>25</v>
      </c>
      <c r="N175" s="17"/>
    </row>
    <row r="176" spans="1:14" ht="63.75" customHeight="1" x14ac:dyDescent="0.2">
      <c r="A176" s="17">
        <v>175</v>
      </c>
      <c r="B176" s="16" t="s">
        <v>508</v>
      </c>
      <c r="C176" s="17" t="s">
        <v>176</v>
      </c>
      <c r="D176" s="17">
        <v>17.100000000000001</v>
      </c>
      <c r="E176" s="17">
        <v>12.9</v>
      </c>
      <c r="F176" s="16" t="s">
        <v>121</v>
      </c>
      <c r="G176" s="17" t="s">
        <v>509</v>
      </c>
      <c r="H176" s="17" t="s">
        <v>510</v>
      </c>
      <c r="I176" s="17" t="s">
        <v>34</v>
      </c>
      <c r="J176" s="17" t="s">
        <v>511</v>
      </c>
      <c r="K176" s="18">
        <v>46149</v>
      </c>
      <c r="L176" s="17" t="s">
        <v>24</v>
      </c>
      <c r="M176" s="7" t="s">
        <v>25</v>
      </c>
      <c r="N176" s="17"/>
    </row>
    <row r="177" spans="1:14" x14ac:dyDescent="0.2">
      <c r="A177" s="14">
        <v>176</v>
      </c>
      <c r="B177" s="15" t="s">
        <v>508</v>
      </c>
      <c r="C177" s="14" t="s">
        <v>171</v>
      </c>
      <c r="D177" s="14">
        <v>16.600000000000001</v>
      </c>
      <c r="E177" s="14">
        <v>13.1</v>
      </c>
      <c r="F177" s="15" t="s">
        <v>121</v>
      </c>
      <c r="G177" s="14"/>
      <c r="H177" s="14"/>
      <c r="I177" s="14"/>
      <c r="J177" s="14"/>
      <c r="K177" s="14"/>
      <c r="L177" s="14"/>
      <c r="M177" s="14" t="s">
        <v>286</v>
      </c>
      <c r="N177" s="14"/>
    </row>
    <row r="178" spans="1:14" ht="51" customHeight="1" x14ac:dyDescent="0.2">
      <c r="A178" s="17">
        <v>177</v>
      </c>
      <c r="B178" s="16" t="s">
        <v>512</v>
      </c>
      <c r="C178" s="17" t="s">
        <v>176</v>
      </c>
      <c r="D178" s="17">
        <v>17.100000000000001</v>
      </c>
      <c r="E178" s="17">
        <v>12.4</v>
      </c>
      <c r="F178" s="16" t="s">
        <v>101</v>
      </c>
      <c r="G178" s="17" t="s">
        <v>513</v>
      </c>
      <c r="H178" s="17" t="s">
        <v>514</v>
      </c>
      <c r="I178" s="17" t="s">
        <v>34</v>
      </c>
      <c r="J178" s="17">
        <v>80</v>
      </c>
      <c r="K178" s="18">
        <v>46134</v>
      </c>
      <c r="L178" s="17" t="s">
        <v>24</v>
      </c>
      <c r="M178" s="7" t="s">
        <v>25</v>
      </c>
      <c r="N178" s="17"/>
    </row>
    <row r="179" spans="1:14" ht="51" customHeight="1" x14ac:dyDescent="0.2">
      <c r="A179" s="17">
        <v>178</v>
      </c>
      <c r="B179" s="16" t="s">
        <v>512</v>
      </c>
      <c r="C179" s="17" t="s">
        <v>179</v>
      </c>
      <c r="D179" s="17">
        <v>25.4</v>
      </c>
      <c r="E179" s="17"/>
      <c r="F179" s="16" t="s">
        <v>101</v>
      </c>
      <c r="G179" s="17" t="s">
        <v>513</v>
      </c>
      <c r="H179" s="17" t="s">
        <v>514</v>
      </c>
      <c r="I179" s="17" t="s">
        <v>34</v>
      </c>
      <c r="J179" s="17">
        <v>80</v>
      </c>
      <c r="K179" s="18">
        <v>46134</v>
      </c>
      <c r="L179" s="17" t="s">
        <v>24</v>
      </c>
      <c r="M179" s="7" t="s">
        <v>25</v>
      </c>
      <c r="N179" s="17"/>
    </row>
    <row r="180" spans="1:14" ht="63.75" customHeight="1" x14ac:dyDescent="0.2">
      <c r="A180" s="17">
        <v>179</v>
      </c>
      <c r="B180" s="16" t="s">
        <v>515</v>
      </c>
      <c r="C180" s="17" t="s">
        <v>176</v>
      </c>
      <c r="D180" s="17">
        <v>18.8</v>
      </c>
      <c r="E180" s="17">
        <v>13.2</v>
      </c>
      <c r="F180" s="16" t="s">
        <v>19</v>
      </c>
      <c r="G180" s="17" t="s">
        <v>516</v>
      </c>
      <c r="H180" s="17" t="s">
        <v>517</v>
      </c>
      <c r="I180" s="17" t="s">
        <v>34</v>
      </c>
      <c r="J180" s="17" t="s">
        <v>518</v>
      </c>
      <c r="K180" s="18">
        <v>46137</v>
      </c>
      <c r="L180" s="17" t="s">
        <v>82</v>
      </c>
      <c r="M180" s="7" t="s">
        <v>25</v>
      </c>
      <c r="N180" s="17"/>
    </row>
    <row r="181" spans="1:14" ht="63.75" customHeight="1" x14ac:dyDescent="0.2">
      <c r="A181" s="17">
        <v>180</v>
      </c>
      <c r="B181" s="16" t="s">
        <v>515</v>
      </c>
      <c r="C181" s="17" t="s">
        <v>179</v>
      </c>
      <c r="D181" s="17">
        <v>21.5</v>
      </c>
      <c r="E181" s="17"/>
      <c r="F181" s="16" t="s">
        <v>19</v>
      </c>
      <c r="G181" s="17" t="s">
        <v>516</v>
      </c>
      <c r="H181" s="17" t="s">
        <v>517</v>
      </c>
      <c r="I181" s="17" t="s">
        <v>34</v>
      </c>
      <c r="J181" s="17" t="s">
        <v>518</v>
      </c>
      <c r="K181" s="18">
        <v>46137</v>
      </c>
      <c r="L181" s="17" t="s">
        <v>24</v>
      </c>
      <c r="M181" s="7" t="s">
        <v>25</v>
      </c>
      <c r="N181" s="17"/>
    </row>
    <row r="182" spans="1:14" ht="63.75" customHeight="1" x14ac:dyDescent="0.2">
      <c r="A182" s="17">
        <v>181</v>
      </c>
      <c r="B182" s="16" t="s">
        <v>519</v>
      </c>
      <c r="C182" s="17" t="s">
        <v>176</v>
      </c>
      <c r="D182" s="17">
        <v>16.100000000000001</v>
      </c>
      <c r="E182" s="17">
        <v>14.1</v>
      </c>
      <c r="F182" s="16" t="s">
        <v>62</v>
      </c>
      <c r="G182" s="17" t="s">
        <v>520</v>
      </c>
      <c r="H182" s="17" t="s">
        <v>521</v>
      </c>
      <c r="I182" s="17" t="s">
        <v>34</v>
      </c>
      <c r="J182" s="17">
        <v>83</v>
      </c>
      <c r="K182" s="18">
        <v>46157</v>
      </c>
      <c r="L182" s="17" t="s">
        <v>24</v>
      </c>
      <c r="M182" s="7" t="s">
        <v>25</v>
      </c>
      <c r="N182" s="17"/>
    </row>
    <row r="183" spans="1:14" ht="63.75" customHeight="1" x14ac:dyDescent="0.2">
      <c r="A183" s="17">
        <v>182</v>
      </c>
      <c r="B183" s="16" t="s">
        <v>519</v>
      </c>
      <c r="C183" s="17" t="s">
        <v>179</v>
      </c>
      <c r="D183" s="17">
        <v>19.7</v>
      </c>
      <c r="E183" s="17"/>
      <c r="F183" s="16" t="s">
        <v>62</v>
      </c>
      <c r="G183" s="17" t="s">
        <v>520</v>
      </c>
      <c r="H183" s="17" t="s">
        <v>521</v>
      </c>
      <c r="I183" s="17" t="s">
        <v>34</v>
      </c>
      <c r="J183" s="17">
        <v>83</v>
      </c>
      <c r="K183" s="18">
        <v>46157</v>
      </c>
      <c r="L183" s="17" t="s">
        <v>24</v>
      </c>
      <c r="M183" s="7" t="s">
        <v>25</v>
      </c>
      <c r="N183" s="17"/>
    </row>
    <row r="184" spans="1:14" ht="51" customHeight="1" x14ac:dyDescent="0.2">
      <c r="A184" s="17">
        <v>183</v>
      </c>
      <c r="B184" s="16" t="s">
        <v>522</v>
      </c>
      <c r="C184" s="17" t="s">
        <v>176</v>
      </c>
      <c r="D184" s="17">
        <v>15.1</v>
      </c>
      <c r="E184" s="17">
        <v>11.7</v>
      </c>
      <c r="F184" s="16" t="s">
        <v>19</v>
      </c>
      <c r="G184" s="17" t="s">
        <v>523</v>
      </c>
      <c r="H184" s="17" t="s">
        <v>524</v>
      </c>
      <c r="I184" s="17" t="s">
        <v>34</v>
      </c>
      <c r="J184" s="17" t="s">
        <v>525</v>
      </c>
      <c r="K184" s="18">
        <v>46142</v>
      </c>
      <c r="L184" s="17" t="s">
        <v>24</v>
      </c>
      <c r="M184" s="7" t="s">
        <v>25</v>
      </c>
      <c r="N184" s="17"/>
    </row>
    <row r="185" spans="1:14" ht="51" customHeight="1" x14ac:dyDescent="0.2">
      <c r="A185" s="17">
        <v>184</v>
      </c>
      <c r="B185" s="16" t="s">
        <v>522</v>
      </c>
      <c r="C185" s="17" t="s">
        <v>179</v>
      </c>
      <c r="D185" s="17">
        <v>11.9</v>
      </c>
      <c r="E185" s="17"/>
      <c r="F185" s="16" t="s">
        <v>19</v>
      </c>
      <c r="G185" s="17" t="s">
        <v>523</v>
      </c>
      <c r="H185" s="17" t="s">
        <v>524</v>
      </c>
      <c r="I185" s="17" t="s">
        <v>34</v>
      </c>
      <c r="J185" s="17" t="s">
        <v>525</v>
      </c>
      <c r="K185" s="18">
        <v>46142</v>
      </c>
      <c r="L185" s="17" t="s">
        <v>24</v>
      </c>
      <c r="M185" s="7" t="s">
        <v>25</v>
      </c>
      <c r="N185" s="17"/>
    </row>
    <row r="186" spans="1:14" ht="63.75" customHeight="1" x14ac:dyDescent="0.2">
      <c r="A186" s="17">
        <v>185</v>
      </c>
      <c r="B186" s="16" t="s">
        <v>526</v>
      </c>
      <c r="C186" s="17" t="s">
        <v>176</v>
      </c>
      <c r="D186" s="17">
        <v>15.2</v>
      </c>
      <c r="E186" s="17">
        <v>12.3</v>
      </c>
      <c r="F186" s="16" t="s">
        <v>31</v>
      </c>
      <c r="G186" s="17" t="s">
        <v>527</v>
      </c>
      <c r="H186" s="17" t="s">
        <v>528</v>
      </c>
      <c r="I186" s="17" t="s">
        <v>34</v>
      </c>
      <c r="J186" s="17">
        <v>87</v>
      </c>
      <c r="K186" s="18">
        <v>46154</v>
      </c>
      <c r="L186" s="17" t="s">
        <v>24</v>
      </c>
      <c r="M186" s="7" t="s">
        <v>25</v>
      </c>
      <c r="N186" s="17"/>
    </row>
    <row r="187" spans="1:14" x14ac:dyDescent="0.2">
      <c r="A187" s="14">
        <v>186</v>
      </c>
      <c r="B187" s="15" t="s">
        <v>529</v>
      </c>
      <c r="C187" s="14" t="s">
        <v>176</v>
      </c>
      <c r="D187" s="14">
        <v>15</v>
      </c>
      <c r="E187" s="14">
        <v>12.7</v>
      </c>
      <c r="F187" s="15" t="s">
        <v>62</v>
      </c>
      <c r="G187" s="14"/>
      <c r="H187" s="14"/>
      <c r="I187" s="14"/>
      <c r="J187" s="14"/>
      <c r="K187" s="14"/>
      <c r="L187" s="14"/>
      <c r="M187" s="14" t="s">
        <v>286</v>
      </c>
      <c r="N187" s="14"/>
    </row>
    <row r="188" spans="1:14" x14ac:dyDescent="0.2">
      <c r="A188" s="14">
        <v>187</v>
      </c>
      <c r="B188" s="15" t="s">
        <v>529</v>
      </c>
      <c r="C188" s="14" t="s">
        <v>179</v>
      </c>
      <c r="D188" s="14">
        <v>12.1</v>
      </c>
      <c r="E188" s="14"/>
      <c r="F188" s="15" t="s">
        <v>62</v>
      </c>
      <c r="G188" s="14"/>
      <c r="H188" s="14"/>
      <c r="I188" s="14"/>
      <c r="J188" s="14"/>
      <c r="K188" s="14"/>
      <c r="L188" s="14"/>
      <c r="M188" s="14" t="s">
        <v>286</v>
      </c>
      <c r="N188" s="14"/>
    </row>
    <row r="189" spans="1:14" ht="102" customHeight="1" x14ac:dyDescent="0.2">
      <c r="A189" s="17">
        <v>188</v>
      </c>
      <c r="B189" s="16" t="s">
        <v>530</v>
      </c>
      <c r="C189" s="17" t="s">
        <v>176</v>
      </c>
      <c r="D189" s="17">
        <v>15.6</v>
      </c>
      <c r="E189" s="17">
        <v>11.7</v>
      </c>
      <c r="F189" s="16" t="s">
        <v>19</v>
      </c>
      <c r="G189" s="17" t="s">
        <v>531</v>
      </c>
      <c r="H189" s="17" t="s">
        <v>532</v>
      </c>
      <c r="I189" s="17" t="s">
        <v>34</v>
      </c>
      <c r="J189" s="17">
        <v>90</v>
      </c>
      <c r="K189" s="18">
        <v>46149</v>
      </c>
      <c r="L189" s="17" t="s">
        <v>24</v>
      </c>
      <c r="M189" s="7" t="s">
        <v>25</v>
      </c>
      <c r="N189" s="17"/>
    </row>
    <row r="190" spans="1:14" ht="63.75" customHeight="1" x14ac:dyDescent="0.2">
      <c r="A190" s="17">
        <v>189</v>
      </c>
      <c r="B190" s="16" t="s">
        <v>533</v>
      </c>
      <c r="C190" s="17" t="s">
        <v>176</v>
      </c>
      <c r="D190" s="17">
        <v>20.3</v>
      </c>
      <c r="E190" s="17">
        <v>12.9</v>
      </c>
      <c r="F190" s="16" t="s">
        <v>121</v>
      </c>
      <c r="G190" s="17" t="s">
        <v>534</v>
      </c>
      <c r="H190" s="17" t="s">
        <v>535</v>
      </c>
      <c r="I190" s="17" t="s">
        <v>34</v>
      </c>
      <c r="J190" s="17" t="s">
        <v>536</v>
      </c>
      <c r="K190" s="18">
        <v>46149</v>
      </c>
      <c r="L190" s="17" t="s">
        <v>24</v>
      </c>
      <c r="M190" s="7" t="s">
        <v>25</v>
      </c>
      <c r="N190" s="17"/>
    </row>
    <row r="191" spans="1:14" ht="63.75" customHeight="1" x14ac:dyDescent="0.2">
      <c r="A191" s="17">
        <v>190</v>
      </c>
      <c r="B191" s="16" t="s">
        <v>533</v>
      </c>
      <c r="C191" s="17" t="s">
        <v>179</v>
      </c>
      <c r="D191" s="17">
        <v>8.1</v>
      </c>
      <c r="E191" s="17"/>
      <c r="F191" s="16" t="s">
        <v>121</v>
      </c>
      <c r="G191" s="17" t="s">
        <v>534</v>
      </c>
      <c r="H191" s="17" t="s">
        <v>535</v>
      </c>
      <c r="I191" s="17" t="s">
        <v>34</v>
      </c>
      <c r="J191" s="17" t="s">
        <v>536</v>
      </c>
      <c r="K191" s="18">
        <v>46149</v>
      </c>
      <c r="L191" s="17" t="s">
        <v>24</v>
      </c>
      <c r="M191" s="7" t="s">
        <v>25</v>
      </c>
      <c r="N191" s="17"/>
    </row>
    <row r="192" spans="1:14" ht="51" x14ac:dyDescent="0.2">
      <c r="A192" s="17">
        <v>191</v>
      </c>
      <c r="B192" s="16" t="s">
        <v>537</v>
      </c>
      <c r="C192" s="17" t="s">
        <v>171</v>
      </c>
      <c r="D192" s="17">
        <v>19</v>
      </c>
      <c r="E192" s="17">
        <v>12.8</v>
      </c>
      <c r="F192" s="16" t="s">
        <v>343</v>
      </c>
      <c r="G192" s="17" t="s">
        <v>538</v>
      </c>
      <c r="H192" s="17" t="s">
        <v>539</v>
      </c>
      <c r="I192" s="17" t="s">
        <v>34</v>
      </c>
      <c r="J192" s="17" t="s">
        <v>540</v>
      </c>
      <c r="K192" s="18">
        <v>46157</v>
      </c>
      <c r="L192" s="17" t="s">
        <v>82</v>
      </c>
      <c r="M192" s="7" t="s">
        <v>25</v>
      </c>
      <c r="N192" s="17"/>
    </row>
    <row r="193" spans="1:14" ht="51" x14ac:dyDescent="0.2">
      <c r="A193" s="17">
        <v>192</v>
      </c>
      <c r="B193" s="16" t="s">
        <v>537</v>
      </c>
      <c r="C193" s="17" t="s">
        <v>174</v>
      </c>
      <c r="D193" s="17">
        <v>9</v>
      </c>
      <c r="E193" s="17"/>
      <c r="F193" s="16" t="s">
        <v>343</v>
      </c>
      <c r="G193" s="17" t="s">
        <v>538</v>
      </c>
      <c r="H193" s="17" t="s">
        <v>539</v>
      </c>
      <c r="I193" s="17" t="s">
        <v>34</v>
      </c>
      <c r="J193" s="17" t="s">
        <v>540</v>
      </c>
      <c r="K193" s="18">
        <v>46157</v>
      </c>
      <c r="L193" s="17" t="s">
        <v>82</v>
      </c>
      <c r="M193" s="7" t="s">
        <v>25</v>
      </c>
      <c r="N193" s="17"/>
    </row>
    <row r="194" spans="1:14" ht="25.5" customHeight="1" x14ac:dyDescent="0.2">
      <c r="A194" s="17">
        <v>193</v>
      </c>
      <c r="B194" s="16" t="s">
        <v>541</v>
      </c>
      <c r="C194" s="17" t="s">
        <v>176</v>
      </c>
      <c r="D194" s="17">
        <v>15.5</v>
      </c>
      <c r="E194" s="17">
        <v>12.8</v>
      </c>
      <c r="F194" s="16" t="s">
        <v>48</v>
      </c>
      <c r="G194" s="17" t="s">
        <v>542</v>
      </c>
      <c r="H194" s="17" t="s">
        <v>543</v>
      </c>
      <c r="I194" s="17" t="s">
        <v>28</v>
      </c>
      <c r="J194" s="17" t="s">
        <v>544</v>
      </c>
      <c r="K194" s="18">
        <v>46144</v>
      </c>
      <c r="L194" s="17" t="s">
        <v>24</v>
      </c>
      <c r="M194" s="7" t="s">
        <v>25</v>
      </c>
      <c r="N194" s="17"/>
    </row>
    <row r="195" spans="1:14" ht="25.5" customHeight="1" x14ac:dyDescent="0.2">
      <c r="A195" s="17">
        <v>194</v>
      </c>
      <c r="B195" s="16" t="s">
        <v>541</v>
      </c>
      <c r="C195" s="17" t="s">
        <v>179</v>
      </c>
      <c r="D195" s="17">
        <v>23</v>
      </c>
      <c r="E195" s="17"/>
      <c r="F195" s="16" t="s">
        <v>48</v>
      </c>
      <c r="G195" s="17" t="s">
        <v>542</v>
      </c>
      <c r="H195" s="17" t="s">
        <v>543</v>
      </c>
      <c r="I195" s="17" t="s">
        <v>28</v>
      </c>
      <c r="J195" s="17" t="s">
        <v>544</v>
      </c>
      <c r="K195" s="18">
        <v>46144</v>
      </c>
      <c r="L195" s="17" t="s">
        <v>24</v>
      </c>
      <c r="M195" s="7" t="s">
        <v>25</v>
      </c>
      <c r="N195" s="17"/>
    </row>
    <row r="196" spans="1:14" ht="25.5" customHeight="1" x14ac:dyDescent="0.2">
      <c r="A196" s="17">
        <v>195</v>
      </c>
      <c r="B196" s="16" t="s">
        <v>545</v>
      </c>
      <c r="C196" s="17" t="s">
        <v>176</v>
      </c>
      <c r="D196" s="17">
        <v>16.899999999999999</v>
      </c>
      <c r="E196" s="17">
        <v>12.5</v>
      </c>
      <c r="F196" s="16" t="s">
        <v>338</v>
      </c>
      <c r="G196" s="17" t="s">
        <v>546</v>
      </c>
      <c r="H196" s="17" t="s">
        <v>547</v>
      </c>
      <c r="I196" s="17" t="s">
        <v>22</v>
      </c>
      <c r="J196" s="17">
        <v>97</v>
      </c>
      <c r="K196" s="18">
        <v>46155</v>
      </c>
      <c r="L196" s="17" t="s">
        <v>82</v>
      </c>
      <c r="M196" s="7" t="s">
        <v>25</v>
      </c>
      <c r="N196" s="17"/>
    </row>
    <row r="197" spans="1:14" ht="25.5" customHeight="1" x14ac:dyDescent="0.2">
      <c r="A197" s="17">
        <v>196</v>
      </c>
      <c r="B197" s="16" t="s">
        <v>545</v>
      </c>
      <c r="C197" s="17" t="s">
        <v>179</v>
      </c>
      <c r="D197" s="17">
        <v>22.7</v>
      </c>
      <c r="E197" s="17"/>
      <c r="F197" s="16" t="s">
        <v>338</v>
      </c>
      <c r="G197" s="17" t="s">
        <v>546</v>
      </c>
      <c r="H197" s="17" t="s">
        <v>547</v>
      </c>
      <c r="I197" s="17" t="s">
        <v>22</v>
      </c>
      <c r="J197" s="17">
        <v>97</v>
      </c>
      <c r="K197" s="18">
        <v>46155</v>
      </c>
      <c r="L197" s="17" t="s">
        <v>82</v>
      </c>
      <c r="M197" s="7" t="s">
        <v>25</v>
      </c>
      <c r="N197" s="17"/>
    </row>
    <row r="198" spans="1:14" ht="51" customHeight="1" x14ac:dyDescent="0.2">
      <c r="A198" s="17">
        <v>197</v>
      </c>
      <c r="B198" s="16" t="s">
        <v>548</v>
      </c>
      <c r="C198" s="17" t="s">
        <v>176</v>
      </c>
      <c r="D198" s="17">
        <v>21.2</v>
      </c>
      <c r="E198" s="17">
        <v>11.9</v>
      </c>
      <c r="F198" s="16" t="s">
        <v>73</v>
      </c>
      <c r="G198" s="17" t="s">
        <v>4866</v>
      </c>
      <c r="H198" s="17" t="s">
        <v>549</v>
      </c>
      <c r="I198" s="17" t="s">
        <v>34</v>
      </c>
      <c r="J198" s="17">
        <v>102</v>
      </c>
      <c r="K198" s="18">
        <v>46155</v>
      </c>
      <c r="L198" s="17" t="s">
        <v>82</v>
      </c>
      <c r="M198" s="7" t="s">
        <v>25</v>
      </c>
      <c r="N198" s="17"/>
    </row>
    <row r="199" spans="1:14" ht="63.75" customHeight="1" x14ac:dyDescent="0.2">
      <c r="A199" s="17">
        <v>198</v>
      </c>
      <c r="B199" s="16" t="s">
        <v>550</v>
      </c>
      <c r="C199" s="17" t="s">
        <v>176</v>
      </c>
      <c r="D199" s="17">
        <v>17.8</v>
      </c>
      <c r="E199" s="17">
        <v>12.6</v>
      </c>
      <c r="F199" s="16" t="s">
        <v>126</v>
      </c>
      <c r="G199" s="17" t="s">
        <v>551</v>
      </c>
      <c r="H199" s="17" t="s">
        <v>4870</v>
      </c>
      <c r="I199" s="17" t="s">
        <v>34</v>
      </c>
      <c r="J199" s="17" t="s">
        <v>552</v>
      </c>
      <c r="K199" s="18">
        <v>46155</v>
      </c>
      <c r="L199" s="17" t="s">
        <v>24</v>
      </c>
      <c r="M199" s="7" t="s">
        <v>25</v>
      </c>
      <c r="N199" s="17"/>
    </row>
    <row r="200" spans="1:14" ht="63.75" customHeight="1" x14ac:dyDescent="0.2">
      <c r="A200" s="17">
        <v>199</v>
      </c>
      <c r="B200" s="16" t="s">
        <v>550</v>
      </c>
      <c r="C200" s="17" t="s">
        <v>179</v>
      </c>
      <c r="D200" s="17">
        <v>10.3</v>
      </c>
      <c r="E200" s="17"/>
      <c r="F200" s="16" t="s">
        <v>126</v>
      </c>
      <c r="G200" s="17" t="s">
        <v>551</v>
      </c>
      <c r="H200" s="17" t="s">
        <v>4870</v>
      </c>
      <c r="I200" s="17" t="s">
        <v>34</v>
      </c>
      <c r="J200" s="17" t="s">
        <v>552</v>
      </c>
      <c r="K200" s="18">
        <v>46155</v>
      </c>
      <c r="L200" s="17" t="s">
        <v>24</v>
      </c>
      <c r="M200" s="7" t="s">
        <v>25</v>
      </c>
      <c r="N200" s="17"/>
    </row>
    <row r="201" spans="1:14" ht="25.5" customHeight="1" x14ac:dyDescent="0.2">
      <c r="A201" s="17">
        <v>200</v>
      </c>
      <c r="B201" s="16" t="s">
        <v>550</v>
      </c>
      <c r="C201" s="17" t="s">
        <v>171</v>
      </c>
      <c r="D201" s="17">
        <v>18.100000000000001</v>
      </c>
      <c r="E201" s="17">
        <v>13</v>
      </c>
      <c r="F201" s="16" t="s">
        <v>54</v>
      </c>
      <c r="G201" s="17" t="s">
        <v>553</v>
      </c>
      <c r="H201" s="17" t="s">
        <v>554</v>
      </c>
      <c r="I201" s="17" t="s">
        <v>312</v>
      </c>
      <c r="J201" s="17" t="s">
        <v>555</v>
      </c>
      <c r="K201" s="18">
        <v>46155</v>
      </c>
      <c r="L201" s="17" t="s">
        <v>82</v>
      </c>
      <c r="M201" s="7" t="s">
        <v>25</v>
      </c>
      <c r="N201" s="17"/>
    </row>
    <row r="202" spans="1:14" ht="25.5" customHeight="1" x14ac:dyDescent="0.2">
      <c r="A202" s="17">
        <v>201</v>
      </c>
      <c r="B202" s="16" t="s">
        <v>550</v>
      </c>
      <c r="C202" s="17" t="s">
        <v>174</v>
      </c>
      <c r="D202" s="17">
        <v>9.8000000000000007</v>
      </c>
      <c r="E202" s="17"/>
      <c r="F202" s="16" t="s">
        <v>54</v>
      </c>
      <c r="G202" s="17" t="s">
        <v>553</v>
      </c>
      <c r="H202" s="17" t="s">
        <v>554</v>
      </c>
      <c r="I202" s="17" t="s">
        <v>312</v>
      </c>
      <c r="J202" s="17" t="s">
        <v>555</v>
      </c>
      <c r="K202" s="18">
        <v>46155</v>
      </c>
      <c r="L202" s="17" t="s">
        <v>82</v>
      </c>
      <c r="M202" s="7" t="s">
        <v>25</v>
      </c>
      <c r="N202" s="17"/>
    </row>
    <row r="203" spans="1:14" ht="51" customHeight="1" x14ac:dyDescent="0.2">
      <c r="A203" s="17">
        <v>202</v>
      </c>
      <c r="B203" s="16" t="s">
        <v>556</v>
      </c>
      <c r="C203" s="17" t="s">
        <v>176</v>
      </c>
      <c r="D203" s="17">
        <v>17.399999999999999</v>
      </c>
      <c r="E203" s="17">
        <v>13</v>
      </c>
      <c r="F203" s="16" t="s">
        <v>162</v>
      </c>
      <c r="G203" s="17" t="s">
        <v>557</v>
      </c>
      <c r="H203" s="17" t="s">
        <v>558</v>
      </c>
      <c r="I203" s="17" t="s">
        <v>34</v>
      </c>
      <c r="J203" s="17" t="s">
        <v>559</v>
      </c>
      <c r="K203" s="18">
        <v>46150</v>
      </c>
      <c r="L203" s="17" t="s">
        <v>82</v>
      </c>
      <c r="M203" s="7" t="s">
        <v>25</v>
      </c>
      <c r="N203" s="17"/>
    </row>
    <row r="204" spans="1:14" ht="51" customHeight="1" x14ac:dyDescent="0.2">
      <c r="A204" s="17">
        <v>203</v>
      </c>
      <c r="B204" s="16" t="s">
        <v>556</v>
      </c>
      <c r="C204" s="17" t="s">
        <v>179</v>
      </c>
      <c r="D204" s="17">
        <v>9.6999999999999993</v>
      </c>
      <c r="E204" s="17"/>
      <c r="F204" s="16" t="s">
        <v>162</v>
      </c>
      <c r="G204" s="17" t="s">
        <v>557</v>
      </c>
      <c r="H204" s="17" t="s">
        <v>558</v>
      </c>
      <c r="I204" s="17" t="s">
        <v>34</v>
      </c>
      <c r="J204" s="17" t="s">
        <v>559</v>
      </c>
      <c r="K204" s="18">
        <v>46150</v>
      </c>
      <c r="L204" s="17" t="s">
        <v>82</v>
      </c>
      <c r="M204" s="7" t="s">
        <v>25</v>
      </c>
      <c r="N204" s="17"/>
    </row>
    <row r="205" spans="1:14" x14ac:dyDescent="0.2">
      <c r="A205" s="14">
        <v>204</v>
      </c>
      <c r="B205" s="15" t="s">
        <v>556</v>
      </c>
      <c r="C205" s="14" t="s">
        <v>171</v>
      </c>
      <c r="D205" s="14">
        <v>19.8</v>
      </c>
      <c r="E205" s="14">
        <v>13</v>
      </c>
      <c r="F205" s="15" t="s">
        <v>62</v>
      </c>
      <c r="G205" s="14"/>
      <c r="H205" s="14"/>
      <c r="I205" s="14"/>
      <c r="J205" s="14"/>
      <c r="K205" s="14"/>
      <c r="L205" s="14"/>
      <c r="M205" s="14" t="s">
        <v>286</v>
      </c>
      <c r="N205" s="14"/>
    </row>
    <row r="206" spans="1:14" x14ac:dyDescent="0.2">
      <c r="A206" s="14">
        <v>205</v>
      </c>
      <c r="B206" s="15" t="s">
        <v>556</v>
      </c>
      <c r="C206" s="14" t="s">
        <v>174</v>
      </c>
      <c r="D206" s="14">
        <v>8.6</v>
      </c>
      <c r="E206" s="14"/>
      <c r="F206" s="15" t="s">
        <v>62</v>
      </c>
      <c r="G206" s="14"/>
      <c r="H206" s="14"/>
      <c r="I206" s="14"/>
      <c r="J206" s="14"/>
      <c r="K206" s="14"/>
      <c r="L206" s="14"/>
      <c r="M206" s="14" t="s">
        <v>286</v>
      </c>
      <c r="N206" s="14"/>
    </row>
    <row r="207" spans="1:14" ht="25.5" customHeight="1" x14ac:dyDescent="0.2">
      <c r="A207" s="17">
        <v>206</v>
      </c>
      <c r="B207" s="16" t="s">
        <v>560</v>
      </c>
      <c r="C207" s="17" t="s">
        <v>176</v>
      </c>
      <c r="D207" s="17">
        <v>18.2</v>
      </c>
      <c r="E207" s="17">
        <v>13</v>
      </c>
      <c r="F207" s="16" t="s">
        <v>19</v>
      </c>
      <c r="G207" s="17" t="s">
        <v>561</v>
      </c>
      <c r="H207" s="17" t="s">
        <v>562</v>
      </c>
      <c r="I207" s="17" t="s">
        <v>28</v>
      </c>
      <c r="J207" s="17" t="s">
        <v>563</v>
      </c>
      <c r="K207" s="18">
        <v>46137</v>
      </c>
      <c r="L207" s="17" t="s">
        <v>24</v>
      </c>
      <c r="M207" s="7" t="s">
        <v>25</v>
      </c>
      <c r="N207" s="17"/>
    </row>
    <row r="208" spans="1:14" ht="25.5" customHeight="1" x14ac:dyDescent="0.2">
      <c r="A208" s="17">
        <v>207</v>
      </c>
      <c r="B208" s="16" t="s">
        <v>560</v>
      </c>
      <c r="C208" s="17" t="s">
        <v>179</v>
      </c>
      <c r="D208" s="17">
        <v>9.3000000000000007</v>
      </c>
      <c r="E208" s="17"/>
      <c r="F208" s="16" t="s">
        <v>19</v>
      </c>
      <c r="G208" s="17" t="s">
        <v>561</v>
      </c>
      <c r="H208" s="17" t="s">
        <v>562</v>
      </c>
      <c r="I208" s="17" t="s">
        <v>28</v>
      </c>
      <c r="J208" s="17" t="s">
        <v>563</v>
      </c>
      <c r="K208" s="18">
        <v>46137</v>
      </c>
      <c r="L208" s="17" t="s">
        <v>24</v>
      </c>
      <c r="M208" s="7" t="s">
        <v>25</v>
      </c>
      <c r="N208" s="17"/>
    </row>
    <row r="209" spans="1:14" ht="63.75" customHeight="1" x14ac:dyDescent="0.2">
      <c r="A209" s="17">
        <v>208</v>
      </c>
      <c r="B209" s="16" t="s">
        <v>560</v>
      </c>
      <c r="C209" s="17" t="s">
        <v>171</v>
      </c>
      <c r="D209" s="17">
        <v>17.5</v>
      </c>
      <c r="E209" s="17">
        <v>12.6</v>
      </c>
      <c r="F209" s="16" t="s">
        <v>126</v>
      </c>
      <c r="G209" s="17" t="s">
        <v>564</v>
      </c>
      <c r="H209" s="17" t="s">
        <v>565</v>
      </c>
      <c r="I209" s="17" t="s">
        <v>34</v>
      </c>
      <c r="J209" s="17" t="s">
        <v>566</v>
      </c>
      <c r="K209" s="18">
        <v>46156</v>
      </c>
      <c r="L209" s="17" t="s">
        <v>24</v>
      </c>
      <c r="M209" s="7" t="s">
        <v>25</v>
      </c>
      <c r="N209" s="17"/>
    </row>
    <row r="210" spans="1:14" ht="63.75" customHeight="1" x14ac:dyDescent="0.2">
      <c r="A210" s="17">
        <v>209</v>
      </c>
      <c r="B210" s="16" t="s">
        <v>560</v>
      </c>
      <c r="C210" s="17" t="s">
        <v>174</v>
      </c>
      <c r="D210" s="17">
        <v>9.5</v>
      </c>
      <c r="E210" s="17"/>
      <c r="F210" s="16" t="s">
        <v>126</v>
      </c>
      <c r="G210" s="17" t="s">
        <v>564</v>
      </c>
      <c r="H210" s="17" t="s">
        <v>565</v>
      </c>
      <c r="I210" s="17" t="s">
        <v>34</v>
      </c>
      <c r="J210" s="17" t="s">
        <v>566</v>
      </c>
      <c r="K210" s="18">
        <v>46156</v>
      </c>
      <c r="L210" s="17" t="s">
        <v>24</v>
      </c>
      <c r="M210" s="7" t="s">
        <v>25</v>
      </c>
      <c r="N210" s="17"/>
    </row>
    <row r="211" spans="1:14" ht="25.5" customHeight="1" x14ac:dyDescent="0.2">
      <c r="A211" s="17">
        <v>210</v>
      </c>
      <c r="B211" s="16" t="s">
        <v>567</v>
      </c>
      <c r="C211" s="17" t="s">
        <v>176</v>
      </c>
      <c r="D211" s="17">
        <v>18.600000000000001</v>
      </c>
      <c r="E211" s="17">
        <v>13</v>
      </c>
      <c r="F211" s="16" t="s">
        <v>48</v>
      </c>
      <c r="G211" s="17" t="s">
        <v>568</v>
      </c>
      <c r="H211" s="17" t="s">
        <v>569</v>
      </c>
      <c r="I211" s="17" t="s">
        <v>22</v>
      </c>
      <c r="J211" s="17" t="s">
        <v>570</v>
      </c>
      <c r="K211" s="18">
        <v>46136</v>
      </c>
      <c r="L211" s="17" t="s">
        <v>24</v>
      </c>
      <c r="M211" s="7" t="s">
        <v>25</v>
      </c>
      <c r="N211" s="17"/>
    </row>
    <row r="212" spans="1:14" ht="25.5" customHeight="1" x14ac:dyDescent="0.2">
      <c r="A212" s="17">
        <v>211</v>
      </c>
      <c r="B212" s="16" t="s">
        <v>567</v>
      </c>
      <c r="C212" s="17" t="s">
        <v>179</v>
      </c>
      <c r="D212" s="17">
        <v>23.6</v>
      </c>
      <c r="E212" s="17"/>
      <c r="F212" s="16" t="s">
        <v>48</v>
      </c>
      <c r="G212" s="17" t="s">
        <v>568</v>
      </c>
      <c r="H212" s="17" t="s">
        <v>569</v>
      </c>
      <c r="I212" s="17" t="s">
        <v>22</v>
      </c>
      <c r="J212" s="17" t="s">
        <v>570</v>
      </c>
      <c r="K212" s="18">
        <v>46136</v>
      </c>
      <c r="L212" s="17" t="s">
        <v>24</v>
      </c>
      <c r="M212" s="7" t="s">
        <v>25</v>
      </c>
      <c r="N212" s="17"/>
    </row>
    <row r="213" spans="1:14" ht="63.75" customHeight="1" x14ac:dyDescent="0.2">
      <c r="A213" s="17">
        <v>212</v>
      </c>
      <c r="B213" s="16" t="s">
        <v>571</v>
      </c>
      <c r="C213" s="17" t="s">
        <v>176</v>
      </c>
      <c r="D213" s="17">
        <v>22.1</v>
      </c>
      <c r="E213" s="17">
        <v>12.4</v>
      </c>
      <c r="F213" s="16" t="s">
        <v>162</v>
      </c>
      <c r="G213" s="17" t="s">
        <v>572</v>
      </c>
      <c r="H213" s="17" t="s">
        <v>573</v>
      </c>
      <c r="I213" s="17" t="s">
        <v>34</v>
      </c>
      <c r="J213" s="17">
        <v>111</v>
      </c>
      <c r="K213" s="18">
        <v>46147</v>
      </c>
      <c r="L213" s="17" t="s">
        <v>82</v>
      </c>
      <c r="M213" s="7" t="s">
        <v>25</v>
      </c>
      <c r="N213" s="17"/>
    </row>
    <row r="214" spans="1:14" ht="25.5" customHeight="1" x14ac:dyDescent="0.2">
      <c r="A214" s="17">
        <v>213</v>
      </c>
      <c r="B214" s="16" t="s">
        <v>574</v>
      </c>
      <c r="C214" s="17" t="s">
        <v>176</v>
      </c>
      <c r="D214" s="17">
        <v>21.8</v>
      </c>
      <c r="E214" s="17">
        <v>12.3</v>
      </c>
      <c r="F214" s="16" t="s">
        <v>151</v>
      </c>
      <c r="G214" s="17" t="s">
        <v>575</v>
      </c>
      <c r="H214" s="17" t="s">
        <v>576</v>
      </c>
      <c r="I214" s="17" t="s">
        <v>51</v>
      </c>
      <c r="J214" s="17">
        <v>112</v>
      </c>
      <c r="K214" s="18">
        <v>46142</v>
      </c>
      <c r="L214" s="17" t="s">
        <v>82</v>
      </c>
      <c r="M214" s="7" t="s">
        <v>25</v>
      </c>
      <c r="N214" s="17"/>
    </row>
    <row r="215" spans="1:14" ht="63.75" customHeight="1" x14ac:dyDescent="0.2">
      <c r="A215" s="17">
        <v>214</v>
      </c>
      <c r="B215" s="16" t="s">
        <v>577</v>
      </c>
      <c r="C215" s="17" t="s">
        <v>176</v>
      </c>
      <c r="D215" s="17">
        <v>21.9</v>
      </c>
      <c r="E215" s="17">
        <v>11.9</v>
      </c>
      <c r="F215" s="16" t="s">
        <v>73</v>
      </c>
      <c r="G215" s="17" t="s">
        <v>578</v>
      </c>
      <c r="H215" s="17" t="s">
        <v>579</v>
      </c>
      <c r="I215" s="17" t="s">
        <v>34</v>
      </c>
      <c r="J215" s="17">
        <v>113</v>
      </c>
      <c r="K215" s="18">
        <v>46155</v>
      </c>
      <c r="L215" s="17" t="s">
        <v>24</v>
      </c>
      <c r="M215" s="7" t="s">
        <v>25</v>
      </c>
      <c r="N215" s="17"/>
    </row>
    <row r="216" spans="1:14" ht="63.75" customHeight="1" x14ac:dyDescent="0.2">
      <c r="A216" s="17">
        <v>215</v>
      </c>
      <c r="B216" s="16" t="s">
        <v>580</v>
      </c>
      <c r="C216" s="17" t="s">
        <v>176</v>
      </c>
      <c r="D216" s="17">
        <v>18.100000000000001</v>
      </c>
      <c r="E216" s="17">
        <v>12.8</v>
      </c>
      <c r="F216" s="16" t="s">
        <v>121</v>
      </c>
      <c r="G216" s="17" t="s">
        <v>581</v>
      </c>
      <c r="H216" s="17" t="s">
        <v>582</v>
      </c>
      <c r="I216" s="17" t="s">
        <v>34</v>
      </c>
      <c r="J216" s="17" t="s">
        <v>583</v>
      </c>
      <c r="K216" s="18">
        <v>46157</v>
      </c>
      <c r="L216" s="17" t="s">
        <v>24</v>
      </c>
      <c r="M216" s="7" t="s">
        <v>25</v>
      </c>
      <c r="N216" s="17"/>
    </row>
    <row r="217" spans="1:14" ht="63.75" customHeight="1" x14ac:dyDescent="0.2">
      <c r="A217" s="17">
        <v>216</v>
      </c>
      <c r="B217" s="16" t="s">
        <v>580</v>
      </c>
      <c r="C217" s="17" t="s">
        <v>179</v>
      </c>
      <c r="D217" s="17">
        <v>9.6</v>
      </c>
      <c r="E217" s="17"/>
      <c r="F217" s="16" t="s">
        <v>121</v>
      </c>
      <c r="G217" s="17" t="s">
        <v>581</v>
      </c>
      <c r="H217" s="17" t="s">
        <v>582</v>
      </c>
      <c r="I217" s="17" t="s">
        <v>34</v>
      </c>
      <c r="J217" s="17" t="s">
        <v>583</v>
      </c>
      <c r="K217" s="18">
        <v>46157</v>
      </c>
      <c r="L217" s="17" t="s">
        <v>24</v>
      </c>
      <c r="M217" s="7" t="s">
        <v>25</v>
      </c>
      <c r="N217" s="17"/>
    </row>
    <row r="218" spans="1:14" ht="51" customHeight="1" x14ac:dyDescent="0.2">
      <c r="A218" s="17">
        <v>217</v>
      </c>
      <c r="B218" s="16" t="s">
        <v>580</v>
      </c>
      <c r="C218" s="17" t="s">
        <v>171</v>
      </c>
      <c r="D218" s="17">
        <v>16.7</v>
      </c>
      <c r="E218" s="17">
        <v>12.6</v>
      </c>
      <c r="F218" s="16" t="s">
        <v>31</v>
      </c>
      <c r="G218" s="17" t="s">
        <v>584</v>
      </c>
      <c r="H218" s="17" t="s">
        <v>585</v>
      </c>
      <c r="I218" s="17" t="s">
        <v>34</v>
      </c>
      <c r="J218" s="17" t="s">
        <v>586</v>
      </c>
      <c r="K218" s="18">
        <v>46154</v>
      </c>
      <c r="L218" s="17" t="s">
        <v>24</v>
      </c>
      <c r="M218" s="7" t="s">
        <v>25</v>
      </c>
      <c r="N218" s="17"/>
    </row>
    <row r="219" spans="1:14" ht="51" customHeight="1" x14ac:dyDescent="0.2">
      <c r="A219" s="17">
        <v>218</v>
      </c>
      <c r="B219" s="16" t="s">
        <v>580</v>
      </c>
      <c r="C219" s="17" t="s">
        <v>174</v>
      </c>
      <c r="D219" s="17">
        <v>10.3</v>
      </c>
      <c r="E219" s="17"/>
      <c r="F219" s="16" t="s">
        <v>31</v>
      </c>
      <c r="G219" s="17" t="s">
        <v>584</v>
      </c>
      <c r="H219" s="17" t="s">
        <v>585</v>
      </c>
      <c r="I219" s="17" t="s">
        <v>34</v>
      </c>
      <c r="J219" s="17" t="s">
        <v>586</v>
      </c>
      <c r="K219" s="18">
        <v>46154</v>
      </c>
      <c r="L219" s="17" t="s">
        <v>24</v>
      </c>
      <c r="M219" s="7" t="s">
        <v>25</v>
      </c>
      <c r="N219" s="17"/>
    </row>
    <row r="220" spans="1:14" ht="25.5" customHeight="1" x14ac:dyDescent="0.2">
      <c r="A220" s="17">
        <v>219</v>
      </c>
      <c r="B220" s="16" t="s">
        <v>587</v>
      </c>
      <c r="C220" s="17" t="s">
        <v>176</v>
      </c>
      <c r="D220" s="17">
        <v>16.600000000000001</v>
      </c>
      <c r="E220" s="17">
        <v>12.4</v>
      </c>
      <c r="F220" s="16" t="s">
        <v>121</v>
      </c>
      <c r="G220" s="17" t="s">
        <v>588</v>
      </c>
      <c r="H220" s="17" t="s">
        <v>589</v>
      </c>
      <c r="I220" s="17" t="s">
        <v>312</v>
      </c>
      <c r="J220" s="17" t="s">
        <v>590</v>
      </c>
      <c r="K220" s="18">
        <v>46149</v>
      </c>
      <c r="L220" s="17" t="s">
        <v>24</v>
      </c>
      <c r="M220" s="7" t="s">
        <v>25</v>
      </c>
      <c r="N220" s="17"/>
    </row>
    <row r="221" spans="1:14" ht="25.5" customHeight="1" x14ac:dyDescent="0.2">
      <c r="A221" s="17">
        <v>220</v>
      </c>
      <c r="B221" s="16" t="s">
        <v>587</v>
      </c>
      <c r="C221" s="17" t="s">
        <v>179</v>
      </c>
      <c r="D221" s="17">
        <v>8.6999999999999993</v>
      </c>
      <c r="E221" s="17"/>
      <c r="F221" s="16" t="s">
        <v>121</v>
      </c>
      <c r="G221" s="17" t="s">
        <v>588</v>
      </c>
      <c r="H221" s="17" t="s">
        <v>589</v>
      </c>
      <c r="I221" s="17" t="s">
        <v>312</v>
      </c>
      <c r="J221" s="17" t="s">
        <v>590</v>
      </c>
      <c r="K221" s="18">
        <v>46149</v>
      </c>
      <c r="L221" s="17" t="s">
        <v>24</v>
      </c>
      <c r="M221" s="7" t="s">
        <v>25</v>
      </c>
      <c r="N221" s="17"/>
    </row>
    <row r="222" spans="1:14" ht="25.5" customHeight="1" x14ac:dyDescent="0.2">
      <c r="A222" s="17">
        <v>221</v>
      </c>
      <c r="B222" s="16" t="s">
        <v>587</v>
      </c>
      <c r="C222" s="17" t="s">
        <v>171</v>
      </c>
      <c r="D222" s="17">
        <v>18.600000000000001</v>
      </c>
      <c r="E222" s="17">
        <v>12.9</v>
      </c>
      <c r="F222" s="16" t="s">
        <v>62</v>
      </c>
      <c r="G222" s="17" t="s">
        <v>591</v>
      </c>
      <c r="H222" s="17" t="s">
        <v>592</v>
      </c>
      <c r="I222" s="17" t="s">
        <v>112</v>
      </c>
      <c r="J222" s="17" t="s">
        <v>593</v>
      </c>
      <c r="K222" s="18">
        <v>46155</v>
      </c>
      <c r="L222" s="17" t="s">
        <v>24</v>
      </c>
      <c r="M222" s="7" t="s">
        <v>25</v>
      </c>
      <c r="N222" s="17"/>
    </row>
    <row r="223" spans="1:14" ht="25.5" customHeight="1" x14ac:dyDescent="0.2">
      <c r="A223" s="17">
        <v>222</v>
      </c>
      <c r="B223" s="16" t="s">
        <v>587</v>
      </c>
      <c r="C223" s="17" t="s">
        <v>174</v>
      </c>
      <c r="D223" s="17">
        <v>9.1</v>
      </c>
      <c r="E223" s="17"/>
      <c r="F223" s="16" t="s">
        <v>62</v>
      </c>
      <c r="G223" s="17" t="s">
        <v>591</v>
      </c>
      <c r="H223" s="17" t="s">
        <v>592</v>
      </c>
      <c r="I223" s="17" t="s">
        <v>112</v>
      </c>
      <c r="J223" s="17" t="s">
        <v>593</v>
      </c>
      <c r="K223" s="18">
        <v>46155</v>
      </c>
      <c r="L223" s="17" t="s">
        <v>24</v>
      </c>
      <c r="M223" s="7" t="s">
        <v>25</v>
      </c>
      <c r="N223" s="17"/>
    </row>
    <row r="224" spans="1:14" ht="63.75" customHeight="1" x14ac:dyDescent="0.2">
      <c r="A224" s="17">
        <v>223</v>
      </c>
      <c r="B224" s="16" t="s">
        <v>594</v>
      </c>
      <c r="C224" s="17" t="s">
        <v>176</v>
      </c>
      <c r="D224" s="17">
        <v>20.100000000000001</v>
      </c>
      <c r="E224" s="17">
        <v>12.4</v>
      </c>
      <c r="F224" s="16" t="s">
        <v>19</v>
      </c>
      <c r="G224" s="17" t="s">
        <v>595</v>
      </c>
      <c r="H224" s="17" t="s">
        <v>596</v>
      </c>
      <c r="I224" s="17" t="s">
        <v>34</v>
      </c>
      <c r="J224" s="17" t="s">
        <v>597</v>
      </c>
      <c r="K224" s="18">
        <v>46137</v>
      </c>
      <c r="L224" s="17" t="s">
        <v>82</v>
      </c>
      <c r="M224" s="7" t="s">
        <v>25</v>
      </c>
      <c r="N224" s="17"/>
    </row>
    <row r="225" spans="1:14" ht="63.75" customHeight="1" x14ac:dyDescent="0.2">
      <c r="A225" s="17">
        <v>224</v>
      </c>
      <c r="B225" s="16" t="s">
        <v>594</v>
      </c>
      <c r="C225" s="17" t="s">
        <v>179</v>
      </c>
      <c r="D225" s="17">
        <v>8.8000000000000007</v>
      </c>
      <c r="E225" s="17"/>
      <c r="F225" s="16" t="s">
        <v>19</v>
      </c>
      <c r="G225" s="17" t="s">
        <v>595</v>
      </c>
      <c r="H225" s="17" t="s">
        <v>596</v>
      </c>
      <c r="I225" s="17" t="s">
        <v>34</v>
      </c>
      <c r="J225" s="17" t="s">
        <v>597</v>
      </c>
      <c r="K225" s="18">
        <v>46137</v>
      </c>
      <c r="L225" s="17" t="s">
        <v>82</v>
      </c>
      <c r="M225" s="7" t="s">
        <v>25</v>
      </c>
      <c r="N225" s="17"/>
    </row>
    <row r="226" spans="1:14" ht="25.5" customHeight="1" x14ac:dyDescent="0.2">
      <c r="A226" s="17">
        <v>225</v>
      </c>
      <c r="B226" s="16" t="s">
        <v>594</v>
      </c>
      <c r="C226" s="17" t="s">
        <v>171</v>
      </c>
      <c r="D226" s="17">
        <v>17.899999999999999</v>
      </c>
      <c r="E226" s="17">
        <v>12.5</v>
      </c>
      <c r="F226" s="16" t="s">
        <v>101</v>
      </c>
      <c r="G226" s="17" t="s">
        <v>598</v>
      </c>
      <c r="H226" s="17" t="s">
        <v>599</v>
      </c>
      <c r="I226" s="17" t="s">
        <v>312</v>
      </c>
      <c r="J226" s="17" t="s">
        <v>600</v>
      </c>
      <c r="K226" s="18">
        <v>46134</v>
      </c>
      <c r="L226" s="17" t="s">
        <v>24</v>
      </c>
      <c r="M226" s="7" t="s">
        <v>25</v>
      </c>
      <c r="N226" s="17"/>
    </row>
    <row r="227" spans="1:14" ht="25.5" customHeight="1" x14ac:dyDescent="0.2">
      <c r="A227" s="17">
        <v>226</v>
      </c>
      <c r="B227" s="16" t="s">
        <v>594</v>
      </c>
      <c r="C227" s="17" t="s">
        <v>174</v>
      </c>
      <c r="D227" s="17">
        <v>8.8000000000000007</v>
      </c>
      <c r="E227" s="17"/>
      <c r="F227" s="16" t="s">
        <v>101</v>
      </c>
      <c r="G227" s="17" t="s">
        <v>598</v>
      </c>
      <c r="H227" s="17" t="s">
        <v>599</v>
      </c>
      <c r="I227" s="17" t="s">
        <v>312</v>
      </c>
      <c r="J227" s="17" t="s">
        <v>600</v>
      </c>
      <c r="K227" s="18">
        <v>46134</v>
      </c>
      <c r="L227" s="17" t="s">
        <v>24</v>
      </c>
      <c r="M227" s="7" t="s">
        <v>25</v>
      </c>
      <c r="N227" s="17"/>
    </row>
    <row r="228" spans="1:14" ht="38.25" customHeight="1" x14ac:dyDescent="0.2">
      <c r="A228" s="17">
        <v>227</v>
      </c>
      <c r="B228" s="16" t="s">
        <v>601</v>
      </c>
      <c r="C228" s="17" t="s">
        <v>176</v>
      </c>
      <c r="D228" s="17">
        <v>38.6</v>
      </c>
      <c r="E228" s="17">
        <v>10.6</v>
      </c>
      <c r="F228" s="16" t="s">
        <v>126</v>
      </c>
      <c r="G228" s="17" t="s">
        <v>602</v>
      </c>
      <c r="H228" s="17" t="s">
        <v>4871</v>
      </c>
      <c r="I228" s="17" t="s">
        <v>312</v>
      </c>
      <c r="J228" s="17">
        <v>121</v>
      </c>
      <c r="K228" s="18">
        <v>46156</v>
      </c>
      <c r="L228" s="17" t="s">
        <v>24</v>
      </c>
      <c r="M228" s="7" t="s">
        <v>25</v>
      </c>
      <c r="N228" s="17"/>
    </row>
    <row r="229" spans="1:14" ht="38.25" customHeight="1" x14ac:dyDescent="0.2">
      <c r="A229" s="17">
        <v>228</v>
      </c>
      <c r="B229" s="16" t="s">
        <v>601</v>
      </c>
      <c r="C229" s="17" t="s">
        <v>179</v>
      </c>
      <c r="D229" s="17">
        <v>31.3</v>
      </c>
      <c r="E229" s="17"/>
      <c r="F229" s="16" t="s">
        <v>126</v>
      </c>
      <c r="G229" s="17" t="s">
        <v>602</v>
      </c>
      <c r="H229" s="17" t="s">
        <v>4871</v>
      </c>
      <c r="I229" s="17" t="s">
        <v>312</v>
      </c>
      <c r="J229" s="17">
        <v>121</v>
      </c>
      <c r="K229" s="18">
        <v>46156</v>
      </c>
      <c r="L229" s="17" t="s">
        <v>24</v>
      </c>
      <c r="M229" s="7" t="s">
        <v>25</v>
      </c>
      <c r="N229" s="17"/>
    </row>
    <row r="230" spans="1:14" ht="25.5" customHeight="1" x14ac:dyDescent="0.2">
      <c r="A230" s="17">
        <v>229</v>
      </c>
      <c r="B230" s="16" t="s">
        <v>603</v>
      </c>
      <c r="C230" s="17" t="s">
        <v>176</v>
      </c>
      <c r="D230" s="17">
        <v>22</v>
      </c>
      <c r="E230" s="17">
        <v>12.5</v>
      </c>
      <c r="F230" s="16" t="s">
        <v>19</v>
      </c>
      <c r="G230" s="17" t="s">
        <v>604</v>
      </c>
      <c r="H230" s="17" t="s">
        <v>605</v>
      </c>
      <c r="I230" s="17" t="s">
        <v>42</v>
      </c>
      <c r="J230" s="17">
        <v>122</v>
      </c>
      <c r="K230" s="18">
        <v>46137</v>
      </c>
      <c r="L230" s="17" t="s">
        <v>24</v>
      </c>
      <c r="M230" s="7" t="s">
        <v>25</v>
      </c>
      <c r="N230" s="17"/>
    </row>
    <row r="231" spans="1:14" ht="25.5" customHeight="1" x14ac:dyDescent="0.2">
      <c r="A231" s="17">
        <v>230</v>
      </c>
      <c r="B231" s="16" t="s">
        <v>603</v>
      </c>
      <c r="C231" s="17" t="s">
        <v>179</v>
      </c>
      <c r="D231" s="17">
        <v>8.4</v>
      </c>
      <c r="E231" s="17"/>
      <c r="F231" s="16" t="s">
        <v>19</v>
      </c>
      <c r="G231" s="17" t="s">
        <v>604</v>
      </c>
      <c r="H231" s="17" t="s">
        <v>605</v>
      </c>
      <c r="I231" s="17" t="s">
        <v>42</v>
      </c>
      <c r="J231" s="17">
        <v>122</v>
      </c>
      <c r="K231" s="18">
        <v>46137</v>
      </c>
      <c r="L231" s="17" t="s">
        <v>24</v>
      </c>
      <c r="M231" s="7" t="s">
        <v>25</v>
      </c>
      <c r="N231" s="17"/>
    </row>
    <row r="232" spans="1:14" ht="102" customHeight="1" x14ac:dyDescent="0.2">
      <c r="A232" s="17">
        <v>231</v>
      </c>
      <c r="B232" s="16" t="s">
        <v>606</v>
      </c>
      <c r="C232" s="17" t="s">
        <v>176</v>
      </c>
      <c r="D232" s="17">
        <v>22.1</v>
      </c>
      <c r="E232" s="17">
        <v>10.1</v>
      </c>
      <c r="F232" s="16" t="s">
        <v>19</v>
      </c>
      <c r="G232" s="17" t="s">
        <v>607</v>
      </c>
      <c r="H232" s="17" t="s">
        <v>608</v>
      </c>
      <c r="I232" s="17" t="s">
        <v>34</v>
      </c>
      <c r="J232" s="17">
        <v>125</v>
      </c>
      <c r="K232" s="18">
        <v>46137</v>
      </c>
      <c r="L232" s="17" t="s">
        <v>24</v>
      </c>
      <c r="M232" s="7" t="s">
        <v>25</v>
      </c>
      <c r="N232" s="17"/>
    </row>
    <row r="233" spans="1:14" ht="102" customHeight="1" x14ac:dyDescent="0.2">
      <c r="A233" s="17">
        <v>232</v>
      </c>
      <c r="B233" s="16" t="s">
        <v>606</v>
      </c>
      <c r="C233" s="17" t="s">
        <v>179</v>
      </c>
      <c r="D233" s="17">
        <v>10.3</v>
      </c>
      <c r="E233" s="17"/>
      <c r="F233" s="16" t="s">
        <v>19</v>
      </c>
      <c r="G233" s="17" t="s">
        <v>607</v>
      </c>
      <c r="H233" s="17" t="s">
        <v>608</v>
      </c>
      <c r="I233" s="17" t="s">
        <v>34</v>
      </c>
      <c r="J233" s="17">
        <v>125</v>
      </c>
      <c r="K233" s="18">
        <v>46137</v>
      </c>
      <c r="L233" s="17" t="s">
        <v>24</v>
      </c>
      <c r="M233" s="7" t="s">
        <v>25</v>
      </c>
      <c r="N233" s="17"/>
    </row>
    <row r="234" spans="1:14" ht="51" customHeight="1" x14ac:dyDescent="0.2">
      <c r="A234" s="17">
        <v>233</v>
      </c>
      <c r="B234" s="16" t="s">
        <v>609</v>
      </c>
      <c r="C234" s="17" t="s">
        <v>176</v>
      </c>
      <c r="D234" s="17">
        <v>16.600000000000001</v>
      </c>
      <c r="E234" s="17">
        <v>12.1</v>
      </c>
      <c r="F234" s="16" t="s">
        <v>62</v>
      </c>
      <c r="G234" s="17" t="s">
        <v>610</v>
      </c>
      <c r="H234" s="17" t="s">
        <v>611</v>
      </c>
      <c r="I234" s="17" t="s">
        <v>34</v>
      </c>
      <c r="J234" s="17" t="s">
        <v>612</v>
      </c>
      <c r="K234" s="18">
        <v>46133</v>
      </c>
      <c r="L234" s="17" t="s">
        <v>24</v>
      </c>
      <c r="M234" s="7" t="s">
        <v>25</v>
      </c>
      <c r="N234" s="17"/>
    </row>
    <row r="235" spans="1:14" ht="51" customHeight="1" x14ac:dyDescent="0.2">
      <c r="A235" s="17">
        <v>234</v>
      </c>
      <c r="B235" s="16" t="s">
        <v>609</v>
      </c>
      <c r="C235" s="17" t="s">
        <v>179</v>
      </c>
      <c r="D235" s="17">
        <v>9.1999999999999993</v>
      </c>
      <c r="E235" s="17"/>
      <c r="F235" s="16" t="s">
        <v>62</v>
      </c>
      <c r="G235" s="17" t="s">
        <v>610</v>
      </c>
      <c r="H235" s="17" t="s">
        <v>611</v>
      </c>
      <c r="I235" s="17" t="s">
        <v>34</v>
      </c>
      <c r="J235" s="17" t="s">
        <v>612</v>
      </c>
      <c r="K235" s="18">
        <v>46133</v>
      </c>
      <c r="L235" s="17" t="s">
        <v>24</v>
      </c>
      <c r="M235" s="7" t="s">
        <v>25</v>
      </c>
      <c r="N235" s="17"/>
    </row>
    <row r="236" spans="1:14" ht="51" customHeight="1" x14ac:dyDescent="0.2">
      <c r="A236" s="17">
        <v>235</v>
      </c>
      <c r="B236" s="16" t="s">
        <v>613</v>
      </c>
      <c r="C236" s="17" t="s">
        <v>176</v>
      </c>
      <c r="D236" s="17">
        <v>19.8</v>
      </c>
      <c r="E236" s="17">
        <v>13</v>
      </c>
      <c r="F236" s="16" t="s">
        <v>31</v>
      </c>
      <c r="G236" s="17" t="s">
        <v>614</v>
      </c>
      <c r="H236" s="17" t="s">
        <v>615</v>
      </c>
      <c r="I236" s="17" t="s">
        <v>34</v>
      </c>
      <c r="J236" s="17">
        <v>129</v>
      </c>
      <c r="K236" s="18">
        <v>46154</v>
      </c>
      <c r="L236" s="17" t="s">
        <v>24</v>
      </c>
      <c r="M236" s="7" t="s">
        <v>25</v>
      </c>
      <c r="N236" s="17"/>
    </row>
    <row r="237" spans="1:14" ht="51" customHeight="1" x14ac:dyDescent="0.2">
      <c r="A237" s="17">
        <v>236</v>
      </c>
      <c r="B237" s="16" t="s">
        <v>613</v>
      </c>
      <c r="C237" s="17" t="s">
        <v>179</v>
      </c>
      <c r="D237" s="17">
        <v>21.6</v>
      </c>
      <c r="E237" s="17"/>
      <c r="F237" s="16" t="s">
        <v>31</v>
      </c>
      <c r="G237" s="17" t="s">
        <v>614</v>
      </c>
      <c r="H237" s="17" t="s">
        <v>615</v>
      </c>
      <c r="I237" s="17" t="s">
        <v>34</v>
      </c>
      <c r="J237" s="17">
        <v>129</v>
      </c>
      <c r="K237" s="18">
        <v>46154</v>
      </c>
      <c r="L237" s="17" t="s">
        <v>24</v>
      </c>
      <c r="M237" s="7" t="s">
        <v>25</v>
      </c>
      <c r="N237" s="17"/>
    </row>
    <row r="238" spans="1:14" ht="63.75" customHeight="1" x14ac:dyDescent="0.2">
      <c r="A238" s="17">
        <v>237</v>
      </c>
      <c r="B238" s="16" t="s">
        <v>616</v>
      </c>
      <c r="C238" s="17" t="s">
        <v>176</v>
      </c>
      <c r="D238" s="17">
        <v>22.3</v>
      </c>
      <c r="E238" s="17">
        <v>12.4</v>
      </c>
      <c r="F238" s="16" t="s">
        <v>101</v>
      </c>
      <c r="G238" s="17" t="s">
        <v>617</v>
      </c>
      <c r="H238" s="17" t="s">
        <v>618</v>
      </c>
      <c r="I238" s="17" t="s">
        <v>34</v>
      </c>
      <c r="J238" s="17">
        <v>130</v>
      </c>
      <c r="K238" s="18">
        <v>46134</v>
      </c>
      <c r="L238" s="17" t="s">
        <v>24</v>
      </c>
      <c r="M238" s="7" t="s">
        <v>25</v>
      </c>
      <c r="N238" s="17"/>
    </row>
    <row r="239" spans="1:14" ht="38.25" customHeight="1" x14ac:dyDescent="0.2">
      <c r="A239" s="17">
        <v>238</v>
      </c>
      <c r="B239" s="16" t="s">
        <v>619</v>
      </c>
      <c r="C239" s="17" t="s">
        <v>176</v>
      </c>
      <c r="D239" s="17">
        <v>20.9</v>
      </c>
      <c r="E239" s="17">
        <v>12.6</v>
      </c>
      <c r="F239" s="16" t="s">
        <v>106</v>
      </c>
      <c r="G239" s="17" t="s">
        <v>620</v>
      </c>
      <c r="H239" s="17" t="s">
        <v>621</v>
      </c>
      <c r="I239" s="17" t="s">
        <v>42</v>
      </c>
      <c r="J239" s="17">
        <v>131</v>
      </c>
      <c r="K239" s="17" t="s">
        <v>622</v>
      </c>
      <c r="L239" s="17" t="s">
        <v>24</v>
      </c>
      <c r="M239" s="7" t="s">
        <v>25</v>
      </c>
      <c r="N239" s="17"/>
    </row>
    <row r="240" spans="1:14" ht="38.25" customHeight="1" x14ac:dyDescent="0.2">
      <c r="A240" s="17">
        <v>239</v>
      </c>
      <c r="B240" s="16" t="s">
        <v>619</v>
      </c>
      <c r="C240" s="17" t="s">
        <v>179</v>
      </c>
      <c r="D240" s="17">
        <v>7.8</v>
      </c>
      <c r="E240" s="17"/>
      <c r="F240" s="16" t="s">
        <v>106</v>
      </c>
      <c r="G240" s="17" t="s">
        <v>620</v>
      </c>
      <c r="H240" s="17" t="s">
        <v>621</v>
      </c>
      <c r="I240" s="17" t="s">
        <v>42</v>
      </c>
      <c r="J240" s="17">
        <v>131</v>
      </c>
      <c r="K240" s="17" t="s">
        <v>622</v>
      </c>
      <c r="L240" s="17" t="s">
        <v>24</v>
      </c>
      <c r="M240" s="7" t="s">
        <v>25</v>
      </c>
      <c r="N240" s="17"/>
    </row>
    <row r="241" spans="1:14" ht="63.75" customHeight="1" x14ac:dyDescent="0.2">
      <c r="A241" s="17">
        <v>240</v>
      </c>
      <c r="B241" s="16" t="s">
        <v>623</v>
      </c>
      <c r="C241" s="17" t="s">
        <v>176</v>
      </c>
      <c r="D241" s="17">
        <v>13</v>
      </c>
      <c r="E241" s="17">
        <v>13</v>
      </c>
      <c r="F241" s="16" t="s">
        <v>126</v>
      </c>
      <c r="G241" s="17" t="s">
        <v>624</v>
      </c>
      <c r="H241" s="17" t="s">
        <v>625</v>
      </c>
      <c r="I241" s="17" t="s">
        <v>34</v>
      </c>
      <c r="J241" s="17" t="s">
        <v>626</v>
      </c>
      <c r="K241" s="18">
        <v>46155</v>
      </c>
      <c r="L241" s="17" t="s">
        <v>24</v>
      </c>
      <c r="M241" s="7" t="s">
        <v>25</v>
      </c>
      <c r="N241" s="17"/>
    </row>
    <row r="242" spans="1:14" ht="63.75" customHeight="1" x14ac:dyDescent="0.2">
      <c r="A242" s="17">
        <v>241</v>
      </c>
      <c r="B242" s="16" t="s">
        <v>623</v>
      </c>
      <c r="C242" s="17" t="s">
        <v>179</v>
      </c>
      <c r="D242" s="17">
        <v>21.6</v>
      </c>
      <c r="E242" s="17"/>
      <c r="F242" s="16" t="s">
        <v>126</v>
      </c>
      <c r="G242" s="17" t="s">
        <v>624</v>
      </c>
      <c r="H242" s="17" t="s">
        <v>625</v>
      </c>
      <c r="I242" s="17" t="s">
        <v>34</v>
      </c>
      <c r="J242" s="17" t="s">
        <v>626</v>
      </c>
      <c r="K242" s="18">
        <v>46155</v>
      </c>
      <c r="L242" s="17" t="s">
        <v>24</v>
      </c>
      <c r="M242" s="7" t="s">
        <v>25</v>
      </c>
      <c r="N242" s="17"/>
    </row>
    <row r="243" spans="1:14" ht="25.5" customHeight="1" x14ac:dyDescent="0.2">
      <c r="A243" s="17">
        <v>242</v>
      </c>
      <c r="B243" s="16" t="s">
        <v>623</v>
      </c>
      <c r="C243" s="17" t="s">
        <v>171</v>
      </c>
      <c r="D243" s="17">
        <v>14</v>
      </c>
      <c r="E243" s="17">
        <v>13.1</v>
      </c>
      <c r="F243" s="16" t="s">
        <v>31</v>
      </c>
      <c r="G243" s="17" t="s">
        <v>627</v>
      </c>
      <c r="H243" s="17" t="s">
        <v>628</v>
      </c>
      <c r="I243" s="17" t="s">
        <v>42</v>
      </c>
      <c r="J243" s="17" t="s">
        <v>629</v>
      </c>
      <c r="K243" s="18" t="s">
        <v>622</v>
      </c>
      <c r="L243" s="17" t="s">
        <v>24</v>
      </c>
      <c r="M243" s="7" t="s">
        <v>25</v>
      </c>
      <c r="N243" s="17"/>
    </row>
    <row r="244" spans="1:14" ht="25.5" customHeight="1" x14ac:dyDescent="0.2">
      <c r="A244" s="17">
        <v>243</v>
      </c>
      <c r="B244" s="16" t="s">
        <v>623</v>
      </c>
      <c r="C244" s="17" t="s">
        <v>174</v>
      </c>
      <c r="D244" s="17">
        <v>21.4</v>
      </c>
      <c r="E244" s="17"/>
      <c r="F244" s="16" t="s">
        <v>31</v>
      </c>
      <c r="G244" s="17" t="s">
        <v>627</v>
      </c>
      <c r="H244" s="17" t="s">
        <v>628</v>
      </c>
      <c r="I244" s="17" t="s">
        <v>42</v>
      </c>
      <c r="J244" s="17" t="s">
        <v>629</v>
      </c>
      <c r="K244" s="18" t="s">
        <v>622</v>
      </c>
      <c r="L244" s="17" t="s">
        <v>24</v>
      </c>
      <c r="M244" s="7" t="s">
        <v>25</v>
      </c>
      <c r="N244" s="17"/>
    </row>
    <row r="245" spans="1:14" ht="25.5" customHeight="1" x14ac:dyDescent="0.2">
      <c r="A245" s="17">
        <v>244</v>
      </c>
      <c r="B245" s="16" t="s">
        <v>630</v>
      </c>
      <c r="C245" s="17" t="s">
        <v>176</v>
      </c>
      <c r="D245" s="17">
        <v>21.7</v>
      </c>
      <c r="E245" s="17">
        <v>10.6</v>
      </c>
      <c r="F245" s="16" t="s">
        <v>31</v>
      </c>
      <c r="G245" s="17" t="s">
        <v>631</v>
      </c>
      <c r="H245" s="17" t="s">
        <v>632</v>
      </c>
      <c r="I245" s="17" t="s">
        <v>51</v>
      </c>
      <c r="J245" s="17">
        <v>152</v>
      </c>
      <c r="K245" s="18">
        <v>46154</v>
      </c>
      <c r="L245" s="17" t="s">
        <v>24</v>
      </c>
      <c r="M245" s="7" t="s">
        <v>25</v>
      </c>
      <c r="N245" s="17"/>
    </row>
    <row r="246" spans="1:14" ht="63.75" customHeight="1" x14ac:dyDescent="0.2">
      <c r="A246" s="17">
        <v>245</v>
      </c>
      <c r="B246" s="16" t="s">
        <v>633</v>
      </c>
      <c r="C246" s="17" t="s">
        <v>176</v>
      </c>
      <c r="D246" s="17">
        <v>21.8</v>
      </c>
      <c r="E246" s="17">
        <v>10.8</v>
      </c>
      <c r="F246" s="16" t="s">
        <v>31</v>
      </c>
      <c r="G246" s="17" t="s">
        <v>634</v>
      </c>
      <c r="H246" s="17" t="s">
        <v>635</v>
      </c>
      <c r="I246" s="17" t="s">
        <v>34</v>
      </c>
      <c r="J246" s="17">
        <v>153</v>
      </c>
      <c r="K246" s="18">
        <v>46154</v>
      </c>
      <c r="L246" s="17" t="s">
        <v>24</v>
      </c>
      <c r="M246" s="7" t="s">
        <v>25</v>
      </c>
      <c r="N246" s="17"/>
    </row>
    <row r="247" spans="1:14" ht="51" customHeight="1" x14ac:dyDescent="0.2">
      <c r="A247" s="17">
        <v>246</v>
      </c>
      <c r="B247" s="16" t="s">
        <v>636</v>
      </c>
      <c r="C247" s="17" t="s">
        <v>176</v>
      </c>
      <c r="D247" s="17">
        <v>21.9</v>
      </c>
      <c r="E247" s="17">
        <v>10.5</v>
      </c>
      <c r="F247" s="16" t="s">
        <v>126</v>
      </c>
      <c r="G247" s="17" t="s">
        <v>637</v>
      </c>
      <c r="H247" s="17" t="s">
        <v>638</v>
      </c>
      <c r="I247" s="17" t="s">
        <v>34</v>
      </c>
      <c r="J247" s="17">
        <v>154</v>
      </c>
      <c r="K247" s="18">
        <v>46135</v>
      </c>
      <c r="L247" s="17" t="s">
        <v>82</v>
      </c>
      <c r="M247" s="7" t="s">
        <v>25</v>
      </c>
      <c r="N247" s="17"/>
    </row>
    <row r="248" spans="1:14" ht="63.75" customHeight="1" x14ac:dyDescent="0.2">
      <c r="A248" s="17">
        <v>247</v>
      </c>
      <c r="B248" s="16" t="s">
        <v>639</v>
      </c>
      <c r="C248" s="17" t="s">
        <v>176</v>
      </c>
      <c r="D248" s="17">
        <v>21.8</v>
      </c>
      <c r="E248" s="17">
        <v>10.6</v>
      </c>
      <c r="F248" s="16" t="s">
        <v>106</v>
      </c>
      <c r="G248" s="17" t="s">
        <v>640</v>
      </c>
      <c r="H248" s="17" t="s">
        <v>641</v>
      </c>
      <c r="I248" s="17" t="s">
        <v>34</v>
      </c>
      <c r="J248" s="17">
        <v>155</v>
      </c>
      <c r="K248" s="18">
        <v>46141</v>
      </c>
      <c r="L248" s="17" t="s">
        <v>24</v>
      </c>
      <c r="M248" s="7" t="s">
        <v>25</v>
      </c>
      <c r="N248" s="17"/>
    </row>
    <row r="249" spans="1:14" ht="25.5" customHeight="1" x14ac:dyDescent="0.2">
      <c r="A249" s="17">
        <v>248</v>
      </c>
      <c r="B249" s="16" t="s">
        <v>642</v>
      </c>
      <c r="C249" s="17" t="s">
        <v>176</v>
      </c>
      <c r="D249" s="17">
        <v>13.7</v>
      </c>
      <c r="E249" s="17">
        <v>13.3</v>
      </c>
      <c r="F249" s="16" t="s">
        <v>121</v>
      </c>
      <c r="G249" s="17" t="s">
        <v>643</v>
      </c>
      <c r="H249" s="17" t="s">
        <v>644</v>
      </c>
      <c r="I249" s="17" t="s">
        <v>22</v>
      </c>
      <c r="J249" s="17" t="s">
        <v>645</v>
      </c>
      <c r="K249" s="18">
        <v>46149</v>
      </c>
      <c r="L249" s="17" t="s">
        <v>24</v>
      </c>
      <c r="M249" s="7" t="s">
        <v>25</v>
      </c>
      <c r="N249" s="17"/>
    </row>
    <row r="250" spans="1:14" ht="25.5" customHeight="1" x14ac:dyDescent="0.2">
      <c r="A250" s="17">
        <v>249</v>
      </c>
      <c r="B250" s="16" t="s">
        <v>642</v>
      </c>
      <c r="C250" s="17" t="s">
        <v>179</v>
      </c>
      <c r="D250" s="17">
        <v>20.9</v>
      </c>
      <c r="E250" s="17"/>
      <c r="F250" s="16" t="s">
        <v>121</v>
      </c>
      <c r="G250" s="17" t="s">
        <v>643</v>
      </c>
      <c r="H250" s="17" t="s">
        <v>644</v>
      </c>
      <c r="I250" s="17" t="s">
        <v>22</v>
      </c>
      <c r="J250" s="17" t="s">
        <v>645</v>
      </c>
      <c r="K250" s="18">
        <v>46149</v>
      </c>
      <c r="L250" s="17" t="s">
        <v>24</v>
      </c>
      <c r="M250" s="7" t="s">
        <v>25</v>
      </c>
      <c r="N250" s="17"/>
    </row>
    <row r="251" spans="1:14" ht="25.5" customHeight="1" x14ac:dyDescent="0.2">
      <c r="A251" s="17">
        <v>250</v>
      </c>
      <c r="B251" s="16" t="s">
        <v>646</v>
      </c>
      <c r="C251" s="17" t="s">
        <v>176</v>
      </c>
      <c r="D251" s="17">
        <v>21.8</v>
      </c>
      <c r="E251" s="17">
        <v>9.9</v>
      </c>
      <c r="F251" s="16" t="s">
        <v>338</v>
      </c>
      <c r="G251" s="17" t="s">
        <v>647</v>
      </c>
      <c r="H251" s="17" t="s">
        <v>648</v>
      </c>
      <c r="I251" s="17" t="s">
        <v>28</v>
      </c>
      <c r="J251" s="17">
        <v>160</v>
      </c>
      <c r="K251" s="18">
        <v>46150</v>
      </c>
      <c r="L251" s="17" t="s">
        <v>82</v>
      </c>
      <c r="M251" s="7" t="s">
        <v>25</v>
      </c>
      <c r="N251" s="17"/>
    </row>
    <row r="252" spans="1:14" ht="25.5" customHeight="1" x14ac:dyDescent="0.2">
      <c r="A252" s="17">
        <v>251</v>
      </c>
      <c r="B252" s="16" t="s">
        <v>646</v>
      </c>
      <c r="C252" s="17" t="s">
        <v>179</v>
      </c>
      <c r="D252" s="17">
        <v>7.9</v>
      </c>
      <c r="E252" s="17"/>
      <c r="F252" s="16" t="s">
        <v>338</v>
      </c>
      <c r="G252" s="17" t="s">
        <v>647</v>
      </c>
      <c r="H252" s="17" t="s">
        <v>648</v>
      </c>
      <c r="I252" s="17" t="s">
        <v>28</v>
      </c>
      <c r="J252" s="17">
        <v>160</v>
      </c>
      <c r="K252" s="18">
        <v>46150</v>
      </c>
      <c r="L252" s="17" t="s">
        <v>82</v>
      </c>
      <c r="M252" s="7" t="s">
        <v>25</v>
      </c>
      <c r="N252" s="17"/>
    </row>
    <row r="253" spans="1:14" ht="25.5" customHeight="1" x14ac:dyDescent="0.2">
      <c r="A253" s="17">
        <v>252</v>
      </c>
      <c r="B253" s="16" t="s">
        <v>649</v>
      </c>
      <c r="C253" s="17" t="s">
        <v>176</v>
      </c>
      <c r="D253" s="17">
        <v>15.9</v>
      </c>
      <c r="E253" s="17">
        <v>10.199999999999999</v>
      </c>
      <c r="F253" s="16" t="s">
        <v>62</v>
      </c>
      <c r="G253" s="17" t="s">
        <v>650</v>
      </c>
      <c r="H253" s="17" t="s">
        <v>651</v>
      </c>
      <c r="I253" s="17" t="s">
        <v>28</v>
      </c>
      <c r="J253" s="17">
        <v>161</v>
      </c>
      <c r="K253" s="18">
        <v>46137</v>
      </c>
      <c r="L253" s="17" t="s">
        <v>24</v>
      </c>
      <c r="M253" s="7" t="s">
        <v>25</v>
      </c>
      <c r="N253" s="17"/>
    </row>
    <row r="254" spans="1:14" ht="25.5" customHeight="1" x14ac:dyDescent="0.2">
      <c r="A254" s="17">
        <v>253</v>
      </c>
      <c r="B254" s="16" t="s">
        <v>652</v>
      </c>
      <c r="C254" s="17" t="s">
        <v>176</v>
      </c>
      <c r="D254" s="17">
        <v>16.899999999999999</v>
      </c>
      <c r="E254" s="17">
        <v>12.3</v>
      </c>
      <c r="F254" s="16" t="s">
        <v>31</v>
      </c>
      <c r="G254" s="17" t="s">
        <v>653</v>
      </c>
      <c r="H254" s="17" t="s">
        <v>654</v>
      </c>
      <c r="I254" s="17" t="s">
        <v>28</v>
      </c>
      <c r="J254" s="17" t="s">
        <v>655</v>
      </c>
      <c r="K254" s="18">
        <v>46154</v>
      </c>
      <c r="L254" s="17" t="s">
        <v>24</v>
      </c>
      <c r="M254" s="7" t="s">
        <v>25</v>
      </c>
      <c r="N254" s="17"/>
    </row>
    <row r="255" spans="1:14" ht="25.5" customHeight="1" x14ac:dyDescent="0.2">
      <c r="A255" s="17">
        <v>254</v>
      </c>
      <c r="B255" s="16" t="s">
        <v>652</v>
      </c>
      <c r="C255" s="17" t="s">
        <v>179</v>
      </c>
      <c r="D255" s="17">
        <v>20.6</v>
      </c>
      <c r="E255" s="17"/>
      <c r="F255" s="16" t="s">
        <v>31</v>
      </c>
      <c r="G255" s="17" t="s">
        <v>653</v>
      </c>
      <c r="H255" s="17" t="s">
        <v>654</v>
      </c>
      <c r="I255" s="17" t="s">
        <v>28</v>
      </c>
      <c r="J255" s="17" t="s">
        <v>655</v>
      </c>
      <c r="K255" s="18">
        <v>46154</v>
      </c>
      <c r="L255" s="17" t="s">
        <v>24</v>
      </c>
      <c r="M255" s="7" t="s">
        <v>25</v>
      </c>
      <c r="N255" s="17"/>
    </row>
    <row r="256" spans="1:14" ht="63.75" customHeight="1" x14ac:dyDescent="0.2">
      <c r="A256" s="17">
        <v>255</v>
      </c>
      <c r="B256" s="16" t="s">
        <v>656</v>
      </c>
      <c r="C256" s="17" t="s">
        <v>176</v>
      </c>
      <c r="D256" s="17">
        <v>21.8</v>
      </c>
      <c r="E256" s="17">
        <v>9.6999999999999993</v>
      </c>
      <c r="F256" s="16" t="s">
        <v>106</v>
      </c>
      <c r="G256" s="17" t="s">
        <v>657</v>
      </c>
      <c r="H256" s="17" t="s">
        <v>658</v>
      </c>
      <c r="I256" s="17" t="s">
        <v>34</v>
      </c>
      <c r="J256" s="17">
        <v>167</v>
      </c>
      <c r="K256" s="18">
        <v>46141</v>
      </c>
      <c r="L256" s="17" t="s">
        <v>24</v>
      </c>
      <c r="M256" s="7" t="s">
        <v>25</v>
      </c>
      <c r="N256" s="17"/>
    </row>
    <row r="257" spans="1:14" ht="63.75" customHeight="1" x14ac:dyDescent="0.2">
      <c r="A257" s="17">
        <v>256</v>
      </c>
      <c r="B257" s="16" t="s">
        <v>656</v>
      </c>
      <c r="C257" s="17" t="s">
        <v>179</v>
      </c>
      <c r="D257" s="17">
        <v>8.1</v>
      </c>
      <c r="E257" s="17"/>
      <c r="F257" s="16" t="s">
        <v>106</v>
      </c>
      <c r="G257" s="17" t="s">
        <v>657</v>
      </c>
      <c r="H257" s="17" t="s">
        <v>658</v>
      </c>
      <c r="I257" s="17" t="s">
        <v>34</v>
      </c>
      <c r="J257" s="17">
        <v>167</v>
      </c>
      <c r="K257" s="18">
        <v>46141</v>
      </c>
      <c r="L257" s="17" t="s">
        <v>24</v>
      </c>
      <c r="M257" s="7" t="s">
        <v>25</v>
      </c>
      <c r="N257" s="17"/>
    </row>
    <row r="258" spans="1:14" ht="25.5" customHeight="1" x14ac:dyDescent="0.2">
      <c r="A258" s="17">
        <v>257</v>
      </c>
      <c r="B258" s="16" t="s">
        <v>659</v>
      </c>
      <c r="C258" s="17" t="s">
        <v>176</v>
      </c>
      <c r="D258" s="17">
        <v>16.100000000000001</v>
      </c>
      <c r="E258" s="17">
        <v>13</v>
      </c>
      <c r="F258" s="16" t="s">
        <v>19</v>
      </c>
      <c r="G258" s="17" t="s">
        <v>660</v>
      </c>
      <c r="H258" s="17" t="s">
        <v>661</v>
      </c>
      <c r="I258" s="17" t="s">
        <v>662</v>
      </c>
      <c r="J258" s="17">
        <v>168</v>
      </c>
      <c r="K258" s="18">
        <v>46137</v>
      </c>
      <c r="L258" s="17" t="s">
        <v>24</v>
      </c>
      <c r="M258" s="7" t="s">
        <v>25</v>
      </c>
      <c r="N258" s="17"/>
    </row>
    <row r="259" spans="1:14" ht="25.5" customHeight="1" x14ac:dyDescent="0.2">
      <c r="A259" s="17">
        <v>258</v>
      </c>
      <c r="B259" s="16" t="s">
        <v>659</v>
      </c>
      <c r="C259" s="17" t="s">
        <v>179</v>
      </c>
      <c r="D259" s="17">
        <v>31.9</v>
      </c>
      <c r="E259" s="17"/>
      <c r="F259" s="16" t="s">
        <v>19</v>
      </c>
      <c r="G259" s="17" t="s">
        <v>660</v>
      </c>
      <c r="H259" s="17" t="s">
        <v>661</v>
      </c>
      <c r="I259" s="17" t="s">
        <v>662</v>
      </c>
      <c r="J259" s="17">
        <v>168</v>
      </c>
      <c r="K259" s="18">
        <v>46137</v>
      </c>
      <c r="L259" s="17" t="s">
        <v>24</v>
      </c>
      <c r="M259" s="7" t="s">
        <v>25</v>
      </c>
      <c r="N259" s="17"/>
    </row>
    <row r="260" spans="1:14" ht="25.5" customHeight="1" x14ac:dyDescent="0.2">
      <c r="A260" s="17">
        <v>259</v>
      </c>
      <c r="B260" s="16" t="s">
        <v>663</v>
      </c>
      <c r="C260" s="17" t="s">
        <v>176</v>
      </c>
      <c r="D260" s="17">
        <v>14</v>
      </c>
      <c r="E260" s="17">
        <v>8.8000000000000007</v>
      </c>
      <c r="F260" s="16" t="s">
        <v>62</v>
      </c>
      <c r="G260" s="17" t="s">
        <v>664</v>
      </c>
      <c r="H260" s="17" t="s">
        <v>665</v>
      </c>
      <c r="I260" s="17" t="s">
        <v>22</v>
      </c>
      <c r="J260" s="17">
        <v>170</v>
      </c>
      <c r="K260" s="18">
        <v>46133</v>
      </c>
      <c r="L260" s="17" t="s">
        <v>24</v>
      </c>
      <c r="M260" s="7" t="s">
        <v>25</v>
      </c>
      <c r="N260" s="17"/>
    </row>
    <row r="261" spans="1:14" ht="63.75" customHeight="1" x14ac:dyDescent="0.2">
      <c r="A261" s="17">
        <v>260</v>
      </c>
      <c r="B261" s="16" t="s">
        <v>666</v>
      </c>
      <c r="C261" s="17" t="s">
        <v>176</v>
      </c>
      <c r="D261" s="17">
        <v>16.3</v>
      </c>
      <c r="E261" s="17">
        <v>8.9</v>
      </c>
      <c r="F261" s="16" t="s">
        <v>31</v>
      </c>
      <c r="G261" s="17" t="s">
        <v>667</v>
      </c>
      <c r="H261" s="17" t="s">
        <v>668</v>
      </c>
      <c r="I261" s="17" t="s">
        <v>34</v>
      </c>
      <c r="J261" s="17">
        <v>172</v>
      </c>
      <c r="K261" s="18">
        <v>46154</v>
      </c>
      <c r="L261" s="17" t="s">
        <v>82</v>
      </c>
      <c r="M261" s="7" t="s">
        <v>25</v>
      </c>
      <c r="N261" s="17"/>
    </row>
    <row r="262" spans="1:14" ht="51" customHeight="1" x14ac:dyDescent="0.2">
      <c r="A262" s="17">
        <v>261</v>
      </c>
      <c r="B262" s="16" t="s">
        <v>669</v>
      </c>
      <c r="C262" s="17" t="s">
        <v>176</v>
      </c>
      <c r="D262" s="17">
        <v>16.2</v>
      </c>
      <c r="E262" s="17">
        <v>12.5</v>
      </c>
      <c r="F262" s="16" t="s">
        <v>151</v>
      </c>
      <c r="G262" s="17" t="s">
        <v>670</v>
      </c>
      <c r="H262" s="17" t="s">
        <v>671</v>
      </c>
      <c r="I262" s="17" t="s">
        <v>34</v>
      </c>
      <c r="J262" s="17">
        <v>173</v>
      </c>
      <c r="K262" s="18">
        <v>46135</v>
      </c>
      <c r="L262" s="17" t="s">
        <v>24</v>
      </c>
      <c r="M262" s="7" t="s">
        <v>25</v>
      </c>
      <c r="N262" s="17"/>
    </row>
    <row r="263" spans="1:14" ht="51" customHeight="1" x14ac:dyDescent="0.2">
      <c r="A263" s="17">
        <v>262</v>
      </c>
      <c r="B263" s="16" t="s">
        <v>669</v>
      </c>
      <c r="C263" s="17" t="s">
        <v>179</v>
      </c>
      <c r="D263" s="17">
        <v>23.7</v>
      </c>
      <c r="E263" s="17"/>
      <c r="F263" s="16" t="s">
        <v>151</v>
      </c>
      <c r="G263" s="17" t="s">
        <v>670</v>
      </c>
      <c r="H263" s="17" t="s">
        <v>671</v>
      </c>
      <c r="I263" s="17" t="s">
        <v>34</v>
      </c>
      <c r="J263" s="17">
        <v>173</v>
      </c>
      <c r="K263" s="18">
        <v>46135</v>
      </c>
      <c r="L263" s="17" t="s">
        <v>24</v>
      </c>
      <c r="M263" s="7" t="s">
        <v>25</v>
      </c>
      <c r="N263" s="17"/>
    </row>
    <row r="264" spans="1:14" ht="63.75" x14ac:dyDescent="0.2">
      <c r="A264" s="17">
        <v>292</v>
      </c>
      <c r="B264" s="16" t="s">
        <v>718</v>
      </c>
      <c r="C264" s="17" t="s">
        <v>176</v>
      </c>
      <c r="D264" s="17">
        <v>16.100000000000001</v>
      </c>
      <c r="E264" s="17">
        <v>7.7</v>
      </c>
      <c r="F264" s="16" t="s">
        <v>343</v>
      </c>
      <c r="G264" s="17" t="s">
        <v>719</v>
      </c>
      <c r="H264" s="17" t="s">
        <v>720</v>
      </c>
      <c r="I264" s="17" t="s">
        <v>34</v>
      </c>
      <c r="J264" s="17" t="s">
        <v>721</v>
      </c>
      <c r="K264" s="18">
        <v>46148</v>
      </c>
      <c r="L264" s="17" t="s">
        <v>24</v>
      </c>
      <c r="M264" s="7" t="s">
        <v>25</v>
      </c>
      <c r="N264" s="17"/>
    </row>
    <row r="265" spans="1:14" ht="63.75" x14ac:dyDescent="0.2">
      <c r="A265" s="17">
        <v>293</v>
      </c>
      <c r="B265" s="16" t="s">
        <v>718</v>
      </c>
      <c r="C265" s="17" t="s">
        <v>179</v>
      </c>
      <c r="D265" s="17">
        <v>8.1999999999999993</v>
      </c>
      <c r="E265" s="17"/>
      <c r="F265" s="16" t="s">
        <v>343</v>
      </c>
      <c r="G265" s="17" t="s">
        <v>719</v>
      </c>
      <c r="H265" s="17" t="s">
        <v>720</v>
      </c>
      <c r="I265" s="17" t="s">
        <v>34</v>
      </c>
      <c r="J265" s="17" t="s">
        <v>721</v>
      </c>
      <c r="K265" s="18">
        <v>46148</v>
      </c>
      <c r="L265" s="17" t="s">
        <v>24</v>
      </c>
      <c r="M265" s="7" t="s">
        <v>25</v>
      </c>
      <c r="N265" s="17"/>
    </row>
    <row r="266" spans="1:14" ht="51" customHeight="1" x14ac:dyDescent="0.2">
      <c r="A266" s="17">
        <v>265</v>
      </c>
      <c r="B266" s="16" t="s">
        <v>675</v>
      </c>
      <c r="C266" s="17" t="s">
        <v>176</v>
      </c>
      <c r="D266" s="17">
        <v>14.9</v>
      </c>
      <c r="E266" s="17">
        <v>8.1999999999999993</v>
      </c>
      <c r="F266" s="16" t="s">
        <v>31</v>
      </c>
      <c r="G266" s="17" t="s">
        <v>676</v>
      </c>
      <c r="H266" s="17" t="s">
        <v>677</v>
      </c>
      <c r="I266" s="17" t="s">
        <v>34</v>
      </c>
      <c r="J266" s="17" t="s">
        <v>678</v>
      </c>
      <c r="K266" s="18">
        <v>46154</v>
      </c>
      <c r="L266" s="17" t="s">
        <v>82</v>
      </c>
      <c r="M266" s="7" t="s">
        <v>25</v>
      </c>
      <c r="N266" s="17"/>
    </row>
    <row r="267" spans="1:14" ht="51" customHeight="1" x14ac:dyDescent="0.2">
      <c r="A267" s="17">
        <v>266</v>
      </c>
      <c r="B267" s="16" t="s">
        <v>675</v>
      </c>
      <c r="C267" s="17" t="s">
        <v>179</v>
      </c>
      <c r="D267" s="17">
        <v>7.1</v>
      </c>
      <c r="E267" s="17"/>
      <c r="F267" s="16" t="s">
        <v>31</v>
      </c>
      <c r="G267" s="17" t="s">
        <v>676</v>
      </c>
      <c r="H267" s="17" t="s">
        <v>677</v>
      </c>
      <c r="I267" s="17" t="s">
        <v>34</v>
      </c>
      <c r="J267" s="17" t="s">
        <v>678</v>
      </c>
      <c r="K267" s="18">
        <v>46154</v>
      </c>
      <c r="L267" s="17" t="s">
        <v>82</v>
      </c>
      <c r="M267" s="7" t="s">
        <v>25</v>
      </c>
      <c r="N267" s="17"/>
    </row>
    <row r="268" spans="1:14" ht="51" customHeight="1" x14ac:dyDescent="0.2">
      <c r="A268" s="17">
        <v>267</v>
      </c>
      <c r="B268" s="16" t="s">
        <v>675</v>
      </c>
      <c r="C268" s="17" t="s">
        <v>171</v>
      </c>
      <c r="D268" s="17">
        <v>15</v>
      </c>
      <c r="E268" s="17">
        <v>8.3000000000000007</v>
      </c>
      <c r="F268" s="16" t="s">
        <v>126</v>
      </c>
      <c r="G268" s="17" t="s">
        <v>679</v>
      </c>
      <c r="H268" s="17" t="s">
        <v>680</v>
      </c>
      <c r="I268" s="17" t="s">
        <v>34</v>
      </c>
      <c r="J268" s="17" t="s">
        <v>681</v>
      </c>
      <c r="K268" s="18">
        <v>46156</v>
      </c>
      <c r="L268" s="17" t="s">
        <v>24</v>
      </c>
      <c r="M268" s="7" t="s">
        <v>25</v>
      </c>
      <c r="N268" s="17"/>
    </row>
    <row r="269" spans="1:14" ht="51" customHeight="1" x14ac:dyDescent="0.2">
      <c r="A269" s="17">
        <v>268</v>
      </c>
      <c r="B269" s="16" t="s">
        <v>675</v>
      </c>
      <c r="C269" s="17" t="s">
        <v>174</v>
      </c>
      <c r="D269" s="17">
        <v>7.1</v>
      </c>
      <c r="E269" s="17"/>
      <c r="F269" s="16" t="s">
        <v>126</v>
      </c>
      <c r="G269" s="17" t="s">
        <v>679</v>
      </c>
      <c r="H269" s="17" t="s">
        <v>680</v>
      </c>
      <c r="I269" s="17" t="s">
        <v>34</v>
      </c>
      <c r="J269" s="17" t="s">
        <v>681</v>
      </c>
      <c r="K269" s="18">
        <v>46156</v>
      </c>
      <c r="L269" s="17" t="s">
        <v>24</v>
      </c>
      <c r="M269" s="7" t="s">
        <v>25</v>
      </c>
      <c r="N269" s="17"/>
    </row>
    <row r="270" spans="1:14" ht="63.75" customHeight="1" x14ac:dyDescent="0.2">
      <c r="A270" s="17">
        <v>269</v>
      </c>
      <c r="B270" s="16" t="s">
        <v>682</v>
      </c>
      <c r="C270" s="17" t="s">
        <v>176</v>
      </c>
      <c r="D270" s="17">
        <v>14.6</v>
      </c>
      <c r="E270" s="17">
        <v>8.1999999999999993</v>
      </c>
      <c r="F270" s="16" t="s">
        <v>106</v>
      </c>
      <c r="G270" s="17" t="s">
        <v>683</v>
      </c>
      <c r="H270" s="17" t="s">
        <v>684</v>
      </c>
      <c r="I270" s="17" t="s">
        <v>34</v>
      </c>
      <c r="J270" s="17" t="s">
        <v>685</v>
      </c>
      <c r="K270" s="18">
        <v>46141</v>
      </c>
      <c r="L270" s="17" t="s">
        <v>24</v>
      </c>
      <c r="M270" s="7" t="s">
        <v>25</v>
      </c>
      <c r="N270" s="17"/>
    </row>
    <row r="271" spans="1:14" ht="63.75" customHeight="1" x14ac:dyDescent="0.2">
      <c r="A271" s="17">
        <v>270</v>
      </c>
      <c r="B271" s="16" t="s">
        <v>682</v>
      </c>
      <c r="C271" s="17" t="s">
        <v>179</v>
      </c>
      <c r="D271" s="17">
        <v>7.5</v>
      </c>
      <c r="E271" s="17"/>
      <c r="F271" s="16" t="s">
        <v>106</v>
      </c>
      <c r="G271" s="17" t="s">
        <v>683</v>
      </c>
      <c r="H271" s="17" t="s">
        <v>684</v>
      </c>
      <c r="I271" s="17" t="s">
        <v>34</v>
      </c>
      <c r="J271" s="17" t="s">
        <v>685</v>
      </c>
      <c r="K271" s="18">
        <v>46141</v>
      </c>
      <c r="L271" s="17" t="s">
        <v>24</v>
      </c>
      <c r="M271" s="7" t="s">
        <v>25</v>
      </c>
      <c r="N271" s="17"/>
    </row>
    <row r="272" spans="1:14" ht="51" customHeight="1" x14ac:dyDescent="0.2">
      <c r="A272" s="17">
        <v>271</v>
      </c>
      <c r="B272" s="16" t="s">
        <v>682</v>
      </c>
      <c r="C272" s="17" t="s">
        <v>171</v>
      </c>
      <c r="D272" s="17">
        <v>14.3</v>
      </c>
      <c r="E272" s="17">
        <v>8.3000000000000007</v>
      </c>
      <c r="F272" s="16" t="s">
        <v>106</v>
      </c>
      <c r="G272" s="17" t="s">
        <v>686</v>
      </c>
      <c r="H272" s="17" t="s">
        <v>687</v>
      </c>
      <c r="I272" s="17" t="s">
        <v>34</v>
      </c>
      <c r="J272" s="17" t="s">
        <v>688</v>
      </c>
      <c r="K272" s="18">
        <v>46141</v>
      </c>
      <c r="L272" s="17" t="s">
        <v>24</v>
      </c>
      <c r="M272" s="7" t="s">
        <v>25</v>
      </c>
      <c r="N272" s="17"/>
    </row>
    <row r="273" spans="1:14" ht="51" customHeight="1" x14ac:dyDescent="0.2">
      <c r="A273" s="17">
        <v>272</v>
      </c>
      <c r="B273" s="16" t="s">
        <v>682</v>
      </c>
      <c r="C273" s="17" t="s">
        <v>174</v>
      </c>
      <c r="D273" s="17">
        <v>7.2</v>
      </c>
      <c r="E273" s="17"/>
      <c r="F273" s="16" t="s">
        <v>106</v>
      </c>
      <c r="G273" s="17" t="s">
        <v>686</v>
      </c>
      <c r="H273" s="17" t="s">
        <v>687</v>
      </c>
      <c r="I273" s="17" t="s">
        <v>34</v>
      </c>
      <c r="J273" s="17" t="s">
        <v>688</v>
      </c>
      <c r="K273" s="18">
        <v>46141</v>
      </c>
      <c r="L273" s="17" t="s">
        <v>24</v>
      </c>
      <c r="M273" s="7" t="s">
        <v>25</v>
      </c>
      <c r="N273" s="17"/>
    </row>
    <row r="274" spans="1:14" ht="63.75" customHeight="1" x14ac:dyDescent="0.2">
      <c r="A274" s="17">
        <v>273</v>
      </c>
      <c r="B274" s="16" t="s">
        <v>689</v>
      </c>
      <c r="C274" s="17" t="s">
        <v>176</v>
      </c>
      <c r="D274" s="17">
        <v>13.7</v>
      </c>
      <c r="E274" s="17">
        <v>10.3</v>
      </c>
      <c r="F274" s="16" t="s">
        <v>126</v>
      </c>
      <c r="G274" s="17" t="s">
        <v>690</v>
      </c>
      <c r="H274" s="17" t="s">
        <v>691</v>
      </c>
      <c r="I274" s="17" t="s">
        <v>34</v>
      </c>
      <c r="J274" s="17" t="s">
        <v>692</v>
      </c>
      <c r="K274" s="18">
        <v>46157</v>
      </c>
      <c r="L274" s="17" t="s">
        <v>24</v>
      </c>
      <c r="M274" s="7" t="s">
        <v>25</v>
      </c>
      <c r="N274" s="17"/>
    </row>
    <row r="275" spans="1:14" ht="63.75" customHeight="1" x14ac:dyDescent="0.2">
      <c r="A275" s="17">
        <v>274</v>
      </c>
      <c r="B275" s="16" t="s">
        <v>689</v>
      </c>
      <c r="C275" s="17" t="s">
        <v>179</v>
      </c>
      <c r="D275" s="17">
        <v>11.5</v>
      </c>
      <c r="E275" s="17"/>
      <c r="F275" s="16" t="s">
        <v>126</v>
      </c>
      <c r="G275" s="17" t="s">
        <v>690</v>
      </c>
      <c r="H275" s="17" t="s">
        <v>691</v>
      </c>
      <c r="I275" s="17" t="s">
        <v>34</v>
      </c>
      <c r="J275" s="17" t="s">
        <v>692</v>
      </c>
      <c r="K275" s="18">
        <v>46157</v>
      </c>
      <c r="L275" s="17" t="s">
        <v>24</v>
      </c>
      <c r="M275" s="7" t="s">
        <v>25</v>
      </c>
      <c r="N275" s="17"/>
    </row>
    <row r="276" spans="1:14" ht="51" customHeight="1" x14ac:dyDescent="0.2">
      <c r="A276" s="17">
        <v>275</v>
      </c>
      <c r="B276" s="16" t="s">
        <v>689</v>
      </c>
      <c r="C276" s="17" t="s">
        <v>171</v>
      </c>
      <c r="D276" s="17">
        <v>24.2</v>
      </c>
      <c r="E276" s="17"/>
      <c r="F276" s="16" t="s">
        <v>126</v>
      </c>
      <c r="G276" s="17" t="s">
        <v>693</v>
      </c>
      <c r="H276" s="17" t="s">
        <v>694</v>
      </c>
      <c r="I276" s="17" t="s">
        <v>34</v>
      </c>
      <c r="J276" s="17" t="s">
        <v>695</v>
      </c>
      <c r="K276" s="18">
        <v>46144</v>
      </c>
      <c r="L276" s="17" t="s">
        <v>24</v>
      </c>
      <c r="M276" s="7" t="s">
        <v>25</v>
      </c>
      <c r="N276" s="17"/>
    </row>
    <row r="277" spans="1:14" ht="51" customHeight="1" x14ac:dyDescent="0.2">
      <c r="A277" s="17">
        <v>276</v>
      </c>
      <c r="B277" s="16" t="s">
        <v>689</v>
      </c>
      <c r="C277" s="17" t="s">
        <v>174</v>
      </c>
      <c r="D277" s="17">
        <v>11.5</v>
      </c>
      <c r="E277" s="17"/>
      <c r="F277" s="16" t="s">
        <v>126</v>
      </c>
      <c r="G277" s="17" t="s">
        <v>693</v>
      </c>
      <c r="H277" s="17" t="s">
        <v>694</v>
      </c>
      <c r="I277" s="17" t="s">
        <v>34</v>
      </c>
      <c r="J277" s="17" t="s">
        <v>695</v>
      </c>
      <c r="K277" s="18">
        <v>46144</v>
      </c>
      <c r="L277" s="17" t="s">
        <v>24</v>
      </c>
      <c r="M277" s="7" t="s">
        <v>25</v>
      </c>
      <c r="N277" s="17"/>
    </row>
    <row r="278" spans="1:14" ht="25.5" customHeight="1" x14ac:dyDescent="0.2">
      <c r="A278" s="17">
        <v>277</v>
      </c>
      <c r="B278" s="16" t="s">
        <v>696</v>
      </c>
      <c r="C278" s="17" t="s">
        <v>176</v>
      </c>
      <c r="D278" s="17">
        <v>15.3</v>
      </c>
      <c r="E278" s="17">
        <v>13.2</v>
      </c>
      <c r="F278" s="16" t="s">
        <v>121</v>
      </c>
      <c r="G278" s="17" t="s">
        <v>697</v>
      </c>
      <c r="H278" s="17" t="s">
        <v>698</v>
      </c>
      <c r="I278" s="17" t="s">
        <v>22</v>
      </c>
      <c r="J278" s="17">
        <v>181</v>
      </c>
      <c r="K278" s="18">
        <v>46149</v>
      </c>
      <c r="L278" s="17" t="s">
        <v>24</v>
      </c>
      <c r="M278" s="7" t="s">
        <v>25</v>
      </c>
      <c r="N278" s="17"/>
    </row>
    <row r="279" spans="1:14" ht="25.5" customHeight="1" x14ac:dyDescent="0.2">
      <c r="A279" s="17">
        <v>278</v>
      </c>
      <c r="B279" s="16" t="s">
        <v>696</v>
      </c>
      <c r="C279" s="17" t="s">
        <v>179</v>
      </c>
      <c r="D279" s="17">
        <v>9.3000000000000007</v>
      </c>
      <c r="E279" s="17"/>
      <c r="F279" s="16" t="s">
        <v>121</v>
      </c>
      <c r="G279" s="17" t="s">
        <v>697</v>
      </c>
      <c r="H279" s="17" t="s">
        <v>698</v>
      </c>
      <c r="I279" s="17" t="s">
        <v>22</v>
      </c>
      <c r="J279" s="17">
        <v>181</v>
      </c>
      <c r="K279" s="18">
        <v>46149</v>
      </c>
      <c r="L279" s="17" t="s">
        <v>24</v>
      </c>
      <c r="M279" s="7" t="s">
        <v>25</v>
      </c>
      <c r="N279" s="17"/>
    </row>
    <row r="280" spans="1:14" ht="25.5" customHeight="1" x14ac:dyDescent="0.2">
      <c r="A280" s="17">
        <v>279</v>
      </c>
      <c r="B280" s="16" t="s">
        <v>696</v>
      </c>
      <c r="C280" s="17" t="s">
        <v>464</v>
      </c>
      <c r="D280" s="17">
        <v>20.8</v>
      </c>
      <c r="E280" s="17"/>
      <c r="F280" s="16" t="s">
        <v>121</v>
      </c>
      <c r="G280" s="17" t="s">
        <v>697</v>
      </c>
      <c r="H280" s="17" t="s">
        <v>698</v>
      </c>
      <c r="I280" s="17" t="s">
        <v>22</v>
      </c>
      <c r="J280" s="17">
        <v>181</v>
      </c>
      <c r="K280" s="18">
        <v>46149</v>
      </c>
      <c r="L280" s="17" t="s">
        <v>24</v>
      </c>
      <c r="M280" s="7" t="s">
        <v>25</v>
      </c>
      <c r="N280" s="17"/>
    </row>
    <row r="281" spans="1:14" ht="63.75" customHeight="1" x14ac:dyDescent="0.2">
      <c r="A281" s="17">
        <v>280</v>
      </c>
      <c r="B281" s="16" t="s">
        <v>699</v>
      </c>
      <c r="C281" s="17" t="s">
        <v>176</v>
      </c>
      <c r="D281" s="17">
        <v>16.399999999999999</v>
      </c>
      <c r="E281" s="17">
        <v>10.1</v>
      </c>
      <c r="F281" s="16" t="s">
        <v>700</v>
      </c>
      <c r="G281" s="17" t="s">
        <v>701</v>
      </c>
      <c r="H281" s="17" t="s">
        <v>702</v>
      </c>
      <c r="I281" s="17" t="s">
        <v>34</v>
      </c>
      <c r="J281" s="17">
        <v>182</v>
      </c>
      <c r="K281" s="17" t="s">
        <v>350</v>
      </c>
      <c r="L281" s="17" t="s">
        <v>24</v>
      </c>
      <c r="M281" s="7" t="s">
        <v>25</v>
      </c>
      <c r="N281" s="17"/>
    </row>
    <row r="282" spans="1:14" ht="63.75" customHeight="1" x14ac:dyDescent="0.2">
      <c r="A282" s="17">
        <v>281</v>
      </c>
      <c r="B282" s="16" t="s">
        <v>703</v>
      </c>
      <c r="C282" s="17" t="s">
        <v>176</v>
      </c>
      <c r="D282" s="17">
        <v>16.7</v>
      </c>
      <c r="E282" s="17">
        <v>8.8000000000000007</v>
      </c>
      <c r="F282" s="16" t="s">
        <v>121</v>
      </c>
      <c r="G282" s="17" t="s">
        <v>704</v>
      </c>
      <c r="H282" s="17" t="s">
        <v>705</v>
      </c>
      <c r="I282" s="17" t="s">
        <v>34</v>
      </c>
      <c r="J282" s="17" t="s">
        <v>706</v>
      </c>
      <c r="K282" s="18">
        <v>46141</v>
      </c>
      <c r="L282" s="17" t="s">
        <v>82</v>
      </c>
      <c r="M282" s="7" t="s">
        <v>25</v>
      </c>
      <c r="N282" s="17"/>
    </row>
    <row r="283" spans="1:14" ht="63.75" customHeight="1" x14ac:dyDescent="0.2">
      <c r="A283" s="17">
        <v>282</v>
      </c>
      <c r="B283" s="16" t="s">
        <v>703</v>
      </c>
      <c r="C283" s="17" t="s">
        <v>179</v>
      </c>
      <c r="D283" s="17">
        <v>7.8</v>
      </c>
      <c r="E283" s="17"/>
      <c r="F283" s="16" t="s">
        <v>121</v>
      </c>
      <c r="G283" s="17" t="s">
        <v>704</v>
      </c>
      <c r="H283" s="17" t="s">
        <v>705</v>
      </c>
      <c r="I283" s="17" t="s">
        <v>34</v>
      </c>
      <c r="J283" s="17" t="s">
        <v>706</v>
      </c>
      <c r="K283" s="18">
        <v>46141</v>
      </c>
      <c r="L283" s="17" t="s">
        <v>82</v>
      </c>
      <c r="M283" s="7" t="s">
        <v>25</v>
      </c>
      <c r="N283" s="17"/>
    </row>
    <row r="284" spans="1:14" ht="63.75" customHeight="1" x14ac:dyDescent="0.2">
      <c r="A284" s="17">
        <v>283</v>
      </c>
      <c r="B284" s="16" t="s">
        <v>707</v>
      </c>
      <c r="C284" s="17" t="s">
        <v>176</v>
      </c>
      <c r="D284" s="17">
        <v>13.9</v>
      </c>
      <c r="E284" s="17">
        <v>8.1</v>
      </c>
      <c r="F284" s="16" t="s">
        <v>31</v>
      </c>
      <c r="G284" s="17" t="s">
        <v>708</v>
      </c>
      <c r="H284" s="17" t="s">
        <v>709</v>
      </c>
      <c r="I284" s="17" t="s">
        <v>34</v>
      </c>
      <c r="J284" s="17" t="s">
        <v>710</v>
      </c>
      <c r="K284" s="18">
        <v>46154</v>
      </c>
      <c r="L284" s="17" t="s">
        <v>82</v>
      </c>
      <c r="M284" s="7" t="s">
        <v>25</v>
      </c>
      <c r="N284" s="17"/>
    </row>
    <row r="285" spans="1:14" ht="63.75" customHeight="1" x14ac:dyDescent="0.2">
      <c r="A285" s="17">
        <v>284</v>
      </c>
      <c r="B285" s="16" t="s">
        <v>707</v>
      </c>
      <c r="C285" s="17" t="s">
        <v>179</v>
      </c>
      <c r="D285" s="17">
        <v>9</v>
      </c>
      <c r="E285" s="17"/>
      <c r="F285" s="16" t="s">
        <v>31</v>
      </c>
      <c r="G285" s="17" t="s">
        <v>708</v>
      </c>
      <c r="H285" s="17" t="s">
        <v>709</v>
      </c>
      <c r="I285" s="17" t="s">
        <v>34</v>
      </c>
      <c r="J285" s="17" t="s">
        <v>710</v>
      </c>
      <c r="K285" s="18">
        <v>46154</v>
      </c>
      <c r="L285" s="17" t="s">
        <v>82</v>
      </c>
      <c r="M285" s="7" t="s">
        <v>25</v>
      </c>
      <c r="N285" s="17"/>
    </row>
    <row r="286" spans="1:14" ht="63.75" customHeight="1" x14ac:dyDescent="0.2">
      <c r="A286" s="17">
        <v>285</v>
      </c>
      <c r="B286" s="16" t="s">
        <v>707</v>
      </c>
      <c r="C286" s="17" t="s">
        <v>171</v>
      </c>
      <c r="D286" s="17">
        <v>14.3</v>
      </c>
      <c r="E286" s="17">
        <v>8.6</v>
      </c>
      <c r="F286" s="16" t="s">
        <v>162</v>
      </c>
      <c r="G286" s="17" t="s">
        <v>711</v>
      </c>
      <c r="H286" s="17" t="s">
        <v>712</v>
      </c>
      <c r="I286" s="17" t="s">
        <v>34</v>
      </c>
      <c r="J286" s="17" t="s">
        <v>713</v>
      </c>
      <c r="K286" s="18">
        <v>46147</v>
      </c>
      <c r="L286" s="17" t="s">
        <v>82</v>
      </c>
      <c r="M286" s="7" t="s">
        <v>25</v>
      </c>
      <c r="N286" s="17"/>
    </row>
    <row r="287" spans="1:14" ht="63.75" customHeight="1" x14ac:dyDescent="0.2">
      <c r="A287" s="17">
        <v>286</v>
      </c>
      <c r="B287" s="16" t="s">
        <v>707</v>
      </c>
      <c r="C287" s="17" t="s">
        <v>174</v>
      </c>
      <c r="D287" s="17">
        <v>9.6999999999999993</v>
      </c>
      <c r="E287" s="17"/>
      <c r="F287" s="16" t="s">
        <v>162</v>
      </c>
      <c r="G287" s="17" t="s">
        <v>711</v>
      </c>
      <c r="H287" s="17" t="s">
        <v>712</v>
      </c>
      <c r="I287" s="17" t="s">
        <v>34</v>
      </c>
      <c r="J287" s="17" t="s">
        <v>713</v>
      </c>
      <c r="K287" s="18">
        <v>46147</v>
      </c>
      <c r="L287" s="17" t="s">
        <v>82</v>
      </c>
      <c r="M287" s="7" t="s">
        <v>25</v>
      </c>
      <c r="N287" s="17"/>
    </row>
    <row r="288" spans="1:14" ht="25.5" customHeight="1" x14ac:dyDescent="0.2">
      <c r="A288" s="17">
        <v>287</v>
      </c>
      <c r="B288" s="16" t="s">
        <v>714</v>
      </c>
      <c r="C288" s="17" t="s">
        <v>176</v>
      </c>
      <c r="D288" s="17">
        <v>21.1</v>
      </c>
      <c r="E288" s="17">
        <v>13.1</v>
      </c>
      <c r="F288" s="16" t="s">
        <v>121</v>
      </c>
      <c r="G288" s="17" t="s">
        <v>715</v>
      </c>
      <c r="H288" s="17" t="s">
        <v>716</v>
      </c>
      <c r="I288" s="17" t="s">
        <v>312</v>
      </c>
      <c r="J288" s="17">
        <v>185</v>
      </c>
      <c r="K288" s="18">
        <v>46149</v>
      </c>
      <c r="L288" s="17" t="s">
        <v>24</v>
      </c>
      <c r="M288" s="7" t="s">
        <v>25</v>
      </c>
      <c r="N288" s="17"/>
    </row>
    <row r="289" spans="1:14" ht="25.5" customHeight="1" x14ac:dyDescent="0.2">
      <c r="A289" s="17">
        <v>288</v>
      </c>
      <c r="B289" s="16" t="s">
        <v>714</v>
      </c>
      <c r="C289" s="17" t="s">
        <v>179</v>
      </c>
      <c r="D289" s="17">
        <v>26.6</v>
      </c>
      <c r="E289" s="17"/>
      <c r="F289" s="16" t="s">
        <v>121</v>
      </c>
      <c r="G289" s="17" t="s">
        <v>715</v>
      </c>
      <c r="H289" s="17" t="s">
        <v>716</v>
      </c>
      <c r="I289" s="17" t="s">
        <v>312</v>
      </c>
      <c r="J289" s="17">
        <v>185</v>
      </c>
      <c r="K289" s="18">
        <v>46149</v>
      </c>
      <c r="L289" s="17" t="s">
        <v>24</v>
      </c>
      <c r="M289" s="7" t="s">
        <v>25</v>
      </c>
      <c r="N289" s="17"/>
    </row>
    <row r="290" spans="1:14" ht="25.5" customHeight="1" x14ac:dyDescent="0.2">
      <c r="A290" s="17">
        <v>289</v>
      </c>
      <c r="B290" s="16" t="s">
        <v>714</v>
      </c>
      <c r="C290" s="17" t="s">
        <v>464</v>
      </c>
      <c r="D290" s="17">
        <v>9.6</v>
      </c>
      <c r="E290" s="17"/>
      <c r="F290" s="16" t="s">
        <v>121</v>
      </c>
      <c r="G290" s="17" t="s">
        <v>715</v>
      </c>
      <c r="H290" s="17" t="s">
        <v>716</v>
      </c>
      <c r="I290" s="17" t="s">
        <v>312</v>
      </c>
      <c r="J290" s="17">
        <v>185</v>
      </c>
      <c r="K290" s="18">
        <v>46149</v>
      </c>
      <c r="L290" s="17" t="s">
        <v>24</v>
      </c>
      <c r="M290" s="7" t="s">
        <v>25</v>
      </c>
      <c r="N290" s="17"/>
    </row>
    <row r="291" spans="1:14" x14ac:dyDescent="0.2">
      <c r="A291" s="14">
        <v>290</v>
      </c>
      <c r="B291" s="15" t="s">
        <v>717</v>
      </c>
      <c r="C291" s="14" t="s">
        <v>176</v>
      </c>
      <c r="D291" s="14">
        <v>20.8</v>
      </c>
      <c r="E291" s="14">
        <v>10.199999999999999</v>
      </c>
      <c r="F291" s="15" t="s">
        <v>48</v>
      </c>
      <c r="G291" s="14"/>
      <c r="H291" s="14"/>
      <c r="I291" s="14"/>
      <c r="J291" s="14"/>
      <c r="K291" s="21"/>
      <c r="L291" s="14"/>
      <c r="M291" s="14" t="s">
        <v>286</v>
      </c>
      <c r="N291" s="14"/>
    </row>
    <row r="292" spans="1:14" x14ac:dyDescent="0.2">
      <c r="A292" s="14">
        <v>291</v>
      </c>
      <c r="B292" s="15" t="s">
        <v>717</v>
      </c>
      <c r="C292" s="14" t="s">
        <v>179</v>
      </c>
      <c r="D292" s="14">
        <v>8.6</v>
      </c>
      <c r="E292" s="14"/>
      <c r="F292" s="15" t="s">
        <v>48</v>
      </c>
      <c r="G292" s="14"/>
      <c r="H292" s="14"/>
      <c r="I292" s="14"/>
      <c r="J292" s="14"/>
      <c r="K292" s="21"/>
      <c r="L292" s="14"/>
      <c r="M292" s="14" t="s">
        <v>286</v>
      </c>
      <c r="N292" s="14"/>
    </row>
    <row r="293" spans="1:14" x14ac:dyDescent="0.2">
      <c r="A293" s="14">
        <v>161</v>
      </c>
      <c r="B293" s="15" t="s">
        <v>476</v>
      </c>
      <c r="C293" s="14" t="s">
        <v>171</v>
      </c>
      <c r="D293" s="14">
        <v>15.6</v>
      </c>
      <c r="E293" s="14">
        <v>12.5</v>
      </c>
      <c r="F293" s="15" t="s">
        <v>343</v>
      </c>
      <c r="G293" s="14"/>
      <c r="H293" s="14"/>
      <c r="I293" s="14"/>
      <c r="J293" s="14"/>
      <c r="K293" s="14"/>
      <c r="L293" s="14"/>
      <c r="M293" s="7" t="s">
        <v>286</v>
      </c>
      <c r="N293" s="14"/>
    </row>
    <row r="294" spans="1:14" x14ac:dyDescent="0.2">
      <c r="A294" s="14">
        <v>162</v>
      </c>
      <c r="B294" s="15" t="s">
        <v>476</v>
      </c>
      <c r="C294" s="14" t="s">
        <v>174</v>
      </c>
      <c r="D294" s="14">
        <v>23.1</v>
      </c>
      <c r="E294" s="14"/>
      <c r="F294" s="15" t="s">
        <v>343</v>
      </c>
      <c r="G294" s="14"/>
      <c r="H294" s="14"/>
      <c r="I294" s="14"/>
      <c r="J294" s="14"/>
      <c r="K294" s="14"/>
      <c r="L294" s="14"/>
      <c r="M294" s="7" t="s">
        <v>286</v>
      </c>
      <c r="N294" s="14"/>
    </row>
    <row r="295" spans="1:14" ht="25.5" customHeight="1" x14ac:dyDescent="0.2">
      <c r="A295" s="17">
        <v>294</v>
      </c>
      <c r="B295" s="16" t="s">
        <v>718</v>
      </c>
      <c r="C295" s="17" t="s">
        <v>171</v>
      </c>
      <c r="D295" s="17">
        <v>15.6</v>
      </c>
      <c r="E295" s="17">
        <v>8.1</v>
      </c>
      <c r="F295" s="16" t="s">
        <v>31</v>
      </c>
      <c r="G295" s="17" t="s">
        <v>722</v>
      </c>
      <c r="H295" s="17" t="s">
        <v>723</v>
      </c>
      <c r="I295" s="17" t="s">
        <v>51</v>
      </c>
      <c r="J295" s="17" t="s">
        <v>724</v>
      </c>
      <c r="K295" s="18">
        <v>46156</v>
      </c>
      <c r="L295" s="17" t="s">
        <v>24</v>
      </c>
      <c r="M295" s="7" t="s">
        <v>25</v>
      </c>
      <c r="N295" s="17"/>
    </row>
    <row r="296" spans="1:14" ht="25.5" customHeight="1" x14ac:dyDescent="0.2">
      <c r="A296" s="17">
        <v>295</v>
      </c>
      <c r="B296" s="16" t="s">
        <v>718</v>
      </c>
      <c r="C296" s="17" t="s">
        <v>174</v>
      </c>
      <c r="D296" s="17">
        <v>9.1</v>
      </c>
      <c r="E296" s="17"/>
      <c r="F296" s="16" t="s">
        <v>31</v>
      </c>
      <c r="G296" s="17" t="s">
        <v>722</v>
      </c>
      <c r="H296" s="17" t="s">
        <v>723</v>
      </c>
      <c r="I296" s="17" t="s">
        <v>51</v>
      </c>
      <c r="J296" s="17" t="s">
        <v>724</v>
      </c>
      <c r="K296" s="18">
        <v>46156</v>
      </c>
      <c r="L296" s="17" t="s">
        <v>24</v>
      </c>
      <c r="M296" s="7" t="s">
        <v>25</v>
      </c>
      <c r="N296" s="17"/>
    </row>
    <row r="297" spans="1:14" ht="63.75" customHeight="1" x14ac:dyDescent="0.2">
      <c r="A297" s="17">
        <v>296</v>
      </c>
      <c r="B297" s="16" t="s">
        <v>725</v>
      </c>
      <c r="C297" s="17" t="s">
        <v>176</v>
      </c>
      <c r="D297" s="17">
        <v>14.1</v>
      </c>
      <c r="E297" s="17">
        <v>7.8</v>
      </c>
      <c r="F297" s="16" t="s">
        <v>48</v>
      </c>
      <c r="G297" s="17" t="s">
        <v>726</v>
      </c>
      <c r="H297" s="17" t="s">
        <v>727</v>
      </c>
      <c r="I297" s="17" t="s">
        <v>34</v>
      </c>
      <c r="J297" s="17" t="s">
        <v>728</v>
      </c>
      <c r="K297" s="18">
        <v>46144</v>
      </c>
      <c r="L297" s="17" t="s">
        <v>24</v>
      </c>
      <c r="M297" s="7" t="s">
        <v>25</v>
      </c>
      <c r="N297" s="17"/>
    </row>
    <row r="298" spans="1:14" ht="63.75" customHeight="1" x14ac:dyDescent="0.2">
      <c r="A298" s="17">
        <v>297</v>
      </c>
      <c r="B298" s="16" t="s">
        <v>725</v>
      </c>
      <c r="C298" s="17" t="s">
        <v>179</v>
      </c>
      <c r="D298" s="17">
        <v>7.6</v>
      </c>
      <c r="E298" s="17"/>
      <c r="F298" s="16" t="s">
        <v>48</v>
      </c>
      <c r="G298" s="17" t="s">
        <v>726</v>
      </c>
      <c r="H298" s="17" t="s">
        <v>727</v>
      </c>
      <c r="I298" s="17" t="s">
        <v>34</v>
      </c>
      <c r="J298" s="17" t="s">
        <v>728</v>
      </c>
      <c r="K298" s="18">
        <v>46144</v>
      </c>
      <c r="L298" s="17" t="s">
        <v>24</v>
      </c>
      <c r="M298" s="7" t="s">
        <v>25</v>
      </c>
      <c r="N298" s="17"/>
    </row>
    <row r="299" spans="1:14" ht="51" customHeight="1" x14ac:dyDescent="0.2">
      <c r="A299" s="17">
        <v>298</v>
      </c>
      <c r="B299" s="16" t="s">
        <v>725</v>
      </c>
      <c r="C299" s="17" t="s">
        <v>171</v>
      </c>
      <c r="D299" s="17">
        <v>14</v>
      </c>
      <c r="E299" s="17">
        <v>7.9</v>
      </c>
      <c r="F299" s="16" t="s">
        <v>62</v>
      </c>
      <c r="G299" s="17" t="s">
        <v>729</v>
      </c>
      <c r="H299" s="17" t="s">
        <v>730</v>
      </c>
      <c r="I299" s="17" t="s">
        <v>34</v>
      </c>
      <c r="J299" s="17" t="s">
        <v>731</v>
      </c>
      <c r="K299" s="18">
        <v>46133</v>
      </c>
      <c r="L299" s="17" t="s">
        <v>24</v>
      </c>
      <c r="M299" s="7" t="s">
        <v>25</v>
      </c>
      <c r="N299" s="17"/>
    </row>
    <row r="300" spans="1:14" ht="51" customHeight="1" x14ac:dyDescent="0.2">
      <c r="A300" s="17">
        <v>299</v>
      </c>
      <c r="B300" s="16" t="s">
        <v>725</v>
      </c>
      <c r="C300" s="17" t="s">
        <v>174</v>
      </c>
      <c r="D300" s="17">
        <v>7.5</v>
      </c>
      <c r="E300" s="17"/>
      <c r="F300" s="16" t="s">
        <v>62</v>
      </c>
      <c r="G300" s="17" t="s">
        <v>729</v>
      </c>
      <c r="H300" s="17" t="s">
        <v>730</v>
      </c>
      <c r="I300" s="17" t="s">
        <v>34</v>
      </c>
      <c r="J300" s="17" t="s">
        <v>731</v>
      </c>
      <c r="K300" s="18">
        <v>46133</v>
      </c>
      <c r="L300" s="17" t="s">
        <v>24</v>
      </c>
      <c r="M300" s="7" t="s">
        <v>25</v>
      </c>
      <c r="N300" s="17"/>
    </row>
    <row r="301" spans="1:14" ht="51" customHeight="1" x14ac:dyDescent="0.2">
      <c r="A301" s="17">
        <v>300</v>
      </c>
      <c r="B301" s="16" t="s">
        <v>732</v>
      </c>
      <c r="C301" s="17" t="s">
        <v>176</v>
      </c>
      <c r="D301" s="17">
        <v>20.8</v>
      </c>
      <c r="E301" s="17">
        <v>9.5</v>
      </c>
      <c r="F301" s="16" t="s">
        <v>86</v>
      </c>
      <c r="G301" s="17" t="s">
        <v>733</v>
      </c>
      <c r="H301" s="17" t="s">
        <v>734</v>
      </c>
      <c r="I301" s="17" t="s">
        <v>34</v>
      </c>
      <c r="J301" s="17">
        <v>189</v>
      </c>
      <c r="K301" s="18">
        <v>46148</v>
      </c>
      <c r="L301" s="17" t="s">
        <v>82</v>
      </c>
      <c r="M301" s="7" t="s">
        <v>25</v>
      </c>
      <c r="N301" s="17"/>
    </row>
    <row r="302" spans="1:14" ht="51" customHeight="1" x14ac:dyDescent="0.2">
      <c r="A302" s="17">
        <v>301</v>
      </c>
      <c r="B302" s="16" t="s">
        <v>732</v>
      </c>
      <c r="C302" s="17" t="s">
        <v>179</v>
      </c>
      <c r="D302" s="17">
        <v>7.5</v>
      </c>
      <c r="E302" s="17"/>
      <c r="F302" s="16" t="s">
        <v>86</v>
      </c>
      <c r="G302" s="17" t="s">
        <v>733</v>
      </c>
      <c r="H302" s="17" t="s">
        <v>734</v>
      </c>
      <c r="I302" s="17" t="s">
        <v>34</v>
      </c>
      <c r="J302" s="17">
        <v>189</v>
      </c>
      <c r="K302" s="18">
        <v>46148</v>
      </c>
      <c r="L302" s="17" t="s">
        <v>82</v>
      </c>
      <c r="M302" s="7" t="s">
        <v>25</v>
      </c>
      <c r="N302" s="17"/>
    </row>
    <row r="303" spans="1:14" ht="25.5" customHeight="1" x14ac:dyDescent="0.2">
      <c r="A303" s="17">
        <v>302</v>
      </c>
      <c r="B303" s="16" t="s">
        <v>735</v>
      </c>
      <c r="C303" s="17" t="s">
        <v>176</v>
      </c>
      <c r="D303" s="17">
        <v>21.8</v>
      </c>
      <c r="E303" s="17">
        <v>10.3</v>
      </c>
      <c r="F303" s="16" t="s">
        <v>31</v>
      </c>
      <c r="G303" s="17" t="s">
        <v>736</v>
      </c>
      <c r="H303" s="17" t="s">
        <v>737</v>
      </c>
      <c r="I303" s="17" t="s">
        <v>267</v>
      </c>
      <c r="J303" s="17">
        <v>191</v>
      </c>
      <c r="K303" s="18">
        <v>46154</v>
      </c>
      <c r="L303" s="17" t="s">
        <v>24</v>
      </c>
      <c r="M303" s="7" t="s">
        <v>25</v>
      </c>
      <c r="N303" s="17"/>
    </row>
    <row r="304" spans="1:14" ht="25.5" customHeight="1" x14ac:dyDescent="0.2">
      <c r="A304" s="17">
        <v>303</v>
      </c>
      <c r="B304" s="16" t="s">
        <v>735</v>
      </c>
      <c r="C304" s="17" t="s">
        <v>179</v>
      </c>
      <c r="D304" s="17">
        <v>8.1</v>
      </c>
      <c r="E304" s="17"/>
      <c r="F304" s="16" t="s">
        <v>31</v>
      </c>
      <c r="G304" s="17" t="s">
        <v>736</v>
      </c>
      <c r="H304" s="17" t="s">
        <v>737</v>
      </c>
      <c r="I304" s="17" t="s">
        <v>267</v>
      </c>
      <c r="J304" s="17">
        <v>191</v>
      </c>
      <c r="K304" s="18">
        <v>46154</v>
      </c>
      <c r="L304" s="17" t="s">
        <v>24</v>
      </c>
      <c r="M304" s="7" t="s">
        <v>25</v>
      </c>
      <c r="N304" s="17"/>
    </row>
    <row r="305" spans="1:14" ht="51" customHeight="1" x14ac:dyDescent="0.2">
      <c r="A305" s="17">
        <v>304</v>
      </c>
      <c r="B305" s="16" t="s">
        <v>738</v>
      </c>
      <c r="C305" s="17" t="s">
        <v>176</v>
      </c>
      <c r="D305" s="17">
        <v>17.100000000000001</v>
      </c>
      <c r="E305" s="17">
        <v>14</v>
      </c>
      <c r="F305" s="16" t="s">
        <v>126</v>
      </c>
      <c r="G305" s="17" t="s">
        <v>739</v>
      </c>
      <c r="H305" s="17" t="s">
        <v>740</v>
      </c>
      <c r="I305" s="17" t="s">
        <v>34</v>
      </c>
      <c r="J305" s="17">
        <v>193</v>
      </c>
      <c r="K305" s="18">
        <v>46156</v>
      </c>
      <c r="L305" s="17" t="s">
        <v>24</v>
      </c>
      <c r="M305" s="7" t="s">
        <v>25</v>
      </c>
      <c r="N305" s="17"/>
    </row>
    <row r="306" spans="1:14" ht="51" customHeight="1" x14ac:dyDescent="0.2">
      <c r="A306" s="17">
        <v>305</v>
      </c>
      <c r="B306" s="16" t="s">
        <v>738</v>
      </c>
      <c r="C306" s="17" t="s">
        <v>179</v>
      </c>
      <c r="D306" s="17">
        <v>15.6</v>
      </c>
      <c r="E306" s="17"/>
      <c r="F306" s="16" t="s">
        <v>126</v>
      </c>
      <c r="G306" s="17" t="s">
        <v>739</v>
      </c>
      <c r="H306" s="17" t="s">
        <v>740</v>
      </c>
      <c r="I306" s="17" t="s">
        <v>34</v>
      </c>
      <c r="J306" s="17">
        <v>193</v>
      </c>
      <c r="K306" s="18">
        <v>46156</v>
      </c>
      <c r="L306" s="17" t="s">
        <v>24</v>
      </c>
      <c r="M306" s="7" t="s">
        <v>25</v>
      </c>
      <c r="N306" s="17"/>
    </row>
    <row r="307" spans="1:14" ht="51" customHeight="1" x14ac:dyDescent="0.2">
      <c r="A307" s="17">
        <v>306</v>
      </c>
      <c r="B307" s="16" t="s">
        <v>741</v>
      </c>
      <c r="C307" s="17" t="s">
        <v>176</v>
      </c>
      <c r="D307" s="17">
        <v>14.6</v>
      </c>
      <c r="E307" s="17">
        <v>16.8</v>
      </c>
      <c r="F307" s="16" t="s">
        <v>31</v>
      </c>
      <c r="G307" s="17" t="s">
        <v>742</v>
      </c>
      <c r="H307" s="17" t="s">
        <v>743</v>
      </c>
      <c r="I307" s="17" t="s">
        <v>34</v>
      </c>
      <c r="J307" s="17">
        <v>194</v>
      </c>
      <c r="K307" s="18">
        <v>46140</v>
      </c>
      <c r="L307" s="17" t="s">
        <v>82</v>
      </c>
      <c r="M307" s="7" t="s">
        <v>25</v>
      </c>
      <c r="N307" s="17"/>
    </row>
    <row r="308" spans="1:14" ht="51" customHeight="1" x14ac:dyDescent="0.2">
      <c r="A308" s="17">
        <v>307</v>
      </c>
      <c r="B308" s="16" t="s">
        <v>741</v>
      </c>
      <c r="C308" s="17" t="s">
        <v>179</v>
      </c>
      <c r="D308" s="17">
        <v>7.2</v>
      </c>
      <c r="E308" s="17"/>
      <c r="F308" s="16" t="s">
        <v>31</v>
      </c>
      <c r="G308" s="17" t="s">
        <v>742</v>
      </c>
      <c r="H308" s="17" t="s">
        <v>743</v>
      </c>
      <c r="I308" s="17" t="s">
        <v>34</v>
      </c>
      <c r="J308" s="17">
        <v>194</v>
      </c>
      <c r="K308" s="18">
        <v>46140</v>
      </c>
      <c r="L308" s="17" t="s">
        <v>82</v>
      </c>
      <c r="M308" s="7" t="s">
        <v>25</v>
      </c>
      <c r="N308" s="17"/>
    </row>
    <row r="309" spans="1:14" ht="51" customHeight="1" x14ac:dyDescent="0.2">
      <c r="A309" s="17">
        <v>308</v>
      </c>
      <c r="B309" s="16" t="s">
        <v>741</v>
      </c>
      <c r="C309" s="17" t="s">
        <v>464</v>
      </c>
      <c r="D309" s="17">
        <v>22.5</v>
      </c>
      <c r="E309" s="17"/>
      <c r="F309" s="16" t="s">
        <v>31</v>
      </c>
      <c r="G309" s="17" t="s">
        <v>742</v>
      </c>
      <c r="H309" s="17" t="s">
        <v>743</v>
      </c>
      <c r="I309" s="17" t="s">
        <v>34</v>
      </c>
      <c r="J309" s="17">
        <v>194</v>
      </c>
      <c r="K309" s="18">
        <v>46140</v>
      </c>
      <c r="L309" s="17" t="s">
        <v>82</v>
      </c>
      <c r="M309" s="7" t="s">
        <v>25</v>
      </c>
      <c r="N309" s="17"/>
    </row>
    <row r="310" spans="1:14" ht="89.25" customHeight="1" x14ac:dyDescent="0.2">
      <c r="A310" s="17">
        <v>309</v>
      </c>
      <c r="B310" s="16" t="s">
        <v>744</v>
      </c>
      <c r="C310" s="17" t="s">
        <v>176</v>
      </c>
      <c r="D310" s="17">
        <v>15.2</v>
      </c>
      <c r="E310" s="17">
        <v>8.5</v>
      </c>
      <c r="F310" s="16" t="s">
        <v>19</v>
      </c>
      <c r="G310" s="17" t="s">
        <v>745</v>
      </c>
      <c r="H310" s="17" t="s">
        <v>746</v>
      </c>
      <c r="I310" s="17" t="s">
        <v>34</v>
      </c>
      <c r="J310" s="17" t="s">
        <v>747</v>
      </c>
      <c r="K310" s="18">
        <v>46135</v>
      </c>
      <c r="L310" s="17" t="s">
        <v>24</v>
      </c>
      <c r="M310" s="7" t="s">
        <v>25</v>
      </c>
      <c r="N310" s="17"/>
    </row>
    <row r="311" spans="1:14" ht="89.25" customHeight="1" x14ac:dyDescent="0.2">
      <c r="A311" s="17">
        <v>310</v>
      </c>
      <c r="B311" s="16" t="s">
        <v>744</v>
      </c>
      <c r="C311" s="17" t="s">
        <v>179</v>
      </c>
      <c r="D311" s="17">
        <v>8.6999999999999993</v>
      </c>
      <c r="E311" s="17"/>
      <c r="F311" s="16" t="s">
        <v>19</v>
      </c>
      <c r="G311" s="17" t="s">
        <v>745</v>
      </c>
      <c r="H311" s="17" t="s">
        <v>746</v>
      </c>
      <c r="I311" s="17" t="s">
        <v>34</v>
      </c>
      <c r="J311" s="17" t="s">
        <v>747</v>
      </c>
      <c r="K311" s="18">
        <v>46135</v>
      </c>
      <c r="L311" s="17" t="s">
        <v>24</v>
      </c>
      <c r="M311" s="7" t="s">
        <v>25</v>
      </c>
      <c r="N311" s="17"/>
    </row>
    <row r="312" spans="1:14" ht="63.75" customHeight="1" x14ac:dyDescent="0.2">
      <c r="A312" s="17">
        <v>311</v>
      </c>
      <c r="B312" s="16" t="s">
        <v>744</v>
      </c>
      <c r="C312" s="17" t="s">
        <v>171</v>
      </c>
      <c r="D312" s="17">
        <v>15</v>
      </c>
      <c r="E312" s="17">
        <v>8.5</v>
      </c>
      <c r="F312" s="16" t="s">
        <v>19</v>
      </c>
      <c r="G312" s="17" t="s">
        <v>748</v>
      </c>
      <c r="H312" s="17" t="s">
        <v>749</v>
      </c>
      <c r="I312" s="17" t="s">
        <v>34</v>
      </c>
      <c r="J312" s="17" t="s">
        <v>750</v>
      </c>
      <c r="K312" s="18">
        <v>46157</v>
      </c>
      <c r="L312" s="17" t="s">
        <v>24</v>
      </c>
      <c r="M312" s="7" t="s">
        <v>25</v>
      </c>
      <c r="N312" s="17"/>
    </row>
    <row r="313" spans="1:14" ht="63.75" customHeight="1" x14ac:dyDescent="0.2">
      <c r="A313" s="17">
        <v>312</v>
      </c>
      <c r="B313" s="16" t="s">
        <v>744</v>
      </c>
      <c r="C313" s="17" t="s">
        <v>174</v>
      </c>
      <c r="D313" s="17">
        <v>7.4</v>
      </c>
      <c r="E313" s="17"/>
      <c r="F313" s="16" t="s">
        <v>19</v>
      </c>
      <c r="G313" s="17" t="s">
        <v>748</v>
      </c>
      <c r="H313" s="17" t="s">
        <v>749</v>
      </c>
      <c r="I313" s="17" t="s">
        <v>34</v>
      </c>
      <c r="J313" s="17" t="s">
        <v>750</v>
      </c>
      <c r="K313" s="18">
        <v>46157</v>
      </c>
      <c r="L313" s="17" t="s">
        <v>24</v>
      </c>
      <c r="M313" s="7" t="s">
        <v>25</v>
      </c>
      <c r="N313" s="17"/>
    </row>
    <row r="314" spans="1:14" ht="25.5" customHeight="1" x14ac:dyDescent="0.2">
      <c r="A314" s="17">
        <v>313</v>
      </c>
      <c r="B314" s="16" t="s">
        <v>751</v>
      </c>
      <c r="C314" s="17" t="s">
        <v>176</v>
      </c>
      <c r="D314" s="17">
        <v>15.7</v>
      </c>
      <c r="E314" s="17">
        <v>8.4</v>
      </c>
      <c r="F314" s="16" t="s">
        <v>151</v>
      </c>
      <c r="G314" s="17" t="s">
        <v>752</v>
      </c>
      <c r="H314" s="17" t="s">
        <v>753</v>
      </c>
      <c r="I314" s="17" t="s">
        <v>22</v>
      </c>
      <c r="J314" s="17" t="s">
        <v>754</v>
      </c>
      <c r="K314" s="18">
        <v>46150</v>
      </c>
      <c r="L314" s="17" t="s">
        <v>24</v>
      </c>
      <c r="M314" s="7" t="s">
        <v>25</v>
      </c>
      <c r="N314" s="17"/>
    </row>
    <row r="315" spans="1:14" ht="25.5" customHeight="1" x14ac:dyDescent="0.2">
      <c r="A315" s="17">
        <v>314</v>
      </c>
      <c r="B315" s="16" t="s">
        <v>751</v>
      </c>
      <c r="C315" s="17" t="s">
        <v>179</v>
      </c>
      <c r="D315" s="17">
        <v>7.6</v>
      </c>
      <c r="E315" s="17"/>
      <c r="F315" s="16" t="s">
        <v>151</v>
      </c>
      <c r="G315" s="17" t="s">
        <v>752</v>
      </c>
      <c r="H315" s="17" t="s">
        <v>753</v>
      </c>
      <c r="I315" s="17" t="s">
        <v>22</v>
      </c>
      <c r="J315" s="17" t="s">
        <v>754</v>
      </c>
      <c r="K315" s="18">
        <v>46150</v>
      </c>
      <c r="L315" s="17" t="s">
        <v>24</v>
      </c>
      <c r="M315" s="7" t="s">
        <v>25</v>
      </c>
      <c r="N315" s="17"/>
    </row>
    <row r="316" spans="1:14" ht="51" customHeight="1" x14ac:dyDescent="0.2">
      <c r="A316" s="17">
        <v>315</v>
      </c>
      <c r="B316" s="16" t="s">
        <v>751</v>
      </c>
      <c r="C316" s="17" t="s">
        <v>171</v>
      </c>
      <c r="D316" s="17">
        <v>15.7</v>
      </c>
      <c r="E316" s="17">
        <v>8.4</v>
      </c>
      <c r="F316" s="16" t="s">
        <v>126</v>
      </c>
      <c r="G316" s="17" t="s">
        <v>755</v>
      </c>
      <c r="H316" s="17" t="s">
        <v>756</v>
      </c>
      <c r="I316" s="17" t="s">
        <v>34</v>
      </c>
      <c r="J316" s="17" t="s">
        <v>757</v>
      </c>
      <c r="K316" s="18">
        <v>46156</v>
      </c>
      <c r="L316" s="17" t="s">
        <v>24</v>
      </c>
      <c r="M316" s="7" t="s">
        <v>25</v>
      </c>
      <c r="N316" s="17"/>
    </row>
    <row r="317" spans="1:14" ht="51" customHeight="1" x14ac:dyDescent="0.2">
      <c r="A317" s="17">
        <v>316</v>
      </c>
      <c r="B317" s="16" t="s">
        <v>751</v>
      </c>
      <c r="C317" s="17" t="s">
        <v>174</v>
      </c>
      <c r="D317" s="17">
        <v>7.5</v>
      </c>
      <c r="E317" s="17"/>
      <c r="F317" s="16" t="s">
        <v>126</v>
      </c>
      <c r="G317" s="17" t="s">
        <v>755</v>
      </c>
      <c r="H317" s="17" t="s">
        <v>756</v>
      </c>
      <c r="I317" s="17" t="s">
        <v>34</v>
      </c>
      <c r="J317" s="17" t="s">
        <v>758</v>
      </c>
      <c r="K317" s="18">
        <v>46156</v>
      </c>
      <c r="L317" s="17" t="s">
        <v>24</v>
      </c>
      <c r="M317" s="7" t="s">
        <v>25</v>
      </c>
      <c r="N317" s="17"/>
    </row>
    <row r="318" spans="1:14" ht="63.75" customHeight="1" x14ac:dyDescent="0.2">
      <c r="A318" s="17">
        <v>317</v>
      </c>
      <c r="B318" s="16" t="s">
        <v>759</v>
      </c>
      <c r="C318" s="17" t="s">
        <v>176</v>
      </c>
      <c r="D318" s="17">
        <v>15.6</v>
      </c>
      <c r="E318" s="17">
        <v>9</v>
      </c>
      <c r="F318" s="16" t="s">
        <v>62</v>
      </c>
      <c r="G318" s="17" t="s">
        <v>760</v>
      </c>
      <c r="H318" s="17" t="s">
        <v>761</v>
      </c>
      <c r="I318" s="17" t="s">
        <v>34</v>
      </c>
      <c r="J318" s="17" t="s">
        <v>762</v>
      </c>
      <c r="K318" s="18">
        <v>46147</v>
      </c>
      <c r="L318" s="17" t="s">
        <v>82</v>
      </c>
      <c r="M318" s="7" t="s">
        <v>25</v>
      </c>
      <c r="N318" s="17"/>
    </row>
    <row r="319" spans="1:14" ht="63.75" customHeight="1" x14ac:dyDescent="0.2">
      <c r="A319" s="17">
        <v>318</v>
      </c>
      <c r="B319" s="16" t="s">
        <v>759</v>
      </c>
      <c r="C319" s="17" t="s">
        <v>179</v>
      </c>
      <c r="D319" s="17">
        <v>8.6999999999999993</v>
      </c>
      <c r="E319" s="17"/>
      <c r="F319" s="16" t="s">
        <v>62</v>
      </c>
      <c r="G319" s="17" t="s">
        <v>760</v>
      </c>
      <c r="H319" s="17" t="s">
        <v>761</v>
      </c>
      <c r="I319" s="17" t="s">
        <v>34</v>
      </c>
      <c r="J319" s="17" t="s">
        <v>762</v>
      </c>
      <c r="K319" s="18">
        <v>46147</v>
      </c>
      <c r="L319" s="17" t="s">
        <v>82</v>
      </c>
      <c r="M319" s="7" t="s">
        <v>25</v>
      </c>
      <c r="N319" s="17"/>
    </row>
    <row r="320" spans="1:14" ht="63.75" customHeight="1" x14ac:dyDescent="0.2">
      <c r="A320" s="17">
        <v>319</v>
      </c>
      <c r="B320" s="16" t="s">
        <v>759</v>
      </c>
      <c r="C320" s="17" t="s">
        <v>171</v>
      </c>
      <c r="D320" s="17">
        <v>15.8</v>
      </c>
      <c r="E320" s="17">
        <v>8.6</v>
      </c>
      <c r="F320" s="16" t="s">
        <v>162</v>
      </c>
      <c r="G320" s="17" t="s">
        <v>763</v>
      </c>
      <c r="H320" s="17" t="s">
        <v>4898</v>
      </c>
      <c r="I320" s="17" t="s">
        <v>34</v>
      </c>
      <c r="J320" s="17" t="s">
        <v>764</v>
      </c>
      <c r="K320" s="18">
        <v>46137</v>
      </c>
      <c r="L320" s="17" t="s">
        <v>24</v>
      </c>
      <c r="M320" s="7" t="s">
        <v>25</v>
      </c>
      <c r="N320" s="17"/>
    </row>
    <row r="321" spans="1:14" ht="63.75" customHeight="1" x14ac:dyDescent="0.2">
      <c r="A321" s="17">
        <v>320</v>
      </c>
      <c r="B321" s="16" t="s">
        <v>759</v>
      </c>
      <c r="C321" s="17" t="s">
        <v>174</v>
      </c>
      <c r="D321" s="17">
        <v>9</v>
      </c>
      <c r="E321" s="17"/>
      <c r="F321" s="16" t="s">
        <v>162</v>
      </c>
      <c r="G321" s="17" t="s">
        <v>763</v>
      </c>
      <c r="H321" s="17" t="s">
        <v>4898</v>
      </c>
      <c r="I321" s="17" t="s">
        <v>34</v>
      </c>
      <c r="J321" s="17" t="s">
        <v>764</v>
      </c>
      <c r="K321" s="18">
        <v>46137</v>
      </c>
      <c r="L321" s="17" t="s">
        <v>24</v>
      </c>
      <c r="M321" s="7" t="s">
        <v>25</v>
      </c>
      <c r="N321" s="17"/>
    </row>
    <row r="322" spans="1:14" ht="25.5" customHeight="1" x14ac:dyDescent="0.2">
      <c r="A322" s="17">
        <v>321</v>
      </c>
      <c r="B322" s="16" t="s">
        <v>765</v>
      </c>
      <c r="C322" s="17" t="s">
        <v>176</v>
      </c>
      <c r="D322" s="17">
        <v>15</v>
      </c>
      <c r="E322" s="17">
        <v>17.3</v>
      </c>
      <c r="F322" s="16" t="s">
        <v>31</v>
      </c>
      <c r="G322" s="17" t="s">
        <v>766</v>
      </c>
      <c r="H322" s="17" t="s">
        <v>767</v>
      </c>
      <c r="I322" s="17" t="s">
        <v>312</v>
      </c>
      <c r="J322" s="17">
        <v>198</v>
      </c>
      <c r="K322" s="18">
        <v>46154</v>
      </c>
      <c r="L322" s="17" t="s">
        <v>24</v>
      </c>
      <c r="M322" s="7" t="s">
        <v>25</v>
      </c>
      <c r="N322" s="17"/>
    </row>
    <row r="323" spans="1:14" ht="25.5" customHeight="1" x14ac:dyDescent="0.2">
      <c r="A323" s="17">
        <v>322</v>
      </c>
      <c r="B323" s="16" t="s">
        <v>765</v>
      </c>
      <c r="C323" s="17" t="s">
        <v>179</v>
      </c>
      <c r="D323" s="17">
        <v>5.9</v>
      </c>
      <c r="E323" s="17"/>
      <c r="F323" s="16" t="s">
        <v>31</v>
      </c>
      <c r="G323" s="17" t="s">
        <v>766</v>
      </c>
      <c r="H323" s="17" t="s">
        <v>767</v>
      </c>
      <c r="I323" s="17" t="s">
        <v>312</v>
      </c>
      <c r="J323" s="17">
        <v>198</v>
      </c>
      <c r="K323" s="18">
        <v>46154</v>
      </c>
      <c r="L323" s="17" t="s">
        <v>24</v>
      </c>
      <c r="M323" s="7" t="s">
        <v>25</v>
      </c>
      <c r="N323" s="17"/>
    </row>
    <row r="324" spans="1:14" ht="25.5" customHeight="1" x14ac:dyDescent="0.2">
      <c r="A324" s="17">
        <v>323</v>
      </c>
      <c r="B324" s="16" t="s">
        <v>765</v>
      </c>
      <c r="C324" s="17" t="s">
        <v>464</v>
      </c>
      <c r="D324" s="17">
        <v>24.4</v>
      </c>
      <c r="E324" s="17"/>
      <c r="F324" s="16" t="s">
        <v>31</v>
      </c>
      <c r="G324" s="17" t="s">
        <v>766</v>
      </c>
      <c r="H324" s="17" t="s">
        <v>767</v>
      </c>
      <c r="I324" s="17" t="s">
        <v>312</v>
      </c>
      <c r="J324" s="17">
        <v>198</v>
      </c>
      <c r="K324" s="18">
        <v>46154</v>
      </c>
      <c r="L324" s="17" t="s">
        <v>24</v>
      </c>
      <c r="M324" s="7" t="s">
        <v>25</v>
      </c>
      <c r="N324" s="17"/>
    </row>
    <row r="325" spans="1:14" x14ac:dyDescent="0.2">
      <c r="A325" s="17">
        <v>324</v>
      </c>
      <c r="B325" s="16" t="s">
        <v>768</v>
      </c>
      <c r="C325" s="17" t="s">
        <v>176</v>
      </c>
      <c r="D325" s="17">
        <v>21.2</v>
      </c>
      <c r="E325" s="17">
        <v>16.100000000000001</v>
      </c>
      <c r="F325" s="16" t="s">
        <v>48</v>
      </c>
      <c r="G325" s="17" t="s">
        <v>769</v>
      </c>
      <c r="H325" s="17" t="s">
        <v>770</v>
      </c>
      <c r="I325" s="17" t="s">
        <v>28</v>
      </c>
      <c r="J325" s="17">
        <v>199</v>
      </c>
      <c r="K325" s="18">
        <v>46156</v>
      </c>
      <c r="L325" s="17" t="s">
        <v>24</v>
      </c>
      <c r="M325" s="7" t="s">
        <v>25</v>
      </c>
      <c r="N325" s="17"/>
    </row>
    <row r="326" spans="1:14" x14ac:dyDescent="0.2">
      <c r="A326" s="17">
        <v>325</v>
      </c>
      <c r="B326" s="16" t="s">
        <v>768</v>
      </c>
      <c r="C326" s="17" t="s">
        <v>179</v>
      </c>
      <c r="D326" s="17">
        <v>37.9</v>
      </c>
      <c r="E326" s="17"/>
      <c r="F326" s="16" t="s">
        <v>48</v>
      </c>
      <c r="G326" s="17" t="s">
        <v>769</v>
      </c>
      <c r="H326" s="17" t="s">
        <v>770</v>
      </c>
      <c r="I326" s="17" t="s">
        <v>28</v>
      </c>
      <c r="J326" s="17">
        <v>199</v>
      </c>
      <c r="K326" s="18">
        <v>46156</v>
      </c>
      <c r="L326" s="17" t="s">
        <v>24</v>
      </c>
      <c r="M326" s="7" t="s">
        <v>25</v>
      </c>
      <c r="N326" s="17"/>
    </row>
    <row r="327" spans="1:14" ht="25.5" customHeight="1" x14ac:dyDescent="0.2">
      <c r="A327" s="17">
        <v>326</v>
      </c>
      <c r="B327" s="16" t="s">
        <v>771</v>
      </c>
      <c r="C327" s="17" t="s">
        <v>176</v>
      </c>
      <c r="D327" s="17">
        <v>18.899999999999999</v>
      </c>
      <c r="E327" s="17"/>
      <c r="F327" s="16" t="s">
        <v>162</v>
      </c>
      <c r="G327" s="17" t="s">
        <v>772</v>
      </c>
      <c r="H327" s="17" t="s">
        <v>773</v>
      </c>
      <c r="I327" s="17" t="s">
        <v>267</v>
      </c>
      <c r="J327" s="17" t="s">
        <v>774</v>
      </c>
      <c r="K327" s="18">
        <v>46136</v>
      </c>
      <c r="L327" s="17" t="s">
        <v>24</v>
      </c>
      <c r="M327" s="7" t="s">
        <v>25</v>
      </c>
      <c r="N327" s="17"/>
    </row>
    <row r="328" spans="1:14" ht="25.5" customHeight="1" x14ac:dyDescent="0.2">
      <c r="A328" s="17">
        <v>327</v>
      </c>
      <c r="B328" s="16" t="s">
        <v>771</v>
      </c>
      <c r="C328" s="17" t="s">
        <v>179</v>
      </c>
      <c r="D328" s="17">
        <v>11.3</v>
      </c>
      <c r="E328" s="17"/>
      <c r="F328" s="16" t="s">
        <v>162</v>
      </c>
      <c r="G328" s="17" t="s">
        <v>772</v>
      </c>
      <c r="H328" s="17" t="s">
        <v>773</v>
      </c>
      <c r="I328" s="17" t="s">
        <v>267</v>
      </c>
      <c r="J328" s="17" t="s">
        <v>774</v>
      </c>
      <c r="K328" s="18">
        <v>46136</v>
      </c>
      <c r="L328" s="17" t="s">
        <v>24</v>
      </c>
      <c r="M328" s="7" t="s">
        <v>25</v>
      </c>
      <c r="N328" s="17"/>
    </row>
    <row r="329" spans="1:14" ht="25.5" customHeight="1" x14ac:dyDescent="0.2">
      <c r="A329" s="17">
        <v>328</v>
      </c>
      <c r="B329" s="16" t="s">
        <v>771</v>
      </c>
      <c r="C329" s="17" t="s">
        <v>464</v>
      </c>
      <c r="D329" s="17">
        <v>18.899999999999999</v>
      </c>
      <c r="E329" s="17"/>
      <c r="F329" s="16" t="s">
        <v>162</v>
      </c>
      <c r="G329" s="17" t="s">
        <v>775</v>
      </c>
      <c r="H329" s="17" t="s">
        <v>773</v>
      </c>
      <c r="I329" s="17" t="s">
        <v>267</v>
      </c>
      <c r="J329" s="17" t="s">
        <v>776</v>
      </c>
      <c r="K329" s="18">
        <v>46136</v>
      </c>
      <c r="L329" s="17" t="s">
        <v>24</v>
      </c>
      <c r="M329" s="7" t="s">
        <v>25</v>
      </c>
      <c r="N329" s="17"/>
    </row>
    <row r="330" spans="1:14" ht="25.5" customHeight="1" x14ac:dyDescent="0.2">
      <c r="A330" s="17">
        <v>329</v>
      </c>
      <c r="B330" s="16" t="s">
        <v>771</v>
      </c>
      <c r="C330" s="17" t="s">
        <v>194</v>
      </c>
      <c r="D330" s="17">
        <v>11.3</v>
      </c>
      <c r="E330" s="17"/>
      <c r="F330" s="16" t="s">
        <v>162</v>
      </c>
      <c r="G330" s="17" t="s">
        <v>775</v>
      </c>
      <c r="H330" s="17" t="s">
        <v>773</v>
      </c>
      <c r="I330" s="17" t="s">
        <v>267</v>
      </c>
      <c r="J330" s="17" t="s">
        <v>776</v>
      </c>
      <c r="K330" s="18">
        <v>46136</v>
      </c>
      <c r="L330" s="17" t="s">
        <v>24</v>
      </c>
      <c r="M330" s="7" t="s">
        <v>25</v>
      </c>
      <c r="N330" s="17"/>
    </row>
    <row r="331" spans="1:14" ht="25.5" customHeight="1" x14ac:dyDescent="0.2">
      <c r="A331" s="17">
        <v>330</v>
      </c>
      <c r="B331" s="16" t="s">
        <v>771</v>
      </c>
      <c r="C331" s="17" t="s">
        <v>777</v>
      </c>
      <c r="D331" s="17">
        <v>18.899999999999999</v>
      </c>
      <c r="E331" s="17"/>
      <c r="F331" s="16" t="s">
        <v>162</v>
      </c>
      <c r="G331" s="17" t="s">
        <v>778</v>
      </c>
      <c r="H331" s="17" t="s">
        <v>773</v>
      </c>
      <c r="I331" s="17" t="s">
        <v>267</v>
      </c>
      <c r="J331" s="17" t="s">
        <v>779</v>
      </c>
      <c r="K331" s="18">
        <v>46136</v>
      </c>
      <c r="L331" s="17" t="s">
        <v>24</v>
      </c>
      <c r="M331" s="7" t="s">
        <v>25</v>
      </c>
      <c r="N331" s="17"/>
    </row>
    <row r="332" spans="1:14" ht="25.5" customHeight="1" x14ac:dyDescent="0.2">
      <c r="A332" s="17">
        <v>331</v>
      </c>
      <c r="B332" s="16" t="s">
        <v>771</v>
      </c>
      <c r="C332" s="17" t="s">
        <v>780</v>
      </c>
      <c r="D332" s="17">
        <v>11.4</v>
      </c>
      <c r="E332" s="17"/>
      <c r="F332" s="16" t="s">
        <v>162</v>
      </c>
      <c r="G332" s="17" t="s">
        <v>778</v>
      </c>
      <c r="H332" s="17" t="s">
        <v>773</v>
      </c>
      <c r="I332" s="17" t="s">
        <v>267</v>
      </c>
      <c r="J332" s="17" t="s">
        <v>779</v>
      </c>
      <c r="K332" s="18">
        <v>46136</v>
      </c>
      <c r="L332" s="17" t="s">
        <v>24</v>
      </c>
      <c r="M332" s="7" t="s">
        <v>25</v>
      </c>
      <c r="N332" s="17"/>
    </row>
    <row r="333" spans="1:14" ht="25.5" customHeight="1" x14ac:dyDescent="0.2">
      <c r="A333" s="17">
        <v>332</v>
      </c>
      <c r="B333" s="16" t="s">
        <v>771</v>
      </c>
      <c r="C333" s="17" t="s">
        <v>781</v>
      </c>
      <c r="D333" s="17">
        <v>18.899999999999999</v>
      </c>
      <c r="E333" s="17"/>
      <c r="F333" s="16" t="s">
        <v>162</v>
      </c>
      <c r="G333" s="17" t="s">
        <v>782</v>
      </c>
      <c r="H333" s="17" t="s">
        <v>773</v>
      </c>
      <c r="I333" s="17" t="s">
        <v>267</v>
      </c>
      <c r="J333" s="17" t="s">
        <v>783</v>
      </c>
      <c r="K333" s="18">
        <v>46136</v>
      </c>
      <c r="L333" s="17" t="s">
        <v>24</v>
      </c>
      <c r="M333" s="7" t="s">
        <v>25</v>
      </c>
      <c r="N333" s="17"/>
    </row>
    <row r="334" spans="1:14" ht="25.5" customHeight="1" x14ac:dyDescent="0.2">
      <c r="A334" s="17">
        <v>333</v>
      </c>
      <c r="B334" s="16" t="s">
        <v>771</v>
      </c>
      <c r="C334" s="17" t="s">
        <v>784</v>
      </c>
      <c r="D334" s="17">
        <v>11.3</v>
      </c>
      <c r="E334" s="17"/>
      <c r="F334" s="16" t="s">
        <v>162</v>
      </c>
      <c r="G334" s="17" t="s">
        <v>782</v>
      </c>
      <c r="H334" s="17" t="s">
        <v>773</v>
      </c>
      <c r="I334" s="17" t="s">
        <v>267</v>
      </c>
      <c r="J334" s="17" t="s">
        <v>783</v>
      </c>
      <c r="K334" s="18">
        <v>46136</v>
      </c>
      <c r="L334" s="17" t="s">
        <v>24</v>
      </c>
      <c r="M334" s="7" t="s">
        <v>25</v>
      </c>
      <c r="N334" s="17"/>
    </row>
    <row r="335" spans="1:14" ht="63.75" customHeight="1" x14ac:dyDescent="0.2">
      <c r="A335" s="17">
        <v>334</v>
      </c>
      <c r="B335" s="16" t="s">
        <v>785</v>
      </c>
      <c r="C335" s="17" t="s">
        <v>176</v>
      </c>
      <c r="D335" s="17">
        <v>22.5</v>
      </c>
      <c r="E335" s="17">
        <v>12.6</v>
      </c>
      <c r="F335" s="16" t="s">
        <v>31</v>
      </c>
      <c r="G335" s="17" t="s">
        <v>786</v>
      </c>
      <c r="H335" s="17" t="s">
        <v>787</v>
      </c>
      <c r="I335" s="17" t="s">
        <v>34</v>
      </c>
      <c r="J335" s="17" t="s">
        <v>788</v>
      </c>
      <c r="K335" s="18">
        <v>46154</v>
      </c>
      <c r="L335" s="17" t="s">
        <v>24</v>
      </c>
      <c r="M335" s="7" t="s">
        <v>25</v>
      </c>
      <c r="N335" s="17"/>
    </row>
    <row r="336" spans="1:14" ht="25.5" customHeight="1" x14ac:dyDescent="0.2">
      <c r="A336" s="17">
        <v>335</v>
      </c>
      <c r="B336" s="16" t="s">
        <v>785</v>
      </c>
      <c r="C336" s="17" t="s">
        <v>171</v>
      </c>
      <c r="D336" s="17">
        <v>21.6</v>
      </c>
      <c r="E336" s="17">
        <v>13</v>
      </c>
      <c r="F336" s="16" t="s">
        <v>162</v>
      </c>
      <c r="G336" s="17" t="s">
        <v>789</v>
      </c>
      <c r="H336" s="17" t="s">
        <v>790</v>
      </c>
      <c r="I336" s="17" t="s">
        <v>28</v>
      </c>
      <c r="J336" s="17" t="s">
        <v>791</v>
      </c>
      <c r="K336" s="18">
        <v>46147</v>
      </c>
      <c r="L336" s="17" t="s">
        <v>24</v>
      </c>
      <c r="M336" s="7" t="s">
        <v>25</v>
      </c>
      <c r="N336" s="17"/>
    </row>
    <row r="337" spans="1:14" ht="25.5" customHeight="1" x14ac:dyDescent="0.2">
      <c r="A337" s="17">
        <v>336</v>
      </c>
      <c r="B337" s="16" t="s">
        <v>792</v>
      </c>
      <c r="C337" s="17" t="s">
        <v>176</v>
      </c>
      <c r="D337" s="17">
        <v>20.399999999999999</v>
      </c>
      <c r="E337" s="17">
        <v>11.9</v>
      </c>
      <c r="F337" s="16" t="s">
        <v>151</v>
      </c>
      <c r="G337" s="17" t="s">
        <v>793</v>
      </c>
      <c r="H337" s="17" t="s">
        <v>794</v>
      </c>
      <c r="I337" s="17" t="s">
        <v>28</v>
      </c>
      <c r="J337" s="17" t="s">
        <v>795</v>
      </c>
      <c r="K337" s="18">
        <v>46133</v>
      </c>
      <c r="L337" s="17" t="s">
        <v>24</v>
      </c>
      <c r="M337" s="7" t="s">
        <v>25</v>
      </c>
      <c r="N337" s="17"/>
    </row>
    <row r="338" spans="1:14" ht="25.5" customHeight="1" x14ac:dyDescent="0.2">
      <c r="A338" s="14">
        <v>337</v>
      </c>
      <c r="B338" s="15" t="s">
        <v>792</v>
      </c>
      <c r="C338" s="14" t="s">
        <v>171</v>
      </c>
      <c r="D338" s="14">
        <v>23</v>
      </c>
      <c r="E338" s="14">
        <v>12.5</v>
      </c>
      <c r="F338" s="15" t="s">
        <v>48</v>
      </c>
      <c r="G338" s="14"/>
      <c r="H338" s="14"/>
      <c r="I338" s="14"/>
      <c r="J338" s="14"/>
      <c r="K338" s="14"/>
      <c r="L338" s="14"/>
      <c r="M338" s="14" t="s">
        <v>286</v>
      </c>
      <c r="N338" s="14"/>
    </row>
    <row r="339" spans="1:14" x14ac:dyDescent="0.2">
      <c r="A339" s="10"/>
      <c r="B339" s="10"/>
      <c r="C339" s="10"/>
      <c r="D339" s="10"/>
      <c r="E339" s="10"/>
      <c r="F339" s="10"/>
      <c r="M339" s="10"/>
      <c r="N339" s="10"/>
    </row>
    <row r="340" spans="1:14" x14ac:dyDescent="0.2">
      <c r="A340" s="10"/>
      <c r="B340" s="10"/>
      <c r="C340" s="10"/>
      <c r="D340" s="10"/>
      <c r="E340" s="10"/>
      <c r="F340" s="10"/>
      <c r="M340" s="10"/>
      <c r="N340" s="10"/>
    </row>
    <row r="341" spans="1:14" x14ac:dyDescent="0.2">
      <c r="A341" s="10"/>
      <c r="B341" s="10"/>
      <c r="C341" s="10"/>
      <c r="D341" s="10"/>
      <c r="E341" s="10"/>
      <c r="F341" s="10"/>
      <c r="M341" s="10"/>
      <c r="N341" s="10"/>
    </row>
    <row r="342" spans="1:14" x14ac:dyDescent="0.2">
      <c r="A342" s="10"/>
      <c r="B342" s="10"/>
      <c r="C342" s="10"/>
      <c r="D342" s="10"/>
      <c r="E342" s="10"/>
      <c r="F342" s="10"/>
      <c r="M342" s="10"/>
      <c r="N342" s="10"/>
    </row>
    <row r="343" spans="1:14" x14ac:dyDescent="0.2">
      <c r="A343" s="10"/>
      <c r="B343" s="10"/>
      <c r="C343" s="10"/>
      <c r="D343" s="10"/>
      <c r="E343" s="10"/>
      <c r="F343" s="10"/>
      <c r="M343" s="10"/>
      <c r="N343" s="10"/>
    </row>
    <row r="344" spans="1:14" x14ac:dyDescent="0.2">
      <c r="A344" s="10"/>
      <c r="B344" s="10"/>
      <c r="C344" s="10"/>
      <c r="D344" s="10"/>
      <c r="E344" s="10"/>
      <c r="F344" s="10"/>
      <c r="M344" s="10"/>
      <c r="N344" s="10"/>
    </row>
    <row r="345" spans="1:14" x14ac:dyDescent="0.2">
      <c r="A345" s="10"/>
      <c r="B345" s="10"/>
      <c r="C345" s="10"/>
      <c r="D345" s="10"/>
      <c r="E345" s="10"/>
      <c r="F345" s="10"/>
      <c r="M345" s="10"/>
      <c r="N345" s="10"/>
    </row>
    <row r="346" spans="1:14" x14ac:dyDescent="0.2">
      <c r="A346" s="10"/>
      <c r="B346" s="10"/>
      <c r="C346" s="10"/>
      <c r="D346" s="10"/>
      <c r="E346" s="10"/>
      <c r="F346" s="10"/>
      <c r="M346" s="10"/>
      <c r="N346" s="10"/>
    </row>
    <row r="347" spans="1:14" x14ac:dyDescent="0.2">
      <c r="A347" s="10"/>
      <c r="B347" s="10"/>
      <c r="C347" s="10"/>
      <c r="D347" s="10"/>
      <c r="E347" s="10"/>
      <c r="F347" s="10"/>
      <c r="M347" s="10"/>
      <c r="N347" s="10"/>
    </row>
    <row r="348" spans="1:14" x14ac:dyDescent="0.2">
      <c r="A348" s="10"/>
      <c r="B348" s="10"/>
      <c r="C348" s="10"/>
      <c r="D348" s="10"/>
      <c r="E348" s="10"/>
      <c r="F348" s="10"/>
      <c r="M348" s="10"/>
      <c r="N348" s="10"/>
    </row>
    <row r="349" spans="1:14" x14ac:dyDescent="0.2">
      <c r="A349" s="10"/>
      <c r="B349" s="10"/>
      <c r="C349" s="10"/>
      <c r="D349" s="10"/>
      <c r="E349" s="10"/>
      <c r="F349" s="10"/>
      <c r="M349" s="10"/>
      <c r="N349" s="10"/>
    </row>
    <row r="350" spans="1:14" x14ac:dyDescent="0.2">
      <c r="A350" s="10"/>
      <c r="B350" s="10"/>
      <c r="C350" s="10"/>
      <c r="D350" s="10"/>
      <c r="E350" s="10"/>
      <c r="F350" s="10"/>
      <c r="M350" s="10"/>
      <c r="N350" s="10"/>
    </row>
    <row r="351" spans="1:14" x14ac:dyDescent="0.2">
      <c r="A351" s="10"/>
      <c r="B351" s="10"/>
      <c r="C351" s="10"/>
      <c r="D351" s="10"/>
      <c r="E351" s="10"/>
      <c r="F351" s="10"/>
      <c r="M351" s="10"/>
      <c r="N351" s="10"/>
    </row>
    <row r="352" spans="1:14" x14ac:dyDescent="0.2">
      <c r="A352" s="10"/>
      <c r="B352" s="10"/>
      <c r="C352" s="10"/>
      <c r="D352" s="10"/>
      <c r="E352" s="10"/>
      <c r="F352" s="10"/>
      <c r="M352" s="10"/>
      <c r="N352" s="10"/>
    </row>
    <row r="353" spans="1:14" x14ac:dyDescent="0.2">
      <c r="A353" s="10"/>
      <c r="B353" s="10"/>
      <c r="C353" s="10"/>
      <c r="D353" s="10"/>
      <c r="E353" s="10"/>
      <c r="F353" s="10"/>
      <c r="M353" s="10"/>
      <c r="N353" s="10"/>
    </row>
    <row r="354" spans="1:14" x14ac:dyDescent="0.2">
      <c r="A354" s="10"/>
      <c r="B354" s="10"/>
      <c r="C354" s="10"/>
      <c r="D354" s="10"/>
      <c r="E354" s="10"/>
      <c r="F354" s="10"/>
      <c r="M354" s="10"/>
      <c r="N354" s="10"/>
    </row>
    <row r="355" spans="1:14" x14ac:dyDescent="0.2">
      <c r="A355" s="10"/>
      <c r="B355" s="10"/>
      <c r="C355" s="10"/>
      <c r="D355" s="10"/>
      <c r="E355" s="10"/>
      <c r="F355" s="10"/>
      <c r="M355" s="10"/>
      <c r="N355" s="10"/>
    </row>
    <row r="356" spans="1:14" x14ac:dyDescent="0.2">
      <c r="A356" s="10"/>
      <c r="B356" s="10"/>
      <c r="C356" s="10"/>
      <c r="D356" s="10"/>
      <c r="E356" s="10"/>
      <c r="F356" s="10"/>
      <c r="M356" s="10"/>
      <c r="N356" s="10"/>
    </row>
    <row r="357" spans="1:14" x14ac:dyDescent="0.2">
      <c r="A357" s="10"/>
      <c r="B357" s="10"/>
      <c r="C357" s="10"/>
      <c r="D357" s="10"/>
      <c r="E357" s="10"/>
      <c r="F357" s="10"/>
      <c r="M357" s="10"/>
      <c r="N357" s="10"/>
    </row>
    <row r="358" spans="1:14" x14ac:dyDescent="0.2">
      <c r="A358" s="10"/>
      <c r="B358" s="10"/>
      <c r="C358" s="10"/>
      <c r="D358" s="10"/>
      <c r="E358" s="10"/>
      <c r="F358" s="10"/>
      <c r="M358" s="10"/>
      <c r="N358" s="10"/>
    </row>
    <row r="359" spans="1:14" x14ac:dyDescent="0.2">
      <c r="A359" s="10"/>
      <c r="B359" s="10"/>
      <c r="C359" s="10"/>
      <c r="D359" s="10"/>
      <c r="E359" s="10"/>
      <c r="F359" s="10"/>
      <c r="M359" s="10"/>
      <c r="N359" s="10"/>
    </row>
    <row r="360" spans="1:14" x14ac:dyDescent="0.2">
      <c r="A360" s="10"/>
      <c r="B360" s="10"/>
      <c r="C360" s="10"/>
      <c r="D360" s="10"/>
      <c r="E360" s="10"/>
      <c r="F360" s="10"/>
      <c r="M360" s="10"/>
      <c r="N360" s="10"/>
    </row>
    <row r="361" spans="1:14" x14ac:dyDescent="0.2">
      <c r="A361" s="10"/>
      <c r="B361" s="10"/>
      <c r="C361" s="10"/>
      <c r="D361" s="10"/>
      <c r="E361" s="10"/>
      <c r="F361" s="10"/>
      <c r="M361" s="10"/>
      <c r="N361" s="10"/>
    </row>
    <row r="362" spans="1:14" x14ac:dyDescent="0.2">
      <c r="A362" s="10"/>
      <c r="B362" s="10"/>
      <c r="C362" s="10"/>
      <c r="D362" s="10"/>
      <c r="E362" s="10"/>
      <c r="F362" s="10"/>
      <c r="M362" s="10"/>
      <c r="N362" s="10"/>
    </row>
    <row r="363" spans="1:14" x14ac:dyDescent="0.2">
      <c r="A363" s="10"/>
      <c r="B363" s="10"/>
      <c r="C363" s="10"/>
      <c r="D363" s="10"/>
      <c r="E363" s="10"/>
      <c r="F363" s="10"/>
      <c r="M363" s="10"/>
      <c r="N363" s="10"/>
    </row>
    <row r="364" spans="1:14" x14ac:dyDescent="0.2">
      <c r="A364" s="10"/>
      <c r="B364" s="10"/>
      <c r="C364" s="10"/>
      <c r="D364" s="10"/>
      <c r="E364" s="10"/>
      <c r="F364" s="10"/>
      <c r="M364" s="10"/>
      <c r="N364" s="10"/>
    </row>
    <row r="365" spans="1:14" x14ac:dyDescent="0.2">
      <c r="A365" s="10"/>
      <c r="B365" s="10"/>
      <c r="C365" s="10"/>
      <c r="D365" s="10"/>
      <c r="E365" s="10"/>
      <c r="F365" s="10"/>
      <c r="M365" s="10"/>
      <c r="N365" s="10"/>
    </row>
    <row r="366" spans="1:14" x14ac:dyDescent="0.2">
      <c r="A366" s="10"/>
      <c r="B366" s="10"/>
      <c r="C366" s="10"/>
      <c r="D366" s="10"/>
      <c r="E366" s="10"/>
      <c r="F366" s="10"/>
      <c r="M366" s="10"/>
      <c r="N366" s="10"/>
    </row>
    <row r="367" spans="1:14" x14ac:dyDescent="0.2">
      <c r="A367" s="10"/>
      <c r="B367" s="10"/>
      <c r="C367" s="10"/>
      <c r="D367" s="10"/>
      <c r="E367" s="10"/>
      <c r="F367" s="10"/>
      <c r="M367" s="10"/>
      <c r="N367" s="10"/>
    </row>
    <row r="368" spans="1:14" x14ac:dyDescent="0.2">
      <c r="A368" s="10"/>
      <c r="B368" s="10"/>
      <c r="C368" s="10"/>
      <c r="D368" s="10"/>
      <c r="E368" s="10"/>
      <c r="F368" s="10"/>
      <c r="M368" s="10"/>
      <c r="N368" s="10"/>
    </row>
    <row r="369" spans="1:14" x14ac:dyDescent="0.2">
      <c r="A369" s="10"/>
      <c r="B369" s="10"/>
      <c r="C369" s="10"/>
      <c r="D369" s="10"/>
      <c r="E369" s="10"/>
      <c r="F369" s="10"/>
      <c r="M369" s="10"/>
      <c r="N369" s="10"/>
    </row>
    <row r="370" spans="1:14" x14ac:dyDescent="0.2">
      <c r="A370" s="10"/>
      <c r="B370" s="10"/>
      <c r="C370" s="10"/>
      <c r="D370" s="10"/>
      <c r="E370" s="10"/>
      <c r="F370" s="10"/>
      <c r="M370" s="10"/>
      <c r="N370" s="10"/>
    </row>
    <row r="371" spans="1:14" x14ac:dyDescent="0.2">
      <c r="A371" s="10"/>
      <c r="B371" s="10"/>
      <c r="C371" s="10"/>
      <c r="D371" s="10"/>
      <c r="E371" s="10"/>
      <c r="F371" s="10"/>
      <c r="M371" s="10"/>
      <c r="N371" s="10"/>
    </row>
    <row r="372" spans="1:14" x14ac:dyDescent="0.2">
      <c r="A372" s="10"/>
      <c r="B372" s="10"/>
      <c r="C372" s="10"/>
      <c r="D372" s="10"/>
      <c r="E372" s="10"/>
      <c r="F372" s="10"/>
      <c r="M372" s="10"/>
      <c r="N372" s="10"/>
    </row>
    <row r="373" spans="1:14" x14ac:dyDescent="0.2">
      <c r="A373" s="10"/>
      <c r="B373" s="10"/>
      <c r="C373" s="10"/>
      <c r="D373" s="10"/>
      <c r="E373" s="10"/>
      <c r="F373" s="10"/>
      <c r="M373" s="10"/>
      <c r="N373" s="10"/>
    </row>
    <row r="374" spans="1:14" x14ac:dyDescent="0.2">
      <c r="A374" s="10"/>
      <c r="B374" s="10"/>
      <c r="C374" s="10"/>
      <c r="D374" s="10"/>
      <c r="E374" s="10"/>
      <c r="F374" s="10"/>
      <c r="M374" s="10"/>
      <c r="N374" s="10"/>
    </row>
    <row r="375" spans="1:14" x14ac:dyDescent="0.2">
      <c r="A375" s="10"/>
      <c r="B375" s="10"/>
      <c r="C375" s="10"/>
      <c r="D375" s="10"/>
      <c r="E375" s="10"/>
      <c r="F375" s="10"/>
      <c r="M375" s="10"/>
      <c r="N375" s="10"/>
    </row>
    <row r="376" spans="1:14" x14ac:dyDescent="0.2">
      <c r="A376" s="10"/>
      <c r="B376" s="10"/>
      <c r="C376" s="10"/>
      <c r="D376" s="10"/>
      <c r="E376" s="10"/>
      <c r="F376" s="10"/>
      <c r="M376" s="10"/>
      <c r="N376" s="10"/>
    </row>
    <row r="377" spans="1:14" x14ac:dyDescent="0.2">
      <c r="A377" s="10"/>
      <c r="B377" s="10"/>
      <c r="C377" s="10"/>
      <c r="D377" s="10"/>
      <c r="E377" s="10"/>
      <c r="F377" s="10"/>
      <c r="M377" s="10"/>
      <c r="N377" s="10"/>
    </row>
    <row r="378" spans="1:14" x14ac:dyDescent="0.2">
      <c r="A378" s="10"/>
      <c r="B378" s="10"/>
      <c r="C378" s="10"/>
      <c r="D378" s="10"/>
      <c r="E378" s="10"/>
      <c r="F378" s="10"/>
      <c r="M378" s="10"/>
      <c r="N378" s="10"/>
    </row>
    <row r="379" spans="1:14" x14ac:dyDescent="0.2">
      <c r="A379" s="10"/>
      <c r="B379" s="10"/>
      <c r="C379" s="10"/>
      <c r="D379" s="10"/>
      <c r="E379" s="10"/>
      <c r="F379" s="10"/>
      <c r="M379" s="10"/>
      <c r="N379" s="10"/>
    </row>
    <row r="380" spans="1:14" x14ac:dyDescent="0.2">
      <c r="A380" s="10"/>
      <c r="B380" s="10"/>
      <c r="C380" s="10"/>
      <c r="D380" s="10"/>
      <c r="E380" s="10"/>
      <c r="F380" s="10"/>
      <c r="M380" s="10"/>
      <c r="N380" s="10"/>
    </row>
    <row r="381" spans="1:14" x14ac:dyDescent="0.2">
      <c r="A381" s="10"/>
      <c r="B381" s="10"/>
      <c r="C381" s="10"/>
      <c r="D381" s="10"/>
      <c r="E381" s="10"/>
      <c r="F381" s="10"/>
      <c r="M381" s="10"/>
      <c r="N381" s="10"/>
    </row>
    <row r="382" spans="1:14" x14ac:dyDescent="0.2">
      <c r="A382" s="10"/>
      <c r="B382" s="10"/>
      <c r="C382" s="10"/>
      <c r="D382" s="10"/>
      <c r="E382" s="10"/>
      <c r="F382" s="10"/>
      <c r="M382" s="10"/>
      <c r="N382" s="10"/>
    </row>
    <row r="383" spans="1:14" x14ac:dyDescent="0.2">
      <c r="A383" s="10"/>
      <c r="B383" s="10"/>
      <c r="C383" s="10"/>
      <c r="D383" s="10"/>
      <c r="E383" s="10"/>
      <c r="F383" s="10"/>
      <c r="M383" s="10"/>
      <c r="N383" s="10"/>
    </row>
    <row r="384" spans="1:14" x14ac:dyDescent="0.2">
      <c r="A384" s="10"/>
      <c r="B384" s="10"/>
      <c r="C384" s="10"/>
      <c r="D384" s="10"/>
      <c r="E384" s="10"/>
      <c r="F384" s="10"/>
      <c r="M384" s="10"/>
      <c r="N384" s="10"/>
    </row>
    <row r="385" spans="1:14" x14ac:dyDescent="0.2">
      <c r="A385" s="10"/>
      <c r="B385" s="10"/>
      <c r="C385" s="10"/>
      <c r="D385" s="10"/>
      <c r="E385" s="10"/>
      <c r="F385" s="10"/>
      <c r="M385" s="10"/>
      <c r="N385" s="10"/>
    </row>
    <row r="386" spans="1:14" x14ac:dyDescent="0.2">
      <c r="A386" s="10"/>
      <c r="B386" s="10"/>
      <c r="C386" s="10"/>
      <c r="D386" s="10"/>
      <c r="E386" s="10"/>
      <c r="F386" s="10"/>
      <c r="M386" s="10"/>
      <c r="N386" s="10"/>
    </row>
    <row r="387" spans="1:14" x14ac:dyDescent="0.2">
      <c r="A387" s="10"/>
      <c r="B387" s="10"/>
      <c r="C387" s="10"/>
      <c r="D387" s="10"/>
      <c r="E387" s="10"/>
      <c r="F387" s="10"/>
      <c r="M387" s="10"/>
      <c r="N387" s="10"/>
    </row>
    <row r="388" spans="1:14" x14ac:dyDescent="0.2">
      <c r="A388" s="10"/>
      <c r="B388" s="10"/>
      <c r="C388" s="10"/>
      <c r="D388" s="10"/>
      <c r="E388" s="10"/>
      <c r="F388" s="10"/>
      <c r="M388" s="10"/>
      <c r="N388" s="10"/>
    </row>
    <row r="389" spans="1:14" x14ac:dyDescent="0.2">
      <c r="A389" s="10"/>
      <c r="B389" s="10"/>
      <c r="C389" s="10"/>
      <c r="D389" s="10"/>
      <c r="E389" s="10"/>
      <c r="F389" s="10"/>
      <c r="M389" s="10"/>
      <c r="N389" s="10"/>
    </row>
    <row r="390" spans="1:14" x14ac:dyDescent="0.2">
      <c r="A390" s="10"/>
      <c r="B390" s="10"/>
      <c r="C390" s="10"/>
      <c r="D390" s="10"/>
      <c r="E390" s="10"/>
      <c r="F390" s="10"/>
      <c r="M390" s="10"/>
      <c r="N390" s="10"/>
    </row>
    <row r="391" spans="1:14" x14ac:dyDescent="0.2">
      <c r="A391" s="10"/>
      <c r="B391" s="10"/>
      <c r="C391" s="10"/>
      <c r="D391" s="10"/>
      <c r="E391" s="10"/>
      <c r="F391" s="10"/>
      <c r="M391" s="10"/>
      <c r="N391" s="10"/>
    </row>
    <row r="392" spans="1:14" x14ac:dyDescent="0.2">
      <c r="A392" s="10"/>
      <c r="B392" s="10"/>
      <c r="C392" s="10"/>
      <c r="D392" s="10"/>
      <c r="E392" s="10"/>
      <c r="F392" s="10"/>
      <c r="M392" s="10"/>
      <c r="N392" s="10"/>
    </row>
    <row r="393" spans="1:14" x14ac:dyDescent="0.2">
      <c r="A393" s="10"/>
      <c r="B393" s="10"/>
      <c r="C393" s="10"/>
      <c r="D393" s="10"/>
      <c r="E393" s="10"/>
      <c r="F393" s="10"/>
      <c r="M393" s="10"/>
      <c r="N393" s="10"/>
    </row>
    <row r="394" spans="1:14" x14ac:dyDescent="0.2">
      <c r="A394" s="10"/>
      <c r="B394" s="10"/>
      <c r="C394" s="10"/>
      <c r="D394" s="10"/>
      <c r="E394" s="10"/>
      <c r="F394" s="10"/>
      <c r="M394" s="10"/>
      <c r="N394" s="10"/>
    </row>
    <row r="395" spans="1:14" x14ac:dyDescent="0.2">
      <c r="A395" s="10"/>
      <c r="B395" s="10"/>
      <c r="C395" s="10"/>
      <c r="D395" s="10"/>
      <c r="E395" s="10"/>
      <c r="F395" s="10"/>
      <c r="M395" s="10"/>
      <c r="N395" s="10"/>
    </row>
    <row r="396" spans="1:14" x14ac:dyDescent="0.2">
      <c r="A396" s="10"/>
      <c r="B396" s="10"/>
      <c r="C396" s="10"/>
      <c r="D396" s="10"/>
      <c r="E396" s="10"/>
      <c r="F396" s="10"/>
      <c r="M396" s="10"/>
      <c r="N396" s="10"/>
    </row>
    <row r="397" spans="1:14" x14ac:dyDescent="0.2">
      <c r="A397" s="10"/>
      <c r="B397" s="10"/>
      <c r="C397" s="10"/>
      <c r="D397" s="10"/>
      <c r="E397" s="10"/>
      <c r="F397" s="10"/>
      <c r="M397" s="10"/>
      <c r="N397" s="10"/>
    </row>
    <row r="398" spans="1:14" x14ac:dyDescent="0.2">
      <c r="A398" s="10"/>
      <c r="B398" s="10"/>
      <c r="C398" s="10"/>
      <c r="D398" s="10"/>
      <c r="E398" s="10"/>
      <c r="F398" s="10"/>
      <c r="M398" s="10"/>
      <c r="N398" s="10"/>
    </row>
    <row r="399" spans="1:14" x14ac:dyDescent="0.2">
      <c r="A399" s="10"/>
      <c r="B399" s="10"/>
      <c r="C399" s="10"/>
      <c r="D399" s="10"/>
      <c r="E399" s="10"/>
      <c r="F399" s="10"/>
      <c r="M399" s="10"/>
      <c r="N399" s="10"/>
    </row>
    <row r="400" spans="1:14" x14ac:dyDescent="0.2">
      <c r="A400" s="10"/>
      <c r="B400" s="10"/>
      <c r="C400" s="10"/>
      <c r="D400" s="10"/>
      <c r="E400" s="10"/>
      <c r="F400" s="10"/>
      <c r="M400" s="10"/>
      <c r="N400" s="10"/>
    </row>
    <row r="401" spans="1:14" x14ac:dyDescent="0.2">
      <c r="A401" s="10"/>
      <c r="B401" s="10"/>
      <c r="C401" s="10"/>
      <c r="D401" s="10"/>
      <c r="E401" s="10"/>
      <c r="F401" s="10"/>
      <c r="M401" s="10"/>
      <c r="N401" s="10"/>
    </row>
    <row r="402" spans="1:14" x14ac:dyDescent="0.2">
      <c r="A402" s="10"/>
      <c r="B402" s="10"/>
      <c r="C402" s="10"/>
      <c r="D402" s="10"/>
      <c r="E402" s="10"/>
      <c r="F402" s="10"/>
      <c r="M402" s="10"/>
      <c r="N402" s="10"/>
    </row>
    <row r="403" spans="1:14" x14ac:dyDescent="0.2">
      <c r="A403" s="10"/>
      <c r="B403" s="10"/>
      <c r="C403" s="10"/>
      <c r="D403" s="10"/>
      <c r="E403" s="10"/>
      <c r="F403" s="10"/>
      <c r="M403" s="10"/>
      <c r="N403" s="10"/>
    </row>
    <row r="404" spans="1:14" x14ac:dyDescent="0.2">
      <c r="A404" s="10"/>
      <c r="B404" s="10"/>
      <c r="C404" s="10"/>
      <c r="D404" s="10"/>
      <c r="E404" s="10"/>
      <c r="F404" s="10"/>
      <c r="M404" s="10"/>
      <c r="N404" s="10"/>
    </row>
    <row r="405" spans="1:14" x14ac:dyDescent="0.2">
      <c r="A405" s="10"/>
      <c r="B405" s="10"/>
      <c r="C405" s="10"/>
      <c r="D405" s="10"/>
      <c r="E405" s="10"/>
      <c r="F405" s="10"/>
      <c r="M405" s="10"/>
      <c r="N405" s="10"/>
    </row>
    <row r="406" spans="1:14" x14ac:dyDescent="0.2">
      <c r="A406" s="10"/>
      <c r="B406" s="10"/>
      <c r="C406" s="10"/>
      <c r="D406" s="10"/>
      <c r="E406" s="10"/>
      <c r="F406" s="10"/>
      <c r="M406" s="10"/>
      <c r="N406" s="10"/>
    </row>
    <row r="407" spans="1:14" x14ac:dyDescent="0.2">
      <c r="A407" s="10"/>
      <c r="B407" s="10"/>
      <c r="C407" s="10"/>
      <c r="D407" s="10"/>
      <c r="E407" s="10"/>
      <c r="F407" s="10"/>
      <c r="M407" s="10"/>
      <c r="N407" s="10"/>
    </row>
    <row r="408" spans="1:14" x14ac:dyDescent="0.2">
      <c r="A408" s="10"/>
      <c r="B408" s="10"/>
      <c r="C408" s="10"/>
      <c r="D408" s="10"/>
      <c r="E408" s="10"/>
      <c r="F408" s="10"/>
      <c r="M408" s="10"/>
      <c r="N408" s="10"/>
    </row>
    <row r="409" spans="1:14" x14ac:dyDescent="0.2">
      <c r="A409" s="10"/>
      <c r="B409" s="10"/>
      <c r="C409" s="10"/>
      <c r="D409" s="10"/>
      <c r="E409" s="10"/>
      <c r="F409" s="10"/>
      <c r="M409" s="10"/>
      <c r="N409" s="10"/>
    </row>
    <row r="410" spans="1:14" x14ac:dyDescent="0.2">
      <c r="A410" s="10"/>
      <c r="B410" s="10"/>
      <c r="C410" s="10"/>
      <c r="D410" s="10"/>
      <c r="E410" s="10"/>
      <c r="F410" s="10"/>
      <c r="M410" s="10"/>
      <c r="N410" s="10"/>
    </row>
    <row r="411" spans="1:14" x14ac:dyDescent="0.2">
      <c r="A411" s="10"/>
      <c r="B411" s="10"/>
      <c r="C411" s="10"/>
      <c r="D411" s="10"/>
      <c r="E411" s="10"/>
      <c r="F411" s="10"/>
      <c r="M411" s="10"/>
      <c r="N411" s="10"/>
    </row>
    <row r="412" spans="1:14" x14ac:dyDescent="0.2">
      <c r="A412" s="10"/>
      <c r="B412" s="10"/>
      <c r="C412" s="10"/>
      <c r="D412" s="10"/>
      <c r="E412" s="10"/>
      <c r="F412" s="10"/>
      <c r="M412" s="10"/>
      <c r="N412" s="10"/>
    </row>
    <row r="413" spans="1:14" x14ac:dyDescent="0.2">
      <c r="A413" s="10"/>
      <c r="B413" s="10"/>
      <c r="C413" s="10"/>
      <c r="D413" s="10"/>
      <c r="E413" s="10"/>
      <c r="F413" s="10"/>
      <c r="M413" s="10"/>
      <c r="N413" s="10"/>
    </row>
    <row r="414" spans="1:14" x14ac:dyDescent="0.2">
      <c r="A414" s="10"/>
      <c r="B414" s="10"/>
      <c r="C414" s="10"/>
      <c r="D414" s="10"/>
      <c r="E414" s="10"/>
      <c r="F414" s="10"/>
      <c r="M414" s="10"/>
      <c r="N414" s="10"/>
    </row>
    <row r="415" spans="1:14" x14ac:dyDescent="0.2">
      <c r="A415" s="10"/>
      <c r="B415" s="10"/>
      <c r="C415" s="10"/>
      <c r="D415" s="10"/>
      <c r="E415" s="10"/>
      <c r="F415" s="10"/>
      <c r="M415" s="10"/>
      <c r="N415" s="10"/>
    </row>
    <row r="416" spans="1:14" x14ac:dyDescent="0.2">
      <c r="A416" s="10"/>
      <c r="B416" s="10"/>
      <c r="C416" s="10"/>
      <c r="D416" s="10"/>
      <c r="E416" s="10"/>
      <c r="F416" s="10"/>
      <c r="M416" s="10"/>
      <c r="N416" s="10"/>
    </row>
    <row r="417" spans="1:14" x14ac:dyDescent="0.2">
      <c r="A417" s="10"/>
      <c r="B417" s="10"/>
      <c r="C417" s="10"/>
      <c r="D417" s="10"/>
      <c r="E417" s="10"/>
      <c r="F417" s="10"/>
      <c r="M417" s="10"/>
      <c r="N417" s="10"/>
    </row>
    <row r="418" spans="1:14" x14ac:dyDescent="0.2">
      <c r="A418" s="10"/>
      <c r="B418" s="10"/>
      <c r="C418" s="10"/>
      <c r="D418" s="10"/>
      <c r="E418" s="10"/>
      <c r="F418" s="10"/>
      <c r="M418" s="10"/>
      <c r="N418" s="10"/>
    </row>
    <row r="419" spans="1:14" x14ac:dyDescent="0.2">
      <c r="A419" s="10"/>
      <c r="B419" s="10"/>
      <c r="C419" s="10"/>
      <c r="D419" s="10"/>
      <c r="E419" s="10"/>
      <c r="F419" s="10"/>
      <c r="M419" s="10"/>
      <c r="N419" s="10"/>
    </row>
    <row r="420" spans="1:14" x14ac:dyDescent="0.2">
      <c r="A420" s="10"/>
      <c r="B420" s="10"/>
      <c r="C420" s="10"/>
      <c r="D420" s="10"/>
      <c r="E420" s="10"/>
      <c r="F420" s="10"/>
      <c r="M420" s="10"/>
      <c r="N420" s="10"/>
    </row>
    <row r="421" spans="1:14" x14ac:dyDescent="0.2">
      <c r="A421" s="10"/>
      <c r="B421" s="10"/>
      <c r="C421" s="10"/>
      <c r="D421" s="10"/>
      <c r="E421" s="10"/>
      <c r="F421" s="10"/>
      <c r="M421" s="10"/>
      <c r="N421" s="10"/>
    </row>
    <row r="422" spans="1:14" x14ac:dyDescent="0.2">
      <c r="A422" s="10"/>
      <c r="B422" s="10"/>
      <c r="C422" s="10"/>
      <c r="D422" s="10"/>
      <c r="E422" s="10"/>
      <c r="F422" s="10"/>
      <c r="M422" s="10"/>
      <c r="N422" s="10"/>
    </row>
    <row r="423" spans="1:14" x14ac:dyDescent="0.2">
      <c r="A423" s="10"/>
      <c r="B423" s="10"/>
      <c r="C423" s="10"/>
      <c r="D423" s="10"/>
      <c r="E423" s="10"/>
      <c r="F423" s="10"/>
      <c r="M423" s="10"/>
      <c r="N423" s="10"/>
    </row>
    <row r="424" spans="1:14" x14ac:dyDescent="0.2">
      <c r="A424" s="10"/>
      <c r="B424" s="10"/>
      <c r="C424" s="10"/>
      <c r="D424" s="10"/>
      <c r="E424" s="10"/>
      <c r="F424" s="10"/>
      <c r="M424" s="10"/>
      <c r="N424" s="10"/>
    </row>
    <row r="425" spans="1:14" x14ac:dyDescent="0.2">
      <c r="A425" s="10"/>
      <c r="B425" s="10"/>
      <c r="C425" s="10"/>
      <c r="D425" s="10"/>
      <c r="E425" s="10"/>
      <c r="F425" s="10"/>
      <c r="M425" s="10"/>
      <c r="N425" s="10"/>
    </row>
    <row r="426" spans="1:14" x14ac:dyDescent="0.2">
      <c r="A426" s="10"/>
      <c r="B426" s="10"/>
      <c r="C426" s="10"/>
      <c r="D426" s="10"/>
      <c r="E426" s="10"/>
      <c r="F426" s="10"/>
      <c r="M426" s="10"/>
      <c r="N426" s="10"/>
    </row>
    <row r="427" spans="1:14" x14ac:dyDescent="0.2">
      <c r="A427" s="10"/>
      <c r="B427" s="10"/>
      <c r="C427" s="10"/>
      <c r="D427" s="10"/>
      <c r="E427" s="10"/>
      <c r="F427" s="10"/>
      <c r="M427" s="10"/>
      <c r="N427" s="10"/>
    </row>
    <row r="428" spans="1:14" x14ac:dyDescent="0.2">
      <c r="A428" s="10"/>
      <c r="B428" s="10"/>
      <c r="C428" s="10"/>
      <c r="D428" s="10"/>
      <c r="E428" s="10"/>
      <c r="F428" s="10"/>
      <c r="M428" s="10"/>
      <c r="N428" s="10"/>
    </row>
    <row r="429" spans="1:14" x14ac:dyDescent="0.2">
      <c r="A429" s="10"/>
      <c r="B429" s="10"/>
      <c r="C429" s="10"/>
      <c r="D429" s="10"/>
      <c r="E429" s="10"/>
      <c r="F429" s="10"/>
      <c r="M429" s="10"/>
      <c r="N429" s="10"/>
    </row>
    <row r="430" spans="1:14" x14ac:dyDescent="0.2">
      <c r="A430" s="10"/>
      <c r="B430" s="10"/>
      <c r="C430" s="10"/>
      <c r="D430" s="10"/>
      <c r="E430" s="10"/>
      <c r="F430" s="10"/>
      <c r="M430" s="10"/>
      <c r="N430" s="10"/>
    </row>
    <row r="431" spans="1:14" x14ac:dyDescent="0.2">
      <c r="A431" s="10"/>
      <c r="B431" s="10"/>
      <c r="C431" s="10"/>
      <c r="D431" s="10"/>
      <c r="E431" s="10"/>
      <c r="F431" s="10"/>
      <c r="M431" s="10"/>
      <c r="N431" s="10"/>
    </row>
    <row r="432" spans="1:14" x14ac:dyDescent="0.2">
      <c r="A432" s="10"/>
      <c r="B432" s="10"/>
      <c r="C432" s="10"/>
      <c r="D432" s="10"/>
      <c r="E432" s="10"/>
      <c r="F432" s="10"/>
      <c r="M432" s="10"/>
      <c r="N432" s="10"/>
    </row>
    <row r="433" spans="1:14" x14ac:dyDescent="0.2">
      <c r="A433" s="10"/>
      <c r="B433" s="10"/>
      <c r="C433" s="10"/>
      <c r="D433" s="10"/>
      <c r="E433" s="10"/>
      <c r="F433" s="10"/>
      <c r="M433" s="10"/>
      <c r="N433" s="10"/>
    </row>
    <row r="434" spans="1:14" x14ac:dyDescent="0.2">
      <c r="A434" s="10"/>
      <c r="B434" s="10"/>
      <c r="C434" s="10"/>
      <c r="D434" s="10"/>
      <c r="E434" s="10"/>
      <c r="F434" s="10"/>
      <c r="M434" s="10"/>
      <c r="N434" s="10"/>
    </row>
    <row r="435" spans="1:14" x14ac:dyDescent="0.2">
      <c r="A435" s="10"/>
      <c r="B435" s="10"/>
      <c r="C435" s="10"/>
      <c r="D435" s="10"/>
      <c r="E435" s="10"/>
      <c r="F435" s="10"/>
      <c r="M435" s="10"/>
      <c r="N435" s="10"/>
    </row>
    <row r="436" spans="1:14" x14ac:dyDescent="0.2">
      <c r="A436" s="10"/>
      <c r="B436" s="10"/>
      <c r="C436" s="10"/>
      <c r="D436" s="10"/>
      <c r="E436" s="10"/>
      <c r="F436" s="10"/>
      <c r="M436" s="10"/>
      <c r="N436" s="10"/>
    </row>
    <row r="437" spans="1:14" x14ac:dyDescent="0.2">
      <c r="A437" s="10"/>
      <c r="B437" s="10"/>
      <c r="C437" s="10"/>
      <c r="D437" s="10"/>
      <c r="E437" s="10"/>
      <c r="F437" s="10"/>
      <c r="M437" s="10"/>
      <c r="N437" s="10"/>
    </row>
    <row r="438" spans="1:14" x14ac:dyDescent="0.2">
      <c r="A438" s="10"/>
      <c r="B438" s="10"/>
      <c r="C438" s="10"/>
      <c r="D438" s="10"/>
      <c r="E438" s="10"/>
      <c r="F438" s="10"/>
      <c r="M438" s="10"/>
      <c r="N438" s="10"/>
    </row>
    <row r="439" spans="1:14" x14ac:dyDescent="0.2">
      <c r="A439" s="10"/>
      <c r="B439" s="10"/>
      <c r="C439" s="10"/>
      <c r="D439" s="10"/>
      <c r="E439" s="10"/>
      <c r="F439" s="10"/>
      <c r="M439" s="10"/>
      <c r="N439" s="10"/>
    </row>
    <row r="440" spans="1:14" x14ac:dyDescent="0.2">
      <c r="A440" s="10"/>
      <c r="B440" s="10"/>
      <c r="C440" s="10"/>
      <c r="D440" s="10"/>
      <c r="E440" s="10"/>
      <c r="F440" s="10"/>
      <c r="M440" s="10"/>
      <c r="N440" s="10"/>
    </row>
    <row r="441" spans="1:14" x14ac:dyDescent="0.2">
      <c r="A441" s="10"/>
      <c r="B441" s="10"/>
      <c r="C441" s="10"/>
      <c r="D441" s="10"/>
      <c r="E441" s="10"/>
      <c r="F441" s="10"/>
      <c r="M441" s="10"/>
      <c r="N441" s="10"/>
    </row>
    <row r="442" spans="1:14" x14ac:dyDescent="0.2">
      <c r="A442" s="10"/>
      <c r="B442" s="10"/>
      <c r="C442" s="10"/>
      <c r="D442" s="10"/>
      <c r="E442" s="10"/>
      <c r="F442" s="10"/>
      <c r="M442" s="10"/>
      <c r="N442" s="10"/>
    </row>
    <row r="443" spans="1:14" x14ac:dyDescent="0.2">
      <c r="A443" s="10"/>
      <c r="B443" s="10"/>
      <c r="C443" s="10"/>
      <c r="D443" s="10"/>
      <c r="E443" s="10"/>
      <c r="F443" s="10"/>
      <c r="M443" s="10"/>
      <c r="N443" s="10"/>
    </row>
    <row r="444" spans="1:14" x14ac:dyDescent="0.2">
      <c r="A444" s="10"/>
      <c r="B444" s="10"/>
      <c r="C444" s="10"/>
      <c r="D444" s="10"/>
      <c r="E444" s="10"/>
      <c r="F444" s="10"/>
      <c r="M444" s="10"/>
      <c r="N444" s="10"/>
    </row>
    <row r="445" spans="1:14" x14ac:dyDescent="0.2">
      <c r="A445" s="10"/>
      <c r="B445" s="10"/>
      <c r="C445" s="10"/>
      <c r="D445" s="10"/>
      <c r="E445" s="10"/>
      <c r="F445" s="10"/>
      <c r="M445" s="10"/>
      <c r="N445" s="10"/>
    </row>
    <row r="446" spans="1:14" x14ac:dyDescent="0.2">
      <c r="A446" s="10"/>
      <c r="B446" s="10"/>
      <c r="C446" s="10"/>
      <c r="D446" s="10"/>
      <c r="E446" s="10"/>
      <c r="F446" s="10"/>
      <c r="M446" s="10"/>
      <c r="N446" s="10"/>
    </row>
    <row r="447" spans="1:14" x14ac:dyDescent="0.2">
      <c r="A447" s="10"/>
      <c r="B447" s="10"/>
      <c r="C447" s="10"/>
      <c r="D447" s="10"/>
      <c r="E447" s="10"/>
      <c r="F447" s="10"/>
      <c r="M447" s="10"/>
      <c r="N447" s="10"/>
    </row>
    <row r="448" spans="1:14" x14ac:dyDescent="0.2">
      <c r="A448" s="10"/>
      <c r="B448" s="10"/>
      <c r="C448" s="10"/>
      <c r="D448" s="10"/>
      <c r="E448" s="10"/>
      <c r="F448" s="10"/>
      <c r="M448" s="10"/>
      <c r="N448" s="10"/>
    </row>
    <row r="449" spans="1:14" x14ac:dyDescent="0.2">
      <c r="A449" s="10"/>
      <c r="B449" s="10"/>
      <c r="C449" s="10"/>
      <c r="D449" s="10"/>
      <c r="E449" s="10"/>
      <c r="F449" s="10"/>
      <c r="M449" s="10"/>
      <c r="N449" s="10"/>
    </row>
    <row r="450" spans="1:14" x14ac:dyDescent="0.2">
      <c r="A450" s="10"/>
      <c r="B450" s="10"/>
      <c r="C450" s="10"/>
      <c r="D450" s="10"/>
      <c r="E450" s="10"/>
      <c r="F450" s="10"/>
      <c r="M450" s="10"/>
      <c r="N450" s="10"/>
    </row>
    <row r="451" spans="1:14" x14ac:dyDescent="0.2">
      <c r="A451" s="10"/>
      <c r="B451" s="10"/>
      <c r="C451" s="10"/>
      <c r="D451" s="10"/>
      <c r="E451" s="10"/>
      <c r="F451" s="10"/>
      <c r="M451" s="10"/>
      <c r="N451" s="10"/>
    </row>
    <row r="452" spans="1:14" x14ac:dyDescent="0.2">
      <c r="A452" s="10"/>
      <c r="B452" s="10"/>
      <c r="C452" s="10"/>
      <c r="D452" s="10"/>
      <c r="E452" s="10"/>
      <c r="F452" s="10"/>
      <c r="M452" s="10"/>
      <c r="N452" s="10"/>
    </row>
    <row r="453" spans="1:14" x14ac:dyDescent="0.2">
      <c r="A453" s="10"/>
      <c r="B453" s="10"/>
      <c r="C453" s="10"/>
      <c r="D453" s="10"/>
      <c r="E453" s="10"/>
      <c r="F453" s="10"/>
      <c r="M453" s="10"/>
      <c r="N453" s="10"/>
    </row>
    <row r="454" spans="1:14" x14ac:dyDescent="0.2">
      <c r="A454" s="10"/>
      <c r="B454" s="10"/>
      <c r="C454" s="10"/>
      <c r="D454" s="10"/>
      <c r="E454" s="10"/>
      <c r="F454" s="10"/>
      <c r="M454" s="10"/>
      <c r="N454" s="10"/>
    </row>
    <row r="455" spans="1:14" x14ac:dyDescent="0.2">
      <c r="A455" s="10"/>
      <c r="B455" s="10"/>
      <c r="C455" s="10"/>
      <c r="D455" s="10"/>
      <c r="E455" s="10"/>
      <c r="F455" s="10"/>
      <c r="M455" s="10"/>
      <c r="N455" s="10"/>
    </row>
    <row r="456" spans="1:14" x14ac:dyDescent="0.2">
      <c r="A456" s="10"/>
      <c r="B456" s="10"/>
      <c r="C456" s="10"/>
      <c r="D456" s="10"/>
      <c r="E456" s="10"/>
      <c r="F456" s="10"/>
      <c r="M456" s="10"/>
      <c r="N456" s="10"/>
    </row>
    <row r="457" spans="1:14" x14ac:dyDescent="0.2">
      <c r="A457" s="10"/>
      <c r="B457" s="10"/>
      <c r="C457" s="10"/>
      <c r="D457" s="10"/>
      <c r="E457" s="10"/>
      <c r="F457" s="10"/>
      <c r="M457" s="10"/>
      <c r="N457" s="10"/>
    </row>
    <row r="458" spans="1:14" x14ac:dyDescent="0.2">
      <c r="A458" s="10"/>
      <c r="B458" s="10"/>
      <c r="C458" s="10"/>
      <c r="D458" s="10"/>
      <c r="E458" s="10"/>
      <c r="F458" s="10"/>
      <c r="M458" s="10"/>
      <c r="N458" s="10"/>
    </row>
    <row r="459" spans="1:14" x14ac:dyDescent="0.2">
      <c r="A459" s="10"/>
      <c r="B459" s="10"/>
      <c r="C459" s="10"/>
      <c r="D459" s="10"/>
      <c r="E459" s="10"/>
      <c r="F459" s="10"/>
      <c r="M459" s="10"/>
      <c r="N459" s="10"/>
    </row>
    <row r="460" spans="1:14" x14ac:dyDescent="0.2">
      <c r="A460" s="10"/>
      <c r="B460" s="10"/>
      <c r="C460" s="10"/>
      <c r="D460" s="10"/>
      <c r="E460" s="10"/>
      <c r="F460" s="10"/>
      <c r="M460" s="10"/>
      <c r="N460" s="10"/>
    </row>
    <row r="461" spans="1:14" x14ac:dyDescent="0.2">
      <c r="A461" s="10"/>
      <c r="B461" s="10"/>
      <c r="C461" s="10"/>
      <c r="D461" s="10"/>
      <c r="E461" s="10"/>
      <c r="F461" s="10"/>
      <c r="M461" s="10"/>
      <c r="N461" s="10"/>
    </row>
    <row r="462" spans="1:14" x14ac:dyDescent="0.2">
      <c r="A462" s="10"/>
      <c r="B462" s="10"/>
      <c r="C462" s="10"/>
      <c r="D462" s="10"/>
      <c r="E462" s="10"/>
      <c r="F462" s="10"/>
      <c r="M462" s="10"/>
      <c r="N462" s="10"/>
    </row>
    <row r="463" spans="1:14" x14ac:dyDescent="0.2">
      <c r="A463" s="10"/>
      <c r="B463" s="10"/>
      <c r="C463" s="10"/>
      <c r="D463" s="10"/>
      <c r="E463" s="10"/>
      <c r="F463" s="10"/>
      <c r="M463" s="10"/>
      <c r="N463" s="10"/>
    </row>
    <row r="464" spans="1:14" x14ac:dyDescent="0.2">
      <c r="A464" s="10"/>
      <c r="B464" s="10"/>
      <c r="C464" s="10"/>
      <c r="D464" s="10"/>
      <c r="E464" s="10"/>
      <c r="F464" s="10"/>
      <c r="M464" s="10"/>
      <c r="N464" s="10"/>
    </row>
    <row r="465" spans="1:14" x14ac:dyDescent="0.2">
      <c r="A465" s="10"/>
      <c r="B465" s="10"/>
      <c r="C465" s="10"/>
      <c r="D465" s="10"/>
      <c r="E465" s="10"/>
      <c r="F465" s="10"/>
      <c r="M465" s="10"/>
      <c r="N465" s="10"/>
    </row>
    <row r="466" spans="1:14" x14ac:dyDescent="0.2">
      <c r="A466" s="10"/>
      <c r="B466" s="10"/>
      <c r="C466" s="10"/>
      <c r="D466" s="10"/>
      <c r="E466" s="10"/>
      <c r="F466" s="10"/>
      <c r="M466" s="10"/>
      <c r="N466" s="10"/>
    </row>
    <row r="467" spans="1:14" x14ac:dyDescent="0.2">
      <c r="A467" s="10"/>
      <c r="B467" s="10"/>
      <c r="C467" s="10"/>
      <c r="D467" s="10"/>
      <c r="E467" s="10"/>
      <c r="F467" s="10"/>
      <c r="M467" s="10"/>
      <c r="N467" s="10"/>
    </row>
    <row r="468" spans="1:14" x14ac:dyDescent="0.2">
      <c r="A468" s="10"/>
      <c r="B468" s="10"/>
      <c r="C468" s="10"/>
      <c r="D468" s="10"/>
      <c r="E468" s="10"/>
      <c r="F468" s="10"/>
      <c r="M468" s="10"/>
      <c r="N468" s="10"/>
    </row>
    <row r="469" spans="1:14" x14ac:dyDescent="0.2">
      <c r="A469" s="10"/>
      <c r="B469" s="10"/>
      <c r="C469" s="10"/>
      <c r="D469" s="10"/>
      <c r="E469" s="10"/>
      <c r="F469" s="10"/>
      <c r="M469" s="10"/>
      <c r="N469" s="10"/>
    </row>
    <row r="470" spans="1:14" x14ac:dyDescent="0.2">
      <c r="A470" s="10"/>
      <c r="B470" s="10"/>
      <c r="C470" s="10"/>
      <c r="D470" s="10"/>
      <c r="E470" s="10"/>
      <c r="F470" s="10"/>
      <c r="M470" s="10"/>
      <c r="N470" s="10"/>
    </row>
    <row r="471" spans="1:14" x14ac:dyDescent="0.2">
      <c r="A471" s="10"/>
      <c r="B471" s="10"/>
      <c r="C471" s="10"/>
      <c r="D471" s="10"/>
      <c r="E471" s="10"/>
      <c r="F471" s="10"/>
      <c r="M471" s="10"/>
      <c r="N471" s="10"/>
    </row>
    <row r="472" spans="1:14" x14ac:dyDescent="0.2">
      <c r="A472" s="10"/>
      <c r="B472" s="10"/>
      <c r="C472" s="10"/>
      <c r="D472" s="10"/>
      <c r="E472" s="10"/>
      <c r="F472" s="10"/>
      <c r="M472" s="10"/>
      <c r="N472" s="10"/>
    </row>
    <row r="473" spans="1:14" x14ac:dyDescent="0.2">
      <c r="A473" s="10"/>
      <c r="B473" s="10"/>
      <c r="C473" s="10"/>
      <c r="D473" s="10"/>
      <c r="E473" s="10"/>
      <c r="F473" s="10"/>
      <c r="M473" s="10"/>
      <c r="N473" s="10"/>
    </row>
    <row r="474" spans="1:14" x14ac:dyDescent="0.2">
      <c r="A474" s="10"/>
      <c r="B474" s="10"/>
      <c r="C474" s="10"/>
      <c r="D474" s="10"/>
      <c r="E474" s="10"/>
      <c r="F474" s="10"/>
      <c r="M474" s="10"/>
      <c r="N474" s="10"/>
    </row>
    <row r="475" spans="1:14" x14ac:dyDescent="0.2">
      <c r="A475" s="10"/>
      <c r="B475" s="10"/>
      <c r="C475" s="10"/>
      <c r="D475" s="10"/>
      <c r="E475" s="10"/>
      <c r="F475" s="10"/>
      <c r="M475" s="10"/>
      <c r="N475" s="10"/>
    </row>
    <row r="476" spans="1:14" x14ac:dyDescent="0.2">
      <c r="A476" s="10"/>
      <c r="B476" s="10"/>
      <c r="C476" s="10"/>
      <c r="D476" s="10"/>
      <c r="E476" s="10"/>
      <c r="F476" s="10"/>
      <c r="M476" s="10"/>
      <c r="N476" s="10"/>
    </row>
    <row r="477" spans="1:14" x14ac:dyDescent="0.2">
      <c r="A477" s="10"/>
      <c r="B477" s="10"/>
      <c r="C477" s="10"/>
      <c r="D477" s="10"/>
      <c r="E477" s="10"/>
      <c r="F477" s="10"/>
      <c r="M477" s="10"/>
      <c r="N477" s="10"/>
    </row>
    <row r="478" spans="1:14" x14ac:dyDescent="0.2">
      <c r="A478" s="10"/>
      <c r="B478" s="10"/>
      <c r="C478" s="10"/>
      <c r="D478" s="10"/>
      <c r="E478" s="10"/>
      <c r="F478" s="10"/>
      <c r="M478" s="10"/>
      <c r="N478" s="10"/>
    </row>
    <row r="479" spans="1:14" x14ac:dyDescent="0.2">
      <c r="A479" s="10"/>
      <c r="B479" s="10"/>
      <c r="C479" s="10"/>
      <c r="D479" s="10"/>
      <c r="E479" s="10"/>
      <c r="F479" s="10"/>
      <c r="M479" s="10"/>
      <c r="N479" s="10"/>
    </row>
    <row r="480" spans="1:14" x14ac:dyDescent="0.2">
      <c r="A480" s="10"/>
      <c r="B480" s="10"/>
      <c r="C480" s="10"/>
      <c r="D480" s="10"/>
      <c r="E480" s="10"/>
      <c r="F480" s="10"/>
      <c r="M480" s="10"/>
      <c r="N480" s="10"/>
    </row>
    <row r="481" spans="1:14" x14ac:dyDescent="0.2">
      <c r="A481" s="10"/>
      <c r="B481" s="10"/>
      <c r="C481" s="10"/>
      <c r="D481" s="10"/>
      <c r="E481" s="10"/>
      <c r="F481" s="10"/>
      <c r="M481" s="10"/>
      <c r="N481" s="10"/>
    </row>
    <row r="482" spans="1:14" x14ac:dyDescent="0.2">
      <c r="A482" s="10"/>
      <c r="B482" s="10"/>
      <c r="C482" s="10"/>
      <c r="D482" s="10"/>
      <c r="E482" s="10"/>
      <c r="F482" s="10"/>
      <c r="M482" s="10"/>
      <c r="N482" s="10"/>
    </row>
    <row r="483" spans="1:14" x14ac:dyDescent="0.2">
      <c r="A483" s="10"/>
      <c r="B483" s="10"/>
      <c r="C483" s="10"/>
      <c r="D483" s="10"/>
      <c r="E483" s="10"/>
      <c r="F483" s="10"/>
      <c r="M483" s="10"/>
      <c r="N483" s="10"/>
    </row>
    <row r="484" spans="1:14" x14ac:dyDescent="0.2">
      <c r="A484" s="10"/>
      <c r="B484" s="10"/>
      <c r="C484" s="10"/>
      <c r="D484" s="10"/>
      <c r="E484" s="10"/>
      <c r="F484" s="10"/>
      <c r="M484" s="10"/>
      <c r="N484" s="10"/>
    </row>
    <row r="485" spans="1:14" x14ac:dyDescent="0.2">
      <c r="A485" s="10"/>
      <c r="B485" s="10"/>
      <c r="C485" s="10"/>
      <c r="D485" s="10"/>
      <c r="E485" s="10"/>
      <c r="F485" s="10"/>
      <c r="M485" s="10"/>
      <c r="N485" s="10"/>
    </row>
    <row r="486" spans="1:14" x14ac:dyDescent="0.2">
      <c r="A486" s="10"/>
      <c r="B486" s="10"/>
      <c r="C486" s="10"/>
      <c r="D486" s="10"/>
      <c r="E486" s="10"/>
      <c r="F486" s="10"/>
      <c r="M486" s="10"/>
      <c r="N486" s="10"/>
    </row>
    <row r="487" spans="1:14" x14ac:dyDescent="0.2">
      <c r="A487" s="10"/>
      <c r="B487" s="10"/>
      <c r="C487" s="10"/>
      <c r="D487" s="10"/>
      <c r="E487" s="10"/>
      <c r="F487" s="10"/>
      <c r="M487" s="10"/>
      <c r="N487" s="10"/>
    </row>
    <row r="488" spans="1:14" x14ac:dyDescent="0.2">
      <c r="A488" s="10"/>
      <c r="B488" s="10"/>
      <c r="C488" s="10"/>
      <c r="D488" s="10"/>
      <c r="E488" s="10"/>
      <c r="F488" s="10"/>
      <c r="M488" s="10"/>
      <c r="N488" s="10"/>
    </row>
    <row r="489" spans="1:14" x14ac:dyDescent="0.2">
      <c r="A489" s="10"/>
      <c r="B489" s="10"/>
      <c r="C489" s="10"/>
      <c r="D489" s="10"/>
      <c r="E489" s="10"/>
      <c r="F489" s="10"/>
      <c r="M489" s="10"/>
      <c r="N489" s="10"/>
    </row>
    <row r="490" spans="1:14" x14ac:dyDescent="0.2">
      <c r="A490" s="10"/>
      <c r="B490" s="10"/>
      <c r="C490" s="10"/>
      <c r="D490" s="10"/>
      <c r="E490" s="10"/>
      <c r="F490" s="10"/>
      <c r="M490" s="10"/>
      <c r="N490" s="10"/>
    </row>
    <row r="491" spans="1:14" x14ac:dyDescent="0.2">
      <c r="A491" s="10"/>
      <c r="B491" s="10"/>
      <c r="C491" s="10"/>
      <c r="D491" s="10"/>
      <c r="E491" s="10"/>
      <c r="F491" s="10"/>
      <c r="M491" s="10"/>
      <c r="N491" s="10"/>
    </row>
    <row r="492" spans="1:14" x14ac:dyDescent="0.2">
      <c r="A492" s="10"/>
      <c r="B492" s="10"/>
      <c r="C492" s="10"/>
      <c r="D492" s="10"/>
      <c r="E492" s="10"/>
      <c r="F492" s="10"/>
      <c r="M492" s="10"/>
      <c r="N492" s="10"/>
    </row>
    <row r="493" spans="1:14" x14ac:dyDescent="0.2">
      <c r="A493" s="10"/>
      <c r="B493" s="10"/>
      <c r="C493" s="10"/>
      <c r="D493" s="10"/>
      <c r="E493" s="10"/>
      <c r="F493" s="10"/>
      <c r="M493" s="10"/>
      <c r="N493" s="10"/>
    </row>
    <row r="494" spans="1:14" x14ac:dyDescent="0.2">
      <c r="A494" s="10"/>
      <c r="B494" s="10"/>
      <c r="C494" s="10"/>
      <c r="D494" s="10"/>
      <c r="E494" s="10"/>
      <c r="F494" s="10"/>
      <c r="M494" s="10"/>
      <c r="N494" s="10"/>
    </row>
    <row r="495" spans="1:14" x14ac:dyDescent="0.2">
      <c r="A495" s="10"/>
      <c r="B495" s="10"/>
      <c r="C495" s="10"/>
      <c r="D495" s="10"/>
      <c r="E495" s="10"/>
      <c r="F495" s="10"/>
      <c r="M495" s="10"/>
      <c r="N495" s="10"/>
    </row>
    <row r="496" spans="1:14" x14ac:dyDescent="0.2">
      <c r="A496" s="10"/>
      <c r="B496" s="10"/>
      <c r="C496" s="10"/>
      <c r="D496" s="10"/>
      <c r="E496" s="10"/>
      <c r="F496" s="10"/>
      <c r="M496" s="10"/>
      <c r="N496" s="10"/>
    </row>
    <row r="497" spans="1:14" x14ac:dyDescent="0.2">
      <c r="A497" s="10"/>
      <c r="B497" s="10"/>
      <c r="C497" s="10"/>
      <c r="D497" s="10"/>
      <c r="E497" s="10"/>
      <c r="F497" s="10"/>
      <c r="M497" s="10"/>
      <c r="N497" s="10"/>
    </row>
    <row r="498" spans="1:14" x14ac:dyDescent="0.2">
      <c r="A498" s="10"/>
      <c r="B498" s="10"/>
      <c r="C498" s="10"/>
      <c r="D498" s="10"/>
      <c r="E498" s="10"/>
      <c r="F498" s="10"/>
      <c r="M498" s="10"/>
      <c r="N498" s="10"/>
    </row>
    <row r="499" spans="1:14" x14ac:dyDescent="0.2">
      <c r="A499" s="10"/>
      <c r="B499" s="10"/>
      <c r="C499" s="10"/>
      <c r="D499" s="10"/>
      <c r="E499" s="10"/>
      <c r="F499" s="10"/>
      <c r="M499" s="10"/>
      <c r="N499" s="10"/>
    </row>
    <row r="500" spans="1:14" x14ac:dyDescent="0.2">
      <c r="A500" s="10"/>
      <c r="B500" s="10"/>
      <c r="C500" s="10"/>
      <c r="D500" s="10"/>
      <c r="E500" s="10"/>
      <c r="F500" s="10"/>
      <c r="M500" s="10"/>
      <c r="N500" s="10"/>
    </row>
    <row r="501" spans="1:14" x14ac:dyDescent="0.2">
      <c r="A501" s="10"/>
      <c r="B501" s="10"/>
      <c r="C501" s="10"/>
      <c r="D501" s="10"/>
      <c r="E501" s="10"/>
      <c r="F501" s="10"/>
      <c r="M501" s="10"/>
      <c r="N501" s="10"/>
    </row>
    <row r="502" spans="1:14" x14ac:dyDescent="0.2">
      <c r="A502" s="10"/>
      <c r="B502" s="10"/>
      <c r="C502" s="10"/>
      <c r="D502" s="10"/>
      <c r="E502" s="10"/>
      <c r="F502" s="10"/>
      <c r="M502" s="10"/>
      <c r="N502" s="10"/>
    </row>
    <row r="503" spans="1:14" x14ac:dyDescent="0.2">
      <c r="A503" s="10"/>
      <c r="B503" s="10"/>
      <c r="C503" s="10"/>
      <c r="D503" s="10"/>
      <c r="E503" s="10"/>
      <c r="F503" s="10"/>
      <c r="M503" s="10"/>
      <c r="N503" s="10"/>
    </row>
    <row r="504" spans="1:14" x14ac:dyDescent="0.2">
      <c r="A504" s="10"/>
      <c r="B504" s="10"/>
      <c r="C504" s="10"/>
      <c r="D504" s="10"/>
      <c r="E504" s="10"/>
      <c r="F504" s="10"/>
      <c r="M504" s="10"/>
      <c r="N504" s="10"/>
    </row>
    <row r="505" spans="1:14" x14ac:dyDescent="0.2">
      <c r="A505" s="10"/>
      <c r="B505" s="10"/>
      <c r="C505" s="10"/>
      <c r="D505" s="10"/>
      <c r="E505" s="10"/>
      <c r="F505" s="10"/>
      <c r="M505" s="10"/>
      <c r="N505" s="10"/>
    </row>
    <row r="506" spans="1:14" x14ac:dyDescent="0.2">
      <c r="A506" s="10"/>
      <c r="B506" s="10"/>
      <c r="C506" s="10"/>
      <c r="D506" s="10"/>
      <c r="E506" s="10"/>
      <c r="F506" s="10"/>
      <c r="M506" s="10"/>
      <c r="N506" s="10"/>
    </row>
    <row r="507" spans="1:14" x14ac:dyDescent="0.2">
      <c r="A507" s="10"/>
      <c r="B507" s="10"/>
      <c r="C507" s="10"/>
      <c r="D507" s="10"/>
      <c r="E507" s="10"/>
      <c r="F507" s="10"/>
      <c r="M507" s="10"/>
      <c r="N507" s="10"/>
    </row>
    <row r="508" spans="1:14" x14ac:dyDescent="0.2">
      <c r="A508" s="10"/>
      <c r="B508" s="10"/>
      <c r="C508" s="10"/>
      <c r="D508" s="10"/>
      <c r="E508" s="10"/>
      <c r="F508" s="10"/>
      <c r="M508" s="10"/>
      <c r="N508" s="10"/>
    </row>
    <row r="509" spans="1:14" x14ac:dyDescent="0.2">
      <c r="A509" s="10"/>
      <c r="B509" s="10"/>
      <c r="C509" s="10"/>
      <c r="D509" s="10"/>
      <c r="E509" s="10"/>
      <c r="F509" s="10"/>
      <c r="M509" s="10"/>
      <c r="N509" s="10"/>
    </row>
    <row r="510" spans="1:14" x14ac:dyDescent="0.2">
      <c r="A510" s="10"/>
      <c r="B510" s="10"/>
      <c r="C510" s="10"/>
      <c r="D510" s="10"/>
      <c r="E510" s="10"/>
      <c r="F510" s="10"/>
      <c r="M510" s="10"/>
      <c r="N510" s="10"/>
    </row>
    <row r="511" spans="1:14" x14ac:dyDescent="0.2">
      <c r="A511" s="10"/>
      <c r="B511" s="10"/>
      <c r="C511" s="10"/>
      <c r="D511" s="10"/>
      <c r="E511" s="10"/>
      <c r="F511" s="10"/>
      <c r="M511" s="10"/>
      <c r="N511" s="10"/>
    </row>
    <row r="512" spans="1:14" x14ac:dyDescent="0.2">
      <c r="A512" s="10"/>
      <c r="B512" s="10"/>
      <c r="C512" s="10"/>
      <c r="D512" s="10"/>
      <c r="E512" s="10"/>
      <c r="F512" s="10"/>
      <c r="M512" s="10"/>
      <c r="N512" s="10"/>
    </row>
    <row r="513" spans="1:14" x14ac:dyDescent="0.2">
      <c r="A513" s="10"/>
      <c r="B513" s="10"/>
      <c r="C513" s="10"/>
      <c r="D513" s="10"/>
      <c r="E513" s="10"/>
      <c r="F513" s="10"/>
      <c r="M513" s="10"/>
      <c r="N513" s="10"/>
    </row>
    <row r="514" spans="1:14" x14ac:dyDescent="0.2">
      <c r="A514" s="10"/>
      <c r="B514" s="10"/>
      <c r="C514" s="10"/>
      <c r="D514" s="10"/>
      <c r="E514" s="10"/>
      <c r="F514" s="10"/>
      <c r="M514" s="10"/>
      <c r="N514" s="10"/>
    </row>
    <row r="515" spans="1:14" x14ac:dyDescent="0.2">
      <c r="A515" s="10"/>
      <c r="B515" s="10"/>
      <c r="C515" s="10"/>
      <c r="D515" s="10"/>
      <c r="E515" s="10"/>
      <c r="F515" s="10"/>
      <c r="M515" s="10"/>
      <c r="N515" s="10"/>
    </row>
    <row r="516" spans="1:14" x14ac:dyDescent="0.2">
      <c r="A516" s="10"/>
      <c r="B516" s="10"/>
      <c r="C516" s="10"/>
      <c r="D516" s="10"/>
      <c r="E516" s="10"/>
      <c r="F516" s="10"/>
      <c r="M516" s="10"/>
      <c r="N516" s="10"/>
    </row>
    <row r="517" spans="1:14" x14ac:dyDescent="0.2">
      <c r="A517" s="10"/>
      <c r="B517" s="10"/>
      <c r="C517" s="10"/>
      <c r="D517" s="10"/>
      <c r="E517" s="10"/>
      <c r="F517" s="10"/>
      <c r="M517" s="10"/>
      <c r="N517" s="10"/>
    </row>
    <row r="518" spans="1:14" x14ac:dyDescent="0.2">
      <c r="A518" s="10"/>
      <c r="B518" s="10"/>
      <c r="C518" s="10"/>
      <c r="D518" s="10"/>
      <c r="E518" s="10"/>
      <c r="F518" s="10"/>
      <c r="M518" s="10"/>
      <c r="N518" s="10"/>
    </row>
    <row r="519" spans="1:14" x14ac:dyDescent="0.2">
      <c r="A519" s="10"/>
      <c r="B519" s="10"/>
      <c r="C519" s="10"/>
      <c r="D519" s="10"/>
      <c r="E519" s="10"/>
      <c r="F519" s="10"/>
      <c r="M519" s="10"/>
      <c r="N519" s="10"/>
    </row>
    <row r="520" spans="1:14" x14ac:dyDescent="0.2">
      <c r="A520" s="10"/>
      <c r="B520" s="10"/>
      <c r="C520" s="10"/>
      <c r="D520" s="10"/>
      <c r="E520" s="10"/>
      <c r="F520" s="10"/>
      <c r="M520" s="10"/>
      <c r="N520" s="10"/>
    </row>
    <row r="521" spans="1:14" x14ac:dyDescent="0.2">
      <c r="A521" s="10"/>
      <c r="B521" s="10"/>
      <c r="C521" s="10"/>
      <c r="D521" s="10"/>
      <c r="E521" s="10"/>
      <c r="F521" s="10"/>
      <c r="M521" s="10"/>
      <c r="N521" s="10"/>
    </row>
    <row r="522" spans="1:14" x14ac:dyDescent="0.2">
      <c r="A522" s="10"/>
      <c r="B522" s="10"/>
      <c r="C522" s="10"/>
      <c r="D522" s="10"/>
      <c r="E522" s="10"/>
      <c r="F522" s="10"/>
      <c r="M522" s="10"/>
      <c r="N522" s="10"/>
    </row>
    <row r="523" spans="1:14" x14ac:dyDescent="0.2">
      <c r="A523" s="10"/>
      <c r="B523" s="10"/>
      <c r="C523" s="10"/>
      <c r="D523" s="10"/>
      <c r="E523" s="10"/>
      <c r="F523" s="10"/>
      <c r="M523" s="10"/>
      <c r="N523" s="10"/>
    </row>
    <row r="524" spans="1:14" x14ac:dyDescent="0.2">
      <c r="A524" s="10"/>
      <c r="B524" s="10"/>
      <c r="C524" s="10"/>
      <c r="D524" s="10"/>
      <c r="E524" s="10"/>
      <c r="F524" s="10"/>
      <c r="M524" s="10"/>
      <c r="N524" s="10"/>
    </row>
    <row r="525" spans="1:14" x14ac:dyDescent="0.2">
      <c r="A525" s="10"/>
      <c r="B525" s="10"/>
      <c r="C525" s="10"/>
      <c r="D525" s="10"/>
      <c r="E525" s="10"/>
      <c r="F525" s="10"/>
      <c r="M525" s="10"/>
      <c r="N525" s="10"/>
    </row>
    <row r="526" spans="1:14" x14ac:dyDescent="0.2">
      <c r="A526" s="10"/>
      <c r="B526" s="10"/>
      <c r="C526" s="10"/>
      <c r="D526" s="10"/>
      <c r="E526" s="10"/>
      <c r="F526" s="10"/>
      <c r="M526" s="10"/>
      <c r="N526" s="10"/>
    </row>
    <row r="527" spans="1:14" x14ac:dyDescent="0.2">
      <c r="A527" s="10"/>
      <c r="B527" s="10"/>
      <c r="C527" s="10"/>
      <c r="D527" s="10"/>
      <c r="E527" s="10"/>
      <c r="F527" s="10"/>
      <c r="M527" s="10"/>
      <c r="N527" s="10"/>
    </row>
    <row r="528" spans="1:14" x14ac:dyDescent="0.2">
      <c r="A528" s="10"/>
      <c r="B528" s="10"/>
      <c r="C528" s="10"/>
      <c r="D528" s="10"/>
      <c r="E528" s="10"/>
      <c r="F528" s="10"/>
      <c r="M528" s="10"/>
      <c r="N528" s="10"/>
    </row>
    <row r="529" spans="1:14" x14ac:dyDescent="0.2">
      <c r="A529" s="10"/>
      <c r="B529" s="10"/>
      <c r="C529" s="10"/>
      <c r="D529" s="10"/>
      <c r="E529" s="10"/>
      <c r="F529" s="10"/>
      <c r="M529" s="10"/>
      <c r="N529" s="10"/>
    </row>
    <row r="530" spans="1:14" x14ac:dyDescent="0.2">
      <c r="A530" s="10"/>
      <c r="B530" s="10"/>
      <c r="C530" s="10"/>
      <c r="D530" s="10"/>
      <c r="E530" s="10"/>
      <c r="F530" s="10"/>
      <c r="M530" s="10"/>
      <c r="N530" s="10"/>
    </row>
    <row r="531" spans="1:14" x14ac:dyDescent="0.2">
      <c r="A531" s="10"/>
      <c r="B531" s="10"/>
      <c r="C531" s="10"/>
      <c r="D531" s="10"/>
      <c r="E531" s="10"/>
      <c r="F531" s="10"/>
      <c r="M531" s="10"/>
      <c r="N531" s="10"/>
    </row>
    <row r="532" spans="1:14" x14ac:dyDescent="0.2">
      <c r="A532" s="10"/>
      <c r="B532" s="10"/>
      <c r="C532" s="10"/>
      <c r="D532" s="10"/>
      <c r="E532" s="10"/>
      <c r="F532" s="10"/>
      <c r="M532" s="10"/>
      <c r="N532" s="10"/>
    </row>
    <row r="533" spans="1:14" x14ac:dyDescent="0.2">
      <c r="A533" s="10"/>
      <c r="B533" s="10"/>
      <c r="C533" s="10"/>
      <c r="D533" s="10"/>
      <c r="E533" s="10"/>
      <c r="F533" s="10"/>
      <c r="M533" s="10"/>
      <c r="N533" s="10"/>
    </row>
    <row r="534" spans="1:14" x14ac:dyDescent="0.2">
      <c r="A534" s="10"/>
      <c r="B534" s="10"/>
      <c r="C534" s="10"/>
      <c r="D534" s="10"/>
      <c r="E534" s="10"/>
      <c r="F534" s="10"/>
      <c r="M534" s="10"/>
      <c r="N534" s="10"/>
    </row>
    <row r="535" spans="1:14" x14ac:dyDescent="0.2">
      <c r="A535" s="10"/>
      <c r="B535" s="10"/>
      <c r="C535" s="10"/>
      <c r="D535" s="10"/>
      <c r="E535" s="10"/>
      <c r="F535" s="10"/>
      <c r="M535" s="10"/>
      <c r="N535" s="10"/>
    </row>
    <row r="536" spans="1:14" x14ac:dyDescent="0.2">
      <c r="A536" s="10"/>
      <c r="B536" s="10"/>
      <c r="C536" s="10"/>
      <c r="D536" s="10"/>
      <c r="E536" s="10"/>
      <c r="F536" s="10"/>
      <c r="M536" s="10"/>
      <c r="N536" s="10"/>
    </row>
    <row r="537" spans="1:14" x14ac:dyDescent="0.2">
      <c r="A537" s="10"/>
      <c r="B537" s="10"/>
      <c r="C537" s="10"/>
      <c r="D537" s="10"/>
      <c r="E537" s="10"/>
      <c r="F537" s="10"/>
      <c r="M537" s="10"/>
      <c r="N537" s="10"/>
    </row>
    <row r="538" spans="1:14" x14ac:dyDescent="0.2">
      <c r="A538" s="10"/>
      <c r="B538" s="10"/>
      <c r="C538" s="10"/>
      <c r="D538" s="10"/>
      <c r="E538" s="10"/>
      <c r="F538" s="10"/>
      <c r="M538" s="10"/>
      <c r="N538" s="10"/>
    </row>
    <row r="539" spans="1:14" x14ac:dyDescent="0.2">
      <c r="A539" s="10"/>
      <c r="B539" s="10"/>
      <c r="C539" s="10"/>
      <c r="D539" s="10"/>
      <c r="E539" s="10"/>
      <c r="F539" s="10"/>
      <c r="M539" s="10"/>
      <c r="N539" s="10"/>
    </row>
    <row r="540" spans="1:14" x14ac:dyDescent="0.2">
      <c r="A540" s="10"/>
      <c r="B540" s="10"/>
      <c r="C540" s="10"/>
      <c r="D540" s="10"/>
      <c r="E540" s="10"/>
      <c r="F540" s="10"/>
      <c r="M540" s="10"/>
      <c r="N540" s="10"/>
    </row>
    <row r="541" spans="1:14" x14ac:dyDescent="0.2">
      <c r="A541" s="10"/>
      <c r="B541" s="10"/>
      <c r="C541" s="10"/>
      <c r="D541" s="10"/>
      <c r="E541" s="10"/>
      <c r="F541" s="10"/>
      <c r="M541" s="10"/>
      <c r="N541" s="10"/>
    </row>
    <row r="542" spans="1:14" x14ac:dyDescent="0.2">
      <c r="A542" s="10"/>
      <c r="B542" s="10"/>
      <c r="C542" s="10"/>
      <c r="D542" s="10"/>
      <c r="E542" s="10"/>
      <c r="F542" s="10"/>
      <c r="M542" s="10"/>
      <c r="N542" s="10"/>
    </row>
    <row r="543" spans="1:14" x14ac:dyDescent="0.2">
      <c r="A543" s="10"/>
      <c r="B543" s="10"/>
      <c r="C543" s="10"/>
      <c r="D543" s="10"/>
      <c r="E543" s="10"/>
      <c r="F543" s="10"/>
      <c r="M543" s="10"/>
      <c r="N543" s="10"/>
    </row>
    <row r="544" spans="1:14" x14ac:dyDescent="0.2">
      <c r="A544" s="10"/>
      <c r="B544" s="10"/>
      <c r="C544" s="10"/>
      <c r="D544" s="10"/>
      <c r="E544" s="10"/>
      <c r="F544" s="10"/>
      <c r="M544" s="10"/>
      <c r="N544" s="10"/>
    </row>
    <row r="545" spans="1:14" x14ac:dyDescent="0.2">
      <c r="A545" s="10"/>
      <c r="B545" s="10"/>
      <c r="C545" s="10"/>
      <c r="D545" s="10"/>
      <c r="E545" s="10"/>
      <c r="F545" s="10"/>
      <c r="M545" s="10"/>
      <c r="N545" s="10"/>
    </row>
    <row r="546" spans="1:14" x14ac:dyDescent="0.2">
      <c r="A546" s="10"/>
      <c r="B546" s="10"/>
      <c r="C546" s="10"/>
      <c r="D546" s="10"/>
      <c r="E546" s="10"/>
      <c r="F546" s="10"/>
      <c r="M546" s="10"/>
      <c r="N546" s="10"/>
    </row>
    <row r="547" spans="1:14" x14ac:dyDescent="0.2">
      <c r="A547" s="10"/>
      <c r="B547" s="10"/>
      <c r="C547" s="10"/>
      <c r="D547" s="10"/>
      <c r="E547" s="10"/>
      <c r="F547" s="10"/>
      <c r="M547" s="10"/>
      <c r="N547" s="10"/>
    </row>
    <row r="548" spans="1:14" x14ac:dyDescent="0.2">
      <c r="A548" s="10"/>
      <c r="B548" s="10"/>
      <c r="C548" s="10"/>
      <c r="D548" s="10"/>
      <c r="E548" s="10"/>
      <c r="F548" s="10"/>
      <c r="M548" s="10"/>
      <c r="N548" s="10"/>
    </row>
    <row r="549" spans="1:14" x14ac:dyDescent="0.2">
      <c r="A549" s="10"/>
      <c r="B549" s="10"/>
      <c r="C549" s="10"/>
      <c r="D549" s="10"/>
      <c r="E549" s="10"/>
      <c r="F549" s="10"/>
      <c r="M549" s="10"/>
      <c r="N549" s="10"/>
    </row>
    <row r="550" spans="1:14" x14ac:dyDescent="0.2">
      <c r="A550" s="10"/>
      <c r="B550" s="10"/>
      <c r="C550" s="10"/>
      <c r="D550" s="10"/>
      <c r="E550" s="10"/>
      <c r="F550" s="10"/>
      <c r="M550" s="10"/>
      <c r="N550" s="10"/>
    </row>
    <row r="551" spans="1:14" x14ac:dyDescent="0.2">
      <c r="A551" s="10"/>
      <c r="B551" s="10"/>
      <c r="C551" s="10"/>
      <c r="D551" s="10"/>
      <c r="E551" s="10"/>
      <c r="F551" s="10"/>
      <c r="M551" s="10"/>
      <c r="N551" s="10"/>
    </row>
    <row r="552" spans="1:14" x14ac:dyDescent="0.2">
      <c r="A552" s="10"/>
      <c r="B552" s="10"/>
      <c r="C552" s="10"/>
      <c r="D552" s="10"/>
      <c r="E552" s="10"/>
      <c r="F552" s="10"/>
      <c r="M552" s="10"/>
      <c r="N552" s="10"/>
    </row>
    <row r="553" spans="1:14" x14ac:dyDescent="0.2">
      <c r="A553" s="10"/>
      <c r="B553" s="10"/>
      <c r="C553" s="10"/>
      <c r="D553" s="10"/>
      <c r="E553" s="10"/>
      <c r="F553" s="10"/>
      <c r="M553" s="10"/>
      <c r="N553" s="10"/>
    </row>
    <row r="554" spans="1:14" x14ac:dyDescent="0.2">
      <c r="A554" s="10"/>
      <c r="B554" s="10"/>
      <c r="C554" s="10"/>
      <c r="D554" s="10"/>
      <c r="E554" s="10"/>
      <c r="F554" s="10"/>
      <c r="M554" s="10"/>
      <c r="N554" s="10"/>
    </row>
    <row r="555" spans="1:14" x14ac:dyDescent="0.2">
      <c r="A555" s="10"/>
      <c r="B555" s="10"/>
      <c r="C555" s="10"/>
      <c r="D555" s="10"/>
      <c r="E555" s="10"/>
      <c r="F555" s="10"/>
      <c r="M555" s="10"/>
      <c r="N555" s="10"/>
    </row>
    <row r="556" spans="1:14" x14ac:dyDescent="0.2">
      <c r="A556" s="10"/>
      <c r="B556" s="10"/>
      <c r="C556" s="10"/>
      <c r="D556" s="10"/>
      <c r="E556" s="10"/>
      <c r="F556" s="10"/>
      <c r="M556" s="10"/>
      <c r="N556" s="10"/>
    </row>
    <row r="557" spans="1:14" x14ac:dyDescent="0.2">
      <c r="A557" s="10"/>
      <c r="B557" s="10"/>
      <c r="C557" s="10"/>
      <c r="D557" s="10"/>
      <c r="E557" s="10"/>
      <c r="F557" s="10"/>
      <c r="M557" s="10"/>
      <c r="N557" s="10"/>
    </row>
    <row r="558" spans="1:14" x14ac:dyDescent="0.2">
      <c r="A558" s="10"/>
      <c r="B558" s="10"/>
      <c r="C558" s="10"/>
      <c r="D558" s="10"/>
      <c r="E558" s="10"/>
      <c r="F558" s="10"/>
      <c r="M558" s="10"/>
      <c r="N558" s="10"/>
    </row>
    <row r="559" spans="1:14" x14ac:dyDescent="0.2">
      <c r="A559" s="10"/>
      <c r="B559" s="10"/>
      <c r="C559" s="10"/>
      <c r="D559" s="10"/>
      <c r="E559" s="10"/>
      <c r="F559" s="10"/>
      <c r="M559" s="10"/>
      <c r="N559" s="10"/>
    </row>
    <row r="560" spans="1:14" x14ac:dyDescent="0.2">
      <c r="A560" s="10"/>
      <c r="B560" s="10"/>
      <c r="C560" s="10"/>
      <c r="D560" s="10"/>
      <c r="E560" s="10"/>
      <c r="F560" s="10"/>
      <c r="M560" s="10"/>
      <c r="N560" s="10"/>
    </row>
    <row r="561" spans="1:14" x14ac:dyDescent="0.2">
      <c r="A561" s="10"/>
      <c r="B561" s="10"/>
      <c r="C561" s="10"/>
      <c r="D561" s="10"/>
      <c r="E561" s="10"/>
      <c r="F561" s="10"/>
      <c r="M561" s="10"/>
      <c r="N561" s="10"/>
    </row>
    <row r="562" spans="1:14" x14ac:dyDescent="0.2">
      <c r="A562" s="10"/>
      <c r="B562" s="10"/>
      <c r="C562" s="10"/>
      <c r="D562" s="10"/>
      <c r="E562" s="10"/>
      <c r="F562" s="10"/>
      <c r="M562" s="10"/>
      <c r="N562" s="10"/>
    </row>
    <row r="563" spans="1:14" x14ac:dyDescent="0.2">
      <c r="A563" s="10"/>
      <c r="B563" s="10"/>
      <c r="C563" s="10"/>
      <c r="D563" s="10"/>
      <c r="E563" s="10"/>
      <c r="F563" s="10"/>
      <c r="M563" s="10"/>
      <c r="N563" s="10"/>
    </row>
    <row r="564" spans="1:14" x14ac:dyDescent="0.2">
      <c r="A564" s="10"/>
      <c r="B564" s="10"/>
      <c r="C564" s="10"/>
      <c r="D564" s="10"/>
      <c r="E564" s="10"/>
      <c r="F564" s="10"/>
      <c r="M564" s="10"/>
      <c r="N564" s="10"/>
    </row>
    <row r="565" spans="1:14" x14ac:dyDescent="0.2">
      <c r="A565" s="10"/>
      <c r="B565" s="10"/>
      <c r="C565" s="10"/>
      <c r="D565" s="10"/>
      <c r="E565" s="10"/>
      <c r="F565" s="10"/>
      <c r="M565" s="10"/>
      <c r="N565" s="10"/>
    </row>
    <row r="566" spans="1:14" x14ac:dyDescent="0.2">
      <c r="A566" s="10"/>
      <c r="B566" s="10"/>
      <c r="C566" s="10"/>
      <c r="D566" s="10"/>
      <c r="E566" s="10"/>
      <c r="F566" s="10"/>
      <c r="M566" s="10"/>
      <c r="N566" s="10"/>
    </row>
    <row r="567" spans="1:14" x14ac:dyDescent="0.2">
      <c r="A567" s="10"/>
      <c r="B567" s="10"/>
      <c r="C567" s="10"/>
      <c r="D567" s="10"/>
      <c r="E567" s="10"/>
      <c r="F567" s="10"/>
      <c r="M567" s="10"/>
      <c r="N567" s="10"/>
    </row>
    <row r="568" spans="1:14" x14ac:dyDescent="0.2">
      <c r="A568" s="10"/>
      <c r="B568" s="10"/>
      <c r="C568" s="10"/>
      <c r="D568" s="10"/>
      <c r="E568" s="10"/>
      <c r="F568" s="10"/>
      <c r="M568" s="10"/>
      <c r="N568" s="10"/>
    </row>
    <row r="569" spans="1:14" x14ac:dyDescent="0.2">
      <c r="A569" s="10"/>
      <c r="B569" s="10"/>
      <c r="C569" s="10"/>
      <c r="D569" s="10"/>
      <c r="E569" s="10"/>
      <c r="F569" s="10"/>
      <c r="M569" s="10"/>
      <c r="N569" s="10"/>
    </row>
    <row r="570" spans="1:14" x14ac:dyDescent="0.2">
      <c r="A570" s="10"/>
      <c r="B570" s="10"/>
      <c r="C570" s="10"/>
      <c r="D570" s="10"/>
      <c r="E570" s="10"/>
      <c r="F570" s="10"/>
      <c r="M570" s="10"/>
      <c r="N570" s="10"/>
    </row>
    <row r="571" spans="1:14" x14ac:dyDescent="0.2">
      <c r="A571" s="10"/>
      <c r="B571" s="10"/>
      <c r="C571" s="10"/>
      <c r="D571" s="10"/>
      <c r="E571" s="10"/>
      <c r="F571" s="10"/>
      <c r="M571" s="10"/>
      <c r="N571" s="10"/>
    </row>
    <row r="572" spans="1:14" x14ac:dyDescent="0.2">
      <c r="A572" s="10"/>
      <c r="B572" s="10"/>
      <c r="C572" s="10"/>
      <c r="D572" s="10"/>
      <c r="E572" s="10"/>
      <c r="F572" s="10"/>
      <c r="M572" s="10"/>
      <c r="N572" s="10"/>
    </row>
    <row r="573" spans="1:14" x14ac:dyDescent="0.2">
      <c r="A573" s="10"/>
      <c r="B573" s="10"/>
      <c r="C573" s="10"/>
      <c r="D573" s="10"/>
      <c r="E573" s="10"/>
      <c r="F573" s="10"/>
      <c r="M573" s="10"/>
      <c r="N573" s="10"/>
    </row>
    <row r="574" spans="1:14" x14ac:dyDescent="0.2">
      <c r="A574" s="10"/>
      <c r="B574" s="10"/>
      <c r="C574" s="10"/>
      <c r="D574" s="10"/>
      <c r="E574" s="10"/>
      <c r="F574" s="10"/>
      <c r="M574" s="10"/>
      <c r="N574" s="10"/>
    </row>
    <row r="575" spans="1:14" x14ac:dyDescent="0.2">
      <c r="A575" s="10"/>
      <c r="B575" s="10"/>
      <c r="C575" s="10"/>
      <c r="D575" s="10"/>
      <c r="E575" s="10"/>
      <c r="F575" s="10"/>
      <c r="M575" s="10"/>
      <c r="N575" s="10"/>
    </row>
    <row r="576" spans="1:14" x14ac:dyDescent="0.2">
      <c r="A576" s="10"/>
      <c r="B576" s="10"/>
      <c r="C576" s="10"/>
      <c r="D576" s="10"/>
      <c r="E576" s="10"/>
      <c r="F576" s="10"/>
      <c r="M576" s="10"/>
      <c r="N576" s="10"/>
    </row>
    <row r="577" spans="1:14" x14ac:dyDescent="0.2">
      <c r="A577" s="10"/>
      <c r="B577" s="10"/>
      <c r="C577" s="10"/>
      <c r="D577" s="10"/>
      <c r="E577" s="10"/>
      <c r="F577" s="10"/>
      <c r="M577" s="10"/>
      <c r="N577" s="10"/>
    </row>
    <row r="578" spans="1:14" x14ac:dyDescent="0.2">
      <c r="A578" s="10"/>
      <c r="B578" s="10"/>
      <c r="C578" s="10"/>
      <c r="D578" s="10"/>
      <c r="E578" s="10"/>
      <c r="F578" s="10"/>
      <c r="M578" s="10"/>
      <c r="N578" s="10"/>
    </row>
    <row r="579" spans="1:14" x14ac:dyDescent="0.2">
      <c r="A579" s="10"/>
      <c r="B579" s="10"/>
      <c r="C579" s="10"/>
      <c r="D579" s="10"/>
      <c r="E579" s="10"/>
      <c r="F579" s="10"/>
      <c r="M579" s="10"/>
      <c r="N579" s="10"/>
    </row>
    <row r="580" spans="1:14" x14ac:dyDescent="0.2">
      <c r="A580" s="10"/>
      <c r="B580" s="10"/>
      <c r="C580" s="10"/>
      <c r="D580" s="10"/>
      <c r="E580" s="10"/>
      <c r="F580" s="10"/>
      <c r="M580" s="10"/>
      <c r="N580" s="10"/>
    </row>
    <row r="581" spans="1:14" x14ac:dyDescent="0.2">
      <c r="A581" s="10"/>
      <c r="B581" s="10"/>
      <c r="C581" s="10"/>
      <c r="D581" s="10"/>
      <c r="E581" s="10"/>
      <c r="F581" s="10"/>
      <c r="M581" s="10"/>
      <c r="N581" s="10"/>
    </row>
    <row r="582" spans="1:14" x14ac:dyDescent="0.2">
      <c r="A582" s="10"/>
      <c r="B582" s="10"/>
      <c r="C582" s="10"/>
      <c r="D582" s="10"/>
      <c r="E582" s="10"/>
      <c r="F582" s="10"/>
      <c r="M582" s="10"/>
      <c r="N582" s="10"/>
    </row>
    <row r="583" spans="1:14" x14ac:dyDescent="0.2">
      <c r="A583" s="10"/>
      <c r="B583" s="10"/>
      <c r="C583" s="10"/>
      <c r="D583" s="10"/>
      <c r="E583" s="10"/>
      <c r="F583" s="10"/>
      <c r="M583" s="10"/>
      <c r="N583" s="10"/>
    </row>
    <row r="584" spans="1:14" x14ac:dyDescent="0.2">
      <c r="A584" s="10"/>
      <c r="B584" s="10"/>
      <c r="C584" s="10"/>
      <c r="D584" s="10"/>
      <c r="E584" s="10"/>
      <c r="F584" s="10"/>
      <c r="M584" s="10"/>
      <c r="N584" s="10"/>
    </row>
    <row r="585" spans="1:14" x14ac:dyDescent="0.2">
      <c r="A585" s="10"/>
      <c r="B585" s="10"/>
      <c r="C585" s="10"/>
      <c r="D585" s="10"/>
      <c r="E585" s="10"/>
      <c r="F585" s="10"/>
      <c r="M585" s="10"/>
      <c r="N585" s="10"/>
    </row>
    <row r="586" spans="1:14" x14ac:dyDescent="0.2">
      <c r="A586" s="10"/>
      <c r="B586" s="10"/>
      <c r="C586" s="10"/>
      <c r="D586" s="10"/>
      <c r="E586" s="10"/>
      <c r="F586" s="10"/>
      <c r="M586" s="10"/>
      <c r="N586" s="10"/>
    </row>
    <row r="587" spans="1:14" x14ac:dyDescent="0.2">
      <c r="A587" s="10"/>
      <c r="B587" s="10"/>
      <c r="C587" s="10"/>
      <c r="D587" s="10"/>
      <c r="E587" s="10"/>
      <c r="F587" s="10"/>
      <c r="M587" s="10"/>
      <c r="N587" s="10"/>
    </row>
    <row r="588" spans="1:14" x14ac:dyDescent="0.2">
      <c r="A588" s="10"/>
      <c r="B588" s="10"/>
      <c r="C588" s="10"/>
      <c r="D588" s="10"/>
      <c r="E588" s="10"/>
      <c r="F588" s="10"/>
      <c r="M588" s="10"/>
      <c r="N588" s="10"/>
    </row>
    <row r="589" spans="1:14" x14ac:dyDescent="0.2">
      <c r="A589" s="10"/>
      <c r="B589" s="10"/>
      <c r="C589" s="10"/>
      <c r="D589" s="10"/>
      <c r="E589" s="10"/>
      <c r="F589" s="10"/>
      <c r="M589" s="10"/>
      <c r="N589" s="10"/>
    </row>
    <row r="590" spans="1:14" x14ac:dyDescent="0.2">
      <c r="A590" s="10"/>
      <c r="B590" s="10"/>
      <c r="C590" s="10"/>
      <c r="D590" s="10"/>
      <c r="E590" s="10"/>
      <c r="F590" s="10"/>
      <c r="M590" s="10"/>
      <c r="N590" s="10"/>
    </row>
    <row r="591" spans="1:14" x14ac:dyDescent="0.2">
      <c r="A591" s="10"/>
      <c r="B591" s="10"/>
      <c r="C591" s="10"/>
      <c r="D591" s="10"/>
      <c r="E591" s="10"/>
      <c r="F591" s="10"/>
      <c r="M591" s="10"/>
      <c r="N591" s="10"/>
    </row>
    <row r="592" spans="1:14" x14ac:dyDescent="0.2">
      <c r="A592" s="10"/>
      <c r="B592" s="10"/>
      <c r="C592" s="10"/>
      <c r="D592" s="10"/>
      <c r="E592" s="10"/>
      <c r="F592" s="10"/>
      <c r="M592" s="10"/>
      <c r="N592" s="10"/>
    </row>
    <row r="593" spans="1:14" x14ac:dyDescent="0.2">
      <c r="A593" s="10"/>
      <c r="B593" s="10"/>
      <c r="C593" s="10"/>
      <c r="D593" s="10"/>
      <c r="E593" s="10"/>
      <c r="F593" s="10"/>
      <c r="M593" s="10"/>
      <c r="N593" s="10"/>
    </row>
    <row r="594" spans="1:14" x14ac:dyDescent="0.2">
      <c r="A594" s="10"/>
      <c r="B594" s="10"/>
      <c r="C594" s="10"/>
      <c r="D594" s="10"/>
      <c r="E594" s="10"/>
      <c r="F594" s="10"/>
      <c r="M594" s="10"/>
      <c r="N594" s="10"/>
    </row>
    <row r="595" spans="1:14" x14ac:dyDescent="0.2">
      <c r="A595" s="10"/>
      <c r="B595" s="10"/>
      <c r="C595" s="10"/>
      <c r="D595" s="10"/>
      <c r="E595" s="10"/>
      <c r="F595" s="10"/>
      <c r="M595" s="10"/>
      <c r="N595" s="10"/>
    </row>
    <row r="596" spans="1:14" x14ac:dyDescent="0.2">
      <c r="A596" s="10"/>
      <c r="B596" s="10"/>
      <c r="C596" s="10"/>
      <c r="D596" s="10"/>
      <c r="E596" s="10"/>
      <c r="F596" s="10"/>
      <c r="M596" s="10"/>
      <c r="N596" s="10"/>
    </row>
    <row r="597" spans="1:14" x14ac:dyDescent="0.2">
      <c r="A597" s="10"/>
      <c r="B597" s="10"/>
      <c r="C597" s="10"/>
      <c r="D597" s="10"/>
      <c r="E597" s="10"/>
      <c r="F597" s="10"/>
      <c r="M597" s="10"/>
      <c r="N597" s="10"/>
    </row>
    <row r="598" spans="1:14" x14ac:dyDescent="0.2">
      <c r="A598" s="10"/>
      <c r="B598" s="10"/>
      <c r="C598" s="10"/>
      <c r="D598" s="10"/>
      <c r="E598" s="10"/>
      <c r="F598" s="10"/>
      <c r="M598" s="10"/>
      <c r="N598" s="10"/>
    </row>
    <row r="599" spans="1:14" x14ac:dyDescent="0.2">
      <c r="A599" s="10"/>
      <c r="B599" s="10"/>
      <c r="C599" s="10"/>
      <c r="D599" s="10"/>
      <c r="E599" s="10"/>
      <c r="F599" s="10"/>
      <c r="M599" s="10"/>
      <c r="N599" s="10"/>
    </row>
    <row r="600" spans="1:14" x14ac:dyDescent="0.2">
      <c r="A600" s="10"/>
      <c r="B600" s="10"/>
      <c r="C600" s="10"/>
      <c r="D600" s="10"/>
      <c r="E600" s="10"/>
      <c r="F600" s="10"/>
      <c r="M600" s="10"/>
      <c r="N600" s="10"/>
    </row>
    <row r="601" spans="1:14" x14ac:dyDescent="0.2">
      <c r="A601" s="10"/>
      <c r="B601" s="10"/>
      <c r="C601" s="10"/>
      <c r="D601" s="10"/>
      <c r="E601" s="10"/>
      <c r="F601" s="10"/>
      <c r="M601" s="10"/>
      <c r="N601" s="10"/>
    </row>
    <row r="602" spans="1:14" x14ac:dyDescent="0.2">
      <c r="A602" s="10"/>
      <c r="B602" s="10"/>
      <c r="C602" s="10"/>
      <c r="D602" s="10"/>
      <c r="E602" s="10"/>
      <c r="F602" s="10"/>
      <c r="M602" s="10"/>
      <c r="N602" s="10"/>
    </row>
    <row r="603" spans="1:14" x14ac:dyDescent="0.2">
      <c r="A603" s="10"/>
      <c r="B603" s="10"/>
      <c r="C603" s="10"/>
      <c r="D603" s="10"/>
      <c r="E603" s="10"/>
      <c r="F603" s="10"/>
      <c r="M603" s="10"/>
      <c r="N603" s="10"/>
    </row>
    <row r="604" spans="1:14" x14ac:dyDescent="0.2">
      <c r="A604" s="10"/>
      <c r="B604" s="10"/>
      <c r="C604" s="10"/>
      <c r="D604" s="10"/>
      <c r="E604" s="10"/>
      <c r="F604" s="10"/>
      <c r="M604" s="10"/>
      <c r="N604" s="10"/>
    </row>
    <row r="605" spans="1:14" x14ac:dyDescent="0.2">
      <c r="A605" s="10"/>
      <c r="B605" s="10"/>
      <c r="C605" s="10"/>
      <c r="D605" s="10"/>
      <c r="E605" s="10"/>
      <c r="F605" s="10"/>
      <c r="M605" s="10"/>
      <c r="N605" s="10"/>
    </row>
    <row r="606" spans="1:14" x14ac:dyDescent="0.2">
      <c r="A606" s="10"/>
      <c r="B606" s="10"/>
      <c r="C606" s="10"/>
      <c r="D606" s="10"/>
      <c r="E606" s="10"/>
      <c r="F606" s="10"/>
      <c r="M606" s="10"/>
      <c r="N606" s="10"/>
    </row>
    <row r="607" spans="1:14" x14ac:dyDescent="0.2">
      <c r="A607" s="10"/>
      <c r="B607" s="10"/>
      <c r="C607" s="10"/>
      <c r="D607" s="10"/>
      <c r="E607" s="10"/>
      <c r="F607" s="10"/>
      <c r="M607" s="10"/>
      <c r="N607" s="10"/>
    </row>
    <row r="608" spans="1:14" x14ac:dyDescent="0.2">
      <c r="A608" s="10"/>
      <c r="B608" s="10"/>
      <c r="C608" s="10"/>
      <c r="D608" s="10"/>
      <c r="E608" s="10"/>
      <c r="F608" s="10"/>
      <c r="M608" s="10"/>
      <c r="N608" s="10"/>
    </row>
    <row r="609" spans="1:14" x14ac:dyDescent="0.2">
      <c r="A609" s="10"/>
      <c r="B609" s="10"/>
      <c r="C609" s="10"/>
      <c r="D609" s="10"/>
      <c r="E609" s="10"/>
      <c r="F609" s="10"/>
      <c r="M609" s="10"/>
      <c r="N609" s="10"/>
    </row>
    <row r="610" spans="1:14" x14ac:dyDescent="0.2">
      <c r="A610" s="10"/>
      <c r="B610" s="10"/>
      <c r="C610" s="10"/>
      <c r="D610" s="10"/>
      <c r="E610" s="10"/>
      <c r="F610" s="10"/>
      <c r="M610" s="10"/>
      <c r="N610" s="10"/>
    </row>
    <row r="611" spans="1:14" x14ac:dyDescent="0.2">
      <c r="A611" s="10"/>
      <c r="B611" s="10"/>
      <c r="C611" s="10"/>
      <c r="D611" s="10"/>
      <c r="E611" s="10"/>
      <c r="F611" s="10"/>
      <c r="M611" s="10"/>
      <c r="N611" s="10"/>
    </row>
    <row r="612" spans="1:14" x14ac:dyDescent="0.2">
      <c r="A612" s="10"/>
      <c r="B612" s="10"/>
      <c r="C612" s="10"/>
      <c r="D612" s="10"/>
      <c r="E612" s="10"/>
      <c r="F612" s="10"/>
      <c r="M612" s="10"/>
      <c r="N612" s="10"/>
    </row>
    <row r="613" spans="1:14" x14ac:dyDescent="0.2">
      <c r="A613" s="10"/>
      <c r="B613" s="10"/>
      <c r="C613" s="10"/>
      <c r="D613" s="10"/>
      <c r="E613" s="10"/>
      <c r="F613" s="10"/>
      <c r="M613" s="10"/>
      <c r="N613" s="10"/>
    </row>
    <row r="614" spans="1:14" x14ac:dyDescent="0.2">
      <c r="A614" s="10"/>
      <c r="B614" s="10"/>
      <c r="C614" s="10"/>
      <c r="D614" s="10"/>
      <c r="E614" s="10"/>
      <c r="F614" s="10"/>
      <c r="M614" s="10"/>
      <c r="N614" s="10"/>
    </row>
    <row r="615" spans="1:14" x14ac:dyDescent="0.2">
      <c r="A615" s="10"/>
      <c r="B615" s="10"/>
      <c r="C615" s="10"/>
      <c r="D615" s="10"/>
      <c r="E615" s="10"/>
      <c r="F615" s="10"/>
      <c r="M615" s="10"/>
      <c r="N615" s="10"/>
    </row>
    <row r="616" spans="1:14" x14ac:dyDescent="0.2">
      <c r="A616" s="10"/>
      <c r="B616" s="10"/>
      <c r="C616" s="10"/>
      <c r="D616" s="10"/>
      <c r="E616" s="10"/>
      <c r="F616" s="10"/>
      <c r="M616" s="10"/>
      <c r="N616" s="10"/>
    </row>
    <row r="617" spans="1:14" x14ac:dyDescent="0.2">
      <c r="A617" s="10"/>
      <c r="B617" s="10"/>
      <c r="C617" s="10"/>
      <c r="D617" s="10"/>
      <c r="E617" s="10"/>
      <c r="F617" s="10"/>
      <c r="M617" s="10"/>
      <c r="N617" s="10"/>
    </row>
    <row r="618" spans="1:14" x14ac:dyDescent="0.2">
      <c r="A618" s="10"/>
      <c r="B618" s="10"/>
      <c r="C618" s="10"/>
      <c r="D618" s="10"/>
      <c r="E618" s="10"/>
      <c r="F618" s="10"/>
      <c r="M618" s="10"/>
      <c r="N618" s="10"/>
    </row>
    <row r="619" spans="1:14" x14ac:dyDescent="0.2">
      <c r="A619" s="10"/>
      <c r="B619" s="10"/>
      <c r="C619" s="10"/>
      <c r="D619" s="10"/>
      <c r="E619" s="10"/>
      <c r="F619" s="10"/>
      <c r="M619" s="10"/>
      <c r="N619" s="10"/>
    </row>
    <row r="620" spans="1:14" x14ac:dyDescent="0.2">
      <c r="A620" s="10"/>
      <c r="B620" s="10"/>
      <c r="C620" s="10"/>
      <c r="D620" s="10"/>
      <c r="E620" s="10"/>
      <c r="F620" s="10"/>
      <c r="M620" s="10"/>
      <c r="N620" s="10"/>
    </row>
    <row r="621" spans="1:14" x14ac:dyDescent="0.2">
      <c r="A621" s="10"/>
      <c r="B621" s="10"/>
      <c r="C621" s="10"/>
      <c r="D621" s="10"/>
      <c r="E621" s="10"/>
      <c r="F621" s="10"/>
      <c r="M621" s="10"/>
      <c r="N621" s="10"/>
    </row>
    <row r="622" spans="1:14" x14ac:dyDescent="0.2">
      <c r="A622" s="10"/>
      <c r="B622" s="10"/>
      <c r="C622" s="10"/>
      <c r="D622" s="10"/>
      <c r="E622" s="10"/>
      <c r="F622" s="10"/>
      <c r="M622" s="10"/>
      <c r="N622" s="10"/>
    </row>
    <row r="623" spans="1:14" x14ac:dyDescent="0.2">
      <c r="A623" s="10"/>
      <c r="B623" s="10"/>
      <c r="C623" s="10"/>
      <c r="D623" s="10"/>
      <c r="E623" s="10"/>
      <c r="F623" s="10"/>
      <c r="M623" s="10"/>
      <c r="N623" s="10"/>
    </row>
    <row r="624" spans="1:14" x14ac:dyDescent="0.2">
      <c r="A624" s="10"/>
      <c r="B624" s="10"/>
      <c r="C624" s="10"/>
      <c r="D624" s="10"/>
      <c r="E624" s="10"/>
      <c r="F624" s="10"/>
      <c r="M624" s="10"/>
      <c r="N624" s="10"/>
    </row>
    <row r="625" spans="1:14" x14ac:dyDescent="0.2">
      <c r="A625" s="10"/>
      <c r="B625" s="10"/>
      <c r="C625" s="10"/>
      <c r="D625" s="10"/>
      <c r="E625" s="10"/>
      <c r="F625" s="10"/>
      <c r="M625" s="10"/>
      <c r="N625" s="10"/>
    </row>
    <row r="626" spans="1:14" x14ac:dyDescent="0.2">
      <c r="A626" s="10"/>
      <c r="B626" s="10"/>
      <c r="C626" s="10"/>
      <c r="D626" s="10"/>
      <c r="E626" s="10"/>
      <c r="F626" s="10"/>
      <c r="M626" s="10"/>
      <c r="N626" s="10"/>
    </row>
    <row r="627" spans="1:14" x14ac:dyDescent="0.2">
      <c r="A627" s="10"/>
      <c r="B627" s="10"/>
      <c r="C627" s="10"/>
      <c r="D627" s="10"/>
      <c r="E627" s="10"/>
      <c r="F627" s="10"/>
      <c r="M627" s="10"/>
      <c r="N627" s="10"/>
    </row>
    <row r="628" spans="1:14" x14ac:dyDescent="0.2">
      <c r="A628" s="10"/>
      <c r="B628" s="10"/>
      <c r="C628" s="10"/>
      <c r="D628" s="10"/>
      <c r="E628" s="10"/>
      <c r="F628" s="10"/>
      <c r="M628" s="10"/>
      <c r="N628" s="10"/>
    </row>
    <row r="629" spans="1:14" x14ac:dyDescent="0.2">
      <c r="A629" s="10"/>
      <c r="B629" s="10"/>
      <c r="C629" s="10"/>
      <c r="D629" s="10"/>
      <c r="E629" s="10"/>
      <c r="F629" s="10"/>
      <c r="M629" s="10"/>
      <c r="N629" s="10"/>
    </row>
    <row r="630" spans="1:14" x14ac:dyDescent="0.2">
      <c r="A630" s="10"/>
      <c r="B630" s="10"/>
      <c r="C630" s="10"/>
      <c r="D630" s="10"/>
      <c r="E630" s="10"/>
      <c r="F630" s="10"/>
      <c r="M630" s="10"/>
      <c r="N630" s="10"/>
    </row>
    <row r="631" spans="1:14" x14ac:dyDescent="0.2">
      <c r="A631" s="10"/>
      <c r="B631" s="10"/>
      <c r="C631" s="10"/>
      <c r="D631" s="10"/>
      <c r="E631" s="10"/>
      <c r="F631" s="10"/>
      <c r="M631" s="10"/>
      <c r="N631" s="10"/>
    </row>
    <row r="632" spans="1:14" x14ac:dyDescent="0.2">
      <c r="A632" s="10"/>
      <c r="B632" s="10"/>
      <c r="C632" s="10"/>
      <c r="D632" s="10"/>
      <c r="E632" s="10"/>
      <c r="F632" s="10"/>
      <c r="M632" s="10"/>
      <c r="N632" s="10"/>
    </row>
    <row r="633" spans="1:14" x14ac:dyDescent="0.2">
      <c r="A633" s="10"/>
      <c r="B633" s="10"/>
      <c r="C633" s="10"/>
      <c r="D633" s="10"/>
      <c r="E633" s="10"/>
      <c r="F633" s="10"/>
      <c r="M633" s="10"/>
      <c r="N633" s="10"/>
    </row>
    <row r="634" spans="1:14" x14ac:dyDescent="0.2">
      <c r="A634" s="10"/>
      <c r="B634" s="10"/>
      <c r="C634" s="10"/>
      <c r="D634" s="10"/>
      <c r="E634" s="10"/>
      <c r="F634" s="10"/>
      <c r="M634" s="10"/>
      <c r="N634" s="10"/>
    </row>
    <row r="635" spans="1:14" x14ac:dyDescent="0.2">
      <c r="A635" s="10"/>
      <c r="B635" s="10"/>
      <c r="C635" s="10"/>
      <c r="D635" s="10"/>
      <c r="E635" s="10"/>
      <c r="F635" s="10"/>
      <c r="M635" s="10"/>
      <c r="N635" s="10"/>
    </row>
    <row r="636" spans="1:14" x14ac:dyDescent="0.2">
      <c r="A636" s="10"/>
      <c r="B636" s="10"/>
      <c r="C636" s="10"/>
      <c r="D636" s="10"/>
      <c r="E636" s="10"/>
      <c r="F636" s="10"/>
      <c r="M636" s="10"/>
      <c r="N636" s="10"/>
    </row>
    <row r="637" spans="1:14" x14ac:dyDescent="0.2">
      <c r="A637" s="10"/>
      <c r="B637" s="10"/>
      <c r="C637" s="10"/>
      <c r="D637" s="10"/>
      <c r="E637" s="10"/>
      <c r="F637" s="10"/>
      <c r="M637" s="10"/>
      <c r="N637" s="10"/>
    </row>
    <row r="638" spans="1:14" x14ac:dyDescent="0.2">
      <c r="A638" s="10"/>
      <c r="B638" s="10"/>
      <c r="C638" s="10"/>
      <c r="D638" s="10"/>
      <c r="E638" s="10"/>
      <c r="F638" s="10"/>
      <c r="M638" s="10"/>
      <c r="N638" s="10"/>
    </row>
    <row r="639" spans="1:14" x14ac:dyDescent="0.2">
      <c r="A639" s="10"/>
      <c r="B639" s="10"/>
      <c r="C639" s="10"/>
      <c r="D639" s="10"/>
      <c r="E639" s="10"/>
      <c r="F639" s="10"/>
      <c r="M639" s="10"/>
      <c r="N639" s="10"/>
    </row>
    <row r="640" spans="1:14" x14ac:dyDescent="0.2">
      <c r="A640" s="10"/>
      <c r="B640" s="10"/>
      <c r="C640" s="10"/>
      <c r="D640" s="10"/>
      <c r="E640" s="10"/>
      <c r="F640" s="10"/>
      <c r="M640" s="10"/>
      <c r="N640" s="10"/>
    </row>
    <row r="641" spans="1:14" x14ac:dyDescent="0.2">
      <c r="A641" s="10"/>
      <c r="B641" s="10"/>
      <c r="C641" s="10"/>
      <c r="D641" s="10"/>
      <c r="E641" s="10"/>
      <c r="F641" s="10"/>
      <c r="M641" s="10"/>
      <c r="N641" s="10"/>
    </row>
    <row r="642" spans="1:14" x14ac:dyDescent="0.2">
      <c r="A642" s="10"/>
      <c r="B642" s="10"/>
      <c r="C642" s="10"/>
      <c r="D642" s="10"/>
      <c r="E642" s="10"/>
      <c r="F642" s="10"/>
      <c r="M642" s="10"/>
      <c r="N642" s="10"/>
    </row>
    <row r="643" spans="1:14" x14ac:dyDescent="0.2">
      <c r="A643" s="10"/>
      <c r="B643" s="10"/>
      <c r="C643" s="10"/>
      <c r="D643" s="10"/>
      <c r="E643" s="10"/>
      <c r="F643" s="10"/>
      <c r="M643" s="10"/>
      <c r="N643" s="10"/>
    </row>
    <row r="644" spans="1:14" x14ac:dyDescent="0.2">
      <c r="A644" s="10"/>
      <c r="B644" s="10"/>
      <c r="C644" s="10"/>
      <c r="D644" s="10"/>
      <c r="E644" s="10"/>
      <c r="F644" s="10"/>
      <c r="M644" s="10"/>
      <c r="N644" s="10"/>
    </row>
    <row r="645" spans="1:14" x14ac:dyDescent="0.2">
      <c r="A645" s="10"/>
      <c r="B645" s="10"/>
      <c r="C645" s="10"/>
      <c r="D645" s="10"/>
      <c r="E645" s="10"/>
      <c r="F645" s="10"/>
      <c r="M645" s="10"/>
      <c r="N645" s="10"/>
    </row>
    <row r="646" spans="1:14" x14ac:dyDescent="0.2">
      <c r="A646" s="10"/>
      <c r="B646" s="10"/>
      <c r="C646" s="10"/>
      <c r="D646" s="10"/>
      <c r="E646" s="10"/>
      <c r="F646" s="10"/>
      <c r="M646" s="10"/>
      <c r="N646" s="10"/>
    </row>
    <row r="647" spans="1:14" x14ac:dyDescent="0.2">
      <c r="A647" s="10"/>
      <c r="B647" s="10"/>
      <c r="C647" s="10"/>
      <c r="D647" s="10"/>
      <c r="E647" s="10"/>
      <c r="F647" s="10"/>
      <c r="M647" s="10"/>
      <c r="N647" s="10"/>
    </row>
    <row r="648" spans="1:14" x14ac:dyDescent="0.2">
      <c r="A648" s="10"/>
      <c r="B648" s="10"/>
      <c r="C648" s="10"/>
      <c r="D648" s="10"/>
      <c r="E648" s="10"/>
      <c r="F648" s="10"/>
      <c r="M648" s="10"/>
      <c r="N648" s="10"/>
    </row>
    <row r="649" spans="1:14" x14ac:dyDescent="0.2">
      <c r="A649" s="10"/>
      <c r="B649" s="10"/>
      <c r="C649" s="10"/>
      <c r="D649" s="10"/>
      <c r="E649" s="10"/>
      <c r="F649" s="10"/>
      <c r="M649" s="10"/>
      <c r="N649" s="10"/>
    </row>
    <row r="650" spans="1:14" x14ac:dyDescent="0.2">
      <c r="A650" s="10"/>
      <c r="B650" s="10"/>
      <c r="C650" s="10"/>
      <c r="D650" s="10"/>
      <c r="E650" s="10"/>
      <c r="F650" s="10"/>
      <c r="M650" s="10"/>
      <c r="N650" s="10"/>
    </row>
    <row r="651" spans="1:14" x14ac:dyDescent="0.2">
      <c r="A651" s="10"/>
      <c r="B651" s="10"/>
      <c r="C651" s="10"/>
      <c r="D651" s="10"/>
      <c r="E651" s="10"/>
      <c r="F651" s="10"/>
      <c r="M651" s="10"/>
      <c r="N651" s="10"/>
    </row>
    <row r="652" spans="1:14" x14ac:dyDescent="0.2">
      <c r="A652" s="10"/>
      <c r="B652" s="10"/>
      <c r="C652" s="10"/>
      <c r="D652" s="10"/>
      <c r="E652" s="10"/>
      <c r="F652" s="10"/>
      <c r="M652" s="10"/>
      <c r="N652" s="10"/>
    </row>
    <row r="653" spans="1:14" x14ac:dyDescent="0.2">
      <c r="A653" s="10"/>
      <c r="B653" s="10"/>
      <c r="C653" s="10"/>
      <c r="D653" s="10"/>
      <c r="E653" s="10"/>
      <c r="F653" s="10"/>
      <c r="M653" s="10"/>
      <c r="N653" s="10"/>
    </row>
    <row r="654" spans="1:14" x14ac:dyDescent="0.2">
      <c r="A654" s="10"/>
      <c r="B654" s="10"/>
      <c r="C654" s="10"/>
      <c r="D654" s="10"/>
      <c r="E654" s="10"/>
      <c r="F654" s="10"/>
      <c r="M654" s="10"/>
      <c r="N654" s="10"/>
    </row>
    <row r="655" spans="1:14" x14ac:dyDescent="0.2">
      <c r="A655" s="10"/>
      <c r="B655" s="10"/>
      <c r="C655" s="10"/>
      <c r="D655" s="10"/>
      <c r="E655" s="10"/>
      <c r="F655" s="10"/>
      <c r="M655" s="10"/>
      <c r="N655" s="10"/>
    </row>
    <row r="656" spans="1:14" x14ac:dyDescent="0.2">
      <c r="A656" s="10"/>
      <c r="B656" s="10"/>
      <c r="C656" s="10"/>
      <c r="D656" s="10"/>
      <c r="E656" s="10"/>
      <c r="F656" s="10"/>
      <c r="M656" s="10"/>
      <c r="N656" s="10"/>
    </row>
    <row r="657" spans="1:14" x14ac:dyDescent="0.2">
      <c r="A657" s="10"/>
      <c r="B657" s="10"/>
      <c r="C657" s="10"/>
      <c r="D657" s="10"/>
      <c r="E657" s="10"/>
      <c r="F657" s="10"/>
      <c r="M657" s="10"/>
      <c r="N657" s="10"/>
    </row>
    <row r="658" spans="1:14" x14ac:dyDescent="0.2">
      <c r="A658" s="10"/>
      <c r="B658" s="10"/>
      <c r="C658" s="10"/>
      <c r="D658" s="10"/>
      <c r="E658" s="10"/>
      <c r="F658" s="10"/>
      <c r="M658" s="10"/>
      <c r="N658" s="10"/>
    </row>
    <row r="659" spans="1:14" x14ac:dyDescent="0.2">
      <c r="A659" s="10"/>
      <c r="B659" s="10"/>
      <c r="C659" s="10"/>
      <c r="D659" s="10"/>
      <c r="E659" s="10"/>
      <c r="F659" s="10"/>
      <c r="M659" s="10"/>
      <c r="N659" s="10"/>
    </row>
    <row r="660" spans="1:14" x14ac:dyDescent="0.2">
      <c r="A660" s="10"/>
      <c r="B660" s="10"/>
      <c r="C660" s="10"/>
      <c r="D660" s="10"/>
      <c r="E660" s="10"/>
      <c r="F660" s="10"/>
      <c r="M660" s="10"/>
      <c r="N660" s="10"/>
    </row>
    <row r="661" spans="1:14" x14ac:dyDescent="0.2">
      <c r="A661" s="10"/>
      <c r="B661" s="10"/>
      <c r="C661" s="10"/>
      <c r="D661" s="10"/>
      <c r="E661" s="10"/>
      <c r="F661" s="10"/>
      <c r="M661" s="10"/>
      <c r="N661" s="10"/>
    </row>
    <row r="662" spans="1:14" x14ac:dyDescent="0.2">
      <c r="A662" s="10"/>
      <c r="B662" s="10"/>
      <c r="C662" s="10"/>
      <c r="D662" s="10"/>
      <c r="E662" s="10"/>
      <c r="F662" s="10"/>
      <c r="M662" s="10"/>
      <c r="N662" s="10"/>
    </row>
    <row r="663" spans="1:14" x14ac:dyDescent="0.2">
      <c r="A663" s="10"/>
      <c r="B663" s="10"/>
      <c r="C663" s="10"/>
      <c r="D663" s="10"/>
      <c r="E663" s="10"/>
      <c r="F663" s="10"/>
      <c r="M663" s="10"/>
      <c r="N663" s="10"/>
    </row>
    <row r="664" spans="1:14" x14ac:dyDescent="0.2">
      <c r="A664" s="10"/>
      <c r="B664" s="10"/>
      <c r="C664" s="10"/>
      <c r="D664" s="10"/>
      <c r="E664" s="10"/>
      <c r="F664" s="10"/>
      <c r="M664" s="10"/>
      <c r="N664" s="10"/>
    </row>
    <row r="665" spans="1:14" x14ac:dyDescent="0.2">
      <c r="A665" s="10"/>
      <c r="B665" s="10"/>
      <c r="C665" s="10"/>
      <c r="D665" s="10"/>
      <c r="E665" s="10"/>
      <c r="F665" s="10"/>
      <c r="M665" s="10"/>
      <c r="N665" s="10"/>
    </row>
    <row r="666" spans="1:14" x14ac:dyDescent="0.2">
      <c r="A666" s="10"/>
      <c r="B666" s="10"/>
      <c r="C666" s="10"/>
      <c r="D666" s="10"/>
      <c r="E666" s="10"/>
      <c r="F666" s="10"/>
      <c r="M666" s="10"/>
      <c r="N666" s="10"/>
    </row>
    <row r="667" spans="1:14" x14ac:dyDescent="0.2">
      <c r="A667" s="10"/>
      <c r="B667" s="10"/>
      <c r="C667" s="10"/>
      <c r="D667" s="10"/>
      <c r="E667" s="10"/>
      <c r="F667" s="10"/>
      <c r="M667" s="10"/>
      <c r="N667" s="10"/>
    </row>
    <row r="668" spans="1:14" x14ac:dyDescent="0.2">
      <c r="A668" s="10"/>
      <c r="B668" s="10"/>
      <c r="C668" s="10"/>
      <c r="D668" s="10"/>
      <c r="E668" s="10"/>
      <c r="F668" s="10"/>
      <c r="M668" s="10"/>
      <c r="N668" s="10"/>
    </row>
    <row r="669" spans="1:14" x14ac:dyDescent="0.2">
      <c r="A669" s="10"/>
      <c r="B669" s="10"/>
      <c r="C669" s="10"/>
      <c r="D669" s="10"/>
      <c r="E669" s="10"/>
      <c r="F669" s="10"/>
      <c r="M669" s="10"/>
      <c r="N669" s="10"/>
    </row>
    <row r="670" spans="1:14" x14ac:dyDescent="0.2">
      <c r="A670" s="10"/>
      <c r="B670" s="10"/>
      <c r="C670" s="10"/>
      <c r="D670" s="10"/>
      <c r="E670" s="10"/>
      <c r="F670" s="10"/>
      <c r="M670" s="10"/>
      <c r="N670" s="10"/>
    </row>
    <row r="671" spans="1:14" x14ac:dyDescent="0.2">
      <c r="A671" s="10"/>
      <c r="B671" s="10"/>
      <c r="C671" s="10"/>
      <c r="D671" s="10"/>
      <c r="E671" s="10"/>
      <c r="F671" s="10"/>
      <c r="M671" s="10"/>
      <c r="N671" s="10"/>
    </row>
    <row r="672" spans="1:14" x14ac:dyDescent="0.2">
      <c r="A672" s="10"/>
      <c r="B672" s="10"/>
      <c r="C672" s="10"/>
      <c r="D672" s="10"/>
      <c r="E672" s="10"/>
      <c r="F672" s="10"/>
      <c r="M672" s="10"/>
      <c r="N672" s="10"/>
    </row>
    <row r="673" spans="1:14" x14ac:dyDescent="0.2">
      <c r="A673" s="10"/>
      <c r="B673" s="10"/>
      <c r="C673" s="10"/>
      <c r="D673" s="10"/>
      <c r="E673" s="10"/>
      <c r="F673" s="10"/>
      <c r="M673" s="10"/>
      <c r="N673" s="10"/>
    </row>
    <row r="674" spans="1:14" x14ac:dyDescent="0.2">
      <c r="A674" s="10"/>
      <c r="B674" s="10"/>
      <c r="C674" s="10"/>
      <c r="D674" s="10"/>
      <c r="E674" s="10"/>
      <c r="F674" s="10"/>
      <c r="M674" s="10"/>
      <c r="N674" s="10"/>
    </row>
    <row r="675" spans="1:14" x14ac:dyDescent="0.2">
      <c r="A675" s="10"/>
      <c r="B675" s="10"/>
      <c r="C675" s="10"/>
      <c r="D675" s="10"/>
      <c r="E675" s="10"/>
      <c r="F675" s="10"/>
      <c r="M675" s="10"/>
      <c r="N675" s="10"/>
    </row>
    <row r="676" spans="1:14" x14ac:dyDescent="0.2">
      <c r="A676" s="10"/>
      <c r="B676" s="10"/>
      <c r="C676" s="10"/>
      <c r="D676" s="10"/>
      <c r="E676" s="10"/>
      <c r="F676" s="10"/>
      <c r="M676" s="10"/>
      <c r="N676" s="10"/>
    </row>
    <row r="677" spans="1:14" x14ac:dyDescent="0.2">
      <c r="A677" s="10"/>
      <c r="B677" s="10"/>
      <c r="C677" s="10"/>
      <c r="D677" s="10"/>
      <c r="E677" s="10"/>
      <c r="F677" s="10"/>
      <c r="M677" s="10"/>
      <c r="N677" s="10"/>
    </row>
    <row r="678" spans="1:14" x14ac:dyDescent="0.2">
      <c r="A678" s="10"/>
      <c r="B678" s="10"/>
      <c r="C678" s="10"/>
      <c r="D678" s="10"/>
      <c r="E678" s="10"/>
      <c r="F678" s="10"/>
      <c r="M678" s="10"/>
      <c r="N678" s="10"/>
    </row>
    <row r="679" spans="1:14" x14ac:dyDescent="0.2">
      <c r="A679" s="10"/>
      <c r="B679" s="10"/>
      <c r="C679" s="10"/>
      <c r="D679" s="10"/>
      <c r="E679" s="10"/>
      <c r="F679" s="10"/>
      <c r="M679" s="10"/>
      <c r="N679" s="10"/>
    </row>
    <row r="680" spans="1:14" x14ac:dyDescent="0.2">
      <c r="A680" s="10"/>
      <c r="B680" s="10"/>
      <c r="C680" s="10"/>
      <c r="D680" s="10"/>
      <c r="E680" s="10"/>
      <c r="F680" s="10"/>
      <c r="M680" s="10"/>
      <c r="N680" s="10"/>
    </row>
    <row r="681" spans="1:14" x14ac:dyDescent="0.2">
      <c r="A681" s="10"/>
      <c r="B681" s="10"/>
      <c r="C681" s="10"/>
      <c r="D681" s="10"/>
      <c r="E681" s="10"/>
      <c r="F681" s="10"/>
      <c r="M681" s="10"/>
      <c r="N681" s="10"/>
    </row>
    <row r="682" spans="1:14" x14ac:dyDescent="0.2">
      <c r="A682" s="10"/>
      <c r="B682" s="10"/>
      <c r="C682" s="10"/>
      <c r="D682" s="10"/>
      <c r="E682" s="10"/>
      <c r="F682" s="10"/>
      <c r="M682" s="10"/>
      <c r="N682" s="10"/>
    </row>
    <row r="683" spans="1:14" x14ac:dyDescent="0.2">
      <c r="A683" s="10"/>
      <c r="B683" s="10"/>
      <c r="C683" s="10"/>
      <c r="D683" s="10"/>
      <c r="E683" s="10"/>
      <c r="F683" s="10"/>
      <c r="M683" s="10"/>
      <c r="N683" s="10"/>
    </row>
    <row r="684" spans="1:14" x14ac:dyDescent="0.2">
      <c r="A684" s="10"/>
      <c r="B684" s="10"/>
      <c r="C684" s="10"/>
      <c r="D684" s="10"/>
      <c r="E684" s="10"/>
      <c r="F684" s="10"/>
      <c r="M684" s="10"/>
      <c r="N684" s="10"/>
    </row>
    <row r="685" spans="1:14" x14ac:dyDescent="0.2">
      <c r="A685" s="10"/>
      <c r="B685" s="10"/>
      <c r="C685" s="10"/>
      <c r="D685" s="10"/>
      <c r="E685" s="10"/>
      <c r="F685" s="10"/>
      <c r="M685" s="10"/>
      <c r="N685" s="10"/>
    </row>
    <row r="686" spans="1:14" x14ac:dyDescent="0.2">
      <c r="A686" s="10"/>
      <c r="B686" s="10"/>
      <c r="C686" s="10"/>
      <c r="D686" s="10"/>
      <c r="E686" s="10"/>
      <c r="F686" s="10"/>
      <c r="M686" s="10"/>
      <c r="N686" s="10"/>
    </row>
    <row r="687" spans="1:14" x14ac:dyDescent="0.2">
      <c r="A687" s="10"/>
      <c r="B687" s="10"/>
      <c r="C687" s="10"/>
      <c r="D687" s="10"/>
      <c r="E687" s="10"/>
      <c r="F687" s="10"/>
      <c r="M687" s="10"/>
      <c r="N687" s="10"/>
    </row>
    <row r="688" spans="1:14" x14ac:dyDescent="0.2">
      <c r="A688" s="10"/>
      <c r="B688" s="10"/>
      <c r="C688" s="10"/>
      <c r="D688" s="10"/>
      <c r="E688" s="10"/>
      <c r="F688" s="10"/>
      <c r="M688" s="10"/>
      <c r="N688" s="10"/>
    </row>
    <row r="689" spans="1:14" x14ac:dyDescent="0.2">
      <c r="A689" s="10"/>
      <c r="B689" s="10"/>
      <c r="C689" s="10"/>
      <c r="D689" s="10"/>
      <c r="E689" s="10"/>
      <c r="F689" s="10"/>
      <c r="M689" s="10"/>
      <c r="N689" s="10"/>
    </row>
    <row r="690" spans="1:14" x14ac:dyDescent="0.2">
      <c r="A690" s="10"/>
      <c r="B690" s="10"/>
      <c r="C690" s="10"/>
      <c r="D690" s="10"/>
      <c r="E690" s="10"/>
      <c r="F690" s="10"/>
      <c r="M690" s="10"/>
      <c r="N690" s="10"/>
    </row>
    <row r="691" spans="1:14" x14ac:dyDescent="0.2">
      <c r="A691" s="10"/>
      <c r="B691" s="10"/>
      <c r="C691" s="10"/>
      <c r="D691" s="10"/>
      <c r="E691" s="10"/>
      <c r="F691" s="10"/>
      <c r="M691" s="10"/>
      <c r="N691" s="10"/>
    </row>
    <row r="692" spans="1:14" x14ac:dyDescent="0.2">
      <c r="A692" s="10"/>
      <c r="B692" s="10"/>
      <c r="C692" s="10"/>
      <c r="D692" s="10"/>
      <c r="E692" s="10"/>
      <c r="F692" s="10"/>
      <c r="M692" s="10"/>
      <c r="N692" s="10"/>
    </row>
    <row r="693" spans="1:14" x14ac:dyDescent="0.2">
      <c r="A693" s="10"/>
      <c r="B693" s="10"/>
      <c r="C693" s="10"/>
      <c r="D693" s="10"/>
      <c r="E693" s="10"/>
      <c r="F693" s="10"/>
      <c r="M693" s="10"/>
      <c r="N693" s="10"/>
    </row>
    <row r="694" spans="1:14" x14ac:dyDescent="0.2">
      <c r="A694" s="10"/>
      <c r="B694" s="10"/>
      <c r="C694" s="10"/>
      <c r="D694" s="10"/>
      <c r="E694" s="10"/>
      <c r="F694" s="10"/>
      <c r="M694" s="10"/>
      <c r="N694" s="10"/>
    </row>
    <row r="695" spans="1:14" x14ac:dyDescent="0.2">
      <c r="A695" s="10"/>
      <c r="B695" s="10"/>
      <c r="C695" s="10"/>
      <c r="D695" s="10"/>
      <c r="E695" s="10"/>
      <c r="F695" s="10"/>
      <c r="M695" s="10"/>
      <c r="N695" s="10"/>
    </row>
    <row r="696" spans="1:14" x14ac:dyDescent="0.2">
      <c r="A696" s="10"/>
      <c r="B696" s="10"/>
      <c r="C696" s="10"/>
      <c r="D696" s="10"/>
      <c r="E696" s="10"/>
      <c r="F696" s="10"/>
      <c r="M696" s="10"/>
      <c r="N696" s="10"/>
    </row>
    <row r="697" spans="1:14" x14ac:dyDescent="0.2">
      <c r="A697" s="10"/>
      <c r="B697" s="10"/>
      <c r="C697" s="10"/>
      <c r="D697" s="10"/>
      <c r="E697" s="10"/>
      <c r="F697" s="10"/>
      <c r="M697" s="10"/>
      <c r="N697" s="10"/>
    </row>
    <row r="698" spans="1:14" x14ac:dyDescent="0.2">
      <c r="A698" s="10"/>
      <c r="B698" s="10"/>
      <c r="C698" s="10"/>
      <c r="D698" s="10"/>
      <c r="E698" s="10"/>
      <c r="F698" s="10"/>
      <c r="M698" s="10"/>
      <c r="N698" s="10"/>
    </row>
    <row r="699" spans="1:14" x14ac:dyDescent="0.2">
      <c r="A699" s="10"/>
      <c r="B699" s="10"/>
      <c r="C699" s="10"/>
      <c r="D699" s="10"/>
      <c r="E699" s="10"/>
      <c r="F699" s="10"/>
      <c r="M699" s="10"/>
      <c r="N699" s="10"/>
    </row>
    <row r="700" spans="1:14" x14ac:dyDescent="0.2">
      <c r="A700" s="10"/>
      <c r="B700" s="10"/>
      <c r="C700" s="10"/>
      <c r="D700" s="10"/>
      <c r="E700" s="10"/>
      <c r="F700" s="10"/>
      <c r="M700" s="10"/>
      <c r="N700" s="10"/>
    </row>
    <row r="701" spans="1:14" x14ac:dyDescent="0.2">
      <c r="A701" s="10"/>
      <c r="B701" s="10"/>
      <c r="C701" s="10"/>
      <c r="D701" s="10"/>
      <c r="E701" s="10"/>
      <c r="F701" s="10"/>
      <c r="M701" s="10"/>
      <c r="N701" s="10"/>
    </row>
    <row r="702" spans="1:14" x14ac:dyDescent="0.2">
      <c r="A702" s="10"/>
      <c r="B702" s="10"/>
      <c r="C702" s="10"/>
      <c r="D702" s="10"/>
      <c r="E702" s="10"/>
      <c r="F702" s="10"/>
      <c r="M702" s="10"/>
      <c r="N702" s="10"/>
    </row>
    <row r="703" spans="1:14" x14ac:dyDescent="0.2">
      <c r="A703" s="10"/>
      <c r="B703" s="10"/>
      <c r="C703" s="10"/>
      <c r="D703" s="10"/>
      <c r="E703" s="10"/>
      <c r="F703" s="10"/>
      <c r="M703" s="10"/>
      <c r="N703" s="10"/>
    </row>
    <row r="704" spans="1:14" x14ac:dyDescent="0.2">
      <c r="A704" s="10"/>
      <c r="B704" s="10"/>
      <c r="C704" s="10"/>
      <c r="D704" s="10"/>
      <c r="E704" s="10"/>
      <c r="F704" s="10"/>
      <c r="M704" s="10"/>
      <c r="N704" s="10"/>
    </row>
    <row r="705" spans="1:14" x14ac:dyDescent="0.2">
      <c r="A705" s="10"/>
      <c r="B705" s="10"/>
      <c r="C705" s="10"/>
      <c r="D705" s="10"/>
      <c r="E705" s="10"/>
      <c r="F705" s="10"/>
      <c r="M705" s="10"/>
      <c r="N705" s="10"/>
    </row>
    <row r="706" spans="1:14" x14ac:dyDescent="0.2">
      <c r="A706" s="10"/>
      <c r="B706" s="10"/>
      <c r="C706" s="10"/>
      <c r="D706" s="10"/>
      <c r="E706" s="10"/>
      <c r="F706" s="10"/>
      <c r="M706" s="10"/>
      <c r="N706" s="10"/>
    </row>
    <row r="707" spans="1:14" x14ac:dyDescent="0.2">
      <c r="A707" s="10"/>
      <c r="B707" s="10"/>
      <c r="C707" s="10"/>
      <c r="D707" s="10"/>
      <c r="E707" s="10"/>
      <c r="F707" s="10"/>
      <c r="M707" s="10"/>
      <c r="N707" s="10"/>
    </row>
    <row r="708" spans="1:14" x14ac:dyDescent="0.2">
      <c r="A708" s="10"/>
      <c r="B708" s="10"/>
      <c r="C708" s="10"/>
      <c r="D708" s="10"/>
      <c r="E708" s="10"/>
      <c r="F708" s="10"/>
      <c r="M708" s="10"/>
      <c r="N708" s="10"/>
    </row>
    <row r="709" spans="1:14" x14ac:dyDescent="0.2">
      <c r="A709" s="10"/>
      <c r="B709" s="10"/>
      <c r="C709" s="10"/>
      <c r="D709" s="10"/>
      <c r="E709" s="10"/>
      <c r="F709" s="10"/>
      <c r="M709" s="10"/>
      <c r="N709" s="10"/>
    </row>
    <row r="710" spans="1:14" x14ac:dyDescent="0.2">
      <c r="A710" s="10"/>
      <c r="B710" s="10"/>
      <c r="C710" s="10"/>
      <c r="D710" s="10"/>
      <c r="E710" s="10"/>
      <c r="F710" s="10"/>
      <c r="M710" s="10"/>
      <c r="N710" s="10"/>
    </row>
    <row r="711" spans="1:14" x14ac:dyDescent="0.2">
      <c r="A711" s="10"/>
      <c r="B711" s="10"/>
      <c r="C711" s="10"/>
      <c r="D711" s="10"/>
      <c r="E711" s="10"/>
      <c r="F711" s="10"/>
      <c r="M711" s="10"/>
      <c r="N711" s="10"/>
    </row>
    <row r="712" spans="1:14" x14ac:dyDescent="0.2">
      <c r="A712" s="10"/>
      <c r="B712" s="10"/>
      <c r="C712" s="10"/>
      <c r="D712" s="10"/>
      <c r="E712" s="10"/>
      <c r="F712" s="10"/>
      <c r="M712" s="10"/>
      <c r="N712" s="10"/>
    </row>
    <row r="713" spans="1:14" x14ac:dyDescent="0.2">
      <c r="A713" s="10"/>
      <c r="B713" s="10"/>
      <c r="C713" s="10"/>
      <c r="D713" s="10"/>
      <c r="E713" s="10"/>
      <c r="F713" s="10"/>
      <c r="M713" s="10"/>
      <c r="N713" s="10"/>
    </row>
    <row r="714" spans="1:14" x14ac:dyDescent="0.2">
      <c r="A714" s="10"/>
      <c r="B714" s="10"/>
      <c r="C714" s="10"/>
      <c r="D714" s="10"/>
      <c r="E714" s="10"/>
      <c r="F714" s="10"/>
      <c r="M714" s="10"/>
      <c r="N714" s="10"/>
    </row>
    <row r="715" spans="1:14" x14ac:dyDescent="0.2">
      <c r="A715" s="10"/>
      <c r="B715" s="10"/>
      <c r="C715" s="10"/>
      <c r="D715" s="10"/>
      <c r="E715" s="10"/>
      <c r="F715" s="10"/>
      <c r="M715" s="10"/>
      <c r="N715" s="10"/>
    </row>
    <row r="716" spans="1:14" x14ac:dyDescent="0.2">
      <c r="A716" s="10"/>
      <c r="B716" s="10"/>
      <c r="C716" s="10"/>
      <c r="D716" s="10"/>
      <c r="E716" s="10"/>
      <c r="F716" s="10"/>
      <c r="M716" s="10"/>
      <c r="N716" s="10"/>
    </row>
    <row r="717" spans="1:14" x14ac:dyDescent="0.2">
      <c r="A717" s="10"/>
      <c r="B717" s="10"/>
      <c r="C717" s="10"/>
      <c r="D717" s="10"/>
      <c r="E717" s="10"/>
      <c r="F717" s="10"/>
      <c r="M717" s="10"/>
      <c r="N717" s="10"/>
    </row>
    <row r="718" spans="1:14" x14ac:dyDescent="0.2">
      <c r="A718" s="10"/>
      <c r="B718" s="10"/>
      <c r="C718" s="10"/>
      <c r="D718" s="10"/>
      <c r="E718" s="10"/>
      <c r="F718" s="10"/>
      <c r="M718" s="10"/>
      <c r="N718" s="10"/>
    </row>
    <row r="719" spans="1:14" x14ac:dyDescent="0.2">
      <c r="A719" s="10"/>
      <c r="B719" s="10"/>
      <c r="C719" s="10"/>
      <c r="D719" s="10"/>
      <c r="E719" s="10"/>
      <c r="F719" s="10"/>
      <c r="M719" s="10"/>
      <c r="N719" s="10"/>
    </row>
    <row r="720" spans="1:14" x14ac:dyDescent="0.2">
      <c r="A720" s="10"/>
      <c r="B720" s="10"/>
      <c r="C720" s="10"/>
      <c r="D720" s="10"/>
      <c r="E720" s="10"/>
      <c r="F720" s="10"/>
      <c r="M720" s="10"/>
      <c r="N720" s="10"/>
    </row>
    <row r="721" spans="1:14" x14ac:dyDescent="0.2">
      <c r="A721" s="10"/>
      <c r="B721" s="10"/>
      <c r="C721" s="10"/>
      <c r="D721" s="10"/>
      <c r="E721" s="10"/>
      <c r="F721" s="10"/>
      <c r="M721" s="10"/>
      <c r="N721" s="10"/>
    </row>
    <row r="722" spans="1:14" x14ac:dyDescent="0.2">
      <c r="A722" s="10"/>
      <c r="B722" s="10"/>
      <c r="C722" s="10"/>
      <c r="D722" s="10"/>
      <c r="E722" s="10"/>
      <c r="F722" s="10"/>
      <c r="M722" s="10"/>
      <c r="N722" s="10"/>
    </row>
    <row r="723" spans="1:14" x14ac:dyDescent="0.2">
      <c r="A723" s="10"/>
      <c r="B723" s="10"/>
      <c r="C723" s="10"/>
      <c r="D723" s="10"/>
      <c r="E723" s="10"/>
      <c r="F723" s="10"/>
      <c r="M723" s="10"/>
      <c r="N723" s="10"/>
    </row>
    <row r="724" spans="1:14" x14ac:dyDescent="0.2">
      <c r="A724" s="10"/>
      <c r="B724" s="10"/>
      <c r="C724" s="10"/>
      <c r="D724" s="10"/>
      <c r="E724" s="10"/>
      <c r="F724" s="10"/>
      <c r="M724" s="10"/>
      <c r="N724" s="10"/>
    </row>
    <row r="725" spans="1:14" x14ac:dyDescent="0.2">
      <c r="A725" s="10"/>
      <c r="B725" s="10"/>
      <c r="C725" s="10"/>
      <c r="D725" s="10"/>
      <c r="E725" s="10"/>
      <c r="F725" s="10"/>
      <c r="M725" s="10"/>
      <c r="N725" s="10"/>
    </row>
    <row r="726" spans="1:14" x14ac:dyDescent="0.2">
      <c r="A726" s="10"/>
      <c r="B726" s="10"/>
      <c r="C726" s="10"/>
      <c r="D726" s="10"/>
      <c r="E726" s="10"/>
      <c r="F726" s="10"/>
      <c r="M726" s="10"/>
      <c r="N726" s="10"/>
    </row>
    <row r="727" spans="1:14" x14ac:dyDescent="0.2">
      <c r="A727" s="10"/>
      <c r="B727" s="10"/>
      <c r="C727" s="10"/>
      <c r="D727" s="10"/>
      <c r="E727" s="10"/>
      <c r="F727" s="10"/>
      <c r="M727" s="10"/>
      <c r="N727" s="10"/>
    </row>
    <row r="728" spans="1:14" x14ac:dyDescent="0.2">
      <c r="A728" s="10"/>
      <c r="B728" s="10"/>
      <c r="C728" s="10"/>
      <c r="D728" s="10"/>
      <c r="E728" s="10"/>
      <c r="F728" s="10"/>
      <c r="M728" s="10"/>
      <c r="N728" s="10"/>
    </row>
    <row r="729" spans="1:14" x14ac:dyDescent="0.2">
      <c r="A729" s="10"/>
      <c r="B729" s="10"/>
      <c r="C729" s="10"/>
      <c r="D729" s="10"/>
      <c r="E729" s="10"/>
      <c r="F729" s="10"/>
      <c r="M729" s="10"/>
      <c r="N729" s="10"/>
    </row>
    <row r="730" spans="1:14" x14ac:dyDescent="0.2">
      <c r="A730" s="10"/>
      <c r="B730" s="10"/>
      <c r="C730" s="10"/>
      <c r="D730" s="10"/>
      <c r="E730" s="10"/>
      <c r="F730" s="10"/>
      <c r="M730" s="10"/>
      <c r="N730" s="10"/>
    </row>
    <row r="731" spans="1:14" x14ac:dyDescent="0.2">
      <c r="A731" s="10"/>
      <c r="B731" s="10"/>
      <c r="C731" s="10"/>
      <c r="D731" s="10"/>
      <c r="E731" s="10"/>
      <c r="F731" s="10"/>
      <c r="M731" s="10"/>
      <c r="N731" s="10"/>
    </row>
    <row r="732" spans="1:14" x14ac:dyDescent="0.2">
      <c r="A732" s="10"/>
      <c r="B732" s="10"/>
      <c r="C732" s="10"/>
      <c r="D732" s="10"/>
      <c r="E732" s="10"/>
      <c r="F732" s="10"/>
      <c r="M732" s="10"/>
      <c r="N732" s="10"/>
    </row>
    <row r="733" spans="1:14" x14ac:dyDescent="0.2">
      <c r="A733" s="10"/>
      <c r="B733" s="10"/>
      <c r="C733" s="10"/>
      <c r="D733" s="10"/>
      <c r="E733" s="10"/>
      <c r="F733" s="10"/>
      <c r="M733" s="10"/>
      <c r="N733" s="10"/>
    </row>
    <row r="734" spans="1:14" x14ac:dyDescent="0.2">
      <c r="A734" s="10"/>
      <c r="B734" s="10"/>
      <c r="C734" s="10"/>
      <c r="D734" s="10"/>
      <c r="E734" s="10"/>
      <c r="F734" s="10"/>
      <c r="M734" s="10"/>
      <c r="N734" s="10"/>
    </row>
    <row r="735" spans="1:14" x14ac:dyDescent="0.2">
      <c r="A735" s="10"/>
      <c r="B735" s="10"/>
      <c r="C735" s="10"/>
      <c r="D735" s="10"/>
      <c r="E735" s="10"/>
      <c r="F735" s="10"/>
      <c r="M735" s="10"/>
      <c r="N735" s="10"/>
    </row>
    <row r="736" spans="1:14" x14ac:dyDescent="0.2">
      <c r="A736" s="10"/>
      <c r="B736" s="10"/>
      <c r="C736" s="10"/>
      <c r="D736" s="10"/>
      <c r="E736" s="10"/>
      <c r="F736" s="10"/>
      <c r="M736" s="10"/>
      <c r="N736" s="10"/>
    </row>
    <row r="737" spans="1:14" x14ac:dyDescent="0.2">
      <c r="A737" s="10"/>
      <c r="B737" s="10"/>
      <c r="C737" s="10"/>
      <c r="D737" s="10"/>
      <c r="E737" s="10"/>
      <c r="F737" s="10"/>
      <c r="M737" s="10"/>
      <c r="N737" s="10"/>
    </row>
    <row r="738" spans="1:14" x14ac:dyDescent="0.2">
      <c r="A738" s="10"/>
      <c r="B738" s="10"/>
      <c r="C738" s="10"/>
      <c r="D738" s="10"/>
      <c r="E738" s="10"/>
      <c r="F738" s="10"/>
      <c r="M738" s="10"/>
      <c r="N738" s="10"/>
    </row>
    <row r="739" spans="1:14" x14ac:dyDescent="0.2">
      <c r="A739" s="10"/>
      <c r="B739" s="10"/>
      <c r="C739" s="10"/>
      <c r="D739" s="10"/>
      <c r="E739" s="10"/>
      <c r="F739" s="10"/>
      <c r="M739" s="10"/>
      <c r="N739" s="10"/>
    </row>
    <row r="740" spans="1:14" x14ac:dyDescent="0.2">
      <c r="A740" s="10"/>
      <c r="B740" s="10"/>
      <c r="C740" s="10"/>
      <c r="D740" s="10"/>
      <c r="E740" s="10"/>
      <c r="F740" s="10"/>
      <c r="M740" s="10"/>
      <c r="N740" s="10"/>
    </row>
    <row r="741" spans="1:14" x14ac:dyDescent="0.2">
      <c r="A741" s="10"/>
      <c r="B741" s="10"/>
      <c r="C741" s="10"/>
      <c r="D741" s="10"/>
      <c r="E741" s="10"/>
      <c r="F741" s="10"/>
      <c r="M741" s="10"/>
      <c r="N741" s="10"/>
    </row>
    <row r="742" spans="1:14" x14ac:dyDescent="0.2">
      <c r="A742" s="10"/>
      <c r="B742" s="10"/>
      <c r="C742" s="10"/>
      <c r="D742" s="10"/>
      <c r="E742" s="10"/>
      <c r="F742" s="10"/>
      <c r="M742" s="10"/>
      <c r="N742" s="10"/>
    </row>
    <row r="743" spans="1:14" x14ac:dyDescent="0.2">
      <c r="A743" s="10"/>
      <c r="B743" s="10"/>
      <c r="C743" s="10"/>
      <c r="D743" s="10"/>
      <c r="E743" s="10"/>
      <c r="F743" s="10"/>
      <c r="M743" s="10"/>
      <c r="N743" s="10"/>
    </row>
    <row r="744" spans="1:14" x14ac:dyDescent="0.2">
      <c r="A744" s="10"/>
      <c r="B744" s="10"/>
      <c r="C744" s="10"/>
      <c r="D744" s="10"/>
      <c r="E744" s="10"/>
      <c r="F744" s="10"/>
      <c r="M744" s="10"/>
      <c r="N744" s="10"/>
    </row>
    <row r="745" spans="1:14" x14ac:dyDescent="0.2">
      <c r="A745" s="10"/>
      <c r="B745" s="10"/>
      <c r="C745" s="10"/>
      <c r="D745" s="10"/>
      <c r="E745" s="10"/>
      <c r="F745" s="10"/>
      <c r="M745" s="10"/>
      <c r="N745" s="10"/>
    </row>
    <row r="746" spans="1:14" x14ac:dyDescent="0.2">
      <c r="A746" s="10"/>
      <c r="B746" s="10"/>
      <c r="C746" s="10"/>
      <c r="D746" s="10"/>
      <c r="E746" s="10"/>
      <c r="F746" s="10"/>
      <c r="M746" s="10"/>
      <c r="N746" s="10"/>
    </row>
    <row r="747" spans="1:14" x14ac:dyDescent="0.2">
      <c r="A747" s="10"/>
      <c r="B747" s="10"/>
      <c r="C747" s="10"/>
      <c r="D747" s="10"/>
      <c r="E747" s="10"/>
      <c r="F747" s="10"/>
      <c r="M747" s="10"/>
      <c r="N747" s="10"/>
    </row>
    <row r="748" spans="1:14" x14ac:dyDescent="0.2">
      <c r="A748" s="10"/>
      <c r="B748" s="10"/>
      <c r="C748" s="10"/>
      <c r="D748" s="10"/>
      <c r="E748" s="10"/>
      <c r="F748" s="10"/>
      <c r="M748" s="10"/>
      <c r="N748" s="10"/>
    </row>
    <row r="749" spans="1:14" x14ac:dyDescent="0.2">
      <c r="A749" s="10"/>
      <c r="B749" s="10"/>
      <c r="C749" s="10"/>
      <c r="D749" s="10"/>
      <c r="E749" s="10"/>
      <c r="F749" s="10"/>
      <c r="M749" s="10"/>
      <c r="N749" s="10"/>
    </row>
    <row r="750" spans="1:14" x14ac:dyDescent="0.2">
      <c r="A750" s="10"/>
      <c r="B750" s="10"/>
      <c r="C750" s="10"/>
      <c r="D750" s="10"/>
      <c r="E750" s="10"/>
      <c r="F750" s="10"/>
      <c r="M750" s="10"/>
      <c r="N750" s="10"/>
    </row>
    <row r="751" spans="1:14" x14ac:dyDescent="0.2">
      <c r="A751" s="10"/>
      <c r="B751" s="10"/>
      <c r="C751" s="10"/>
      <c r="D751" s="10"/>
      <c r="E751" s="10"/>
      <c r="F751" s="10"/>
      <c r="M751" s="10"/>
      <c r="N751" s="10"/>
    </row>
    <row r="752" spans="1:14" x14ac:dyDescent="0.2">
      <c r="A752" s="10"/>
      <c r="B752" s="10"/>
      <c r="C752" s="10"/>
      <c r="D752" s="10"/>
      <c r="E752" s="10"/>
      <c r="F752" s="10"/>
      <c r="M752" s="10"/>
      <c r="N752" s="10"/>
    </row>
    <row r="753" spans="1:14" x14ac:dyDescent="0.2">
      <c r="A753" s="10"/>
      <c r="B753" s="10"/>
      <c r="C753" s="10"/>
      <c r="D753" s="10"/>
      <c r="E753" s="10"/>
      <c r="F753" s="10"/>
      <c r="M753" s="10"/>
      <c r="N753" s="10"/>
    </row>
    <row r="754" spans="1:14" x14ac:dyDescent="0.2">
      <c r="A754" s="10"/>
      <c r="B754" s="10"/>
      <c r="C754" s="10"/>
      <c r="D754" s="10"/>
      <c r="E754" s="10"/>
      <c r="F754" s="10"/>
      <c r="M754" s="10"/>
      <c r="N754" s="10"/>
    </row>
    <row r="755" spans="1:14" x14ac:dyDescent="0.2">
      <c r="A755" s="10"/>
      <c r="B755" s="10"/>
      <c r="C755" s="10"/>
      <c r="D755" s="10"/>
      <c r="E755" s="10"/>
      <c r="F755" s="10"/>
      <c r="M755" s="10"/>
      <c r="N755" s="10"/>
    </row>
    <row r="756" spans="1:14" x14ac:dyDescent="0.2">
      <c r="A756" s="10"/>
      <c r="B756" s="10"/>
      <c r="C756" s="10"/>
      <c r="D756" s="10"/>
      <c r="E756" s="10"/>
      <c r="F756" s="10"/>
      <c r="M756" s="10"/>
      <c r="N756" s="10"/>
    </row>
    <row r="757" spans="1:14" x14ac:dyDescent="0.2">
      <c r="A757" s="10"/>
      <c r="B757" s="10"/>
      <c r="C757" s="10"/>
      <c r="D757" s="10"/>
      <c r="E757" s="10"/>
      <c r="F757" s="10"/>
      <c r="M757" s="10"/>
      <c r="N757" s="10"/>
    </row>
    <row r="758" spans="1:14" x14ac:dyDescent="0.2">
      <c r="A758" s="10"/>
      <c r="B758" s="10"/>
      <c r="C758" s="10"/>
      <c r="D758" s="10"/>
      <c r="E758" s="10"/>
      <c r="F758" s="10"/>
      <c r="M758" s="10"/>
      <c r="N758" s="10"/>
    </row>
    <row r="759" spans="1:14" x14ac:dyDescent="0.2">
      <c r="A759" s="10"/>
      <c r="B759" s="10"/>
      <c r="C759" s="10"/>
      <c r="D759" s="10"/>
      <c r="E759" s="10"/>
      <c r="F759" s="10"/>
      <c r="M759" s="10"/>
      <c r="N759" s="10"/>
    </row>
    <row r="760" spans="1:14" x14ac:dyDescent="0.2">
      <c r="A760" s="10"/>
      <c r="B760" s="10"/>
      <c r="C760" s="10"/>
      <c r="D760" s="10"/>
      <c r="E760" s="10"/>
      <c r="F760" s="10"/>
      <c r="M760" s="10"/>
      <c r="N760" s="10"/>
    </row>
    <row r="761" spans="1:14" x14ac:dyDescent="0.2">
      <c r="A761" s="10"/>
      <c r="B761" s="10"/>
      <c r="C761" s="10"/>
      <c r="D761" s="10"/>
      <c r="E761" s="10"/>
      <c r="F761" s="10"/>
      <c r="M761" s="10"/>
      <c r="N761" s="10"/>
    </row>
    <row r="762" spans="1:14" x14ac:dyDescent="0.2">
      <c r="A762" s="10"/>
      <c r="B762" s="10"/>
      <c r="C762" s="10"/>
      <c r="D762" s="10"/>
      <c r="E762" s="10"/>
      <c r="F762" s="10"/>
      <c r="M762" s="10"/>
      <c r="N762" s="10"/>
    </row>
    <row r="763" spans="1:14" x14ac:dyDescent="0.2">
      <c r="A763" s="10"/>
      <c r="B763" s="10"/>
      <c r="C763" s="10"/>
      <c r="D763" s="10"/>
      <c r="E763" s="10"/>
      <c r="F763" s="10"/>
      <c r="M763" s="10"/>
      <c r="N763" s="10"/>
    </row>
    <row r="764" spans="1:14" x14ac:dyDescent="0.2">
      <c r="A764" s="10"/>
      <c r="B764" s="10"/>
      <c r="C764" s="10"/>
      <c r="D764" s="10"/>
      <c r="E764" s="10"/>
      <c r="F764" s="10"/>
      <c r="M764" s="10"/>
      <c r="N764" s="10"/>
    </row>
    <row r="765" spans="1:14" x14ac:dyDescent="0.2">
      <c r="A765" s="10"/>
      <c r="B765" s="10"/>
      <c r="C765" s="10"/>
      <c r="D765" s="10"/>
      <c r="E765" s="10"/>
      <c r="F765" s="10"/>
      <c r="M765" s="10"/>
      <c r="N765" s="10"/>
    </row>
    <row r="766" spans="1:14" x14ac:dyDescent="0.2">
      <c r="A766" s="10"/>
      <c r="B766" s="10"/>
      <c r="C766" s="10"/>
      <c r="D766" s="10"/>
      <c r="E766" s="10"/>
      <c r="F766" s="10"/>
      <c r="M766" s="10"/>
      <c r="N766" s="10"/>
    </row>
    <row r="767" spans="1:14" x14ac:dyDescent="0.2">
      <c r="A767" s="10"/>
      <c r="B767" s="10"/>
      <c r="C767" s="10"/>
      <c r="D767" s="10"/>
      <c r="E767" s="10"/>
      <c r="F767" s="10"/>
      <c r="M767" s="10"/>
      <c r="N767" s="10"/>
    </row>
    <row r="768" spans="1:14" x14ac:dyDescent="0.2">
      <c r="A768" s="10"/>
      <c r="B768" s="10"/>
      <c r="C768" s="10"/>
      <c r="D768" s="10"/>
      <c r="E768" s="10"/>
      <c r="F768" s="10"/>
      <c r="M768" s="10"/>
      <c r="N768" s="10"/>
    </row>
    <row r="769" spans="1:14" x14ac:dyDescent="0.2">
      <c r="A769" s="10"/>
      <c r="B769" s="10"/>
      <c r="C769" s="10"/>
      <c r="D769" s="10"/>
      <c r="E769" s="10"/>
      <c r="F769" s="10"/>
      <c r="M769" s="10"/>
      <c r="N769" s="10"/>
    </row>
    <row r="770" spans="1:14" x14ac:dyDescent="0.2">
      <c r="A770" s="10"/>
      <c r="B770" s="10"/>
      <c r="C770" s="10"/>
      <c r="D770" s="10"/>
      <c r="E770" s="10"/>
      <c r="F770" s="10"/>
      <c r="M770" s="10"/>
      <c r="N770" s="10"/>
    </row>
    <row r="771" spans="1:14" x14ac:dyDescent="0.2">
      <c r="A771" s="10"/>
      <c r="B771" s="10"/>
      <c r="C771" s="10"/>
      <c r="D771" s="10"/>
      <c r="E771" s="10"/>
      <c r="F771" s="10"/>
      <c r="M771" s="10"/>
      <c r="N771" s="10"/>
    </row>
    <row r="772" spans="1:14" x14ac:dyDescent="0.2">
      <c r="A772" s="10"/>
      <c r="B772" s="10"/>
      <c r="C772" s="10"/>
      <c r="D772" s="10"/>
      <c r="E772" s="10"/>
      <c r="F772" s="10"/>
      <c r="M772" s="10"/>
      <c r="N772" s="10"/>
    </row>
    <row r="773" spans="1:14" x14ac:dyDescent="0.2">
      <c r="A773" s="10"/>
      <c r="B773" s="10"/>
      <c r="C773" s="10"/>
      <c r="D773" s="10"/>
      <c r="E773" s="10"/>
      <c r="F773" s="10"/>
      <c r="M773" s="10"/>
      <c r="N773" s="10"/>
    </row>
    <row r="774" spans="1:14" x14ac:dyDescent="0.2">
      <c r="A774" s="10"/>
      <c r="B774" s="10"/>
      <c r="C774" s="10"/>
      <c r="D774" s="10"/>
      <c r="E774" s="10"/>
      <c r="F774" s="10"/>
      <c r="M774" s="10"/>
      <c r="N774" s="10"/>
    </row>
    <row r="775" spans="1:14" x14ac:dyDescent="0.2">
      <c r="A775" s="10"/>
      <c r="B775" s="10"/>
      <c r="C775" s="10"/>
      <c r="D775" s="10"/>
      <c r="E775" s="10"/>
      <c r="F775" s="10"/>
      <c r="M775" s="10"/>
      <c r="N775" s="10"/>
    </row>
    <row r="776" spans="1:14" x14ac:dyDescent="0.2">
      <c r="A776" s="10"/>
      <c r="B776" s="10"/>
      <c r="C776" s="10"/>
      <c r="D776" s="10"/>
      <c r="E776" s="10"/>
      <c r="F776" s="10"/>
      <c r="M776" s="10"/>
      <c r="N776" s="10"/>
    </row>
    <row r="777" spans="1:14" x14ac:dyDescent="0.2">
      <c r="A777" s="10"/>
      <c r="B777" s="10"/>
      <c r="C777" s="10"/>
      <c r="D777" s="10"/>
      <c r="E777" s="10"/>
      <c r="F777" s="10"/>
      <c r="M777" s="10"/>
      <c r="N777" s="10"/>
    </row>
    <row r="778" spans="1:14" x14ac:dyDescent="0.2">
      <c r="A778" s="10"/>
      <c r="B778" s="10"/>
      <c r="C778" s="10"/>
      <c r="D778" s="10"/>
      <c r="E778" s="10"/>
      <c r="F778" s="10"/>
      <c r="M778" s="10"/>
      <c r="N778" s="10"/>
    </row>
    <row r="779" spans="1:14" x14ac:dyDescent="0.2">
      <c r="A779" s="10"/>
      <c r="B779" s="10"/>
      <c r="C779" s="10"/>
      <c r="D779" s="10"/>
      <c r="E779" s="10"/>
      <c r="F779" s="10"/>
      <c r="M779" s="10"/>
      <c r="N779" s="10"/>
    </row>
    <row r="780" spans="1:14" x14ac:dyDescent="0.2">
      <c r="A780" s="10"/>
      <c r="B780" s="10"/>
      <c r="C780" s="10"/>
      <c r="D780" s="10"/>
      <c r="E780" s="10"/>
      <c r="F780" s="10"/>
      <c r="M780" s="10"/>
      <c r="N780" s="10"/>
    </row>
    <row r="781" spans="1:14" x14ac:dyDescent="0.2">
      <c r="A781" s="10"/>
      <c r="B781" s="10"/>
      <c r="C781" s="10"/>
      <c r="D781" s="10"/>
      <c r="E781" s="10"/>
      <c r="F781" s="10"/>
      <c r="M781" s="10"/>
      <c r="N781" s="10"/>
    </row>
    <row r="782" spans="1:14" x14ac:dyDescent="0.2">
      <c r="A782" s="10"/>
      <c r="B782" s="10"/>
      <c r="C782" s="10"/>
      <c r="D782" s="10"/>
      <c r="E782" s="10"/>
      <c r="F782" s="10"/>
      <c r="M782" s="10"/>
      <c r="N782" s="10"/>
    </row>
    <row r="783" spans="1:14" x14ac:dyDescent="0.2">
      <c r="A783" s="10"/>
      <c r="B783" s="10"/>
      <c r="C783" s="10"/>
      <c r="D783" s="10"/>
      <c r="E783" s="10"/>
      <c r="F783" s="10"/>
      <c r="M783" s="10"/>
      <c r="N783" s="10"/>
    </row>
    <row r="784" spans="1:14" x14ac:dyDescent="0.2">
      <c r="A784" s="10"/>
      <c r="B784" s="10"/>
      <c r="C784" s="10"/>
      <c r="D784" s="10"/>
      <c r="E784" s="10"/>
      <c r="F784" s="10"/>
      <c r="M784" s="10"/>
      <c r="N784" s="10"/>
    </row>
    <row r="785" spans="1:14" x14ac:dyDescent="0.2">
      <c r="A785" s="10"/>
      <c r="B785" s="10"/>
      <c r="C785" s="10"/>
      <c r="D785" s="10"/>
      <c r="E785" s="10"/>
      <c r="F785" s="10"/>
      <c r="M785" s="10"/>
      <c r="N785" s="10"/>
    </row>
    <row r="786" spans="1:14" x14ac:dyDescent="0.2">
      <c r="A786" s="10"/>
      <c r="B786" s="10"/>
      <c r="C786" s="10"/>
      <c r="D786" s="10"/>
      <c r="E786" s="10"/>
      <c r="F786" s="10"/>
      <c r="M786" s="10"/>
      <c r="N786" s="10"/>
    </row>
    <row r="787" spans="1:14" x14ac:dyDescent="0.2">
      <c r="A787" s="10"/>
      <c r="B787" s="10"/>
      <c r="C787" s="10"/>
      <c r="D787" s="10"/>
      <c r="E787" s="10"/>
      <c r="F787" s="10"/>
      <c r="M787" s="10"/>
      <c r="N787" s="10"/>
    </row>
    <row r="788" spans="1:14" x14ac:dyDescent="0.2">
      <c r="A788" s="10"/>
      <c r="B788" s="10"/>
      <c r="C788" s="10"/>
      <c r="D788" s="10"/>
      <c r="E788" s="10"/>
      <c r="F788" s="10"/>
      <c r="M788" s="10"/>
      <c r="N788" s="10"/>
    </row>
    <row r="789" spans="1:14" x14ac:dyDescent="0.2">
      <c r="A789" s="10"/>
      <c r="B789" s="10"/>
      <c r="C789" s="10"/>
      <c r="D789" s="10"/>
      <c r="E789" s="10"/>
      <c r="F789" s="10"/>
      <c r="M789" s="10"/>
      <c r="N789" s="10"/>
    </row>
    <row r="790" spans="1:14" x14ac:dyDescent="0.2">
      <c r="A790" s="10"/>
      <c r="B790" s="10"/>
      <c r="C790" s="10"/>
      <c r="D790" s="10"/>
      <c r="E790" s="10"/>
      <c r="F790" s="10"/>
      <c r="M790" s="10"/>
      <c r="N790" s="10"/>
    </row>
    <row r="791" spans="1:14" x14ac:dyDescent="0.2">
      <c r="A791" s="10"/>
      <c r="B791" s="10"/>
      <c r="C791" s="10"/>
      <c r="D791" s="10"/>
      <c r="E791" s="10"/>
      <c r="F791" s="10"/>
      <c r="M791" s="10"/>
      <c r="N791" s="10"/>
    </row>
    <row r="792" spans="1:14" x14ac:dyDescent="0.2">
      <c r="A792" s="10"/>
      <c r="B792" s="10"/>
      <c r="C792" s="10"/>
      <c r="D792" s="10"/>
      <c r="E792" s="10"/>
      <c r="F792" s="10"/>
      <c r="M792" s="10"/>
      <c r="N792" s="10"/>
    </row>
    <row r="793" spans="1:14" x14ac:dyDescent="0.2">
      <c r="A793" s="10"/>
      <c r="B793" s="10"/>
      <c r="C793" s="10"/>
      <c r="D793" s="10"/>
      <c r="E793" s="10"/>
      <c r="F793" s="10"/>
      <c r="M793" s="10"/>
      <c r="N793" s="10"/>
    </row>
    <row r="794" spans="1:14" x14ac:dyDescent="0.2">
      <c r="A794" s="10"/>
      <c r="B794" s="10"/>
      <c r="C794" s="10"/>
      <c r="D794" s="10"/>
      <c r="E794" s="10"/>
      <c r="F794" s="10"/>
      <c r="M794" s="10"/>
      <c r="N794" s="10"/>
    </row>
    <row r="795" spans="1:14" x14ac:dyDescent="0.2">
      <c r="A795" s="10"/>
      <c r="B795" s="10"/>
      <c r="C795" s="10"/>
      <c r="D795" s="10"/>
      <c r="E795" s="10"/>
      <c r="F795" s="10"/>
      <c r="M795" s="10"/>
      <c r="N795" s="10"/>
    </row>
    <row r="796" spans="1:14" x14ac:dyDescent="0.2">
      <c r="A796" s="10"/>
      <c r="B796" s="10"/>
      <c r="C796" s="10"/>
      <c r="D796" s="10"/>
      <c r="E796" s="10"/>
      <c r="F796" s="10"/>
      <c r="M796" s="10"/>
      <c r="N796" s="10"/>
    </row>
    <row r="797" spans="1:14" x14ac:dyDescent="0.2">
      <c r="A797" s="10"/>
      <c r="B797" s="10"/>
      <c r="C797" s="10"/>
      <c r="D797" s="10"/>
      <c r="E797" s="10"/>
      <c r="F797" s="10"/>
      <c r="M797" s="10"/>
      <c r="N797" s="10"/>
    </row>
    <row r="798" spans="1:14" x14ac:dyDescent="0.2">
      <c r="A798" s="10"/>
      <c r="B798" s="10"/>
      <c r="C798" s="10"/>
      <c r="D798" s="10"/>
      <c r="E798" s="10"/>
      <c r="F798" s="10"/>
      <c r="M798" s="10"/>
      <c r="N798" s="10"/>
    </row>
    <row r="799" spans="1:14" x14ac:dyDescent="0.2">
      <c r="A799" s="10"/>
      <c r="B799" s="10"/>
      <c r="C799" s="10"/>
      <c r="D799" s="10"/>
      <c r="E799" s="10"/>
      <c r="F799" s="10"/>
      <c r="M799" s="10"/>
      <c r="N799" s="10"/>
    </row>
    <row r="800" spans="1:14" x14ac:dyDescent="0.2">
      <c r="A800" s="10"/>
      <c r="B800" s="10"/>
      <c r="C800" s="10"/>
      <c r="D800" s="10"/>
      <c r="E800" s="10"/>
      <c r="F800" s="10"/>
      <c r="M800" s="10"/>
      <c r="N800" s="10"/>
    </row>
    <row r="801" spans="1:14" x14ac:dyDescent="0.2">
      <c r="A801" s="10"/>
      <c r="B801" s="10"/>
      <c r="C801" s="10"/>
      <c r="D801" s="10"/>
      <c r="E801" s="10"/>
      <c r="F801" s="10"/>
      <c r="M801" s="10"/>
      <c r="N801" s="10"/>
    </row>
    <row r="802" spans="1:14" x14ac:dyDescent="0.2">
      <c r="A802" s="10"/>
      <c r="B802" s="10"/>
      <c r="C802" s="10"/>
      <c r="D802" s="10"/>
      <c r="E802" s="10"/>
      <c r="F802" s="10"/>
      <c r="M802" s="10"/>
      <c r="N802" s="10"/>
    </row>
    <row r="803" spans="1:14" x14ac:dyDescent="0.2">
      <c r="A803" s="10"/>
      <c r="B803" s="10"/>
      <c r="C803" s="10"/>
      <c r="D803" s="10"/>
      <c r="E803" s="10"/>
      <c r="F803" s="10"/>
      <c r="M803" s="10"/>
      <c r="N803" s="10"/>
    </row>
    <row r="804" spans="1:14" x14ac:dyDescent="0.2">
      <c r="A804" s="10"/>
      <c r="B804" s="10"/>
      <c r="C804" s="10"/>
      <c r="D804" s="10"/>
      <c r="E804" s="10"/>
      <c r="F804" s="10"/>
      <c r="M804" s="10"/>
      <c r="N804" s="10"/>
    </row>
    <row r="805" spans="1:14" x14ac:dyDescent="0.2">
      <c r="A805" s="10"/>
      <c r="B805" s="10"/>
      <c r="C805" s="10"/>
      <c r="D805" s="10"/>
      <c r="E805" s="10"/>
      <c r="F805" s="10"/>
      <c r="M805" s="10"/>
      <c r="N805" s="10"/>
    </row>
    <row r="806" spans="1:14" x14ac:dyDescent="0.2">
      <c r="A806" s="10"/>
      <c r="B806" s="10"/>
      <c r="C806" s="10"/>
      <c r="D806" s="10"/>
      <c r="E806" s="10"/>
      <c r="F806" s="10"/>
      <c r="M806" s="10"/>
      <c r="N806" s="10"/>
    </row>
    <row r="807" spans="1:14" x14ac:dyDescent="0.2">
      <c r="A807" s="10"/>
      <c r="B807" s="10"/>
      <c r="C807" s="10"/>
      <c r="D807" s="10"/>
      <c r="E807" s="10"/>
      <c r="F807" s="10"/>
      <c r="M807" s="10"/>
      <c r="N807" s="10"/>
    </row>
    <row r="808" spans="1:14" x14ac:dyDescent="0.2">
      <c r="A808" s="10"/>
      <c r="B808" s="10"/>
      <c r="C808" s="10"/>
      <c r="D808" s="10"/>
      <c r="E808" s="10"/>
      <c r="F808" s="10"/>
      <c r="M808" s="10"/>
      <c r="N808" s="10"/>
    </row>
    <row r="809" spans="1:14" x14ac:dyDescent="0.2">
      <c r="A809" s="10"/>
      <c r="B809" s="10"/>
      <c r="C809" s="10"/>
      <c r="D809" s="10"/>
      <c r="E809" s="10"/>
      <c r="F809" s="10"/>
      <c r="M809" s="10"/>
      <c r="N809" s="10"/>
    </row>
    <row r="810" spans="1:14" x14ac:dyDescent="0.2">
      <c r="A810" s="10"/>
      <c r="B810" s="10"/>
      <c r="C810" s="10"/>
      <c r="D810" s="10"/>
      <c r="E810" s="10"/>
      <c r="F810" s="10"/>
      <c r="M810" s="10"/>
      <c r="N810" s="10"/>
    </row>
    <row r="811" spans="1:14" x14ac:dyDescent="0.2">
      <c r="A811" s="10"/>
      <c r="B811" s="10"/>
      <c r="C811" s="10"/>
      <c r="D811" s="10"/>
      <c r="E811" s="10"/>
      <c r="F811" s="10"/>
      <c r="M811" s="10"/>
      <c r="N811" s="10"/>
    </row>
    <row r="812" spans="1:14" x14ac:dyDescent="0.2">
      <c r="A812" s="10"/>
      <c r="B812" s="10"/>
      <c r="C812" s="10"/>
      <c r="D812" s="10"/>
      <c r="E812" s="10"/>
      <c r="F812" s="10"/>
      <c r="M812" s="10"/>
      <c r="N812" s="10"/>
    </row>
    <row r="813" spans="1:14" x14ac:dyDescent="0.2">
      <c r="A813" s="10"/>
      <c r="B813" s="10"/>
      <c r="C813" s="10"/>
      <c r="D813" s="10"/>
      <c r="E813" s="10"/>
      <c r="F813" s="10"/>
      <c r="M813" s="10"/>
      <c r="N813" s="10"/>
    </row>
    <row r="814" spans="1:14" x14ac:dyDescent="0.2">
      <c r="A814" s="10"/>
      <c r="B814" s="10"/>
      <c r="C814" s="10"/>
      <c r="D814" s="10"/>
      <c r="E814" s="10"/>
      <c r="F814" s="10"/>
      <c r="M814" s="10"/>
      <c r="N814" s="10"/>
    </row>
    <row r="815" spans="1:14" x14ac:dyDescent="0.2">
      <c r="A815" s="10"/>
      <c r="B815" s="10"/>
      <c r="C815" s="10"/>
      <c r="D815" s="10"/>
      <c r="E815" s="10"/>
      <c r="F815" s="10"/>
      <c r="M815" s="10"/>
      <c r="N815" s="10"/>
    </row>
    <row r="816" spans="1:14" x14ac:dyDescent="0.2">
      <c r="A816" s="10"/>
      <c r="B816" s="10"/>
      <c r="C816" s="10"/>
      <c r="D816" s="10"/>
      <c r="E816" s="10"/>
      <c r="F816" s="10"/>
      <c r="M816" s="10"/>
      <c r="N816" s="10"/>
    </row>
    <row r="817" spans="1:14" x14ac:dyDescent="0.2">
      <c r="A817" s="10"/>
      <c r="B817" s="10"/>
      <c r="C817" s="10"/>
      <c r="D817" s="10"/>
      <c r="E817" s="10"/>
      <c r="F817" s="10"/>
      <c r="M817" s="10"/>
      <c r="N817" s="10"/>
    </row>
    <row r="818" spans="1:14" x14ac:dyDescent="0.2">
      <c r="A818" s="10"/>
      <c r="B818" s="10"/>
      <c r="C818" s="10"/>
      <c r="D818" s="10"/>
      <c r="E818" s="10"/>
      <c r="F818" s="10"/>
      <c r="M818" s="10"/>
      <c r="N818" s="10"/>
    </row>
    <row r="819" spans="1:14" x14ac:dyDescent="0.2">
      <c r="A819" s="10"/>
      <c r="B819" s="10"/>
      <c r="C819" s="10"/>
      <c r="D819" s="10"/>
      <c r="E819" s="10"/>
      <c r="F819" s="10"/>
      <c r="M819" s="10"/>
      <c r="N819" s="10"/>
    </row>
    <row r="820" spans="1:14" x14ac:dyDescent="0.2">
      <c r="A820" s="10"/>
      <c r="B820" s="10"/>
      <c r="C820" s="10"/>
      <c r="D820" s="10"/>
      <c r="E820" s="10"/>
      <c r="F820" s="10"/>
      <c r="M820" s="10"/>
      <c r="N820" s="10"/>
    </row>
    <row r="821" spans="1:14" x14ac:dyDescent="0.2">
      <c r="A821" s="10"/>
      <c r="B821" s="10"/>
      <c r="C821" s="10"/>
      <c r="D821" s="10"/>
      <c r="E821" s="10"/>
      <c r="F821" s="10"/>
      <c r="M821" s="10"/>
      <c r="N821" s="10"/>
    </row>
    <row r="822" spans="1:14" x14ac:dyDescent="0.2">
      <c r="A822" s="10"/>
      <c r="B822" s="10"/>
      <c r="C822" s="10"/>
      <c r="D822" s="10"/>
      <c r="E822" s="10"/>
      <c r="F822" s="10"/>
      <c r="M822" s="10"/>
      <c r="N822" s="10"/>
    </row>
    <row r="823" spans="1:14" x14ac:dyDescent="0.2">
      <c r="A823" s="10"/>
      <c r="B823" s="10"/>
      <c r="C823" s="10"/>
      <c r="D823" s="10"/>
      <c r="E823" s="10"/>
      <c r="F823" s="10"/>
      <c r="M823" s="10"/>
      <c r="N823" s="10"/>
    </row>
    <row r="824" spans="1:14" x14ac:dyDescent="0.2">
      <c r="A824" s="10"/>
      <c r="B824" s="10"/>
      <c r="C824" s="10"/>
      <c r="D824" s="10"/>
      <c r="E824" s="10"/>
      <c r="F824" s="10"/>
      <c r="M824" s="10"/>
      <c r="N824" s="10"/>
    </row>
    <row r="825" spans="1:14" x14ac:dyDescent="0.2">
      <c r="A825" s="10"/>
      <c r="B825" s="10"/>
      <c r="C825" s="10"/>
      <c r="D825" s="10"/>
      <c r="E825" s="10"/>
      <c r="F825" s="10"/>
      <c r="M825" s="10"/>
      <c r="N825" s="10"/>
    </row>
    <row r="826" spans="1:14" x14ac:dyDescent="0.2">
      <c r="A826" s="10"/>
      <c r="B826" s="10"/>
      <c r="C826" s="10"/>
      <c r="D826" s="10"/>
      <c r="E826" s="10"/>
      <c r="F826" s="10"/>
      <c r="M826" s="10"/>
      <c r="N826" s="10"/>
    </row>
    <row r="827" spans="1:14" x14ac:dyDescent="0.2">
      <c r="A827" s="10"/>
      <c r="B827" s="10"/>
      <c r="C827" s="10"/>
      <c r="D827" s="10"/>
      <c r="E827" s="10"/>
      <c r="F827" s="10"/>
      <c r="M827" s="10"/>
      <c r="N827" s="10"/>
    </row>
    <row r="828" spans="1:14" x14ac:dyDescent="0.2">
      <c r="A828" s="10"/>
      <c r="B828" s="10"/>
      <c r="C828" s="10"/>
      <c r="D828" s="10"/>
      <c r="E828" s="10"/>
      <c r="F828" s="10"/>
      <c r="M828" s="10"/>
      <c r="N828" s="10"/>
    </row>
    <row r="829" spans="1:14" x14ac:dyDescent="0.2">
      <c r="A829" s="10"/>
      <c r="B829" s="10"/>
      <c r="C829" s="10"/>
      <c r="D829" s="10"/>
      <c r="E829" s="10"/>
      <c r="F829" s="10"/>
      <c r="M829" s="10"/>
      <c r="N829" s="10"/>
    </row>
    <row r="830" spans="1:14" x14ac:dyDescent="0.2">
      <c r="A830" s="10"/>
      <c r="B830" s="10"/>
      <c r="C830" s="10"/>
      <c r="D830" s="10"/>
      <c r="E830" s="10"/>
      <c r="F830" s="10"/>
      <c r="M830" s="10"/>
      <c r="N830" s="10"/>
    </row>
    <row r="831" spans="1:14" x14ac:dyDescent="0.2">
      <c r="A831" s="10"/>
      <c r="B831" s="10"/>
      <c r="C831" s="10"/>
      <c r="D831" s="10"/>
      <c r="E831" s="10"/>
      <c r="F831" s="10"/>
      <c r="M831" s="10"/>
      <c r="N831" s="10"/>
    </row>
    <row r="832" spans="1:14" x14ac:dyDescent="0.2">
      <c r="A832" s="10"/>
      <c r="B832" s="10"/>
      <c r="C832" s="10"/>
      <c r="D832" s="10"/>
      <c r="E832" s="10"/>
      <c r="F832" s="10"/>
      <c r="M832" s="10"/>
      <c r="N832" s="10"/>
    </row>
    <row r="833" spans="1:14" x14ac:dyDescent="0.2">
      <c r="A833" s="10"/>
      <c r="B833" s="10"/>
      <c r="C833" s="10"/>
      <c r="D833" s="10"/>
      <c r="E833" s="10"/>
      <c r="F833" s="10"/>
      <c r="M833" s="10"/>
      <c r="N833" s="10"/>
    </row>
    <row r="834" spans="1:14" x14ac:dyDescent="0.2">
      <c r="A834" s="10"/>
      <c r="B834" s="10"/>
      <c r="C834" s="10"/>
      <c r="D834" s="10"/>
      <c r="E834" s="10"/>
      <c r="F834" s="10"/>
      <c r="M834" s="10"/>
      <c r="N834" s="10"/>
    </row>
    <row r="835" spans="1:14" x14ac:dyDescent="0.2">
      <c r="A835" s="10"/>
      <c r="B835" s="10"/>
      <c r="C835" s="10"/>
      <c r="D835" s="10"/>
      <c r="E835" s="10"/>
      <c r="F835" s="10"/>
      <c r="M835" s="10"/>
      <c r="N835" s="10"/>
    </row>
    <row r="836" spans="1:14" x14ac:dyDescent="0.2">
      <c r="A836" s="10"/>
      <c r="B836" s="10"/>
      <c r="C836" s="10"/>
      <c r="D836" s="10"/>
      <c r="E836" s="10"/>
      <c r="F836" s="10"/>
      <c r="M836" s="10"/>
      <c r="N836" s="10"/>
    </row>
    <row r="837" spans="1:14" x14ac:dyDescent="0.2">
      <c r="A837" s="10"/>
      <c r="B837" s="10"/>
      <c r="C837" s="10"/>
      <c r="D837" s="10"/>
      <c r="E837" s="10"/>
      <c r="F837" s="10"/>
      <c r="M837" s="10"/>
      <c r="N837" s="10"/>
    </row>
    <row r="838" spans="1:14" x14ac:dyDescent="0.2">
      <c r="A838" s="10"/>
      <c r="B838" s="10"/>
      <c r="C838" s="10"/>
      <c r="D838" s="10"/>
      <c r="E838" s="10"/>
      <c r="F838" s="10"/>
      <c r="M838" s="10"/>
      <c r="N838" s="10"/>
    </row>
    <row r="839" spans="1:14" x14ac:dyDescent="0.2">
      <c r="A839" s="10"/>
      <c r="B839" s="10"/>
      <c r="C839" s="10"/>
      <c r="D839" s="10"/>
      <c r="E839" s="10"/>
      <c r="F839" s="10"/>
      <c r="M839" s="10"/>
      <c r="N839" s="10"/>
    </row>
    <row r="840" spans="1:14" x14ac:dyDescent="0.2">
      <c r="A840" s="10"/>
      <c r="B840" s="10"/>
      <c r="C840" s="10"/>
      <c r="D840" s="10"/>
      <c r="E840" s="10"/>
      <c r="F840" s="10"/>
      <c r="M840" s="10"/>
      <c r="N840" s="10"/>
    </row>
    <row r="841" spans="1:14" x14ac:dyDescent="0.2">
      <c r="A841" s="10"/>
      <c r="B841" s="10"/>
      <c r="C841" s="10"/>
      <c r="D841" s="10"/>
      <c r="E841" s="10"/>
      <c r="F841" s="10"/>
      <c r="M841" s="10"/>
      <c r="N841" s="10"/>
    </row>
    <row r="842" spans="1:14" x14ac:dyDescent="0.2">
      <c r="A842" s="10"/>
      <c r="B842" s="10"/>
      <c r="C842" s="10"/>
      <c r="D842" s="10"/>
      <c r="E842" s="10"/>
      <c r="F842" s="10"/>
      <c r="M842" s="10"/>
      <c r="N842" s="10"/>
    </row>
    <row r="843" spans="1:14" x14ac:dyDescent="0.2">
      <c r="A843" s="10"/>
      <c r="B843" s="10"/>
      <c r="C843" s="10"/>
      <c r="D843" s="10"/>
      <c r="E843" s="10"/>
      <c r="F843" s="10"/>
      <c r="M843" s="10"/>
      <c r="N843" s="10"/>
    </row>
    <row r="844" spans="1:14" x14ac:dyDescent="0.2">
      <c r="A844" s="10"/>
      <c r="B844" s="10"/>
      <c r="C844" s="10"/>
      <c r="D844" s="10"/>
      <c r="E844" s="10"/>
      <c r="F844" s="10"/>
      <c r="M844" s="10"/>
      <c r="N844" s="10"/>
    </row>
    <row r="845" spans="1:14" x14ac:dyDescent="0.2">
      <c r="A845" s="10"/>
      <c r="B845" s="10"/>
      <c r="C845" s="10"/>
      <c r="D845" s="10"/>
      <c r="E845" s="10"/>
      <c r="F845" s="10"/>
      <c r="M845" s="10"/>
      <c r="N845" s="10"/>
    </row>
    <row r="846" spans="1:14" x14ac:dyDescent="0.2">
      <c r="A846" s="10"/>
      <c r="B846" s="10"/>
      <c r="C846" s="10"/>
      <c r="D846" s="10"/>
      <c r="E846" s="10"/>
      <c r="F846" s="10"/>
      <c r="M846" s="10"/>
      <c r="N846" s="10"/>
    </row>
    <row r="847" spans="1:14" x14ac:dyDescent="0.2">
      <c r="A847" s="10"/>
      <c r="B847" s="10"/>
      <c r="C847" s="10"/>
      <c r="D847" s="10"/>
      <c r="E847" s="10"/>
      <c r="F847" s="10"/>
      <c r="M847" s="10"/>
      <c r="N847" s="10"/>
    </row>
    <row r="848" spans="1:14" x14ac:dyDescent="0.2">
      <c r="A848" s="10"/>
      <c r="B848" s="10"/>
      <c r="C848" s="10"/>
      <c r="D848" s="10"/>
      <c r="E848" s="10"/>
      <c r="F848" s="10"/>
      <c r="M848" s="10"/>
      <c r="N848" s="10"/>
    </row>
    <row r="849" spans="1:14" x14ac:dyDescent="0.2">
      <c r="A849" s="10"/>
      <c r="B849" s="10"/>
      <c r="C849" s="10"/>
      <c r="D849" s="10"/>
      <c r="E849" s="10"/>
      <c r="F849" s="10"/>
      <c r="M849" s="10"/>
      <c r="N849" s="10"/>
    </row>
    <row r="850" spans="1:14" x14ac:dyDescent="0.2">
      <c r="A850" s="10"/>
      <c r="B850" s="10"/>
      <c r="C850" s="10"/>
      <c r="D850" s="10"/>
      <c r="E850" s="10"/>
      <c r="F850" s="10"/>
      <c r="M850" s="10"/>
      <c r="N850" s="10"/>
    </row>
    <row r="851" spans="1:14" x14ac:dyDescent="0.2">
      <c r="A851" s="10"/>
      <c r="B851" s="10"/>
      <c r="C851" s="10"/>
      <c r="D851" s="10"/>
      <c r="E851" s="10"/>
      <c r="F851" s="10"/>
      <c r="M851" s="10"/>
      <c r="N851" s="10"/>
    </row>
    <row r="852" spans="1:14" x14ac:dyDescent="0.2">
      <c r="A852" s="10"/>
      <c r="B852" s="10"/>
      <c r="C852" s="10"/>
      <c r="D852" s="10"/>
      <c r="E852" s="10"/>
      <c r="F852" s="10"/>
      <c r="M852" s="10"/>
      <c r="N852" s="10"/>
    </row>
    <row r="853" spans="1:14" x14ac:dyDescent="0.2">
      <c r="A853" s="10"/>
      <c r="B853" s="10"/>
      <c r="C853" s="10"/>
      <c r="D853" s="10"/>
      <c r="E853" s="10"/>
      <c r="F853" s="10"/>
      <c r="M853" s="10"/>
      <c r="N853" s="10"/>
    </row>
    <row r="854" spans="1:14" x14ac:dyDescent="0.2">
      <c r="A854" s="10"/>
      <c r="B854" s="10"/>
      <c r="C854" s="10"/>
      <c r="D854" s="10"/>
      <c r="E854" s="10"/>
      <c r="F854" s="10"/>
      <c r="M854" s="10"/>
      <c r="N854" s="10"/>
    </row>
    <row r="855" spans="1:14" x14ac:dyDescent="0.2">
      <c r="A855" s="10"/>
      <c r="B855" s="10"/>
      <c r="C855" s="10"/>
      <c r="D855" s="10"/>
      <c r="E855" s="10"/>
      <c r="F855" s="10"/>
      <c r="M855" s="10"/>
      <c r="N855" s="10"/>
    </row>
    <row r="856" spans="1:14" x14ac:dyDescent="0.2">
      <c r="A856" s="10"/>
      <c r="B856" s="10"/>
      <c r="C856" s="10"/>
      <c r="D856" s="10"/>
      <c r="E856" s="10"/>
      <c r="F856" s="10"/>
      <c r="M856" s="10"/>
      <c r="N856" s="10"/>
    </row>
    <row r="857" spans="1:14" x14ac:dyDescent="0.2">
      <c r="A857" s="10"/>
      <c r="B857" s="10"/>
      <c r="C857" s="10"/>
      <c r="D857" s="10"/>
      <c r="E857" s="10"/>
      <c r="F857" s="10"/>
      <c r="M857" s="10"/>
      <c r="N857" s="10"/>
    </row>
    <row r="858" spans="1:14" x14ac:dyDescent="0.2">
      <c r="A858" s="10"/>
      <c r="B858" s="10"/>
      <c r="C858" s="10"/>
      <c r="D858" s="10"/>
      <c r="E858" s="10"/>
      <c r="F858" s="10"/>
      <c r="M858" s="10"/>
      <c r="N858" s="10"/>
    </row>
    <row r="859" spans="1:14" x14ac:dyDescent="0.2">
      <c r="A859" s="10"/>
      <c r="B859" s="10"/>
      <c r="C859" s="10"/>
      <c r="D859" s="10"/>
      <c r="E859" s="10"/>
      <c r="F859" s="10"/>
      <c r="M859" s="10"/>
      <c r="N859" s="10"/>
    </row>
    <row r="860" spans="1:14" x14ac:dyDescent="0.2">
      <c r="A860" s="10"/>
      <c r="B860" s="10"/>
      <c r="C860" s="10"/>
      <c r="D860" s="10"/>
      <c r="E860" s="10"/>
      <c r="F860" s="10"/>
      <c r="M860" s="10"/>
      <c r="N860" s="10"/>
    </row>
    <row r="861" spans="1:14" x14ac:dyDescent="0.2">
      <c r="A861" s="10"/>
      <c r="B861" s="10"/>
      <c r="C861" s="10"/>
      <c r="D861" s="10"/>
      <c r="E861" s="10"/>
      <c r="F861" s="10"/>
      <c r="M861" s="10"/>
      <c r="N861" s="10"/>
    </row>
    <row r="862" spans="1:14" x14ac:dyDescent="0.2">
      <c r="A862" s="10"/>
      <c r="B862" s="10"/>
      <c r="C862" s="10"/>
      <c r="D862" s="10"/>
      <c r="E862" s="10"/>
      <c r="F862" s="10"/>
      <c r="M862" s="10"/>
      <c r="N862" s="10"/>
    </row>
    <row r="863" spans="1:14" x14ac:dyDescent="0.2">
      <c r="A863" s="10"/>
      <c r="B863" s="10"/>
      <c r="C863" s="10"/>
      <c r="D863" s="10"/>
      <c r="E863" s="10"/>
      <c r="F863" s="10"/>
      <c r="M863" s="10"/>
      <c r="N863" s="10"/>
    </row>
    <row r="864" spans="1:14" x14ac:dyDescent="0.2">
      <c r="A864" s="10"/>
      <c r="B864" s="10"/>
      <c r="C864" s="10"/>
      <c r="D864" s="10"/>
      <c r="E864" s="10"/>
      <c r="F864" s="10"/>
      <c r="M864" s="10"/>
      <c r="N864" s="10"/>
    </row>
    <row r="865" spans="1:14" x14ac:dyDescent="0.2">
      <c r="A865" s="10"/>
      <c r="B865" s="10"/>
      <c r="C865" s="10"/>
      <c r="D865" s="10"/>
      <c r="E865" s="10"/>
      <c r="F865" s="10"/>
      <c r="M865" s="10"/>
      <c r="N865" s="10"/>
    </row>
    <row r="866" spans="1:14" x14ac:dyDescent="0.2">
      <c r="A866" s="10"/>
      <c r="B866" s="10"/>
      <c r="C866" s="10"/>
      <c r="D866" s="10"/>
      <c r="E866" s="10"/>
      <c r="F866" s="10"/>
      <c r="M866" s="10"/>
      <c r="N866" s="10"/>
    </row>
    <row r="867" spans="1:14" x14ac:dyDescent="0.2">
      <c r="A867" s="10"/>
      <c r="B867" s="10"/>
      <c r="C867" s="10"/>
      <c r="D867" s="10"/>
      <c r="E867" s="10"/>
      <c r="F867" s="10"/>
      <c r="M867" s="10"/>
      <c r="N867" s="10"/>
    </row>
    <row r="868" spans="1:14" x14ac:dyDescent="0.2">
      <c r="A868" s="10"/>
      <c r="B868" s="10"/>
      <c r="C868" s="10"/>
      <c r="D868" s="10"/>
      <c r="E868" s="10"/>
      <c r="F868" s="10"/>
      <c r="M868" s="10"/>
      <c r="N868" s="10"/>
    </row>
    <row r="869" spans="1:14" x14ac:dyDescent="0.2">
      <c r="A869" s="10"/>
      <c r="B869" s="10"/>
      <c r="C869" s="10"/>
      <c r="D869" s="10"/>
      <c r="E869" s="10"/>
      <c r="F869" s="10"/>
      <c r="M869" s="10"/>
      <c r="N869" s="10"/>
    </row>
    <row r="870" spans="1:14" x14ac:dyDescent="0.2">
      <c r="A870" s="10"/>
      <c r="B870" s="10"/>
      <c r="C870" s="10"/>
      <c r="D870" s="10"/>
      <c r="E870" s="10"/>
      <c r="F870" s="10"/>
      <c r="M870" s="10"/>
      <c r="N870" s="10"/>
    </row>
    <row r="871" spans="1:14" x14ac:dyDescent="0.2">
      <c r="A871" s="10"/>
      <c r="B871" s="10"/>
      <c r="C871" s="10"/>
      <c r="D871" s="10"/>
      <c r="E871" s="10"/>
      <c r="F871" s="10"/>
      <c r="M871" s="10"/>
      <c r="N871" s="10"/>
    </row>
    <row r="872" spans="1:14" x14ac:dyDescent="0.2">
      <c r="A872" s="10"/>
      <c r="B872" s="10"/>
      <c r="C872" s="10"/>
      <c r="D872" s="10"/>
      <c r="E872" s="10"/>
      <c r="F872" s="10"/>
      <c r="M872" s="10"/>
      <c r="N872" s="10"/>
    </row>
    <row r="873" spans="1:14" x14ac:dyDescent="0.2">
      <c r="A873" s="10"/>
      <c r="B873" s="10"/>
      <c r="C873" s="10"/>
      <c r="D873" s="10"/>
      <c r="E873" s="10"/>
      <c r="F873" s="10"/>
      <c r="M873" s="10"/>
      <c r="N873" s="10"/>
    </row>
    <row r="874" spans="1:14" x14ac:dyDescent="0.2">
      <c r="A874" s="10"/>
      <c r="B874" s="10"/>
      <c r="C874" s="10"/>
      <c r="D874" s="10"/>
      <c r="E874" s="10"/>
      <c r="F874" s="10"/>
      <c r="M874" s="10"/>
      <c r="N874" s="10"/>
    </row>
    <row r="875" spans="1:14" x14ac:dyDescent="0.2">
      <c r="A875" s="10"/>
      <c r="B875" s="10"/>
      <c r="C875" s="10"/>
      <c r="D875" s="10"/>
      <c r="E875" s="10"/>
      <c r="F875" s="10"/>
      <c r="M875" s="10"/>
      <c r="N875" s="10"/>
    </row>
    <row r="876" spans="1:14" x14ac:dyDescent="0.2">
      <c r="A876" s="10"/>
      <c r="B876" s="10"/>
      <c r="C876" s="10"/>
      <c r="D876" s="10"/>
      <c r="E876" s="10"/>
      <c r="F876" s="10"/>
      <c r="M876" s="10"/>
      <c r="N876" s="10"/>
    </row>
    <row r="877" spans="1:14" x14ac:dyDescent="0.2">
      <c r="A877" s="10"/>
      <c r="B877" s="10"/>
      <c r="C877" s="10"/>
      <c r="D877" s="10"/>
      <c r="E877" s="10"/>
      <c r="F877" s="10"/>
      <c r="M877" s="10"/>
      <c r="N877" s="10"/>
    </row>
    <row r="878" spans="1:14" x14ac:dyDescent="0.2">
      <c r="A878" s="10"/>
      <c r="B878" s="10"/>
      <c r="C878" s="10"/>
      <c r="D878" s="10"/>
      <c r="E878" s="10"/>
      <c r="F878" s="10"/>
      <c r="M878" s="10"/>
      <c r="N878" s="10"/>
    </row>
    <row r="879" spans="1:14" x14ac:dyDescent="0.2">
      <c r="A879" s="10"/>
      <c r="B879" s="10"/>
      <c r="C879" s="10"/>
      <c r="D879" s="10"/>
      <c r="E879" s="10"/>
      <c r="F879" s="10"/>
      <c r="M879" s="10"/>
      <c r="N879" s="10"/>
    </row>
    <row r="880" spans="1:14" x14ac:dyDescent="0.2">
      <c r="A880" s="10"/>
      <c r="B880" s="10"/>
      <c r="C880" s="10"/>
      <c r="D880" s="10"/>
      <c r="E880" s="10"/>
      <c r="F880" s="10"/>
      <c r="M880" s="10"/>
      <c r="N880" s="10"/>
    </row>
    <row r="881" spans="1:14" x14ac:dyDescent="0.2">
      <c r="A881" s="10"/>
      <c r="B881" s="10"/>
      <c r="C881" s="10"/>
      <c r="D881" s="10"/>
      <c r="E881" s="10"/>
      <c r="F881" s="10"/>
      <c r="M881" s="10"/>
      <c r="N881" s="10"/>
    </row>
    <row r="882" spans="1:14" x14ac:dyDescent="0.2">
      <c r="A882" s="10"/>
      <c r="B882" s="10"/>
      <c r="C882" s="10"/>
      <c r="D882" s="10"/>
      <c r="E882" s="10"/>
      <c r="F882" s="10"/>
      <c r="M882" s="10"/>
      <c r="N882" s="10"/>
    </row>
    <row r="883" spans="1:14" x14ac:dyDescent="0.2">
      <c r="A883" s="10"/>
      <c r="B883" s="10"/>
      <c r="C883" s="10"/>
      <c r="D883" s="10"/>
      <c r="E883" s="10"/>
      <c r="F883" s="10"/>
      <c r="M883" s="10"/>
      <c r="N883" s="10"/>
    </row>
    <row r="884" spans="1:14" x14ac:dyDescent="0.2">
      <c r="A884" s="10"/>
      <c r="B884" s="10"/>
      <c r="C884" s="10"/>
      <c r="D884" s="10"/>
      <c r="E884" s="10"/>
      <c r="F884" s="10"/>
      <c r="M884" s="10"/>
      <c r="N884" s="10"/>
    </row>
    <row r="885" spans="1:14" x14ac:dyDescent="0.2">
      <c r="A885" s="10"/>
      <c r="B885" s="10"/>
      <c r="C885" s="10"/>
      <c r="D885" s="10"/>
      <c r="E885" s="10"/>
      <c r="F885" s="10"/>
      <c r="M885" s="10"/>
      <c r="N885" s="10"/>
    </row>
    <row r="886" spans="1:14" x14ac:dyDescent="0.2">
      <c r="A886" s="10"/>
      <c r="B886" s="10"/>
      <c r="C886" s="10"/>
      <c r="D886" s="10"/>
      <c r="E886" s="10"/>
      <c r="F886" s="10"/>
      <c r="M886" s="10"/>
      <c r="N886" s="10"/>
    </row>
    <row r="887" spans="1:14" x14ac:dyDescent="0.2">
      <c r="A887" s="10"/>
      <c r="B887" s="10"/>
      <c r="C887" s="10"/>
      <c r="D887" s="10"/>
      <c r="E887" s="10"/>
      <c r="F887" s="10"/>
      <c r="M887" s="10"/>
      <c r="N887" s="10"/>
    </row>
    <row r="888" spans="1:14" x14ac:dyDescent="0.2">
      <c r="A888" s="10"/>
      <c r="B888" s="10"/>
      <c r="C888" s="10"/>
      <c r="D888" s="10"/>
      <c r="E888" s="10"/>
      <c r="F888" s="10"/>
      <c r="M888" s="10"/>
      <c r="N888" s="10"/>
    </row>
    <row r="889" spans="1:14" x14ac:dyDescent="0.2">
      <c r="A889" s="10"/>
      <c r="B889" s="10"/>
      <c r="C889" s="10"/>
      <c r="D889" s="10"/>
      <c r="E889" s="10"/>
      <c r="F889" s="10"/>
      <c r="M889" s="10"/>
      <c r="N889" s="10"/>
    </row>
    <row r="890" spans="1:14" x14ac:dyDescent="0.2">
      <c r="A890" s="10"/>
      <c r="B890" s="10"/>
      <c r="C890" s="10"/>
      <c r="D890" s="10"/>
      <c r="E890" s="10"/>
      <c r="F890" s="10"/>
      <c r="M890" s="10"/>
      <c r="N890" s="10"/>
    </row>
    <row r="891" spans="1:14" x14ac:dyDescent="0.2">
      <c r="A891" s="10"/>
      <c r="B891" s="10"/>
      <c r="C891" s="10"/>
      <c r="D891" s="10"/>
      <c r="E891" s="10"/>
      <c r="F891" s="10"/>
      <c r="M891" s="10"/>
      <c r="N891" s="10"/>
    </row>
    <row r="892" spans="1:14" x14ac:dyDescent="0.2">
      <c r="A892" s="10"/>
      <c r="B892" s="10"/>
      <c r="C892" s="10"/>
      <c r="D892" s="10"/>
      <c r="E892" s="10"/>
      <c r="F892" s="10"/>
      <c r="M892" s="10"/>
      <c r="N892" s="10"/>
    </row>
    <row r="893" spans="1:14" x14ac:dyDescent="0.2">
      <c r="A893" s="10"/>
      <c r="B893" s="10"/>
      <c r="C893" s="10"/>
      <c r="D893" s="10"/>
      <c r="E893" s="10"/>
      <c r="F893" s="10"/>
      <c r="M893" s="10"/>
      <c r="N893" s="10"/>
    </row>
    <row r="894" spans="1:14" x14ac:dyDescent="0.2">
      <c r="A894" s="10"/>
      <c r="B894" s="10"/>
      <c r="C894" s="10"/>
      <c r="D894" s="10"/>
      <c r="E894" s="10"/>
      <c r="F894" s="10"/>
      <c r="M894" s="10"/>
      <c r="N894" s="10"/>
    </row>
    <row r="895" spans="1:14" x14ac:dyDescent="0.2">
      <c r="A895" s="10"/>
      <c r="B895" s="10"/>
      <c r="C895" s="10"/>
      <c r="D895" s="10"/>
      <c r="E895" s="10"/>
      <c r="F895" s="10"/>
      <c r="M895" s="10"/>
      <c r="N895" s="10"/>
    </row>
    <row r="896" spans="1:14" x14ac:dyDescent="0.2">
      <c r="A896" s="10"/>
      <c r="B896" s="10"/>
      <c r="C896" s="10"/>
      <c r="D896" s="10"/>
      <c r="E896" s="10"/>
      <c r="F896" s="10"/>
      <c r="M896" s="10"/>
      <c r="N896" s="10"/>
    </row>
    <row r="897" spans="1:14" x14ac:dyDescent="0.2">
      <c r="A897" s="10"/>
      <c r="B897" s="10"/>
      <c r="C897" s="10"/>
      <c r="D897" s="10"/>
      <c r="E897" s="10"/>
      <c r="F897" s="10"/>
      <c r="M897" s="10"/>
      <c r="N897" s="10"/>
    </row>
    <row r="898" spans="1:14" x14ac:dyDescent="0.2">
      <c r="A898" s="10"/>
      <c r="B898" s="10"/>
      <c r="C898" s="10"/>
      <c r="D898" s="10"/>
      <c r="E898" s="10"/>
      <c r="F898" s="10"/>
      <c r="M898" s="10"/>
      <c r="N898" s="10"/>
    </row>
    <row r="899" spans="1:14" x14ac:dyDescent="0.2">
      <c r="A899" s="10"/>
      <c r="B899" s="10"/>
      <c r="C899" s="10"/>
      <c r="D899" s="10"/>
      <c r="E899" s="10"/>
      <c r="F899" s="10"/>
      <c r="M899" s="10"/>
      <c r="N899" s="10"/>
    </row>
    <row r="900" spans="1:14" x14ac:dyDescent="0.2">
      <c r="A900" s="10"/>
      <c r="B900" s="10"/>
      <c r="C900" s="10"/>
      <c r="D900" s="10"/>
      <c r="E900" s="10"/>
      <c r="F900" s="10"/>
      <c r="M900" s="10"/>
      <c r="N900" s="10"/>
    </row>
    <row r="901" spans="1:14" x14ac:dyDescent="0.2">
      <c r="A901" s="10"/>
      <c r="B901" s="10"/>
      <c r="C901" s="10"/>
      <c r="D901" s="10"/>
      <c r="E901" s="10"/>
      <c r="F901" s="10"/>
      <c r="M901" s="10"/>
      <c r="N901" s="10"/>
    </row>
    <row r="902" spans="1:14" x14ac:dyDescent="0.2">
      <c r="A902" s="10"/>
      <c r="B902" s="10"/>
      <c r="C902" s="10"/>
      <c r="D902" s="10"/>
      <c r="E902" s="10"/>
      <c r="F902" s="10"/>
      <c r="M902" s="10"/>
      <c r="N902" s="10"/>
    </row>
    <row r="903" spans="1:14" x14ac:dyDescent="0.2">
      <c r="A903" s="10"/>
      <c r="B903" s="10"/>
      <c r="C903" s="10"/>
      <c r="D903" s="10"/>
      <c r="E903" s="10"/>
      <c r="F903" s="10"/>
      <c r="M903" s="10"/>
      <c r="N903" s="10"/>
    </row>
    <row r="904" spans="1:14" x14ac:dyDescent="0.2">
      <c r="A904" s="10"/>
      <c r="B904" s="10"/>
      <c r="C904" s="10"/>
      <c r="D904" s="10"/>
      <c r="E904" s="10"/>
      <c r="F904" s="10"/>
      <c r="M904" s="10"/>
      <c r="N904" s="10"/>
    </row>
    <row r="905" spans="1:14" x14ac:dyDescent="0.2">
      <c r="A905" s="10"/>
      <c r="B905" s="10"/>
      <c r="C905" s="10"/>
      <c r="D905" s="10"/>
      <c r="E905" s="10"/>
      <c r="F905" s="10"/>
      <c r="M905" s="10"/>
      <c r="N905" s="10"/>
    </row>
    <row r="906" spans="1:14" x14ac:dyDescent="0.2">
      <c r="A906" s="10"/>
      <c r="B906" s="10"/>
      <c r="C906" s="10"/>
      <c r="D906" s="10"/>
      <c r="E906" s="10"/>
      <c r="F906" s="10"/>
      <c r="M906" s="10"/>
      <c r="N906" s="10"/>
    </row>
    <row r="907" spans="1:14" x14ac:dyDescent="0.2">
      <c r="A907" s="10"/>
      <c r="B907" s="10"/>
      <c r="C907" s="10"/>
      <c r="D907" s="10"/>
      <c r="E907" s="10"/>
      <c r="F907" s="10"/>
      <c r="M907" s="10"/>
      <c r="N907" s="10"/>
    </row>
    <row r="908" spans="1:14" x14ac:dyDescent="0.2">
      <c r="A908" s="10"/>
      <c r="B908" s="10"/>
      <c r="C908" s="10"/>
      <c r="D908" s="10"/>
      <c r="E908" s="10"/>
      <c r="F908" s="10"/>
      <c r="M908" s="10"/>
      <c r="N908" s="10"/>
    </row>
    <row r="909" spans="1:14" x14ac:dyDescent="0.2">
      <c r="A909" s="10"/>
      <c r="B909" s="10"/>
      <c r="C909" s="10"/>
      <c r="D909" s="10"/>
      <c r="E909" s="10"/>
      <c r="F909" s="10"/>
      <c r="M909" s="10"/>
      <c r="N909" s="10"/>
    </row>
    <row r="910" spans="1:14" x14ac:dyDescent="0.2">
      <c r="A910" s="10"/>
      <c r="B910" s="10"/>
      <c r="C910" s="10"/>
      <c r="D910" s="10"/>
      <c r="E910" s="10"/>
      <c r="F910" s="10"/>
      <c r="M910" s="10"/>
      <c r="N910" s="10"/>
    </row>
    <row r="911" spans="1:14" x14ac:dyDescent="0.2">
      <c r="A911" s="10"/>
      <c r="B911" s="10"/>
      <c r="C911" s="10"/>
      <c r="D911" s="10"/>
      <c r="E911" s="10"/>
      <c r="F911" s="10"/>
      <c r="M911" s="10"/>
      <c r="N911" s="10"/>
    </row>
    <row r="912" spans="1:14" x14ac:dyDescent="0.2">
      <c r="A912" s="10"/>
      <c r="B912" s="10"/>
      <c r="C912" s="10"/>
      <c r="D912" s="10"/>
      <c r="E912" s="10"/>
      <c r="F912" s="10"/>
      <c r="M912" s="10"/>
      <c r="N912" s="10"/>
    </row>
    <row r="913" spans="1:14" x14ac:dyDescent="0.2">
      <c r="A913" s="10"/>
      <c r="B913" s="10"/>
      <c r="C913" s="10"/>
      <c r="D913" s="10"/>
      <c r="E913" s="10"/>
      <c r="F913" s="10"/>
      <c r="M913" s="10"/>
      <c r="N913" s="10"/>
    </row>
    <row r="914" spans="1:14" x14ac:dyDescent="0.2">
      <c r="A914" s="10"/>
      <c r="B914" s="10"/>
      <c r="C914" s="10"/>
      <c r="D914" s="10"/>
      <c r="E914" s="10"/>
      <c r="F914" s="10"/>
      <c r="M914" s="10"/>
      <c r="N914" s="10"/>
    </row>
    <row r="915" spans="1:14" x14ac:dyDescent="0.2">
      <c r="A915" s="10"/>
      <c r="B915" s="10"/>
      <c r="C915" s="10"/>
      <c r="D915" s="10"/>
      <c r="E915" s="10"/>
      <c r="F915" s="10"/>
      <c r="M915" s="10"/>
      <c r="N915" s="10"/>
    </row>
    <row r="916" spans="1:14" x14ac:dyDescent="0.2">
      <c r="A916" s="10"/>
      <c r="B916" s="10"/>
      <c r="C916" s="10"/>
      <c r="D916" s="10"/>
      <c r="E916" s="10"/>
      <c r="F916" s="10"/>
      <c r="M916" s="10"/>
      <c r="N916" s="10"/>
    </row>
    <row r="917" spans="1:14" x14ac:dyDescent="0.2">
      <c r="A917" s="10"/>
      <c r="B917" s="10"/>
      <c r="C917" s="10"/>
      <c r="D917" s="10"/>
      <c r="E917" s="10"/>
      <c r="F917" s="10"/>
      <c r="M917" s="10"/>
      <c r="N917" s="10"/>
    </row>
    <row r="918" spans="1:14" x14ac:dyDescent="0.2">
      <c r="A918" s="10"/>
      <c r="B918" s="10"/>
      <c r="C918" s="10"/>
      <c r="D918" s="10"/>
      <c r="E918" s="10"/>
      <c r="F918" s="10"/>
      <c r="M918" s="10"/>
      <c r="N918" s="10"/>
    </row>
    <row r="919" spans="1:14" x14ac:dyDescent="0.2">
      <c r="A919" s="10"/>
      <c r="B919" s="10"/>
      <c r="C919" s="10"/>
      <c r="D919" s="10"/>
      <c r="E919" s="10"/>
      <c r="F919" s="10"/>
      <c r="M919" s="10"/>
      <c r="N919" s="10"/>
    </row>
    <row r="920" spans="1:14" x14ac:dyDescent="0.2">
      <c r="A920" s="10"/>
      <c r="B920" s="10"/>
      <c r="C920" s="10"/>
      <c r="D920" s="10"/>
      <c r="E920" s="10"/>
      <c r="F920" s="10"/>
      <c r="M920" s="10"/>
      <c r="N920" s="10"/>
    </row>
    <row r="921" spans="1:14" x14ac:dyDescent="0.2">
      <c r="A921" s="10"/>
      <c r="B921" s="10"/>
      <c r="C921" s="10"/>
      <c r="D921" s="10"/>
      <c r="E921" s="10"/>
      <c r="F921" s="10"/>
      <c r="M921" s="10"/>
      <c r="N921" s="10"/>
    </row>
    <row r="922" spans="1:14" x14ac:dyDescent="0.2">
      <c r="A922" s="10"/>
      <c r="B922" s="10"/>
      <c r="C922" s="10"/>
      <c r="D922" s="10"/>
      <c r="E922" s="10"/>
      <c r="F922" s="10"/>
      <c r="M922" s="10"/>
      <c r="N922" s="10"/>
    </row>
    <row r="923" spans="1:14" x14ac:dyDescent="0.2">
      <c r="A923" s="10"/>
      <c r="B923" s="10"/>
      <c r="C923" s="10"/>
      <c r="D923" s="10"/>
      <c r="E923" s="10"/>
      <c r="F923" s="10"/>
      <c r="M923" s="10"/>
      <c r="N923" s="10"/>
    </row>
    <row r="924" spans="1:14" x14ac:dyDescent="0.2">
      <c r="A924" s="10"/>
      <c r="B924" s="10"/>
      <c r="C924" s="10"/>
      <c r="D924" s="10"/>
      <c r="E924" s="10"/>
      <c r="F924" s="10"/>
      <c r="M924" s="10"/>
      <c r="N924" s="10"/>
    </row>
    <row r="925" spans="1:14" x14ac:dyDescent="0.2">
      <c r="A925" s="10"/>
      <c r="B925" s="10"/>
      <c r="C925" s="10"/>
      <c r="D925" s="10"/>
      <c r="E925" s="10"/>
      <c r="F925" s="10"/>
      <c r="M925" s="10"/>
      <c r="N925" s="10"/>
    </row>
    <row r="926" spans="1:14" x14ac:dyDescent="0.2">
      <c r="A926" s="10"/>
      <c r="B926" s="10"/>
      <c r="C926" s="10"/>
      <c r="D926" s="10"/>
      <c r="E926" s="10"/>
      <c r="F926" s="10"/>
      <c r="M926" s="10"/>
      <c r="N926" s="10"/>
    </row>
    <row r="927" spans="1:14" x14ac:dyDescent="0.2">
      <c r="A927" s="10"/>
      <c r="B927" s="10"/>
      <c r="C927" s="10"/>
      <c r="D927" s="10"/>
      <c r="E927" s="10"/>
      <c r="F927" s="10"/>
      <c r="M927" s="10"/>
      <c r="N927" s="10"/>
    </row>
    <row r="928" spans="1:14" x14ac:dyDescent="0.2">
      <c r="A928" s="10"/>
      <c r="B928" s="10"/>
      <c r="C928" s="10"/>
      <c r="D928" s="10"/>
      <c r="E928" s="10"/>
      <c r="F928" s="10"/>
      <c r="M928" s="10"/>
      <c r="N928" s="10"/>
    </row>
    <row r="929" spans="1:14" x14ac:dyDescent="0.2">
      <c r="A929" s="10"/>
      <c r="B929" s="10"/>
      <c r="C929" s="10"/>
      <c r="D929" s="10"/>
      <c r="E929" s="10"/>
      <c r="F929" s="10"/>
      <c r="M929" s="10"/>
      <c r="N929" s="10"/>
    </row>
    <row r="930" spans="1:14" x14ac:dyDescent="0.2">
      <c r="A930" s="10"/>
      <c r="B930" s="10"/>
      <c r="C930" s="10"/>
      <c r="D930" s="10"/>
      <c r="E930" s="10"/>
      <c r="F930" s="10"/>
      <c r="M930" s="10"/>
      <c r="N930" s="10"/>
    </row>
    <row r="931" spans="1:14" x14ac:dyDescent="0.2">
      <c r="A931" s="10"/>
      <c r="B931" s="10"/>
      <c r="C931" s="10"/>
      <c r="D931" s="10"/>
      <c r="E931" s="10"/>
      <c r="F931" s="10"/>
      <c r="M931" s="10"/>
      <c r="N931" s="10"/>
    </row>
    <row r="932" spans="1:14" x14ac:dyDescent="0.2">
      <c r="A932" s="10"/>
      <c r="B932" s="10"/>
      <c r="C932" s="10"/>
      <c r="D932" s="10"/>
      <c r="E932" s="10"/>
      <c r="F932" s="10"/>
      <c r="M932" s="10"/>
      <c r="N932" s="10"/>
    </row>
    <row r="933" spans="1:14" x14ac:dyDescent="0.2">
      <c r="A933" s="10"/>
      <c r="B933" s="10"/>
      <c r="C933" s="10"/>
      <c r="D933" s="10"/>
      <c r="E933" s="10"/>
      <c r="F933" s="10"/>
      <c r="M933" s="10"/>
      <c r="N933" s="10"/>
    </row>
    <row r="934" spans="1:14" x14ac:dyDescent="0.2">
      <c r="A934" s="10"/>
      <c r="B934" s="10"/>
      <c r="C934" s="10"/>
      <c r="D934" s="10"/>
      <c r="E934" s="10"/>
      <c r="F934" s="10"/>
      <c r="M934" s="10"/>
      <c r="N934" s="10"/>
    </row>
    <row r="935" spans="1:14" x14ac:dyDescent="0.2">
      <c r="A935" s="10"/>
      <c r="B935" s="10"/>
      <c r="C935" s="10"/>
      <c r="D935" s="10"/>
      <c r="E935" s="10"/>
      <c r="F935" s="10"/>
      <c r="M935" s="10"/>
      <c r="N935" s="10"/>
    </row>
    <row r="936" spans="1:14" x14ac:dyDescent="0.2">
      <c r="A936" s="10"/>
      <c r="B936" s="10"/>
      <c r="C936" s="10"/>
      <c r="D936" s="10"/>
      <c r="E936" s="10"/>
      <c r="F936" s="10"/>
      <c r="M936" s="10"/>
      <c r="N936" s="10"/>
    </row>
    <row r="937" spans="1:14" x14ac:dyDescent="0.2">
      <c r="A937" s="10"/>
      <c r="B937" s="10"/>
      <c r="C937" s="10"/>
      <c r="D937" s="10"/>
      <c r="E937" s="10"/>
      <c r="F937" s="10"/>
      <c r="M937" s="10"/>
      <c r="N937" s="10"/>
    </row>
    <row r="938" spans="1:14" x14ac:dyDescent="0.2">
      <c r="A938" s="10"/>
      <c r="B938" s="10"/>
      <c r="C938" s="10"/>
      <c r="D938" s="10"/>
      <c r="E938" s="10"/>
      <c r="F938" s="10"/>
      <c r="M938" s="10"/>
      <c r="N938" s="10"/>
    </row>
    <row r="939" spans="1:14" x14ac:dyDescent="0.2">
      <c r="A939" s="10"/>
      <c r="B939" s="10"/>
      <c r="C939" s="10"/>
      <c r="D939" s="10"/>
      <c r="E939" s="10"/>
      <c r="F939" s="10"/>
      <c r="M939" s="10"/>
      <c r="N939" s="10"/>
    </row>
    <row r="940" spans="1:14" x14ac:dyDescent="0.2">
      <c r="A940" s="10"/>
      <c r="B940" s="10"/>
      <c r="C940" s="10"/>
      <c r="D940" s="10"/>
      <c r="E940" s="10"/>
      <c r="F940" s="10"/>
      <c r="M940" s="10"/>
      <c r="N940" s="10"/>
    </row>
    <row r="941" spans="1:14" x14ac:dyDescent="0.2">
      <c r="A941" s="10"/>
      <c r="B941" s="10"/>
      <c r="C941" s="10"/>
      <c r="D941" s="10"/>
      <c r="E941" s="10"/>
      <c r="F941" s="10"/>
      <c r="M941" s="10"/>
      <c r="N941" s="10"/>
    </row>
    <row r="942" spans="1:14" x14ac:dyDescent="0.2">
      <c r="A942" s="10"/>
      <c r="B942" s="10"/>
      <c r="C942" s="10"/>
      <c r="D942" s="10"/>
      <c r="E942" s="10"/>
      <c r="F942" s="10"/>
      <c r="M942" s="10"/>
      <c r="N942" s="10"/>
    </row>
    <row r="943" spans="1:14" x14ac:dyDescent="0.2">
      <c r="A943" s="10"/>
      <c r="B943" s="10"/>
      <c r="C943" s="10"/>
      <c r="D943" s="10"/>
      <c r="E943" s="10"/>
      <c r="F943" s="10"/>
      <c r="M943" s="10"/>
      <c r="N943" s="10"/>
    </row>
    <row r="944" spans="1:14" x14ac:dyDescent="0.2">
      <c r="A944" s="10"/>
      <c r="B944" s="10"/>
      <c r="C944" s="10"/>
      <c r="D944" s="10"/>
      <c r="E944" s="10"/>
      <c r="F944" s="10"/>
      <c r="M944" s="10"/>
      <c r="N944" s="10"/>
    </row>
    <row r="945" spans="1:14" x14ac:dyDescent="0.2">
      <c r="A945" s="10"/>
      <c r="B945" s="10"/>
      <c r="C945" s="10"/>
      <c r="D945" s="10"/>
      <c r="E945" s="10"/>
      <c r="F945" s="10"/>
      <c r="M945" s="10"/>
      <c r="N945" s="10"/>
    </row>
    <row r="946" spans="1:14" x14ac:dyDescent="0.2">
      <c r="A946" s="10"/>
      <c r="B946" s="10"/>
      <c r="C946" s="10"/>
      <c r="D946" s="10"/>
      <c r="E946" s="10"/>
      <c r="F946" s="10"/>
      <c r="M946" s="10"/>
      <c r="N946" s="10"/>
    </row>
    <row r="947" spans="1:14" x14ac:dyDescent="0.2">
      <c r="A947" s="10"/>
      <c r="B947" s="10"/>
      <c r="C947" s="10"/>
      <c r="D947" s="10"/>
      <c r="E947" s="10"/>
      <c r="F947" s="10"/>
      <c r="M947" s="10"/>
      <c r="N947" s="10"/>
    </row>
    <row r="948" spans="1:14" x14ac:dyDescent="0.2">
      <c r="A948" s="10"/>
      <c r="B948" s="10"/>
      <c r="C948" s="10"/>
      <c r="D948" s="10"/>
      <c r="E948" s="10"/>
      <c r="F948" s="10"/>
      <c r="M948" s="10"/>
      <c r="N948" s="10"/>
    </row>
    <row r="949" spans="1:14" x14ac:dyDescent="0.2">
      <c r="A949" s="10"/>
      <c r="B949" s="10"/>
      <c r="C949" s="10"/>
      <c r="D949" s="10"/>
      <c r="E949" s="10"/>
      <c r="F949" s="10"/>
      <c r="M949" s="10"/>
      <c r="N949" s="10"/>
    </row>
    <row r="950" spans="1:14" x14ac:dyDescent="0.2">
      <c r="A950" s="10"/>
      <c r="B950" s="10"/>
      <c r="C950" s="10"/>
      <c r="D950" s="10"/>
      <c r="E950" s="10"/>
      <c r="F950" s="10"/>
      <c r="M950" s="10"/>
      <c r="N950" s="10"/>
    </row>
    <row r="951" spans="1:14" x14ac:dyDescent="0.2">
      <c r="A951" s="10"/>
      <c r="B951" s="10"/>
      <c r="C951" s="10"/>
      <c r="D951" s="10"/>
      <c r="E951" s="10"/>
      <c r="F951" s="10"/>
      <c r="M951" s="10"/>
      <c r="N951" s="10"/>
    </row>
    <row r="952" spans="1:14" x14ac:dyDescent="0.2">
      <c r="A952" s="10"/>
      <c r="B952" s="10"/>
      <c r="C952" s="10"/>
      <c r="D952" s="10"/>
      <c r="E952" s="10"/>
      <c r="F952" s="10"/>
      <c r="M952" s="10"/>
      <c r="N952" s="10"/>
    </row>
    <row r="953" spans="1:14" x14ac:dyDescent="0.2">
      <c r="A953" s="10"/>
      <c r="B953" s="10"/>
      <c r="C953" s="10"/>
      <c r="D953" s="10"/>
      <c r="E953" s="10"/>
      <c r="F953" s="10"/>
      <c r="M953" s="10"/>
      <c r="N953" s="10"/>
    </row>
    <row r="954" spans="1:14" x14ac:dyDescent="0.2">
      <c r="A954" s="10"/>
      <c r="B954" s="10"/>
      <c r="C954" s="10"/>
      <c r="D954" s="10"/>
      <c r="E954" s="10"/>
      <c r="F954" s="10"/>
      <c r="M954" s="10"/>
      <c r="N954" s="10"/>
    </row>
    <row r="955" spans="1:14" x14ac:dyDescent="0.2">
      <c r="A955" s="10"/>
      <c r="B955" s="10"/>
      <c r="C955" s="10"/>
      <c r="D955" s="10"/>
      <c r="E955" s="10"/>
      <c r="F955" s="10"/>
      <c r="M955" s="10"/>
      <c r="N955" s="10"/>
    </row>
    <row r="956" spans="1:14" x14ac:dyDescent="0.2">
      <c r="A956" s="10"/>
      <c r="B956" s="10"/>
      <c r="C956" s="10"/>
      <c r="D956" s="10"/>
      <c r="E956" s="10"/>
      <c r="F956" s="10"/>
      <c r="M956" s="10"/>
      <c r="N956" s="10"/>
    </row>
    <row r="957" spans="1:14" x14ac:dyDescent="0.2">
      <c r="A957" s="10"/>
      <c r="B957" s="10"/>
      <c r="C957" s="10"/>
      <c r="D957" s="10"/>
      <c r="E957" s="10"/>
      <c r="F957" s="10"/>
      <c r="M957" s="10"/>
      <c r="N957" s="10"/>
    </row>
    <row r="958" spans="1:14" x14ac:dyDescent="0.2">
      <c r="A958" s="10"/>
      <c r="B958" s="10"/>
      <c r="C958" s="10"/>
      <c r="D958" s="10"/>
      <c r="E958" s="10"/>
      <c r="F958" s="10"/>
      <c r="M958" s="10"/>
      <c r="N958" s="10"/>
    </row>
    <row r="959" spans="1:14" x14ac:dyDescent="0.2">
      <c r="A959" s="10"/>
      <c r="B959" s="10"/>
      <c r="C959" s="10"/>
      <c r="D959" s="10"/>
      <c r="E959" s="10"/>
      <c r="F959" s="10"/>
      <c r="M959" s="10"/>
      <c r="N959" s="10"/>
    </row>
    <row r="960" spans="1:14" x14ac:dyDescent="0.2">
      <c r="A960" s="10"/>
      <c r="B960" s="10"/>
      <c r="C960" s="10"/>
      <c r="D960" s="10"/>
      <c r="E960" s="10"/>
      <c r="F960" s="10"/>
      <c r="M960" s="10"/>
      <c r="N960" s="10"/>
    </row>
    <row r="961" spans="1:14" x14ac:dyDescent="0.2">
      <c r="A961" s="10"/>
      <c r="B961" s="10"/>
      <c r="C961" s="10"/>
      <c r="D961" s="10"/>
      <c r="E961" s="10"/>
      <c r="F961" s="10"/>
      <c r="M961" s="10"/>
      <c r="N961" s="10"/>
    </row>
    <row r="962" spans="1:14" x14ac:dyDescent="0.2">
      <c r="A962" s="10"/>
      <c r="B962" s="10"/>
      <c r="C962" s="10"/>
      <c r="D962" s="10"/>
      <c r="E962" s="10"/>
      <c r="F962" s="10"/>
      <c r="M962" s="10"/>
      <c r="N962" s="10"/>
    </row>
    <row r="963" spans="1:14" x14ac:dyDescent="0.2">
      <c r="A963" s="10"/>
      <c r="B963" s="10"/>
      <c r="C963" s="10"/>
      <c r="D963" s="10"/>
      <c r="E963" s="10"/>
      <c r="F963" s="10"/>
      <c r="M963" s="10"/>
      <c r="N963" s="10"/>
    </row>
    <row r="964" spans="1:14" x14ac:dyDescent="0.2">
      <c r="A964" s="10"/>
      <c r="B964" s="10"/>
      <c r="C964" s="10"/>
      <c r="D964" s="10"/>
      <c r="E964" s="10"/>
      <c r="F964" s="10"/>
      <c r="M964" s="10"/>
      <c r="N964" s="10"/>
    </row>
    <row r="965" spans="1:14" x14ac:dyDescent="0.2">
      <c r="A965" s="10"/>
      <c r="B965" s="10"/>
      <c r="C965" s="10"/>
      <c r="D965" s="10"/>
      <c r="E965" s="10"/>
      <c r="F965" s="10"/>
      <c r="M965" s="10"/>
      <c r="N965" s="10"/>
    </row>
    <row r="966" spans="1:14" x14ac:dyDescent="0.2">
      <c r="A966" s="10"/>
      <c r="B966" s="10"/>
      <c r="C966" s="10"/>
      <c r="D966" s="10"/>
      <c r="E966" s="10"/>
      <c r="F966" s="10"/>
      <c r="M966" s="10"/>
      <c r="N966" s="10"/>
    </row>
    <row r="967" spans="1:14" x14ac:dyDescent="0.2">
      <c r="A967" s="10"/>
      <c r="B967" s="10"/>
      <c r="C967" s="10"/>
      <c r="D967" s="10"/>
      <c r="E967" s="10"/>
      <c r="F967" s="10"/>
      <c r="M967" s="10"/>
      <c r="N967" s="10"/>
    </row>
    <row r="968" spans="1:14" x14ac:dyDescent="0.2">
      <c r="A968" s="10"/>
      <c r="B968" s="10"/>
      <c r="C968" s="10"/>
      <c r="D968" s="10"/>
      <c r="E968" s="10"/>
      <c r="F968" s="10"/>
      <c r="M968" s="10"/>
      <c r="N968" s="10"/>
    </row>
    <row r="969" spans="1:14" x14ac:dyDescent="0.2">
      <c r="A969" s="10"/>
      <c r="B969" s="10"/>
      <c r="C969" s="10"/>
      <c r="D969" s="10"/>
      <c r="E969" s="10"/>
      <c r="F969" s="10"/>
      <c r="M969" s="10"/>
      <c r="N969" s="10"/>
    </row>
    <row r="970" spans="1:14" x14ac:dyDescent="0.2">
      <c r="A970" s="10"/>
      <c r="B970" s="10"/>
      <c r="C970" s="10"/>
      <c r="D970" s="10"/>
      <c r="E970" s="10"/>
      <c r="F970" s="10"/>
      <c r="M970" s="10"/>
      <c r="N970" s="10"/>
    </row>
    <row r="971" spans="1:14" x14ac:dyDescent="0.2">
      <c r="A971" s="10"/>
      <c r="B971" s="10"/>
      <c r="C971" s="10"/>
      <c r="D971" s="10"/>
      <c r="E971" s="10"/>
      <c r="F971" s="10"/>
      <c r="M971" s="10"/>
      <c r="N971" s="10"/>
    </row>
    <row r="972" spans="1:14" x14ac:dyDescent="0.2">
      <c r="A972" s="10"/>
      <c r="B972" s="10"/>
      <c r="C972" s="10"/>
      <c r="D972" s="10"/>
      <c r="E972" s="10"/>
      <c r="F972" s="10"/>
      <c r="M972" s="10"/>
      <c r="N972" s="10"/>
    </row>
    <row r="973" spans="1:14" x14ac:dyDescent="0.2">
      <c r="A973" s="10"/>
      <c r="B973" s="10"/>
      <c r="C973" s="10"/>
      <c r="D973" s="10"/>
      <c r="E973" s="10"/>
      <c r="F973" s="10"/>
      <c r="M973" s="10"/>
      <c r="N973" s="10"/>
    </row>
    <row r="974" spans="1:14" x14ac:dyDescent="0.2">
      <c r="A974" s="10"/>
      <c r="B974" s="10"/>
      <c r="C974" s="10"/>
      <c r="D974" s="10"/>
      <c r="E974" s="10"/>
      <c r="F974" s="10"/>
      <c r="M974" s="10"/>
      <c r="N974" s="10"/>
    </row>
    <row r="975" spans="1:14" x14ac:dyDescent="0.2">
      <c r="A975" s="10"/>
      <c r="B975" s="10"/>
      <c r="C975" s="10"/>
      <c r="D975" s="10"/>
      <c r="E975" s="10"/>
      <c r="F975" s="10"/>
      <c r="M975" s="10"/>
      <c r="N975" s="10"/>
    </row>
    <row r="976" spans="1:14" x14ac:dyDescent="0.2">
      <c r="A976" s="10"/>
      <c r="B976" s="10"/>
      <c r="C976" s="10"/>
      <c r="D976" s="10"/>
      <c r="E976" s="10"/>
      <c r="F976" s="10"/>
      <c r="M976" s="10"/>
      <c r="N976" s="10"/>
    </row>
    <row r="977" spans="1:14" x14ac:dyDescent="0.2">
      <c r="A977" s="10"/>
      <c r="B977" s="10"/>
      <c r="C977" s="10"/>
      <c r="D977" s="10"/>
      <c r="E977" s="10"/>
      <c r="F977" s="10"/>
      <c r="M977" s="10"/>
      <c r="N977" s="10"/>
    </row>
    <row r="978" spans="1:14" x14ac:dyDescent="0.2">
      <c r="A978" s="10"/>
      <c r="B978" s="10"/>
      <c r="C978" s="10"/>
      <c r="D978" s="10"/>
      <c r="E978" s="10"/>
      <c r="F978" s="10"/>
      <c r="M978" s="10"/>
      <c r="N978" s="10"/>
    </row>
    <row r="979" spans="1:14" x14ac:dyDescent="0.2">
      <c r="A979" s="10"/>
      <c r="B979" s="10"/>
      <c r="C979" s="10"/>
      <c r="D979" s="10"/>
      <c r="E979" s="10"/>
      <c r="F979" s="10"/>
      <c r="M979" s="10"/>
      <c r="N979" s="10"/>
    </row>
    <row r="980" spans="1:14" x14ac:dyDescent="0.2">
      <c r="A980" s="10"/>
      <c r="B980" s="10"/>
      <c r="C980" s="10"/>
      <c r="D980" s="10"/>
      <c r="E980" s="10"/>
      <c r="F980" s="10"/>
      <c r="M980" s="10"/>
      <c r="N980" s="10"/>
    </row>
    <row r="981" spans="1:14" x14ac:dyDescent="0.2">
      <c r="A981" s="10"/>
      <c r="B981" s="10"/>
      <c r="C981" s="10"/>
      <c r="D981" s="10"/>
      <c r="E981" s="10"/>
      <c r="F981" s="10"/>
      <c r="M981" s="10"/>
      <c r="N981" s="10"/>
    </row>
    <row r="982" spans="1:14" x14ac:dyDescent="0.2">
      <c r="A982" s="10"/>
      <c r="B982" s="10"/>
      <c r="C982" s="10"/>
      <c r="D982" s="10"/>
      <c r="E982" s="10"/>
      <c r="F982" s="10"/>
      <c r="M982" s="10"/>
      <c r="N982" s="10"/>
    </row>
    <row r="983" spans="1:14" x14ac:dyDescent="0.2">
      <c r="A983" s="10"/>
      <c r="B983" s="10"/>
      <c r="C983" s="10"/>
      <c r="D983" s="10"/>
      <c r="E983" s="10"/>
      <c r="F983" s="10"/>
      <c r="M983" s="10"/>
      <c r="N983" s="10"/>
    </row>
    <row r="984" spans="1:14" x14ac:dyDescent="0.2">
      <c r="A984" s="10"/>
      <c r="B984" s="10"/>
      <c r="C984" s="10"/>
      <c r="D984" s="10"/>
      <c r="E984" s="10"/>
      <c r="F984" s="10"/>
      <c r="M984" s="10"/>
      <c r="N984" s="10"/>
    </row>
    <row r="985" spans="1:14" x14ac:dyDescent="0.2">
      <c r="A985" s="10"/>
      <c r="B985" s="10"/>
      <c r="C985" s="10"/>
      <c r="D985" s="10"/>
      <c r="E985" s="10"/>
      <c r="F985" s="10"/>
      <c r="M985" s="10"/>
      <c r="N985" s="10"/>
    </row>
    <row r="986" spans="1:14" x14ac:dyDescent="0.2">
      <c r="A986" s="10"/>
      <c r="B986" s="10"/>
      <c r="C986" s="10"/>
      <c r="D986" s="10"/>
      <c r="E986" s="10"/>
      <c r="F986" s="10"/>
      <c r="M986" s="10"/>
      <c r="N986" s="10"/>
    </row>
    <row r="987" spans="1:14" x14ac:dyDescent="0.2">
      <c r="A987" s="10"/>
      <c r="B987" s="10"/>
      <c r="C987" s="10"/>
      <c r="D987" s="10"/>
      <c r="E987" s="10"/>
      <c r="F987" s="10"/>
      <c r="M987" s="10"/>
      <c r="N987" s="10"/>
    </row>
    <row r="988" spans="1:14" x14ac:dyDescent="0.2">
      <c r="A988" s="10"/>
      <c r="B988" s="10"/>
      <c r="C988" s="10"/>
      <c r="D988" s="10"/>
      <c r="E988" s="10"/>
      <c r="F988" s="10"/>
      <c r="M988" s="10"/>
      <c r="N988" s="10"/>
    </row>
    <row r="989" spans="1:14" x14ac:dyDescent="0.2">
      <c r="A989" s="10"/>
      <c r="B989" s="10"/>
      <c r="C989" s="10"/>
      <c r="D989" s="10"/>
      <c r="E989" s="10"/>
      <c r="F989" s="10"/>
      <c r="M989" s="10"/>
      <c r="N989" s="10"/>
    </row>
    <row r="990" spans="1:14" x14ac:dyDescent="0.2">
      <c r="A990" s="10"/>
      <c r="B990" s="10"/>
      <c r="C990" s="10"/>
      <c r="D990" s="10"/>
      <c r="E990" s="10"/>
      <c r="F990" s="10"/>
      <c r="M990" s="10"/>
      <c r="N990" s="10"/>
    </row>
    <row r="991" spans="1:14" x14ac:dyDescent="0.2">
      <c r="A991" s="10"/>
      <c r="B991" s="10"/>
      <c r="C991" s="10"/>
      <c r="D991" s="10"/>
      <c r="E991" s="10"/>
      <c r="F991" s="10"/>
      <c r="M991" s="10"/>
      <c r="N991" s="10"/>
    </row>
    <row r="992" spans="1:14" x14ac:dyDescent="0.2">
      <c r="A992" s="10"/>
      <c r="B992" s="10"/>
      <c r="C992" s="10"/>
      <c r="D992" s="10"/>
      <c r="E992" s="10"/>
      <c r="F992" s="10"/>
      <c r="M992" s="10"/>
      <c r="N992" s="10"/>
    </row>
    <row r="993" spans="1:14" x14ac:dyDescent="0.2">
      <c r="A993" s="10"/>
      <c r="B993" s="10"/>
      <c r="C993" s="10"/>
      <c r="D993" s="10"/>
      <c r="E993" s="10"/>
      <c r="F993" s="10"/>
      <c r="M993" s="10"/>
      <c r="N993" s="10"/>
    </row>
    <row r="994" spans="1:14" x14ac:dyDescent="0.2">
      <c r="A994" s="10"/>
      <c r="B994" s="10"/>
      <c r="C994" s="10"/>
      <c r="D994" s="10"/>
      <c r="E994" s="10"/>
      <c r="F994" s="10"/>
      <c r="M994" s="10"/>
      <c r="N994" s="10"/>
    </row>
    <row r="995" spans="1:14" x14ac:dyDescent="0.2">
      <c r="A995" s="10"/>
      <c r="B995" s="10"/>
      <c r="C995" s="10"/>
      <c r="D995" s="10"/>
      <c r="E995" s="10"/>
      <c r="F995" s="10"/>
      <c r="M995" s="10"/>
      <c r="N995" s="10"/>
    </row>
    <row r="996" spans="1:14" x14ac:dyDescent="0.2">
      <c r="A996" s="10"/>
      <c r="B996" s="10"/>
      <c r="C996" s="10"/>
      <c r="D996" s="10"/>
      <c r="E996" s="10"/>
      <c r="F996" s="10"/>
      <c r="M996" s="10"/>
      <c r="N996" s="10"/>
    </row>
    <row r="997" spans="1:14" x14ac:dyDescent="0.2">
      <c r="A997" s="10"/>
      <c r="B997" s="10"/>
      <c r="C997" s="10"/>
      <c r="D997" s="10"/>
      <c r="E997" s="10"/>
      <c r="F997" s="10"/>
      <c r="M997" s="10"/>
      <c r="N997" s="10"/>
    </row>
    <row r="998" spans="1:14" x14ac:dyDescent="0.2">
      <c r="A998" s="10"/>
      <c r="B998" s="10"/>
      <c r="C998" s="10"/>
      <c r="D998" s="10"/>
      <c r="E998" s="10"/>
      <c r="F998" s="10"/>
      <c r="M998" s="10"/>
      <c r="N998" s="10"/>
    </row>
    <row r="999" spans="1:14" x14ac:dyDescent="0.2">
      <c r="A999" s="10"/>
      <c r="B999" s="10"/>
      <c r="C999" s="10"/>
      <c r="D999" s="10"/>
      <c r="E999" s="10"/>
      <c r="F999" s="10"/>
      <c r="M999" s="10"/>
      <c r="N999" s="10"/>
    </row>
  </sheetData>
  <autoFilter ref="A1:N338"/>
  <conditionalFormatting sqref="M2:M338">
    <cfRule type="containsText" dxfId="17" priority="1" operator="containsText" text="☐">
      <formula>NOT(ISERROR(SEARCH("☐",M2)))</formula>
    </cfRule>
    <cfRule type="containsText" dxfId="16" priority="2" operator="containsText" text="☒">
      <formula>NOT(ISERROR(SEARCH("☒",M2)))</formula>
    </cfRule>
    <cfRule type="containsText" dxfId="15" priority="3" operator="containsText" text="☑">
      <formula>NOT(ISERROR(SEARCH("☑",M2)))</formula>
    </cfRule>
  </conditionalFormatting>
  <dataValidations count="4">
    <dataValidation type="list" allowBlank="1" showInputMessage="1" showErrorMessage="1" sqref="L2:L338">
      <formula1>"Летний,Летне-зимний"</formula1>
    </dataValidation>
    <dataValidation type="list" allowBlank="1" showInputMessage="1" showErrorMessage="1" sqref="M2:M338">
      <formula1>"☑,☒,☐"</formula1>
    </dataValidation>
    <dataValidation type="list" allowBlank="1" showInputMessage="1" showErrorMessage="1" sqref="I2:I338">
      <formula1>"ГСС,ГРФ,ГСТ,ВГСС,ВГРФ,Инвалид ВОВ,УОВ,ВБД,Реабил,ЖБЛ,ЧАЭС,Маяк,Семип,Узник,Семья с 2+ инв. I/II,Многодет. (5+ до 16),Одинокий ИД,Одинокая мать,Семья с РИ до 16 лет,Вдова погибшего воина,Родитель погибшего воина,Уход за РИ,"</formula1>
    </dataValidation>
    <dataValidation type="list" allowBlank="1" showInputMessage="1" showErrorMessage="1" sqref="F2:F338">
      <formula1>"Адмиралтейский,Василеостровский,Выборгский,Калининский,Кировский,Колпинский,Красногвардейский,Красносельский,Кронштадтский,Курортный,Московский,Невский,Петроградский,Петродворцовый,Приморский,Пушкинский,Фрунзенский,Центральный"</formula1>
    </dataValidation>
  </dataValidations>
  <pageMargins left="0.7" right="0.7" top="0.75" bottom="0.75" header="0.3" footer="0.3"/>
  <pageSetup paperSize="9" orientation="portrait" horizontalDpi="4294967295" verticalDpi="429496729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N999"/>
  <sheetViews>
    <sheetView workbookViewId="0">
      <pane ySplit="1" topLeftCell="A193" activePane="bottomLeft" state="frozen"/>
      <selection pane="bottomLeft" activeCell="P203" sqref="P203"/>
    </sheetView>
  </sheetViews>
  <sheetFormatPr defaultRowHeight="15" x14ac:dyDescent="0.25"/>
  <cols>
    <col min="1" max="1" width="3.85546875" style="5" customWidth="1"/>
    <col min="2" max="2" width="7.7109375" style="5" customWidth="1"/>
    <col min="3" max="3" width="10.42578125" style="5" customWidth="1"/>
    <col min="4" max="4" width="11.140625" style="5" customWidth="1"/>
    <col min="5" max="5" width="10.42578125" style="5" hidden="1" customWidth="1"/>
    <col min="6" max="6" width="16.7109375" style="5" customWidth="1"/>
    <col min="7" max="7" width="21.5703125" style="3" customWidth="1"/>
    <col min="8" max="8" width="25.140625" style="5" customWidth="1"/>
    <col min="9" max="9" width="16.140625" style="5" bestFit="1" customWidth="1"/>
    <col min="10" max="10" width="8.7109375" style="5" customWidth="1"/>
    <col min="11" max="11" width="10.7109375" style="5" customWidth="1"/>
    <col min="12" max="12" width="12.7109375" style="5" customWidth="1"/>
    <col min="13" max="13" width="10.28515625" style="5" customWidth="1"/>
    <col min="14" max="14" width="24.42578125" style="5" customWidth="1"/>
  </cols>
  <sheetData>
    <row r="1" spans="1:14" ht="51" x14ac:dyDescent="0.25">
      <c r="A1" s="1" t="s">
        <v>14</v>
      </c>
      <c r="B1" s="1" t="s">
        <v>169</v>
      </c>
      <c r="C1" s="1" t="s">
        <v>16</v>
      </c>
      <c r="D1" s="1" t="s">
        <v>3</v>
      </c>
      <c r="E1" s="1" t="s">
        <v>4</v>
      </c>
      <c r="F1" s="9" t="s">
        <v>5</v>
      </c>
      <c r="G1" s="1" t="s">
        <v>6</v>
      </c>
      <c r="H1" s="1" t="s">
        <v>7</v>
      </c>
      <c r="I1" s="1" t="s">
        <v>8</v>
      </c>
      <c r="J1" s="1" t="s">
        <v>17</v>
      </c>
      <c r="K1" s="1" t="s">
        <v>10</v>
      </c>
      <c r="L1" s="1" t="s">
        <v>11</v>
      </c>
      <c r="M1" s="9" t="s">
        <v>12</v>
      </c>
      <c r="N1" s="1" t="s">
        <v>13</v>
      </c>
    </row>
    <row r="2" spans="1:14" ht="25.5" x14ac:dyDescent="0.25">
      <c r="A2" s="17">
        <v>1</v>
      </c>
      <c r="B2" s="16" t="s">
        <v>796</v>
      </c>
      <c r="C2" s="17" t="s">
        <v>797</v>
      </c>
      <c r="D2" s="17">
        <v>42.6</v>
      </c>
      <c r="E2" s="17"/>
      <c r="F2" s="16" t="s">
        <v>338</v>
      </c>
      <c r="G2" s="17" t="s">
        <v>798</v>
      </c>
      <c r="H2" s="17" t="s">
        <v>799</v>
      </c>
      <c r="I2" s="17" t="s">
        <v>28</v>
      </c>
      <c r="J2" s="17" t="s">
        <v>800</v>
      </c>
      <c r="K2" s="18">
        <v>46148</v>
      </c>
      <c r="L2" s="17" t="s">
        <v>24</v>
      </c>
      <c r="M2" s="7" t="s">
        <v>25</v>
      </c>
      <c r="N2" s="17"/>
    </row>
    <row r="3" spans="1:14" ht="63.75" x14ac:dyDescent="0.25">
      <c r="A3" s="17">
        <v>2</v>
      </c>
      <c r="B3" s="16" t="s">
        <v>796</v>
      </c>
      <c r="C3" s="17" t="s">
        <v>801</v>
      </c>
      <c r="D3" s="17">
        <v>42.7</v>
      </c>
      <c r="E3" s="17"/>
      <c r="F3" s="16" t="s">
        <v>54</v>
      </c>
      <c r="G3" s="17" t="s">
        <v>802</v>
      </c>
      <c r="H3" s="17" t="s">
        <v>4936</v>
      </c>
      <c r="I3" s="17" t="s">
        <v>34</v>
      </c>
      <c r="J3" s="17" t="s">
        <v>803</v>
      </c>
      <c r="K3" s="18">
        <v>46155</v>
      </c>
      <c r="L3" s="17" t="s">
        <v>24</v>
      </c>
      <c r="M3" s="7" t="s">
        <v>25</v>
      </c>
      <c r="N3" s="17"/>
    </row>
    <row r="4" spans="1:14" ht="63.75" x14ac:dyDescent="0.25">
      <c r="A4" s="17">
        <v>3</v>
      </c>
      <c r="B4" s="16" t="s">
        <v>796</v>
      </c>
      <c r="C4" s="17" t="s">
        <v>804</v>
      </c>
      <c r="D4" s="17">
        <v>42.7</v>
      </c>
      <c r="E4" s="17"/>
      <c r="F4" s="16" t="s">
        <v>106</v>
      </c>
      <c r="G4" s="17" t="s">
        <v>805</v>
      </c>
      <c r="H4" s="17" t="s">
        <v>806</v>
      </c>
      <c r="I4" s="17" t="s">
        <v>34</v>
      </c>
      <c r="J4" s="17" t="s">
        <v>807</v>
      </c>
      <c r="K4" s="18">
        <v>46157</v>
      </c>
      <c r="L4" s="17" t="s">
        <v>24</v>
      </c>
      <c r="M4" s="7" t="s">
        <v>25</v>
      </c>
      <c r="N4" s="17"/>
    </row>
    <row r="5" spans="1:14" ht="63.75" x14ac:dyDescent="0.25">
      <c r="A5" s="17">
        <v>4</v>
      </c>
      <c r="B5" s="16" t="s">
        <v>796</v>
      </c>
      <c r="C5" s="17" t="s">
        <v>808</v>
      </c>
      <c r="D5" s="17">
        <v>42.9</v>
      </c>
      <c r="E5" s="17"/>
      <c r="F5" s="16" t="s">
        <v>31</v>
      </c>
      <c r="G5" s="17" t="s">
        <v>809</v>
      </c>
      <c r="H5" s="17" t="s">
        <v>810</v>
      </c>
      <c r="I5" s="17" t="s">
        <v>34</v>
      </c>
      <c r="J5" s="17" t="s">
        <v>811</v>
      </c>
      <c r="K5" s="18">
        <v>46157</v>
      </c>
      <c r="L5" s="17" t="s">
        <v>24</v>
      </c>
      <c r="M5" s="7" t="s">
        <v>25</v>
      </c>
      <c r="N5" s="17"/>
    </row>
    <row r="6" spans="1:14" ht="63.75" x14ac:dyDescent="0.25">
      <c r="A6" s="17">
        <v>5</v>
      </c>
      <c r="B6" s="16" t="s">
        <v>812</v>
      </c>
      <c r="C6" s="17" t="s">
        <v>797</v>
      </c>
      <c r="D6" s="17">
        <v>42.2</v>
      </c>
      <c r="E6" s="17"/>
      <c r="F6" s="16" t="s">
        <v>19</v>
      </c>
      <c r="G6" s="17" t="s">
        <v>4858</v>
      </c>
      <c r="H6" s="17" t="s">
        <v>813</v>
      </c>
      <c r="I6" s="17" t="s">
        <v>34</v>
      </c>
      <c r="J6" s="17" t="s">
        <v>814</v>
      </c>
      <c r="K6" s="18">
        <v>46156</v>
      </c>
      <c r="L6" s="17" t="s">
        <v>24</v>
      </c>
      <c r="M6" s="7" t="s">
        <v>25</v>
      </c>
      <c r="N6" s="17"/>
    </row>
    <row r="7" spans="1:14" ht="51" x14ac:dyDescent="0.25">
      <c r="A7" s="17">
        <v>6</v>
      </c>
      <c r="B7" s="16" t="s">
        <v>812</v>
      </c>
      <c r="C7" s="17" t="s">
        <v>804</v>
      </c>
      <c r="D7" s="17">
        <v>42.2</v>
      </c>
      <c r="E7" s="17"/>
      <c r="F7" s="16" t="s">
        <v>151</v>
      </c>
      <c r="G7" s="17" t="s">
        <v>4958</v>
      </c>
      <c r="H7" s="17" t="s">
        <v>815</v>
      </c>
      <c r="I7" s="17" t="s">
        <v>34</v>
      </c>
      <c r="J7" s="17" t="s">
        <v>816</v>
      </c>
      <c r="K7" s="18">
        <v>46155</v>
      </c>
      <c r="L7" s="17" t="s">
        <v>24</v>
      </c>
      <c r="M7" s="7" t="s">
        <v>25</v>
      </c>
      <c r="N7" s="17"/>
    </row>
    <row r="8" spans="1:14" ht="25.5" x14ac:dyDescent="0.25">
      <c r="A8" s="17">
        <v>7</v>
      </c>
      <c r="B8" s="16" t="s">
        <v>817</v>
      </c>
      <c r="C8" s="17" t="s">
        <v>801</v>
      </c>
      <c r="D8" s="17">
        <v>42.6</v>
      </c>
      <c r="E8" s="17"/>
      <c r="F8" s="16" t="s">
        <v>31</v>
      </c>
      <c r="G8" s="17" t="s">
        <v>818</v>
      </c>
      <c r="H8" s="17" t="s">
        <v>819</v>
      </c>
      <c r="I8" s="17" t="s">
        <v>28</v>
      </c>
      <c r="J8" s="17" t="s">
        <v>820</v>
      </c>
      <c r="K8" s="18">
        <v>46157</v>
      </c>
      <c r="L8" s="17" t="s">
        <v>24</v>
      </c>
      <c r="M8" s="7" t="s">
        <v>25</v>
      </c>
      <c r="N8" s="17"/>
    </row>
    <row r="9" spans="1:14" ht="63.75" x14ac:dyDescent="0.25">
      <c r="A9" s="17">
        <v>8</v>
      </c>
      <c r="B9" s="16" t="s">
        <v>817</v>
      </c>
      <c r="C9" s="17" t="s">
        <v>804</v>
      </c>
      <c r="D9" s="17">
        <v>42.7</v>
      </c>
      <c r="E9" s="17"/>
      <c r="F9" s="16" t="s">
        <v>73</v>
      </c>
      <c r="G9" s="17" t="s">
        <v>821</v>
      </c>
      <c r="H9" s="17" t="s">
        <v>822</v>
      </c>
      <c r="I9" s="17" t="s">
        <v>34</v>
      </c>
      <c r="J9" s="17" t="s">
        <v>823</v>
      </c>
      <c r="K9" s="18">
        <v>46155</v>
      </c>
      <c r="L9" s="17" t="s">
        <v>24</v>
      </c>
      <c r="M9" s="7" t="s">
        <v>25</v>
      </c>
      <c r="N9" s="17"/>
    </row>
    <row r="10" spans="1:14" ht="63.75" x14ac:dyDescent="0.25">
      <c r="A10" s="17">
        <v>9</v>
      </c>
      <c r="B10" s="16" t="s">
        <v>817</v>
      </c>
      <c r="C10" s="17" t="s">
        <v>808</v>
      </c>
      <c r="D10" s="17">
        <v>42.7</v>
      </c>
      <c r="E10" s="17"/>
      <c r="F10" s="16" t="s">
        <v>151</v>
      </c>
      <c r="G10" s="17" t="s">
        <v>824</v>
      </c>
      <c r="H10" s="17" t="s">
        <v>825</v>
      </c>
      <c r="I10" s="17" t="s">
        <v>34</v>
      </c>
      <c r="J10" s="17" t="s">
        <v>826</v>
      </c>
      <c r="K10" s="18">
        <v>46157</v>
      </c>
      <c r="L10" s="17" t="s">
        <v>24</v>
      </c>
      <c r="M10" s="7" t="s">
        <v>25</v>
      </c>
      <c r="N10" s="17"/>
    </row>
    <row r="11" spans="1:14" ht="25.5" x14ac:dyDescent="0.25">
      <c r="A11" s="17">
        <v>10</v>
      </c>
      <c r="B11" s="16" t="s">
        <v>817</v>
      </c>
      <c r="C11" s="17" t="s">
        <v>797</v>
      </c>
      <c r="D11" s="17">
        <v>42.8</v>
      </c>
      <c r="E11" s="17"/>
      <c r="F11" s="16" t="s">
        <v>151</v>
      </c>
      <c r="G11" s="17" t="s">
        <v>827</v>
      </c>
      <c r="H11" s="17" t="s">
        <v>828</v>
      </c>
      <c r="I11" s="17" t="s">
        <v>22</v>
      </c>
      <c r="J11" s="17" t="s">
        <v>829</v>
      </c>
      <c r="K11" s="18">
        <v>46157</v>
      </c>
      <c r="L11" s="17" t="s">
        <v>24</v>
      </c>
      <c r="M11" s="7" t="s">
        <v>25</v>
      </c>
      <c r="N11" s="17"/>
    </row>
    <row r="12" spans="1:14" ht="25.5" x14ac:dyDescent="0.25">
      <c r="A12" s="17">
        <v>11</v>
      </c>
      <c r="B12" s="16" t="s">
        <v>830</v>
      </c>
      <c r="C12" s="17" t="s">
        <v>801</v>
      </c>
      <c r="D12" s="17">
        <v>42.6</v>
      </c>
      <c r="E12" s="17"/>
      <c r="F12" s="16" t="s">
        <v>19</v>
      </c>
      <c r="G12" s="17" t="s">
        <v>831</v>
      </c>
      <c r="H12" s="17" t="s">
        <v>832</v>
      </c>
      <c r="I12" s="17" t="s">
        <v>28</v>
      </c>
      <c r="J12" s="17" t="s">
        <v>833</v>
      </c>
      <c r="K12" s="18">
        <v>46156</v>
      </c>
      <c r="L12" s="17" t="s">
        <v>24</v>
      </c>
      <c r="M12" s="7" t="s">
        <v>25</v>
      </c>
      <c r="N12" s="17"/>
    </row>
    <row r="13" spans="1:14" ht="63.75" x14ac:dyDescent="0.25">
      <c r="A13" s="17">
        <v>12</v>
      </c>
      <c r="B13" s="16" t="s">
        <v>830</v>
      </c>
      <c r="C13" s="17" t="s">
        <v>804</v>
      </c>
      <c r="D13" s="17">
        <v>42.7</v>
      </c>
      <c r="E13" s="17"/>
      <c r="F13" s="16" t="s">
        <v>121</v>
      </c>
      <c r="G13" s="17" t="s">
        <v>834</v>
      </c>
      <c r="H13" s="17" t="s">
        <v>835</v>
      </c>
      <c r="I13" s="17" t="s">
        <v>34</v>
      </c>
      <c r="J13" s="17" t="s">
        <v>836</v>
      </c>
      <c r="K13" s="18">
        <v>46156</v>
      </c>
      <c r="L13" s="17" t="s">
        <v>24</v>
      </c>
      <c r="M13" s="7" t="s">
        <v>25</v>
      </c>
      <c r="N13" s="17"/>
    </row>
    <row r="14" spans="1:14" ht="63.75" x14ac:dyDescent="0.25">
      <c r="A14" s="17">
        <v>13</v>
      </c>
      <c r="B14" s="16" t="s">
        <v>830</v>
      </c>
      <c r="C14" s="17" t="s">
        <v>808</v>
      </c>
      <c r="D14" s="17">
        <v>42.7</v>
      </c>
      <c r="E14" s="17"/>
      <c r="F14" s="16" t="s">
        <v>86</v>
      </c>
      <c r="G14" s="17" t="s">
        <v>837</v>
      </c>
      <c r="H14" s="17" t="s">
        <v>838</v>
      </c>
      <c r="I14" s="17" t="s">
        <v>34</v>
      </c>
      <c r="J14" s="17" t="s">
        <v>839</v>
      </c>
      <c r="K14" s="18">
        <v>46156</v>
      </c>
      <c r="L14" s="17" t="s">
        <v>24</v>
      </c>
      <c r="M14" s="7" t="s">
        <v>25</v>
      </c>
      <c r="N14" s="17"/>
    </row>
    <row r="15" spans="1:14" ht="25.5" x14ac:dyDescent="0.25">
      <c r="A15" s="17">
        <v>14</v>
      </c>
      <c r="B15" s="16" t="s">
        <v>830</v>
      </c>
      <c r="C15" s="17" t="s">
        <v>797</v>
      </c>
      <c r="D15" s="17">
        <v>42.8</v>
      </c>
      <c r="E15" s="17"/>
      <c r="F15" s="16" t="s">
        <v>31</v>
      </c>
      <c r="G15" s="17" t="s">
        <v>840</v>
      </c>
      <c r="H15" s="17" t="s">
        <v>841</v>
      </c>
      <c r="I15" s="17" t="s">
        <v>28</v>
      </c>
      <c r="J15" s="17" t="s">
        <v>842</v>
      </c>
      <c r="K15" s="18">
        <v>46155</v>
      </c>
      <c r="L15" s="17" t="s">
        <v>24</v>
      </c>
      <c r="M15" s="7" t="s">
        <v>25</v>
      </c>
      <c r="N15" s="17"/>
    </row>
    <row r="16" spans="1:14" ht="25.5" x14ac:dyDescent="0.25">
      <c r="A16" s="17">
        <v>15</v>
      </c>
      <c r="B16" s="16" t="s">
        <v>843</v>
      </c>
      <c r="C16" s="17">
        <v>1</v>
      </c>
      <c r="D16" s="17">
        <v>42.5</v>
      </c>
      <c r="E16" s="17"/>
      <c r="F16" s="16" t="s">
        <v>19</v>
      </c>
      <c r="G16" s="17" t="s">
        <v>844</v>
      </c>
      <c r="H16" s="17" t="s">
        <v>845</v>
      </c>
      <c r="I16" s="17" t="s">
        <v>22</v>
      </c>
      <c r="J16" s="17" t="s">
        <v>846</v>
      </c>
      <c r="K16" s="18">
        <v>46144</v>
      </c>
      <c r="L16" s="17" t="s">
        <v>24</v>
      </c>
      <c r="M16" s="7" t="s">
        <v>25</v>
      </c>
      <c r="N16" s="17"/>
    </row>
    <row r="17" spans="1:14" ht="63.75" x14ac:dyDescent="0.25">
      <c r="A17" s="17">
        <v>16</v>
      </c>
      <c r="B17" s="16" t="s">
        <v>843</v>
      </c>
      <c r="C17" s="17">
        <v>3</v>
      </c>
      <c r="D17" s="17">
        <v>42.6</v>
      </c>
      <c r="E17" s="17"/>
      <c r="F17" s="16" t="s">
        <v>19</v>
      </c>
      <c r="G17" s="17" t="s">
        <v>847</v>
      </c>
      <c r="H17" s="17" t="s">
        <v>848</v>
      </c>
      <c r="I17" s="17" t="s">
        <v>34</v>
      </c>
      <c r="J17" s="17" t="s">
        <v>849</v>
      </c>
      <c r="K17" s="18">
        <v>46136</v>
      </c>
      <c r="L17" s="17" t="s">
        <v>24</v>
      </c>
      <c r="M17" s="7" t="s">
        <v>25</v>
      </c>
      <c r="N17" s="17"/>
    </row>
    <row r="18" spans="1:14" ht="63.75" x14ac:dyDescent="0.25">
      <c r="A18" s="17">
        <v>17</v>
      </c>
      <c r="B18" s="16" t="s">
        <v>843</v>
      </c>
      <c r="C18" s="17">
        <v>4</v>
      </c>
      <c r="D18" s="17">
        <v>42.8</v>
      </c>
      <c r="E18" s="17"/>
      <c r="F18" s="16" t="s">
        <v>19</v>
      </c>
      <c r="G18" s="17" t="s">
        <v>850</v>
      </c>
      <c r="H18" s="17" t="s">
        <v>851</v>
      </c>
      <c r="I18" s="17" t="s">
        <v>34</v>
      </c>
      <c r="J18" s="17" t="s">
        <v>852</v>
      </c>
      <c r="K18" s="18">
        <v>46136</v>
      </c>
      <c r="L18" s="17" t="s">
        <v>24</v>
      </c>
      <c r="M18" s="7" t="s">
        <v>25</v>
      </c>
      <c r="N18" s="17"/>
    </row>
    <row r="19" spans="1:14" ht="51" x14ac:dyDescent="0.25">
      <c r="A19" s="17">
        <v>18</v>
      </c>
      <c r="B19" s="16" t="s">
        <v>843</v>
      </c>
      <c r="C19" s="17">
        <v>2</v>
      </c>
      <c r="D19" s="17">
        <v>43</v>
      </c>
      <c r="E19" s="17"/>
      <c r="F19" s="16" t="s">
        <v>19</v>
      </c>
      <c r="G19" s="17" t="s">
        <v>853</v>
      </c>
      <c r="H19" s="17" t="s">
        <v>854</v>
      </c>
      <c r="I19" s="17" t="s">
        <v>34</v>
      </c>
      <c r="J19" s="17" t="s">
        <v>855</v>
      </c>
      <c r="K19" s="18">
        <v>46136</v>
      </c>
      <c r="L19" s="17" t="s">
        <v>24</v>
      </c>
      <c r="M19" s="7" t="s">
        <v>25</v>
      </c>
      <c r="N19" s="17"/>
    </row>
    <row r="20" spans="1:14" ht="25.5" x14ac:dyDescent="0.25">
      <c r="A20" s="17">
        <v>19</v>
      </c>
      <c r="B20" s="16" t="s">
        <v>856</v>
      </c>
      <c r="C20" s="17">
        <v>1</v>
      </c>
      <c r="D20" s="17">
        <v>42.3</v>
      </c>
      <c r="E20" s="17"/>
      <c r="F20" s="16" t="s">
        <v>101</v>
      </c>
      <c r="G20" s="17" t="s">
        <v>857</v>
      </c>
      <c r="H20" s="17" t="s">
        <v>858</v>
      </c>
      <c r="I20" s="17" t="s">
        <v>28</v>
      </c>
      <c r="J20" s="17" t="s">
        <v>859</v>
      </c>
      <c r="K20" s="18">
        <v>46134</v>
      </c>
      <c r="L20" s="17" t="s">
        <v>24</v>
      </c>
      <c r="M20" s="7" t="s">
        <v>25</v>
      </c>
      <c r="N20" s="17"/>
    </row>
    <row r="21" spans="1:14" ht="25.5" x14ac:dyDescent="0.25">
      <c r="A21" s="17">
        <v>20</v>
      </c>
      <c r="B21" s="16" t="s">
        <v>856</v>
      </c>
      <c r="C21" s="17">
        <v>2</v>
      </c>
      <c r="D21" s="17">
        <v>42.4</v>
      </c>
      <c r="E21" s="17"/>
      <c r="F21" s="16" t="s">
        <v>101</v>
      </c>
      <c r="G21" s="17" t="s">
        <v>860</v>
      </c>
      <c r="H21" s="17" t="s">
        <v>861</v>
      </c>
      <c r="I21" s="17" t="s">
        <v>267</v>
      </c>
      <c r="J21" s="17" t="s">
        <v>862</v>
      </c>
      <c r="K21" s="18">
        <v>46134</v>
      </c>
      <c r="L21" s="17" t="s">
        <v>24</v>
      </c>
      <c r="M21" s="7" t="s">
        <v>25</v>
      </c>
      <c r="N21" s="17"/>
    </row>
    <row r="22" spans="1:14" ht="25.5" x14ac:dyDescent="0.25">
      <c r="A22" s="17">
        <v>21</v>
      </c>
      <c r="B22" s="16" t="s">
        <v>856</v>
      </c>
      <c r="C22" s="17">
        <v>3</v>
      </c>
      <c r="D22" s="17">
        <v>42.5</v>
      </c>
      <c r="E22" s="17"/>
      <c r="F22" s="16" t="s">
        <v>101</v>
      </c>
      <c r="G22" s="17" t="s">
        <v>863</v>
      </c>
      <c r="H22" s="17" t="s">
        <v>864</v>
      </c>
      <c r="I22" s="17" t="s">
        <v>28</v>
      </c>
      <c r="J22" s="17" t="s">
        <v>865</v>
      </c>
      <c r="K22" s="18">
        <v>46134</v>
      </c>
      <c r="L22" s="17" t="s">
        <v>24</v>
      </c>
      <c r="M22" s="7" t="s">
        <v>25</v>
      </c>
      <c r="N22" s="17"/>
    </row>
    <row r="23" spans="1:14" ht="25.5" x14ac:dyDescent="0.25">
      <c r="A23" s="17">
        <v>22</v>
      </c>
      <c r="B23" s="16" t="s">
        <v>856</v>
      </c>
      <c r="C23" s="17">
        <v>4</v>
      </c>
      <c r="D23" s="17">
        <v>42.6</v>
      </c>
      <c r="E23" s="17"/>
      <c r="F23" s="16" t="s">
        <v>126</v>
      </c>
      <c r="G23" s="17" t="s">
        <v>866</v>
      </c>
      <c r="H23" s="17" t="s">
        <v>867</v>
      </c>
      <c r="I23" s="17" t="s">
        <v>267</v>
      </c>
      <c r="J23" s="17" t="s">
        <v>868</v>
      </c>
      <c r="K23" s="18">
        <v>46149</v>
      </c>
      <c r="L23" s="17" t="s">
        <v>24</v>
      </c>
      <c r="M23" s="7" t="s">
        <v>25</v>
      </c>
      <c r="N23" s="17"/>
    </row>
    <row r="24" spans="1:14" ht="25.5" x14ac:dyDescent="0.25">
      <c r="A24" s="17">
        <v>23</v>
      </c>
      <c r="B24" s="16" t="s">
        <v>869</v>
      </c>
      <c r="C24" s="17">
        <v>1</v>
      </c>
      <c r="D24" s="17">
        <v>41.8</v>
      </c>
      <c r="E24" s="17"/>
      <c r="F24" s="16" t="s">
        <v>121</v>
      </c>
      <c r="G24" s="17" t="s">
        <v>870</v>
      </c>
      <c r="H24" s="17" t="s">
        <v>871</v>
      </c>
      <c r="I24" s="17" t="s">
        <v>22</v>
      </c>
      <c r="J24" s="17" t="s">
        <v>872</v>
      </c>
      <c r="K24" s="18">
        <v>46141</v>
      </c>
      <c r="L24" s="17" t="s">
        <v>24</v>
      </c>
      <c r="M24" s="7" t="s">
        <v>25</v>
      </c>
      <c r="N24" s="17"/>
    </row>
    <row r="25" spans="1:14" ht="25.5" x14ac:dyDescent="0.25">
      <c r="A25" s="17">
        <v>24</v>
      </c>
      <c r="B25" s="16" t="s">
        <v>869</v>
      </c>
      <c r="C25" s="17">
        <v>2</v>
      </c>
      <c r="D25" s="17">
        <v>42.3</v>
      </c>
      <c r="E25" s="17"/>
      <c r="F25" s="16" t="s">
        <v>101</v>
      </c>
      <c r="G25" s="17" t="s">
        <v>873</v>
      </c>
      <c r="H25" s="17" t="s">
        <v>874</v>
      </c>
      <c r="I25" s="17" t="s">
        <v>28</v>
      </c>
      <c r="J25" s="17" t="s">
        <v>875</v>
      </c>
      <c r="K25" s="18">
        <v>46135</v>
      </c>
      <c r="L25" s="17" t="s">
        <v>24</v>
      </c>
      <c r="M25" s="7" t="s">
        <v>25</v>
      </c>
      <c r="N25" s="17"/>
    </row>
    <row r="26" spans="1:14" ht="25.5" x14ac:dyDescent="0.25">
      <c r="A26" s="17">
        <v>25</v>
      </c>
      <c r="B26" s="16" t="s">
        <v>876</v>
      </c>
      <c r="C26" s="17">
        <v>1</v>
      </c>
      <c r="D26" s="17">
        <v>42.4</v>
      </c>
      <c r="E26" s="17"/>
      <c r="F26" s="16" t="s">
        <v>48</v>
      </c>
      <c r="G26" s="17" t="s">
        <v>877</v>
      </c>
      <c r="H26" s="17" t="s">
        <v>878</v>
      </c>
      <c r="I26" s="17" t="s">
        <v>28</v>
      </c>
      <c r="J26" s="17" t="s">
        <v>879</v>
      </c>
      <c r="K26" s="18">
        <v>46148</v>
      </c>
      <c r="L26" s="17" t="s">
        <v>24</v>
      </c>
      <c r="M26" s="7" t="s">
        <v>25</v>
      </c>
      <c r="N26" s="17"/>
    </row>
    <row r="27" spans="1:14" ht="25.5" x14ac:dyDescent="0.25">
      <c r="A27" s="17">
        <v>26</v>
      </c>
      <c r="B27" s="16" t="s">
        <v>876</v>
      </c>
      <c r="C27" s="17">
        <v>4</v>
      </c>
      <c r="D27" s="17">
        <v>42.4</v>
      </c>
      <c r="E27" s="17"/>
      <c r="F27" s="16" t="s">
        <v>343</v>
      </c>
      <c r="G27" s="17" t="s">
        <v>880</v>
      </c>
      <c r="H27" s="17" t="s">
        <v>881</v>
      </c>
      <c r="I27" s="17" t="s">
        <v>28</v>
      </c>
      <c r="J27" s="17" t="s">
        <v>882</v>
      </c>
      <c r="K27" s="18">
        <v>46135</v>
      </c>
      <c r="L27" s="17" t="s">
        <v>24</v>
      </c>
      <c r="M27" s="7" t="s">
        <v>25</v>
      </c>
      <c r="N27" s="17"/>
    </row>
    <row r="28" spans="1:14" ht="63.75" x14ac:dyDescent="0.25">
      <c r="A28" s="17">
        <v>27</v>
      </c>
      <c r="B28" s="16" t="s">
        <v>876</v>
      </c>
      <c r="C28" s="17">
        <v>2</v>
      </c>
      <c r="D28" s="17">
        <v>42.5</v>
      </c>
      <c r="E28" s="17"/>
      <c r="F28" s="16" t="s">
        <v>48</v>
      </c>
      <c r="G28" s="17" t="s">
        <v>883</v>
      </c>
      <c r="H28" s="17" t="s">
        <v>884</v>
      </c>
      <c r="I28" s="17" t="s">
        <v>34</v>
      </c>
      <c r="J28" s="17" t="s">
        <v>885</v>
      </c>
      <c r="K28" s="18">
        <v>46154</v>
      </c>
      <c r="L28" s="17" t="s">
        <v>24</v>
      </c>
      <c r="M28" s="7" t="s">
        <v>25</v>
      </c>
      <c r="N28" s="17"/>
    </row>
    <row r="29" spans="1:14" ht="25.5" x14ac:dyDescent="0.25">
      <c r="A29" s="17">
        <v>28</v>
      </c>
      <c r="B29" s="16" t="s">
        <v>876</v>
      </c>
      <c r="C29" s="17">
        <v>3</v>
      </c>
      <c r="D29" s="17">
        <v>42.5</v>
      </c>
      <c r="E29" s="17"/>
      <c r="F29" s="16" t="s">
        <v>343</v>
      </c>
      <c r="G29" s="17" t="s">
        <v>886</v>
      </c>
      <c r="H29" s="17" t="s">
        <v>887</v>
      </c>
      <c r="I29" s="17" t="s">
        <v>28</v>
      </c>
      <c r="J29" s="17" t="s">
        <v>888</v>
      </c>
      <c r="K29" s="18">
        <v>46148</v>
      </c>
      <c r="L29" s="17" t="s">
        <v>24</v>
      </c>
      <c r="M29" s="7" t="s">
        <v>25</v>
      </c>
      <c r="N29" s="17"/>
    </row>
    <row r="30" spans="1:14" ht="63.75" x14ac:dyDescent="0.25">
      <c r="A30" s="17">
        <v>29</v>
      </c>
      <c r="B30" s="16" t="s">
        <v>889</v>
      </c>
      <c r="C30" s="17">
        <v>1</v>
      </c>
      <c r="D30" s="17">
        <v>42.5</v>
      </c>
      <c r="E30" s="17"/>
      <c r="F30" s="16" t="s">
        <v>106</v>
      </c>
      <c r="G30" s="17" t="s">
        <v>890</v>
      </c>
      <c r="H30" s="17" t="s">
        <v>891</v>
      </c>
      <c r="I30" s="17" t="s">
        <v>34</v>
      </c>
      <c r="J30" s="17" t="s">
        <v>892</v>
      </c>
      <c r="K30" s="18">
        <v>46140</v>
      </c>
      <c r="L30" s="17" t="s">
        <v>24</v>
      </c>
      <c r="M30" s="7" t="s">
        <v>25</v>
      </c>
      <c r="N30" s="17"/>
    </row>
    <row r="31" spans="1:14" ht="25.5" x14ac:dyDescent="0.25">
      <c r="A31" s="17">
        <v>30</v>
      </c>
      <c r="B31" s="16" t="s">
        <v>889</v>
      </c>
      <c r="C31" s="17">
        <v>3</v>
      </c>
      <c r="D31" s="17">
        <v>42.5</v>
      </c>
      <c r="E31" s="17"/>
      <c r="F31" s="16" t="s">
        <v>31</v>
      </c>
      <c r="G31" s="17" t="s">
        <v>893</v>
      </c>
      <c r="H31" s="17" t="s">
        <v>894</v>
      </c>
      <c r="I31" s="17" t="s">
        <v>42</v>
      </c>
      <c r="J31" s="17" t="s">
        <v>895</v>
      </c>
      <c r="K31" s="18">
        <v>46157</v>
      </c>
      <c r="L31" s="17" t="s">
        <v>24</v>
      </c>
      <c r="M31" s="7" t="s">
        <v>25</v>
      </c>
      <c r="N31" s="17"/>
    </row>
    <row r="32" spans="1:14" ht="63.75" x14ac:dyDescent="0.25">
      <c r="A32" s="17">
        <v>31</v>
      </c>
      <c r="B32" s="16" t="s">
        <v>889</v>
      </c>
      <c r="C32" s="17">
        <v>4</v>
      </c>
      <c r="D32" s="17">
        <v>42.5</v>
      </c>
      <c r="E32" s="17"/>
      <c r="F32" s="16" t="s">
        <v>162</v>
      </c>
      <c r="G32" s="17" t="s">
        <v>896</v>
      </c>
      <c r="H32" s="17" t="s">
        <v>897</v>
      </c>
      <c r="I32" s="17" t="s">
        <v>34</v>
      </c>
      <c r="J32" s="17" t="s">
        <v>898</v>
      </c>
      <c r="K32" s="18">
        <v>46147</v>
      </c>
      <c r="L32" s="17" t="s">
        <v>24</v>
      </c>
      <c r="M32" s="7" t="s">
        <v>25</v>
      </c>
      <c r="N32" s="17"/>
    </row>
    <row r="33" spans="1:14" ht="25.5" x14ac:dyDescent="0.25">
      <c r="A33" s="17">
        <v>32</v>
      </c>
      <c r="B33" s="16" t="s">
        <v>889</v>
      </c>
      <c r="C33" s="17">
        <v>2</v>
      </c>
      <c r="D33" s="17">
        <v>42.6</v>
      </c>
      <c r="E33" s="17"/>
      <c r="F33" s="16" t="s">
        <v>19</v>
      </c>
      <c r="G33" s="17" t="s">
        <v>899</v>
      </c>
      <c r="H33" s="17" t="s">
        <v>900</v>
      </c>
      <c r="I33" s="17" t="s">
        <v>28</v>
      </c>
      <c r="J33" s="17" t="s">
        <v>901</v>
      </c>
      <c r="K33" s="18">
        <v>46136</v>
      </c>
      <c r="L33" s="17" t="s">
        <v>24</v>
      </c>
      <c r="M33" s="7" t="s">
        <v>25</v>
      </c>
      <c r="N33" s="17"/>
    </row>
    <row r="34" spans="1:14" ht="63.75" x14ac:dyDescent="0.25">
      <c r="A34" s="17">
        <v>33</v>
      </c>
      <c r="B34" s="16" t="s">
        <v>902</v>
      </c>
      <c r="C34" s="17">
        <v>1</v>
      </c>
      <c r="D34" s="17">
        <v>41.6</v>
      </c>
      <c r="E34" s="17"/>
      <c r="F34" s="16" t="s">
        <v>151</v>
      </c>
      <c r="G34" s="17" t="s">
        <v>903</v>
      </c>
      <c r="H34" s="17" t="s">
        <v>904</v>
      </c>
      <c r="I34" s="17" t="s">
        <v>34</v>
      </c>
      <c r="J34" s="17" t="s">
        <v>905</v>
      </c>
      <c r="K34" s="18">
        <v>46142</v>
      </c>
      <c r="L34" s="17" t="s">
        <v>24</v>
      </c>
      <c r="M34" s="7" t="s">
        <v>25</v>
      </c>
      <c r="N34" s="17"/>
    </row>
    <row r="35" spans="1:14" ht="63.75" x14ac:dyDescent="0.25">
      <c r="A35" s="17">
        <v>34</v>
      </c>
      <c r="B35" s="16" t="s">
        <v>902</v>
      </c>
      <c r="C35" s="17">
        <v>2</v>
      </c>
      <c r="D35" s="17">
        <v>42.1</v>
      </c>
      <c r="E35" s="17"/>
      <c r="F35" s="16" t="s">
        <v>151</v>
      </c>
      <c r="G35" s="17" t="s">
        <v>906</v>
      </c>
      <c r="H35" s="17" t="s">
        <v>907</v>
      </c>
      <c r="I35" s="17" t="s">
        <v>34</v>
      </c>
      <c r="J35" s="17" t="s">
        <v>908</v>
      </c>
      <c r="K35" s="18">
        <v>46142</v>
      </c>
      <c r="L35" s="17" t="s">
        <v>24</v>
      </c>
      <c r="M35" s="7" t="s">
        <v>25</v>
      </c>
      <c r="N35" s="17"/>
    </row>
    <row r="36" spans="1:14" ht="51" x14ac:dyDescent="0.25">
      <c r="A36" s="17">
        <v>35</v>
      </c>
      <c r="B36" s="16" t="s">
        <v>902</v>
      </c>
      <c r="C36" s="17">
        <v>3</v>
      </c>
      <c r="D36" s="17">
        <v>42.3</v>
      </c>
      <c r="E36" s="17"/>
      <c r="F36" s="16" t="s">
        <v>151</v>
      </c>
      <c r="G36" s="17" t="s">
        <v>909</v>
      </c>
      <c r="H36" s="17" t="s">
        <v>910</v>
      </c>
      <c r="I36" s="17" t="s">
        <v>34</v>
      </c>
      <c r="J36" s="17" t="s">
        <v>911</v>
      </c>
      <c r="K36" s="18">
        <v>46142</v>
      </c>
      <c r="L36" s="17" t="s">
        <v>24</v>
      </c>
      <c r="M36" s="7" t="s">
        <v>25</v>
      </c>
      <c r="N36" s="17"/>
    </row>
    <row r="37" spans="1:14" ht="25.5" x14ac:dyDescent="0.25">
      <c r="A37" s="17">
        <v>36</v>
      </c>
      <c r="B37" s="16" t="s">
        <v>912</v>
      </c>
      <c r="C37" s="17">
        <v>2</v>
      </c>
      <c r="D37" s="17">
        <v>42.3</v>
      </c>
      <c r="E37" s="17"/>
      <c r="F37" s="16" t="s">
        <v>126</v>
      </c>
      <c r="G37" s="17" t="s">
        <v>913</v>
      </c>
      <c r="H37" s="17" t="s">
        <v>914</v>
      </c>
      <c r="I37" s="17" t="s">
        <v>28</v>
      </c>
      <c r="J37" s="17" t="s">
        <v>915</v>
      </c>
      <c r="K37" s="18">
        <v>46135</v>
      </c>
      <c r="L37" s="17"/>
      <c r="M37" s="7" t="s">
        <v>25</v>
      </c>
      <c r="N37" s="17"/>
    </row>
    <row r="38" spans="1:14" ht="63.75" x14ac:dyDescent="0.25">
      <c r="A38" s="17">
        <v>37</v>
      </c>
      <c r="B38" s="16" t="s">
        <v>912</v>
      </c>
      <c r="C38" s="17">
        <v>3</v>
      </c>
      <c r="D38" s="17">
        <v>42.4</v>
      </c>
      <c r="E38" s="17"/>
      <c r="F38" s="16" t="s">
        <v>151</v>
      </c>
      <c r="G38" s="17" t="s">
        <v>916</v>
      </c>
      <c r="H38" s="17" t="s">
        <v>917</v>
      </c>
      <c r="I38" s="17" t="s">
        <v>34</v>
      </c>
      <c r="J38" s="17" t="s">
        <v>918</v>
      </c>
      <c r="K38" s="18">
        <v>46155</v>
      </c>
      <c r="L38" s="17" t="s">
        <v>24</v>
      </c>
      <c r="M38" s="7" t="s">
        <v>25</v>
      </c>
      <c r="N38" s="17"/>
    </row>
    <row r="39" spans="1:14" s="20" customFormat="1" ht="25.5" x14ac:dyDescent="0.25">
      <c r="A39" s="34">
        <v>38</v>
      </c>
      <c r="B39" s="35" t="s">
        <v>912</v>
      </c>
      <c r="C39" s="34">
        <v>1</v>
      </c>
      <c r="D39" s="34">
        <v>42.4</v>
      </c>
      <c r="E39" s="13"/>
      <c r="F39" s="35" t="s">
        <v>126</v>
      </c>
      <c r="G39" s="34" t="s">
        <v>919</v>
      </c>
      <c r="H39" s="34" t="s">
        <v>920</v>
      </c>
      <c r="I39" s="34" t="s">
        <v>921</v>
      </c>
      <c r="J39" s="34" t="s">
        <v>922</v>
      </c>
      <c r="K39" s="36">
        <v>46135</v>
      </c>
      <c r="L39" s="34" t="s">
        <v>24</v>
      </c>
      <c r="M39" s="19" t="s">
        <v>25</v>
      </c>
      <c r="N39" s="34"/>
    </row>
    <row r="40" spans="1:14" ht="63.75" x14ac:dyDescent="0.25">
      <c r="A40" s="17">
        <v>39</v>
      </c>
      <c r="B40" s="16" t="s">
        <v>912</v>
      </c>
      <c r="C40" s="17">
        <v>4</v>
      </c>
      <c r="D40" s="17">
        <v>42.5</v>
      </c>
      <c r="E40" s="17"/>
      <c r="F40" s="16" t="s">
        <v>126</v>
      </c>
      <c r="G40" s="17" t="s">
        <v>923</v>
      </c>
      <c r="H40" s="17" t="s">
        <v>924</v>
      </c>
      <c r="I40" s="17" t="s">
        <v>34</v>
      </c>
      <c r="J40" s="17" t="s">
        <v>925</v>
      </c>
      <c r="K40" s="18">
        <v>46135</v>
      </c>
      <c r="L40" s="17"/>
      <c r="M40" s="7" t="s">
        <v>25</v>
      </c>
      <c r="N40" s="17"/>
    </row>
    <row r="41" spans="1:14" ht="63.75" x14ac:dyDescent="0.25">
      <c r="A41" s="17">
        <v>40</v>
      </c>
      <c r="B41" s="16" t="s">
        <v>926</v>
      </c>
      <c r="C41" s="17">
        <v>3</v>
      </c>
      <c r="D41" s="17">
        <v>42.4</v>
      </c>
      <c r="E41" s="17"/>
      <c r="F41" s="16" t="s">
        <v>19</v>
      </c>
      <c r="G41" s="17" t="s">
        <v>927</v>
      </c>
      <c r="H41" s="17" t="s">
        <v>928</v>
      </c>
      <c r="I41" s="17" t="s">
        <v>34</v>
      </c>
      <c r="J41" s="17" t="s">
        <v>929</v>
      </c>
      <c r="K41" s="18">
        <v>46140</v>
      </c>
      <c r="L41" s="17" t="s">
        <v>24</v>
      </c>
      <c r="M41" s="7" t="s">
        <v>25</v>
      </c>
      <c r="N41" s="17"/>
    </row>
    <row r="42" spans="1:14" ht="25.5" x14ac:dyDescent="0.25">
      <c r="A42" s="17">
        <v>41</v>
      </c>
      <c r="B42" s="16" t="s">
        <v>926</v>
      </c>
      <c r="C42" s="17">
        <v>4</v>
      </c>
      <c r="D42" s="17">
        <v>42.4</v>
      </c>
      <c r="E42" s="17"/>
      <c r="F42" s="16" t="s">
        <v>19</v>
      </c>
      <c r="G42" s="17" t="s">
        <v>930</v>
      </c>
      <c r="H42" s="17" t="s">
        <v>931</v>
      </c>
      <c r="I42" s="17" t="s">
        <v>28</v>
      </c>
      <c r="J42" s="17" t="s">
        <v>932</v>
      </c>
      <c r="K42" s="18">
        <v>46136</v>
      </c>
      <c r="L42" s="17" t="s">
        <v>24</v>
      </c>
      <c r="M42" s="7" t="s">
        <v>25</v>
      </c>
      <c r="N42" s="17"/>
    </row>
    <row r="43" spans="1:14" ht="25.5" x14ac:dyDescent="0.25">
      <c r="A43" s="17">
        <v>42</v>
      </c>
      <c r="B43" s="16" t="s">
        <v>926</v>
      </c>
      <c r="C43" s="17">
        <v>1</v>
      </c>
      <c r="D43" s="17">
        <v>42.6</v>
      </c>
      <c r="E43" s="17"/>
      <c r="F43" s="16" t="s">
        <v>19</v>
      </c>
      <c r="G43" s="17" t="s">
        <v>933</v>
      </c>
      <c r="H43" s="17" t="s">
        <v>934</v>
      </c>
      <c r="I43" s="17" t="s">
        <v>28</v>
      </c>
      <c r="J43" s="17" t="s">
        <v>935</v>
      </c>
      <c r="K43" s="18">
        <v>46136</v>
      </c>
      <c r="L43" s="17" t="s">
        <v>24</v>
      </c>
      <c r="M43" s="7" t="s">
        <v>25</v>
      </c>
      <c r="N43" s="17"/>
    </row>
    <row r="44" spans="1:14" ht="25.5" x14ac:dyDescent="0.25">
      <c r="A44" s="17">
        <v>43</v>
      </c>
      <c r="B44" s="16" t="s">
        <v>926</v>
      </c>
      <c r="C44" s="17">
        <v>2</v>
      </c>
      <c r="D44" s="17">
        <v>42.6</v>
      </c>
      <c r="E44" s="17"/>
      <c r="F44" s="16" t="s">
        <v>338</v>
      </c>
      <c r="G44" s="17" t="s">
        <v>936</v>
      </c>
      <c r="H44" s="17" t="s">
        <v>937</v>
      </c>
      <c r="I44" s="17" t="s">
        <v>28</v>
      </c>
      <c r="J44" s="17" t="s">
        <v>938</v>
      </c>
      <c r="K44" s="18">
        <v>46150</v>
      </c>
      <c r="L44" s="17" t="s">
        <v>24</v>
      </c>
      <c r="M44" s="7" t="s">
        <v>25</v>
      </c>
      <c r="N44" s="17"/>
    </row>
    <row r="45" spans="1:14" ht="25.5" x14ac:dyDescent="0.25">
      <c r="A45" s="17">
        <v>44</v>
      </c>
      <c r="B45" s="16" t="s">
        <v>939</v>
      </c>
      <c r="C45" s="17">
        <v>2</v>
      </c>
      <c r="D45" s="17">
        <v>42.4</v>
      </c>
      <c r="E45" s="17"/>
      <c r="F45" s="16" t="s">
        <v>126</v>
      </c>
      <c r="G45" s="17" t="s">
        <v>940</v>
      </c>
      <c r="H45" s="17" t="s">
        <v>941</v>
      </c>
      <c r="I45" s="17" t="s">
        <v>28</v>
      </c>
      <c r="J45" s="17" t="s">
        <v>942</v>
      </c>
      <c r="K45" s="18">
        <v>46147</v>
      </c>
      <c r="L45" s="17"/>
      <c r="M45" s="7" t="s">
        <v>25</v>
      </c>
      <c r="N45" s="17"/>
    </row>
    <row r="46" spans="1:14" ht="63.75" x14ac:dyDescent="0.25">
      <c r="A46" s="17">
        <v>45</v>
      </c>
      <c r="B46" s="16" t="s">
        <v>939</v>
      </c>
      <c r="C46" s="17">
        <v>3</v>
      </c>
      <c r="D46" s="17">
        <v>42.4</v>
      </c>
      <c r="E46" s="17"/>
      <c r="F46" s="16" t="s">
        <v>151</v>
      </c>
      <c r="G46" s="17" t="s">
        <v>943</v>
      </c>
      <c r="H46" s="17" t="s">
        <v>944</v>
      </c>
      <c r="I46" s="17" t="s">
        <v>34</v>
      </c>
      <c r="J46" s="17" t="s">
        <v>945</v>
      </c>
      <c r="K46" s="18">
        <v>46149</v>
      </c>
      <c r="L46" s="17" t="s">
        <v>24</v>
      </c>
      <c r="M46" s="7" t="s">
        <v>25</v>
      </c>
      <c r="N46" s="17"/>
    </row>
    <row r="47" spans="1:14" ht="25.5" x14ac:dyDescent="0.25">
      <c r="A47" s="17">
        <v>46</v>
      </c>
      <c r="B47" s="16" t="s">
        <v>939</v>
      </c>
      <c r="C47" s="17">
        <v>4</v>
      </c>
      <c r="D47" s="17">
        <v>42.5</v>
      </c>
      <c r="E47" s="17"/>
      <c r="F47" s="16" t="s">
        <v>106</v>
      </c>
      <c r="G47" s="17" t="s">
        <v>946</v>
      </c>
      <c r="H47" s="17" t="s">
        <v>947</v>
      </c>
      <c r="I47" s="17" t="s">
        <v>28</v>
      </c>
      <c r="J47" s="17" t="s">
        <v>948</v>
      </c>
      <c r="K47" s="18">
        <v>46141</v>
      </c>
      <c r="L47" s="17" t="s">
        <v>24</v>
      </c>
      <c r="M47" s="7" t="s">
        <v>25</v>
      </c>
      <c r="N47" s="17"/>
    </row>
    <row r="48" spans="1:14" ht="25.5" x14ac:dyDescent="0.25">
      <c r="A48" s="17">
        <v>47</v>
      </c>
      <c r="B48" s="16" t="s">
        <v>939</v>
      </c>
      <c r="C48" s="17">
        <v>1</v>
      </c>
      <c r="D48" s="17">
        <v>42.7</v>
      </c>
      <c r="E48" s="17"/>
      <c r="F48" s="16" t="s">
        <v>106</v>
      </c>
      <c r="G48" s="17" t="s">
        <v>949</v>
      </c>
      <c r="H48" s="17" t="s">
        <v>950</v>
      </c>
      <c r="I48" s="17" t="s">
        <v>42</v>
      </c>
      <c r="J48" s="17" t="s">
        <v>951</v>
      </c>
      <c r="K48" s="18">
        <v>46135</v>
      </c>
      <c r="L48" s="17" t="s">
        <v>24</v>
      </c>
      <c r="M48" s="7" t="s">
        <v>25</v>
      </c>
      <c r="N48" s="17"/>
    </row>
    <row r="49" spans="1:14" ht="63.75" x14ac:dyDescent="0.25">
      <c r="A49" s="17">
        <v>48</v>
      </c>
      <c r="B49" s="16" t="s">
        <v>952</v>
      </c>
      <c r="C49" s="17">
        <v>2</v>
      </c>
      <c r="D49" s="17">
        <v>42.3</v>
      </c>
      <c r="E49" s="17"/>
      <c r="F49" s="16" t="s">
        <v>101</v>
      </c>
      <c r="G49" s="17" t="s">
        <v>953</v>
      </c>
      <c r="H49" s="17" t="s">
        <v>954</v>
      </c>
      <c r="I49" s="17" t="s">
        <v>34</v>
      </c>
      <c r="J49" s="17" t="s">
        <v>955</v>
      </c>
      <c r="K49" s="18">
        <v>46134</v>
      </c>
      <c r="L49" s="17" t="s">
        <v>24</v>
      </c>
      <c r="M49" s="7" t="s">
        <v>25</v>
      </c>
      <c r="N49" s="17"/>
    </row>
    <row r="50" spans="1:14" ht="63.75" x14ac:dyDescent="0.25">
      <c r="A50" s="17">
        <v>49</v>
      </c>
      <c r="B50" s="16" t="s">
        <v>952</v>
      </c>
      <c r="C50" s="17">
        <v>3</v>
      </c>
      <c r="D50" s="17">
        <v>42.4</v>
      </c>
      <c r="E50" s="16"/>
      <c r="F50" s="16" t="s">
        <v>121</v>
      </c>
      <c r="G50" s="17" t="s">
        <v>956</v>
      </c>
      <c r="H50" s="17" t="s">
        <v>957</v>
      </c>
      <c r="I50" s="17" t="s">
        <v>34</v>
      </c>
      <c r="J50" s="17" t="s">
        <v>958</v>
      </c>
      <c r="K50" s="18">
        <v>46149</v>
      </c>
      <c r="L50" s="17" t="s">
        <v>24</v>
      </c>
      <c r="M50" s="7" t="s">
        <v>25</v>
      </c>
      <c r="N50" s="17"/>
    </row>
    <row r="51" spans="1:14" ht="25.5" x14ac:dyDescent="0.25">
      <c r="A51" s="17">
        <v>50</v>
      </c>
      <c r="B51" s="16" t="s">
        <v>952</v>
      </c>
      <c r="C51" s="17">
        <v>4</v>
      </c>
      <c r="D51" s="17">
        <v>42.4</v>
      </c>
      <c r="E51" s="17"/>
      <c r="F51" s="16" t="s">
        <v>343</v>
      </c>
      <c r="G51" s="17" t="s">
        <v>959</v>
      </c>
      <c r="H51" s="17" t="s">
        <v>960</v>
      </c>
      <c r="I51" s="17" t="s">
        <v>28</v>
      </c>
      <c r="J51" s="17" t="s">
        <v>961</v>
      </c>
      <c r="K51" s="18">
        <v>46142</v>
      </c>
      <c r="L51" s="17" t="s">
        <v>24</v>
      </c>
      <c r="M51" s="7" t="s">
        <v>25</v>
      </c>
      <c r="N51" s="17"/>
    </row>
    <row r="52" spans="1:14" ht="25.5" x14ac:dyDescent="0.25">
      <c r="A52" s="17">
        <v>51</v>
      </c>
      <c r="B52" s="16" t="s">
        <v>952</v>
      </c>
      <c r="C52" s="17">
        <v>1</v>
      </c>
      <c r="D52" s="17">
        <v>42.5</v>
      </c>
      <c r="E52" s="17"/>
      <c r="F52" s="16" t="s">
        <v>962</v>
      </c>
      <c r="G52" s="17" t="s">
        <v>963</v>
      </c>
      <c r="H52" s="17" t="s">
        <v>964</v>
      </c>
      <c r="I52" s="17" t="s">
        <v>965</v>
      </c>
      <c r="J52" s="17" t="s">
        <v>966</v>
      </c>
      <c r="K52" s="18">
        <v>46137</v>
      </c>
      <c r="L52" s="17" t="s">
        <v>24</v>
      </c>
      <c r="M52" s="7" t="s">
        <v>25</v>
      </c>
      <c r="N52" s="17"/>
    </row>
    <row r="53" spans="1:14" ht="63.75" x14ac:dyDescent="0.25">
      <c r="A53" s="17">
        <v>52</v>
      </c>
      <c r="B53" s="16" t="s">
        <v>967</v>
      </c>
      <c r="C53" s="17">
        <v>2</v>
      </c>
      <c r="D53" s="17">
        <v>42.4</v>
      </c>
      <c r="E53" s="17"/>
      <c r="F53" s="16" t="s">
        <v>31</v>
      </c>
      <c r="G53" s="17" t="s">
        <v>968</v>
      </c>
      <c r="H53" s="17" t="s">
        <v>969</v>
      </c>
      <c r="I53" s="17" t="s">
        <v>34</v>
      </c>
      <c r="J53" s="17" t="s">
        <v>970</v>
      </c>
      <c r="K53" s="18">
        <v>46137</v>
      </c>
      <c r="L53" s="17" t="s">
        <v>24</v>
      </c>
      <c r="M53" s="7" t="s">
        <v>25</v>
      </c>
      <c r="N53" s="17"/>
    </row>
    <row r="54" spans="1:14" ht="25.5" x14ac:dyDescent="0.25">
      <c r="A54" s="17">
        <v>53</v>
      </c>
      <c r="B54" s="16" t="s">
        <v>967</v>
      </c>
      <c r="C54" s="17">
        <v>1</v>
      </c>
      <c r="D54" s="17">
        <v>42.5</v>
      </c>
      <c r="E54" s="17"/>
      <c r="F54" s="16" t="s">
        <v>31</v>
      </c>
      <c r="G54" s="17" t="s">
        <v>971</v>
      </c>
      <c r="H54" s="17" t="s">
        <v>972</v>
      </c>
      <c r="I54" s="17" t="s">
        <v>28</v>
      </c>
      <c r="J54" s="17" t="s">
        <v>973</v>
      </c>
      <c r="K54" s="18">
        <v>46140</v>
      </c>
      <c r="L54" s="17" t="s">
        <v>24</v>
      </c>
      <c r="M54" s="7" t="s">
        <v>25</v>
      </c>
      <c r="N54" s="17"/>
    </row>
    <row r="55" spans="1:14" ht="63.75" x14ac:dyDescent="0.25">
      <c r="A55" s="17">
        <v>54</v>
      </c>
      <c r="B55" s="16" t="s">
        <v>967</v>
      </c>
      <c r="C55" s="17">
        <v>3</v>
      </c>
      <c r="D55" s="17">
        <v>42.6</v>
      </c>
      <c r="E55" s="17"/>
      <c r="F55" s="16" t="s">
        <v>31</v>
      </c>
      <c r="G55" s="17" t="s">
        <v>974</v>
      </c>
      <c r="H55" s="17" t="s">
        <v>975</v>
      </c>
      <c r="I55" s="17" t="s">
        <v>34</v>
      </c>
      <c r="J55" s="17" t="s">
        <v>976</v>
      </c>
      <c r="K55" s="18">
        <v>46149</v>
      </c>
      <c r="L55" s="17" t="s">
        <v>24</v>
      </c>
      <c r="M55" s="7" t="s">
        <v>25</v>
      </c>
      <c r="N55" s="17"/>
    </row>
    <row r="56" spans="1:14" ht="25.5" x14ac:dyDescent="0.25">
      <c r="A56" s="17">
        <v>55</v>
      </c>
      <c r="B56" s="16" t="s">
        <v>967</v>
      </c>
      <c r="C56" s="17">
        <v>4</v>
      </c>
      <c r="D56" s="17">
        <v>42.6</v>
      </c>
      <c r="E56" s="17"/>
      <c r="F56" s="16" t="s">
        <v>31</v>
      </c>
      <c r="G56" s="17" t="s">
        <v>977</v>
      </c>
      <c r="H56" s="17" t="s">
        <v>978</v>
      </c>
      <c r="I56" s="17" t="s">
        <v>28</v>
      </c>
      <c r="J56" s="17" t="s">
        <v>979</v>
      </c>
      <c r="K56" s="18">
        <v>46140</v>
      </c>
      <c r="L56" s="17" t="s">
        <v>24</v>
      </c>
      <c r="M56" s="7" t="s">
        <v>25</v>
      </c>
      <c r="N56" s="17"/>
    </row>
    <row r="57" spans="1:14" ht="51" x14ac:dyDescent="0.25">
      <c r="A57" s="17">
        <v>56</v>
      </c>
      <c r="B57" s="16" t="s">
        <v>980</v>
      </c>
      <c r="C57" s="17">
        <v>1</v>
      </c>
      <c r="D57" s="17">
        <v>41.9</v>
      </c>
      <c r="E57" s="17"/>
      <c r="F57" s="16" t="s">
        <v>48</v>
      </c>
      <c r="G57" s="17" t="s">
        <v>981</v>
      </c>
      <c r="H57" s="17" t="s">
        <v>982</v>
      </c>
      <c r="I57" s="17" t="s">
        <v>293</v>
      </c>
      <c r="J57" s="17" t="s">
        <v>983</v>
      </c>
      <c r="K57" s="18">
        <v>46144</v>
      </c>
      <c r="L57" s="17" t="s">
        <v>24</v>
      </c>
      <c r="M57" s="7" t="s">
        <v>25</v>
      </c>
      <c r="N57" s="17"/>
    </row>
    <row r="58" spans="1:14" ht="51" x14ac:dyDescent="0.25">
      <c r="A58" s="17">
        <v>57</v>
      </c>
      <c r="B58" s="16" t="s">
        <v>980</v>
      </c>
      <c r="C58" s="17">
        <v>2</v>
      </c>
      <c r="D58" s="17">
        <v>42.1</v>
      </c>
      <c r="E58" s="17"/>
      <c r="F58" s="16" t="s">
        <v>126</v>
      </c>
      <c r="G58" s="17" t="s">
        <v>984</v>
      </c>
      <c r="H58" s="17" t="s">
        <v>985</v>
      </c>
      <c r="I58" s="17" t="s">
        <v>34</v>
      </c>
      <c r="J58" s="17" t="s">
        <v>986</v>
      </c>
      <c r="K58" s="18">
        <v>46135</v>
      </c>
      <c r="L58" s="17"/>
      <c r="M58" s="7" t="s">
        <v>25</v>
      </c>
      <c r="N58" s="17"/>
    </row>
    <row r="59" spans="1:14" ht="25.5" x14ac:dyDescent="0.25">
      <c r="A59" s="17">
        <v>58</v>
      </c>
      <c r="B59" s="16" t="s">
        <v>987</v>
      </c>
      <c r="C59" s="17">
        <v>2</v>
      </c>
      <c r="D59" s="17">
        <v>41.7</v>
      </c>
      <c r="E59" s="17"/>
      <c r="F59" s="16" t="s">
        <v>48</v>
      </c>
      <c r="G59" s="17" t="s">
        <v>988</v>
      </c>
      <c r="H59" s="17" t="s">
        <v>989</v>
      </c>
      <c r="I59" s="17" t="s">
        <v>28</v>
      </c>
      <c r="J59" s="17" t="s">
        <v>990</v>
      </c>
      <c r="K59" s="18">
        <v>46144</v>
      </c>
      <c r="L59" s="17" t="s">
        <v>24</v>
      </c>
      <c r="M59" s="7" t="s">
        <v>25</v>
      </c>
      <c r="N59" s="17"/>
    </row>
    <row r="60" spans="1:14" ht="25.5" x14ac:dyDescent="0.25">
      <c r="A60" s="17">
        <v>59</v>
      </c>
      <c r="B60" s="16" t="s">
        <v>987</v>
      </c>
      <c r="C60" s="17">
        <v>1</v>
      </c>
      <c r="D60" s="17">
        <v>42</v>
      </c>
      <c r="E60" s="17"/>
      <c r="F60" s="16" t="s">
        <v>106</v>
      </c>
      <c r="G60" s="17" t="s">
        <v>991</v>
      </c>
      <c r="H60" s="17" t="s">
        <v>992</v>
      </c>
      <c r="I60" s="17" t="s">
        <v>28</v>
      </c>
      <c r="J60" s="17" t="s">
        <v>993</v>
      </c>
      <c r="K60" s="18">
        <v>46141</v>
      </c>
      <c r="L60" s="17" t="s">
        <v>24</v>
      </c>
      <c r="M60" s="7" t="s">
        <v>25</v>
      </c>
      <c r="N60" s="17"/>
    </row>
    <row r="61" spans="1:14" ht="25.5" x14ac:dyDescent="0.25">
      <c r="A61" s="17">
        <v>60</v>
      </c>
      <c r="B61" s="16" t="s">
        <v>987</v>
      </c>
      <c r="C61" s="17">
        <v>3</v>
      </c>
      <c r="D61" s="17">
        <v>42.4</v>
      </c>
      <c r="E61" s="17"/>
      <c r="F61" s="16" t="s">
        <v>126</v>
      </c>
      <c r="G61" s="17" t="s">
        <v>994</v>
      </c>
      <c r="H61" s="17" t="s">
        <v>995</v>
      </c>
      <c r="I61" s="17" t="s">
        <v>38</v>
      </c>
      <c r="J61" s="17" t="s">
        <v>996</v>
      </c>
      <c r="K61" s="18">
        <v>46135</v>
      </c>
      <c r="L61" s="17"/>
      <c r="M61" s="7" t="s">
        <v>25</v>
      </c>
      <c r="N61" s="17"/>
    </row>
    <row r="62" spans="1:14" ht="25.5" x14ac:dyDescent="0.25">
      <c r="A62" s="17">
        <v>61</v>
      </c>
      <c r="B62" s="16" t="s">
        <v>987</v>
      </c>
      <c r="C62" s="17">
        <v>4</v>
      </c>
      <c r="D62" s="17">
        <v>42.6</v>
      </c>
      <c r="E62" s="17"/>
      <c r="F62" s="16" t="s">
        <v>48</v>
      </c>
      <c r="G62" s="17" t="s">
        <v>997</v>
      </c>
      <c r="H62" s="17" t="s">
        <v>998</v>
      </c>
      <c r="I62" s="17" t="s">
        <v>28</v>
      </c>
      <c r="J62" s="17" t="s">
        <v>999</v>
      </c>
      <c r="K62" s="18">
        <v>46144</v>
      </c>
      <c r="L62" s="17" t="s">
        <v>24</v>
      </c>
      <c r="M62" s="7" t="s">
        <v>25</v>
      </c>
      <c r="N62" s="17"/>
    </row>
    <row r="63" spans="1:14" ht="63.75" x14ac:dyDescent="0.25">
      <c r="A63" s="17">
        <v>62</v>
      </c>
      <c r="B63" s="16" t="s">
        <v>1000</v>
      </c>
      <c r="C63" s="17">
        <v>1</v>
      </c>
      <c r="D63" s="17">
        <v>41.6</v>
      </c>
      <c r="E63" s="17"/>
      <c r="F63" s="16" t="s">
        <v>121</v>
      </c>
      <c r="G63" s="17" t="s">
        <v>1001</v>
      </c>
      <c r="H63" s="17" t="s">
        <v>1002</v>
      </c>
      <c r="I63" s="17" t="s">
        <v>34</v>
      </c>
      <c r="J63" s="17" t="s">
        <v>1003</v>
      </c>
      <c r="K63" s="18">
        <v>46149</v>
      </c>
      <c r="L63" s="17" t="s">
        <v>24</v>
      </c>
      <c r="M63" s="7" t="s">
        <v>25</v>
      </c>
      <c r="N63" s="17"/>
    </row>
    <row r="64" spans="1:14" ht="51" x14ac:dyDescent="0.25">
      <c r="A64" s="17">
        <v>63</v>
      </c>
      <c r="B64" s="16" t="s">
        <v>1000</v>
      </c>
      <c r="C64" s="17">
        <v>2</v>
      </c>
      <c r="D64" s="17">
        <v>42</v>
      </c>
      <c r="E64" s="17"/>
      <c r="F64" s="16" t="s">
        <v>126</v>
      </c>
      <c r="G64" s="17" t="s">
        <v>1004</v>
      </c>
      <c r="H64" s="17" t="s">
        <v>1005</v>
      </c>
      <c r="I64" s="17" t="s">
        <v>34</v>
      </c>
      <c r="J64" s="17" t="s">
        <v>1006</v>
      </c>
      <c r="K64" s="18">
        <v>46141</v>
      </c>
      <c r="L64" s="17"/>
      <c r="M64" s="7" t="s">
        <v>25</v>
      </c>
      <c r="N64" s="17"/>
    </row>
    <row r="65" spans="1:14" ht="25.5" x14ac:dyDescent="0.25">
      <c r="A65" s="17">
        <v>64</v>
      </c>
      <c r="B65" s="16" t="s">
        <v>1000</v>
      </c>
      <c r="C65" s="17">
        <v>3</v>
      </c>
      <c r="D65" s="17">
        <v>42.6</v>
      </c>
      <c r="E65" s="17"/>
      <c r="F65" s="16" t="s">
        <v>343</v>
      </c>
      <c r="G65" s="17" t="s">
        <v>1007</v>
      </c>
      <c r="H65" s="17" t="s">
        <v>1008</v>
      </c>
      <c r="I65" s="17" t="s">
        <v>28</v>
      </c>
      <c r="J65" s="17" t="s">
        <v>1009</v>
      </c>
      <c r="K65" s="18">
        <v>46148</v>
      </c>
      <c r="L65" s="17" t="s">
        <v>24</v>
      </c>
      <c r="M65" s="7" t="s">
        <v>25</v>
      </c>
      <c r="N65" s="17"/>
    </row>
    <row r="66" spans="1:14" ht="25.5" x14ac:dyDescent="0.25">
      <c r="A66" s="17">
        <v>65</v>
      </c>
      <c r="B66" s="16" t="s">
        <v>1000</v>
      </c>
      <c r="C66" s="17">
        <v>4</v>
      </c>
      <c r="D66" s="17">
        <v>42.7</v>
      </c>
      <c r="E66" s="17"/>
      <c r="F66" s="16" t="s">
        <v>121</v>
      </c>
      <c r="G66" s="17" t="s">
        <v>1010</v>
      </c>
      <c r="H66" s="17" t="s">
        <v>1011</v>
      </c>
      <c r="I66" s="17" t="s">
        <v>267</v>
      </c>
      <c r="J66" s="17" t="s">
        <v>1012</v>
      </c>
      <c r="K66" s="18">
        <v>46149</v>
      </c>
      <c r="L66" s="17" t="s">
        <v>24</v>
      </c>
      <c r="M66" s="7" t="s">
        <v>25</v>
      </c>
      <c r="N66" s="17"/>
    </row>
    <row r="67" spans="1:14" ht="76.5" x14ac:dyDescent="0.25">
      <c r="A67" s="17">
        <v>66</v>
      </c>
      <c r="B67" s="16" t="s">
        <v>1013</v>
      </c>
      <c r="C67" s="17">
        <v>1</v>
      </c>
      <c r="D67" s="17">
        <v>41.8</v>
      </c>
      <c r="E67" s="17"/>
      <c r="F67" s="16" t="s">
        <v>338</v>
      </c>
      <c r="G67" s="17" t="s">
        <v>1014</v>
      </c>
      <c r="H67" s="17" t="s">
        <v>1015</v>
      </c>
      <c r="I67" s="17" t="s">
        <v>34</v>
      </c>
      <c r="J67" s="17" t="s">
        <v>1016</v>
      </c>
      <c r="K67" s="18">
        <v>46150</v>
      </c>
      <c r="L67" s="17" t="s">
        <v>24</v>
      </c>
      <c r="M67" s="7" t="s">
        <v>25</v>
      </c>
      <c r="N67" s="17"/>
    </row>
    <row r="68" spans="1:14" ht="25.5" x14ac:dyDescent="0.25">
      <c r="A68" s="17">
        <v>67</v>
      </c>
      <c r="B68" s="16" t="s">
        <v>1013</v>
      </c>
      <c r="C68" s="17">
        <v>2</v>
      </c>
      <c r="D68" s="17">
        <v>41.9</v>
      </c>
      <c r="E68" s="17"/>
      <c r="F68" s="16" t="s">
        <v>338</v>
      </c>
      <c r="G68" s="17" t="s">
        <v>1017</v>
      </c>
      <c r="H68" s="17" t="s">
        <v>1018</v>
      </c>
      <c r="I68" s="17" t="s">
        <v>28</v>
      </c>
      <c r="J68" s="17" t="s">
        <v>1019</v>
      </c>
      <c r="K68" s="18">
        <v>46149</v>
      </c>
      <c r="L68" s="17" t="s">
        <v>24</v>
      </c>
      <c r="M68" s="7" t="s">
        <v>25</v>
      </c>
      <c r="N68" s="17"/>
    </row>
    <row r="69" spans="1:14" ht="25.5" x14ac:dyDescent="0.25">
      <c r="A69" s="17">
        <v>68</v>
      </c>
      <c r="B69" s="16" t="s">
        <v>1013</v>
      </c>
      <c r="C69" s="17">
        <v>4</v>
      </c>
      <c r="D69" s="17">
        <v>42.4</v>
      </c>
      <c r="E69" s="17"/>
      <c r="F69" s="16" t="s">
        <v>338</v>
      </c>
      <c r="G69" s="17" t="s">
        <v>1020</v>
      </c>
      <c r="H69" s="17" t="s">
        <v>1021</v>
      </c>
      <c r="I69" s="17" t="s">
        <v>28</v>
      </c>
      <c r="J69" s="17" t="s">
        <v>1022</v>
      </c>
      <c r="K69" s="18">
        <v>46150</v>
      </c>
      <c r="L69" s="17" t="s">
        <v>24</v>
      </c>
      <c r="M69" s="7" t="s">
        <v>25</v>
      </c>
      <c r="N69" s="17"/>
    </row>
    <row r="70" spans="1:14" ht="25.5" x14ac:dyDescent="0.25">
      <c r="A70" s="17">
        <v>69</v>
      </c>
      <c r="B70" s="16" t="s">
        <v>1013</v>
      </c>
      <c r="C70" s="17">
        <v>3</v>
      </c>
      <c r="D70" s="17">
        <v>42.6</v>
      </c>
      <c r="E70" s="17"/>
      <c r="F70" s="16" t="s">
        <v>31</v>
      </c>
      <c r="G70" s="17" t="s">
        <v>1023</v>
      </c>
      <c r="H70" s="17" t="s">
        <v>1024</v>
      </c>
      <c r="I70" s="17" t="s">
        <v>267</v>
      </c>
      <c r="J70" s="17" t="s">
        <v>1025</v>
      </c>
      <c r="K70" s="18">
        <v>46140</v>
      </c>
      <c r="L70" s="17" t="s">
        <v>24</v>
      </c>
      <c r="M70" s="7" t="s">
        <v>25</v>
      </c>
      <c r="N70" s="17"/>
    </row>
    <row r="71" spans="1:14" ht="63.75" x14ac:dyDescent="0.25">
      <c r="A71" s="17">
        <v>70</v>
      </c>
      <c r="B71" s="16" t="s">
        <v>1026</v>
      </c>
      <c r="C71" s="17">
        <v>2</v>
      </c>
      <c r="D71" s="17">
        <v>42.4</v>
      </c>
      <c r="E71" s="17"/>
      <c r="F71" s="16" t="s">
        <v>101</v>
      </c>
      <c r="G71" s="17" t="s">
        <v>1027</v>
      </c>
      <c r="H71" s="17" t="s">
        <v>1028</v>
      </c>
      <c r="I71" s="17" t="s">
        <v>34</v>
      </c>
      <c r="J71" s="17" t="s">
        <v>1029</v>
      </c>
      <c r="K71" s="18">
        <v>46135</v>
      </c>
      <c r="L71" s="17" t="s">
        <v>24</v>
      </c>
      <c r="M71" s="7" t="s">
        <v>25</v>
      </c>
      <c r="N71" s="17"/>
    </row>
    <row r="72" spans="1:14" ht="25.5" x14ac:dyDescent="0.25">
      <c r="A72" s="17">
        <v>71</v>
      </c>
      <c r="B72" s="16" t="s">
        <v>1026</v>
      </c>
      <c r="C72" s="17">
        <v>4</v>
      </c>
      <c r="D72" s="17">
        <v>42.6</v>
      </c>
      <c r="E72" s="17"/>
      <c r="F72" s="16" t="s">
        <v>1030</v>
      </c>
      <c r="G72" s="17" t="s">
        <v>1031</v>
      </c>
      <c r="H72" s="17" t="s">
        <v>1032</v>
      </c>
      <c r="I72" s="17" t="s">
        <v>28</v>
      </c>
      <c r="J72" s="17" t="s">
        <v>1033</v>
      </c>
      <c r="K72" s="18">
        <v>46140</v>
      </c>
      <c r="L72" s="17" t="s">
        <v>24</v>
      </c>
      <c r="M72" s="7" t="s">
        <v>25</v>
      </c>
      <c r="N72" s="17"/>
    </row>
    <row r="73" spans="1:14" ht="25.5" x14ac:dyDescent="0.25">
      <c r="A73" s="17">
        <v>72</v>
      </c>
      <c r="B73" s="16" t="s">
        <v>1026</v>
      </c>
      <c r="C73" s="17">
        <v>1</v>
      </c>
      <c r="D73" s="17">
        <v>42.7</v>
      </c>
      <c r="E73" s="17"/>
      <c r="F73" s="16" t="s">
        <v>101</v>
      </c>
      <c r="G73" s="17" t="s">
        <v>1034</v>
      </c>
      <c r="H73" s="17" t="s">
        <v>1035</v>
      </c>
      <c r="I73" s="17" t="s">
        <v>28</v>
      </c>
      <c r="J73" s="17" t="s">
        <v>1036</v>
      </c>
      <c r="K73" s="18">
        <v>46134</v>
      </c>
      <c r="L73" s="17" t="s">
        <v>24</v>
      </c>
      <c r="M73" s="7" t="s">
        <v>25</v>
      </c>
      <c r="N73" s="17"/>
    </row>
    <row r="74" spans="1:14" ht="25.5" x14ac:dyDescent="0.25">
      <c r="A74" s="17">
        <v>73</v>
      </c>
      <c r="B74" s="16" t="s">
        <v>1026</v>
      </c>
      <c r="C74" s="17">
        <v>3</v>
      </c>
      <c r="D74" s="17">
        <v>42.8</v>
      </c>
      <c r="E74" s="17"/>
      <c r="F74" s="16" t="s">
        <v>338</v>
      </c>
      <c r="G74" s="17" t="s">
        <v>1037</v>
      </c>
      <c r="H74" s="17" t="s">
        <v>1038</v>
      </c>
      <c r="I74" s="17" t="s">
        <v>28</v>
      </c>
      <c r="J74" s="17" t="s">
        <v>1039</v>
      </c>
      <c r="K74" s="17" t="s">
        <v>1040</v>
      </c>
      <c r="L74" s="17" t="s">
        <v>24</v>
      </c>
      <c r="M74" s="7" t="s">
        <v>25</v>
      </c>
      <c r="N74" s="17"/>
    </row>
    <row r="75" spans="1:14" ht="25.5" x14ac:dyDescent="0.25">
      <c r="A75" s="17">
        <v>74</v>
      </c>
      <c r="B75" s="16" t="s">
        <v>1041</v>
      </c>
      <c r="C75" s="17">
        <v>2</v>
      </c>
      <c r="D75" s="17">
        <v>41.8</v>
      </c>
      <c r="E75" s="17"/>
      <c r="F75" s="16" t="s">
        <v>106</v>
      </c>
      <c r="G75" s="17" t="s">
        <v>1042</v>
      </c>
      <c r="H75" s="17" t="s">
        <v>1043</v>
      </c>
      <c r="I75" s="17" t="s">
        <v>28</v>
      </c>
      <c r="J75" s="17" t="s">
        <v>1044</v>
      </c>
      <c r="K75" s="18">
        <v>46141</v>
      </c>
      <c r="L75" s="17" t="s">
        <v>24</v>
      </c>
      <c r="M75" s="7" t="s">
        <v>25</v>
      </c>
      <c r="N75" s="17"/>
    </row>
    <row r="76" spans="1:14" ht="51" x14ac:dyDescent="0.25">
      <c r="A76" s="17">
        <v>75</v>
      </c>
      <c r="B76" s="16" t="s">
        <v>1041</v>
      </c>
      <c r="C76" s="17">
        <v>1</v>
      </c>
      <c r="D76" s="17">
        <v>41.9</v>
      </c>
      <c r="E76" s="17"/>
      <c r="F76" s="16" t="s">
        <v>106</v>
      </c>
      <c r="G76" s="17" t="s">
        <v>1045</v>
      </c>
      <c r="H76" s="17" t="s">
        <v>1046</v>
      </c>
      <c r="I76" s="17" t="s">
        <v>34</v>
      </c>
      <c r="J76" s="17" t="s">
        <v>1047</v>
      </c>
      <c r="K76" s="18">
        <v>46142</v>
      </c>
      <c r="L76" s="17" t="s">
        <v>24</v>
      </c>
      <c r="M76" s="7" t="s">
        <v>25</v>
      </c>
      <c r="N76" s="17"/>
    </row>
    <row r="77" spans="1:14" ht="63.75" x14ac:dyDescent="0.25">
      <c r="A77" s="17">
        <v>76</v>
      </c>
      <c r="B77" s="16" t="s">
        <v>1041</v>
      </c>
      <c r="C77" s="17">
        <v>3</v>
      </c>
      <c r="D77" s="17">
        <v>42.4</v>
      </c>
      <c r="E77" s="17"/>
      <c r="F77" s="16" t="s">
        <v>54</v>
      </c>
      <c r="G77" s="17" t="s">
        <v>1048</v>
      </c>
      <c r="H77" s="17" t="s">
        <v>1049</v>
      </c>
      <c r="I77" s="17" t="s">
        <v>34</v>
      </c>
      <c r="J77" s="17" t="s">
        <v>1050</v>
      </c>
      <c r="K77" s="18">
        <v>46155</v>
      </c>
      <c r="L77" s="17" t="s">
        <v>24</v>
      </c>
      <c r="M77" s="7" t="s">
        <v>25</v>
      </c>
      <c r="N77" s="17"/>
    </row>
    <row r="78" spans="1:14" ht="63.75" x14ac:dyDescent="0.25">
      <c r="A78" s="17">
        <v>77</v>
      </c>
      <c r="B78" s="16" t="s">
        <v>1041</v>
      </c>
      <c r="C78" s="17">
        <v>4</v>
      </c>
      <c r="D78" s="17">
        <v>42.7</v>
      </c>
      <c r="E78" s="17"/>
      <c r="F78" s="16" t="s">
        <v>54</v>
      </c>
      <c r="G78" s="17" t="s">
        <v>1051</v>
      </c>
      <c r="H78" s="17" t="s">
        <v>4937</v>
      </c>
      <c r="I78" s="17" t="s">
        <v>34</v>
      </c>
      <c r="J78" s="17" t="s">
        <v>1052</v>
      </c>
      <c r="K78" s="18">
        <v>46155</v>
      </c>
      <c r="L78" s="17" t="s">
        <v>24</v>
      </c>
      <c r="M78" s="7" t="s">
        <v>25</v>
      </c>
      <c r="N78" s="17"/>
    </row>
    <row r="79" spans="1:14" ht="63.75" x14ac:dyDescent="0.25">
      <c r="A79" s="17">
        <v>78</v>
      </c>
      <c r="B79" s="16" t="s">
        <v>1053</v>
      </c>
      <c r="C79" s="17">
        <v>1</v>
      </c>
      <c r="D79" s="17">
        <v>41.9</v>
      </c>
      <c r="E79" s="17"/>
      <c r="F79" s="16" t="s">
        <v>343</v>
      </c>
      <c r="G79" s="17" t="s">
        <v>1054</v>
      </c>
      <c r="H79" s="17" t="s">
        <v>1055</v>
      </c>
      <c r="I79" s="17" t="s">
        <v>34</v>
      </c>
      <c r="J79" s="17" t="s">
        <v>1056</v>
      </c>
      <c r="K79" s="18">
        <v>46154</v>
      </c>
      <c r="L79" s="17" t="s">
        <v>24</v>
      </c>
      <c r="M79" s="7" t="s">
        <v>25</v>
      </c>
      <c r="N79" s="17"/>
    </row>
    <row r="80" spans="1:14" ht="25.5" x14ac:dyDescent="0.25">
      <c r="A80" s="17">
        <v>79</v>
      </c>
      <c r="B80" s="16" t="s">
        <v>1053</v>
      </c>
      <c r="C80" s="17">
        <v>2</v>
      </c>
      <c r="D80" s="17">
        <v>42.2</v>
      </c>
      <c r="E80" s="17"/>
      <c r="F80" s="16" t="s">
        <v>106</v>
      </c>
      <c r="G80" s="17" t="s">
        <v>1057</v>
      </c>
      <c r="H80" s="17" t="s">
        <v>1058</v>
      </c>
      <c r="I80" s="17" t="s">
        <v>28</v>
      </c>
      <c r="J80" s="17" t="s">
        <v>1059</v>
      </c>
      <c r="K80" s="18">
        <v>46141</v>
      </c>
      <c r="L80" s="17" t="s">
        <v>24</v>
      </c>
      <c r="M80" s="7" t="s">
        <v>25</v>
      </c>
      <c r="N80" s="17"/>
    </row>
    <row r="81" spans="1:14" ht="25.5" x14ac:dyDescent="0.25">
      <c r="A81" s="17">
        <v>80</v>
      </c>
      <c r="B81" s="16" t="s">
        <v>1060</v>
      </c>
      <c r="C81" s="17">
        <v>1</v>
      </c>
      <c r="D81" s="17">
        <v>41.7</v>
      </c>
      <c r="E81" s="17"/>
      <c r="F81" s="16" t="s">
        <v>19</v>
      </c>
      <c r="G81" s="17" t="s">
        <v>1061</v>
      </c>
      <c r="H81" s="17" t="s">
        <v>1062</v>
      </c>
      <c r="I81" s="17" t="s">
        <v>28</v>
      </c>
      <c r="J81" s="17" t="s">
        <v>1063</v>
      </c>
      <c r="K81" s="18">
        <v>46136</v>
      </c>
      <c r="L81" s="17" t="s">
        <v>24</v>
      </c>
      <c r="M81" s="7" t="s">
        <v>25</v>
      </c>
      <c r="N81" s="17"/>
    </row>
    <row r="82" spans="1:14" ht="63.75" x14ac:dyDescent="0.25">
      <c r="A82" s="17">
        <v>81</v>
      </c>
      <c r="B82" s="16" t="s">
        <v>1060</v>
      </c>
      <c r="C82" s="17">
        <v>2</v>
      </c>
      <c r="D82" s="17">
        <v>42.1</v>
      </c>
      <c r="E82" s="17"/>
      <c r="F82" s="16" t="s">
        <v>106</v>
      </c>
      <c r="G82" s="17" t="s">
        <v>1064</v>
      </c>
      <c r="H82" s="17" t="s">
        <v>4938</v>
      </c>
      <c r="I82" s="17" t="s">
        <v>34</v>
      </c>
      <c r="J82" s="17" t="s">
        <v>1065</v>
      </c>
      <c r="K82" s="18">
        <v>46141</v>
      </c>
      <c r="L82" s="17" t="s">
        <v>24</v>
      </c>
      <c r="M82" s="7" t="s">
        <v>25</v>
      </c>
      <c r="N82" s="17"/>
    </row>
    <row r="83" spans="1:14" ht="25.5" x14ac:dyDescent="0.25">
      <c r="A83" s="17">
        <v>82</v>
      </c>
      <c r="B83" s="16" t="s">
        <v>1066</v>
      </c>
      <c r="C83" s="17">
        <v>2</v>
      </c>
      <c r="D83" s="17">
        <v>42.4</v>
      </c>
      <c r="E83" s="17"/>
      <c r="F83" s="16" t="s">
        <v>73</v>
      </c>
      <c r="G83" s="17" t="s">
        <v>1067</v>
      </c>
      <c r="H83" s="17" t="s">
        <v>1068</v>
      </c>
      <c r="I83" s="17" t="s">
        <v>28</v>
      </c>
      <c r="J83" s="17" t="s">
        <v>1069</v>
      </c>
      <c r="K83" s="18">
        <v>46156</v>
      </c>
      <c r="L83" s="17" t="s">
        <v>24</v>
      </c>
      <c r="M83" s="7" t="s">
        <v>25</v>
      </c>
      <c r="N83" s="17"/>
    </row>
    <row r="84" spans="1:14" ht="63.75" x14ac:dyDescent="0.25">
      <c r="A84" s="17">
        <v>83</v>
      </c>
      <c r="B84" s="16" t="s">
        <v>1066</v>
      </c>
      <c r="C84" s="17">
        <v>3</v>
      </c>
      <c r="D84" s="17">
        <v>42.7</v>
      </c>
      <c r="E84" s="17"/>
      <c r="F84" s="16" t="s">
        <v>31</v>
      </c>
      <c r="G84" s="17" t="s">
        <v>1070</v>
      </c>
      <c r="H84" s="17" t="s">
        <v>1071</v>
      </c>
      <c r="I84" s="17" t="s">
        <v>34</v>
      </c>
      <c r="J84" s="17" t="s">
        <v>1072</v>
      </c>
      <c r="K84" s="18">
        <v>46140</v>
      </c>
      <c r="L84" s="17" t="s">
        <v>24</v>
      </c>
      <c r="M84" s="7" t="s">
        <v>25</v>
      </c>
      <c r="N84" s="17"/>
    </row>
    <row r="85" spans="1:14" ht="25.5" x14ac:dyDescent="0.25">
      <c r="A85" s="17">
        <v>84</v>
      </c>
      <c r="B85" s="16" t="s">
        <v>1066</v>
      </c>
      <c r="C85" s="17">
        <v>4</v>
      </c>
      <c r="D85" s="17">
        <v>42.7</v>
      </c>
      <c r="E85" s="17"/>
      <c r="F85" s="16" t="s">
        <v>31</v>
      </c>
      <c r="G85" s="17" t="s">
        <v>1073</v>
      </c>
      <c r="H85" s="17" t="s">
        <v>1074</v>
      </c>
      <c r="I85" s="17" t="s">
        <v>22</v>
      </c>
      <c r="J85" s="17" t="s">
        <v>1075</v>
      </c>
      <c r="K85" s="18">
        <v>46140</v>
      </c>
      <c r="L85" s="17" t="s">
        <v>24</v>
      </c>
      <c r="M85" s="7" t="s">
        <v>25</v>
      </c>
      <c r="N85" s="17"/>
    </row>
    <row r="86" spans="1:14" ht="25.5" x14ac:dyDescent="0.25">
      <c r="A86" s="17">
        <v>85</v>
      </c>
      <c r="B86" s="16" t="s">
        <v>1066</v>
      </c>
      <c r="C86" s="17">
        <v>1</v>
      </c>
      <c r="D86" s="17">
        <v>42.9</v>
      </c>
      <c r="E86" s="17"/>
      <c r="F86" s="16" t="s">
        <v>31</v>
      </c>
      <c r="G86" s="17" t="s">
        <v>1076</v>
      </c>
      <c r="H86" s="17" t="s">
        <v>1077</v>
      </c>
      <c r="I86" s="17" t="s">
        <v>28</v>
      </c>
      <c r="J86" s="17" t="s">
        <v>1078</v>
      </c>
      <c r="K86" s="18">
        <v>46142</v>
      </c>
      <c r="L86" s="17" t="s">
        <v>24</v>
      </c>
      <c r="M86" s="7" t="s">
        <v>25</v>
      </c>
      <c r="N86" s="17"/>
    </row>
    <row r="87" spans="1:14" ht="25.5" x14ac:dyDescent="0.25">
      <c r="A87" s="17">
        <v>86</v>
      </c>
      <c r="B87" s="16" t="s">
        <v>1079</v>
      </c>
      <c r="C87" s="17">
        <v>1</v>
      </c>
      <c r="D87" s="17">
        <v>42.4</v>
      </c>
      <c r="E87" s="17"/>
      <c r="F87" s="16" t="s">
        <v>48</v>
      </c>
      <c r="G87" s="17" t="s">
        <v>1080</v>
      </c>
      <c r="H87" s="17" t="s">
        <v>1081</v>
      </c>
      <c r="I87" s="17" t="s">
        <v>112</v>
      </c>
      <c r="J87" s="17" t="s">
        <v>1082</v>
      </c>
      <c r="K87" s="18">
        <v>46144</v>
      </c>
      <c r="L87" s="17" t="s">
        <v>24</v>
      </c>
      <c r="M87" s="7" t="s">
        <v>25</v>
      </c>
      <c r="N87" s="17"/>
    </row>
    <row r="88" spans="1:14" ht="25.5" x14ac:dyDescent="0.25">
      <c r="A88" s="17">
        <v>87</v>
      </c>
      <c r="B88" s="16" t="s">
        <v>1079</v>
      </c>
      <c r="C88" s="17">
        <v>2</v>
      </c>
      <c r="D88" s="17">
        <v>42.4</v>
      </c>
      <c r="E88" s="17"/>
      <c r="F88" s="16" t="s">
        <v>162</v>
      </c>
      <c r="G88" s="17" t="s">
        <v>1083</v>
      </c>
      <c r="H88" s="17" t="s">
        <v>1084</v>
      </c>
      <c r="I88" s="17" t="s">
        <v>42</v>
      </c>
      <c r="J88" s="17" t="s">
        <v>1085</v>
      </c>
      <c r="K88" s="18">
        <v>46136</v>
      </c>
      <c r="L88" s="17" t="s">
        <v>24</v>
      </c>
      <c r="M88" s="7" t="s">
        <v>25</v>
      </c>
      <c r="N88" s="17"/>
    </row>
    <row r="89" spans="1:14" ht="25.5" x14ac:dyDescent="0.25">
      <c r="A89" s="17">
        <v>88</v>
      </c>
      <c r="B89" s="16" t="s">
        <v>1079</v>
      </c>
      <c r="C89" s="17">
        <v>3</v>
      </c>
      <c r="D89" s="17">
        <v>42.4</v>
      </c>
      <c r="E89" s="17"/>
      <c r="F89" s="16" t="s">
        <v>162</v>
      </c>
      <c r="G89" s="17" t="s">
        <v>1086</v>
      </c>
      <c r="H89" s="17" t="s">
        <v>1087</v>
      </c>
      <c r="I89" s="17" t="s">
        <v>388</v>
      </c>
      <c r="J89" s="17" t="s">
        <v>1088</v>
      </c>
      <c r="K89" s="18">
        <v>46150</v>
      </c>
      <c r="L89" s="17" t="s">
        <v>24</v>
      </c>
      <c r="M89" s="7" t="s">
        <v>25</v>
      </c>
      <c r="N89" s="17"/>
    </row>
    <row r="90" spans="1:14" ht="25.5" x14ac:dyDescent="0.25">
      <c r="A90" s="17">
        <v>89</v>
      </c>
      <c r="B90" s="16" t="s">
        <v>1079</v>
      </c>
      <c r="C90" s="17">
        <v>4</v>
      </c>
      <c r="D90" s="17" t="s">
        <v>1089</v>
      </c>
      <c r="E90" s="17"/>
      <c r="F90" s="16" t="s">
        <v>73</v>
      </c>
      <c r="G90" s="17" t="s">
        <v>1090</v>
      </c>
      <c r="H90" s="17" t="s">
        <v>1091</v>
      </c>
      <c r="I90" s="17" t="s">
        <v>28</v>
      </c>
      <c r="J90" s="17" t="s">
        <v>1092</v>
      </c>
      <c r="K90" s="18">
        <v>46148</v>
      </c>
      <c r="L90" s="17" t="s">
        <v>24</v>
      </c>
      <c r="M90" s="7" t="s">
        <v>25</v>
      </c>
      <c r="N90" s="17"/>
    </row>
    <row r="91" spans="1:14" ht="25.5" x14ac:dyDescent="0.25">
      <c r="A91" s="17">
        <v>90</v>
      </c>
      <c r="B91" s="16" t="s">
        <v>1093</v>
      </c>
      <c r="C91" s="17">
        <v>2</v>
      </c>
      <c r="D91" s="17">
        <v>56.5</v>
      </c>
      <c r="E91" s="17"/>
      <c r="F91" s="16" t="s">
        <v>62</v>
      </c>
      <c r="G91" s="17" t="s">
        <v>1094</v>
      </c>
      <c r="H91" s="17" t="s">
        <v>1095</v>
      </c>
      <c r="I91" s="17" t="s">
        <v>22</v>
      </c>
      <c r="J91" s="17" t="s">
        <v>1096</v>
      </c>
      <c r="K91" s="18">
        <v>46134</v>
      </c>
      <c r="L91" s="17" t="s">
        <v>24</v>
      </c>
      <c r="M91" s="7" t="s">
        <v>25</v>
      </c>
      <c r="N91" s="17"/>
    </row>
    <row r="92" spans="1:14" ht="63.75" x14ac:dyDescent="0.25">
      <c r="A92" s="17">
        <v>91</v>
      </c>
      <c r="B92" s="16" t="s">
        <v>1093</v>
      </c>
      <c r="C92" s="17">
        <v>3</v>
      </c>
      <c r="D92" s="17">
        <v>56.5</v>
      </c>
      <c r="E92" s="17"/>
      <c r="F92" s="16" t="s">
        <v>62</v>
      </c>
      <c r="G92" s="17" t="s">
        <v>1097</v>
      </c>
      <c r="H92" s="17" t="s">
        <v>1098</v>
      </c>
      <c r="I92" s="17" t="s">
        <v>34</v>
      </c>
      <c r="J92" s="17" t="s">
        <v>1099</v>
      </c>
      <c r="K92" s="18">
        <v>46133</v>
      </c>
      <c r="L92" s="17" t="s">
        <v>24</v>
      </c>
      <c r="M92" s="7" t="s">
        <v>25</v>
      </c>
      <c r="N92" s="17"/>
    </row>
    <row r="93" spans="1:14" ht="51" x14ac:dyDescent="0.25">
      <c r="A93" s="17">
        <v>92</v>
      </c>
      <c r="B93" s="16" t="s">
        <v>1093</v>
      </c>
      <c r="C93" s="17">
        <v>4</v>
      </c>
      <c r="D93" s="17">
        <v>56.5</v>
      </c>
      <c r="E93" s="17"/>
      <c r="F93" s="16" t="s">
        <v>62</v>
      </c>
      <c r="G93" s="17" t="s">
        <v>1100</v>
      </c>
      <c r="H93" s="17" t="s">
        <v>1101</v>
      </c>
      <c r="I93" s="17" t="s">
        <v>34</v>
      </c>
      <c r="J93" s="17" t="s">
        <v>1102</v>
      </c>
      <c r="K93" s="18">
        <v>46137</v>
      </c>
      <c r="L93" s="17" t="s">
        <v>24</v>
      </c>
      <c r="M93" s="7" t="s">
        <v>25</v>
      </c>
      <c r="N93" s="17"/>
    </row>
    <row r="94" spans="1:14" ht="63.75" x14ac:dyDescent="0.25">
      <c r="A94" s="17">
        <v>93</v>
      </c>
      <c r="B94" s="16" t="s">
        <v>1093</v>
      </c>
      <c r="C94" s="17">
        <v>1</v>
      </c>
      <c r="D94" s="17">
        <v>56.7</v>
      </c>
      <c r="E94" s="17"/>
      <c r="F94" s="16" t="s">
        <v>106</v>
      </c>
      <c r="G94" s="17" t="s">
        <v>1103</v>
      </c>
      <c r="H94" s="17" t="s">
        <v>1104</v>
      </c>
      <c r="I94" s="17" t="s">
        <v>34</v>
      </c>
      <c r="J94" s="17" t="s">
        <v>1105</v>
      </c>
      <c r="K94" s="18">
        <v>46136</v>
      </c>
      <c r="L94" s="17" t="s">
        <v>24</v>
      </c>
      <c r="M94" s="7" t="s">
        <v>25</v>
      </c>
      <c r="N94" s="17"/>
    </row>
    <row r="95" spans="1:14" ht="51" x14ac:dyDescent="0.25">
      <c r="A95" s="17">
        <v>94</v>
      </c>
      <c r="B95" s="16" t="s">
        <v>1106</v>
      </c>
      <c r="C95" s="17">
        <v>2</v>
      </c>
      <c r="D95" s="17">
        <v>56.3</v>
      </c>
      <c r="E95" s="17"/>
      <c r="F95" s="16" t="s">
        <v>31</v>
      </c>
      <c r="G95" s="17" t="s">
        <v>1107</v>
      </c>
      <c r="H95" s="17" t="s">
        <v>1108</v>
      </c>
      <c r="I95" s="17" t="s">
        <v>267</v>
      </c>
      <c r="J95" s="17" t="s">
        <v>1109</v>
      </c>
      <c r="K95" s="18">
        <v>46140</v>
      </c>
      <c r="L95" s="17" t="s">
        <v>24</v>
      </c>
      <c r="M95" s="7" t="s">
        <v>25</v>
      </c>
      <c r="N95" s="17"/>
    </row>
    <row r="96" spans="1:14" ht="25.5" x14ac:dyDescent="0.25">
      <c r="A96" s="17">
        <v>95</v>
      </c>
      <c r="B96" s="16" t="s">
        <v>1106</v>
      </c>
      <c r="C96" s="17">
        <v>3</v>
      </c>
      <c r="D96" s="17">
        <v>56.5</v>
      </c>
      <c r="E96" s="17"/>
      <c r="F96" s="16" t="s">
        <v>162</v>
      </c>
      <c r="G96" s="17" t="s">
        <v>1110</v>
      </c>
      <c r="H96" s="17" t="s">
        <v>1111</v>
      </c>
      <c r="I96" s="17" t="s">
        <v>267</v>
      </c>
      <c r="J96" s="17" t="s">
        <v>1112</v>
      </c>
      <c r="K96" s="18">
        <v>46136</v>
      </c>
      <c r="L96" s="17" t="s">
        <v>24</v>
      </c>
      <c r="M96" s="7" t="s">
        <v>25</v>
      </c>
      <c r="N96" s="17"/>
    </row>
    <row r="97" spans="1:14" ht="25.5" x14ac:dyDescent="0.25">
      <c r="A97" s="17">
        <v>96</v>
      </c>
      <c r="B97" s="16" t="s">
        <v>1106</v>
      </c>
      <c r="C97" s="17">
        <v>4</v>
      </c>
      <c r="D97" s="17">
        <v>56.7</v>
      </c>
      <c r="E97" s="17"/>
      <c r="F97" s="16" t="s">
        <v>162</v>
      </c>
      <c r="G97" s="17" t="s">
        <v>1113</v>
      </c>
      <c r="H97" s="17" t="s">
        <v>1114</v>
      </c>
      <c r="I97" s="17" t="s">
        <v>267</v>
      </c>
      <c r="J97" s="17" t="s">
        <v>1115</v>
      </c>
      <c r="K97" s="18">
        <v>46136</v>
      </c>
      <c r="L97" s="17" t="s">
        <v>24</v>
      </c>
      <c r="M97" s="7" t="s">
        <v>25</v>
      </c>
      <c r="N97" s="17"/>
    </row>
    <row r="98" spans="1:14" ht="25.5" x14ac:dyDescent="0.25">
      <c r="A98" s="17">
        <v>97</v>
      </c>
      <c r="B98" s="16" t="s">
        <v>1106</v>
      </c>
      <c r="C98" s="17">
        <v>1</v>
      </c>
      <c r="D98" s="17">
        <v>56.8</v>
      </c>
      <c r="E98" s="17"/>
      <c r="F98" s="16" t="s">
        <v>31</v>
      </c>
      <c r="G98" s="17" t="s">
        <v>1116</v>
      </c>
      <c r="H98" s="17" t="s">
        <v>1117</v>
      </c>
      <c r="I98" s="17" t="s">
        <v>267</v>
      </c>
      <c r="J98" s="17" t="s">
        <v>1118</v>
      </c>
      <c r="K98" s="18">
        <v>46134</v>
      </c>
      <c r="L98" s="17" t="s">
        <v>24</v>
      </c>
      <c r="M98" s="7" t="s">
        <v>25</v>
      </c>
      <c r="N98" s="17"/>
    </row>
    <row r="99" spans="1:14" ht="63.75" x14ac:dyDescent="0.25">
      <c r="A99" s="17">
        <v>98</v>
      </c>
      <c r="B99" s="16" t="s">
        <v>1119</v>
      </c>
      <c r="C99" s="17">
        <v>3</v>
      </c>
      <c r="D99" s="17">
        <v>56.4</v>
      </c>
      <c r="E99" s="17"/>
      <c r="F99" s="16" t="s">
        <v>151</v>
      </c>
      <c r="G99" s="17" t="s">
        <v>1120</v>
      </c>
      <c r="H99" s="17" t="s">
        <v>1121</v>
      </c>
      <c r="I99" s="17" t="s">
        <v>34</v>
      </c>
      <c r="J99" s="17" t="s">
        <v>1122</v>
      </c>
      <c r="K99" s="18">
        <v>46142</v>
      </c>
      <c r="L99" s="17" t="s">
        <v>24</v>
      </c>
      <c r="M99" s="7" t="s">
        <v>25</v>
      </c>
      <c r="N99" s="17"/>
    </row>
    <row r="100" spans="1:14" ht="25.5" x14ac:dyDescent="0.25">
      <c r="A100" s="17">
        <v>99</v>
      </c>
      <c r="B100" s="16" t="s">
        <v>1119</v>
      </c>
      <c r="C100" s="17">
        <v>4</v>
      </c>
      <c r="D100" s="17">
        <v>56.4</v>
      </c>
      <c r="E100" s="17"/>
      <c r="F100" s="16" t="s">
        <v>151</v>
      </c>
      <c r="G100" s="17" t="s">
        <v>1123</v>
      </c>
      <c r="H100" s="17" t="s">
        <v>1124</v>
      </c>
      <c r="I100" s="17" t="s">
        <v>28</v>
      </c>
      <c r="J100" s="17" t="s">
        <v>1125</v>
      </c>
      <c r="K100" s="18">
        <v>46142</v>
      </c>
      <c r="L100" s="17" t="s">
        <v>24</v>
      </c>
      <c r="M100" s="7" t="s">
        <v>25</v>
      </c>
      <c r="N100" s="17"/>
    </row>
    <row r="101" spans="1:14" ht="25.5" x14ac:dyDescent="0.25">
      <c r="A101" s="17">
        <v>100</v>
      </c>
      <c r="B101" s="16" t="s">
        <v>1119</v>
      </c>
      <c r="C101" s="17">
        <v>1</v>
      </c>
      <c r="D101" s="17">
        <v>56.6</v>
      </c>
      <c r="E101" s="17"/>
      <c r="F101" s="16" t="s">
        <v>121</v>
      </c>
      <c r="G101" s="17" t="s">
        <v>1126</v>
      </c>
      <c r="H101" s="17" t="s">
        <v>1127</v>
      </c>
      <c r="I101" s="17" t="s">
        <v>38</v>
      </c>
      <c r="J101" s="17" t="s">
        <v>1128</v>
      </c>
      <c r="K101" s="18">
        <v>46149</v>
      </c>
      <c r="L101" s="17" t="s">
        <v>24</v>
      </c>
      <c r="M101" s="7" t="s">
        <v>25</v>
      </c>
      <c r="N101" s="17"/>
    </row>
    <row r="102" spans="1:14" ht="38.25" x14ac:dyDescent="0.25">
      <c r="A102" s="17">
        <v>101</v>
      </c>
      <c r="B102" s="16" t="s">
        <v>1119</v>
      </c>
      <c r="C102" s="17">
        <v>2</v>
      </c>
      <c r="D102" s="17">
        <v>56.8</v>
      </c>
      <c r="E102" s="17"/>
      <c r="F102" s="16" t="s">
        <v>54</v>
      </c>
      <c r="G102" s="17" t="s">
        <v>4939</v>
      </c>
      <c r="H102" s="17" t="s">
        <v>1129</v>
      </c>
      <c r="I102" s="17" t="s">
        <v>312</v>
      </c>
      <c r="J102" s="17" t="s">
        <v>1130</v>
      </c>
      <c r="K102" s="18">
        <v>46146</v>
      </c>
      <c r="L102" s="17" t="s">
        <v>24</v>
      </c>
      <c r="M102" s="7" t="s">
        <v>25</v>
      </c>
      <c r="N102" s="17"/>
    </row>
    <row r="103" spans="1:14" ht="51" x14ac:dyDescent="0.25">
      <c r="A103" s="17">
        <v>102</v>
      </c>
      <c r="B103" s="16" t="s">
        <v>1131</v>
      </c>
      <c r="C103" s="17">
        <v>1</v>
      </c>
      <c r="D103" s="17">
        <v>46.8</v>
      </c>
      <c r="E103" s="17"/>
      <c r="F103" s="16" t="s">
        <v>31</v>
      </c>
      <c r="G103" s="17" t="s">
        <v>1132</v>
      </c>
      <c r="H103" s="17" t="s">
        <v>1133</v>
      </c>
      <c r="I103" s="17" t="s">
        <v>34</v>
      </c>
      <c r="J103" s="17" t="s">
        <v>1134</v>
      </c>
      <c r="K103" s="18">
        <v>46157</v>
      </c>
      <c r="L103" s="17" t="s">
        <v>24</v>
      </c>
      <c r="M103" s="7" t="s">
        <v>25</v>
      </c>
      <c r="N103" s="17"/>
    </row>
    <row r="104" spans="1:14" ht="63.75" x14ac:dyDescent="0.25">
      <c r="A104" s="17">
        <v>103</v>
      </c>
      <c r="B104" s="16" t="s">
        <v>1131</v>
      </c>
      <c r="C104" s="17">
        <v>2</v>
      </c>
      <c r="D104" s="17">
        <v>46.9</v>
      </c>
      <c r="E104" s="17"/>
      <c r="F104" s="16" t="s">
        <v>151</v>
      </c>
      <c r="G104" s="17" t="s">
        <v>1135</v>
      </c>
      <c r="H104" s="17" t="s">
        <v>4959</v>
      </c>
      <c r="I104" s="17" t="s">
        <v>34</v>
      </c>
      <c r="J104" s="17" t="s">
        <v>1137</v>
      </c>
      <c r="K104" s="18">
        <v>46146</v>
      </c>
      <c r="L104" s="17" t="s">
        <v>24</v>
      </c>
      <c r="M104" s="7" t="s">
        <v>25</v>
      </c>
      <c r="N104" s="17"/>
    </row>
    <row r="105" spans="1:14" ht="25.5" x14ac:dyDescent="0.25">
      <c r="A105" s="17">
        <v>104</v>
      </c>
      <c r="B105" s="16" t="s">
        <v>1138</v>
      </c>
      <c r="C105" s="17">
        <v>3</v>
      </c>
      <c r="D105" s="17">
        <v>56.5</v>
      </c>
      <c r="E105" s="17"/>
      <c r="F105" s="16" t="s">
        <v>162</v>
      </c>
      <c r="G105" s="17" t="s">
        <v>1139</v>
      </c>
      <c r="H105" s="17" t="s">
        <v>1140</v>
      </c>
      <c r="I105" s="17" t="s">
        <v>22</v>
      </c>
      <c r="J105" s="17" t="s">
        <v>1141</v>
      </c>
      <c r="K105" s="18">
        <v>46148</v>
      </c>
      <c r="L105" s="17" t="s">
        <v>24</v>
      </c>
      <c r="M105" s="7" t="s">
        <v>25</v>
      </c>
      <c r="N105" s="17"/>
    </row>
    <row r="106" spans="1:14" ht="63.75" x14ac:dyDescent="0.25">
      <c r="A106" s="17">
        <v>105</v>
      </c>
      <c r="B106" s="16" t="s">
        <v>1138</v>
      </c>
      <c r="C106" s="17">
        <v>4</v>
      </c>
      <c r="D106" s="17">
        <v>56.6</v>
      </c>
      <c r="E106" s="17"/>
      <c r="F106" s="16" t="s">
        <v>31</v>
      </c>
      <c r="G106" s="17" t="s">
        <v>1142</v>
      </c>
      <c r="H106" s="17" t="s">
        <v>1143</v>
      </c>
      <c r="I106" s="17" t="s">
        <v>293</v>
      </c>
      <c r="J106" s="17" t="s">
        <v>1144</v>
      </c>
      <c r="K106" s="18">
        <v>46140</v>
      </c>
      <c r="L106" s="17" t="s">
        <v>24</v>
      </c>
      <c r="M106" s="7" t="s">
        <v>25</v>
      </c>
      <c r="N106" s="17"/>
    </row>
    <row r="107" spans="1:14" ht="51" x14ac:dyDescent="0.25">
      <c r="A107" s="17">
        <v>106</v>
      </c>
      <c r="B107" s="16" t="s">
        <v>1138</v>
      </c>
      <c r="C107" s="17">
        <v>2</v>
      </c>
      <c r="D107" s="17">
        <v>56.6</v>
      </c>
      <c r="E107" s="17"/>
      <c r="F107" s="16" t="s">
        <v>106</v>
      </c>
      <c r="G107" s="17" t="s">
        <v>1145</v>
      </c>
      <c r="H107" s="17" t="s">
        <v>1146</v>
      </c>
      <c r="I107" s="17" t="s">
        <v>34</v>
      </c>
      <c r="J107" s="17" t="s">
        <v>1147</v>
      </c>
      <c r="K107" s="18">
        <v>46141</v>
      </c>
      <c r="L107" s="17" t="s">
        <v>24</v>
      </c>
      <c r="M107" s="7" t="s">
        <v>25</v>
      </c>
      <c r="N107" s="17"/>
    </row>
    <row r="108" spans="1:14" ht="63.75" x14ac:dyDescent="0.25">
      <c r="A108" s="17">
        <v>107</v>
      </c>
      <c r="B108" s="16" t="s">
        <v>1138</v>
      </c>
      <c r="C108" s="17">
        <v>1</v>
      </c>
      <c r="D108" s="17">
        <v>56.7</v>
      </c>
      <c r="E108" s="17"/>
      <c r="F108" s="16" t="s">
        <v>106</v>
      </c>
      <c r="G108" s="17" t="s">
        <v>1148</v>
      </c>
      <c r="H108" s="17" t="s">
        <v>1149</v>
      </c>
      <c r="I108" s="17" t="s">
        <v>34</v>
      </c>
      <c r="J108" s="17" t="s">
        <v>1150</v>
      </c>
      <c r="K108" s="18">
        <v>46141</v>
      </c>
      <c r="L108" s="17" t="s">
        <v>24</v>
      </c>
      <c r="M108" s="7" t="s">
        <v>25</v>
      </c>
      <c r="N108" s="17"/>
    </row>
    <row r="109" spans="1:14" ht="25.5" x14ac:dyDescent="0.25">
      <c r="A109" s="17">
        <v>108</v>
      </c>
      <c r="B109" s="16" t="s">
        <v>1151</v>
      </c>
      <c r="C109" s="17">
        <v>2</v>
      </c>
      <c r="D109" s="17">
        <v>56.4</v>
      </c>
      <c r="E109" s="17"/>
      <c r="F109" s="16" t="s">
        <v>48</v>
      </c>
      <c r="G109" s="17" t="s">
        <v>1152</v>
      </c>
      <c r="H109" s="17" t="s">
        <v>1153</v>
      </c>
      <c r="I109" s="17" t="s">
        <v>22</v>
      </c>
      <c r="J109" s="17" t="s">
        <v>1154</v>
      </c>
      <c r="K109" s="18">
        <v>46144</v>
      </c>
      <c r="L109" s="17" t="s">
        <v>24</v>
      </c>
      <c r="M109" s="7" t="s">
        <v>25</v>
      </c>
      <c r="N109" s="17"/>
    </row>
    <row r="110" spans="1:14" ht="25.5" x14ac:dyDescent="0.25">
      <c r="A110" s="17">
        <v>109</v>
      </c>
      <c r="B110" s="16" t="s">
        <v>1151</v>
      </c>
      <c r="C110" s="17">
        <v>3</v>
      </c>
      <c r="D110" s="17">
        <v>56.4</v>
      </c>
      <c r="E110" s="17"/>
      <c r="F110" s="16" t="s">
        <v>126</v>
      </c>
      <c r="G110" s="17" t="s">
        <v>1155</v>
      </c>
      <c r="H110" s="17" t="s">
        <v>1156</v>
      </c>
      <c r="I110" s="17" t="s">
        <v>388</v>
      </c>
      <c r="J110" s="17" t="s">
        <v>1157</v>
      </c>
      <c r="K110" s="18">
        <v>46135</v>
      </c>
      <c r="L110" s="17"/>
      <c r="M110" s="7" t="s">
        <v>25</v>
      </c>
      <c r="N110" s="17"/>
    </row>
    <row r="111" spans="1:14" ht="25.5" x14ac:dyDescent="0.25">
      <c r="A111" s="17">
        <v>110</v>
      </c>
      <c r="B111" s="16" t="s">
        <v>1151</v>
      </c>
      <c r="C111" s="17">
        <v>4</v>
      </c>
      <c r="D111" s="17">
        <v>56.5</v>
      </c>
      <c r="E111" s="17"/>
      <c r="F111" s="16" t="s">
        <v>121</v>
      </c>
      <c r="G111" s="17" t="s">
        <v>1158</v>
      </c>
      <c r="H111" s="17" t="s">
        <v>1159</v>
      </c>
      <c r="I111" s="17" t="s">
        <v>112</v>
      </c>
      <c r="J111" s="17" t="s">
        <v>1160</v>
      </c>
      <c r="K111" s="18">
        <v>46134</v>
      </c>
      <c r="L111" s="17" t="s">
        <v>24</v>
      </c>
      <c r="M111" s="7" t="s">
        <v>25</v>
      </c>
      <c r="N111" s="19"/>
    </row>
    <row r="112" spans="1:14" ht="25.5" x14ac:dyDescent="0.25">
      <c r="A112" s="17">
        <v>111</v>
      </c>
      <c r="B112" s="16" t="s">
        <v>1151</v>
      </c>
      <c r="C112" s="17">
        <v>1</v>
      </c>
      <c r="D112" s="17">
        <v>56.6</v>
      </c>
      <c r="E112" s="17"/>
      <c r="F112" s="16" t="s">
        <v>151</v>
      </c>
      <c r="G112" s="17" t="s">
        <v>1161</v>
      </c>
      <c r="H112" s="17" t="s">
        <v>1136</v>
      </c>
      <c r="I112" s="17" t="s">
        <v>28</v>
      </c>
      <c r="J112" s="17" t="s">
        <v>1162</v>
      </c>
      <c r="K112" s="18">
        <v>46142</v>
      </c>
      <c r="L112" s="17" t="s">
        <v>24</v>
      </c>
      <c r="M112" s="7" t="s">
        <v>25</v>
      </c>
      <c r="N112" s="17"/>
    </row>
    <row r="113" spans="1:14" ht="63.75" x14ac:dyDescent="0.25">
      <c r="A113" s="17">
        <v>112</v>
      </c>
      <c r="B113" s="16" t="s">
        <v>1163</v>
      </c>
      <c r="C113" s="17">
        <v>1</v>
      </c>
      <c r="D113" s="17">
        <v>56.4</v>
      </c>
      <c r="E113" s="17"/>
      <c r="F113" s="16" t="s">
        <v>31</v>
      </c>
      <c r="G113" s="17" t="s">
        <v>1164</v>
      </c>
      <c r="H113" s="17" t="s">
        <v>1165</v>
      </c>
      <c r="I113" s="17" t="s">
        <v>293</v>
      </c>
      <c r="J113" s="17" t="s">
        <v>1166</v>
      </c>
      <c r="K113" s="18">
        <v>46136</v>
      </c>
      <c r="L113" s="17" t="s">
        <v>24</v>
      </c>
      <c r="M113" s="7" t="s">
        <v>25</v>
      </c>
      <c r="N113" s="17"/>
    </row>
    <row r="114" spans="1:14" ht="63.75" x14ac:dyDescent="0.25">
      <c r="A114" s="17">
        <v>113</v>
      </c>
      <c r="B114" s="16" t="s">
        <v>1163</v>
      </c>
      <c r="C114" s="17">
        <v>2</v>
      </c>
      <c r="D114" s="17">
        <v>56.5</v>
      </c>
      <c r="E114" s="17"/>
      <c r="F114" s="16" t="s">
        <v>31</v>
      </c>
      <c r="G114" s="17" t="s">
        <v>1167</v>
      </c>
      <c r="H114" s="17" t="s">
        <v>1168</v>
      </c>
      <c r="I114" s="17" t="s">
        <v>34</v>
      </c>
      <c r="J114" s="17" t="s">
        <v>1169</v>
      </c>
      <c r="K114" s="18">
        <v>46149</v>
      </c>
      <c r="L114" s="17" t="s">
        <v>24</v>
      </c>
      <c r="M114" s="7" t="s">
        <v>25</v>
      </c>
      <c r="N114" s="17"/>
    </row>
    <row r="115" spans="1:14" ht="51" x14ac:dyDescent="0.25">
      <c r="A115" s="17">
        <v>114</v>
      </c>
      <c r="B115" s="16" t="s">
        <v>1163</v>
      </c>
      <c r="C115" s="17">
        <v>3</v>
      </c>
      <c r="D115" s="17">
        <v>56.5</v>
      </c>
      <c r="E115" s="17"/>
      <c r="F115" s="16" t="s">
        <v>31</v>
      </c>
      <c r="G115" s="17" t="s">
        <v>1170</v>
      </c>
      <c r="H115" s="17" t="s">
        <v>1171</v>
      </c>
      <c r="I115" s="17" t="s">
        <v>34</v>
      </c>
      <c r="J115" s="17" t="s">
        <v>1172</v>
      </c>
      <c r="K115" s="18">
        <v>46155</v>
      </c>
      <c r="L115" s="17" t="s">
        <v>24</v>
      </c>
      <c r="M115" s="7" t="s">
        <v>25</v>
      </c>
      <c r="N115" s="17"/>
    </row>
    <row r="116" spans="1:14" ht="63.75" x14ac:dyDescent="0.25">
      <c r="A116" s="17">
        <v>115</v>
      </c>
      <c r="B116" s="16" t="s">
        <v>1163</v>
      </c>
      <c r="C116" s="17">
        <v>4</v>
      </c>
      <c r="D116" s="17">
        <v>56.5</v>
      </c>
      <c r="E116" s="17"/>
      <c r="F116" s="16" t="s">
        <v>31</v>
      </c>
      <c r="G116" s="17" t="s">
        <v>1173</v>
      </c>
      <c r="H116" s="17" t="s">
        <v>1174</v>
      </c>
      <c r="I116" s="17" t="s">
        <v>293</v>
      </c>
      <c r="J116" s="17" t="s">
        <v>1175</v>
      </c>
      <c r="K116" s="18">
        <v>46140</v>
      </c>
      <c r="L116" s="17" t="s">
        <v>24</v>
      </c>
      <c r="M116" s="7" t="s">
        <v>25</v>
      </c>
      <c r="N116" s="17"/>
    </row>
    <row r="117" spans="1:14" ht="63.75" x14ac:dyDescent="0.25">
      <c r="A117" s="17">
        <v>116</v>
      </c>
      <c r="B117" s="16" t="s">
        <v>1176</v>
      </c>
      <c r="C117" s="17">
        <v>1</v>
      </c>
      <c r="D117" s="17">
        <v>47.1</v>
      </c>
      <c r="E117" s="17"/>
      <c r="F117" s="16" t="s">
        <v>19</v>
      </c>
      <c r="G117" s="17" t="s">
        <v>1177</v>
      </c>
      <c r="H117" s="17" t="s">
        <v>1178</v>
      </c>
      <c r="I117" s="17" t="s">
        <v>34</v>
      </c>
      <c r="J117" s="17" t="s">
        <v>1179</v>
      </c>
      <c r="K117" s="18">
        <v>46137</v>
      </c>
      <c r="L117" s="17" t="s">
        <v>24</v>
      </c>
      <c r="M117" s="7" t="s">
        <v>25</v>
      </c>
      <c r="N117" s="17"/>
    </row>
    <row r="118" spans="1:14" ht="25.5" x14ac:dyDescent="0.25">
      <c r="A118" s="17">
        <v>117</v>
      </c>
      <c r="B118" s="16" t="s">
        <v>1176</v>
      </c>
      <c r="C118" s="17">
        <v>2</v>
      </c>
      <c r="D118" s="17">
        <v>47.1</v>
      </c>
      <c r="E118" s="17"/>
      <c r="F118" s="16" t="s">
        <v>162</v>
      </c>
      <c r="G118" s="17" t="s">
        <v>1180</v>
      </c>
      <c r="H118" s="17" t="s">
        <v>1181</v>
      </c>
      <c r="I118" s="17" t="s">
        <v>22</v>
      </c>
      <c r="J118" s="17" t="s">
        <v>1182</v>
      </c>
      <c r="K118" s="18">
        <v>46147</v>
      </c>
      <c r="L118" s="17" t="s">
        <v>24</v>
      </c>
      <c r="M118" s="7" t="s">
        <v>25</v>
      </c>
      <c r="N118" s="17"/>
    </row>
    <row r="119" spans="1:14" ht="25.5" x14ac:dyDescent="0.25">
      <c r="A119" s="17">
        <v>118</v>
      </c>
      <c r="B119" s="16" t="s">
        <v>1176</v>
      </c>
      <c r="C119" s="17">
        <v>3</v>
      </c>
      <c r="D119" s="17">
        <v>47.1</v>
      </c>
      <c r="E119" s="17"/>
      <c r="F119" s="16" t="s">
        <v>343</v>
      </c>
      <c r="G119" s="17" t="s">
        <v>1183</v>
      </c>
      <c r="H119" s="17" t="s">
        <v>1184</v>
      </c>
      <c r="I119" s="17" t="s">
        <v>28</v>
      </c>
      <c r="J119" s="17" t="s">
        <v>1185</v>
      </c>
      <c r="K119" s="18">
        <v>46156</v>
      </c>
      <c r="L119" s="17" t="s">
        <v>24</v>
      </c>
      <c r="M119" s="7" t="s">
        <v>25</v>
      </c>
      <c r="N119" s="17"/>
    </row>
    <row r="120" spans="1:14" ht="63.75" x14ac:dyDescent="0.25">
      <c r="A120" s="17">
        <v>119</v>
      </c>
      <c r="B120" s="16" t="s">
        <v>1176</v>
      </c>
      <c r="C120" s="17">
        <v>4</v>
      </c>
      <c r="D120" s="17">
        <v>47.1</v>
      </c>
      <c r="E120" s="17"/>
      <c r="F120" s="16" t="s">
        <v>73</v>
      </c>
      <c r="G120" s="17" t="s">
        <v>1186</v>
      </c>
      <c r="H120" s="17" t="s">
        <v>1187</v>
      </c>
      <c r="I120" s="17" t="s">
        <v>34</v>
      </c>
      <c r="J120" s="17" t="s">
        <v>1188</v>
      </c>
      <c r="K120" s="18">
        <v>46155</v>
      </c>
      <c r="L120" s="17" t="s">
        <v>24</v>
      </c>
      <c r="M120" s="7" t="s">
        <v>25</v>
      </c>
      <c r="N120" s="17"/>
    </row>
    <row r="121" spans="1:14" ht="51" x14ac:dyDescent="0.25">
      <c r="A121" s="17">
        <v>120</v>
      </c>
      <c r="B121" s="16" t="s">
        <v>1189</v>
      </c>
      <c r="C121" s="17">
        <v>3</v>
      </c>
      <c r="D121" s="17">
        <v>42.1</v>
      </c>
      <c r="E121" s="17"/>
      <c r="F121" s="16" t="s">
        <v>19</v>
      </c>
      <c r="G121" s="17" t="s">
        <v>1190</v>
      </c>
      <c r="H121" s="17" t="s">
        <v>1191</v>
      </c>
      <c r="I121" s="17" t="s">
        <v>34</v>
      </c>
      <c r="J121" s="17" t="s">
        <v>1192</v>
      </c>
      <c r="K121" s="18">
        <v>46136</v>
      </c>
      <c r="L121" s="17" t="s">
        <v>24</v>
      </c>
      <c r="M121" s="7" t="s">
        <v>25</v>
      </c>
      <c r="N121" s="17"/>
    </row>
    <row r="122" spans="1:14" ht="25.5" x14ac:dyDescent="0.25">
      <c r="A122" s="17">
        <v>121</v>
      </c>
      <c r="B122" s="16" t="s">
        <v>1189</v>
      </c>
      <c r="C122" s="17">
        <v>4</v>
      </c>
      <c r="D122" s="17">
        <v>42.1</v>
      </c>
      <c r="E122" s="17"/>
      <c r="F122" s="16" t="s">
        <v>86</v>
      </c>
      <c r="G122" s="17" t="s">
        <v>1193</v>
      </c>
      <c r="H122" s="17" t="s">
        <v>1194</v>
      </c>
      <c r="I122" s="17" t="s">
        <v>38</v>
      </c>
      <c r="J122" s="17" t="s">
        <v>1195</v>
      </c>
      <c r="K122" s="18">
        <v>46148</v>
      </c>
      <c r="L122" s="17" t="s">
        <v>24</v>
      </c>
      <c r="M122" s="7" t="s">
        <v>25</v>
      </c>
      <c r="N122" s="17"/>
    </row>
    <row r="123" spans="1:14" ht="25.5" x14ac:dyDescent="0.25">
      <c r="A123" s="17">
        <v>122</v>
      </c>
      <c r="B123" s="16" t="s">
        <v>1189</v>
      </c>
      <c r="C123" s="17">
        <v>1</v>
      </c>
      <c r="D123" s="17">
        <v>42.2</v>
      </c>
      <c r="E123" s="17"/>
      <c r="F123" s="16" t="s">
        <v>343</v>
      </c>
      <c r="G123" s="17" t="s">
        <v>1196</v>
      </c>
      <c r="H123" s="17" t="s">
        <v>1197</v>
      </c>
      <c r="I123" s="17" t="s">
        <v>28</v>
      </c>
      <c r="J123" s="17" t="s">
        <v>1198</v>
      </c>
      <c r="K123" s="18">
        <v>46140</v>
      </c>
      <c r="L123" s="17" t="s">
        <v>24</v>
      </c>
      <c r="M123" s="7" t="s">
        <v>25</v>
      </c>
      <c r="N123" s="17"/>
    </row>
    <row r="124" spans="1:14" ht="25.5" x14ac:dyDescent="0.25">
      <c r="A124" s="17">
        <v>123</v>
      </c>
      <c r="B124" s="16" t="s">
        <v>1189</v>
      </c>
      <c r="C124" s="17">
        <v>2</v>
      </c>
      <c r="D124" s="17">
        <v>42.3</v>
      </c>
      <c r="E124" s="17"/>
      <c r="F124" s="16" t="s">
        <v>19</v>
      </c>
      <c r="G124" s="17" t="s">
        <v>1199</v>
      </c>
      <c r="H124" s="17" t="s">
        <v>1200</v>
      </c>
      <c r="I124" s="17" t="s">
        <v>28</v>
      </c>
      <c r="J124" s="17" t="s">
        <v>1201</v>
      </c>
      <c r="K124" s="18">
        <v>46137</v>
      </c>
      <c r="L124" s="17" t="s">
        <v>24</v>
      </c>
      <c r="M124" s="7" t="s">
        <v>25</v>
      </c>
      <c r="N124" s="17"/>
    </row>
    <row r="125" spans="1:14" ht="63.75" x14ac:dyDescent="0.25">
      <c r="A125" s="17">
        <v>124</v>
      </c>
      <c r="B125" s="16" t="s">
        <v>1202</v>
      </c>
      <c r="C125" s="17">
        <v>3</v>
      </c>
      <c r="D125" s="17">
        <v>42.6</v>
      </c>
      <c r="E125" s="17"/>
      <c r="F125" s="16" t="s">
        <v>31</v>
      </c>
      <c r="G125" s="17" t="s">
        <v>1203</v>
      </c>
      <c r="H125" s="17" t="s">
        <v>1204</v>
      </c>
      <c r="I125" s="17" t="s">
        <v>34</v>
      </c>
      <c r="J125" s="17" t="s">
        <v>1205</v>
      </c>
      <c r="K125" s="18">
        <v>46140</v>
      </c>
      <c r="L125" s="17" t="s">
        <v>24</v>
      </c>
      <c r="M125" s="7" t="s">
        <v>25</v>
      </c>
      <c r="N125" s="17"/>
    </row>
    <row r="126" spans="1:14" ht="25.5" x14ac:dyDescent="0.25">
      <c r="A126" s="17">
        <v>125</v>
      </c>
      <c r="B126" s="16" t="s">
        <v>1202</v>
      </c>
      <c r="C126" s="17">
        <v>4</v>
      </c>
      <c r="D126" s="17">
        <v>42.6</v>
      </c>
      <c r="E126" s="17"/>
      <c r="F126" s="16" t="s">
        <v>19</v>
      </c>
      <c r="G126" s="17" t="s">
        <v>4859</v>
      </c>
      <c r="H126" s="17" t="s">
        <v>1206</v>
      </c>
      <c r="I126" s="17" t="s">
        <v>28</v>
      </c>
      <c r="J126" s="17" t="s">
        <v>1207</v>
      </c>
      <c r="K126" s="18">
        <v>46136</v>
      </c>
      <c r="L126" s="17" t="s">
        <v>24</v>
      </c>
      <c r="M126" s="7" t="s">
        <v>25</v>
      </c>
      <c r="N126" s="17"/>
    </row>
    <row r="127" spans="1:14" ht="25.5" x14ac:dyDescent="0.25">
      <c r="A127" s="17">
        <v>126</v>
      </c>
      <c r="B127" s="16" t="s">
        <v>1202</v>
      </c>
      <c r="C127" s="17">
        <v>2</v>
      </c>
      <c r="D127" s="17">
        <v>42.9</v>
      </c>
      <c r="E127" s="17"/>
      <c r="F127" s="16" t="s">
        <v>338</v>
      </c>
      <c r="G127" s="17" t="s">
        <v>1208</v>
      </c>
      <c r="H127" s="17" t="s">
        <v>4947</v>
      </c>
      <c r="I127" s="17" t="s">
        <v>28</v>
      </c>
      <c r="J127" s="17" t="s">
        <v>1209</v>
      </c>
      <c r="K127" s="18">
        <v>46134</v>
      </c>
      <c r="L127" s="17" t="s">
        <v>24</v>
      </c>
      <c r="M127" s="7" t="s">
        <v>25</v>
      </c>
      <c r="N127" s="17"/>
    </row>
    <row r="128" spans="1:14" ht="25.5" x14ac:dyDescent="0.25">
      <c r="A128" s="17">
        <v>127</v>
      </c>
      <c r="B128" s="16" t="s">
        <v>1202</v>
      </c>
      <c r="C128" s="17">
        <v>1</v>
      </c>
      <c r="D128" s="17">
        <v>43.1</v>
      </c>
      <c r="E128" s="17"/>
      <c r="F128" s="16" t="s">
        <v>48</v>
      </c>
      <c r="G128" s="17" t="s">
        <v>1210</v>
      </c>
      <c r="H128" s="17" t="s">
        <v>1211</v>
      </c>
      <c r="I128" s="17" t="s">
        <v>28</v>
      </c>
      <c r="J128" s="17" t="s">
        <v>1212</v>
      </c>
      <c r="K128" s="18">
        <v>46149</v>
      </c>
      <c r="L128" s="17" t="s">
        <v>24</v>
      </c>
      <c r="M128" s="7" t="s">
        <v>25</v>
      </c>
      <c r="N128" s="17"/>
    </row>
    <row r="129" spans="1:14" ht="25.5" x14ac:dyDescent="0.25">
      <c r="A129" s="17">
        <v>128</v>
      </c>
      <c r="B129" s="16" t="s">
        <v>1213</v>
      </c>
      <c r="C129" s="17">
        <v>2</v>
      </c>
      <c r="D129" s="17">
        <v>42.6</v>
      </c>
      <c r="E129" s="17"/>
      <c r="F129" s="16" t="s">
        <v>48</v>
      </c>
      <c r="G129" s="17" t="s">
        <v>1214</v>
      </c>
      <c r="H129" s="17" t="s">
        <v>1215</v>
      </c>
      <c r="I129" s="17" t="s">
        <v>22</v>
      </c>
      <c r="J129" s="17" t="s">
        <v>1216</v>
      </c>
      <c r="K129" s="18">
        <v>46144</v>
      </c>
      <c r="L129" s="17" t="s">
        <v>24</v>
      </c>
      <c r="M129" s="7" t="s">
        <v>25</v>
      </c>
      <c r="N129" s="17"/>
    </row>
    <row r="130" spans="1:14" ht="25.5" x14ac:dyDescent="0.25">
      <c r="A130" s="17">
        <v>129</v>
      </c>
      <c r="B130" s="16" t="s">
        <v>1213</v>
      </c>
      <c r="C130" s="17">
        <v>1</v>
      </c>
      <c r="D130" s="17">
        <v>42.8</v>
      </c>
      <c r="E130" s="17"/>
      <c r="F130" s="16" t="s">
        <v>162</v>
      </c>
      <c r="G130" s="17" t="s">
        <v>1217</v>
      </c>
      <c r="H130" s="17" t="s">
        <v>1218</v>
      </c>
      <c r="I130" s="17" t="s">
        <v>267</v>
      </c>
      <c r="J130" s="17" t="s">
        <v>1219</v>
      </c>
      <c r="K130" s="18">
        <v>46136</v>
      </c>
      <c r="L130" s="17" t="s">
        <v>24</v>
      </c>
      <c r="M130" s="7" t="s">
        <v>25</v>
      </c>
      <c r="N130" s="17"/>
    </row>
    <row r="131" spans="1:14" ht="63.75" x14ac:dyDescent="0.25">
      <c r="A131" s="17">
        <v>130</v>
      </c>
      <c r="B131" s="16" t="s">
        <v>1213</v>
      </c>
      <c r="C131" s="17">
        <v>4</v>
      </c>
      <c r="D131" s="17">
        <v>42.8</v>
      </c>
      <c r="E131" s="17"/>
      <c r="F131" s="16" t="s">
        <v>162</v>
      </c>
      <c r="G131" s="17" t="s">
        <v>1220</v>
      </c>
      <c r="H131" s="17" t="s">
        <v>1221</v>
      </c>
      <c r="I131" s="17" t="s">
        <v>34</v>
      </c>
      <c r="J131" s="17" t="s">
        <v>1222</v>
      </c>
      <c r="K131" s="18">
        <v>46144</v>
      </c>
      <c r="L131" s="17" t="s">
        <v>24</v>
      </c>
      <c r="M131" s="7" t="s">
        <v>25</v>
      </c>
      <c r="N131" s="17"/>
    </row>
    <row r="132" spans="1:14" ht="25.5" x14ac:dyDescent="0.25">
      <c r="A132" s="17">
        <v>131</v>
      </c>
      <c r="B132" s="16" t="s">
        <v>1213</v>
      </c>
      <c r="C132" s="17">
        <v>3</v>
      </c>
      <c r="D132" s="17">
        <v>43</v>
      </c>
      <c r="E132" s="17"/>
      <c r="F132" s="16" t="s">
        <v>106</v>
      </c>
      <c r="G132" s="17" t="s">
        <v>1223</v>
      </c>
      <c r="H132" s="17" t="s">
        <v>1224</v>
      </c>
      <c r="I132" s="17" t="s">
        <v>28</v>
      </c>
      <c r="J132" s="17" t="s">
        <v>1225</v>
      </c>
      <c r="K132" s="18">
        <v>46141</v>
      </c>
      <c r="L132" s="17" t="s">
        <v>24</v>
      </c>
      <c r="M132" s="7" t="s">
        <v>25</v>
      </c>
      <c r="N132" s="17"/>
    </row>
    <row r="133" spans="1:14" ht="25.5" x14ac:dyDescent="0.25">
      <c r="A133" s="17">
        <v>132</v>
      </c>
      <c r="B133" s="16" t="s">
        <v>1226</v>
      </c>
      <c r="C133" s="17">
        <v>3</v>
      </c>
      <c r="D133" s="17">
        <v>42</v>
      </c>
      <c r="E133" s="17"/>
      <c r="F133" s="16" t="s">
        <v>62</v>
      </c>
      <c r="G133" s="17" t="s">
        <v>4902</v>
      </c>
      <c r="H133" s="17" t="s">
        <v>1227</v>
      </c>
      <c r="I133" s="17" t="s">
        <v>267</v>
      </c>
      <c r="J133" s="17" t="s">
        <v>1228</v>
      </c>
      <c r="K133" s="18">
        <v>46134</v>
      </c>
      <c r="L133" s="17" t="s">
        <v>24</v>
      </c>
      <c r="M133" s="7" t="s">
        <v>25</v>
      </c>
      <c r="N133" s="17"/>
    </row>
    <row r="134" spans="1:14" ht="25.5" x14ac:dyDescent="0.25">
      <c r="A134" s="17">
        <v>133</v>
      </c>
      <c r="B134" s="16" t="s">
        <v>1226</v>
      </c>
      <c r="C134" s="17">
        <v>1</v>
      </c>
      <c r="D134" s="17">
        <v>42.1</v>
      </c>
      <c r="E134" s="17"/>
      <c r="F134" s="16" t="s">
        <v>101</v>
      </c>
      <c r="G134" s="17" t="s">
        <v>1229</v>
      </c>
      <c r="H134" s="17" t="s">
        <v>1230</v>
      </c>
      <c r="I134" s="17" t="s">
        <v>267</v>
      </c>
      <c r="J134" s="17" t="s">
        <v>1231</v>
      </c>
      <c r="K134" s="18">
        <v>46134</v>
      </c>
      <c r="L134" s="17" t="s">
        <v>24</v>
      </c>
      <c r="M134" s="7" t="s">
        <v>25</v>
      </c>
      <c r="N134" s="17"/>
    </row>
    <row r="135" spans="1:14" ht="63.75" x14ac:dyDescent="0.25">
      <c r="A135" s="17">
        <v>134</v>
      </c>
      <c r="B135" s="16" t="s">
        <v>1226</v>
      </c>
      <c r="C135" s="17">
        <v>2</v>
      </c>
      <c r="D135" s="17">
        <v>42.1</v>
      </c>
      <c r="E135" s="17"/>
      <c r="F135" s="16" t="s">
        <v>101</v>
      </c>
      <c r="G135" s="17" t="s">
        <v>1232</v>
      </c>
      <c r="H135" s="17" t="s">
        <v>1233</v>
      </c>
      <c r="I135" s="17" t="s">
        <v>34</v>
      </c>
      <c r="J135" s="17" t="s">
        <v>1234</v>
      </c>
      <c r="K135" s="18">
        <v>46137</v>
      </c>
      <c r="L135" s="17" t="s">
        <v>24</v>
      </c>
      <c r="M135" s="7" t="s">
        <v>25</v>
      </c>
      <c r="N135" s="17"/>
    </row>
    <row r="136" spans="1:14" ht="63.75" x14ac:dyDescent="0.25">
      <c r="A136" s="17">
        <v>135</v>
      </c>
      <c r="B136" s="16" t="s">
        <v>1226</v>
      </c>
      <c r="C136" s="17">
        <v>4</v>
      </c>
      <c r="D136" s="17">
        <v>42.3</v>
      </c>
      <c r="E136" s="17"/>
      <c r="F136" s="16" t="s">
        <v>54</v>
      </c>
      <c r="G136" s="17" t="s">
        <v>1235</v>
      </c>
      <c r="H136" s="17" t="s">
        <v>1236</v>
      </c>
      <c r="I136" s="17" t="s">
        <v>34</v>
      </c>
      <c r="J136" s="17" t="s">
        <v>1237</v>
      </c>
      <c r="K136" s="18">
        <v>46157</v>
      </c>
      <c r="L136" s="17" t="s">
        <v>24</v>
      </c>
      <c r="M136" s="7" t="s">
        <v>25</v>
      </c>
      <c r="N136" s="17"/>
    </row>
    <row r="137" spans="1:14" ht="63.75" x14ac:dyDescent="0.25">
      <c r="A137" s="17">
        <v>136</v>
      </c>
      <c r="B137" s="16" t="s">
        <v>1238</v>
      </c>
      <c r="C137" s="17">
        <v>3</v>
      </c>
      <c r="D137" s="17">
        <v>56.5</v>
      </c>
      <c r="E137" s="17"/>
      <c r="F137" s="16" t="s">
        <v>343</v>
      </c>
      <c r="G137" s="17" t="s">
        <v>1239</v>
      </c>
      <c r="H137" s="17" t="s">
        <v>1240</v>
      </c>
      <c r="I137" s="17" t="s">
        <v>34</v>
      </c>
      <c r="J137" s="17" t="s">
        <v>1241</v>
      </c>
      <c r="K137" s="17" t="s">
        <v>1242</v>
      </c>
      <c r="L137" s="17" t="s">
        <v>24</v>
      </c>
      <c r="M137" s="7" t="s">
        <v>25</v>
      </c>
      <c r="N137" s="17"/>
    </row>
    <row r="138" spans="1:14" ht="51" x14ac:dyDescent="0.25">
      <c r="A138" s="17">
        <v>137</v>
      </c>
      <c r="B138" s="16" t="s">
        <v>1238</v>
      </c>
      <c r="C138" s="17">
        <v>4</v>
      </c>
      <c r="D138" s="17">
        <v>56.5</v>
      </c>
      <c r="E138" s="17"/>
      <c r="F138" s="16" t="s">
        <v>151</v>
      </c>
      <c r="G138" s="17" t="s">
        <v>1243</v>
      </c>
      <c r="H138" s="17" t="s">
        <v>1244</v>
      </c>
      <c r="I138" s="17" t="s">
        <v>34</v>
      </c>
      <c r="J138" s="17" t="s">
        <v>1245</v>
      </c>
      <c r="K138" s="18">
        <v>46157</v>
      </c>
      <c r="L138" s="17" t="s">
        <v>24</v>
      </c>
      <c r="M138" s="7" t="s">
        <v>25</v>
      </c>
      <c r="N138" s="17"/>
    </row>
    <row r="139" spans="1:14" ht="51" x14ac:dyDescent="0.25">
      <c r="A139" s="17">
        <v>138</v>
      </c>
      <c r="B139" s="16" t="s">
        <v>1238</v>
      </c>
      <c r="C139" s="17">
        <v>1</v>
      </c>
      <c r="D139" s="17">
        <v>56.7</v>
      </c>
      <c r="E139" s="17"/>
      <c r="F139" s="16" t="s">
        <v>121</v>
      </c>
      <c r="G139" s="17" t="s">
        <v>1246</v>
      </c>
      <c r="H139" s="17" t="s">
        <v>1247</v>
      </c>
      <c r="I139" s="17" t="s">
        <v>34</v>
      </c>
      <c r="J139" s="17" t="s">
        <v>1248</v>
      </c>
      <c r="K139" s="18">
        <v>46149</v>
      </c>
      <c r="L139" s="17" t="s">
        <v>24</v>
      </c>
      <c r="M139" s="7" t="s">
        <v>25</v>
      </c>
      <c r="N139" s="17"/>
    </row>
    <row r="140" spans="1:14" x14ac:dyDescent="0.25">
      <c r="A140" s="14">
        <v>139</v>
      </c>
      <c r="B140" s="15" t="s">
        <v>1238</v>
      </c>
      <c r="C140" s="14">
        <v>2</v>
      </c>
      <c r="D140" s="14">
        <v>56.9</v>
      </c>
      <c r="E140" s="17"/>
      <c r="F140" s="15" t="s">
        <v>126</v>
      </c>
      <c r="G140" s="14"/>
      <c r="H140" s="14"/>
      <c r="I140" s="14"/>
      <c r="J140" s="14"/>
      <c r="K140" s="14"/>
      <c r="L140" s="14"/>
      <c r="M140" s="7" t="s">
        <v>286</v>
      </c>
      <c r="N140" s="14"/>
    </row>
    <row r="141" spans="1:14" ht="25.5" x14ac:dyDescent="0.25">
      <c r="A141" s="17">
        <v>140</v>
      </c>
      <c r="B141" s="16" t="s">
        <v>1249</v>
      </c>
      <c r="C141" s="17">
        <v>3</v>
      </c>
      <c r="D141" s="17">
        <v>56.5</v>
      </c>
      <c r="E141" s="17"/>
      <c r="F141" s="16" t="s">
        <v>48</v>
      </c>
      <c r="G141" s="17" t="s">
        <v>1250</v>
      </c>
      <c r="H141" s="17" t="s">
        <v>1251</v>
      </c>
      <c r="I141" s="17" t="s">
        <v>22</v>
      </c>
      <c r="J141" s="17" t="s">
        <v>1252</v>
      </c>
      <c r="K141" s="18">
        <v>46149</v>
      </c>
      <c r="L141" s="17" t="s">
        <v>24</v>
      </c>
      <c r="M141" s="7" t="s">
        <v>25</v>
      </c>
      <c r="N141" s="17"/>
    </row>
    <row r="142" spans="1:14" ht="63.75" x14ac:dyDescent="0.25">
      <c r="A142" s="17">
        <v>141</v>
      </c>
      <c r="B142" s="16" t="s">
        <v>1249</v>
      </c>
      <c r="C142" s="17">
        <v>4</v>
      </c>
      <c r="D142" s="17">
        <v>56.5</v>
      </c>
      <c r="E142" s="17"/>
      <c r="F142" s="16" t="s">
        <v>162</v>
      </c>
      <c r="G142" s="17" t="s">
        <v>1253</v>
      </c>
      <c r="H142" s="17" t="s">
        <v>1254</v>
      </c>
      <c r="I142" s="17" t="s">
        <v>293</v>
      </c>
      <c r="J142" s="17" t="s">
        <v>1255</v>
      </c>
      <c r="K142" s="18">
        <v>46144</v>
      </c>
      <c r="L142" s="17" t="s">
        <v>24</v>
      </c>
      <c r="M142" s="7" t="s">
        <v>25</v>
      </c>
      <c r="N142" s="17"/>
    </row>
    <row r="143" spans="1:14" ht="25.5" x14ac:dyDescent="0.25">
      <c r="A143" s="17">
        <v>142</v>
      </c>
      <c r="B143" s="16" t="s">
        <v>1249</v>
      </c>
      <c r="C143" s="17">
        <v>1</v>
      </c>
      <c r="D143" s="17">
        <v>56.6</v>
      </c>
      <c r="E143" s="17"/>
      <c r="F143" s="16" t="s">
        <v>106</v>
      </c>
      <c r="G143" s="17" t="s">
        <v>1256</v>
      </c>
      <c r="H143" s="17" t="s">
        <v>1257</v>
      </c>
      <c r="I143" s="17" t="s">
        <v>28</v>
      </c>
      <c r="J143" s="17" t="s">
        <v>1258</v>
      </c>
      <c r="K143" s="18">
        <v>46141</v>
      </c>
      <c r="L143" s="17" t="s">
        <v>24</v>
      </c>
      <c r="M143" s="7" t="s">
        <v>25</v>
      </c>
      <c r="N143" s="17"/>
    </row>
    <row r="144" spans="1:14" ht="25.5" x14ac:dyDescent="0.25">
      <c r="A144" s="17">
        <v>143</v>
      </c>
      <c r="B144" s="16" t="s">
        <v>1249</v>
      </c>
      <c r="C144" s="17">
        <v>2</v>
      </c>
      <c r="D144" s="17">
        <v>56.8</v>
      </c>
      <c r="E144" s="17"/>
      <c r="F144" s="16" t="s">
        <v>101</v>
      </c>
      <c r="G144" s="17" t="s">
        <v>1259</v>
      </c>
      <c r="H144" s="17" t="s">
        <v>1260</v>
      </c>
      <c r="I144" s="17" t="s">
        <v>28</v>
      </c>
      <c r="J144" s="17" t="s">
        <v>1261</v>
      </c>
      <c r="K144" s="18">
        <v>46142</v>
      </c>
      <c r="L144" s="17" t="s">
        <v>24</v>
      </c>
      <c r="M144" s="7" t="s">
        <v>25</v>
      </c>
      <c r="N144" s="17"/>
    </row>
    <row r="145" spans="1:14" ht="25.5" x14ac:dyDescent="0.25">
      <c r="A145" s="17">
        <v>144</v>
      </c>
      <c r="B145" s="16" t="s">
        <v>1262</v>
      </c>
      <c r="C145" s="17">
        <v>2</v>
      </c>
      <c r="D145" s="17">
        <v>56.3</v>
      </c>
      <c r="E145" s="17"/>
      <c r="F145" s="16" t="s">
        <v>151</v>
      </c>
      <c r="G145" s="17" t="s">
        <v>1263</v>
      </c>
      <c r="H145" s="17" t="s">
        <v>1264</v>
      </c>
      <c r="I145" s="17" t="s">
        <v>267</v>
      </c>
      <c r="J145" s="17" t="s">
        <v>1265</v>
      </c>
      <c r="K145" s="18">
        <v>46142</v>
      </c>
      <c r="L145" s="17" t="s">
        <v>24</v>
      </c>
      <c r="M145" s="7" t="s">
        <v>25</v>
      </c>
      <c r="N145" s="17"/>
    </row>
    <row r="146" spans="1:14" ht="63.75" x14ac:dyDescent="0.25">
      <c r="A146" s="17">
        <v>145</v>
      </c>
      <c r="B146" s="16" t="s">
        <v>1262</v>
      </c>
      <c r="C146" s="17">
        <v>3</v>
      </c>
      <c r="D146" s="17">
        <v>56.5</v>
      </c>
      <c r="E146" s="17"/>
      <c r="F146" s="16" t="s">
        <v>343</v>
      </c>
      <c r="G146" s="17" t="s">
        <v>1266</v>
      </c>
      <c r="H146" s="17" t="s">
        <v>1267</v>
      </c>
      <c r="I146" s="17" t="s">
        <v>34</v>
      </c>
      <c r="J146" s="12"/>
      <c r="K146" s="12"/>
      <c r="L146" s="17" t="s">
        <v>24</v>
      </c>
      <c r="M146" s="7" t="s">
        <v>25</v>
      </c>
      <c r="N146" s="17"/>
    </row>
    <row r="147" spans="1:14" ht="63.75" x14ac:dyDescent="0.25">
      <c r="A147" s="17">
        <v>146</v>
      </c>
      <c r="B147" s="16" t="s">
        <v>1262</v>
      </c>
      <c r="C147" s="17">
        <v>4</v>
      </c>
      <c r="D147" s="17">
        <v>56.5</v>
      </c>
      <c r="E147" s="17"/>
      <c r="F147" s="16" t="s">
        <v>19</v>
      </c>
      <c r="G147" s="17" t="s">
        <v>1268</v>
      </c>
      <c r="H147" s="17" t="s">
        <v>1269</v>
      </c>
      <c r="I147" s="17" t="s">
        <v>293</v>
      </c>
      <c r="J147" s="17" t="s">
        <v>1270</v>
      </c>
      <c r="K147" s="18">
        <v>46136</v>
      </c>
      <c r="L147" s="17" t="s">
        <v>24</v>
      </c>
      <c r="M147" s="7" t="s">
        <v>25</v>
      </c>
      <c r="N147" s="17"/>
    </row>
    <row r="148" spans="1:14" ht="63.75" x14ac:dyDescent="0.25">
      <c r="A148" s="17">
        <v>147</v>
      </c>
      <c r="B148" s="16" t="s">
        <v>1262</v>
      </c>
      <c r="C148" s="17">
        <v>1</v>
      </c>
      <c r="D148" s="17">
        <v>56.7</v>
      </c>
      <c r="E148" s="17"/>
      <c r="F148" s="16" t="s">
        <v>343</v>
      </c>
      <c r="G148" s="17" t="s">
        <v>1271</v>
      </c>
      <c r="H148" s="17" t="s">
        <v>1272</v>
      </c>
      <c r="I148" s="17" t="s">
        <v>34</v>
      </c>
      <c r="J148" s="17" t="s">
        <v>1273</v>
      </c>
      <c r="K148" s="18">
        <v>46148</v>
      </c>
      <c r="L148" s="17" t="s">
        <v>24</v>
      </c>
      <c r="M148" s="7" t="s">
        <v>25</v>
      </c>
      <c r="N148" s="17"/>
    </row>
    <row r="149" spans="1:14" ht="38.25" x14ac:dyDescent="0.25">
      <c r="A149" s="17">
        <v>148</v>
      </c>
      <c r="B149" s="16" t="s">
        <v>1274</v>
      </c>
      <c r="C149" s="17">
        <v>4</v>
      </c>
      <c r="D149" s="17">
        <v>56.1</v>
      </c>
      <c r="E149" s="17"/>
      <c r="F149" s="16" t="s">
        <v>19</v>
      </c>
      <c r="G149" s="17" t="s">
        <v>1275</v>
      </c>
      <c r="H149" s="17" t="s">
        <v>1276</v>
      </c>
      <c r="I149" s="17" t="s">
        <v>34</v>
      </c>
      <c r="J149" s="17" t="s">
        <v>1277</v>
      </c>
      <c r="K149" s="18">
        <v>46136</v>
      </c>
      <c r="L149" s="17" t="s">
        <v>24</v>
      </c>
      <c r="M149" s="7" t="s">
        <v>25</v>
      </c>
      <c r="N149" s="17"/>
    </row>
    <row r="150" spans="1:14" ht="63.75" x14ac:dyDescent="0.25">
      <c r="A150" s="17">
        <v>149</v>
      </c>
      <c r="B150" s="16" t="s">
        <v>1274</v>
      </c>
      <c r="C150" s="17">
        <v>3</v>
      </c>
      <c r="D150" s="17">
        <v>56.4</v>
      </c>
      <c r="E150" s="17"/>
      <c r="F150" s="16" t="s">
        <v>19</v>
      </c>
      <c r="G150" s="17" t="s">
        <v>1278</v>
      </c>
      <c r="H150" s="17" t="s">
        <v>1279</v>
      </c>
      <c r="I150" s="17" t="s">
        <v>34</v>
      </c>
      <c r="J150" s="17" t="s">
        <v>1280</v>
      </c>
      <c r="K150" s="18">
        <v>46137</v>
      </c>
      <c r="L150" s="17" t="s">
        <v>24</v>
      </c>
      <c r="M150" s="7" t="s">
        <v>25</v>
      </c>
      <c r="N150" s="17"/>
    </row>
    <row r="151" spans="1:14" ht="25.5" x14ac:dyDescent="0.25">
      <c r="A151" s="17">
        <v>150</v>
      </c>
      <c r="B151" s="16" t="s">
        <v>1274</v>
      </c>
      <c r="C151" s="17">
        <v>1</v>
      </c>
      <c r="D151" s="17">
        <v>56.6</v>
      </c>
      <c r="E151" s="17"/>
      <c r="F151" s="16" t="s">
        <v>19</v>
      </c>
      <c r="G151" s="17" t="s">
        <v>1281</v>
      </c>
      <c r="H151" s="17" t="s">
        <v>1282</v>
      </c>
      <c r="I151" s="17" t="s">
        <v>112</v>
      </c>
      <c r="J151" s="17" t="s">
        <v>1283</v>
      </c>
      <c r="K151" s="18">
        <v>46136</v>
      </c>
      <c r="L151" s="17" t="s">
        <v>24</v>
      </c>
      <c r="M151" s="7" t="s">
        <v>25</v>
      </c>
      <c r="N151" s="17"/>
    </row>
    <row r="152" spans="1:14" ht="25.5" x14ac:dyDescent="0.25">
      <c r="A152" s="17">
        <v>151</v>
      </c>
      <c r="B152" s="16" t="s">
        <v>1274</v>
      </c>
      <c r="C152" s="17">
        <v>2</v>
      </c>
      <c r="D152" s="17">
        <v>56.6</v>
      </c>
      <c r="E152" s="17"/>
      <c r="F152" s="16" t="s">
        <v>19</v>
      </c>
      <c r="G152" s="17" t="s">
        <v>1284</v>
      </c>
      <c r="H152" s="17" t="s">
        <v>1285</v>
      </c>
      <c r="I152" s="17" t="s">
        <v>28</v>
      </c>
      <c r="J152" s="17" t="s">
        <v>1286</v>
      </c>
      <c r="K152" s="18">
        <v>46137</v>
      </c>
      <c r="L152" s="17" t="s">
        <v>24</v>
      </c>
      <c r="M152" s="7" t="s">
        <v>25</v>
      </c>
      <c r="N152" s="17"/>
    </row>
    <row r="153" spans="1:14" ht="25.5" x14ac:dyDescent="0.25">
      <c r="A153" s="17">
        <v>152</v>
      </c>
      <c r="B153" s="16" t="s">
        <v>1287</v>
      </c>
      <c r="C153" s="17">
        <v>4</v>
      </c>
      <c r="D153" s="17">
        <v>56.5</v>
      </c>
      <c r="E153" s="17"/>
      <c r="F153" s="16" t="s">
        <v>126</v>
      </c>
      <c r="G153" s="17" t="s">
        <v>1288</v>
      </c>
      <c r="H153" s="17" t="s">
        <v>1289</v>
      </c>
      <c r="I153" s="17" t="s">
        <v>28</v>
      </c>
      <c r="J153" s="17" t="s">
        <v>1290</v>
      </c>
      <c r="K153" s="18">
        <v>46135</v>
      </c>
      <c r="L153" s="17"/>
      <c r="M153" s="7" t="s">
        <v>25</v>
      </c>
      <c r="N153" s="17"/>
    </row>
    <row r="154" spans="1:14" ht="63.75" x14ac:dyDescent="0.25">
      <c r="A154" s="17">
        <v>153</v>
      </c>
      <c r="B154" s="16" t="s">
        <v>1287</v>
      </c>
      <c r="C154" s="17">
        <v>1</v>
      </c>
      <c r="D154" s="17">
        <v>56.6</v>
      </c>
      <c r="E154" s="17"/>
      <c r="F154" s="16" t="s">
        <v>106</v>
      </c>
      <c r="G154" s="17" t="s">
        <v>4906</v>
      </c>
      <c r="H154" s="17" t="s">
        <v>1291</v>
      </c>
      <c r="I154" s="17" t="s">
        <v>34</v>
      </c>
      <c r="J154" s="17" t="s">
        <v>1292</v>
      </c>
      <c r="K154" s="18">
        <v>46141</v>
      </c>
      <c r="L154" s="17" t="s">
        <v>24</v>
      </c>
      <c r="M154" s="7" t="s">
        <v>25</v>
      </c>
      <c r="N154" s="17"/>
    </row>
    <row r="155" spans="1:14" ht="63.75" x14ac:dyDescent="0.25">
      <c r="A155" s="17">
        <v>154</v>
      </c>
      <c r="B155" s="16" t="s">
        <v>1287</v>
      </c>
      <c r="C155" s="17">
        <v>3</v>
      </c>
      <c r="D155" s="17">
        <v>56.6</v>
      </c>
      <c r="E155" s="17"/>
      <c r="F155" s="16" t="s">
        <v>126</v>
      </c>
      <c r="G155" s="17" t="s">
        <v>1293</v>
      </c>
      <c r="H155" s="17" t="s">
        <v>1294</v>
      </c>
      <c r="I155" s="17" t="s">
        <v>34</v>
      </c>
      <c r="J155" s="17" t="s">
        <v>1295</v>
      </c>
      <c r="K155" s="18">
        <v>46135</v>
      </c>
      <c r="L155" s="17"/>
      <c r="M155" s="7" t="s">
        <v>25</v>
      </c>
      <c r="N155" s="17"/>
    </row>
    <row r="156" spans="1:14" ht="25.5" x14ac:dyDescent="0.25">
      <c r="A156" s="17">
        <v>155</v>
      </c>
      <c r="B156" s="16" t="s">
        <v>1287</v>
      </c>
      <c r="C156" s="17">
        <v>2</v>
      </c>
      <c r="D156" s="17">
        <v>56.9</v>
      </c>
      <c r="E156" s="17"/>
      <c r="F156" s="16" t="s">
        <v>19</v>
      </c>
      <c r="G156" s="17" t="s">
        <v>1296</v>
      </c>
      <c r="H156" s="17" t="s">
        <v>1297</v>
      </c>
      <c r="I156" s="17" t="s">
        <v>267</v>
      </c>
      <c r="J156" s="17" t="s">
        <v>1298</v>
      </c>
      <c r="K156" s="18">
        <v>46136</v>
      </c>
      <c r="L156" s="17" t="s">
        <v>24</v>
      </c>
      <c r="M156" s="7" t="s">
        <v>25</v>
      </c>
      <c r="N156" s="17"/>
    </row>
    <row r="157" spans="1:14" ht="63.75" x14ac:dyDescent="0.25">
      <c r="A157" s="17">
        <v>156</v>
      </c>
      <c r="B157" s="16" t="s">
        <v>1299</v>
      </c>
      <c r="C157" s="17">
        <v>3</v>
      </c>
      <c r="D157" s="17">
        <v>56.5</v>
      </c>
      <c r="E157" s="17"/>
      <c r="F157" s="16" t="s">
        <v>48</v>
      </c>
      <c r="G157" s="17" t="s">
        <v>1300</v>
      </c>
      <c r="H157" s="17" t="s">
        <v>1301</v>
      </c>
      <c r="I157" s="17" t="s">
        <v>293</v>
      </c>
      <c r="J157" s="17" t="s">
        <v>1302</v>
      </c>
      <c r="K157" s="18">
        <v>46144</v>
      </c>
      <c r="L157" s="17" t="s">
        <v>24</v>
      </c>
      <c r="M157" s="7" t="s">
        <v>25</v>
      </c>
      <c r="N157" s="17"/>
    </row>
    <row r="158" spans="1:14" ht="25.5" x14ac:dyDescent="0.25">
      <c r="A158" s="17">
        <v>157</v>
      </c>
      <c r="B158" s="16" t="s">
        <v>1299</v>
      </c>
      <c r="C158" s="17">
        <v>4</v>
      </c>
      <c r="D158" s="17">
        <v>56.6</v>
      </c>
      <c r="E158" s="17"/>
      <c r="F158" s="16" t="s">
        <v>62</v>
      </c>
      <c r="G158" s="17" t="s">
        <v>1303</v>
      </c>
      <c r="H158" s="17" t="s">
        <v>1304</v>
      </c>
      <c r="I158" s="17" t="s">
        <v>267</v>
      </c>
      <c r="J158" s="17" t="s">
        <v>1305</v>
      </c>
      <c r="K158" s="18">
        <v>46135</v>
      </c>
      <c r="L158" s="17" t="s">
        <v>24</v>
      </c>
      <c r="M158" s="7" t="s">
        <v>25</v>
      </c>
      <c r="N158" s="17"/>
    </row>
    <row r="159" spans="1:14" ht="63.75" x14ac:dyDescent="0.25">
      <c r="A159" s="17">
        <v>158</v>
      </c>
      <c r="B159" s="16" t="s">
        <v>1299</v>
      </c>
      <c r="C159" s="17">
        <v>1</v>
      </c>
      <c r="D159" s="17">
        <v>56.6</v>
      </c>
      <c r="E159" s="17"/>
      <c r="F159" s="16" t="s">
        <v>54</v>
      </c>
      <c r="G159" s="17" t="s">
        <v>1306</v>
      </c>
      <c r="H159" s="17" t="s">
        <v>1307</v>
      </c>
      <c r="I159" s="17" t="s">
        <v>34</v>
      </c>
      <c r="J159" s="17" t="s">
        <v>1308</v>
      </c>
      <c r="K159" s="18">
        <v>46155</v>
      </c>
      <c r="L159" s="17" t="s">
        <v>24</v>
      </c>
      <c r="M159" s="7" t="s">
        <v>25</v>
      </c>
      <c r="N159" s="17"/>
    </row>
    <row r="160" spans="1:14" ht="63.75" x14ac:dyDescent="0.25">
      <c r="A160" s="17">
        <v>159</v>
      </c>
      <c r="B160" s="16" t="s">
        <v>1299</v>
      </c>
      <c r="C160" s="17">
        <v>2</v>
      </c>
      <c r="D160" s="17">
        <v>56.7</v>
      </c>
      <c r="E160" s="17"/>
      <c r="F160" s="16" t="s">
        <v>101</v>
      </c>
      <c r="G160" s="17" t="s">
        <v>1309</v>
      </c>
      <c r="H160" s="17" t="s">
        <v>1310</v>
      </c>
      <c r="I160" s="17" t="s">
        <v>34</v>
      </c>
      <c r="J160" s="17" t="s">
        <v>1311</v>
      </c>
      <c r="K160" s="18">
        <v>46134</v>
      </c>
      <c r="L160" s="17" t="s">
        <v>24</v>
      </c>
      <c r="M160" s="7" t="s">
        <v>25</v>
      </c>
      <c r="N160" s="17"/>
    </row>
    <row r="161" spans="1:14" ht="51" x14ac:dyDescent="0.25">
      <c r="A161" s="17">
        <v>160</v>
      </c>
      <c r="B161" s="16" t="s">
        <v>1312</v>
      </c>
      <c r="C161" s="17">
        <v>1</v>
      </c>
      <c r="D161" s="17">
        <v>56.6</v>
      </c>
      <c r="E161" s="17"/>
      <c r="F161" s="16" t="s">
        <v>101</v>
      </c>
      <c r="G161" s="17" t="s">
        <v>1313</v>
      </c>
      <c r="H161" s="17" t="s">
        <v>1314</v>
      </c>
      <c r="I161" s="17" t="s">
        <v>34</v>
      </c>
      <c r="J161" s="17" t="s">
        <v>1315</v>
      </c>
      <c r="K161" s="18">
        <v>46134</v>
      </c>
      <c r="L161" s="17" t="s">
        <v>24</v>
      </c>
      <c r="M161" s="7" t="s">
        <v>25</v>
      </c>
      <c r="N161" s="17"/>
    </row>
    <row r="162" spans="1:14" ht="25.5" x14ac:dyDescent="0.25">
      <c r="A162" s="17">
        <v>161</v>
      </c>
      <c r="B162" s="16" t="s">
        <v>1312</v>
      </c>
      <c r="C162" s="17">
        <v>3</v>
      </c>
      <c r="D162" s="17">
        <v>56.7</v>
      </c>
      <c r="E162" s="17"/>
      <c r="F162" s="16" t="s">
        <v>101</v>
      </c>
      <c r="G162" s="17" t="s">
        <v>1316</v>
      </c>
      <c r="H162" s="17" t="s">
        <v>1317</v>
      </c>
      <c r="I162" s="17" t="s">
        <v>28</v>
      </c>
      <c r="J162" s="17" t="s">
        <v>1318</v>
      </c>
      <c r="K162" s="18">
        <v>46133</v>
      </c>
      <c r="L162" s="17" t="s">
        <v>24</v>
      </c>
      <c r="M162" s="7" t="s">
        <v>25</v>
      </c>
      <c r="N162" s="17"/>
    </row>
    <row r="163" spans="1:14" ht="25.5" x14ac:dyDescent="0.25">
      <c r="A163" s="17">
        <v>162</v>
      </c>
      <c r="B163" s="16" t="s">
        <v>1312</v>
      </c>
      <c r="C163" s="17">
        <v>4</v>
      </c>
      <c r="D163" s="17">
        <v>56.7</v>
      </c>
      <c r="E163" s="17"/>
      <c r="F163" s="16" t="s">
        <v>101</v>
      </c>
      <c r="G163" s="17" t="s">
        <v>1319</v>
      </c>
      <c r="H163" s="17" t="s">
        <v>1320</v>
      </c>
      <c r="I163" s="17" t="s">
        <v>28</v>
      </c>
      <c r="J163" s="17" t="s">
        <v>1321</v>
      </c>
      <c r="K163" s="18">
        <v>46134</v>
      </c>
      <c r="L163" s="17" t="s">
        <v>24</v>
      </c>
      <c r="M163" s="7" t="s">
        <v>25</v>
      </c>
      <c r="N163" s="17"/>
    </row>
    <row r="164" spans="1:14" ht="63.75" x14ac:dyDescent="0.25">
      <c r="A164" s="17">
        <v>163</v>
      </c>
      <c r="B164" s="16" t="s">
        <v>1312</v>
      </c>
      <c r="C164" s="17">
        <v>2</v>
      </c>
      <c r="D164" s="17">
        <v>56.8</v>
      </c>
      <c r="E164" s="17"/>
      <c r="F164" s="16" t="s">
        <v>101</v>
      </c>
      <c r="G164" s="17" t="s">
        <v>1322</v>
      </c>
      <c r="H164" s="17" t="s">
        <v>1323</v>
      </c>
      <c r="I164" s="17" t="s">
        <v>34</v>
      </c>
      <c r="J164" s="17" t="s">
        <v>1324</v>
      </c>
      <c r="K164" s="18">
        <v>46134</v>
      </c>
      <c r="L164" s="17" t="s">
        <v>24</v>
      </c>
      <c r="M164" s="7" t="s">
        <v>25</v>
      </c>
      <c r="N164" s="17"/>
    </row>
    <row r="165" spans="1:14" ht="25.5" x14ac:dyDescent="0.25">
      <c r="A165" s="17">
        <v>164</v>
      </c>
      <c r="B165" s="16" t="s">
        <v>1325</v>
      </c>
      <c r="C165" s="17">
        <v>3</v>
      </c>
      <c r="D165" s="17">
        <v>56.3</v>
      </c>
      <c r="E165" s="17"/>
      <c r="F165" s="16" t="s">
        <v>121</v>
      </c>
      <c r="G165" s="17" t="s">
        <v>1326</v>
      </c>
      <c r="H165" s="17" t="s">
        <v>1327</v>
      </c>
      <c r="I165" s="17" t="s">
        <v>267</v>
      </c>
      <c r="J165" s="17" t="s">
        <v>1328</v>
      </c>
      <c r="K165" s="18">
        <v>46149</v>
      </c>
      <c r="L165" s="17" t="s">
        <v>24</v>
      </c>
      <c r="M165" s="7" t="s">
        <v>25</v>
      </c>
      <c r="N165" s="17"/>
    </row>
    <row r="166" spans="1:14" ht="25.5" x14ac:dyDescent="0.25">
      <c r="A166" s="17">
        <v>165</v>
      </c>
      <c r="B166" s="16" t="s">
        <v>1325</v>
      </c>
      <c r="C166" s="17">
        <v>4</v>
      </c>
      <c r="D166" s="17">
        <v>56.4</v>
      </c>
      <c r="E166" s="17"/>
      <c r="F166" s="16" t="s">
        <v>151</v>
      </c>
      <c r="G166" s="17" t="s">
        <v>1329</v>
      </c>
      <c r="H166" s="17" t="s">
        <v>1330</v>
      </c>
      <c r="I166" s="17" t="s">
        <v>267</v>
      </c>
      <c r="J166" s="17" t="s">
        <v>1331</v>
      </c>
      <c r="K166" s="18">
        <v>46142</v>
      </c>
      <c r="L166" s="17" t="s">
        <v>24</v>
      </c>
      <c r="M166" s="7" t="s">
        <v>25</v>
      </c>
      <c r="N166" s="17"/>
    </row>
    <row r="167" spans="1:14" ht="25.5" x14ac:dyDescent="0.25">
      <c r="A167" s="17">
        <v>166</v>
      </c>
      <c r="B167" s="16" t="s">
        <v>1325</v>
      </c>
      <c r="C167" s="17">
        <v>1</v>
      </c>
      <c r="D167" s="17">
        <v>56.7</v>
      </c>
      <c r="E167" s="17"/>
      <c r="F167" s="16" t="s">
        <v>19</v>
      </c>
      <c r="G167" s="17" t="s">
        <v>1332</v>
      </c>
      <c r="H167" s="17" t="s">
        <v>1333</v>
      </c>
      <c r="I167" s="17" t="s">
        <v>267</v>
      </c>
      <c r="J167" s="17" t="s">
        <v>1334</v>
      </c>
      <c r="K167" s="18">
        <v>46137</v>
      </c>
      <c r="L167" s="17" t="s">
        <v>24</v>
      </c>
      <c r="M167" s="7" t="s">
        <v>25</v>
      </c>
      <c r="N167" s="17"/>
    </row>
    <row r="168" spans="1:14" ht="25.5" x14ac:dyDescent="0.25">
      <c r="A168" s="17">
        <v>167</v>
      </c>
      <c r="B168" s="16" t="s">
        <v>1325</v>
      </c>
      <c r="C168" s="17">
        <v>2</v>
      </c>
      <c r="D168" s="17">
        <v>56.9</v>
      </c>
      <c r="E168" s="17"/>
      <c r="F168" s="16" t="s">
        <v>48</v>
      </c>
      <c r="G168" s="17" t="s">
        <v>1335</v>
      </c>
      <c r="H168" s="17" t="s">
        <v>982</v>
      </c>
      <c r="I168" s="17" t="s">
        <v>28</v>
      </c>
      <c r="J168" s="17" t="s">
        <v>1336</v>
      </c>
      <c r="K168" s="18">
        <v>46144</v>
      </c>
      <c r="L168" s="17" t="s">
        <v>24</v>
      </c>
      <c r="M168" s="7" t="s">
        <v>25</v>
      </c>
      <c r="N168" s="17"/>
    </row>
    <row r="169" spans="1:14" ht="63.75" x14ac:dyDescent="0.25">
      <c r="A169" s="17">
        <v>168</v>
      </c>
      <c r="B169" s="16" t="s">
        <v>1337</v>
      </c>
      <c r="C169" s="17">
        <v>1</v>
      </c>
      <c r="D169" s="17">
        <v>56.4</v>
      </c>
      <c r="E169" s="17"/>
      <c r="F169" s="16" t="s">
        <v>343</v>
      </c>
      <c r="G169" s="17" t="s">
        <v>1338</v>
      </c>
      <c r="H169" s="17" t="s">
        <v>1339</v>
      </c>
      <c r="I169" s="17" t="s">
        <v>34</v>
      </c>
      <c r="J169" s="17" t="s">
        <v>1340</v>
      </c>
      <c r="K169" s="18">
        <v>46148</v>
      </c>
      <c r="L169" s="17" t="s">
        <v>24</v>
      </c>
      <c r="M169" s="7" t="s">
        <v>25</v>
      </c>
      <c r="N169" s="17"/>
    </row>
    <row r="170" spans="1:14" ht="25.5" x14ac:dyDescent="0.25">
      <c r="A170" s="17">
        <v>169</v>
      </c>
      <c r="B170" s="16" t="s">
        <v>1337</v>
      </c>
      <c r="C170" s="17">
        <v>2</v>
      </c>
      <c r="D170" s="17">
        <v>56.5</v>
      </c>
      <c r="E170" s="17"/>
      <c r="F170" s="16" t="s">
        <v>106</v>
      </c>
      <c r="G170" s="17" t="s">
        <v>1341</v>
      </c>
      <c r="H170" s="17" t="s">
        <v>1342</v>
      </c>
      <c r="I170" s="17" t="s">
        <v>267</v>
      </c>
      <c r="J170" s="17" t="s">
        <v>1343</v>
      </c>
      <c r="K170" s="18">
        <v>46155</v>
      </c>
      <c r="L170" s="17" t="s">
        <v>24</v>
      </c>
      <c r="M170" s="7" t="s">
        <v>25</v>
      </c>
      <c r="N170" s="17"/>
    </row>
    <row r="171" spans="1:14" ht="63.75" x14ac:dyDescent="0.25">
      <c r="A171" s="17">
        <v>170</v>
      </c>
      <c r="B171" s="16" t="s">
        <v>1337</v>
      </c>
      <c r="C171" s="17">
        <v>3</v>
      </c>
      <c r="D171" s="17">
        <v>56.6</v>
      </c>
      <c r="E171" s="17"/>
      <c r="F171" s="16" t="s">
        <v>343</v>
      </c>
      <c r="G171" s="17" t="s">
        <v>1344</v>
      </c>
      <c r="H171" s="17" t="s">
        <v>1345</v>
      </c>
      <c r="I171" s="17" t="s">
        <v>34</v>
      </c>
      <c r="J171" s="17" t="s">
        <v>1346</v>
      </c>
      <c r="K171" s="18">
        <v>46148</v>
      </c>
      <c r="L171" s="17" t="s">
        <v>24</v>
      </c>
      <c r="M171" s="7" t="s">
        <v>25</v>
      </c>
      <c r="N171" s="17"/>
    </row>
    <row r="172" spans="1:14" ht="63.75" x14ac:dyDescent="0.25">
      <c r="A172" s="17">
        <v>171</v>
      </c>
      <c r="B172" s="16" t="s">
        <v>1337</v>
      </c>
      <c r="C172" s="17">
        <v>4</v>
      </c>
      <c r="D172" s="17">
        <v>56.7</v>
      </c>
      <c r="E172" s="17"/>
      <c r="F172" s="16" t="s">
        <v>343</v>
      </c>
      <c r="G172" s="17" t="s">
        <v>1347</v>
      </c>
      <c r="H172" s="17" t="s">
        <v>1348</v>
      </c>
      <c r="I172" s="17" t="s">
        <v>34</v>
      </c>
      <c r="J172" s="17" t="s">
        <v>1349</v>
      </c>
      <c r="K172" s="18">
        <v>46148</v>
      </c>
      <c r="L172" s="17" t="s">
        <v>24</v>
      </c>
      <c r="M172" s="7" t="s">
        <v>25</v>
      </c>
      <c r="N172" s="17"/>
    </row>
    <row r="173" spans="1:14" ht="25.5" x14ac:dyDescent="0.25">
      <c r="A173" s="17">
        <v>172</v>
      </c>
      <c r="B173" s="16" t="s">
        <v>1350</v>
      </c>
      <c r="C173" s="17">
        <v>3</v>
      </c>
      <c r="D173" s="17">
        <v>56.5</v>
      </c>
      <c r="E173" s="17"/>
      <c r="F173" s="16" t="s">
        <v>62</v>
      </c>
      <c r="G173" s="17" t="s">
        <v>1351</v>
      </c>
      <c r="H173" s="17" t="s">
        <v>1352</v>
      </c>
      <c r="I173" s="17" t="s">
        <v>28</v>
      </c>
      <c r="J173" s="17" t="s">
        <v>1353</v>
      </c>
      <c r="K173" s="18">
        <v>46133</v>
      </c>
      <c r="L173" s="17" t="s">
        <v>24</v>
      </c>
      <c r="M173" s="7" t="s">
        <v>25</v>
      </c>
      <c r="N173" s="17"/>
    </row>
    <row r="174" spans="1:14" ht="25.5" x14ac:dyDescent="0.25">
      <c r="A174" s="17">
        <v>173</v>
      </c>
      <c r="B174" s="16" t="s">
        <v>1350</v>
      </c>
      <c r="C174" s="17">
        <v>4</v>
      </c>
      <c r="D174" s="17">
        <v>56.6</v>
      </c>
      <c r="E174" s="17"/>
      <c r="F174" s="16" t="s">
        <v>162</v>
      </c>
      <c r="G174" s="17" t="s">
        <v>1354</v>
      </c>
      <c r="H174" s="17" t="s">
        <v>1355</v>
      </c>
      <c r="I174" s="17" t="s">
        <v>28</v>
      </c>
      <c r="J174" s="17" t="s">
        <v>1356</v>
      </c>
      <c r="K174" s="18">
        <v>46147</v>
      </c>
      <c r="L174" s="17" t="s">
        <v>24</v>
      </c>
      <c r="M174" s="7" t="s">
        <v>25</v>
      </c>
      <c r="N174" s="17"/>
    </row>
    <row r="175" spans="1:14" ht="89.25" x14ac:dyDescent="0.25">
      <c r="A175" s="17">
        <v>174</v>
      </c>
      <c r="B175" s="16" t="s">
        <v>1350</v>
      </c>
      <c r="C175" s="17">
        <v>2</v>
      </c>
      <c r="D175" s="17">
        <v>56.7</v>
      </c>
      <c r="E175" s="17"/>
      <c r="F175" s="16" t="s">
        <v>19</v>
      </c>
      <c r="G175" s="17" t="s">
        <v>1357</v>
      </c>
      <c r="H175" s="17" t="s">
        <v>1358</v>
      </c>
      <c r="I175" s="17" t="s">
        <v>34</v>
      </c>
      <c r="J175" s="17" t="s">
        <v>1359</v>
      </c>
      <c r="K175" s="18">
        <v>46135</v>
      </c>
      <c r="L175" s="17" t="s">
        <v>24</v>
      </c>
      <c r="M175" s="7" t="s">
        <v>25</v>
      </c>
      <c r="N175" s="17"/>
    </row>
    <row r="176" spans="1:14" ht="63.75" x14ac:dyDescent="0.25">
      <c r="A176" s="17">
        <v>175</v>
      </c>
      <c r="B176" s="16" t="s">
        <v>1350</v>
      </c>
      <c r="C176" s="17">
        <v>1</v>
      </c>
      <c r="D176" s="17">
        <v>56.8</v>
      </c>
      <c r="E176" s="17"/>
      <c r="F176" s="16" t="s">
        <v>86</v>
      </c>
      <c r="G176" s="17" t="s">
        <v>1360</v>
      </c>
      <c r="H176" s="17" t="s">
        <v>1361</v>
      </c>
      <c r="I176" s="17" t="s">
        <v>34</v>
      </c>
      <c r="J176" s="17" t="s">
        <v>1362</v>
      </c>
      <c r="K176" s="18">
        <v>46118</v>
      </c>
      <c r="L176" s="17" t="s">
        <v>24</v>
      </c>
      <c r="M176" s="7" t="s">
        <v>25</v>
      </c>
      <c r="N176" s="17"/>
    </row>
    <row r="177" spans="1:14" ht="38.25" x14ac:dyDescent="0.25">
      <c r="A177" s="17">
        <v>176</v>
      </c>
      <c r="B177" s="16" t="s">
        <v>1363</v>
      </c>
      <c r="C177" s="17">
        <v>2</v>
      </c>
      <c r="D177" s="17">
        <v>56.5</v>
      </c>
      <c r="E177" s="17"/>
      <c r="F177" s="16" t="s">
        <v>1030</v>
      </c>
      <c r="G177" s="17" t="s">
        <v>1364</v>
      </c>
      <c r="H177" s="17" t="s">
        <v>1365</v>
      </c>
      <c r="I177" s="17" t="s">
        <v>312</v>
      </c>
      <c r="J177" s="17" t="s">
        <v>1366</v>
      </c>
      <c r="K177" s="18">
        <v>46155</v>
      </c>
      <c r="L177" s="17" t="s">
        <v>24</v>
      </c>
      <c r="M177" s="7" t="s">
        <v>25</v>
      </c>
      <c r="N177" s="17"/>
    </row>
    <row r="178" spans="1:14" ht="25.5" x14ac:dyDescent="0.25">
      <c r="A178" s="17">
        <v>177</v>
      </c>
      <c r="B178" s="16" t="s">
        <v>1363</v>
      </c>
      <c r="C178" s="17">
        <v>3</v>
      </c>
      <c r="D178" s="17">
        <v>56.6</v>
      </c>
      <c r="E178" s="17"/>
      <c r="F178" s="16" t="s">
        <v>126</v>
      </c>
      <c r="G178" s="17" t="s">
        <v>1367</v>
      </c>
      <c r="H178" s="17" t="s">
        <v>1368</v>
      </c>
      <c r="I178" s="17" t="s">
        <v>22</v>
      </c>
      <c r="J178" s="17" t="s">
        <v>1369</v>
      </c>
      <c r="K178" s="18">
        <v>46133</v>
      </c>
      <c r="L178" s="17"/>
      <c r="M178" s="7" t="s">
        <v>25</v>
      </c>
      <c r="N178" s="17"/>
    </row>
    <row r="179" spans="1:14" ht="51" x14ac:dyDescent="0.25">
      <c r="A179" s="17">
        <v>178</v>
      </c>
      <c r="B179" s="16" t="s">
        <v>1363</v>
      </c>
      <c r="C179" s="17">
        <v>4</v>
      </c>
      <c r="D179" s="17">
        <v>56.6</v>
      </c>
      <c r="E179" s="17"/>
      <c r="F179" s="16" t="s">
        <v>31</v>
      </c>
      <c r="G179" s="17" t="s">
        <v>1370</v>
      </c>
      <c r="H179" s="17" t="s">
        <v>1371</v>
      </c>
      <c r="I179" s="17" t="s">
        <v>34</v>
      </c>
      <c r="J179" s="17" t="s">
        <v>1372</v>
      </c>
      <c r="K179" s="18">
        <v>46140</v>
      </c>
      <c r="L179" s="17" t="s">
        <v>24</v>
      </c>
      <c r="M179" s="7" t="s">
        <v>25</v>
      </c>
      <c r="N179" s="17"/>
    </row>
    <row r="180" spans="1:14" ht="63.75" x14ac:dyDescent="0.25">
      <c r="A180" s="17">
        <v>179</v>
      </c>
      <c r="B180" s="16" t="s">
        <v>1363</v>
      </c>
      <c r="C180" s="17">
        <v>1</v>
      </c>
      <c r="D180" s="17">
        <v>56.7</v>
      </c>
      <c r="E180" s="17"/>
      <c r="F180" s="16" t="s">
        <v>31</v>
      </c>
      <c r="G180" s="17" t="s">
        <v>1373</v>
      </c>
      <c r="H180" s="17" t="s">
        <v>1374</v>
      </c>
      <c r="I180" s="17" t="s">
        <v>34</v>
      </c>
      <c r="J180" s="17" t="s">
        <v>1375</v>
      </c>
      <c r="K180" s="18">
        <v>46135</v>
      </c>
      <c r="L180" s="17" t="s">
        <v>24</v>
      </c>
      <c r="M180" s="7" t="s">
        <v>25</v>
      </c>
      <c r="N180" s="17"/>
    </row>
    <row r="181" spans="1:14" ht="63.75" x14ac:dyDescent="0.25">
      <c r="A181" s="17">
        <v>180</v>
      </c>
      <c r="B181" s="16" t="s">
        <v>1376</v>
      </c>
      <c r="C181" s="17">
        <v>3</v>
      </c>
      <c r="D181" s="17">
        <v>56.5</v>
      </c>
      <c r="E181" s="17"/>
      <c r="F181" s="16" t="s">
        <v>162</v>
      </c>
      <c r="G181" s="17" t="s">
        <v>1377</v>
      </c>
      <c r="H181" s="17" t="s">
        <v>1378</v>
      </c>
      <c r="I181" s="17" t="s">
        <v>34</v>
      </c>
      <c r="J181" s="17" t="s">
        <v>1379</v>
      </c>
      <c r="K181" s="18">
        <v>46147</v>
      </c>
      <c r="L181" s="17" t="s">
        <v>24</v>
      </c>
      <c r="M181" s="7" t="s">
        <v>25</v>
      </c>
      <c r="N181" s="17"/>
    </row>
    <row r="182" spans="1:14" ht="63.75" x14ac:dyDescent="0.25">
      <c r="A182" s="17">
        <v>181</v>
      </c>
      <c r="B182" s="16" t="s">
        <v>1376</v>
      </c>
      <c r="C182" s="17">
        <v>4</v>
      </c>
      <c r="D182" s="17">
        <v>56.6</v>
      </c>
      <c r="E182" s="17"/>
      <c r="F182" s="16" t="s">
        <v>126</v>
      </c>
      <c r="G182" s="17" t="s">
        <v>1380</v>
      </c>
      <c r="H182" s="17" t="s">
        <v>1381</v>
      </c>
      <c r="I182" s="17" t="s">
        <v>34</v>
      </c>
      <c r="J182" s="17" t="s">
        <v>1382</v>
      </c>
      <c r="K182" s="18">
        <v>46135</v>
      </c>
      <c r="L182" s="17"/>
      <c r="M182" s="7" t="s">
        <v>25</v>
      </c>
      <c r="N182" s="17"/>
    </row>
    <row r="183" spans="1:14" ht="63.75" x14ac:dyDescent="0.25">
      <c r="A183" s="17">
        <v>182</v>
      </c>
      <c r="B183" s="16" t="s">
        <v>1376</v>
      </c>
      <c r="C183" s="17">
        <v>2</v>
      </c>
      <c r="D183" s="17">
        <v>56.7</v>
      </c>
      <c r="E183" s="17"/>
      <c r="F183" s="16" t="s">
        <v>121</v>
      </c>
      <c r="G183" s="17" t="s">
        <v>1383</v>
      </c>
      <c r="H183" s="17" t="s">
        <v>1384</v>
      </c>
      <c r="I183" s="17" t="s">
        <v>34</v>
      </c>
      <c r="J183" s="17" t="s">
        <v>1385</v>
      </c>
      <c r="K183" s="18">
        <v>46149</v>
      </c>
      <c r="L183" s="17" t="s">
        <v>24</v>
      </c>
      <c r="M183" s="7" t="s">
        <v>25</v>
      </c>
      <c r="N183" s="17"/>
    </row>
    <row r="184" spans="1:14" ht="63.75" x14ac:dyDescent="0.25">
      <c r="A184" s="17">
        <v>183</v>
      </c>
      <c r="B184" s="16" t="s">
        <v>1376</v>
      </c>
      <c r="C184" s="17">
        <v>1</v>
      </c>
      <c r="D184" s="17">
        <v>56.8</v>
      </c>
      <c r="E184" s="17"/>
      <c r="F184" s="16" t="s">
        <v>121</v>
      </c>
      <c r="G184" s="17" t="s">
        <v>1386</v>
      </c>
      <c r="H184" s="17" t="s">
        <v>1387</v>
      </c>
      <c r="I184" s="17" t="s">
        <v>34</v>
      </c>
      <c r="J184" s="17" t="s">
        <v>1388</v>
      </c>
      <c r="K184" s="18">
        <v>46155</v>
      </c>
      <c r="L184" s="17" t="s">
        <v>24</v>
      </c>
      <c r="M184" s="7" t="s">
        <v>25</v>
      </c>
      <c r="N184" s="17"/>
    </row>
    <row r="185" spans="1:14" ht="63.75" x14ac:dyDescent="0.25">
      <c r="A185" s="17">
        <v>184</v>
      </c>
      <c r="B185" s="16" t="s">
        <v>1389</v>
      </c>
      <c r="C185" s="17">
        <v>4</v>
      </c>
      <c r="D185" s="17">
        <v>56.4</v>
      </c>
      <c r="E185" s="17"/>
      <c r="F185" s="16" t="s">
        <v>48</v>
      </c>
      <c r="G185" s="17" t="s">
        <v>1390</v>
      </c>
      <c r="H185" s="17" t="s">
        <v>1391</v>
      </c>
      <c r="I185" s="17" t="s">
        <v>293</v>
      </c>
      <c r="J185" s="17" t="s">
        <v>1392</v>
      </c>
      <c r="K185" s="18">
        <v>46144</v>
      </c>
      <c r="L185" s="17" t="s">
        <v>24</v>
      </c>
      <c r="M185" s="7" t="s">
        <v>25</v>
      </c>
      <c r="N185" s="17"/>
    </row>
    <row r="186" spans="1:14" ht="63.75" x14ac:dyDescent="0.25">
      <c r="A186" s="17">
        <v>185</v>
      </c>
      <c r="B186" s="16" t="s">
        <v>1389</v>
      </c>
      <c r="C186" s="17">
        <v>1</v>
      </c>
      <c r="D186" s="17">
        <v>56.6</v>
      </c>
      <c r="E186" s="17"/>
      <c r="F186" s="16" t="s">
        <v>121</v>
      </c>
      <c r="G186" s="17" t="s">
        <v>1393</v>
      </c>
      <c r="H186" s="17" t="s">
        <v>1394</v>
      </c>
      <c r="I186" s="17" t="s">
        <v>34</v>
      </c>
      <c r="J186" s="17" t="s">
        <v>1395</v>
      </c>
      <c r="K186" s="18">
        <v>46149</v>
      </c>
      <c r="L186" s="17" t="s">
        <v>24</v>
      </c>
      <c r="M186" s="7" t="s">
        <v>25</v>
      </c>
      <c r="N186" s="17"/>
    </row>
    <row r="187" spans="1:14" ht="51" x14ac:dyDescent="0.25">
      <c r="A187" s="17">
        <v>186</v>
      </c>
      <c r="B187" s="16" t="s">
        <v>1389</v>
      </c>
      <c r="C187" s="17">
        <v>2</v>
      </c>
      <c r="D187" s="17">
        <v>56.7</v>
      </c>
      <c r="E187" s="17"/>
      <c r="F187" s="16" t="s">
        <v>121</v>
      </c>
      <c r="G187" s="17" t="s">
        <v>1396</v>
      </c>
      <c r="H187" s="17" t="s">
        <v>1397</v>
      </c>
      <c r="I187" s="17" t="s">
        <v>34</v>
      </c>
      <c r="J187" s="17" t="s">
        <v>1398</v>
      </c>
      <c r="K187" s="18">
        <v>46157</v>
      </c>
      <c r="L187" s="17" t="s">
        <v>24</v>
      </c>
      <c r="M187" s="7" t="s">
        <v>25</v>
      </c>
      <c r="N187" s="17"/>
    </row>
    <row r="188" spans="1:14" ht="63.75" x14ac:dyDescent="0.25">
      <c r="A188" s="17">
        <v>187</v>
      </c>
      <c r="B188" s="16" t="s">
        <v>1389</v>
      </c>
      <c r="C188" s="17">
        <v>3</v>
      </c>
      <c r="D188" s="17">
        <v>56.7</v>
      </c>
      <c r="E188" s="17"/>
      <c r="F188" s="16" t="s">
        <v>121</v>
      </c>
      <c r="G188" s="17" t="s">
        <v>1399</v>
      </c>
      <c r="H188" s="17" t="s">
        <v>1400</v>
      </c>
      <c r="I188" s="17" t="s">
        <v>34</v>
      </c>
      <c r="J188" s="17" t="s">
        <v>1401</v>
      </c>
      <c r="K188" s="18">
        <v>46137</v>
      </c>
      <c r="L188" s="17" t="s">
        <v>24</v>
      </c>
      <c r="M188" s="7" t="s">
        <v>25</v>
      </c>
      <c r="N188" s="17"/>
    </row>
    <row r="189" spans="1:14" ht="25.5" x14ac:dyDescent="0.25">
      <c r="A189" s="17">
        <v>188</v>
      </c>
      <c r="B189" s="16" t="s">
        <v>1402</v>
      </c>
      <c r="C189" s="17">
        <v>2</v>
      </c>
      <c r="D189" s="17">
        <v>42.2</v>
      </c>
      <c r="E189" s="17"/>
      <c r="F189" s="16" t="s">
        <v>62</v>
      </c>
      <c r="G189" s="17" t="s">
        <v>1403</v>
      </c>
      <c r="H189" s="17" t="s">
        <v>1404</v>
      </c>
      <c r="I189" s="17" t="s">
        <v>28</v>
      </c>
      <c r="J189" s="17" t="s">
        <v>1405</v>
      </c>
      <c r="K189" s="18">
        <v>46134</v>
      </c>
      <c r="L189" s="17" t="s">
        <v>24</v>
      </c>
      <c r="M189" s="7" t="s">
        <v>25</v>
      </c>
      <c r="N189" s="17"/>
    </row>
    <row r="190" spans="1:14" ht="63.75" x14ac:dyDescent="0.25">
      <c r="A190" s="17">
        <v>189</v>
      </c>
      <c r="B190" s="16" t="s">
        <v>1402</v>
      </c>
      <c r="C190" s="17">
        <v>1</v>
      </c>
      <c r="D190" s="17">
        <v>42.5</v>
      </c>
      <c r="E190" s="17"/>
      <c r="F190" s="16" t="s">
        <v>62</v>
      </c>
      <c r="G190" s="17" t="s">
        <v>1406</v>
      </c>
      <c r="H190" s="17" t="s">
        <v>1407</v>
      </c>
      <c r="I190" s="17" t="s">
        <v>34</v>
      </c>
      <c r="J190" s="17" t="s">
        <v>1408</v>
      </c>
      <c r="K190" s="18">
        <v>46137</v>
      </c>
      <c r="L190" s="17" t="s">
        <v>24</v>
      </c>
      <c r="M190" s="7" t="s">
        <v>25</v>
      </c>
      <c r="N190" s="17"/>
    </row>
    <row r="191" spans="1:14" ht="51" x14ac:dyDescent="0.25">
      <c r="A191" s="17">
        <v>190</v>
      </c>
      <c r="B191" s="16" t="s">
        <v>1402</v>
      </c>
      <c r="C191" s="17">
        <v>3</v>
      </c>
      <c r="D191" s="17">
        <v>42.5</v>
      </c>
      <c r="E191" s="17"/>
      <c r="F191" s="16" t="s">
        <v>62</v>
      </c>
      <c r="G191" s="17" t="s">
        <v>1409</v>
      </c>
      <c r="H191" s="17" t="s">
        <v>1410</v>
      </c>
      <c r="I191" s="17" t="s">
        <v>34</v>
      </c>
      <c r="J191" s="17" t="s">
        <v>1411</v>
      </c>
      <c r="K191" s="18">
        <v>46133</v>
      </c>
      <c r="L191" s="17" t="s">
        <v>24</v>
      </c>
      <c r="M191" s="7" t="s">
        <v>25</v>
      </c>
      <c r="N191" s="17"/>
    </row>
    <row r="192" spans="1:14" ht="25.5" x14ac:dyDescent="0.25">
      <c r="A192" s="34">
        <v>191</v>
      </c>
      <c r="B192" s="35" t="s">
        <v>1402</v>
      </c>
      <c r="C192" s="34">
        <v>4</v>
      </c>
      <c r="D192" s="34">
        <v>42.6</v>
      </c>
      <c r="E192" s="17"/>
      <c r="F192" s="35" t="s">
        <v>31</v>
      </c>
      <c r="G192" s="34" t="s">
        <v>1412</v>
      </c>
      <c r="H192" s="34" t="s">
        <v>1413</v>
      </c>
      <c r="I192" s="34" t="s">
        <v>921</v>
      </c>
      <c r="J192" s="34" t="s">
        <v>1414</v>
      </c>
      <c r="K192" s="36">
        <v>46140</v>
      </c>
      <c r="L192" s="34" t="s">
        <v>24</v>
      </c>
      <c r="M192" s="7" t="s">
        <v>25</v>
      </c>
      <c r="N192" s="34"/>
    </row>
    <row r="193" spans="1:14" ht="25.5" x14ac:dyDescent="0.25">
      <c r="A193" s="17">
        <v>192</v>
      </c>
      <c r="B193" s="16" t="s">
        <v>1415</v>
      </c>
      <c r="C193" s="17">
        <v>3</v>
      </c>
      <c r="D193" s="17">
        <v>42.5</v>
      </c>
      <c r="E193" s="17"/>
      <c r="F193" s="16" t="s">
        <v>62</v>
      </c>
      <c r="G193" s="17" t="s">
        <v>1416</v>
      </c>
      <c r="H193" s="17" t="s">
        <v>1417</v>
      </c>
      <c r="I193" s="17" t="s">
        <v>2304</v>
      </c>
      <c r="J193" s="17" t="s">
        <v>1418</v>
      </c>
      <c r="K193" s="18">
        <v>46150</v>
      </c>
      <c r="L193" s="17" t="s">
        <v>24</v>
      </c>
      <c r="M193" s="7" t="s">
        <v>25</v>
      </c>
      <c r="N193" s="17"/>
    </row>
    <row r="194" spans="1:14" ht="25.5" x14ac:dyDescent="0.25">
      <c r="A194" s="17">
        <v>193</v>
      </c>
      <c r="B194" s="16" t="s">
        <v>1415</v>
      </c>
      <c r="C194" s="17">
        <v>4</v>
      </c>
      <c r="D194" s="17">
        <v>42.7</v>
      </c>
      <c r="E194" s="17"/>
      <c r="F194" s="16" t="s">
        <v>62</v>
      </c>
      <c r="G194" s="17" t="s">
        <v>1419</v>
      </c>
      <c r="H194" s="17" t="s">
        <v>1420</v>
      </c>
      <c r="I194" s="17" t="s">
        <v>28</v>
      </c>
      <c r="J194" s="17" t="s">
        <v>1421</v>
      </c>
      <c r="K194" s="18">
        <v>46137</v>
      </c>
      <c r="L194" s="17" t="s">
        <v>24</v>
      </c>
      <c r="M194" s="7" t="s">
        <v>25</v>
      </c>
      <c r="N194" s="17"/>
    </row>
    <row r="195" spans="1:14" ht="25.5" x14ac:dyDescent="0.25">
      <c r="A195" s="17">
        <v>194</v>
      </c>
      <c r="B195" s="16" t="s">
        <v>1415</v>
      </c>
      <c r="C195" s="17">
        <v>2</v>
      </c>
      <c r="D195" s="17">
        <v>42.7</v>
      </c>
      <c r="E195" s="17"/>
      <c r="F195" s="16" t="s">
        <v>62</v>
      </c>
      <c r="G195" s="17" t="s">
        <v>1422</v>
      </c>
      <c r="H195" s="17" t="s">
        <v>1423</v>
      </c>
      <c r="I195" s="17" t="s">
        <v>22</v>
      </c>
      <c r="J195" s="17" t="s">
        <v>1424</v>
      </c>
      <c r="K195" s="18">
        <v>46134</v>
      </c>
      <c r="L195" s="17" t="s">
        <v>24</v>
      </c>
      <c r="M195" s="7" t="s">
        <v>25</v>
      </c>
      <c r="N195" s="17"/>
    </row>
    <row r="196" spans="1:14" ht="51" x14ac:dyDescent="0.25">
      <c r="A196" s="17">
        <v>195</v>
      </c>
      <c r="B196" s="16" t="s">
        <v>1415</v>
      </c>
      <c r="C196" s="17">
        <v>1</v>
      </c>
      <c r="D196" s="17">
        <v>42.9</v>
      </c>
      <c r="E196" s="17"/>
      <c r="F196" s="16" t="s">
        <v>62</v>
      </c>
      <c r="G196" s="17" t="s">
        <v>1425</v>
      </c>
      <c r="H196" s="17" t="s">
        <v>1426</v>
      </c>
      <c r="I196" s="17" t="s">
        <v>34</v>
      </c>
      <c r="J196" s="17" t="s">
        <v>1427</v>
      </c>
      <c r="K196" s="18">
        <v>46137</v>
      </c>
      <c r="L196" s="17" t="s">
        <v>24</v>
      </c>
      <c r="M196" s="7" t="s">
        <v>25</v>
      </c>
      <c r="N196" s="17"/>
    </row>
    <row r="197" spans="1:14" ht="25.5" x14ac:dyDescent="0.25">
      <c r="A197" s="17">
        <v>196</v>
      </c>
      <c r="B197" s="16" t="s">
        <v>1428</v>
      </c>
      <c r="C197" s="17">
        <v>1</v>
      </c>
      <c r="D197" s="17">
        <v>42.6</v>
      </c>
      <c r="E197" s="17"/>
      <c r="F197" s="16" t="s">
        <v>62</v>
      </c>
      <c r="G197" s="17" t="s">
        <v>1429</v>
      </c>
      <c r="H197" s="17" t="s">
        <v>1430</v>
      </c>
      <c r="I197" s="17" t="s">
        <v>28</v>
      </c>
      <c r="J197" s="17" t="s">
        <v>1431</v>
      </c>
      <c r="K197" s="18">
        <v>46157</v>
      </c>
      <c r="L197" s="17" t="s">
        <v>24</v>
      </c>
      <c r="M197" s="7" t="s">
        <v>25</v>
      </c>
      <c r="N197" s="17"/>
    </row>
    <row r="198" spans="1:14" ht="25.5" x14ac:dyDescent="0.25">
      <c r="A198" s="17">
        <v>197</v>
      </c>
      <c r="B198" s="16" t="s">
        <v>1428</v>
      </c>
      <c r="C198" s="17">
        <v>3</v>
      </c>
      <c r="D198" s="17">
        <v>42.7</v>
      </c>
      <c r="E198" s="17"/>
      <c r="F198" s="16" t="s">
        <v>48</v>
      </c>
      <c r="G198" s="17" t="s">
        <v>1432</v>
      </c>
      <c r="H198" s="17" t="s">
        <v>1433</v>
      </c>
      <c r="I198" s="17" t="s">
        <v>28</v>
      </c>
      <c r="J198" s="17" t="s">
        <v>1434</v>
      </c>
      <c r="K198" s="18">
        <v>46144</v>
      </c>
      <c r="L198" s="17" t="s">
        <v>24</v>
      </c>
      <c r="M198" s="7" t="s">
        <v>25</v>
      </c>
      <c r="N198" s="17"/>
    </row>
    <row r="199" spans="1:14" ht="25.5" x14ac:dyDescent="0.25">
      <c r="A199" s="17">
        <v>198</v>
      </c>
      <c r="B199" s="16" t="s">
        <v>1428</v>
      </c>
      <c r="C199" s="17">
        <v>4</v>
      </c>
      <c r="D199" s="17">
        <v>42.7</v>
      </c>
      <c r="E199" s="17"/>
      <c r="F199" s="16" t="s">
        <v>62</v>
      </c>
      <c r="G199" s="17" t="s">
        <v>1435</v>
      </c>
      <c r="H199" s="17" t="s">
        <v>1436</v>
      </c>
      <c r="I199" s="17" t="s">
        <v>28</v>
      </c>
      <c r="J199" s="17" t="s">
        <v>1437</v>
      </c>
      <c r="K199" s="18">
        <v>46133</v>
      </c>
      <c r="L199" s="17" t="s">
        <v>24</v>
      </c>
      <c r="M199" s="7" t="s">
        <v>25</v>
      </c>
      <c r="N199" s="17"/>
    </row>
    <row r="200" spans="1:14" ht="25.5" x14ac:dyDescent="0.25">
      <c r="A200" s="17">
        <v>199</v>
      </c>
      <c r="B200" s="16" t="s">
        <v>1428</v>
      </c>
      <c r="C200" s="17">
        <v>2</v>
      </c>
      <c r="D200" s="17">
        <v>42.8</v>
      </c>
      <c r="E200" s="17"/>
      <c r="F200" s="16" t="s">
        <v>62</v>
      </c>
      <c r="G200" s="17" t="s">
        <v>1438</v>
      </c>
      <c r="H200" s="17" t="s">
        <v>1439</v>
      </c>
      <c r="I200" s="17" t="s">
        <v>28</v>
      </c>
      <c r="J200" s="17" t="s">
        <v>1440</v>
      </c>
      <c r="K200" s="18">
        <v>46133</v>
      </c>
      <c r="L200" s="17" t="s">
        <v>24</v>
      </c>
      <c r="M200" s="7" t="s">
        <v>25</v>
      </c>
      <c r="N200" s="17"/>
    </row>
    <row r="201" spans="1:14" ht="25.5" x14ac:dyDescent="0.25">
      <c r="A201" s="17">
        <v>200</v>
      </c>
      <c r="B201" s="16" t="s">
        <v>1441</v>
      </c>
      <c r="C201" s="17">
        <v>4</v>
      </c>
      <c r="D201" s="17">
        <v>42.6</v>
      </c>
      <c r="E201" s="17"/>
      <c r="F201" s="16" t="s">
        <v>62</v>
      </c>
      <c r="G201" s="17" t="s">
        <v>1442</v>
      </c>
      <c r="H201" s="17" t="s">
        <v>1443</v>
      </c>
      <c r="I201" s="17" t="s">
        <v>28</v>
      </c>
      <c r="J201" s="17" t="s">
        <v>1444</v>
      </c>
      <c r="K201" s="18">
        <v>46137</v>
      </c>
      <c r="L201" s="17" t="s">
        <v>24</v>
      </c>
      <c r="M201" s="7" t="s">
        <v>25</v>
      </c>
      <c r="N201" s="17"/>
    </row>
    <row r="202" spans="1:14" ht="25.5" x14ac:dyDescent="0.25">
      <c r="A202" s="17">
        <v>201</v>
      </c>
      <c r="B202" s="16" t="s">
        <v>1441</v>
      </c>
      <c r="C202" s="17">
        <v>1</v>
      </c>
      <c r="D202" s="17">
        <v>42.8</v>
      </c>
      <c r="E202" s="17"/>
      <c r="F202" s="16" t="s">
        <v>62</v>
      </c>
      <c r="G202" s="17" t="s">
        <v>1445</v>
      </c>
      <c r="H202" s="17" t="s">
        <v>1446</v>
      </c>
      <c r="I202" s="17" t="s">
        <v>28</v>
      </c>
      <c r="J202" s="17" t="s">
        <v>1447</v>
      </c>
      <c r="K202" s="18">
        <v>46133</v>
      </c>
      <c r="L202" s="17" t="s">
        <v>24</v>
      </c>
      <c r="M202" s="7" t="s">
        <v>25</v>
      </c>
      <c r="N202" s="17"/>
    </row>
    <row r="203" spans="1:14" ht="51" x14ac:dyDescent="0.25">
      <c r="A203" s="17">
        <v>202</v>
      </c>
      <c r="B203" s="16" t="s">
        <v>1441</v>
      </c>
      <c r="C203" s="17">
        <v>2</v>
      </c>
      <c r="D203" s="17">
        <v>42.9</v>
      </c>
      <c r="E203" s="17"/>
      <c r="F203" s="16" t="s">
        <v>62</v>
      </c>
      <c r="G203" s="17" t="s">
        <v>1448</v>
      </c>
      <c r="H203" s="17" t="s">
        <v>1449</v>
      </c>
      <c r="I203" s="17" t="s">
        <v>293</v>
      </c>
      <c r="J203" s="17" t="s">
        <v>1450</v>
      </c>
      <c r="K203" s="18">
        <v>46133</v>
      </c>
      <c r="L203" s="17" t="s">
        <v>24</v>
      </c>
      <c r="M203" s="7" t="s">
        <v>25</v>
      </c>
      <c r="N203" s="17"/>
    </row>
    <row r="204" spans="1:14" ht="25.5" x14ac:dyDescent="0.25">
      <c r="A204" s="17">
        <v>203</v>
      </c>
      <c r="B204" s="16" t="s">
        <v>1441</v>
      </c>
      <c r="C204" s="17">
        <v>3</v>
      </c>
      <c r="D204" s="17">
        <v>42.9</v>
      </c>
      <c r="E204" s="17"/>
      <c r="F204" s="16" t="s">
        <v>62</v>
      </c>
      <c r="G204" s="17" t="s">
        <v>1451</v>
      </c>
      <c r="H204" s="17" t="s">
        <v>1452</v>
      </c>
      <c r="I204" s="17" t="s">
        <v>22</v>
      </c>
      <c r="J204" s="17" t="s">
        <v>1453</v>
      </c>
      <c r="K204" s="18">
        <v>46133</v>
      </c>
      <c r="L204" s="17" t="s">
        <v>24</v>
      </c>
      <c r="M204" s="7" t="s">
        <v>25</v>
      </c>
      <c r="N204" s="17"/>
    </row>
    <row r="205" spans="1:14" ht="25.5" x14ac:dyDescent="0.25">
      <c r="A205" s="17">
        <v>204</v>
      </c>
      <c r="B205" s="16" t="s">
        <v>1454</v>
      </c>
      <c r="C205" s="17">
        <v>4</v>
      </c>
      <c r="D205" s="17">
        <v>42.6</v>
      </c>
      <c r="E205" s="17"/>
      <c r="F205" s="16" t="s">
        <v>162</v>
      </c>
      <c r="G205" s="17" t="s">
        <v>1455</v>
      </c>
      <c r="H205" s="17" t="s">
        <v>1456</v>
      </c>
      <c r="I205" s="17" t="s">
        <v>22</v>
      </c>
      <c r="J205" s="17" t="s">
        <v>1457</v>
      </c>
      <c r="K205" s="18">
        <v>46147</v>
      </c>
      <c r="L205" s="17" t="s">
        <v>24</v>
      </c>
      <c r="M205" s="7" t="s">
        <v>25</v>
      </c>
      <c r="N205" s="17"/>
    </row>
    <row r="206" spans="1:14" ht="25.5" x14ac:dyDescent="0.25">
      <c r="A206" s="17">
        <v>205</v>
      </c>
      <c r="B206" s="16" t="s">
        <v>1454</v>
      </c>
      <c r="C206" s="17">
        <v>2</v>
      </c>
      <c r="D206" s="17">
        <v>42.8</v>
      </c>
      <c r="E206" s="17"/>
      <c r="F206" s="16" t="s">
        <v>162</v>
      </c>
      <c r="G206" s="17" t="s">
        <v>1458</v>
      </c>
      <c r="H206" s="17" t="s">
        <v>1459</v>
      </c>
      <c r="I206" s="17" t="s">
        <v>388</v>
      </c>
      <c r="J206" s="17" t="s">
        <v>1460</v>
      </c>
      <c r="K206" s="18">
        <v>46147</v>
      </c>
      <c r="L206" s="17" t="s">
        <v>24</v>
      </c>
      <c r="M206" s="7" t="s">
        <v>25</v>
      </c>
      <c r="N206" s="17"/>
    </row>
    <row r="207" spans="1:14" ht="25.5" x14ac:dyDescent="0.25">
      <c r="A207" s="17">
        <v>206</v>
      </c>
      <c r="B207" s="16" t="s">
        <v>1454</v>
      </c>
      <c r="C207" s="17">
        <v>3</v>
      </c>
      <c r="D207" s="17">
        <v>43.1</v>
      </c>
      <c r="E207" s="17"/>
      <c r="F207" s="16" t="s">
        <v>162</v>
      </c>
      <c r="G207" s="17" t="s">
        <v>1461</v>
      </c>
      <c r="H207" s="17" t="s">
        <v>1462</v>
      </c>
      <c r="I207" s="17" t="s">
        <v>28</v>
      </c>
      <c r="J207" s="17" t="s">
        <v>1463</v>
      </c>
      <c r="K207" s="18">
        <v>46147</v>
      </c>
      <c r="L207" s="17" t="s">
        <v>24</v>
      </c>
      <c r="M207" s="7" t="s">
        <v>25</v>
      </c>
      <c r="N207" s="17"/>
    </row>
    <row r="208" spans="1:14" ht="63.75" x14ac:dyDescent="0.25">
      <c r="A208" s="17">
        <v>207</v>
      </c>
      <c r="B208" s="16" t="s">
        <v>1454</v>
      </c>
      <c r="C208" s="17">
        <v>1</v>
      </c>
      <c r="D208" s="17">
        <v>43.2</v>
      </c>
      <c r="E208" s="17"/>
      <c r="F208" s="16" t="s">
        <v>48</v>
      </c>
      <c r="G208" s="17" t="s">
        <v>1464</v>
      </c>
      <c r="H208" s="17" t="s">
        <v>1465</v>
      </c>
      <c r="I208" s="17" t="s">
        <v>34</v>
      </c>
      <c r="J208" s="17" t="s">
        <v>1466</v>
      </c>
      <c r="K208" s="18">
        <v>46147</v>
      </c>
      <c r="L208" s="17" t="s">
        <v>24</v>
      </c>
      <c r="M208" s="7" t="s">
        <v>25</v>
      </c>
      <c r="N208" s="17"/>
    </row>
    <row r="209" spans="1:14" ht="51" x14ac:dyDescent="0.25">
      <c r="A209" s="17">
        <v>208</v>
      </c>
      <c r="B209" s="16" t="s">
        <v>1467</v>
      </c>
      <c r="C209" s="17">
        <v>1</v>
      </c>
      <c r="D209" s="17">
        <v>56.4</v>
      </c>
      <c r="E209" s="17"/>
      <c r="F209" s="16" t="s">
        <v>31</v>
      </c>
      <c r="G209" s="17" t="s">
        <v>4918</v>
      </c>
      <c r="H209" s="17" t="s">
        <v>1468</v>
      </c>
      <c r="I209" s="17" t="s">
        <v>34</v>
      </c>
      <c r="J209" s="17" t="s">
        <v>1469</v>
      </c>
      <c r="K209" s="18">
        <v>46140</v>
      </c>
      <c r="L209" s="17" t="s">
        <v>24</v>
      </c>
      <c r="M209" s="7" t="s">
        <v>25</v>
      </c>
      <c r="N209" s="17"/>
    </row>
    <row r="210" spans="1:14" ht="25.5" x14ac:dyDescent="0.25">
      <c r="A210" s="17">
        <v>209</v>
      </c>
      <c r="B210" s="16" t="s">
        <v>1467</v>
      </c>
      <c r="C210" s="17">
        <v>2</v>
      </c>
      <c r="D210" s="17">
        <v>56.6</v>
      </c>
      <c r="E210" s="17"/>
      <c r="F210" s="16" t="s">
        <v>31</v>
      </c>
      <c r="G210" s="17" t="s">
        <v>1470</v>
      </c>
      <c r="H210" s="17" t="s">
        <v>1471</v>
      </c>
      <c r="I210" s="17" t="s">
        <v>42</v>
      </c>
      <c r="J210" s="17" t="s">
        <v>1472</v>
      </c>
      <c r="K210" s="18">
        <v>46149</v>
      </c>
      <c r="L210" s="17" t="s">
        <v>24</v>
      </c>
      <c r="M210" s="7" t="s">
        <v>25</v>
      </c>
      <c r="N210" s="17"/>
    </row>
    <row r="211" spans="1:14" ht="63.75" x14ac:dyDescent="0.25">
      <c r="A211" s="17">
        <v>210</v>
      </c>
      <c r="B211" s="16" t="s">
        <v>1467</v>
      </c>
      <c r="C211" s="17">
        <v>3</v>
      </c>
      <c r="D211" s="17">
        <v>56.6</v>
      </c>
      <c r="E211" s="17"/>
      <c r="F211" s="16" t="s">
        <v>31</v>
      </c>
      <c r="G211" s="17" t="s">
        <v>1473</v>
      </c>
      <c r="H211" s="17" t="s">
        <v>1474</v>
      </c>
      <c r="I211" s="17" t="s">
        <v>34</v>
      </c>
      <c r="J211" s="17" t="s">
        <v>1475</v>
      </c>
      <c r="K211" s="18">
        <v>46137</v>
      </c>
      <c r="L211" s="17" t="s">
        <v>24</v>
      </c>
      <c r="M211" s="7" t="s">
        <v>25</v>
      </c>
      <c r="N211" s="17"/>
    </row>
    <row r="212" spans="1:14" ht="63.75" x14ac:dyDescent="0.25">
      <c r="A212" s="17">
        <v>211</v>
      </c>
      <c r="B212" s="16" t="s">
        <v>1467</v>
      </c>
      <c r="C212" s="17">
        <v>4</v>
      </c>
      <c r="D212" s="17">
        <v>56.6</v>
      </c>
      <c r="E212" s="17"/>
      <c r="F212" s="16" t="s">
        <v>31</v>
      </c>
      <c r="G212" s="17" t="s">
        <v>1476</v>
      </c>
      <c r="H212" s="17" t="s">
        <v>1477</v>
      </c>
      <c r="I212" s="17" t="s">
        <v>34</v>
      </c>
      <c r="J212" s="17" t="s">
        <v>1478</v>
      </c>
      <c r="K212" s="18">
        <v>46144</v>
      </c>
      <c r="L212" s="17" t="s">
        <v>24</v>
      </c>
      <c r="M212" s="7" t="s">
        <v>25</v>
      </c>
      <c r="N212" s="17"/>
    </row>
    <row r="213" spans="1:14" ht="25.5" x14ac:dyDescent="0.25">
      <c r="A213" s="17">
        <v>212</v>
      </c>
      <c r="B213" s="16" t="s">
        <v>1479</v>
      </c>
      <c r="C213" s="17">
        <v>1</v>
      </c>
      <c r="D213" s="17">
        <v>56.5</v>
      </c>
      <c r="E213" s="17"/>
      <c r="F213" s="16" t="s">
        <v>101</v>
      </c>
      <c r="G213" s="17" t="s">
        <v>1480</v>
      </c>
      <c r="H213" s="17" t="s">
        <v>1481</v>
      </c>
      <c r="I213" s="17" t="s">
        <v>28</v>
      </c>
      <c r="J213" s="17" t="s">
        <v>1482</v>
      </c>
      <c r="K213" s="18">
        <v>46134</v>
      </c>
      <c r="L213" s="17" t="s">
        <v>24</v>
      </c>
      <c r="M213" s="7" t="s">
        <v>25</v>
      </c>
      <c r="N213" s="17"/>
    </row>
    <row r="214" spans="1:14" ht="25.5" x14ac:dyDescent="0.25">
      <c r="A214" s="17">
        <v>213</v>
      </c>
      <c r="B214" s="16" t="s">
        <v>1479</v>
      </c>
      <c r="C214" s="17">
        <v>4</v>
      </c>
      <c r="D214" s="17">
        <v>56.6</v>
      </c>
      <c r="E214" s="17"/>
      <c r="F214" s="16" t="s">
        <v>19</v>
      </c>
      <c r="G214" s="17" t="s">
        <v>1483</v>
      </c>
      <c r="H214" s="17" t="s">
        <v>1484</v>
      </c>
      <c r="I214" s="17" t="s">
        <v>22</v>
      </c>
      <c r="J214" s="17" t="s">
        <v>1485</v>
      </c>
      <c r="K214" s="18">
        <v>46136</v>
      </c>
      <c r="L214" s="17" t="s">
        <v>24</v>
      </c>
      <c r="M214" s="7" t="s">
        <v>25</v>
      </c>
      <c r="N214" s="17"/>
    </row>
    <row r="215" spans="1:14" ht="25.5" x14ac:dyDescent="0.25">
      <c r="A215" s="17">
        <v>214</v>
      </c>
      <c r="B215" s="16" t="s">
        <v>1479</v>
      </c>
      <c r="C215" s="17">
        <v>2</v>
      </c>
      <c r="D215" s="17">
        <v>56.6</v>
      </c>
      <c r="E215" s="17"/>
      <c r="F215" s="16" t="s">
        <v>19</v>
      </c>
      <c r="G215" s="17" t="s">
        <v>1486</v>
      </c>
      <c r="H215" s="17" t="s">
        <v>1487</v>
      </c>
      <c r="I215" s="17" t="s">
        <v>267</v>
      </c>
      <c r="J215" s="17" t="s">
        <v>1488</v>
      </c>
      <c r="K215" s="18">
        <v>46136</v>
      </c>
      <c r="L215" s="17" t="s">
        <v>24</v>
      </c>
      <c r="M215" s="7" t="s">
        <v>25</v>
      </c>
      <c r="N215" s="17"/>
    </row>
    <row r="216" spans="1:14" ht="63.75" x14ac:dyDescent="0.25">
      <c r="A216" s="17">
        <v>215</v>
      </c>
      <c r="B216" s="16" t="s">
        <v>1479</v>
      </c>
      <c r="C216" s="17">
        <v>3</v>
      </c>
      <c r="D216" s="17">
        <v>56.7</v>
      </c>
      <c r="E216" s="17"/>
      <c r="F216" s="16" t="s">
        <v>19</v>
      </c>
      <c r="G216" s="17" t="s">
        <v>1489</v>
      </c>
      <c r="H216" s="17" t="s">
        <v>1490</v>
      </c>
      <c r="I216" s="17" t="s">
        <v>34</v>
      </c>
      <c r="J216" s="17" t="s">
        <v>1491</v>
      </c>
      <c r="K216" s="18">
        <v>46136</v>
      </c>
      <c r="L216" s="17" t="s">
        <v>24</v>
      </c>
      <c r="M216" s="7" t="s">
        <v>25</v>
      </c>
      <c r="N216" s="17"/>
    </row>
    <row r="217" spans="1:14" ht="25.5" x14ac:dyDescent="0.25">
      <c r="A217" s="17">
        <v>216</v>
      </c>
      <c r="B217" s="16" t="s">
        <v>1492</v>
      </c>
      <c r="C217" s="17">
        <v>1</v>
      </c>
      <c r="D217" s="17">
        <v>56.5</v>
      </c>
      <c r="E217" s="17"/>
      <c r="F217" s="16" t="s">
        <v>343</v>
      </c>
      <c r="G217" s="17" t="s">
        <v>1493</v>
      </c>
      <c r="H217" s="17" t="s">
        <v>1494</v>
      </c>
      <c r="I217" s="17" t="s">
        <v>267</v>
      </c>
      <c r="J217" s="17" t="s">
        <v>1495</v>
      </c>
      <c r="K217" s="18">
        <v>46148</v>
      </c>
      <c r="L217" s="17" t="s">
        <v>24</v>
      </c>
      <c r="M217" s="7" t="s">
        <v>25</v>
      </c>
      <c r="N217" s="17"/>
    </row>
    <row r="218" spans="1:14" ht="63.75" x14ac:dyDescent="0.25">
      <c r="A218" s="17">
        <v>217</v>
      </c>
      <c r="B218" s="16" t="s">
        <v>1492</v>
      </c>
      <c r="C218" s="17">
        <v>3</v>
      </c>
      <c r="D218" s="17">
        <v>56.5</v>
      </c>
      <c r="E218" s="17"/>
      <c r="F218" s="16" t="s">
        <v>338</v>
      </c>
      <c r="G218" s="17" t="s">
        <v>1496</v>
      </c>
      <c r="H218" s="17" t="s">
        <v>4948</v>
      </c>
      <c r="I218" s="17" t="s">
        <v>34</v>
      </c>
      <c r="J218" s="17" t="s">
        <v>1498</v>
      </c>
      <c r="K218" s="18">
        <v>46150</v>
      </c>
      <c r="L218" s="17" t="s">
        <v>24</v>
      </c>
      <c r="M218" s="7" t="s">
        <v>25</v>
      </c>
      <c r="N218" s="17"/>
    </row>
    <row r="219" spans="1:14" ht="63.75" x14ac:dyDescent="0.25">
      <c r="A219" s="17">
        <v>218</v>
      </c>
      <c r="B219" s="16" t="s">
        <v>1492</v>
      </c>
      <c r="C219" s="17">
        <v>4</v>
      </c>
      <c r="D219" s="17">
        <v>56.5</v>
      </c>
      <c r="E219" s="17"/>
      <c r="F219" s="16" t="s">
        <v>86</v>
      </c>
      <c r="G219" s="17" t="s">
        <v>1499</v>
      </c>
      <c r="H219" s="17" t="s">
        <v>1500</v>
      </c>
      <c r="I219" s="17" t="s">
        <v>34</v>
      </c>
      <c r="J219" s="17" t="s">
        <v>1501</v>
      </c>
      <c r="K219" s="18">
        <v>46149</v>
      </c>
      <c r="L219" s="17" t="s">
        <v>24</v>
      </c>
      <c r="M219" s="7" t="s">
        <v>25</v>
      </c>
      <c r="N219" s="17"/>
    </row>
    <row r="220" spans="1:14" ht="63.75" x14ac:dyDescent="0.25">
      <c r="A220" s="17">
        <v>219</v>
      </c>
      <c r="B220" s="16" t="s">
        <v>1492</v>
      </c>
      <c r="C220" s="17">
        <v>2</v>
      </c>
      <c r="D220" s="17">
        <v>56.8</v>
      </c>
      <c r="E220" s="17"/>
      <c r="F220" s="16" t="s">
        <v>338</v>
      </c>
      <c r="G220" s="17" t="s">
        <v>1502</v>
      </c>
      <c r="H220" s="17" t="s">
        <v>1497</v>
      </c>
      <c r="I220" s="17" t="s">
        <v>34</v>
      </c>
      <c r="J220" s="17" t="s">
        <v>1503</v>
      </c>
      <c r="K220" s="18">
        <v>46136</v>
      </c>
      <c r="L220" s="17" t="s">
        <v>24</v>
      </c>
      <c r="M220" s="7" t="s">
        <v>25</v>
      </c>
      <c r="N220" s="17"/>
    </row>
    <row r="221" spans="1:14" ht="63.75" x14ac:dyDescent="0.25">
      <c r="A221" s="17">
        <v>220</v>
      </c>
      <c r="B221" s="16" t="s">
        <v>1504</v>
      </c>
      <c r="C221" s="17">
        <v>4</v>
      </c>
      <c r="D221" s="17">
        <v>56.5</v>
      </c>
      <c r="E221" s="17"/>
      <c r="F221" s="16" t="s">
        <v>106</v>
      </c>
      <c r="G221" s="17" t="s">
        <v>1505</v>
      </c>
      <c r="H221" s="17" t="s">
        <v>1506</v>
      </c>
      <c r="I221" s="17" t="s">
        <v>34</v>
      </c>
      <c r="J221" s="17" t="s">
        <v>1507</v>
      </c>
      <c r="K221" s="18">
        <v>46141</v>
      </c>
      <c r="L221" s="17" t="s">
        <v>24</v>
      </c>
      <c r="M221" s="7" t="s">
        <v>25</v>
      </c>
      <c r="N221" s="17"/>
    </row>
    <row r="222" spans="1:14" ht="25.5" x14ac:dyDescent="0.25">
      <c r="A222" s="17">
        <v>221</v>
      </c>
      <c r="B222" s="16" t="s">
        <v>1504</v>
      </c>
      <c r="C222" s="17">
        <v>3</v>
      </c>
      <c r="D222" s="17">
        <v>56.6</v>
      </c>
      <c r="E222" s="17"/>
      <c r="F222" s="16" t="s">
        <v>151</v>
      </c>
      <c r="G222" s="17" t="s">
        <v>1508</v>
      </c>
      <c r="H222" s="17" t="s">
        <v>1509</v>
      </c>
      <c r="I222" s="17" t="s">
        <v>28</v>
      </c>
      <c r="J222" s="17" t="s">
        <v>1510</v>
      </c>
      <c r="K222" s="18">
        <v>46136</v>
      </c>
      <c r="L222" s="17" t="s">
        <v>24</v>
      </c>
      <c r="M222" s="7" t="s">
        <v>25</v>
      </c>
      <c r="N222" s="17"/>
    </row>
    <row r="223" spans="1:14" ht="25.5" x14ac:dyDescent="0.25">
      <c r="A223" s="17">
        <v>222</v>
      </c>
      <c r="B223" s="16" t="s">
        <v>1504</v>
      </c>
      <c r="C223" s="17">
        <v>1</v>
      </c>
      <c r="D223" s="17">
        <v>56.7</v>
      </c>
      <c r="E223" s="17"/>
      <c r="F223" s="16" t="s">
        <v>126</v>
      </c>
      <c r="G223" s="17" t="s">
        <v>1511</v>
      </c>
      <c r="H223" s="17" t="s">
        <v>1512</v>
      </c>
      <c r="I223" s="17" t="s">
        <v>28</v>
      </c>
      <c r="J223" s="17" t="s">
        <v>1513</v>
      </c>
      <c r="K223" s="18">
        <v>46135</v>
      </c>
      <c r="L223" s="17"/>
      <c r="M223" s="7" t="s">
        <v>25</v>
      </c>
      <c r="N223" s="17"/>
    </row>
    <row r="224" spans="1:14" ht="63.75" x14ac:dyDescent="0.25">
      <c r="A224" s="17">
        <v>223</v>
      </c>
      <c r="B224" s="16" t="s">
        <v>1504</v>
      </c>
      <c r="C224" s="17">
        <v>2</v>
      </c>
      <c r="D224" s="17">
        <v>56.8</v>
      </c>
      <c r="E224" s="17"/>
      <c r="F224" s="16" t="s">
        <v>54</v>
      </c>
      <c r="G224" s="17" t="s">
        <v>1514</v>
      </c>
      <c r="H224" s="17" t="s">
        <v>4940</v>
      </c>
      <c r="I224" s="17" t="s">
        <v>34</v>
      </c>
      <c r="J224" s="17" t="s">
        <v>1515</v>
      </c>
      <c r="K224" s="18">
        <v>46156</v>
      </c>
      <c r="L224" s="17" t="s">
        <v>24</v>
      </c>
      <c r="M224" s="7" t="s">
        <v>25</v>
      </c>
      <c r="N224" s="17"/>
    </row>
    <row r="225" spans="1:14" ht="63.75" x14ac:dyDescent="0.25">
      <c r="A225" s="17">
        <v>224</v>
      </c>
      <c r="B225" s="16" t="s">
        <v>1516</v>
      </c>
      <c r="C225" s="17">
        <v>1</v>
      </c>
      <c r="D225" s="17">
        <v>41.1</v>
      </c>
      <c r="E225" s="17"/>
      <c r="F225" s="16" t="s">
        <v>101</v>
      </c>
      <c r="G225" s="17" t="s">
        <v>1517</v>
      </c>
      <c r="H225" s="17" t="s">
        <v>1518</v>
      </c>
      <c r="I225" s="17" t="s">
        <v>34</v>
      </c>
      <c r="J225" s="17" t="s">
        <v>1519</v>
      </c>
      <c r="K225" s="18">
        <v>46157</v>
      </c>
      <c r="L225" s="17" t="s">
        <v>24</v>
      </c>
      <c r="M225" s="7" t="s">
        <v>25</v>
      </c>
      <c r="N225" s="17"/>
    </row>
    <row r="226" spans="1:14" ht="25.5" x14ac:dyDescent="0.25">
      <c r="A226" s="17">
        <v>225</v>
      </c>
      <c r="B226" s="16" t="s">
        <v>1520</v>
      </c>
      <c r="C226" s="17">
        <v>3</v>
      </c>
      <c r="D226" s="17">
        <v>42.5</v>
      </c>
      <c r="E226" s="17"/>
      <c r="F226" s="16" t="s">
        <v>338</v>
      </c>
      <c r="G226" s="17" t="s">
        <v>1521</v>
      </c>
      <c r="H226" s="17" t="s">
        <v>1522</v>
      </c>
      <c r="I226" s="17" t="s">
        <v>28</v>
      </c>
      <c r="J226" s="17" t="s">
        <v>1523</v>
      </c>
      <c r="K226" s="18">
        <v>46150</v>
      </c>
      <c r="L226" s="17" t="s">
        <v>24</v>
      </c>
      <c r="M226" s="7" t="s">
        <v>25</v>
      </c>
      <c r="N226" s="17"/>
    </row>
    <row r="227" spans="1:14" ht="25.5" x14ac:dyDescent="0.25">
      <c r="A227" s="17">
        <v>226</v>
      </c>
      <c r="B227" s="16" t="s">
        <v>1520</v>
      </c>
      <c r="C227" s="17">
        <v>2</v>
      </c>
      <c r="D227" s="17">
        <v>42.6</v>
      </c>
      <c r="E227" s="17"/>
      <c r="F227" s="16" t="s">
        <v>338</v>
      </c>
      <c r="G227" s="17" t="s">
        <v>1524</v>
      </c>
      <c r="H227" s="17" t="s">
        <v>1525</v>
      </c>
      <c r="I227" s="17" t="s">
        <v>38</v>
      </c>
      <c r="J227" s="17" t="s">
        <v>1526</v>
      </c>
      <c r="K227" s="18">
        <v>46150</v>
      </c>
      <c r="L227" s="17" t="s">
        <v>24</v>
      </c>
      <c r="M227" s="7" t="s">
        <v>25</v>
      </c>
      <c r="N227" s="17"/>
    </row>
    <row r="228" spans="1:14" ht="25.5" x14ac:dyDescent="0.25">
      <c r="A228" s="17">
        <v>227</v>
      </c>
      <c r="B228" s="16" t="s">
        <v>1520</v>
      </c>
      <c r="C228" s="17">
        <v>4</v>
      </c>
      <c r="D228" s="17">
        <v>42.7</v>
      </c>
      <c r="E228" s="17"/>
      <c r="F228" s="16" t="s">
        <v>338</v>
      </c>
      <c r="G228" s="17" t="s">
        <v>1527</v>
      </c>
      <c r="H228" s="17" t="s">
        <v>1528</v>
      </c>
      <c r="I228" s="17" t="s">
        <v>28</v>
      </c>
      <c r="J228" s="17" t="s">
        <v>1529</v>
      </c>
      <c r="K228" s="18">
        <v>46150</v>
      </c>
      <c r="L228" s="17" t="s">
        <v>24</v>
      </c>
      <c r="M228" s="7" t="s">
        <v>25</v>
      </c>
      <c r="N228" s="17"/>
    </row>
    <row r="229" spans="1:14" ht="25.5" x14ac:dyDescent="0.25">
      <c r="A229" s="17">
        <v>228</v>
      </c>
      <c r="B229" s="16" t="s">
        <v>1520</v>
      </c>
      <c r="C229" s="17">
        <v>1</v>
      </c>
      <c r="D229" s="17">
        <v>42.7</v>
      </c>
      <c r="E229" s="17"/>
      <c r="F229" s="16" t="s">
        <v>338</v>
      </c>
      <c r="G229" s="17" t="s">
        <v>1530</v>
      </c>
      <c r="H229" s="17" t="s">
        <v>1531</v>
      </c>
      <c r="I229" s="17" t="s">
        <v>28</v>
      </c>
      <c r="J229" s="17" t="s">
        <v>1532</v>
      </c>
      <c r="K229" s="18">
        <v>46144</v>
      </c>
      <c r="L229" s="17" t="s">
        <v>24</v>
      </c>
      <c r="M229" s="7" t="s">
        <v>25</v>
      </c>
      <c r="N229" s="17"/>
    </row>
    <row r="230" spans="1:14" ht="25.5" x14ac:dyDescent="0.25">
      <c r="A230" s="17">
        <v>229</v>
      </c>
      <c r="B230" s="16" t="s">
        <v>1533</v>
      </c>
      <c r="C230" s="17">
        <v>1</v>
      </c>
      <c r="D230" s="17">
        <v>42.6</v>
      </c>
      <c r="E230" s="17"/>
      <c r="F230" s="16" t="s">
        <v>86</v>
      </c>
      <c r="G230" s="17" t="s">
        <v>1534</v>
      </c>
      <c r="H230" s="17" t="s">
        <v>1535</v>
      </c>
      <c r="I230" s="17" t="s">
        <v>28</v>
      </c>
      <c r="J230" s="17" t="s">
        <v>1536</v>
      </c>
      <c r="K230" s="18">
        <v>46142</v>
      </c>
      <c r="L230" s="17" t="s">
        <v>24</v>
      </c>
      <c r="M230" s="7" t="s">
        <v>25</v>
      </c>
      <c r="N230" s="17"/>
    </row>
    <row r="231" spans="1:14" ht="25.5" x14ac:dyDescent="0.25">
      <c r="A231" s="17">
        <v>230</v>
      </c>
      <c r="B231" s="16" t="s">
        <v>1533</v>
      </c>
      <c r="C231" s="17">
        <v>2</v>
      </c>
      <c r="D231" s="17">
        <v>42.6</v>
      </c>
      <c r="E231" s="17"/>
      <c r="F231" s="16" t="s">
        <v>86</v>
      </c>
      <c r="G231" s="17" t="s">
        <v>1537</v>
      </c>
      <c r="H231" s="17" t="s">
        <v>1538</v>
      </c>
      <c r="I231" s="17" t="s">
        <v>28</v>
      </c>
      <c r="J231" s="17" t="s">
        <v>1539</v>
      </c>
      <c r="K231" s="18">
        <v>46136</v>
      </c>
      <c r="L231" s="17" t="s">
        <v>24</v>
      </c>
      <c r="M231" s="7" t="s">
        <v>25</v>
      </c>
      <c r="N231" s="17"/>
    </row>
    <row r="232" spans="1:14" ht="38.25" x14ac:dyDescent="0.25">
      <c r="A232" s="17">
        <v>231</v>
      </c>
      <c r="B232" s="16" t="s">
        <v>1533</v>
      </c>
      <c r="C232" s="17">
        <v>3</v>
      </c>
      <c r="D232" s="17">
        <v>42.7</v>
      </c>
      <c r="E232" s="17"/>
      <c r="F232" s="16" t="s">
        <v>86</v>
      </c>
      <c r="G232" s="17" t="s">
        <v>1540</v>
      </c>
      <c r="H232" s="17" t="s">
        <v>1541</v>
      </c>
      <c r="I232" s="17" t="s">
        <v>51</v>
      </c>
      <c r="J232" s="17" t="s">
        <v>1542</v>
      </c>
      <c r="K232" s="18">
        <v>46148</v>
      </c>
      <c r="L232" s="17" t="s">
        <v>24</v>
      </c>
      <c r="M232" s="7" t="s">
        <v>25</v>
      </c>
      <c r="N232" s="17"/>
    </row>
    <row r="233" spans="1:14" ht="63.75" x14ac:dyDescent="0.25">
      <c r="A233" s="17">
        <v>232</v>
      </c>
      <c r="B233" s="16" t="s">
        <v>1533</v>
      </c>
      <c r="C233" s="17">
        <v>4</v>
      </c>
      <c r="D233" s="17">
        <v>42.7</v>
      </c>
      <c r="E233" s="17"/>
      <c r="F233" s="16" t="s">
        <v>31</v>
      </c>
      <c r="G233" s="17" t="s">
        <v>1543</v>
      </c>
      <c r="H233" s="17" t="s">
        <v>1544</v>
      </c>
      <c r="I233" s="17" t="s">
        <v>34</v>
      </c>
      <c r="J233" s="17" t="s">
        <v>1545</v>
      </c>
      <c r="K233" s="18">
        <v>46157</v>
      </c>
      <c r="L233" s="17" t="s">
        <v>24</v>
      </c>
      <c r="M233" s="7" t="s">
        <v>25</v>
      </c>
      <c r="N233" s="17"/>
    </row>
    <row r="234" spans="1:14" ht="63.75" x14ac:dyDescent="0.25">
      <c r="A234" s="17">
        <v>233</v>
      </c>
      <c r="B234" s="16" t="s">
        <v>1546</v>
      </c>
      <c r="C234" s="17">
        <v>1</v>
      </c>
      <c r="D234" s="17">
        <v>42.1</v>
      </c>
      <c r="E234" s="17"/>
      <c r="F234" s="16" t="s">
        <v>162</v>
      </c>
      <c r="G234" s="17" t="s">
        <v>1547</v>
      </c>
      <c r="H234" s="17" t="s">
        <v>1548</v>
      </c>
      <c r="I234" s="17" t="s">
        <v>34</v>
      </c>
      <c r="J234" s="17" t="s">
        <v>1549</v>
      </c>
      <c r="K234" s="18">
        <v>46157</v>
      </c>
      <c r="L234" s="17" t="s">
        <v>24</v>
      </c>
      <c r="M234" s="7" t="s">
        <v>25</v>
      </c>
      <c r="N234" s="17"/>
    </row>
    <row r="235" spans="1:14" ht="25.5" x14ac:dyDescent="0.25">
      <c r="A235" s="17">
        <v>234</v>
      </c>
      <c r="B235" s="16" t="s">
        <v>1546</v>
      </c>
      <c r="C235" s="17">
        <v>4</v>
      </c>
      <c r="D235" s="17">
        <v>42.2</v>
      </c>
      <c r="E235" s="17"/>
      <c r="F235" s="16" t="s">
        <v>121</v>
      </c>
      <c r="G235" s="17" t="s">
        <v>1550</v>
      </c>
      <c r="H235" s="17" t="s">
        <v>1551</v>
      </c>
      <c r="I235" s="17" t="s">
        <v>42</v>
      </c>
      <c r="J235" s="17" t="s">
        <v>1552</v>
      </c>
      <c r="K235" s="18">
        <v>46155</v>
      </c>
      <c r="L235" s="17" t="s">
        <v>24</v>
      </c>
      <c r="M235" s="7" t="s">
        <v>25</v>
      </c>
      <c r="N235" s="17"/>
    </row>
    <row r="236" spans="1:14" ht="25.5" x14ac:dyDescent="0.25">
      <c r="A236" s="17">
        <v>235</v>
      </c>
      <c r="B236" s="16" t="s">
        <v>1546</v>
      </c>
      <c r="C236" s="17">
        <v>2</v>
      </c>
      <c r="D236" s="17">
        <v>42.2</v>
      </c>
      <c r="E236" s="17"/>
      <c r="F236" s="16" t="s">
        <v>121</v>
      </c>
      <c r="G236" s="17" t="s">
        <v>1553</v>
      </c>
      <c r="H236" s="17" t="s">
        <v>1554</v>
      </c>
      <c r="I236" s="17" t="s">
        <v>38</v>
      </c>
      <c r="J236" s="17" t="s">
        <v>1555</v>
      </c>
      <c r="K236" s="18">
        <v>46133</v>
      </c>
      <c r="L236" s="17" t="s">
        <v>24</v>
      </c>
      <c r="M236" s="7" t="s">
        <v>25</v>
      </c>
      <c r="N236" s="17"/>
    </row>
    <row r="237" spans="1:14" ht="25.5" x14ac:dyDescent="0.25">
      <c r="A237" s="17">
        <v>236</v>
      </c>
      <c r="B237" s="16" t="s">
        <v>1546</v>
      </c>
      <c r="C237" s="17">
        <v>3</v>
      </c>
      <c r="D237" s="17">
        <v>42.3</v>
      </c>
      <c r="E237" s="17"/>
      <c r="F237" s="16" t="s">
        <v>121</v>
      </c>
      <c r="G237" s="17" t="s">
        <v>1556</v>
      </c>
      <c r="H237" s="17" t="s">
        <v>1557</v>
      </c>
      <c r="I237" s="17" t="s">
        <v>28</v>
      </c>
      <c r="J237" s="17" t="s">
        <v>1558</v>
      </c>
      <c r="K237" s="18">
        <v>46148</v>
      </c>
      <c r="L237" s="17" t="s">
        <v>24</v>
      </c>
      <c r="M237" s="7" t="s">
        <v>25</v>
      </c>
      <c r="N237" s="17"/>
    </row>
    <row r="238" spans="1:14" ht="25.5" x14ac:dyDescent="0.25">
      <c r="A238" s="17">
        <v>237</v>
      </c>
      <c r="B238" s="16" t="s">
        <v>1559</v>
      </c>
      <c r="C238" s="17">
        <v>3</v>
      </c>
      <c r="D238" s="17">
        <v>42.3</v>
      </c>
      <c r="E238" s="17"/>
      <c r="F238" s="16" t="s">
        <v>121</v>
      </c>
      <c r="G238" s="17" t="s">
        <v>1560</v>
      </c>
      <c r="H238" s="17" t="s">
        <v>1561</v>
      </c>
      <c r="I238" s="17" t="s">
        <v>28</v>
      </c>
      <c r="J238" s="17" t="s">
        <v>1562</v>
      </c>
      <c r="K238" s="18">
        <v>46155</v>
      </c>
      <c r="L238" s="17" t="s">
        <v>24</v>
      </c>
      <c r="M238" s="7" t="s">
        <v>25</v>
      </c>
      <c r="N238" s="17"/>
    </row>
    <row r="239" spans="1:14" ht="63.75" x14ac:dyDescent="0.25">
      <c r="A239" s="17">
        <v>238</v>
      </c>
      <c r="B239" s="16" t="s">
        <v>1559</v>
      </c>
      <c r="C239" s="17">
        <v>4</v>
      </c>
      <c r="D239" s="17">
        <v>42.5</v>
      </c>
      <c r="E239" s="17"/>
      <c r="F239" s="16" t="s">
        <v>121</v>
      </c>
      <c r="G239" s="17" t="s">
        <v>1563</v>
      </c>
      <c r="H239" s="17" t="s">
        <v>1564</v>
      </c>
      <c r="I239" s="17" t="s">
        <v>34</v>
      </c>
      <c r="J239" s="17" t="s">
        <v>1565</v>
      </c>
      <c r="K239" s="18">
        <v>46150</v>
      </c>
      <c r="L239" s="17" t="s">
        <v>24</v>
      </c>
      <c r="M239" s="7" t="s">
        <v>25</v>
      </c>
      <c r="N239" s="17"/>
    </row>
    <row r="240" spans="1:14" ht="25.5" x14ac:dyDescent="0.25">
      <c r="A240" s="17">
        <v>239</v>
      </c>
      <c r="B240" s="16" t="s">
        <v>1559</v>
      </c>
      <c r="C240" s="17">
        <v>1</v>
      </c>
      <c r="D240" s="17">
        <v>42.5</v>
      </c>
      <c r="E240" s="17"/>
      <c r="F240" s="16" t="s">
        <v>162</v>
      </c>
      <c r="G240" s="17" t="s">
        <v>1566</v>
      </c>
      <c r="H240" s="17" t="s">
        <v>1567</v>
      </c>
      <c r="I240" s="17" t="s">
        <v>28</v>
      </c>
      <c r="J240" s="17" t="s">
        <v>1568</v>
      </c>
      <c r="K240" s="18">
        <v>46147</v>
      </c>
      <c r="L240" s="17" t="s">
        <v>24</v>
      </c>
      <c r="M240" s="7" t="s">
        <v>25</v>
      </c>
      <c r="N240" s="17"/>
    </row>
    <row r="241" spans="1:14" ht="25.5" x14ac:dyDescent="0.25">
      <c r="A241" s="17">
        <v>240</v>
      </c>
      <c r="B241" s="16" t="s">
        <v>1559</v>
      </c>
      <c r="C241" s="17">
        <v>2</v>
      </c>
      <c r="D241" s="17">
        <v>42.5</v>
      </c>
      <c r="E241" s="17"/>
      <c r="F241" s="16" t="s">
        <v>338</v>
      </c>
      <c r="G241" s="17" t="s">
        <v>1569</v>
      </c>
      <c r="H241" s="17" t="s">
        <v>1570</v>
      </c>
      <c r="I241" s="17" t="s">
        <v>28</v>
      </c>
      <c r="J241" s="17" t="s">
        <v>1571</v>
      </c>
      <c r="K241" s="18">
        <v>46147</v>
      </c>
      <c r="L241" s="17" t="s">
        <v>24</v>
      </c>
      <c r="M241" s="7" t="s">
        <v>25</v>
      </c>
      <c r="N241" s="17"/>
    </row>
    <row r="242" spans="1:14" ht="25.5" x14ac:dyDescent="0.25">
      <c r="A242" s="17">
        <v>241</v>
      </c>
      <c r="B242" s="16" t="s">
        <v>1572</v>
      </c>
      <c r="C242" s="17">
        <v>1</v>
      </c>
      <c r="D242" s="17">
        <v>56.5</v>
      </c>
      <c r="E242" s="17"/>
      <c r="F242" s="16" t="s">
        <v>31</v>
      </c>
      <c r="G242" s="17" t="s">
        <v>1573</v>
      </c>
      <c r="H242" s="17" t="s">
        <v>1574</v>
      </c>
      <c r="I242" s="17" t="s">
        <v>312</v>
      </c>
      <c r="J242" s="17" t="s">
        <v>1575</v>
      </c>
      <c r="K242" s="18">
        <v>46140</v>
      </c>
      <c r="L242" s="17" t="s">
        <v>24</v>
      </c>
      <c r="M242" s="7" t="s">
        <v>25</v>
      </c>
      <c r="N242" s="17"/>
    </row>
    <row r="243" spans="1:14" ht="63.75" x14ac:dyDescent="0.25">
      <c r="A243" s="17">
        <v>242</v>
      </c>
      <c r="B243" s="16" t="s">
        <v>1572</v>
      </c>
      <c r="C243" s="17">
        <v>4</v>
      </c>
      <c r="D243" s="17">
        <v>56.5</v>
      </c>
      <c r="E243" s="17"/>
      <c r="F243" s="16" t="s">
        <v>31</v>
      </c>
      <c r="G243" s="17" t="s">
        <v>1576</v>
      </c>
      <c r="H243" s="17" t="s">
        <v>1577</v>
      </c>
      <c r="I243" s="17" t="s">
        <v>34</v>
      </c>
      <c r="J243" s="17" t="s">
        <v>1578</v>
      </c>
      <c r="K243" s="18">
        <v>46141</v>
      </c>
      <c r="L243" s="17" t="s">
        <v>24</v>
      </c>
      <c r="M243" s="7" t="s">
        <v>25</v>
      </c>
      <c r="N243" s="17"/>
    </row>
    <row r="244" spans="1:14" ht="25.5" x14ac:dyDescent="0.25">
      <c r="A244" s="17">
        <v>243</v>
      </c>
      <c r="B244" s="16" t="s">
        <v>1572</v>
      </c>
      <c r="C244" s="17">
        <v>2</v>
      </c>
      <c r="D244" s="17">
        <v>56.7</v>
      </c>
      <c r="E244" s="17"/>
      <c r="F244" s="16" t="s">
        <v>31</v>
      </c>
      <c r="G244" s="17" t="s">
        <v>1579</v>
      </c>
      <c r="H244" s="17" t="s">
        <v>1580</v>
      </c>
      <c r="I244" s="17" t="s">
        <v>42</v>
      </c>
      <c r="J244" s="17" t="s">
        <v>1581</v>
      </c>
      <c r="K244" s="18">
        <v>46136</v>
      </c>
      <c r="L244" s="17" t="s">
        <v>24</v>
      </c>
      <c r="M244" s="7" t="s">
        <v>25</v>
      </c>
      <c r="N244" s="17"/>
    </row>
    <row r="245" spans="1:14" ht="63.75" x14ac:dyDescent="0.25">
      <c r="A245" s="17">
        <v>244</v>
      </c>
      <c r="B245" s="16" t="s">
        <v>1572</v>
      </c>
      <c r="C245" s="17">
        <v>3</v>
      </c>
      <c r="D245" s="17">
        <v>56.7</v>
      </c>
      <c r="E245" s="17"/>
      <c r="F245" s="16" t="s">
        <v>162</v>
      </c>
      <c r="G245" s="17" t="s">
        <v>1582</v>
      </c>
      <c r="H245" s="17" t="s">
        <v>1583</v>
      </c>
      <c r="I245" s="17" t="s">
        <v>34</v>
      </c>
      <c r="J245" s="17" t="s">
        <v>1584</v>
      </c>
      <c r="K245" s="18">
        <v>46147</v>
      </c>
      <c r="L245" s="17" t="s">
        <v>24</v>
      </c>
      <c r="M245" s="7" t="s">
        <v>25</v>
      </c>
      <c r="N245" s="17"/>
    </row>
    <row r="246" spans="1:14" ht="38.25" x14ac:dyDescent="0.25">
      <c r="A246" s="17">
        <v>245</v>
      </c>
      <c r="B246" s="16" t="s">
        <v>1585</v>
      </c>
      <c r="C246" s="17">
        <v>1</v>
      </c>
      <c r="D246" s="17">
        <v>56.5</v>
      </c>
      <c r="E246" s="17"/>
      <c r="F246" s="16" t="s">
        <v>86</v>
      </c>
      <c r="G246" s="17" t="s">
        <v>1586</v>
      </c>
      <c r="H246" s="17" t="s">
        <v>1587</v>
      </c>
      <c r="I246" s="17" t="s">
        <v>34</v>
      </c>
      <c r="J246" s="17" t="s">
        <v>1588</v>
      </c>
      <c r="K246" s="18">
        <v>46150</v>
      </c>
      <c r="L246" s="17" t="s">
        <v>24</v>
      </c>
      <c r="M246" s="7" t="s">
        <v>25</v>
      </c>
      <c r="N246" s="17"/>
    </row>
    <row r="247" spans="1:14" ht="63.75" x14ac:dyDescent="0.25">
      <c r="A247" s="17">
        <v>246</v>
      </c>
      <c r="B247" s="16" t="s">
        <v>1585</v>
      </c>
      <c r="C247" s="17">
        <v>2</v>
      </c>
      <c r="D247" s="17">
        <v>56.5</v>
      </c>
      <c r="E247" s="17"/>
      <c r="F247" s="16" t="s">
        <v>162</v>
      </c>
      <c r="G247" s="17" t="s">
        <v>1589</v>
      </c>
      <c r="H247" s="17" t="s">
        <v>1590</v>
      </c>
      <c r="I247" s="17" t="s">
        <v>293</v>
      </c>
      <c r="J247" s="17" t="s">
        <v>1591</v>
      </c>
      <c r="K247" s="18">
        <v>46147</v>
      </c>
      <c r="L247" s="17" t="s">
        <v>24</v>
      </c>
      <c r="M247" s="7" t="s">
        <v>25</v>
      </c>
      <c r="N247" s="17"/>
    </row>
    <row r="248" spans="1:14" ht="63.75" x14ac:dyDescent="0.25">
      <c r="A248" s="17">
        <v>247</v>
      </c>
      <c r="B248" s="16" t="s">
        <v>1585</v>
      </c>
      <c r="C248" s="17">
        <v>4</v>
      </c>
      <c r="D248" s="17">
        <v>56.6</v>
      </c>
      <c r="E248" s="17"/>
      <c r="F248" s="16" t="s">
        <v>162</v>
      </c>
      <c r="G248" s="17" t="s">
        <v>1592</v>
      </c>
      <c r="H248" s="17" t="s">
        <v>1593</v>
      </c>
      <c r="I248" s="17" t="s">
        <v>34</v>
      </c>
      <c r="J248" s="17" t="s">
        <v>1594</v>
      </c>
      <c r="K248" s="18">
        <v>46147</v>
      </c>
      <c r="L248" s="17" t="s">
        <v>24</v>
      </c>
      <c r="M248" s="7" t="s">
        <v>25</v>
      </c>
      <c r="N248" s="17"/>
    </row>
    <row r="249" spans="1:14" ht="25.5" x14ac:dyDescent="0.25">
      <c r="A249" s="17">
        <v>248</v>
      </c>
      <c r="B249" s="16" t="s">
        <v>1585</v>
      </c>
      <c r="C249" s="17">
        <v>3</v>
      </c>
      <c r="D249" s="17">
        <v>56.7</v>
      </c>
      <c r="E249" s="17"/>
      <c r="F249" s="16" t="s">
        <v>126</v>
      </c>
      <c r="G249" s="17" t="s">
        <v>1595</v>
      </c>
      <c r="H249" s="17" t="s">
        <v>1596</v>
      </c>
      <c r="I249" s="17" t="s">
        <v>2032</v>
      </c>
      <c r="J249" s="17" t="s">
        <v>1597</v>
      </c>
      <c r="K249" s="18">
        <v>46135</v>
      </c>
      <c r="L249" s="17"/>
      <c r="M249" s="7" t="s">
        <v>25</v>
      </c>
      <c r="N249" s="17"/>
    </row>
    <row r="250" spans="1:14" ht="25.5" x14ac:dyDescent="0.25">
      <c r="A250" s="17">
        <v>249</v>
      </c>
      <c r="B250" s="16" t="s">
        <v>1598</v>
      </c>
      <c r="C250" s="17">
        <v>1</v>
      </c>
      <c r="D250" s="17">
        <v>56.5</v>
      </c>
      <c r="E250" s="17"/>
      <c r="F250" s="16" t="s">
        <v>101</v>
      </c>
      <c r="G250" s="17" t="s">
        <v>1599</v>
      </c>
      <c r="H250" s="17" t="s">
        <v>1600</v>
      </c>
      <c r="I250" s="17" t="s">
        <v>28</v>
      </c>
      <c r="J250" s="17" t="s">
        <v>1601</v>
      </c>
      <c r="K250" s="18">
        <v>46134</v>
      </c>
      <c r="L250" s="17" t="s">
        <v>24</v>
      </c>
      <c r="M250" s="7" t="s">
        <v>25</v>
      </c>
      <c r="N250" s="17"/>
    </row>
    <row r="251" spans="1:14" ht="51" x14ac:dyDescent="0.25">
      <c r="A251" s="17">
        <v>250</v>
      </c>
      <c r="B251" s="16" t="s">
        <v>1598</v>
      </c>
      <c r="C251" s="17">
        <v>2</v>
      </c>
      <c r="D251" s="17">
        <v>56.5</v>
      </c>
      <c r="E251" s="17"/>
      <c r="F251" s="16" t="s">
        <v>101</v>
      </c>
      <c r="G251" s="17" t="s">
        <v>1602</v>
      </c>
      <c r="H251" s="17" t="s">
        <v>1603</v>
      </c>
      <c r="I251" s="17" t="s">
        <v>34</v>
      </c>
      <c r="J251" s="17" t="s">
        <v>1604</v>
      </c>
      <c r="K251" s="18">
        <v>46134</v>
      </c>
      <c r="L251" s="17" t="s">
        <v>24</v>
      </c>
      <c r="M251" s="7" t="s">
        <v>25</v>
      </c>
      <c r="N251" s="17"/>
    </row>
    <row r="252" spans="1:14" ht="25.5" x14ac:dyDescent="0.25">
      <c r="A252" s="17">
        <v>251</v>
      </c>
      <c r="B252" s="16" t="s">
        <v>1598</v>
      </c>
      <c r="C252" s="17">
        <v>3</v>
      </c>
      <c r="D252" s="17">
        <v>56.5</v>
      </c>
      <c r="E252" s="17"/>
      <c r="F252" s="16" t="s">
        <v>101</v>
      </c>
      <c r="G252" s="17" t="s">
        <v>1605</v>
      </c>
      <c r="H252" s="17" t="s">
        <v>1606</v>
      </c>
      <c r="I252" s="17" t="s">
        <v>28</v>
      </c>
      <c r="J252" s="17" t="s">
        <v>1607</v>
      </c>
      <c r="K252" s="18">
        <v>46142</v>
      </c>
      <c r="L252" s="17" t="s">
        <v>24</v>
      </c>
      <c r="M252" s="7" t="s">
        <v>25</v>
      </c>
      <c r="N252" s="17"/>
    </row>
    <row r="253" spans="1:14" ht="38.25" x14ac:dyDescent="0.25">
      <c r="A253" s="17">
        <v>252</v>
      </c>
      <c r="B253" s="16" t="s">
        <v>1598</v>
      </c>
      <c r="C253" s="17">
        <v>4</v>
      </c>
      <c r="D253" s="17">
        <v>56.6</v>
      </c>
      <c r="E253" s="17"/>
      <c r="F253" s="16" t="s">
        <v>101</v>
      </c>
      <c r="G253" s="17" t="s">
        <v>1608</v>
      </c>
      <c r="H253" s="17" t="s">
        <v>1609</v>
      </c>
      <c r="I253" s="17" t="s">
        <v>34</v>
      </c>
      <c r="J253" s="17" t="s">
        <v>1610</v>
      </c>
      <c r="K253" s="18">
        <v>46134</v>
      </c>
      <c r="L253" s="17" t="s">
        <v>24</v>
      </c>
      <c r="M253" s="7" t="s">
        <v>25</v>
      </c>
      <c r="N253" s="17"/>
    </row>
    <row r="254" spans="1:14" ht="63.75" x14ac:dyDescent="0.25">
      <c r="A254" s="17">
        <v>253</v>
      </c>
      <c r="B254" s="16" t="s">
        <v>1611</v>
      </c>
      <c r="C254" s="17">
        <v>4</v>
      </c>
      <c r="D254" s="17">
        <v>56.4</v>
      </c>
      <c r="E254" s="17"/>
      <c r="F254" s="16" t="s">
        <v>31</v>
      </c>
      <c r="G254" s="17" t="s">
        <v>1612</v>
      </c>
      <c r="H254" s="17" t="s">
        <v>1613</v>
      </c>
      <c r="I254" s="17" t="s">
        <v>34</v>
      </c>
      <c r="J254" s="17" t="s">
        <v>1614</v>
      </c>
      <c r="K254" s="18">
        <v>46140</v>
      </c>
      <c r="L254" s="17" t="s">
        <v>24</v>
      </c>
      <c r="M254" s="7" t="s">
        <v>25</v>
      </c>
      <c r="N254" s="17"/>
    </row>
    <row r="255" spans="1:14" ht="63.75" x14ac:dyDescent="0.25">
      <c r="A255" s="17">
        <v>254</v>
      </c>
      <c r="B255" s="16" t="s">
        <v>1611</v>
      </c>
      <c r="C255" s="17">
        <v>1</v>
      </c>
      <c r="D255" s="17">
        <v>56.5</v>
      </c>
      <c r="E255" s="17"/>
      <c r="F255" s="16" t="s">
        <v>121</v>
      </c>
      <c r="G255" s="17" t="s">
        <v>1615</v>
      </c>
      <c r="H255" s="17" t="s">
        <v>1616</v>
      </c>
      <c r="I255" s="17" t="s">
        <v>34</v>
      </c>
      <c r="J255" s="17" t="s">
        <v>1617</v>
      </c>
      <c r="K255" s="18">
        <v>46150</v>
      </c>
      <c r="L255" s="17" t="s">
        <v>24</v>
      </c>
      <c r="M255" s="7" t="s">
        <v>25</v>
      </c>
      <c r="N255" s="17"/>
    </row>
    <row r="256" spans="1:14" ht="25.5" x14ac:dyDescent="0.25">
      <c r="A256" s="17">
        <v>255</v>
      </c>
      <c r="B256" s="16" t="s">
        <v>1611</v>
      </c>
      <c r="C256" s="17">
        <v>2</v>
      </c>
      <c r="D256" s="17">
        <v>56.6</v>
      </c>
      <c r="E256" s="17"/>
      <c r="F256" s="16" t="s">
        <v>343</v>
      </c>
      <c r="G256" s="17" t="s">
        <v>1618</v>
      </c>
      <c r="H256" s="17" t="s">
        <v>1619</v>
      </c>
      <c r="I256" s="17" t="s">
        <v>267</v>
      </c>
      <c r="J256" s="17" t="s">
        <v>1620</v>
      </c>
      <c r="K256" s="18">
        <v>45784</v>
      </c>
      <c r="L256" s="17" t="s">
        <v>24</v>
      </c>
      <c r="M256" s="7" t="s">
        <v>25</v>
      </c>
      <c r="N256" s="17"/>
    </row>
    <row r="257" spans="1:14" ht="51" x14ac:dyDescent="0.25">
      <c r="A257" s="17">
        <v>256</v>
      </c>
      <c r="B257" s="16" t="s">
        <v>1611</v>
      </c>
      <c r="C257" s="17">
        <v>3</v>
      </c>
      <c r="D257" s="17">
        <v>56.7</v>
      </c>
      <c r="E257" s="17"/>
      <c r="F257" s="16" t="s">
        <v>31</v>
      </c>
      <c r="G257" s="17" t="s">
        <v>1621</v>
      </c>
      <c r="H257" s="17" t="s">
        <v>1622</v>
      </c>
      <c r="I257" s="17" t="s">
        <v>34</v>
      </c>
      <c r="J257" s="17" t="s">
        <v>1623</v>
      </c>
      <c r="K257" s="18">
        <v>46140</v>
      </c>
      <c r="L257" s="17" t="s">
        <v>24</v>
      </c>
      <c r="M257" s="7" t="s">
        <v>25</v>
      </c>
      <c r="N257" s="17"/>
    </row>
    <row r="258" spans="1:14" ht="25.5" x14ac:dyDescent="0.25">
      <c r="A258" s="17">
        <v>257</v>
      </c>
      <c r="B258" s="16" t="s">
        <v>1624</v>
      </c>
      <c r="C258" s="17">
        <v>2</v>
      </c>
      <c r="D258" s="17">
        <v>56.5</v>
      </c>
      <c r="E258" s="17"/>
      <c r="F258" s="16" t="s">
        <v>126</v>
      </c>
      <c r="G258" s="17" t="s">
        <v>1625</v>
      </c>
      <c r="H258" s="17" t="s">
        <v>1626</v>
      </c>
      <c r="I258" s="17" t="s">
        <v>22</v>
      </c>
      <c r="J258" s="17" t="s">
        <v>1627</v>
      </c>
      <c r="K258" s="18">
        <v>46135</v>
      </c>
      <c r="L258" s="17"/>
      <c r="M258" s="7" t="s">
        <v>25</v>
      </c>
      <c r="N258" s="17"/>
    </row>
    <row r="259" spans="1:14" ht="25.5" x14ac:dyDescent="0.25">
      <c r="A259" s="17">
        <v>258</v>
      </c>
      <c r="B259" s="16" t="s">
        <v>1624</v>
      </c>
      <c r="C259" s="17">
        <v>3</v>
      </c>
      <c r="D259" s="17">
        <v>56.6</v>
      </c>
      <c r="E259" s="17"/>
      <c r="F259" s="16" t="s">
        <v>162</v>
      </c>
      <c r="G259" s="17" t="s">
        <v>1628</v>
      </c>
      <c r="H259" s="17" t="s">
        <v>1629</v>
      </c>
      <c r="I259" s="17" t="s">
        <v>267</v>
      </c>
      <c r="J259" s="17" t="s">
        <v>1630</v>
      </c>
      <c r="K259" s="18">
        <v>46147</v>
      </c>
      <c r="L259" s="17" t="s">
        <v>24</v>
      </c>
      <c r="M259" s="7" t="s">
        <v>25</v>
      </c>
      <c r="N259" s="17"/>
    </row>
    <row r="260" spans="1:14" ht="63.75" x14ac:dyDescent="0.25">
      <c r="A260" s="17">
        <v>259</v>
      </c>
      <c r="B260" s="16" t="s">
        <v>1624</v>
      </c>
      <c r="C260" s="17">
        <v>4</v>
      </c>
      <c r="D260" s="17">
        <v>56.6</v>
      </c>
      <c r="E260" s="17"/>
      <c r="F260" s="16" t="s">
        <v>31</v>
      </c>
      <c r="G260" s="17" t="s">
        <v>1631</v>
      </c>
      <c r="H260" s="17" t="s">
        <v>1632</v>
      </c>
      <c r="I260" s="17" t="s">
        <v>34</v>
      </c>
      <c r="J260" s="17" t="s">
        <v>1633</v>
      </c>
      <c r="K260" s="18">
        <v>46157</v>
      </c>
      <c r="L260" s="17" t="s">
        <v>24</v>
      </c>
      <c r="M260" s="7" t="s">
        <v>25</v>
      </c>
      <c r="N260" s="17"/>
    </row>
    <row r="261" spans="1:14" ht="63.75" x14ac:dyDescent="0.25">
      <c r="A261" s="17">
        <v>260</v>
      </c>
      <c r="B261" s="16" t="s">
        <v>1624</v>
      </c>
      <c r="C261" s="17">
        <v>1</v>
      </c>
      <c r="D261" s="17">
        <v>56.7</v>
      </c>
      <c r="E261" s="17"/>
      <c r="F261" s="16" t="s">
        <v>151</v>
      </c>
      <c r="G261" s="17" t="s">
        <v>1634</v>
      </c>
      <c r="H261" s="17" t="s">
        <v>1635</v>
      </c>
      <c r="I261" s="17" t="s">
        <v>34</v>
      </c>
      <c r="J261" s="17" t="s">
        <v>1636</v>
      </c>
      <c r="K261" s="18">
        <v>46142</v>
      </c>
      <c r="L261" s="17" t="s">
        <v>24</v>
      </c>
      <c r="M261" s="7" t="s">
        <v>25</v>
      </c>
      <c r="N261" s="17"/>
    </row>
    <row r="262" spans="1:14" ht="25.5" x14ac:dyDescent="0.25">
      <c r="A262" s="17">
        <v>261</v>
      </c>
      <c r="B262" s="16" t="s">
        <v>1637</v>
      </c>
      <c r="C262" s="17">
        <v>1</v>
      </c>
      <c r="D262" s="17">
        <v>131.5</v>
      </c>
      <c r="E262" s="17"/>
      <c r="F262" s="16" t="s">
        <v>338</v>
      </c>
      <c r="G262" s="17" t="s">
        <v>1638</v>
      </c>
      <c r="H262" s="17" t="s">
        <v>1639</v>
      </c>
      <c r="I262" s="17" t="s">
        <v>312</v>
      </c>
      <c r="J262" s="17" t="s">
        <v>1640</v>
      </c>
      <c r="K262" s="18">
        <v>46148</v>
      </c>
      <c r="L262" s="17" t="s">
        <v>24</v>
      </c>
      <c r="M262" s="7" t="s">
        <v>25</v>
      </c>
      <c r="N262" s="17"/>
    </row>
    <row r="263" spans="1:14" ht="25.5" x14ac:dyDescent="0.25">
      <c r="A263" s="17">
        <v>262</v>
      </c>
      <c r="B263" s="16" t="s">
        <v>1641</v>
      </c>
      <c r="C263" s="17">
        <v>2</v>
      </c>
      <c r="D263" s="17">
        <v>124.7</v>
      </c>
      <c r="E263" s="17"/>
      <c r="F263" s="16" t="s">
        <v>19</v>
      </c>
      <c r="G263" s="17" t="s">
        <v>1642</v>
      </c>
      <c r="H263" s="17" t="s">
        <v>1643</v>
      </c>
      <c r="I263" s="17" t="s">
        <v>312</v>
      </c>
      <c r="J263" s="17" t="s">
        <v>1644</v>
      </c>
      <c r="K263" s="18">
        <v>46157</v>
      </c>
      <c r="L263" s="17" t="s">
        <v>24</v>
      </c>
      <c r="M263" s="7" t="s">
        <v>25</v>
      </c>
      <c r="N263" s="17"/>
    </row>
    <row r="264" spans="1:14" ht="25.5" x14ac:dyDescent="0.25">
      <c r="A264" s="17">
        <v>263</v>
      </c>
      <c r="B264" s="16" t="s">
        <v>1641</v>
      </c>
      <c r="C264" s="17">
        <v>1</v>
      </c>
      <c r="D264" s="17">
        <v>125</v>
      </c>
      <c r="E264" s="17"/>
      <c r="F264" s="16" t="s">
        <v>31</v>
      </c>
      <c r="G264" s="17" t="s">
        <v>1645</v>
      </c>
      <c r="H264" s="17" t="s">
        <v>1646</v>
      </c>
      <c r="I264" s="17" t="s">
        <v>312</v>
      </c>
      <c r="J264" s="17" t="s">
        <v>1647</v>
      </c>
      <c r="K264" s="18">
        <v>46140</v>
      </c>
      <c r="L264" s="17" t="s">
        <v>24</v>
      </c>
      <c r="M264" s="7" t="s">
        <v>25</v>
      </c>
      <c r="N264" s="17"/>
    </row>
    <row r="265" spans="1:14" ht="25.5" x14ac:dyDescent="0.25">
      <c r="A265" s="17">
        <v>264</v>
      </c>
      <c r="B265" s="16" t="s">
        <v>1648</v>
      </c>
      <c r="C265" s="17">
        <v>3</v>
      </c>
      <c r="D265" s="17">
        <v>42.5</v>
      </c>
      <c r="E265" s="17"/>
      <c r="F265" s="16" t="s">
        <v>31</v>
      </c>
      <c r="G265" s="17" t="s">
        <v>1649</v>
      </c>
      <c r="H265" s="17" t="s">
        <v>1650</v>
      </c>
      <c r="I265" s="17" t="s">
        <v>28</v>
      </c>
      <c r="J265" s="17" t="s">
        <v>1651</v>
      </c>
      <c r="K265" s="18">
        <v>46144</v>
      </c>
      <c r="L265" s="17" t="s">
        <v>24</v>
      </c>
      <c r="M265" s="7" t="s">
        <v>25</v>
      </c>
      <c r="N265" s="17"/>
    </row>
    <row r="266" spans="1:14" ht="63.75" x14ac:dyDescent="0.25">
      <c r="A266" s="17">
        <v>265</v>
      </c>
      <c r="B266" s="16" t="s">
        <v>1648</v>
      </c>
      <c r="C266" s="17">
        <v>4</v>
      </c>
      <c r="D266" s="17">
        <v>42.5</v>
      </c>
      <c r="E266" s="17"/>
      <c r="F266" s="16" t="s">
        <v>151</v>
      </c>
      <c r="G266" s="17" t="s">
        <v>1652</v>
      </c>
      <c r="H266" s="17" t="s">
        <v>1653</v>
      </c>
      <c r="I266" s="17" t="s">
        <v>34</v>
      </c>
      <c r="J266" s="17" t="s">
        <v>1654</v>
      </c>
      <c r="K266" s="18">
        <v>46142</v>
      </c>
      <c r="L266" s="17" t="s">
        <v>24</v>
      </c>
      <c r="M266" s="7" t="s">
        <v>25</v>
      </c>
      <c r="N266" s="17"/>
    </row>
    <row r="267" spans="1:14" ht="63.75" x14ac:dyDescent="0.25">
      <c r="A267" s="17">
        <v>266</v>
      </c>
      <c r="B267" s="16" t="s">
        <v>1648</v>
      </c>
      <c r="C267" s="17">
        <v>1</v>
      </c>
      <c r="D267" s="17">
        <v>42.5</v>
      </c>
      <c r="E267" s="17"/>
      <c r="F267" s="16" t="s">
        <v>151</v>
      </c>
      <c r="G267" s="17" t="s">
        <v>1655</v>
      </c>
      <c r="H267" s="17" t="s">
        <v>1656</v>
      </c>
      <c r="I267" s="17" t="s">
        <v>34</v>
      </c>
      <c r="J267" s="17" t="s">
        <v>1657</v>
      </c>
      <c r="K267" s="18">
        <v>46142</v>
      </c>
      <c r="L267" s="17" t="s">
        <v>24</v>
      </c>
      <c r="M267" s="7" t="s">
        <v>25</v>
      </c>
      <c r="N267" s="17"/>
    </row>
    <row r="268" spans="1:14" ht="25.5" x14ac:dyDescent="0.25">
      <c r="A268" s="17">
        <v>267</v>
      </c>
      <c r="B268" s="16" t="s">
        <v>1648</v>
      </c>
      <c r="C268" s="17">
        <v>2</v>
      </c>
      <c r="D268" s="17">
        <v>42.6</v>
      </c>
      <c r="E268" s="17"/>
      <c r="F268" s="16" t="s">
        <v>151</v>
      </c>
      <c r="G268" s="17" t="s">
        <v>1658</v>
      </c>
      <c r="H268" s="17" t="s">
        <v>1659</v>
      </c>
      <c r="I268" s="17" t="s">
        <v>28</v>
      </c>
      <c r="J268" s="17" t="s">
        <v>1660</v>
      </c>
      <c r="K268" s="18">
        <v>46142</v>
      </c>
      <c r="L268" s="17" t="s">
        <v>24</v>
      </c>
      <c r="M268" s="7" t="s">
        <v>25</v>
      </c>
      <c r="N268" s="17"/>
    </row>
    <row r="269" spans="1:14" ht="25.5" x14ac:dyDescent="0.25">
      <c r="A269" s="17">
        <v>268</v>
      </c>
      <c r="B269" s="16" t="s">
        <v>1661</v>
      </c>
      <c r="C269" s="17">
        <v>1</v>
      </c>
      <c r="D269" s="17">
        <v>124.6</v>
      </c>
      <c r="E269" s="17"/>
      <c r="F269" s="16" t="s">
        <v>86</v>
      </c>
      <c r="G269" s="17" t="s">
        <v>1662</v>
      </c>
      <c r="H269" s="17" t="s">
        <v>1663</v>
      </c>
      <c r="I269" s="17" t="s">
        <v>312</v>
      </c>
      <c r="J269" s="17" t="s">
        <v>1664</v>
      </c>
      <c r="K269" s="18">
        <v>46148</v>
      </c>
      <c r="L269" s="17" t="s">
        <v>24</v>
      </c>
      <c r="M269" s="7" t="s">
        <v>25</v>
      </c>
      <c r="N269" s="17"/>
    </row>
    <row r="270" spans="1:14" ht="25.5" x14ac:dyDescent="0.25">
      <c r="A270" s="17">
        <v>269</v>
      </c>
      <c r="B270" s="16" t="s">
        <v>1661</v>
      </c>
      <c r="C270" s="17">
        <v>2</v>
      </c>
      <c r="D270" s="17">
        <v>124.7</v>
      </c>
      <c r="E270" s="17"/>
      <c r="F270" s="16" t="s">
        <v>31</v>
      </c>
      <c r="G270" s="17" t="s">
        <v>1665</v>
      </c>
      <c r="H270" s="17" t="s">
        <v>1666</v>
      </c>
      <c r="I270" s="17" t="s">
        <v>42</v>
      </c>
      <c r="J270" s="17" t="s">
        <v>1667</v>
      </c>
      <c r="K270" s="18">
        <v>46157</v>
      </c>
      <c r="L270" s="17" t="s">
        <v>24</v>
      </c>
      <c r="M270" s="7" t="s">
        <v>25</v>
      </c>
      <c r="N270" s="17"/>
    </row>
    <row r="271" spans="1:14" ht="25.5" x14ac:dyDescent="0.25">
      <c r="A271" s="17">
        <v>270</v>
      </c>
      <c r="B271" s="16" t="s">
        <v>1668</v>
      </c>
      <c r="C271" s="17">
        <v>1</v>
      </c>
      <c r="D271" s="17">
        <v>124.7</v>
      </c>
      <c r="E271" s="17"/>
      <c r="F271" s="16" t="s">
        <v>31</v>
      </c>
      <c r="G271" s="17" t="s">
        <v>1669</v>
      </c>
      <c r="H271" s="17" t="s">
        <v>1670</v>
      </c>
      <c r="I271" s="17" t="s">
        <v>42</v>
      </c>
      <c r="J271" s="17" t="s">
        <v>1671</v>
      </c>
      <c r="K271" s="18">
        <v>46157</v>
      </c>
      <c r="L271" s="17" t="s">
        <v>24</v>
      </c>
      <c r="M271" s="7" t="s">
        <v>25</v>
      </c>
      <c r="N271" s="17"/>
    </row>
    <row r="272" spans="1:14" ht="38.25" x14ac:dyDescent="0.25">
      <c r="A272" s="17">
        <v>271</v>
      </c>
      <c r="B272" s="16" t="s">
        <v>1668</v>
      </c>
      <c r="C272" s="17">
        <v>2</v>
      </c>
      <c r="D272" s="17">
        <v>125.2</v>
      </c>
      <c r="E272" s="17"/>
      <c r="F272" s="16" t="s">
        <v>126</v>
      </c>
      <c r="G272" s="17" t="s">
        <v>1672</v>
      </c>
      <c r="H272" s="17" t="s">
        <v>4872</v>
      </c>
      <c r="I272" s="17" t="s">
        <v>312</v>
      </c>
      <c r="J272" s="17" t="s">
        <v>1673</v>
      </c>
      <c r="K272" s="18">
        <v>46135</v>
      </c>
      <c r="L272" s="17"/>
      <c r="M272" s="7" t="s">
        <v>25</v>
      </c>
      <c r="N272" s="17"/>
    </row>
    <row r="273" spans="1:14" ht="38.25" x14ac:dyDescent="0.25">
      <c r="A273" s="17">
        <v>272</v>
      </c>
      <c r="B273" s="16" t="s">
        <v>1674</v>
      </c>
      <c r="C273" s="17">
        <v>1</v>
      </c>
      <c r="D273" s="17">
        <v>125.5</v>
      </c>
      <c r="E273" s="17"/>
      <c r="F273" s="16" t="s">
        <v>126</v>
      </c>
      <c r="G273" s="17" t="s">
        <v>1675</v>
      </c>
      <c r="H273" s="17" t="s">
        <v>4873</v>
      </c>
      <c r="I273" s="17" t="s">
        <v>312</v>
      </c>
      <c r="J273" s="17" t="s">
        <v>1676</v>
      </c>
      <c r="K273" s="18">
        <v>46134</v>
      </c>
      <c r="L273" s="17"/>
      <c r="M273" s="7" t="s">
        <v>25</v>
      </c>
      <c r="N273" s="17"/>
    </row>
    <row r="274" spans="1:14" ht="25.5" x14ac:dyDescent="0.25">
      <c r="A274" s="17">
        <v>273</v>
      </c>
      <c r="B274" s="16" t="s">
        <v>1674</v>
      </c>
      <c r="C274" s="17">
        <v>2</v>
      </c>
      <c r="D274" s="17">
        <v>126</v>
      </c>
      <c r="E274" s="17"/>
      <c r="F274" s="16" t="s">
        <v>19</v>
      </c>
      <c r="G274" s="17" t="s">
        <v>1677</v>
      </c>
      <c r="H274" s="17" t="s">
        <v>1678</v>
      </c>
      <c r="I274" s="17" t="s">
        <v>312</v>
      </c>
      <c r="J274" s="17" t="s">
        <v>1679</v>
      </c>
      <c r="K274" s="18">
        <v>46136</v>
      </c>
      <c r="L274" s="17" t="s">
        <v>24</v>
      </c>
      <c r="M274" s="7" t="s">
        <v>25</v>
      </c>
      <c r="N274" s="17"/>
    </row>
    <row r="275" spans="1:14" ht="51" x14ac:dyDescent="0.25">
      <c r="A275" s="17">
        <v>274</v>
      </c>
      <c r="B275" s="16" t="s">
        <v>1680</v>
      </c>
      <c r="C275" s="17">
        <v>4</v>
      </c>
      <c r="D275" s="17">
        <v>42.4</v>
      </c>
      <c r="E275" s="17"/>
      <c r="F275" s="16" t="s">
        <v>31</v>
      </c>
      <c r="G275" s="17" t="s">
        <v>1681</v>
      </c>
      <c r="H275" s="17" t="s">
        <v>1682</v>
      </c>
      <c r="I275" s="17" t="s">
        <v>34</v>
      </c>
      <c r="J275" s="17" t="s">
        <v>1683</v>
      </c>
      <c r="K275" s="18">
        <v>46140</v>
      </c>
      <c r="L275" s="17" t="s">
        <v>24</v>
      </c>
      <c r="M275" s="7" t="s">
        <v>25</v>
      </c>
      <c r="N275" s="17"/>
    </row>
    <row r="276" spans="1:14" ht="25.5" x14ac:dyDescent="0.25">
      <c r="A276" s="17">
        <v>275</v>
      </c>
      <c r="B276" s="16" t="s">
        <v>1680</v>
      </c>
      <c r="C276" s="17">
        <v>2</v>
      </c>
      <c r="D276" s="17">
        <v>42.5</v>
      </c>
      <c r="E276" s="17"/>
      <c r="F276" s="16" t="s">
        <v>31</v>
      </c>
      <c r="G276" s="17" t="s">
        <v>1684</v>
      </c>
      <c r="H276" s="17" t="s">
        <v>1685</v>
      </c>
      <c r="I276" s="17" t="s">
        <v>267</v>
      </c>
      <c r="J276" s="17" t="s">
        <v>1686</v>
      </c>
      <c r="K276" s="18">
        <v>46140</v>
      </c>
      <c r="L276" s="17" t="s">
        <v>24</v>
      </c>
      <c r="M276" s="7" t="s">
        <v>25</v>
      </c>
      <c r="N276" s="17"/>
    </row>
    <row r="277" spans="1:14" ht="25.5" x14ac:dyDescent="0.25">
      <c r="A277" s="34">
        <v>276</v>
      </c>
      <c r="B277" s="35" t="s">
        <v>1680</v>
      </c>
      <c r="C277" s="34">
        <v>3</v>
      </c>
      <c r="D277" s="34">
        <v>42.5</v>
      </c>
      <c r="E277" s="17"/>
      <c r="F277" s="35" t="s">
        <v>31</v>
      </c>
      <c r="G277" s="34" t="s">
        <v>1687</v>
      </c>
      <c r="H277" s="34" t="s">
        <v>1688</v>
      </c>
      <c r="I277" s="34" t="s">
        <v>921</v>
      </c>
      <c r="J277" s="34" t="s">
        <v>1689</v>
      </c>
      <c r="K277" s="36">
        <v>46140</v>
      </c>
      <c r="L277" s="34" t="s">
        <v>24</v>
      </c>
      <c r="M277" s="7" t="s">
        <v>25</v>
      </c>
      <c r="N277" s="34"/>
    </row>
    <row r="278" spans="1:14" ht="25.5" x14ac:dyDescent="0.25">
      <c r="A278" s="17">
        <v>277</v>
      </c>
      <c r="B278" s="16" t="s">
        <v>1680</v>
      </c>
      <c r="C278" s="17">
        <v>1</v>
      </c>
      <c r="D278" s="17">
        <v>42.8</v>
      </c>
      <c r="E278" s="17"/>
      <c r="F278" s="16" t="s">
        <v>31</v>
      </c>
      <c r="G278" s="17" t="s">
        <v>1690</v>
      </c>
      <c r="H278" s="17" t="s">
        <v>1691</v>
      </c>
      <c r="I278" s="17" t="s">
        <v>28</v>
      </c>
      <c r="J278" s="17" t="s">
        <v>1692</v>
      </c>
      <c r="K278" s="18">
        <v>46140</v>
      </c>
      <c r="L278" s="17" t="s">
        <v>24</v>
      </c>
      <c r="M278" s="7" t="s">
        <v>25</v>
      </c>
      <c r="N278" s="17"/>
    </row>
    <row r="279" spans="1:14" ht="51" x14ac:dyDescent="0.25">
      <c r="A279" s="17">
        <v>278</v>
      </c>
      <c r="B279" s="16" t="s">
        <v>1693</v>
      </c>
      <c r="C279" s="17">
        <v>1</v>
      </c>
      <c r="D279" s="17">
        <v>42.1</v>
      </c>
      <c r="E279" s="17"/>
      <c r="F279" s="16" t="s">
        <v>126</v>
      </c>
      <c r="G279" s="17" t="s">
        <v>1694</v>
      </c>
      <c r="H279" s="17" t="s">
        <v>1695</v>
      </c>
      <c r="I279" s="17" t="s">
        <v>34</v>
      </c>
      <c r="J279" s="17" t="s">
        <v>1696</v>
      </c>
      <c r="K279" s="18">
        <v>46135</v>
      </c>
      <c r="L279" s="17"/>
      <c r="M279" s="7" t="s">
        <v>25</v>
      </c>
      <c r="N279" s="17"/>
    </row>
    <row r="280" spans="1:14" ht="38.25" x14ac:dyDescent="0.25">
      <c r="A280" s="17">
        <v>279</v>
      </c>
      <c r="B280" s="16" t="s">
        <v>1697</v>
      </c>
      <c r="C280" s="17">
        <v>2</v>
      </c>
      <c r="D280" s="17">
        <v>42.7</v>
      </c>
      <c r="E280" s="17"/>
      <c r="F280" s="16" t="s">
        <v>54</v>
      </c>
      <c r="G280" s="17" t="s">
        <v>1698</v>
      </c>
      <c r="H280" s="17" t="s">
        <v>4941</v>
      </c>
      <c r="I280" s="17" t="s">
        <v>28</v>
      </c>
      <c r="J280" s="17" t="s">
        <v>1699</v>
      </c>
      <c r="K280" s="18">
        <v>46155</v>
      </c>
      <c r="L280" s="17" t="s">
        <v>24</v>
      </c>
      <c r="M280" s="7" t="s">
        <v>25</v>
      </c>
      <c r="N280" s="17"/>
    </row>
    <row r="281" spans="1:14" ht="25.5" x14ac:dyDescent="0.25">
      <c r="A281" s="17">
        <v>280</v>
      </c>
      <c r="B281" s="16" t="s">
        <v>1697</v>
      </c>
      <c r="C281" s="17">
        <v>1</v>
      </c>
      <c r="D281" s="17">
        <v>42.8</v>
      </c>
      <c r="E281" s="17"/>
      <c r="F281" s="16" t="s">
        <v>106</v>
      </c>
      <c r="G281" s="17" t="s">
        <v>1700</v>
      </c>
      <c r="H281" s="17" t="s">
        <v>1701</v>
      </c>
      <c r="I281" s="17" t="s">
        <v>22</v>
      </c>
      <c r="J281" s="17" t="s">
        <v>1702</v>
      </c>
      <c r="K281" s="18">
        <v>46141</v>
      </c>
      <c r="L281" s="17" t="s">
        <v>24</v>
      </c>
      <c r="M281" s="7" t="s">
        <v>25</v>
      </c>
      <c r="N281" s="17"/>
    </row>
    <row r="282" spans="1:14" ht="25.5" x14ac:dyDescent="0.25">
      <c r="A282" s="17">
        <v>281</v>
      </c>
      <c r="B282" s="16" t="s">
        <v>1697</v>
      </c>
      <c r="C282" s="17">
        <v>3</v>
      </c>
      <c r="D282" s="17">
        <v>42.9</v>
      </c>
      <c r="E282" s="17"/>
      <c r="F282" s="16" t="s">
        <v>19</v>
      </c>
      <c r="G282" s="17" t="s">
        <v>1703</v>
      </c>
      <c r="H282" s="17" t="s">
        <v>1704</v>
      </c>
      <c r="I282" s="17" t="s">
        <v>28</v>
      </c>
      <c r="J282" s="17" t="s">
        <v>1705</v>
      </c>
      <c r="K282" s="18">
        <v>46137</v>
      </c>
      <c r="L282" s="17" t="s">
        <v>24</v>
      </c>
      <c r="M282" s="7" t="s">
        <v>25</v>
      </c>
      <c r="N282" s="17"/>
    </row>
    <row r="283" spans="1:14" ht="25.5" x14ac:dyDescent="0.25">
      <c r="A283" s="17">
        <v>282</v>
      </c>
      <c r="B283" s="16" t="s">
        <v>1697</v>
      </c>
      <c r="C283" s="17">
        <v>4</v>
      </c>
      <c r="D283" s="17">
        <v>42.9</v>
      </c>
      <c r="E283" s="17"/>
      <c r="F283" s="16" t="s">
        <v>31</v>
      </c>
      <c r="G283" s="17" t="s">
        <v>1706</v>
      </c>
      <c r="H283" s="17" t="s">
        <v>1707</v>
      </c>
      <c r="I283" s="17" t="s">
        <v>28</v>
      </c>
      <c r="J283" s="17" t="s">
        <v>1708</v>
      </c>
      <c r="K283" s="18">
        <v>46149</v>
      </c>
      <c r="L283" s="17" t="s">
        <v>24</v>
      </c>
      <c r="M283" s="7" t="s">
        <v>25</v>
      </c>
      <c r="N283" s="17"/>
    </row>
    <row r="284" spans="1:14" ht="25.5" x14ac:dyDescent="0.25">
      <c r="A284" s="17">
        <v>283</v>
      </c>
      <c r="B284" s="16" t="s">
        <v>1709</v>
      </c>
      <c r="C284" s="17">
        <v>1</v>
      </c>
      <c r="D284" s="17">
        <v>42.7</v>
      </c>
      <c r="E284" s="17"/>
      <c r="F284" s="16" t="s">
        <v>48</v>
      </c>
      <c r="G284" s="17" t="s">
        <v>1710</v>
      </c>
      <c r="H284" s="17" t="s">
        <v>1711</v>
      </c>
      <c r="I284" s="17" t="s">
        <v>662</v>
      </c>
      <c r="J284" s="17" t="s">
        <v>1712</v>
      </c>
      <c r="K284" s="18">
        <v>46144</v>
      </c>
      <c r="L284" s="17" t="s">
        <v>24</v>
      </c>
      <c r="M284" s="7" t="s">
        <v>25</v>
      </c>
      <c r="N284" s="17"/>
    </row>
    <row r="285" spans="1:14" ht="25.5" x14ac:dyDescent="0.25">
      <c r="A285" s="17">
        <v>284</v>
      </c>
      <c r="B285" s="16" t="s">
        <v>1709</v>
      </c>
      <c r="C285" s="17">
        <v>2</v>
      </c>
      <c r="D285" s="17">
        <v>42.8</v>
      </c>
      <c r="E285" s="17"/>
      <c r="F285" s="16" t="s">
        <v>106</v>
      </c>
      <c r="G285" s="17" t="s">
        <v>1713</v>
      </c>
      <c r="H285" s="17" t="s">
        <v>1714</v>
      </c>
      <c r="I285" s="17" t="s">
        <v>28</v>
      </c>
      <c r="J285" s="17" t="s">
        <v>1715</v>
      </c>
      <c r="K285" s="18">
        <v>46141</v>
      </c>
      <c r="L285" s="17" t="s">
        <v>24</v>
      </c>
      <c r="M285" s="7" t="s">
        <v>25</v>
      </c>
      <c r="N285" s="17"/>
    </row>
    <row r="286" spans="1:14" ht="51" x14ac:dyDescent="0.25">
      <c r="A286" s="17">
        <v>285</v>
      </c>
      <c r="B286" s="16" t="s">
        <v>1709</v>
      </c>
      <c r="C286" s="17">
        <v>3</v>
      </c>
      <c r="D286" s="17">
        <v>42.8</v>
      </c>
      <c r="E286" s="17"/>
      <c r="F286" s="16" t="s">
        <v>126</v>
      </c>
      <c r="G286" s="17" t="s">
        <v>1716</v>
      </c>
      <c r="H286" s="17" t="s">
        <v>1717</v>
      </c>
      <c r="I286" s="17" t="s">
        <v>34</v>
      </c>
      <c r="J286" s="17" t="s">
        <v>1718</v>
      </c>
      <c r="K286" s="18">
        <v>46157</v>
      </c>
      <c r="L286" s="17"/>
      <c r="M286" s="7" t="s">
        <v>25</v>
      </c>
      <c r="N286" s="17"/>
    </row>
    <row r="287" spans="1:14" ht="63.75" x14ac:dyDescent="0.25">
      <c r="A287" s="17">
        <v>286</v>
      </c>
      <c r="B287" s="16" t="s">
        <v>1709</v>
      </c>
      <c r="C287" s="17">
        <v>4</v>
      </c>
      <c r="D287" s="17">
        <v>42.8</v>
      </c>
      <c r="E287" s="17"/>
      <c r="F287" s="16" t="s">
        <v>48</v>
      </c>
      <c r="G287" s="17" t="s">
        <v>1719</v>
      </c>
      <c r="H287" s="17" t="s">
        <v>1720</v>
      </c>
      <c r="I287" s="17" t="s">
        <v>34</v>
      </c>
      <c r="J287" s="17" t="s">
        <v>1721</v>
      </c>
      <c r="K287" s="18">
        <v>46141</v>
      </c>
      <c r="L287" s="17" t="s">
        <v>24</v>
      </c>
      <c r="M287" s="7" t="s">
        <v>25</v>
      </c>
      <c r="N287" s="17"/>
    </row>
    <row r="288" spans="1:14" ht="25.5" x14ac:dyDescent="0.25">
      <c r="A288" s="17">
        <v>287</v>
      </c>
      <c r="B288" s="16" t="s">
        <v>1722</v>
      </c>
      <c r="C288" s="17">
        <v>4</v>
      </c>
      <c r="D288" s="17">
        <v>42.8</v>
      </c>
      <c r="E288" s="17"/>
      <c r="F288" s="16" t="s">
        <v>151</v>
      </c>
      <c r="G288" s="17" t="s">
        <v>1723</v>
      </c>
      <c r="H288" s="17" t="s">
        <v>1724</v>
      </c>
      <c r="I288" s="17" t="s">
        <v>28</v>
      </c>
      <c r="J288" s="17" t="s">
        <v>1725</v>
      </c>
      <c r="K288" s="18">
        <v>46142</v>
      </c>
      <c r="L288" s="17" t="s">
        <v>24</v>
      </c>
      <c r="M288" s="7" t="s">
        <v>25</v>
      </c>
      <c r="N288" s="17"/>
    </row>
    <row r="289" spans="1:14" ht="63.75" x14ac:dyDescent="0.25">
      <c r="A289" s="17">
        <v>288</v>
      </c>
      <c r="B289" s="16" t="s">
        <v>1722</v>
      </c>
      <c r="C289" s="17">
        <v>1</v>
      </c>
      <c r="D289" s="17">
        <v>42.9</v>
      </c>
      <c r="E289" s="17"/>
      <c r="F289" s="16" t="s">
        <v>151</v>
      </c>
      <c r="G289" s="17" t="s">
        <v>1726</v>
      </c>
      <c r="H289" s="17" t="s">
        <v>1727</v>
      </c>
      <c r="I289" s="17" t="s">
        <v>34</v>
      </c>
      <c r="J289" s="17" t="s">
        <v>1728</v>
      </c>
      <c r="K289" s="18">
        <v>46146</v>
      </c>
      <c r="L289" s="17" t="s">
        <v>24</v>
      </c>
      <c r="M289" s="7" t="s">
        <v>25</v>
      </c>
      <c r="N289" s="17"/>
    </row>
    <row r="290" spans="1:14" ht="25.5" x14ac:dyDescent="0.25">
      <c r="A290" s="17">
        <v>289</v>
      </c>
      <c r="B290" s="16" t="s">
        <v>1722</v>
      </c>
      <c r="C290" s="17">
        <v>2</v>
      </c>
      <c r="D290" s="17">
        <v>42.9</v>
      </c>
      <c r="E290" s="17"/>
      <c r="F290" s="16" t="s">
        <v>151</v>
      </c>
      <c r="G290" s="17" t="s">
        <v>1729</v>
      </c>
      <c r="H290" s="17" t="s">
        <v>1730</v>
      </c>
      <c r="I290" s="17" t="s">
        <v>28</v>
      </c>
      <c r="J290" s="17" t="s">
        <v>1731</v>
      </c>
      <c r="K290" s="18">
        <v>46142</v>
      </c>
      <c r="L290" s="17" t="s">
        <v>24</v>
      </c>
      <c r="M290" s="7" t="s">
        <v>25</v>
      </c>
      <c r="N290" s="17"/>
    </row>
    <row r="291" spans="1:14" ht="51" x14ac:dyDescent="0.25">
      <c r="A291" s="17">
        <v>290</v>
      </c>
      <c r="B291" s="16" t="s">
        <v>1722</v>
      </c>
      <c r="C291" s="17">
        <v>3</v>
      </c>
      <c r="D291" s="17">
        <v>43</v>
      </c>
      <c r="E291" s="17"/>
      <c r="F291" s="16" t="s">
        <v>151</v>
      </c>
      <c r="G291" s="17" t="s">
        <v>4960</v>
      </c>
      <c r="H291" s="17" t="s">
        <v>1732</v>
      </c>
      <c r="I291" s="17" t="s">
        <v>34</v>
      </c>
      <c r="J291" s="17" t="s">
        <v>1733</v>
      </c>
      <c r="K291" s="18">
        <v>46157</v>
      </c>
      <c r="L291" s="17" t="s">
        <v>24</v>
      </c>
      <c r="M291" s="7" t="s">
        <v>25</v>
      </c>
      <c r="N291" s="17"/>
    </row>
    <row r="292" spans="1:14" ht="25.5" x14ac:dyDescent="0.25">
      <c r="A292" s="17">
        <v>291</v>
      </c>
      <c r="B292" s="16" t="s">
        <v>1734</v>
      </c>
      <c r="C292" s="17">
        <v>2</v>
      </c>
      <c r="D292" s="17">
        <v>42.6</v>
      </c>
      <c r="E292" s="17"/>
      <c r="F292" s="16" t="s">
        <v>151</v>
      </c>
      <c r="G292" s="17" t="s">
        <v>1735</v>
      </c>
      <c r="H292" s="17" t="s">
        <v>1736</v>
      </c>
      <c r="I292" s="17" t="s">
        <v>28</v>
      </c>
      <c r="J292" s="17" t="s">
        <v>1737</v>
      </c>
      <c r="K292" s="18">
        <v>46146</v>
      </c>
      <c r="L292" s="17" t="s">
        <v>24</v>
      </c>
      <c r="M292" s="7" t="s">
        <v>25</v>
      </c>
      <c r="N292" s="17"/>
    </row>
    <row r="293" spans="1:14" ht="25.5" x14ac:dyDescent="0.25">
      <c r="A293" s="17">
        <v>292</v>
      </c>
      <c r="B293" s="16" t="s">
        <v>1734</v>
      </c>
      <c r="C293" s="17">
        <v>1</v>
      </c>
      <c r="D293" s="17">
        <v>42.7</v>
      </c>
      <c r="E293" s="17"/>
      <c r="F293" s="16" t="s">
        <v>962</v>
      </c>
      <c r="G293" s="17" t="s">
        <v>1738</v>
      </c>
      <c r="H293" s="17" t="s">
        <v>1739</v>
      </c>
      <c r="I293" s="17" t="s">
        <v>965</v>
      </c>
      <c r="J293" s="17" t="s">
        <v>1740</v>
      </c>
      <c r="K293" s="18">
        <v>46154</v>
      </c>
      <c r="L293" s="17" t="s">
        <v>24</v>
      </c>
      <c r="M293" s="7" t="s">
        <v>25</v>
      </c>
      <c r="N293" s="17"/>
    </row>
    <row r="294" spans="1:14" ht="25.5" x14ac:dyDescent="0.25">
      <c r="A294" s="17">
        <v>293</v>
      </c>
      <c r="B294" s="16" t="s">
        <v>1734</v>
      </c>
      <c r="C294" s="17">
        <v>4</v>
      </c>
      <c r="D294" s="17">
        <v>42.7</v>
      </c>
      <c r="E294" s="17"/>
      <c r="F294" s="16" t="s">
        <v>151</v>
      </c>
      <c r="G294" s="17" t="s">
        <v>1741</v>
      </c>
      <c r="H294" s="17" t="s">
        <v>1742</v>
      </c>
      <c r="I294" s="17" t="s">
        <v>28</v>
      </c>
      <c r="J294" s="17" t="s">
        <v>1743</v>
      </c>
      <c r="K294" s="18">
        <v>46137</v>
      </c>
      <c r="L294" s="17" t="s">
        <v>24</v>
      </c>
      <c r="M294" s="7" t="s">
        <v>25</v>
      </c>
      <c r="N294" s="17"/>
    </row>
    <row r="295" spans="1:14" ht="25.5" x14ac:dyDescent="0.25">
      <c r="A295" s="17">
        <v>294</v>
      </c>
      <c r="B295" s="16" t="s">
        <v>1734</v>
      </c>
      <c r="C295" s="17">
        <v>3</v>
      </c>
      <c r="D295" s="17">
        <v>42.8</v>
      </c>
      <c r="E295" s="17"/>
      <c r="F295" s="16" t="s">
        <v>121</v>
      </c>
      <c r="G295" s="17" t="s">
        <v>1744</v>
      </c>
      <c r="H295" s="17" t="s">
        <v>1745</v>
      </c>
      <c r="I295" s="17" t="s">
        <v>28</v>
      </c>
      <c r="J295" s="17" t="s">
        <v>1746</v>
      </c>
      <c r="K295" s="18">
        <v>46150</v>
      </c>
      <c r="L295" s="17" t="s">
        <v>24</v>
      </c>
      <c r="M295" s="7" t="s">
        <v>25</v>
      </c>
      <c r="N295" s="17"/>
    </row>
    <row r="296" spans="1:14" ht="63.75" x14ac:dyDescent="0.25">
      <c r="A296" s="17">
        <v>295</v>
      </c>
      <c r="B296" s="16" t="s">
        <v>1747</v>
      </c>
      <c r="C296" s="17">
        <v>3</v>
      </c>
      <c r="D296" s="17">
        <v>42.4</v>
      </c>
      <c r="E296" s="17"/>
      <c r="F296" s="16" t="s">
        <v>62</v>
      </c>
      <c r="G296" s="17" t="s">
        <v>4903</v>
      </c>
      <c r="H296" s="17" t="s">
        <v>1748</v>
      </c>
      <c r="I296" s="17" t="s">
        <v>34</v>
      </c>
      <c r="J296" s="17" t="s">
        <v>1749</v>
      </c>
      <c r="K296" s="18">
        <v>46142</v>
      </c>
      <c r="L296" s="17" t="s">
        <v>24</v>
      </c>
      <c r="M296" s="7" t="s">
        <v>25</v>
      </c>
      <c r="N296" s="17"/>
    </row>
    <row r="297" spans="1:14" ht="63.75" x14ac:dyDescent="0.25">
      <c r="A297" s="17">
        <v>296</v>
      </c>
      <c r="B297" s="16" t="s">
        <v>1747</v>
      </c>
      <c r="C297" s="17">
        <v>4</v>
      </c>
      <c r="D297" s="17">
        <v>42.6</v>
      </c>
      <c r="E297" s="17"/>
      <c r="F297" s="16" t="s">
        <v>48</v>
      </c>
      <c r="G297" s="17" t="s">
        <v>1750</v>
      </c>
      <c r="H297" s="17" t="s">
        <v>1751</v>
      </c>
      <c r="I297" s="17" t="s">
        <v>34</v>
      </c>
      <c r="J297" s="17" t="s">
        <v>1752</v>
      </c>
      <c r="K297" s="18">
        <v>46144</v>
      </c>
      <c r="L297" s="17" t="s">
        <v>24</v>
      </c>
      <c r="M297" s="7" t="s">
        <v>25</v>
      </c>
      <c r="N297" s="17"/>
    </row>
    <row r="298" spans="1:14" ht="25.5" x14ac:dyDescent="0.25">
      <c r="A298" s="17">
        <v>297</v>
      </c>
      <c r="B298" s="16" t="s">
        <v>1747</v>
      </c>
      <c r="C298" s="17">
        <v>1</v>
      </c>
      <c r="D298" s="17">
        <v>42.8</v>
      </c>
      <c r="E298" s="17"/>
      <c r="F298" s="16" t="s">
        <v>19</v>
      </c>
      <c r="G298" s="17" t="s">
        <v>1753</v>
      </c>
      <c r="H298" s="17" t="s">
        <v>1754</v>
      </c>
      <c r="I298" s="17" t="s">
        <v>28</v>
      </c>
      <c r="J298" s="17" t="s">
        <v>1755</v>
      </c>
      <c r="K298" s="18">
        <v>46157</v>
      </c>
      <c r="L298" s="17" t="s">
        <v>24</v>
      </c>
      <c r="M298" s="7" t="s">
        <v>25</v>
      </c>
      <c r="N298" s="17"/>
    </row>
    <row r="299" spans="1:14" ht="63.75" x14ac:dyDescent="0.25">
      <c r="A299" s="17">
        <v>298</v>
      </c>
      <c r="B299" s="16" t="s">
        <v>1747</v>
      </c>
      <c r="C299" s="17">
        <v>2</v>
      </c>
      <c r="D299" s="17">
        <v>43</v>
      </c>
      <c r="E299" s="17"/>
      <c r="F299" s="16" t="s">
        <v>62</v>
      </c>
      <c r="G299" s="17" t="s">
        <v>1756</v>
      </c>
      <c r="H299" s="17" t="s">
        <v>1757</v>
      </c>
      <c r="I299" s="17" t="s">
        <v>293</v>
      </c>
      <c r="J299" s="17" t="s">
        <v>1758</v>
      </c>
      <c r="K299" s="18">
        <v>46148</v>
      </c>
      <c r="L299" s="17" t="s">
        <v>24</v>
      </c>
      <c r="M299" s="7" t="s">
        <v>25</v>
      </c>
      <c r="N299" s="17"/>
    </row>
    <row r="300" spans="1:14" ht="25.5" x14ac:dyDescent="0.25">
      <c r="A300" s="17">
        <v>299</v>
      </c>
      <c r="B300" s="16" t="s">
        <v>1759</v>
      </c>
      <c r="C300" s="17">
        <v>2</v>
      </c>
      <c r="D300" s="17">
        <v>42.6</v>
      </c>
      <c r="E300" s="17"/>
      <c r="F300" s="16" t="s">
        <v>48</v>
      </c>
      <c r="G300" s="17" t="s">
        <v>1760</v>
      </c>
      <c r="H300" s="17" t="s">
        <v>1761</v>
      </c>
      <c r="I300" s="17" t="s">
        <v>22</v>
      </c>
      <c r="J300" s="17" t="s">
        <v>1762</v>
      </c>
      <c r="K300" s="18">
        <v>46144</v>
      </c>
      <c r="L300" s="17" t="s">
        <v>24</v>
      </c>
      <c r="M300" s="7" t="s">
        <v>25</v>
      </c>
      <c r="N300" s="17"/>
    </row>
    <row r="301" spans="1:14" ht="25.5" x14ac:dyDescent="0.25">
      <c r="A301" s="17">
        <v>300</v>
      </c>
      <c r="B301" s="16" t="s">
        <v>1759</v>
      </c>
      <c r="C301" s="17">
        <v>4</v>
      </c>
      <c r="D301" s="17">
        <v>42.6</v>
      </c>
      <c r="E301" s="17"/>
      <c r="F301" s="16" t="s">
        <v>343</v>
      </c>
      <c r="G301" s="17" t="s">
        <v>1763</v>
      </c>
      <c r="H301" s="17" t="s">
        <v>1764</v>
      </c>
      <c r="I301" s="17" t="s">
        <v>388</v>
      </c>
      <c r="J301" s="17" t="s">
        <v>1765</v>
      </c>
      <c r="K301" s="18">
        <v>46148</v>
      </c>
      <c r="L301" s="17" t="s">
        <v>24</v>
      </c>
      <c r="M301" s="7" t="s">
        <v>25</v>
      </c>
      <c r="N301" s="17"/>
    </row>
    <row r="302" spans="1:14" ht="25.5" x14ac:dyDescent="0.25">
      <c r="A302" s="17">
        <v>301</v>
      </c>
      <c r="B302" s="16" t="s">
        <v>1759</v>
      </c>
      <c r="C302" s="17">
        <v>3</v>
      </c>
      <c r="D302" s="17">
        <v>42.7</v>
      </c>
      <c r="E302" s="17"/>
      <c r="F302" s="16" t="s">
        <v>343</v>
      </c>
      <c r="G302" s="17" t="s">
        <v>1766</v>
      </c>
      <c r="H302" s="17" t="s">
        <v>1767</v>
      </c>
      <c r="I302" s="17" t="s">
        <v>28</v>
      </c>
      <c r="J302" s="17" t="s">
        <v>1768</v>
      </c>
      <c r="K302" s="18">
        <v>46150</v>
      </c>
      <c r="L302" s="17" t="s">
        <v>24</v>
      </c>
      <c r="M302" s="7" t="s">
        <v>25</v>
      </c>
      <c r="N302" s="17"/>
    </row>
    <row r="303" spans="1:14" ht="38.25" x14ac:dyDescent="0.25">
      <c r="A303" s="17">
        <v>302</v>
      </c>
      <c r="B303" s="16" t="s">
        <v>1759</v>
      </c>
      <c r="C303" s="17">
        <v>1</v>
      </c>
      <c r="D303" s="17">
        <v>42.7</v>
      </c>
      <c r="E303" s="17"/>
      <c r="F303" s="16" t="s">
        <v>700</v>
      </c>
      <c r="G303" s="17" t="s">
        <v>1769</v>
      </c>
      <c r="H303" s="17" t="s">
        <v>1770</v>
      </c>
      <c r="I303" s="17" t="s">
        <v>28</v>
      </c>
      <c r="J303" s="17" t="s">
        <v>1771</v>
      </c>
      <c r="K303" s="18">
        <v>46155</v>
      </c>
      <c r="L303" s="17" t="s">
        <v>24</v>
      </c>
      <c r="M303" s="7" t="s">
        <v>25</v>
      </c>
      <c r="N303" s="17"/>
    </row>
    <row r="304" spans="1:14" ht="25.5" x14ac:dyDescent="0.25">
      <c r="A304" s="17">
        <v>303</v>
      </c>
      <c r="B304" s="16" t="s">
        <v>1772</v>
      </c>
      <c r="C304" s="17">
        <v>4</v>
      </c>
      <c r="D304" s="17">
        <v>42.6</v>
      </c>
      <c r="E304" s="17"/>
      <c r="F304" s="16" t="s">
        <v>106</v>
      </c>
      <c r="G304" s="17" t="s">
        <v>1773</v>
      </c>
      <c r="H304" s="17" t="s">
        <v>1774</v>
      </c>
      <c r="I304" s="17" t="s">
        <v>28</v>
      </c>
      <c r="J304" s="17" t="s">
        <v>1775</v>
      </c>
      <c r="K304" s="18">
        <v>46137</v>
      </c>
      <c r="L304" s="17" t="s">
        <v>24</v>
      </c>
      <c r="M304" s="7" t="s">
        <v>25</v>
      </c>
      <c r="N304" s="17"/>
    </row>
    <row r="305" spans="1:14" ht="25.5" x14ac:dyDescent="0.25">
      <c r="A305" s="17">
        <v>304</v>
      </c>
      <c r="B305" s="16" t="s">
        <v>1772</v>
      </c>
      <c r="C305" s="17">
        <v>1</v>
      </c>
      <c r="D305" s="17">
        <v>42.6</v>
      </c>
      <c r="E305" s="17"/>
      <c r="F305" s="16" t="s">
        <v>106</v>
      </c>
      <c r="G305" s="17" t="s">
        <v>1776</v>
      </c>
      <c r="H305" s="17" t="s">
        <v>1777</v>
      </c>
      <c r="I305" s="17" t="s">
        <v>28</v>
      </c>
      <c r="J305" s="17" t="s">
        <v>1778</v>
      </c>
      <c r="K305" s="18">
        <v>46141</v>
      </c>
      <c r="L305" s="17" t="s">
        <v>24</v>
      </c>
      <c r="M305" s="7" t="s">
        <v>25</v>
      </c>
      <c r="N305" s="17"/>
    </row>
    <row r="306" spans="1:14" ht="25.5" x14ac:dyDescent="0.25">
      <c r="A306" s="17">
        <v>305</v>
      </c>
      <c r="B306" s="16" t="s">
        <v>1772</v>
      </c>
      <c r="C306" s="17">
        <v>2</v>
      </c>
      <c r="D306" s="17">
        <v>42.7</v>
      </c>
      <c r="E306" s="17"/>
      <c r="F306" s="16" t="s">
        <v>106</v>
      </c>
      <c r="G306" s="17" t="s">
        <v>1779</v>
      </c>
      <c r="H306" s="17" t="s">
        <v>1780</v>
      </c>
      <c r="I306" s="17" t="s">
        <v>28</v>
      </c>
      <c r="J306" s="17" t="s">
        <v>1781</v>
      </c>
      <c r="K306" s="18">
        <v>46141</v>
      </c>
      <c r="L306" s="17" t="s">
        <v>24</v>
      </c>
      <c r="M306" s="7" t="s">
        <v>25</v>
      </c>
      <c r="N306" s="17"/>
    </row>
    <row r="307" spans="1:14" ht="25.5" x14ac:dyDescent="0.25">
      <c r="A307" s="17">
        <v>306</v>
      </c>
      <c r="B307" s="16" t="s">
        <v>1772</v>
      </c>
      <c r="C307" s="17">
        <v>3</v>
      </c>
      <c r="D307" s="17">
        <v>42.9</v>
      </c>
      <c r="E307" s="17"/>
      <c r="F307" s="16" t="s">
        <v>106</v>
      </c>
      <c r="G307" s="17" t="s">
        <v>1782</v>
      </c>
      <c r="H307" s="17" t="s">
        <v>1783</v>
      </c>
      <c r="I307" s="17" t="s">
        <v>38</v>
      </c>
      <c r="J307" s="17" t="s">
        <v>1784</v>
      </c>
      <c r="K307" s="18">
        <v>46140</v>
      </c>
      <c r="L307" s="17" t="s">
        <v>24</v>
      </c>
      <c r="M307" s="7" t="s">
        <v>25</v>
      </c>
      <c r="N307" s="17"/>
    </row>
    <row r="308" spans="1:14" ht="51" x14ac:dyDescent="0.25">
      <c r="A308" s="17">
        <v>307</v>
      </c>
      <c r="B308" s="16" t="s">
        <v>1785</v>
      </c>
      <c r="C308" s="17">
        <v>1</v>
      </c>
      <c r="D308" s="17">
        <v>42.5</v>
      </c>
      <c r="E308" s="17"/>
      <c r="F308" s="16" t="s">
        <v>48</v>
      </c>
      <c r="G308" s="17" t="s">
        <v>1786</v>
      </c>
      <c r="H308" s="17" t="s">
        <v>1787</v>
      </c>
      <c r="I308" s="17" t="s">
        <v>34</v>
      </c>
      <c r="J308" s="17" t="s">
        <v>1788</v>
      </c>
      <c r="K308" s="18">
        <v>46144</v>
      </c>
      <c r="L308" s="17" t="s">
        <v>24</v>
      </c>
      <c r="M308" s="7" t="s">
        <v>25</v>
      </c>
      <c r="N308" s="17"/>
    </row>
    <row r="309" spans="1:14" ht="63.75" x14ac:dyDescent="0.25">
      <c r="A309" s="17">
        <v>308</v>
      </c>
      <c r="B309" s="16" t="s">
        <v>1785</v>
      </c>
      <c r="C309" s="17">
        <v>2</v>
      </c>
      <c r="D309" s="17">
        <v>42.6</v>
      </c>
      <c r="E309" s="17"/>
      <c r="F309" s="16" t="s">
        <v>106</v>
      </c>
      <c r="G309" s="17" t="s">
        <v>1789</v>
      </c>
      <c r="H309" s="17" t="s">
        <v>1790</v>
      </c>
      <c r="I309" s="17" t="s">
        <v>34</v>
      </c>
      <c r="J309" s="17" t="s">
        <v>1791</v>
      </c>
      <c r="K309" s="18">
        <v>46141</v>
      </c>
      <c r="L309" s="17" t="s">
        <v>24</v>
      </c>
      <c r="M309" s="7" t="s">
        <v>25</v>
      </c>
      <c r="N309" s="17"/>
    </row>
    <row r="310" spans="1:14" ht="25.5" x14ac:dyDescent="0.25">
      <c r="A310" s="17">
        <v>309</v>
      </c>
      <c r="B310" s="16" t="s">
        <v>1785</v>
      </c>
      <c r="C310" s="17">
        <v>3</v>
      </c>
      <c r="D310" s="17">
        <v>42.7</v>
      </c>
      <c r="E310" s="17"/>
      <c r="F310" s="16" t="s">
        <v>106</v>
      </c>
      <c r="G310" s="17" t="s">
        <v>1792</v>
      </c>
      <c r="H310" s="17" t="s">
        <v>1793</v>
      </c>
      <c r="I310" s="17" t="s">
        <v>28</v>
      </c>
      <c r="J310" s="17" t="s">
        <v>1794</v>
      </c>
      <c r="K310" s="18">
        <v>46140</v>
      </c>
      <c r="L310" s="17" t="s">
        <v>24</v>
      </c>
      <c r="M310" s="7" t="s">
        <v>25</v>
      </c>
      <c r="N310" s="17"/>
    </row>
    <row r="311" spans="1:14" ht="63.75" x14ac:dyDescent="0.25">
      <c r="A311" s="17">
        <v>310</v>
      </c>
      <c r="B311" s="16" t="s">
        <v>1785</v>
      </c>
      <c r="C311" s="17">
        <v>4</v>
      </c>
      <c r="D311" s="17">
        <v>42.8</v>
      </c>
      <c r="E311" s="17"/>
      <c r="F311" s="16" t="s">
        <v>106</v>
      </c>
      <c r="G311" s="17" t="s">
        <v>1795</v>
      </c>
      <c r="H311" s="17" t="s">
        <v>1796</v>
      </c>
      <c r="I311" s="17" t="s">
        <v>34</v>
      </c>
      <c r="J311" s="17" t="s">
        <v>1797</v>
      </c>
      <c r="K311" s="18">
        <v>46141</v>
      </c>
      <c r="L311" s="17" t="s">
        <v>24</v>
      </c>
      <c r="M311" s="7" t="s">
        <v>25</v>
      </c>
      <c r="N311" s="17"/>
    </row>
    <row r="312" spans="1:14" ht="25.5" x14ac:dyDescent="0.25">
      <c r="A312" s="17">
        <v>311</v>
      </c>
      <c r="B312" s="16" t="s">
        <v>1798</v>
      </c>
      <c r="C312" s="17">
        <v>3</v>
      </c>
      <c r="D312" s="17">
        <v>42.5</v>
      </c>
      <c r="E312" s="17"/>
      <c r="F312" s="16" t="s">
        <v>19</v>
      </c>
      <c r="G312" s="17" t="s">
        <v>1799</v>
      </c>
      <c r="H312" s="17" t="s">
        <v>1800</v>
      </c>
      <c r="I312" s="17" t="s">
        <v>28</v>
      </c>
      <c r="J312" s="17" t="s">
        <v>1801</v>
      </c>
      <c r="K312" s="18">
        <v>46136</v>
      </c>
      <c r="L312" s="17" t="s">
        <v>24</v>
      </c>
      <c r="M312" s="7" t="s">
        <v>25</v>
      </c>
      <c r="N312" s="17"/>
    </row>
    <row r="313" spans="1:14" ht="51" x14ac:dyDescent="0.25">
      <c r="A313" s="17">
        <v>312</v>
      </c>
      <c r="B313" s="16" t="s">
        <v>1798</v>
      </c>
      <c r="C313" s="17">
        <v>4</v>
      </c>
      <c r="D313" s="17">
        <v>42.5</v>
      </c>
      <c r="E313" s="17"/>
      <c r="F313" s="16" t="s">
        <v>19</v>
      </c>
      <c r="G313" s="17" t="s">
        <v>1802</v>
      </c>
      <c r="H313" s="17" t="s">
        <v>1803</v>
      </c>
      <c r="I313" s="17" t="s">
        <v>34</v>
      </c>
      <c r="J313" s="17" t="s">
        <v>1804</v>
      </c>
      <c r="K313" s="18">
        <v>46133</v>
      </c>
      <c r="L313" s="17" t="s">
        <v>24</v>
      </c>
      <c r="M313" s="7" t="s">
        <v>25</v>
      </c>
      <c r="N313" s="17"/>
    </row>
    <row r="314" spans="1:14" ht="25.5" x14ac:dyDescent="0.25">
      <c r="A314" s="17">
        <v>313</v>
      </c>
      <c r="B314" s="16" t="s">
        <v>1798</v>
      </c>
      <c r="C314" s="17">
        <v>1</v>
      </c>
      <c r="D314" s="17">
        <v>42.5</v>
      </c>
      <c r="E314" s="17"/>
      <c r="F314" s="16" t="s">
        <v>19</v>
      </c>
      <c r="G314" s="17" t="s">
        <v>1805</v>
      </c>
      <c r="H314" s="17" t="s">
        <v>1806</v>
      </c>
      <c r="I314" s="17" t="s">
        <v>28</v>
      </c>
      <c r="J314" s="17" t="s">
        <v>1807</v>
      </c>
      <c r="K314" s="18">
        <v>46137</v>
      </c>
      <c r="L314" s="17" t="s">
        <v>24</v>
      </c>
      <c r="M314" s="7" t="s">
        <v>25</v>
      </c>
      <c r="N314" s="17"/>
    </row>
    <row r="315" spans="1:14" ht="25.5" x14ac:dyDescent="0.25">
      <c r="A315" s="17">
        <v>314</v>
      </c>
      <c r="B315" s="16" t="s">
        <v>1798</v>
      </c>
      <c r="C315" s="17">
        <v>2</v>
      </c>
      <c r="D315" s="17">
        <v>42.6</v>
      </c>
      <c r="E315" s="17"/>
      <c r="F315" s="16" t="s">
        <v>19</v>
      </c>
      <c r="G315" s="17" t="s">
        <v>1808</v>
      </c>
      <c r="H315" s="17" t="s">
        <v>1809</v>
      </c>
      <c r="I315" s="17" t="s">
        <v>28</v>
      </c>
      <c r="J315" s="17" t="s">
        <v>1810</v>
      </c>
      <c r="K315" s="18">
        <v>46137</v>
      </c>
      <c r="L315" s="17" t="s">
        <v>24</v>
      </c>
      <c r="M315" s="7" t="s">
        <v>25</v>
      </c>
      <c r="N315" s="17"/>
    </row>
    <row r="316" spans="1:14" ht="25.5" x14ac:dyDescent="0.25">
      <c r="A316" s="17">
        <v>315</v>
      </c>
      <c r="B316" s="16" t="s">
        <v>1811</v>
      </c>
      <c r="C316" s="17">
        <v>1</v>
      </c>
      <c r="D316" s="17">
        <v>42.5</v>
      </c>
      <c r="E316" s="17"/>
      <c r="F316" s="16" t="s">
        <v>343</v>
      </c>
      <c r="G316" s="17" t="s">
        <v>1812</v>
      </c>
      <c r="H316" s="17" t="s">
        <v>1813</v>
      </c>
      <c r="I316" s="17" t="s">
        <v>388</v>
      </c>
      <c r="J316" s="17" t="s">
        <v>1814</v>
      </c>
      <c r="K316" s="18">
        <v>46155</v>
      </c>
      <c r="L316" s="17" t="s">
        <v>24</v>
      </c>
      <c r="M316" s="7" t="s">
        <v>25</v>
      </c>
      <c r="N316" s="17"/>
    </row>
    <row r="317" spans="1:14" ht="63.75" x14ac:dyDescent="0.25">
      <c r="A317" s="17">
        <v>316</v>
      </c>
      <c r="B317" s="16" t="s">
        <v>1811</v>
      </c>
      <c r="C317" s="17">
        <v>2</v>
      </c>
      <c r="D317" s="17">
        <v>42.7</v>
      </c>
      <c r="E317" s="17"/>
      <c r="F317" s="16" t="s">
        <v>31</v>
      </c>
      <c r="G317" s="17" t="s">
        <v>1815</v>
      </c>
      <c r="H317" s="17" t="s">
        <v>1816</v>
      </c>
      <c r="I317" s="17" t="s">
        <v>34</v>
      </c>
      <c r="J317" s="17" t="s">
        <v>1817</v>
      </c>
      <c r="K317" s="18">
        <v>46156</v>
      </c>
      <c r="L317" s="17" t="s">
        <v>24</v>
      </c>
      <c r="M317" s="7" t="s">
        <v>25</v>
      </c>
      <c r="N317" s="17"/>
    </row>
    <row r="318" spans="1:14" ht="63.75" x14ac:dyDescent="0.25">
      <c r="A318" s="17">
        <v>317</v>
      </c>
      <c r="B318" s="16" t="s">
        <v>1811</v>
      </c>
      <c r="C318" s="17">
        <v>3</v>
      </c>
      <c r="D318" s="17">
        <v>42.8</v>
      </c>
      <c r="E318" s="17"/>
      <c r="F318" s="16" t="s">
        <v>31</v>
      </c>
      <c r="G318" s="17" t="s">
        <v>4919</v>
      </c>
      <c r="H318" s="17" t="s">
        <v>1818</v>
      </c>
      <c r="I318" s="17" t="s">
        <v>34</v>
      </c>
      <c r="J318" s="17" t="s">
        <v>1819</v>
      </c>
      <c r="K318" s="18">
        <v>46155</v>
      </c>
      <c r="L318" s="17" t="s">
        <v>24</v>
      </c>
      <c r="M318" s="7" t="s">
        <v>25</v>
      </c>
      <c r="N318" s="17"/>
    </row>
    <row r="319" spans="1:14" ht="25.5" x14ac:dyDescent="0.25">
      <c r="A319" s="17">
        <v>318</v>
      </c>
      <c r="B319" s="16" t="s">
        <v>1811</v>
      </c>
      <c r="C319" s="17">
        <v>4</v>
      </c>
      <c r="D319" s="17">
        <v>42.8</v>
      </c>
      <c r="E319" s="17"/>
      <c r="F319" s="16" t="s">
        <v>151</v>
      </c>
      <c r="G319" s="17" t="s">
        <v>1820</v>
      </c>
      <c r="H319" s="17" t="s">
        <v>1821</v>
      </c>
      <c r="I319" s="17" t="s">
        <v>28</v>
      </c>
      <c r="J319" s="17" t="s">
        <v>1822</v>
      </c>
      <c r="K319" s="18">
        <v>46136</v>
      </c>
      <c r="L319" s="17" t="s">
        <v>24</v>
      </c>
      <c r="M319" s="7" t="s">
        <v>25</v>
      </c>
      <c r="N319" s="17"/>
    </row>
    <row r="320" spans="1:14" ht="89.25" x14ac:dyDescent="0.25">
      <c r="A320" s="17">
        <v>319</v>
      </c>
      <c r="B320" s="16" t="s">
        <v>1823</v>
      </c>
      <c r="C320" s="17">
        <v>4</v>
      </c>
      <c r="D320" s="17">
        <v>42.6</v>
      </c>
      <c r="E320" s="17"/>
      <c r="F320" s="16" t="s">
        <v>19</v>
      </c>
      <c r="G320" s="17" t="s">
        <v>1824</v>
      </c>
      <c r="H320" s="17" t="s">
        <v>1825</v>
      </c>
      <c r="I320" s="17" t="s">
        <v>34</v>
      </c>
      <c r="J320" s="17" t="s">
        <v>1826</v>
      </c>
      <c r="K320" s="18">
        <v>46136</v>
      </c>
      <c r="L320" s="17" t="s">
        <v>24</v>
      </c>
      <c r="M320" s="7" t="s">
        <v>25</v>
      </c>
      <c r="N320" s="17"/>
    </row>
    <row r="321" spans="1:14" ht="63.75" x14ac:dyDescent="0.25">
      <c r="A321" s="17">
        <v>320</v>
      </c>
      <c r="B321" s="16" t="s">
        <v>1823</v>
      </c>
      <c r="C321" s="17">
        <v>3</v>
      </c>
      <c r="D321" s="17">
        <v>42.7</v>
      </c>
      <c r="E321" s="17"/>
      <c r="F321" s="16" t="s">
        <v>19</v>
      </c>
      <c r="G321" s="17" t="s">
        <v>1827</v>
      </c>
      <c r="H321" s="17" t="s">
        <v>1828</v>
      </c>
      <c r="I321" s="17" t="s">
        <v>34</v>
      </c>
      <c r="J321" s="17" t="s">
        <v>1829</v>
      </c>
      <c r="K321" s="18">
        <v>46157</v>
      </c>
      <c r="L321" s="17" t="s">
        <v>24</v>
      </c>
      <c r="M321" s="7" t="s">
        <v>25</v>
      </c>
      <c r="N321" s="17"/>
    </row>
    <row r="322" spans="1:14" ht="63.75" x14ac:dyDescent="0.25">
      <c r="A322" s="17">
        <v>321</v>
      </c>
      <c r="B322" s="16" t="s">
        <v>1823</v>
      </c>
      <c r="C322" s="17">
        <v>1</v>
      </c>
      <c r="D322" s="17">
        <v>42.7</v>
      </c>
      <c r="E322" s="17"/>
      <c r="F322" s="16" t="s">
        <v>19</v>
      </c>
      <c r="G322" s="17" t="s">
        <v>1830</v>
      </c>
      <c r="H322" s="17" t="s">
        <v>1831</v>
      </c>
      <c r="I322" s="17" t="s">
        <v>34</v>
      </c>
      <c r="J322" s="17" t="s">
        <v>1832</v>
      </c>
      <c r="K322" s="18">
        <v>46137</v>
      </c>
      <c r="L322" s="17" t="s">
        <v>24</v>
      </c>
      <c r="M322" s="7" t="s">
        <v>25</v>
      </c>
      <c r="N322" s="17"/>
    </row>
    <row r="323" spans="1:14" ht="25.5" x14ac:dyDescent="0.25">
      <c r="A323" s="17">
        <v>322</v>
      </c>
      <c r="B323" s="16" t="s">
        <v>1823</v>
      </c>
      <c r="C323" s="17">
        <v>2</v>
      </c>
      <c r="D323" s="17">
        <v>42.8</v>
      </c>
      <c r="E323" s="17"/>
      <c r="F323" s="16" t="s">
        <v>19</v>
      </c>
      <c r="G323" s="17" t="s">
        <v>1833</v>
      </c>
      <c r="H323" s="17" t="s">
        <v>1834</v>
      </c>
      <c r="I323" s="17" t="s">
        <v>267</v>
      </c>
      <c r="J323" s="17" t="s">
        <v>1835</v>
      </c>
      <c r="K323" s="18">
        <v>46147</v>
      </c>
      <c r="L323" s="17" t="s">
        <v>24</v>
      </c>
      <c r="M323" s="7" t="s">
        <v>25</v>
      </c>
      <c r="N323" s="17"/>
    </row>
    <row r="324" spans="1:14" ht="25.5" x14ac:dyDescent="0.25">
      <c r="A324" s="17">
        <v>323</v>
      </c>
      <c r="B324" s="16" t="s">
        <v>1836</v>
      </c>
      <c r="C324" s="17">
        <v>2</v>
      </c>
      <c r="D324" s="17">
        <v>42.5</v>
      </c>
      <c r="E324" s="17"/>
      <c r="F324" s="16" t="s">
        <v>19</v>
      </c>
      <c r="G324" s="17" t="s">
        <v>1837</v>
      </c>
      <c r="H324" s="17" t="s">
        <v>1838</v>
      </c>
      <c r="I324" s="17" t="s">
        <v>388</v>
      </c>
      <c r="J324" s="17" t="s">
        <v>1839</v>
      </c>
      <c r="K324" s="18">
        <v>46136</v>
      </c>
      <c r="L324" s="17" t="s">
        <v>24</v>
      </c>
      <c r="M324" s="7" t="s">
        <v>25</v>
      </c>
      <c r="N324" s="17"/>
    </row>
    <row r="325" spans="1:14" ht="63.75" x14ac:dyDescent="0.25">
      <c r="A325" s="17">
        <v>324</v>
      </c>
      <c r="B325" s="16" t="s">
        <v>1836</v>
      </c>
      <c r="C325" s="17">
        <v>3</v>
      </c>
      <c r="D325" s="17">
        <v>42.5</v>
      </c>
      <c r="E325" s="17"/>
      <c r="F325" s="16" t="s">
        <v>19</v>
      </c>
      <c r="G325" s="17" t="s">
        <v>1840</v>
      </c>
      <c r="H325" s="17" t="s">
        <v>1841</v>
      </c>
      <c r="I325" s="17" t="s">
        <v>34</v>
      </c>
      <c r="J325" s="17" t="s">
        <v>1842</v>
      </c>
      <c r="K325" s="18">
        <v>46154</v>
      </c>
      <c r="L325" s="17" t="s">
        <v>24</v>
      </c>
      <c r="M325" s="7" t="s">
        <v>25</v>
      </c>
      <c r="N325" s="17"/>
    </row>
    <row r="326" spans="1:14" ht="25.5" x14ac:dyDescent="0.25">
      <c r="A326" s="17">
        <v>325</v>
      </c>
      <c r="B326" s="16" t="s">
        <v>1836</v>
      </c>
      <c r="C326" s="17">
        <v>1</v>
      </c>
      <c r="D326" s="17">
        <v>42.6</v>
      </c>
      <c r="E326" s="17"/>
      <c r="F326" s="16" t="s">
        <v>338</v>
      </c>
      <c r="G326" s="17" t="s">
        <v>1843</v>
      </c>
      <c r="H326" s="17" t="s">
        <v>1844</v>
      </c>
      <c r="I326" s="17" t="s">
        <v>22</v>
      </c>
      <c r="J326" s="17" t="s">
        <v>1845</v>
      </c>
      <c r="K326" s="18">
        <v>46150</v>
      </c>
      <c r="L326" s="17" t="s">
        <v>24</v>
      </c>
      <c r="M326" s="7" t="s">
        <v>25</v>
      </c>
      <c r="N326" s="17"/>
    </row>
    <row r="327" spans="1:14" ht="25.5" x14ac:dyDescent="0.25">
      <c r="A327" s="17">
        <v>326</v>
      </c>
      <c r="B327" s="16" t="s">
        <v>1836</v>
      </c>
      <c r="C327" s="17">
        <v>4</v>
      </c>
      <c r="D327" s="17">
        <v>42.6</v>
      </c>
      <c r="E327" s="17"/>
      <c r="F327" s="16" t="s">
        <v>19</v>
      </c>
      <c r="G327" s="17" t="s">
        <v>1846</v>
      </c>
      <c r="H327" s="17" t="s">
        <v>1847</v>
      </c>
      <c r="I327" s="17" t="s">
        <v>22</v>
      </c>
      <c r="J327" s="17" t="s">
        <v>1848</v>
      </c>
      <c r="K327" s="18">
        <v>46137</v>
      </c>
      <c r="L327" s="17" t="s">
        <v>24</v>
      </c>
      <c r="M327" s="7" t="s">
        <v>25</v>
      </c>
      <c r="N327" s="17"/>
    </row>
    <row r="328" spans="1:14" ht="25.5" x14ac:dyDescent="0.25">
      <c r="A328" s="17">
        <v>327</v>
      </c>
      <c r="B328" s="16" t="s">
        <v>1849</v>
      </c>
      <c r="C328" s="17">
        <v>2</v>
      </c>
      <c r="D328" s="17">
        <v>42.7</v>
      </c>
      <c r="E328" s="17"/>
      <c r="F328" s="16" t="s">
        <v>126</v>
      </c>
      <c r="G328" s="17" t="s">
        <v>1850</v>
      </c>
      <c r="H328" s="17" t="s">
        <v>1851</v>
      </c>
      <c r="I328" s="17" t="s">
        <v>28</v>
      </c>
      <c r="J328" s="17" t="s">
        <v>1852</v>
      </c>
      <c r="K328" s="18">
        <v>46133</v>
      </c>
      <c r="L328" s="17"/>
      <c r="M328" s="7" t="s">
        <v>25</v>
      </c>
      <c r="N328" s="17"/>
    </row>
    <row r="329" spans="1:14" ht="25.5" x14ac:dyDescent="0.25">
      <c r="A329" s="17">
        <v>328</v>
      </c>
      <c r="B329" s="16" t="s">
        <v>1849</v>
      </c>
      <c r="C329" s="17">
        <v>1</v>
      </c>
      <c r="D329" s="17">
        <v>42.8</v>
      </c>
      <c r="E329" s="17"/>
      <c r="F329" s="16" t="s">
        <v>126</v>
      </c>
      <c r="G329" s="17" t="s">
        <v>1853</v>
      </c>
      <c r="H329" s="17" t="s">
        <v>1854</v>
      </c>
      <c r="I329" s="17" t="s">
        <v>22</v>
      </c>
      <c r="J329" s="17" t="s">
        <v>1855</v>
      </c>
      <c r="K329" s="18">
        <v>46135</v>
      </c>
      <c r="L329" s="17"/>
      <c r="M329" s="7" t="s">
        <v>25</v>
      </c>
      <c r="N329" s="17"/>
    </row>
    <row r="330" spans="1:14" ht="25.5" x14ac:dyDescent="0.25">
      <c r="A330" s="17">
        <v>329</v>
      </c>
      <c r="B330" s="16" t="s">
        <v>1849</v>
      </c>
      <c r="C330" s="17">
        <v>3</v>
      </c>
      <c r="D330" s="17">
        <v>42.9</v>
      </c>
      <c r="E330" s="17"/>
      <c r="F330" s="16" t="s">
        <v>121</v>
      </c>
      <c r="G330" s="17" t="s">
        <v>1856</v>
      </c>
      <c r="H330" s="17" t="s">
        <v>1857</v>
      </c>
      <c r="I330" s="17" t="s">
        <v>28</v>
      </c>
      <c r="J330" s="17" t="s">
        <v>1858</v>
      </c>
      <c r="K330" s="18">
        <v>46147</v>
      </c>
      <c r="L330" s="17" t="s">
        <v>24</v>
      </c>
      <c r="M330" s="7" t="s">
        <v>25</v>
      </c>
      <c r="N330" s="17"/>
    </row>
    <row r="331" spans="1:14" ht="25.5" x14ac:dyDescent="0.25">
      <c r="A331" s="17">
        <v>330</v>
      </c>
      <c r="B331" s="16" t="s">
        <v>1849</v>
      </c>
      <c r="C331" s="17">
        <v>4</v>
      </c>
      <c r="D331" s="17">
        <v>42.9</v>
      </c>
      <c r="E331" s="17"/>
      <c r="F331" s="16" t="s">
        <v>126</v>
      </c>
      <c r="G331" s="17" t="s">
        <v>1859</v>
      </c>
      <c r="H331" s="17" t="s">
        <v>1860</v>
      </c>
      <c r="I331" s="17" t="s">
        <v>28</v>
      </c>
      <c r="J331" s="17" t="s">
        <v>1861</v>
      </c>
      <c r="K331" s="18">
        <v>46135</v>
      </c>
      <c r="L331" s="17"/>
      <c r="M331" s="7" t="s">
        <v>25</v>
      </c>
      <c r="N331" s="17"/>
    </row>
    <row r="332" spans="1:14" ht="63.75" x14ac:dyDescent="0.25">
      <c r="A332" s="17">
        <v>331</v>
      </c>
      <c r="B332" s="16" t="s">
        <v>1862</v>
      </c>
      <c r="C332" s="17">
        <v>1</v>
      </c>
      <c r="D332" s="17">
        <v>42.6</v>
      </c>
      <c r="E332" s="17"/>
      <c r="F332" s="16" t="s">
        <v>338</v>
      </c>
      <c r="G332" s="17" t="s">
        <v>1863</v>
      </c>
      <c r="H332" s="17" t="s">
        <v>1864</v>
      </c>
      <c r="I332" s="17" t="s">
        <v>34</v>
      </c>
      <c r="J332" s="17" t="s">
        <v>1865</v>
      </c>
      <c r="K332" s="18">
        <v>46150</v>
      </c>
      <c r="L332" s="17" t="s">
        <v>24</v>
      </c>
      <c r="M332" s="7" t="s">
        <v>25</v>
      </c>
      <c r="N332" s="17"/>
    </row>
    <row r="333" spans="1:14" ht="51" x14ac:dyDescent="0.25">
      <c r="A333" s="17">
        <v>332</v>
      </c>
      <c r="B333" s="16" t="s">
        <v>1862</v>
      </c>
      <c r="C333" s="17">
        <v>2</v>
      </c>
      <c r="D333" s="17">
        <v>42.8</v>
      </c>
      <c r="E333" s="17"/>
      <c r="F333" s="16" t="s">
        <v>62</v>
      </c>
      <c r="G333" s="17" t="s">
        <v>1866</v>
      </c>
      <c r="H333" s="17" t="s">
        <v>1867</v>
      </c>
      <c r="I333" s="17" t="s">
        <v>34</v>
      </c>
      <c r="J333" s="17" t="s">
        <v>1868</v>
      </c>
      <c r="K333" s="18">
        <v>45403</v>
      </c>
      <c r="L333" s="17" t="s">
        <v>24</v>
      </c>
      <c r="M333" s="7" t="s">
        <v>25</v>
      </c>
      <c r="N333" s="17"/>
    </row>
    <row r="334" spans="1:14" ht="63.75" x14ac:dyDescent="0.25">
      <c r="A334" s="17">
        <v>333</v>
      </c>
      <c r="B334" s="16" t="s">
        <v>1862</v>
      </c>
      <c r="C334" s="17">
        <v>3</v>
      </c>
      <c r="D334" s="17">
        <v>42.8</v>
      </c>
      <c r="E334" s="17"/>
      <c r="F334" s="16" t="s">
        <v>31</v>
      </c>
      <c r="G334" s="17" t="s">
        <v>1869</v>
      </c>
      <c r="H334" s="17" t="s">
        <v>1870</v>
      </c>
      <c r="I334" s="17" t="s">
        <v>293</v>
      </c>
      <c r="J334" s="17" t="s">
        <v>1871</v>
      </c>
      <c r="K334" s="18">
        <v>46157</v>
      </c>
      <c r="L334" s="17" t="s">
        <v>24</v>
      </c>
      <c r="M334" s="7" t="s">
        <v>25</v>
      </c>
      <c r="N334" s="17"/>
    </row>
    <row r="335" spans="1:14" ht="25.5" x14ac:dyDescent="0.25">
      <c r="A335" s="17">
        <v>334</v>
      </c>
      <c r="B335" s="16" t="s">
        <v>1862</v>
      </c>
      <c r="C335" s="17">
        <v>4</v>
      </c>
      <c r="D335" s="17">
        <v>43</v>
      </c>
      <c r="E335" s="17"/>
      <c r="F335" s="16" t="s">
        <v>151</v>
      </c>
      <c r="G335" s="17" t="s">
        <v>1872</v>
      </c>
      <c r="H335" s="17" t="s">
        <v>1873</v>
      </c>
      <c r="I335" s="17" t="s">
        <v>267</v>
      </c>
      <c r="J335" s="17" t="s">
        <v>1874</v>
      </c>
      <c r="K335" s="18">
        <v>46137</v>
      </c>
      <c r="L335" s="17" t="s">
        <v>24</v>
      </c>
      <c r="M335" s="7" t="s">
        <v>25</v>
      </c>
      <c r="N335" s="17"/>
    </row>
    <row r="336" spans="1:14" ht="63.75" x14ac:dyDescent="0.25">
      <c r="A336" s="17">
        <v>335</v>
      </c>
      <c r="B336" s="16" t="s">
        <v>1875</v>
      </c>
      <c r="C336" s="17">
        <v>3</v>
      </c>
      <c r="D336" s="17">
        <v>42.8</v>
      </c>
      <c r="E336" s="17"/>
      <c r="F336" s="16" t="s">
        <v>31</v>
      </c>
      <c r="G336" s="17" t="s">
        <v>1876</v>
      </c>
      <c r="H336" s="17" t="s">
        <v>1877</v>
      </c>
      <c r="I336" s="17" t="s">
        <v>34</v>
      </c>
      <c r="J336" s="17" t="s">
        <v>1878</v>
      </c>
      <c r="K336" s="18">
        <v>46140</v>
      </c>
      <c r="L336" s="17" t="s">
        <v>24</v>
      </c>
      <c r="M336" s="7" t="s">
        <v>25</v>
      </c>
      <c r="N336" s="17"/>
    </row>
    <row r="337" spans="1:14" ht="25.5" x14ac:dyDescent="0.25">
      <c r="A337" s="17">
        <v>336</v>
      </c>
      <c r="B337" s="16" t="s">
        <v>1875</v>
      </c>
      <c r="C337" s="17">
        <v>1</v>
      </c>
      <c r="D337" s="17">
        <v>42.9</v>
      </c>
      <c r="E337" s="17"/>
      <c r="F337" s="16" t="s">
        <v>19</v>
      </c>
      <c r="G337" s="17" t="s">
        <v>1879</v>
      </c>
      <c r="H337" s="17" t="s">
        <v>1880</v>
      </c>
      <c r="I337" s="17" t="s">
        <v>28</v>
      </c>
      <c r="J337" s="17" t="s">
        <v>1881</v>
      </c>
      <c r="K337" s="17" t="s">
        <v>1882</v>
      </c>
      <c r="L337" s="17" t="s">
        <v>24</v>
      </c>
      <c r="M337" s="7" t="s">
        <v>25</v>
      </c>
      <c r="N337" s="17"/>
    </row>
    <row r="338" spans="1:14" ht="25.5" x14ac:dyDescent="0.25">
      <c r="A338" s="17">
        <v>337</v>
      </c>
      <c r="B338" s="16" t="s">
        <v>1875</v>
      </c>
      <c r="C338" s="17">
        <v>2</v>
      </c>
      <c r="D338" s="17">
        <v>42.9</v>
      </c>
      <c r="E338" s="17"/>
      <c r="F338" s="16" t="s">
        <v>121</v>
      </c>
      <c r="G338" s="17" t="s">
        <v>1883</v>
      </c>
      <c r="H338" s="17" t="s">
        <v>1884</v>
      </c>
      <c r="I338" s="17" t="s">
        <v>28</v>
      </c>
      <c r="J338" s="17" t="s">
        <v>1885</v>
      </c>
      <c r="K338" s="18">
        <v>46135</v>
      </c>
      <c r="L338" s="17" t="s">
        <v>24</v>
      </c>
      <c r="M338" s="7" t="s">
        <v>25</v>
      </c>
      <c r="N338" s="17"/>
    </row>
    <row r="339" spans="1:14" ht="25.5" x14ac:dyDescent="0.25">
      <c r="A339" s="17">
        <v>338</v>
      </c>
      <c r="B339" s="16" t="s">
        <v>1875</v>
      </c>
      <c r="C339" s="17">
        <v>4</v>
      </c>
      <c r="D339" s="17">
        <v>43.2</v>
      </c>
      <c r="E339" s="17"/>
      <c r="F339" s="16" t="s">
        <v>101</v>
      </c>
      <c r="G339" s="17" t="s">
        <v>1886</v>
      </c>
      <c r="H339" s="17" t="s">
        <v>1887</v>
      </c>
      <c r="I339" s="17" t="s">
        <v>22</v>
      </c>
      <c r="J339" s="17" t="s">
        <v>1888</v>
      </c>
      <c r="K339" s="18">
        <v>46134</v>
      </c>
      <c r="L339" s="17" t="s">
        <v>24</v>
      </c>
      <c r="M339" s="7" t="s">
        <v>25</v>
      </c>
      <c r="N339" s="17"/>
    </row>
    <row r="340" spans="1:14" ht="25.5" x14ac:dyDescent="0.25">
      <c r="A340" s="17">
        <v>339</v>
      </c>
      <c r="B340" s="16" t="s">
        <v>1889</v>
      </c>
      <c r="C340" s="17">
        <v>1</v>
      </c>
      <c r="D340" s="17">
        <v>42.7</v>
      </c>
      <c r="E340" s="17"/>
      <c r="F340" s="16" t="s">
        <v>151</v>
      </c>
      <c r="G340" s="17" t="s">
        <v>1890</v>
      </c>
      <c r="H340" s="17" t="s">
        <v>1891</v>
      </c>
      <c r="I340" s="17" t="s">
        <v>28</v>
      </c>
      <c r="J340" s="17" t="s">
        <v>1892</v>
      </c>
      <c r="K340" s="18">
        <v>46142</v>
      </c>
      <c r="L340" s="17" t="s">
        <v>24</v>
      </c>
      <c r="M340" s="7" t="s">
        <v>25</v>
      </c>
      <c r="N340" s="17"/>
    </row>
    <row r="341" spans="1:14" ht="25.5" x14ac:dyDescent="0.25">
      <c r="A341" s="17">
        <v>340</v>
      </c>
      <c r="B341" s="16" t="s">
        <v>1889</v>
      </c>
      <c r="C341" s="17">
        <v>3</v>
      </c>
      <c r="D341" s="17">
        <v>42.8</v>
      </c>
      <c r="E341" s="17"/>
      <c r="F341" s="16" t="s">
        <v>19</v>
      </c>
      <c r="G341" s="17" t="s">
        <v>1893</v>
      </c>
      <c r="H341" s="17" t="s">
        <v>1894</v>
      </c>
      <c r="I341" s="17" t="s">
        <v>28</v>
      </c>
      <c r="J341" s="17" t="s">
        <v>1895</v>
      </c>
      <c r="K341" s="18">
        <v>46136</v>
      </c>
      <c r="L341" s="17" t="s">
        <v>24</v>
      </c>
      <c r="M341" s="7" t="s">
        <v>25</v>
      </c>
      <c r="N341" s="17"/>
    </row>
    <row r="342" spans="1:14" x14ac:dyDescent="0.25">
      <c r="A342" s="17">
        <v>341</v>
      </c>
      <c r="B342" s="16" t="s">
        <v>1889</v>
      </c>
      <c r="C342" s="17">
        <v>2</v>
      </c>
      <c r="D342" s="17">
        <v>43.1</v>
      </c>
      <c r="E342" s="17"/>
      <c r="F342" s="16" t="s">
        <v>86</v>
      </c>
      <c r="G342" s="17" t="s">
        <v>1896</v>
      </c>
      <c r="H342" s="17" t="s">
        <v>1897</v>
      </c>
      <c r="I342" s="17" t="s">
        <v>28</v>
      </c>
      <c r="J342" s="17" t="s">
        <v>1898</v>
      </c>
      <c r="K342" s="18">
        <v>46148</v>
      </c>
      <c r="L342" s="17" t="s">
        <v>24</v>
      </c>
      <c r="M342" s="7" t="s">
        <v>25</v>
      </c>
      <c r="N342" s="17"/>
    </row>
    <row r="343" spans="1:14" ht="25.5" x14ac:dyDescent="0.25">
      <c r="A343" s="17">
        <v>342</v>
      </c>
      <c r="B343" s="16" t="s">
        <v>1889</v>
      </c>
      <c r="C343" s="17">
        <v>4</v>
      </c>
      <c r="D343" s="17">
        <v>43.2</v>
      </c>
      <c r="E343" s="17"/>
      <c r="F343" s="16" t="s">
        <v>338</v>
      </c>
      <c r="G343" s="17" t="s">
        <v>1899</v>
      </c>
      <c r="H343" s="17" t="s">
        <v>1900</v>
      </c>
      <c r="I343" s="17" t="s">
        <v>28</v>
      </c>
      <c r="J343" s="17" t="s">
        <v>1901</v>
      </c>
      <c r="K343" s="18">
        <v>46144</v>
      </c>
      <c r="L343" s="17" t="s">
        <v>24</v>
      </c>
      <c r="M343" s="7" t="s">
        <v>25</v>
      </c>
      <c r="N343" s="17"/>
    </row>
    <row r="344" spans="1:14" ht="25.5" x14ac:dyDescent="0.25">
      <c r="A344" s="17">
        <v>343</v>
      </c>
      <c r="B344" s="16" t="s">
        <v>1902</v>
      </c>
      <c r="C344" s="17">
        <v>2</v>
      </c>
      <c r="D344" s="17">
        <v>42.6</v>
      </c>
      <c r="E344" s="17"/>
      <c r="F344" s="16" t="s">
        <v>19</v>
      </c>
      <c r="G344" s="17" t="s">
        <v>1903</v>
      </c>
      <c r="H344" s="17" t="s">
        <v>1904</v>
      </c>
      <c r="I344" s="17" t="s">
        <v>38</v>
      </c>
      <c r="J344" s="17" t="s">
        <v>1905</v>
      </c>
      <c r="K344" s="18">
        <v>46136</v>
      </c>
      <c r="L344" s="17" t="s">
        <v>24</v>
      </c>
      <c r="M344" s="7" t="s">
        <v>25</v>
      </c>
      <c r="N344" s="17"/>
    </row>
    <row r="345" spans="1:14" ht="25.5" x14ac:dyDescent="0.25">
      <c r="A345" s="17">
        <v>344</v>
      </c>
      <c r="B345" s="16" t="s">
        <v>1902</v>
      </c>
      <c r="C345" s="17">
        <v>3</v>
      </c>
      <c r="D345" s="17">
        <v>42.7</v>
      </c>
      <c r="E345" s="17"/>
      <c r="F345" s="16" t="s">
        <v>19</v>
      </c>
      <c r="G345" s="17" t="s">
        <v>1906</v>
      </c>
      <c r="H345" s="17" t="s">
        <v>1907</v>
      </c>
      <c r="I345" s="17" t="s">
        <v>22</v>
      </c>
      <c r="J345" s="17" t="s">
        <v>1908</v>
      </c>
      <c r="K345" s="18">
        <v>46136</v>
      </c>
      <c r="L345" s="17" t="s">
        <v>24</v>
      </c>
      <c r="M345" s="7" t="s">
        <v>25</v>
      </c>
      <c r="N345" s="17"/>
    </row>
    <row r="346" spans="1:14" ht="25.5" x14ac:dyDescent="0.25">
      <c r="A346" s="17">
        <v>345</v>
      </c>
      <c r="B346" s="16" t="s">
        <v>1902</v>
      </c>
      <c r="C346" s="17">
        <v>4</v>
      </c>
      <c r="D346" s="17">
        <v>42.8</v>
      </c>
      <c r="E346" s="17"/>
      <c r="F346" s="16" t="s">
        <v>19</v>
      </c>
      <c r="G346" s="17" t="s">
        <v>1909</v>
      </c>
      <c r="H346" s="17" t="s">
        <v>1910</v>
      </c>
      <c r="I346" s="17" t="s">
        <v>28</v>
      </c>
      <c r="J346" s="17" t="s">
        <v>1911</v>
      </c>
      <c r="K346" s="18">
        <v>46136</v>
      </c>
      <c r="L346" s="17" t="s">
        <v>24</v>
      </c>
      <c r="M346" s="7" t="s">
        <v>25</v>
      </c>
      <c r="N346" s="17"/>
    </row>
    <row r="347" spans="1:14" ht="25.5" x14ac:dyDescent="0.25">
      <c r="A347" s="17">
        <v>346</v>
      </c>
      <c r="B347" s="16" t="s">
        <v>1902</v>
      </c>
      <c r="C347" s="17">
        <v>1</v>
      </c>
      <c r="D347" s="17">
        <v>42.9</v>
      </c>
      <c r="E347" s="17"/>
      <c r="F347" s="16" t="s">
        <v>19</v>
      </c>
      <c r="G347" s="17" t="s">
        <v>1912</v>
      </c>
      <c r="H347" s="17" t="s">
        <v>4860</v>
      </c>
      <c r="I347" s="17" t="s">
        <v>22</v>
      </c>
      <c r="J347" s="17" t="s">
        <v>1913</v>
      </c>
      <c r="K347" s="18">
        <v>46135</v>
      </c>
      <c r="L347" s="17" t="s">
        <v>24</v>
      </c>
      <c r="M347" s="7" t="s">
        <v>25</v>
      </c>
      <c r="N347" s="17"/>
    </row>
    <row r="348" spans="1:14" ht="25.5" x14ac:dyDescent="0.25">
      <c r="A348" s="17">
        <v>347</v>
      </c>
      <c r="B348" s="16" t="s">
        <v>1914</v>
      </c>
      <c r="C348" s="17">
        <v>1</v>
      </c>
      <c r="D348" s="17">
        <v>42.4</v>
      </c>
      <c r="E348" s="17"/>
      <c r="F348" s="16" t="s">
        <v>19</v>
      </c>
      <c r="G348" s="17" t="s">
        <v>1915</v>
      </c>
      <c r="H348" s="17" t="s">
        <v>1916</v>
      </c>
      <c r="I348" s="17" t="s">
        <v>28</v>
      </c>
      <c r="J348" s="17" t="s">
        <v>1917</v>
      </c>
      <c r="K348" s="18">
        <v>46136</v>
      </c>
      <c r="L348" s="17" t="s">
        <v>24</v>
      </c>
      <c r="M348" s="7" t="s">
        <v>25</v>
      </c>
      <c r="N348" s="17"/>
    </row>
    <row r="349" spans="1:14" ht="25.5" x14ac:dyDescent="0.25">
      <c r="A349" s="17">
        <v>348</v>
      </c>
      <c r="B349" s="16" t="s">
        <v>1914</v>
      </c>
      <c r="C349" s="17">
        <v>2</v>
      </c>
      <c r="D349" s="17">
        <v>42.7</v>
      </c>
      <c r="E349" s="17"/>
      <c r="F349" s="16" t="s">
        <v>338</v>
      </c>
      <c r="G349" s="17" t="s">
        <v>1918</v>
      </c>
      <c r="H349" s="17" t="s">
        <v>1919</v>
      </c>
      <c r="I349" s="17" t="s">
        <v>22</v>
      </c>
      <c r="J349" s="17" t="s">
        <v>1920</v>
      </c>
      <c r="K349" s="18">
        <v>46157</v>
      </c>
      <c r="L349" s="17" t="s">
        <v>24</v>
      </c>
      <c r="M349" s="7" t="s">
        <v>25</v>
      </c>
      <c r="N349" s="17"/>
    </row>
    <row r="350" spans="1:14" ht="63.75" x14ac:dyDescent="0.25">
      <c r="A350" s="17">
        <v>349</v>
      </c>
      <c r="B350" s="16" t="s">
        <v>1914</v>
      </c>
      <c r="C350" s="17">
        <v>4</v>
      </c>
      <c r="D350" s="17">
        <v>42.7</v>
      </c>
      <c r="E350" s="17"/>
      <c r="F350" s="16" t="s">
        <v>73</v>
      </c>
      <c r="G350" s="17" t="s">
        <v>1921</v>
      </c>
      <c r="H350" s="17" t="s">
        <v>1922</v>
      </c>
      <c r="I350" s="17" t="s">
        <v>34</v>
      </c>
      <c r="J350" s="17" t="s">
        <v>1923</v>
      </c>
      <c r="K350" s="18">
        <v>46155</v>
      </c>
      <c r="L350" s="17" t="s">
        <v>24</v>
      </c>
      <c r="M350" s="7" t="s">
        <v>25</v>
      </c>
      <c r="N350" s="17"/>
    </row>
    <row r="351" spans="1:14" ht="63.75" x14ac:dyDescent="0.25">
      <c r="A351" s="17">
        <v>350</v>
      </c>
      <c r="B351" s="16" t="s">
        <v>1914</v>
      </c>
      <c r="C351" s="17">
        <v>3</v>
      </c>
      <c r="D351" s="17">
        <v>42.8</v>
      </c>
      <c r="E351" s="17"/>
      <c r="F351" s="16" t="s">
        <v>121</v>
      </c>
      <c r="G351" s="17" t="s">
        <v>1924</v>
      </c>
      <c r="H351" s="17" t="s">
        <v>1925</v>
      </c>
      <c r="I351" s="17" t="s">
        <v>34</v>
      </c>
      <c r="J351" s="17" t="s">
        <v>1926</v>
      </c>
      <c r="K351" s="18">
        <v>46149</v>
      </c>
      <c r="L351" s="17" t="s">
        <v>24</v>
      </c>
      <c r="M351" s="7" t="s">
        <v>25</v>
      </c>
      <c r="N351" s="17"/>
    </row>
    <row r="352" spans="1:14" ht="25.5" x14ac:dyDescent="0.25">
      <c r="A352" s="17">
        <v>351</v>
      </c>
      <c r="B352" s="16" t="s">
        <v>1927</v>
      </c>
      <c r="C352" s="17">
        <v>1</v>
      </c>
      <c r="D352" s="17">
        <v>42.4</v>
      </c>
      <c r="E352" s="17"/>
      <c r="F352" s="16" t="s">
        <v>62</v>
      </c>
      <c r="G352" s="17" t="s">
        <v>1928</v>
      </c>
      <c r="H352" s="17" t="s">
        <v>1929</v>
      </c>
      <c r="I352" s="17" t="s">
        <v>42</v>
      </c>
      <c r="J352" s="17" t="s">
        <v>1930</v>
      </c>
      <c r="K352" s="18">
        <v>46146</v>
      </c>
      <c r="L352" s="17" t="s">
        <v>24</v>
      </c>
      <c r="M352" s="7" t="s">
        <v>25</v>
      </c>
      <c r="N352" s="17"/>
    </row>
    <row r="353" spans="1:14" ht="63.75" x14ac:dyDescent="0.25">
      <c r="A353" s="17">
        <v>352</v>
      </c>
      <c r="B353" s="16" t="s">
        <v>1927</v>
      </c>
      <c r="C353" s="17">
        <v>2</v>
      </c>
      <c r="D353" s="17">
        <v>42.7</v>
      </c>
      <c r="E353" s="17"/>
      <c r="F353" s="16" t="s">
        <v>101</v>
      </c>
      <c r="G353" s="17" t="s">
        <v>1931</v>
      </c>
      <c r="H353" s="17" t="s">
        <v>1932</v>
      </c>
      <c r="I353" s="17" t="s">
        <v>34</v>
      </c>
      <c r="J353" s="17" t="s">
        <v>1933</v>
      </c>
      <c r="K353" s="18">
        <v>46134</v>
      </c>
      <c r="L353" s="17" t="s">
        <v>24</v>
      </c>
      <c r="M353" s="7" t="s">
        <v>25</v>
      </c>
      <c r="N353" s="17"/>
    </row>
    <row r="354" spans="1:14" ht="25.5" x14ac:dyDescent="0.25">
      <c r="A354" s="17">
        <v>353</v>
      </c>
      <c r="B354" s="16" t="s">
        <v>1927</v>
      </c>
      <c r="C354" s="17">
        <v>4</v>
      </c>
      <c r="D354" s="17">
        <v>42.7</v>
      </c>
      <c r="E354" s="17"/>
      <c r="F354" s="16" t="s">
        <v>101</v>
      </c>
      <c r="G354" s="17" t="s">
        <v>1934</v>
      </c>
      <c r="H354" s="17" t="s">
        <v>1935</v>
      </c>
      <c r="I354" s="17" t="s">
        <v>28</v>
      </c>
      <c r="J354" s="17" t="s">
        <v>1936</v>
      </c>
      <c r="K354" s="18">
        <v>46154</v>
      </c>
      <c r="L354" s="17" t="s">
        <v>24</v>
      </c>
      <c r="M354" s="7" t="s">
        <v>25</v>
      </c>
      <c r="N354" s="17"/>
    </row>
    <row r="355" spans="1:14" ht="63.75" x14ac:dyDescent="0.25">
      <c r="A355" s="17">
        <v>354</v>
      </c>
      <c r="B355" s="16" t="s">
        <v>1927</v>
      </c>
      <c r="C355" s="17">
        <v>3</v>
      </c>
      <c r="D355" s="17">
        <v>42.8</v>
      </c>
      <c r="E355" s="17"/>
      <c r="F355" s="16" t="s">
        <v>101</v>
      </c>
      <c r="G355" s="17" t="s">
        <v>1937</v>
      </c>
      <c r="H355" s="17" t="s">
        <v>1938</v>
      </c>
      <c r="I355" s="17" t="s">
        <v>34</v>
      </c>
      <c r="J355" s="17" t="s">
        <v>1939</v>
      </c>
      <c r="K355" s="18">
        <v>46134</v>
      </c>
      <c r="L355" s="17" t="s">
        <v>24</v>
      </c>
      <c r="M355" s="7" t="s">
        <v>25</v>
      </c>
      <c r="N355" s="17"/>
    </row>
    <row r="356" spans="1:14" ht="25.5" x14ac:dyDescent="0.25">
      <c r="A356" s="17">
        <v>355</v>
      </c>
      <c r="B356" s="16" t="s">
        <v>1940</v>
      </c>
      <c r="C356" s="17">
        <v>3</v>
      </c>
      <c r="D356" s="17">
        <v>42.9</v>
      </c>
      <c r="E356" s="17"/>
      <c r="F356" s="16" t="s">
        <v>338</v>
      </c>
      <c r="G356" s="17" t="s">
        <v>1941</v>
      </c>
      <c r="H356" s="17" t="s">
        <v>1942</v>
      </c>
      <c r="I356" s="17" t="s">
        <v>28</v>
      </c>
      <c r="J356" s="17" t="s">
        <v>1943</v>
      </c>
      <c r="K356" s="18">
        <v>46150</v>
      </c>
      <c r="L356" s="17" t="s">
        <v>24</v>
      </c>
      <c r="M356" s="7" t="s">
        <v>25</v>
      </c>
      <c r="N356" s="17"/>
    </row>
    <row r="357" spans="1:14" ht="25.5" x14ac:dyDescent="0.25">
      <c r="A357" s="17">
        <v>356</v>
      </c>
      <c r="B357" s="16" t="s">
        <v>1940</v>
      </c>
      <c r="C357" s="17">
        <v>4</v>
      </c>
      <c r="D357" s="17">
        <v>42.9</v>
      </c>
      <c r="E357" s="17"/>
      <c r="F357" s="16" t="s">
        <v>121</v>
      </c>
      <c r="G357" s="17" t="s">
        <v>1944</v>
      </c>
      <c r="H357" s="17" t="s">
        <v>1945</v>
      </c>
      <c r="I357" s="17" t="s">
        <v>42</v>
      </c>
      <c r="J357" s="17" t="s">
        <v>1946</v>
      </c>
      <c r="K357" s="18">
        <v>46149</v>
      </c>
      <c r="L357" s="17" t="s">
        <v>24</v>
      </c>
      <c r="M357" s="7" t="s">
        <v>25</v>
      </c>
      <c r="N357" s="17"/>
    </row>
    <row r="358" spans="1:14" ht="25.5" x14ac:dyDescent="0.25">
      <c r="A358" s="17">
        <v>357</v>
      </c>
      <c r="B358" s="16" t="s">
        <v>1940</v>
      </c>
      <c r="C358" s="17">
        <v>1</v>
      </c>
      <c r="D358" s="17">
        <v>42.9</v>
      </c>
      <c r="E358" s="17"/>
      <c r="F358" s="16" t="s">
        <v>338</v>
      </c>
      <c r="G358" s="17" t="s">
        <v>1947</v>
      </c>
      <c r="H358" s="17" t="s">
        <v>4949</v>
      </c>
      <c r="I358" s="17" t="s">
        <v>293</v>
      </c>
      <c r="J358" s="17" t="s">
        <v>1948</v>
      </c>
      <c r="K358" s="18">
        <v>46150</v>
      </c>
      <c r="L358" s="17" t="s">
        <v>24</v>
      </c>
      <c r="M358" s="7" t="s">
        <v>25</v>
      </c>
      <c r="N358" s="17"/>
    </row>
    <row r="359" spans="1:14" ht="25.5" x14ac:dyDescent="0.25">
      <c r="A359" s="17">
        <v>358</v>
      </c>
      <c r="B359" s="16" t="s">
        <v>1940</v>
      </c>
      <c r="C359" s="17">
        <v>2</v>
      </c>
      <c r="D359" s="17">
        <v>43</v>
      </c>
      <c r="E359" s="17"/>
      <c r="F359" s="16" t="s">
        <v>338</v>
      </c>
      <c r="G359" s="17" t="s">
        <v>1949</v>
      </c>
      <c r="H359" s="17" t="s">
        <v>1950</v>
      </c>
      <c r="I359" s="17" t="s">
        <v>28</v>
      </c>
      <c r="J359" s="17" t="s">
        <v>1951</v>
      </c>
      <c r="K359" s="18">
        <v>46150</v>
      </c>
      <c r="L359" s="17" t="s">
        <v>24</v>
      </c>
      <c r="M359" s="7" t="s">
        <v>25</v>
      </c>
      <c r="N359" s="17"/>
    </row>
    <row r="360" spans="1:14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</row>
  </sheetData>
  <autoFilter ref="A1:N359"/>
  <dataConsolidate/>
  <conditionalFormatting sqref="M2:M359">
    <cfRule type="containsText" dxfId="14" priority="1" operator="containsText" text="☐">
      <formula>NOT(ISERROR(SEARCH("☐",M2)))</formula>
    </cfRule>
    <cfRule type="containsText" dxfId="13" priority="2" operator="containsText" text="☒">
      <formula>NOT(ISERROR(SEARCH("☒",M2)))</formula>
    </cfRule>
    <cfRule type="containsText" dxfId="12" priority="3" operator="containsText" text="☑">
      <formula>NOT(ISERROR(SEARCH("☑",M2)))</formula>
    </cfRule>
  </conditionalFormatting>
  <dataValidations count="4">
    <dataValidation type="list" allowBlank="1" showInputMessage="1" showErrorMessage="1" sqref="M2:M359">
      <formula1>"☑,☒,☐"</formula1>
    </dataValidation>
    <dataValidation type="list" allowBlank="1" showInputMessage="1" showErrorMessage="1" sqref="L2:L359">
      <formula1>"Летний,Летне-зимний"</formula1>
    </dataValidation>
    <dataValidation type="list" allowBlank="1" showInputMessage="1" showErrorMessage="1" sqref="I2:I359">
      <formula1>"ГСС,ГРФ,ГСТ,ВГСС,ВГРФ,Инвалид ВОВ,УОВ,ВБД,Реабил,ЖБЛ,ЧАЭС,Маяк,Семип,Узник,Семья с 2+ инв. I/II,Многодет. (5+ до 16),Одинокий ИД,Одинокая мать,Семья с РИ до 16 лет,Вдова погибшего воина,Родитель погибшего воина,Уход за РИ,"</formula1>
    </dataValidation>
    <dataValidation type="list" allowBlank="1" showInputMessage="1" showErrorMessage="1" sqref="F2:F359">
      <formula1>"Адмиралтейский,Василеостровский,Выборгский,Калининский,Кировский,Колпинский,Красногвардейский,Красносельский,Кронштадтский,Курортный,Московский,Невский,Петроградский,Петродворцовый,Приморский,Пушкинский,Фрунзенский,Центральный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999"/>
  <sheetViews>
    <sheetView zoomScale="85" zoomScaleNormal="85" workbookViewId="0">
      <pane ySplit="1" topLeftCell="A609" activePane="bottomLeft" state="frozen"/>
      <selection pane="bottomLeft" activeCell="H617" sqref="H617"/>
    </sheetView>
  </sheetViews>
  <sheetFormatPr defaultRowHeight="15" x14ac:dyDescent="0.25"/>
  <cols>
    <col min="1" max="1" width="3.85546875" style="5" customWidth="1"/>
    <col min="2" max="2" width="7.7109375" style="5" customWidth="1"/>
    <col min="3" max="3" width="10.42578125" style="5" customWidth="1"/>
    <col min="4" max="4" width="11.140625" style="5" customWidth="1"/>
    <col min="5" max="5" width="10.42578125" style="5" customWidth="1"/>
    <col min="6" max="6" width="16.7109375" style="5" customWidth="1"/>
    <col min="7" max="7" width="21.5703125" style="3" customWidth="1"/>
    <col min="8" max="8" width="25.140625" style="5" customWidth="1"/>
    <col min="9" max="9" width="16.140625" style="5" bestFit="1" customWidth="1"/>
    <col min="10" max="10" width="8.7109375" style="40" customWidth="1"/>
    <col min="11" max="11" width="10.7109375" style="5" customWidth="1"/>
    <col min="12" max="12" width="12.7109375" style="5" customWidth="1"/>
    <col min="13" max="13" width="10.28515625" style="5" customWidth="1"/>
    <col min="14" max="14" width="24.42578125" style="5" customWidth="1"/>
  </cols>
  <sheetData>
    <row r="1" spans="1:14" ht="51" x14ac:dyDescent="0.25">
      <c r="A1" s="1" t="s">
        <v>4199</v>
      </c>
      <c r="B1" s="1" t="s">
        <v>169</v>
      </c>
      <c r="C1" s="1" t="s">
        <v>16</v>
      </c>
      <c r="D1" s="1" t="s">
        <v>3</v>
      </c>
      <c r="E1" s="1" t="s">
        <v>4</v>
      </c>
      <c r="F1" s="9" t="s">
        <v>5</v>
      </c>
      <c r="G1" s="1" t="s">
        <v>6</v>
      </c>
      <c r="H1" s="1" t="s">
        <v>7</v>
      </c>
      <c r="I1" s="1" t="s">
        <v>8</v>
      </c>
      <c r="J1" s="41" t="s">
        <v>9</v>
      </c>
      <c r="K1" s="1" t="s">
        <v>10</v>
      </c>
      <c r="L1" s="1" t="s">
        <v>4197</v>
      </c>
      <c r="M1" s="9" t="s">
        <v>12</v>
      </c>
      <c r="N1" s="1" t="s">
        <v>13</v>
      </c>
    </row>
    <row r="2" spans="1:14" ht="51" x14ac:dyDescent="0.25">
      <c r="A2" s="17">
        <v>1</v>
      </c>
      <c r="B2" s="16" t="s">
        <v>1952</v>
      </c>
      <c r="C2" s="17">
        <v>1</v>
      </c>
      <c r="D2" s="17">
        <v>12.7</v>
      </c>
      <c r="E2" s="17">
        <v>10.7</v>
      </c>
      <c r="F2" s="16" t="s">
        <v>106</v>
      </c>
      <c r="G2" s="17" t="s">
        <v>1953</v>
      </c>
      <c r="H2" s="17" t="s">
        <v>3938</v>
      </c>
      <c r="I2" s="17" t="s">
        <v>34</v>
      </c>
      <c r="J2" s="37" t="s">
        <v>4546</v>
      </c>
      <c r="K2" s="18">
        <v>46142</v>
      </c>
      <c r="L2" s="18" t="s">
        <v>24</v>
      </c>
      <c r="M2" s="7" t="s">
        <v>25</v>
      </c>
      <c r="N2" s="17"/>
    </row>
    <row r="3" spans="1:14" ht="25.5" x14ac:dyDescent="0.25">
      <c r="A3" s="17">
        <v>2</v>
      </c>
      <c r="B3" s="16" t="s">
        <v>1952</v>
      </c>
      <c r="C3" s="17">
        <v>2</v>
      </c>
      <c r="D3" s="17">
        <v>16.7</v>
      </c>
      <c r="E3" s="17"/>
      <c r="F3" s="16" t="s">
        <v>121</v>
      </c>
      <c r="G3" s="17" t="s">
        <v>1954</v>
      </c>
      <c r="H3" s="17" t="s">
        <v>3939</v>
      </c>
      <c r="I3" s="17" t="s">
        <v>51</v>
      </c>
      <c r="J3" s="37" t="s">
        <v>4590</v>
      </c>
      <c r="K3" s="18">
        <v>46140</v>
      </c>
      <c r="L3" s="18" t="s">
        <v>82</v>
      </c>
      <c r="M3" s="7" t="s">
        <v>25</v>
      </c>
      <c r="N3" s="17"/>
    </row>
    <row r="4" spans="1:14" ht="25.5" x14ac:dyDescent="0.25">
      <c r="A4" s="17">
        <v>3</v>
      </c>
      <c r="B4" s="16" t="s">
        <v>1952</v>
      </c>
      <c r="C4" s="17">
        <v>3</v>
      </c>
      <c r="D4" s="17">
        <v>17.100000000000001</v>
      </c>
      <c r="E4" s="17">
        <v>10.9</v>
      </c>
      <c r="F4" s="16" t="s">
        <v>126</v>
      </c>
      <c r="G4" s="17" t="s">
        <v>1955</v>
      </c>
      <c r="H4" s="17" t="s">
        <v>3801</v>
      </c>
      <c r="I4" s="17" t="s">
        <v>28</v>
      </c>
      <c r="J4" s="37" t="s">
        <v>4247</v>
      </c>
      <c r="K4" s="18">
        <v>46141</v>
      </c>
      <c r="L4" s="18" t="s">
        <v>82</v>
      </c>
      <c r="M4" s="7" t="s">
        <v>25</v>
      </c>
      <c r="N4" s="17"/>
    </row>
    <row r="5" spans="1:14" ht="63.75" x14ac:dyDescent="0.25">
      <c r="A5" s="17">
        <v>4</v>
      </c>
      <c r="B5" s="16" t="s">
        <v>1956</v>
      </c>
      <c r="C5" s="17">
        <v>1</v>
      </c>
      <c r="D5" s="17">
        <v>13.2</v>
      </c>
      <c r="E5" s="17">
        <v>10.4</v>
      </c>
      <c r="F5" s="16" t="s">
        <v>31</v>
      </c>
      <c r="G5" s="17" t="s">
        <v>1957</v>
      </c>
      <c r="H5" s="17" t="s">
        <v>3940</v>
      </c>
      <c r="I5" s="17" t="s">
        <v>34</v>
      </c>
      <c r="J5" s="37" t="s">
        <v>4685</v>
      </c>
      <c r="K5" s="18">
        <v>46147</v>
      </c>
      <c r="L5" s="18" t="s">
        <v>24</v>
      </c>
      <c r="M5" s="7" t="s">
        <v>25</v>
      </c>
      <c r="N5" s="17"/>
    </row>
    <row r="6" spans="1:14" ht="51" x14ac:dyDescent="0.25">
      <c r="A6" s="17">
        <v>5</v>
      </c>
      <c r="B6" s="16" t="s">
        <v>1956</v>
      </c>
      <c r="C6" s="17">
        <v>2</v>
      </c>
      <c r="D6" s="17">
        <v>16.100000000000001</v>
      </c>
      <c r="E6" s="17"/>
      <c r="F6" s="16" t="s">
        <v>19</v>
      </c>
      <c r="G6" s="17" t="s">
        <v>1958</v>
      </c>
      <c r="H6" s="17" t="s">
        <v>3595</v>
      </c>
      <c r="I6" s="17" t="s">
        <v>34</v>
      </c>
      <c r="J6" s="37" t="s">
        <v>4306</v>
      </c>
      <c r="K6" s="18">
        <v>46135</v>
      </c>
      <c r="L6" s="18" t="s">
        <v>24</v>
      </c>
      <c r="M6" s="7" t="s">
        <v>25</v>
      </c>
      <c r="N6" s="17"/>
    </row>
    <row r="7" spans="1:14" ht="25.5" x14ac:dyDescent="0.25">
      <c r="A7" s="17">
        <v>6</v>
      </c>
      <c r="B7" s="16" t="s">
        <v>1956</v>
      </c>
      <c r="C7" s="17">
        <v>3</v>
      </c>
      <c r="D7" s="17">
        <v>15.5</v>
      </c>
      <c r="E7" s="17">
        <v>10</v>
      </c>
      <c r="F7" s="16" t="s">
        <v>19</v>
      </c>
      <c r="G7" s="17" t="s">
        <v>1959</v>
      </c>
      <c r="H7" s="17" t="s">
        <v>3941</v>
      </c>
      <c r="I7" s="17" t="s">
        <v>28</v>
      </c>
      <c r="J7" s="37" t="s">
        <v>4307</v>
      </c>
      <c r="K7" s="18">
        <v>46155</v>
      </c>
      <c r="L7" s="18" t="s">
        <v>24</v>
      </c>
      <c r="M7" s="7" t="s">
        <v>25</v>
      </c>
      <c r="N7" s="17"/>
    </row>
    <row r="8" spans="1:14" ht="51" x14ac:dyDescent="0.25">
      <c r="A8" s="17">
        <v>7</v>
      </c>
      <c r="B8" s="16" t="s">
        <v>1960</v>
      </c>
      <c r="C8" s="17">
        <v>1</v>
      </c>
      <c r="D8" s="17">
        <v>12.6</v>
      </c>
      <c r="E8" s="17">
        <v>10.4</v>
      </c>
      <c r="F8" s="16" t="s">
        <v>48</v>
      </c>
      <c r="G8" s="17" t="s">
        <v>1961</v>
      </c>
      <c r="H8" s="17" t="s">
        <v>3596</v>
      </c>
      <c r="I8" s="17" t="s">
        <v>34</v>
      </c>
      <c r="J8" s="37" t="s">
        <v>4819</v>
      </c>
      <c r="K8" s="18">
        <v>46150</v>
      </c>
      <c r="L8" s="18" t="s">
        <v>24</v>
      </c>
      <c r="M8" s="7" t="s">
        <v>25</v>
      </c>
      <c r="N8" s="17"/>
    </row>
    <row r="9" spans="1:14" ht="51" x14ac:dyDescent="0.25">
      <c r="A9" s="17">
        <v>8</v>
      </c>
      <c r="B9" s="16" t="s">
        <v>1960</v>
      </c>
      <c r="C9" s="17">
        <v>2</v>
      </c>
      <c r="D9" s="17">
        <v>16.600000000000001</v>
      </c>
      <c r="E9" s="17"/>
      <c r="F9" s="16" t="s">
        <v>19</v>
      </c>
      <c r="G9" s="17" t="s">
        <v>1962</v>
      </c>
      <c r="H9" s="17" t="s">
        <v>3802</v>
      </c>
      <c r="I9" s="17" t="s">
        <v>34</v>
      </c>
      <c r="J9" s="37" t="s">
        <v>4308</v>
      </c>
      <c r="K9" s="18">
        <v>46137</v>
      </c>
      <c r="L9" s="18" t="s">
        <v>24</v>
      </c>
      <c r="M9" s="7" t="s">
        <v>25</v>
      </c>
      <c r="N9" s="17"/>
    </row>
    <row r="10" spans="1:14" ht="51" x14ac:dyDescent="0.25">
      <c r="A10" s="17">
        <v>9</v>
      </c>
      <c r="B10" s="16" t="s">
        <v>1960</v>
      </c>
      <c r="C10" s="17">
        <v>3</v>
      </c>
      <c r="D10" s="17">
        <v>16.899999999999999</v>
      </c>
      <c r="E10" s="17">
        <v>10.199999999999999</v>
      </c>
      <c r="F10" s="16" t="s">
        <v>19</v>
      </c>
      <c r="G10" s="17" t="s">
        <v>1963</v>
      </c>
      <c r="H10" s="17" t="s">
        <v>3597</v>
      </c>
      <c r="I10" s="17" t="s">
        <v>34</v>
      </c>
      <c r="J10" s="37" t="s">
        <v>4309</v>
      </c>
      <c r="K10" s="18">
        <v>46137</v>
      </c>
      <c r="L10" s="18" t="s">
        <v>24</v>
      </c>
      <c r="M10" s="7" t="s">
        <v>25</v>
      </c>
      <c r="N10" s="17"/>
    </row>
    <row r="11" spans="1:14" ht="25.5" x14ac:dyDescent="0.25">
      <c r="A11" s="17">
        <v>10</v>
      </c>
      <c r="B11" s="16" t="s">
        <v>1964</v>
      </c>
      <c r="C11" s="17">
        <v>1</v>
      </c>
      <c r="D11" s="17">
        <v>16.899999999999999</v>
      </c>
      <c r="E11" s="17">
        <v>11</v>
      </c>
      <c r="F11" s="16" t="s">
        <v>121</v>
      </c>
      <c r="G11" s="17" t="s">
        <v>1965</v>
      </c>
      <c r="H11" s="17" t="s">
        <v>3598</v>
      </c>
      <c r="I11" s="17" t="s">
        <v>28</v>
      </c>
      <c r="J11" s="37" t="s">
        <v>4591</v>
      </c>
      <c r="K11" s="18">
        <v>46140</v>
      </c>
      <c r="L11" s="18" t="s">
        <v>24</v>
      </c>
      <c r="M11" s="7" t="s">
        <v>25</v>
      </c>
      <c r="N11" s="17"/>
    </row>
    <row r="12" spans="1:14" ht="63.75" x14ac:dyDescent="0.25">
      <c r="A12" s="17">
        <v>11</v>
      </c>
      <c r="B12" s="16" t="s">
        <v>1964</v>
      </c>
      <c r="C12" s="17">
        <v>2</v>
      </c>
      <c r="D12" s="17">
        <v>17</v>
      </c>
      <c r="E12" s="17"/>
      <c r="F12" s="16" t="s">
        <v>121</v>
      </c>
      <c r="G12" s="17" t="s">
        <v>1966</v>
      </c>
      <c r="H12" s="17" t="s">
        <v>3599</v>
      </c>
      <c r="I12" s="17" t="s">
        <v>34</v>
      </c>
      <c r="J12" s="37" t="s">
        <v>4592</v>
      </c>
      <c r="K12" s="18">
        <v>46141</v>
      </c>
      <c r="L12" s="18" t="s">
        <v>24</v>
      </c>
      <c r="M12" s="7" t="s">
        <v>25</v>
      </c>
      <c r="N12" s="17"/>
    </row>
    <row r="13" spans="1:14" ht="63.75" x14ac:dyDescent="0.25">
      <c r="A13" s="17">
        <v>12</v>
      </c>
      <c r="B13" s="16" t="s">
        <v>1964</v>
      </c>
      <c r="C13" s="17">
        <v>3</v>
      </c>
      <c r="D13" s="17">
        <v>12.8</v>
      </c>
      <c r="E13" s="17">
        <v>10.9</v>
      </c>
      <c r="F13" s="16" t="s">
        <v>19</v>
      </c>
      <c r="G13" s="18" t="s">
        <v>1967</v>
      </c>
      <c r="H13" s="17" t="s">
        <v>3803</v>
      </c>
      <c r="I13" s="17" t="s">
        <v>34</v>
      </c>
      <c r="J13" s="37" t="s">
        <v>4310</v>
      </c>
      <c r="K13" s="18">
        <v>46134</v>
      </c>
      <c r="L13" s="18" t="s">
        <v>82</v>
      </c>
      <c r="M13" s="7" t="s">
        <v>25</v>
      </c>
      <c r="N13" s="17"/>
    </row>
    <row r="14" spans="1:14" ht="51" x14ac:dyDescent="0.25">
      <c r="A14" s="17">
        <v>13</v>
      </c>
      <c r="B14" s="16" t="s">
        <v>1968</v>
      </c>
      <c r="C14" s="17">
        <v>1</v>
      </c>
      <c r="D14" s="17">
        <v>16.5</v>
      </c>
      <c r="E14" s="17">
        <v>10.8</v>
      </c>
      <c r="F14" s="16" t="s">
        <v>62</v>
      </c>
      <c r="G14" s="17" t="s">
        <v>1969</v>
      </c>
      <c r="H14" s="17" t="s">
        <v>3600</v>
      </c>
      <c r="I14" s="17" t="s">
        <v>34</v>
      </c>
      <c r="J14" s="37" t="s">
        <v>4505</v>
      </c>
      <c r="K14" s="18">
        <v>46141</v>
      </c>
      <c r="L14" s="17" t="s">
        <v>24</v>
      </c>
      <c r="M14" s="7" t="s">
        <v>25</v>
      </c>
      <c r="N14" s="17"/>
    </row>
    <row r="15" spans="1:14" ht="51" x14ac:dyDescent="0.25">
      <c r="A15" s="17">
        <v>14</v>
      </c>
      <c r="B15" s="16" t="s">
        <v>1968</v>
      </c>
      <c r="C15" s="17">
        <v>2</v>
      </c>
      <c r="D15" s="17">
        <v>15.9</v>
      </c>
      <c r="E15" s="17"/>
      <c r="F15" s="16" t="s">
        <v>62</v>
      </c>
      <c r="G15" s="17" t="s">
        <v>1969</v>
      </c>
      <c r="H15" s="17" t="s">
        <v>3600</v>
      </c>
      <c r="I15" s="17" t="s">
        <v>34</v>
      </c>
      <c r="J15" s="37" t="s">
        <v>4505</v>
      </c>
      <c r="K15" s="18">
        <v>46141</v>
      </c>
      <c r="L15" s="17" t="s">
        <v>24</v>
      </c>
      <c r="M15" s="7" t="s">
        <v>25</v>
      </c>
      <c r="N15" s="17"/>
    </row>
    <row r="16" spans="1:14" ht="25.5" x14ac:dyDescent="0.25">
      <c r="A16" s="17">
        <v>15</v>
      </c>
      <c r="B16" s="16" t="s">
        <v>1968</v>
      </c>
      <c r="C16" s="17">
        <v>3</v>
      </c>
      <c r="D16" s="17">
        <v>12.8</v>
      </c>
      <c r="E16" s="17">
        <v>10.7</v>
      </c>
      <c r="F16" s="16" t="s">
        <v>73</v>
      </c>
      <c r="G16" s="17" t="s">
        <v>1970</v>
      </c>
      <c r="H16" s="17" t="s">
        <v>3804</v>
      </c>
      <c r="I16" s="17" t="s">
        <v>28</v>
      </c>
      <c r="J16" s="37" t="s">
        <v>4443</v>
      </c>
      <c r="K16" s="18">
        <v>46141</v>
      </c>
      <c r="L16" s="18" t="s">
        <v>82</v>
      </c>
      <c r="M16" s="7" t="s">
        <v>25</v>
      </c>
      <c r="N16" s="17"/>
    </row>
    <row r="17" spans="1:14" ht="25.5" x14ac:dyDescent="0.25">
      <c r="A17" s="17">
        <v>16</v>
      </c>
      <c r="B17" s="16" t="s">
        <v>1971</v>
      </c>
      <c r="C17" s="17">
        <v>1</v>
      </c>
      <c r="D17" s="17">
        <v>16.399999999999999</v>
      </c>
      <c r="E17" s="17">
        <v>10.6</v>
      </c>
      <c r="F17" s="16" t="s">
        <v>962</v>
      </c>
      <c r="G17" s="17" t="s">
        <v>1972</v>
      </c>
      <c r="H17" s="17" t="s">
        <v>3805</v>
      </c>
      <c r="I17" s="17" t="s">
        <v>1973</v>
      </c>
      <c r="J17" s="37" t="s">
        <v>4452</v>
      </c>
      <c r="K17" s="18">
        <v>46133</v>
      </c>
      <c r="L17" s="18" t="s">
        <v>24</v>
      </c>
      <c r="M17" s="7" t="s">
        <v>25</v>
      </c>
      <c r="N17" s="17"/>
    </row>
    <row r="18" spans="1:14" ht="25.5" x14ac:dyDescent="0.25">
      <c r="A18" s="17">
        <v>17</v>
      </c>
      <c r="B18" s="16" t="s">
        <v>1971</v>
      </c>
      <c r="C18" s="17">
        <v>2</v>
      </c>
      <c r="D18" s="17">
        <v>16.899999999999999</v>
      </c>
      <c r="E18" s="17"/>
      <c r="F18" s="16" t="s">
        <v>338</v>
      </c>
      <c r="G18" s="17" t="s">
        <v>1974</v>
      </c>
      <c r="H18" s="17" t="s">
        <v>3942</v>
      </c>
      <c r="I18" s="17" t="s">
        <v>28</v>
      </c>
      <c r="J18" s="37" t="s">
        <v>4399</v>
      </c>
      <c r="K18" s="18">
        <v>46150</v>
      </c>
      <c r="L18" s="18" t="s">
        <v>24</v>
      </c>
      <c r="M18" s="7" t="s">
        <v>25</v>
      </c>
      <c r="N18" s="17"/>
    </row>
    <row r="19" spans="1:14" ht="25.5" x14ac:dyDescent="0.25">
      <c r="A19" s="17">
        <v>18</v>
      </c>
      <c r="B19" s="16" t="s">
        <v>1971</v>
      </c>
      <c r="C19" s="17">
        <v>3</v>
      </c>
      <c r="D19" s="17">
        <v>13.5</v>
      </c>
      <c r="E19" s="17">
        <v>10.8</v>
      </c>
      <c r="F19" s="16" t="s">
        <v>101</v>
      </c>
      <c r="G19" s="17" t="s">
        <v>1975</v>
      </c>
      <c r="H19" s="17" t="s">
        <v>3601</v>
      </c>
      <c r="I19" s="17" t="s">
        <v>388</v>
      </c>
      <c r="J19" s="37" t="s">
        <v>4222</v>
      </c>
      <c r="K19" s="18">
        <v>46133</v>
      </c>
      <c r="L19" s="18" t="s">
        <v>24</v>
      </c>
      <c r="M19" s="7" t="s">
        <v>25</v>
      </c>
      <c r="N19" s="17"/>
    </row>
    <row r="20" spans="1:14" ht="25.5" x14ac:dyDescent="0.25">
      <c r="A20" s="34">
        <v>19</v>
      </c>
      <c r="B20" s="35" t="s">
        <v>1976</v>
      </c>
      <c r="C20" s="34">
        <v>1</v>
      </c>
      <c r="D20" s="34">
        <v>11.4</v>
      </c>
      <c r="E20" s="34">
        <v>10.7</v>
      </c>
      <c r="F20" s="35" t="s">
        <v>73</v>
      </c>
      <c r="G20" s="34" t="s">
        <v>1977</v>
      </c>
      <c r="H20" s="17" t="s">
        <v>3806</v>
      </c>
      <c r="I20" s="17" t="s">
        <v>112</v>
      </c>
      <c r="J20" s="37" t="s">
        <v>4444</v>
      </c>
      <c r="K20" s="18">
        <v>46144</v>
      </c>
      <c r="L20" s="18" t="s">
        <v>24</v>
      </c>
      <c r="M20" s="7" t="s">
        <v>25</v>
      </c>
      <c r="N20" s="17"/>
    </row>
    <row r="21" spans="1:14" ht="51" x14ac:dyDescent="0.25">
      <c r="A21" s="17">
        <v>20</v>
      </c>
      <c r="B21" s="16" t="s">
        <v>1976</v>
      </c>
      <c r="C21" s="17">
        <v>2</v>
      </c>
      <c r="D21" s="17">
        <v>16.2</v>
      </c>
      <c r="E21" s="17"/>
      <c r="F21" s="16" t="s">
        <v>62</v>
      </c>
      <c r="G21" s="17" t="s">
        <v>1978</v>
      </c>
      <c r="H21" s="17" t="s">
        <v>3602</v>
      </c>
      <c r="I21" s="17" t="s">
        <v>34</v>
      </c>
      <c r="J21" s="37" t="s">
        <v>4506</v>
      </c>
      <c r="K21" s="18">
        <v>46154</v>
      </c>
      <c r="L21" s="17" t="s">
        <v>24</v>
      </c>
      <c r="M21" s="7" t="s">
        <v>25</v>
      </c>
      <c r="N21" s="17"/>
    </row>
    <row r="22" spans="1:14" ht="51" x14ac:dyDescent="0.25">
      <c r="A22" s="17">
        <v>21</v>
      </c>
      <c r="B22" s="16" t="s">
        <v>1976</v>
      </c>
      <c r="C22" s="17">
        <v>3</v>
      </c>
      <c r="D22" s="17">
        <v>16.399999999999999</v>
      </c>
      <c r="E22" s="17">
        <v>10.7</v>
      </c>
      <c r="F22" s="16" t="s">
        <v>62</v>
      </c>
      <c r="G22" s="17" t="s">
        <v>1978</v>
      </c>
      <c r="H22" s="17" t="s">
        <v>3602</v>
      </c>
      <c r="I22" s="17" t="s">
        <v>34</v>
      </c>
      <c r="J22" s="37" t="s">
        <v>4506</v>
      </c>
      <c r="K22" s="18">
        <v>46154</v>
      </c>
      <c r="L22" s="17" t="s">
        <v>24</v>
      </c>
      <c r="M22" s="7" t="s">
        <v>25</v>
      </c>
      <c r="N22" s="17"/>
    </row>
    <row r="23" spans="1:14" ht="51" x14ac:dyDescent="0.25">
      <c r="A23" s="17">
        <v>22</v>
      </c>
      <c r="B23" s="16" t="s">
        <v>1979</v>
      </c>
      <c r="C23" s="17">
        <v>1</v>
      </c>
      <c r="D23" s="17">
        <v>17.100000000000001</v>
      </c>
      <c r="E23" s="17">
        <v>10.4</v>
      </c>
      <c r="F23" s="16" t="s">
        <v>19</v>
      </c>
      <c r="G23" s="17" t="s">
        <v>1980</v>
      </c>
      <c r="H23" s="17" t="s">
        <v>3807</v>
      </c>
      <c r="I23" s="17" t="s">
        <v>34</v>
      </c>
      <c r="J23" s="37" t="s">
        <v>4311</v>
      </c>
      <c r="K23" s="18">
        <v>46134</v>
      </c>
      <c r="L23" s="18" t="s">
        <v>24</v>
      </c>
      <c r="M23" s="7" t="s">
        <v>25</v>
      </c>
      <c r="N23" s="17"/>
    </row>
    <row r="24" spans="1:14" ht="63.75" x14ac:dyDescent="0.25">
      <c r="A24" s="17">
        <v>23</v>
      </c>
      <c r="B24" s="16" t="s">
        <v>1979</v>
      </c>
      <c r="C24" s="17">
        <v>2</v>
      </c>
      <c r="D24" s="17">
        <v>16.8</v>
      </c>
      <c r="E24" s="17"/>
      <c r="F24" s="16" t="s">
        <v>106</v>
      </c>
      <c r="G24" s="17" t="s">
        <v>1981</v>
      </c>
      <c r="H24" s="17" t="s">
        <v>3943</v>
      </c>
      <c r="I24" s="17" t="s">
        <v>34</v>
      </c>
      <c r="J24" s="37" t="s">
        <v>4547</v>
      </c>
      <c r="K24" s="18">
        <v>46142</v>
      </c>
      <c r="L24" s="18" t="s">
        <v>24</v>
      </c>
      <c r="M24" s="7" t="s">
        <v>25</v>
      </c>
      <c r="N24" s="17"/>
    </row>
    <row r="25" spans="1:14" ht="25.5" x14ac:dyDescent="0.25">
      <c r="A25" s="17">
        <v>24</v>
      </c>
      <c r="B25" s="16" t="s">
        <v>1979</v>
      </c>
      <c r="C25" s="17">
        <v>3</v>
      </c>
      <c r="D25" s="17">
        <v>12.8</v>
      </c>
      <c r="E25" s="17">
        <v>10.4</v>
      </c>
      <c r="F25" s="16" t="s">
        <v>338</v>
      </c>
      <c r="G25" s="17" t="s">
        <v>1982</v>
      </c>
      <c r="H25" s="17" t="s">
        <v>3603</v>
      </c>
      <c r="I25" s="17" t="s">
        <v>22</v>
      </c>
      <c r="J25" s="37" t="s">
        <v>4400</v>
      </c>
      <c r="K25" s="18">
        <v>46147</v>
      </c>
      <c r="L25" s="18" t="s">
        <v>24</v>
      </c>
      <c r="M25" s="7" t="s">
        <v>25</v>
      </c>
      <c r="N25" s="17"/>
    </row>
    <row r="26" spans="1:14" ht="25.5" x14ac:dyDescent="0.25">
      <c r="A26" s="17">
        <v>25</v>
      </c>
      <c r="B26" s="16" t="s">
        <v>1983</v>
      </c>
      <c r="C26" s="17">
        <v>1</v>
      </c>
      <c r="D26" s="17">
        <v>16.3</v>
      </c>
      <c r="E26" s="17">
        <v>10.5</v>
      </c>
      <c r="F26" s="16" t="s">
        <v>19</v>
      </c>
      <c r="G26" s="17" t="s">
        <v>1984</v>
      </c>
      <c r="H26" s="17" t="s">
        <v>3944</v>
      </c>
      <c r="I26" s="17" t="s">
        <v>51</v>
      </c>
      <c r="J26" s="37" t="s">
        <v>4312</v>
      </c>
      <c r="K26" s="18">
        <v>46134</v>
      </c>
      <c r="L26" s="18" t="s">
        <v>24</v>
      </c>
      <c r="M26" s="7" t="s">
        <v>25</v>
      </c>
      <c r="N26" s="17"/>
    </row>
    <row r="27" spans="1:14" ht="25.5" x14ac:dyDescent="0.25">
      <c r="A27" s="17">
        <v>26</v>
      </c>
      <c r="B27" s="16" t="s">
        <v>1983</v>
      </c>
      <c r="C27" s="17">
        <v>2</v>
      </c>
      <c r="D27" s="17">
        <v>16.100000000000001</v>
      </c>
      <c r="E27" s="17"/>
      <c r="F27" s="16" t="s">
        <v>19</v>
      </c>
      <c r="G27" s="17" t="s">
        <v>1985</v>
      </c>
      <c r="H27" s="17" t="s">
        <v>3945</v>
      </c>
      <c r="I27" s="17" t="s">
        <v>51</v>
      </c>
      <c r="J27" s="37" t="s">
        <v>4313</v>
      </c>
      <c r="K27" s="18">
        <v>46137</v>
      </c>
      <c r="L27" s="18" t="s">
        <v>82</v>
      </c>
      <c r="M27" s="7" t="s">
        <v>25</v>
      </c>
      <c r="N27" s="17"/>
    </row>
    <row r="28" spans="1:14" ht="63.75" x14ac:dyDescent="0.25">
      <c r="A28" s="17">
        <v>27</v>
      </c>
      <c r="B28" s="16" t="s">
        <v>1983</v>
      </c>
      <c r="C28" s="17">
        <v>3</v>
      </c>
      <c r="D28" s="17">
        <v>13.2</v>
      </c>
      <c r="E28" s="17">
        <v>10.4</v>
      </c>
      <c r="F28" s="16" t="s">
        <v>126</v>
      </c>
      <c r="G28" s="17" t="s">
        <v>4874</v>
      </c>
      <c r="H28" s="17" t="s">
        <v>4875</v>
      </c>
      <c r="I28" s="17" t="s">
        <v>34</v>
      </c>
      <c r="J28" s="37" t="s">
        <v>4248</v>
      </c>
      <c r="K28" s="18">
        <v>46156</v>
      </c>
      <c r="L28" s="18" t="s">
        <v>24</v>
      </c>
      <c r="M28" s="7" t="s">
        <v>25</v>
      </c>
      <c r="N28" s="17"/>
    </row>
    <row r="29" spans="1:14" x14ac:dyDescent="0.25">
      <c r="A29" s="14">
        <v>28</v>
      </c>
      <c r="B29" s="15" t="s">
        <v>1986</v>
      </c>
      <c r="C29" s="14">
        <v>1</v>
      </c>
      <c r="D29" s="14">
        <v>16.600000000000001</v>
      </c>
      <c r="E29" s="14">
        <v>10.7</v>
      </c>
      <c r="F29" s="15" t="s">
        <v>73</v>
      </c>
      <c r="G29" s="14"/>
      <c r="H29" s="14"/>
      <c r="I29" s="14"/>
      <c r="J29" s="28"/>
      <c r="K29" s="21"/>
      <c r="L29" s="14"/>
      <c r="M29" s="14" t="s">
        <v>286</v>
      </c>
      <c r="N29" s="14"/>
    </row>
    <row r="30" spans="1:14" ht="25.5" x14ac:dyDescent="0.25">
      <c r="A30" s="17">
        <v>29</v>
      </c>
      <c r="B30" s="16" t="s">
        <v>1986</v>
      </c>
      <c r="C30" s="17">
        <v>2</v>
      </c>
      <c r="D30" s="17">
        <v>16.600000000000001</v>
      </c>
      <c r="E30" s="17"/>
      <c r="F30" s="16" t="s">
        <v>73</v>
      </c>
      <c r="G30" s="17" t="s">
        <v>1987</v>
      </c>
      <c r="H30" s="17" t="s">
        <v>3946</v>
      </c>
      <c r="I30" s="17" t="s">
        <v>51</v>
      </c>
      <c r="J30" s="37" t="s">
        <v>4445</v>
      </c>
      <c r="K30" s="18">
        <v>46144</v>
      </c>
      <c r="L30" s="18" t="s">
        <v>24</v>
      </c>
      <c r="M30" s="7" t="s">
        <v>25</v>
      </c>
      <c r="N30" s="17"/>
    </row>
    <row r="31" spans="1:14" ht="25.5" x14ac:dyDescent="0.25">
      <c r="A31" s="17">
        <v>30</v>
      </c>
      <c r="B31" s="16" t="s">
        <v>1986</v>
      </c>
      <c r="C31" s="17">
        <v>3</v>
      </c>
      <c r="D31" s="17">
        <v>12.5</v>
      </c>
      <c r="E31" s="17">
        <v>10.8</v>
      </c>
      <c r="F31" s="16" t="s">
        <v>73</v>
      </c>
      <c r="G31" s="17" t="s">
        <v>1988</v>
      </c>
      <c r="H31" s="17" t="s">
        <v>3808</v>
      </c>
      <c r="I31" s="17" t="s">
        <v>42</v>
      </c>
      <c r="J31" s="37" t="s">
        <v>4446</v>
      </c>
      <c r="K31" s="18">
        <v>46144</v>
      </c>
      <c r="L31" s="18" t="s">
        <v>24</v>
      </c>
      <c r="M31" s="7" t="s">
        <v>25</v>
      </c>
      <c r="N31" s="17"/>
    </row>
    <row r="32" spans="1:14" ht="25.5" x14ac:dyDescent="0.25">
      <c r="A32" s="17">
        <v>31</v>
      </c>
      <c r="B32" s="16" t="s">
        <v>1989</v>
      </c>
      <c r="C32" s="17">
        <v>1</v>
      </c>
      <c r="D32" s="17">
        <v>16.8</v>
      </c>
      <c r="E32" s="17">
        <v>10.9</v>
      </c>
      <c r="F32" s="16" t="s">
        <v>19</v>
      </c>
      <c r="G32" s="17" t="s">
        <v>1990</v>
      </c>
      <c r="H32" s="17" t="s">
        <v>3809</v>
      </c>
      <c r="I32" s="17" t="s">
        <v>22</v>
      </c>
      <c r="J32" s="37" t="s">
        <v>4314</v>
      </c>
      <c r="K32" s="18">
        <v>46144</v>
      </c>
      <c r="L32" s="18" t="s">
        <v>24</v>
      </c>
      <c r="M32" s="7" t="s">
        <v>25</v>
      </c>
      <c r="N32" s="17"/>
    </row>
    <row r="33" spans="1:14" ht="25.5" x14ac:dyDescent="0.25">
      <c r="A33" s="17">
        <v>32</v>
      </c>
      <c r="B33" s="16" t="s">
        <v>1989</v>
      </c>
      <c r="C33" s="17">
        <v>2</v>
      </c>
      <c r="D33" s="17">
        <v>15.9</v>
      </c>
      <c r="E33" s="17"/>
      <c r="F33" s="16" t="s">
        <v>338</v>
      </c>
      <c r="G33" s="17" t="s">
        <v>1991</v>
      </c>
      <c r="H33" s="17" t="s">
        <v>3810</v>
      </c>
      <c r="I33" s="17" t="s">
        <v>22</v>
      </c>
      <c r="J33" s="37" t="s">
        <v>4401</v>
      </c>
      <c r="K33" s="18">
        <v>46144</v>
      </c>
      <c r="L33" s="18" t="s">
        <v>24</v>
      </c>
      <c r="M33" s="7" t="s">
        <v>25</v>
      </c>
      <c r="N33" s="17"/>
    </row>
    <row r="34" spans="1:14" ht="63.75" x14ac:dyDescent="0.25">
      <c r="A34" s="17">
        <v>33</v>
      </c>
      <c r="B34" s="16" t="s">
        <v>1989</v>
      </c>
      <c r="C34" s="17">
        <v>3</v>
      </c>
      <c r="D34" s="17">
        <v>13.5</v>
      </c>
      <c r="E34" s="17">
        <v>10.7</v>
      </c>
      <c r="F34" s="16" t="s">
        <v>106</v>
      </c>
      <c r="G34" s="17" t="s">
        <v>1992</v>
      </c>
      <c r="H34" s="17" t="s">
        <v>3947</v>
      </c>
      <c r="I34" s="17" t="s">
        <v>34</v>
      </c>
      <c r="J34" s="37" t="s">
        <v>4548</v>
      </c>
      <c r="K34" s="18">
        <v>46142</v>
      </c>
      <c r="L34" s="18" t="s">
        <v>24</v>
      </c>
      <c r="M34" s="7" t="s">
        <v>25</v>
      </c>
      <c r="N34" s="17"/>
    </row>
    <row r="35" spans="1:14" ht="51" x14ac:dyDescent="0.25">
      <c r="A35" s="17">
        <v>34</v>
      </c>
      <c r="B35" s="16" t="s">
        <v>1993</v>
      </c>
      <c r="C35" s="17">
        <v>1</v>
      </c>
      <c r="D35" s="17">
        <v>17</v>
      </c>
      <c r="E35" s="17">
        <v>10.7</v>
      </c>
      <c r="F35" s="16" t="s">
        <v>151</v>
      </c>
      <c r="G35" s="17" t="s">
        <v>1994</v>
      </c>
      <c r="H35" s="17" t="s">
        <v>4961</v>
      </c>
      <c r="I35" s="17" t="s">
        <v>34</v>
      </c>
      <c r="J35" s="37" t="s">
        <v>4764</v>
      </c>
      <c r="K35" s="18">
        <v>46155</v>
      </c>
      <c r="L35" s="18" t="s">
        <v>24</v>
      </c>
      <c r="M35" s="7" t="s">
        <v>25</v>
      </c>
      <c r="N35" s="17"/>
    </row>
    <row r="36" spans="1:14" ht="51" x14ac:dyDescent="0.25">
      <c r="A36" s="17">
        <v>35</v>
      </c>
      <c r="B36" s="16" t="s">
        <v>1993</v>
      </c>
      <c r="C36" s="17">
        <v>2</v>
      </c>
      <c r="D36" s="17">
        <v>17.100000000000001</v>
      </c>
      <c r="E36" s="17"/>
      <c r="F36" s="16" t="s">
        <v>106</v>
      </c>
      <c r="G36" s="17" t="s">
        <v>1995</v>
      </c>
      <c r="H36" s="17" t="s">
        <v>3948</v>
      </c>
      <c r="I36" s="17" t="s">
        <v>34</v>
      </c>
      <c r="J36" s="37" t="s">
        <v>4549</v>
      </c>
      <c r="K36" s="18">
        <v>46142</v>
      </c>
      <c r="L36" s="18" t="s">
        <v>24</v>
      </c>
      <c r="M36" s="7" t="s">
        <v>25</v>
      </c>
      <c r="N36" s="17"/>
    </row>
    <row r="37" spans="1:14" ht="51" x14ac:dyDescent="0.25">
      <c r="A37" s="17">
        <v>36</v>
      </c>
      <c r="B37" s="16" t="s">
        <v>1993</v>
      </c>
      <c r="C37" s="17">
        <v>3</v>
      </c>
      <c r="D37" s="17">
        <v>13.4</v>
      </c>
      <c r="E37" s="17">
        <v>10.6</v>
      </c>
      <c r="F37" s="16" t="s">
        <v>106</v>
      </c>
      <c r="G37" s="17" t="s">
        <v>1995</v>
      </c>
      <c r="H37" s="17" t="s">
        <v>3948</v>
      </c>
      <c r="I37" s="17" t="s">
        <v>34</v>
      </c>
      <c r="J37" s="37" t="s">
        <v>4549</v>
      </c>
      <c r="K37" s="18">
        <v>46142</v>
      </c>
      <c r="L37" s="18" t="s">
        <v>24</v>
      </c>
      <c r="M37" s="7" t="s">
        <v>25</v>
      </c>
      <c r="N37" s="17"/>
    </row>
    <row r="38" spans="1:14" ht="25.5" x14ac:dyDescent="0.25">
      <c r="A38" s="17">
        <v>37</v>
      </c>
      <c r="B38" s="16" t="s">
        <v>1996</v>
      </c>
      <c r="C38" s="17">
        <v>1</v>
      </c>
      <c r="D38" s="17">
        <v>16.399999999999999</v>
      </c>
      <c r="E38" s="17">
        <v>10.5</v>
      </c>
      <c r="F38" s="16" t="s">
        <v>62</v>
      </c>
      <c r="G38" s="17" t="s">
        <v>1997</v>
      </c>
      <c r="H38" s="17" t="s">
        <v>3604</v>
      </c>
      <c r="I38" s="17" t="s">
        <v>28</v>
      </c>
      <c r="J38" s="37" t="s">
        <v>4507</v>
      </c>
      <c r="K38" s="18">
        <v>46142</v>
      </c>
      <c r="L38" s="18" t="s">
        <v>24</v>
      </c>
      <c r="M38" s="7" t="s">
        <v>25</v>
      </c>
      <c r="N38" s="17"/>
    </row>
    <row r="39" spans="1:14" ht="25.5" x14ac:dyDescent="0.25">
      <c r="A39" s="17">
        <v>38</v>
      </c>
      <c r="B39" s="16" t="s">
        <v>1996</v>
      </c>
      <c r="C39" s="17">
        <v>2</v>
      </c>
      <c r="D39" s="17">
        <v>16.7</v>
      </c>
      <c r="E39" s="17"/>
      <c r="F39" s="16" t="s">
        <v>62</v>
      </c>
      <c r="G39" s="17" t="s">
        <v>1997</v>
      </c>
      <c r="H39" s="17" t="s">
        <v>3604</v>
      </c>
      <c r="I39" s="17" t="s">
        <v>28</v>
      </c>
      <c r="J39" s="37" t="s">
        <v>4507</v>
      </c>
      <c r="K39" s="18">
        <v>46142</v>
      </c>
      <c r="L39" s="18" t="s">
        <v>24</v>
      </c>
      <c r="M39" s="7" t="s">
        <v>25</v>
      </c>
      <c r="N39" s="17"/>
    </row>
    <row r="40" spans="1:14" ht="25.5" x14ac:dyDescent="0.25">
      <c r="A40" s="17">
        <v>39</v>
      </c>
      <c r="B40" s="16" t="s">
        <v>1996</v>
      </c>
      <c r="C40" s="17">
        <v>3</v>
      </c>
      <c r="D40" s="17">
        <v>12.1</v>
      </c>
      <c r="E40" s="17">
        <v>10.1</v>
      </c>
      <c r="F40" s="16" t="s">
        <v>62</v>
      </c>
      <c r="G40" s="17" t="s">
        <v>1997</v>
      </c>
      <c r="H40" s="17" t="s">
        <v>3604</v>
      </c>
      <c r="I40" s="17" t="s">
        <v>28</v>
      </c>
      <c r="J40" s="37" t="s">
        <v>4507</v>
      </c>
      <c r="K40" s="18">
        <v>46142</v>
      </c>
      <c r="L40" s="18" t="s">
        <v>24</v>
      </c>
      <c r="M40" s="7" t="s">
        <v>25</v>
      </c>
      <c r="N40" s="17"/>
    </row>
    <row r="41" spans="1:14" ht="63.75" x14ac:dyDescent="0.25">
      <c r="A41" s="17">
        <v>40</v>
      </c>
      <c r="B41" s="16" t="s">
        <v>1998</v>
      </c>
      <c r="C41" s="17">
        <v>1</v>
      </c>
      <c r="D41" s="17">
        <v>12.7</v>
      </c>
      <c r="E41" s="17">
        <v>10.8</v>
      </c>
      <c r="F41" s="16" t="s">
        <v>31</v>
      </c>
      <c r="G41" s="17" t="s">
        <v>1999</v>
      </c>
      <c r="H41" s="17" t="s">
        <v>3949</v>
      </c>
      <c r="I41" s="17" t="s">
        <v>34</v>
      </c>
      <c r="J41" s="37" t="s">
        <v>4686</v>
      </c>
      <c r="K41" s="18">
        <v>46154</v>
      </c>
      <c r="L41" s="18" t="s">
        <v>24</v>
      </c>
      <c r="M41" s="7" t="s">
        <v>25</v>
      </c>
      <c r="N41" s="17"/>
    </row>
    <row r="42" spans="1:14" x14ac:dyDescent="0.25">
      <c r="A42" s="14">
        <v>41</v>
      </c>
      <c r="B42" s="15" t="s">
        <v>1998</v>
      </c>
      <c r="C42" s="14">
        <v>2</v>
      </c>
      <c r="D42" s="14">
        <v>16</v>
      </c>
      <c r="E42" s="14"/>
      <c r="F42" s="15" t="s">
        <v>338</v>
      </c>
      <c r="G42" s="14"/>
      <c r="H42" s="14"/>
      <c r="I42" s="14"/>
      <c r="J42" s="28"/>
      <c r="K42" s="21"/>
      <c r="L42" s="14"/>
      <c r="M42" s="14" t="s">
        <v>286</v>
      </c>
      <c r="N42" s="14"/>
    </row>
    <row r="43" spans="1:14" x14ac:dyDescent="0.25">
      <c r="A43" s="14">
        <v>42</v>
      </c>
      <c r="B43" s="15" t="s">
        <v>1998</v>
      </c>
      <c r="C43" s="14">
        <v>3</v>
      </c>
      <c r="D43" s="14">
        <v>16.899999999999999</v>
      </c>
      <c r="E43" s="14">
        <v>10.8</v>
      </c>
      <c r="F43" s="15" t="s">
        <v>338</v>
      </c>
      <c r="G43" s="14"/>
      <c r="H43" s="14"/>
      <c r="I43" s="14"/>
      <c r="J43" s="28"/>
      <c r="K43" s="21"/>
      <c r="L43" s="14"/>
      <c r="M43" s="14" t="s">
        <v>286</v>
      </c>
      <c r="N43" s="14"/>
    </row>
    <row r="44" spans="1:14" ht="63.75" x14ac:dyDescent="0.25">
      <c r="A44" s="17">
        <v>43</v>
      </c>
      <c r="B44" s="16" t="s">
        <v>2000</v>
      </c>
      <c r="C44" s="17">
        <v>1</v>
      </c>
      <c r="D44" s="17">
        <v>15.6</v>
      </c>
      <c r="E44" s="17">
        <v>10.8</v>
      </c>
      <c r="F44" s="16" t="s">
        <v>31</v>
      </c>
      <c r="G44" s="17" t="s">
        <v>2001</v>
      </c>
      <c r="H44" s="17" t="s">
        <v>3950</v>
      </c>
      <c r="I44" s="17" t="s">
        <v>34</v>
      </c>
      <c r="J44" s="37" t="s">
        <v>4687</v>
      </c>
      <c r="K44" s="18">
        <v>46148</v>
      </c>
      <c r="L44" s="18" t="s">
        <v>24</v>
      </c>
      <c r="M44" s="7" t="s">
        <v>25</v>
      </c>
      <c r="N44" s="17"/>
    </row>
    <row r="45" spans="1:14" ht="25.5" x14ac:dyDescent="0.25">
      <c r="A45" s="17">
        <v>44</v>
      </c>
      <c r="B45" s="16" t="s">
        <v>2000</v>
      </c>
      <c r="C45" s="17">
        <v>2</v>
      </c>
      <c r="D45" s="17">
        <v>16.600000000000001</v>
      </c>
      <c r="E45" s="17"/>
      <c r="F45" s="16" t="s">
        <v>31</v>
      </c>
      <c r="G45" s="17" t="s">
        <v>2002</v>
      </c>
      <c r="H45" s="17" t="s">
        <v>3951</v>
      </c>
      <c r="I45" s="17" t="s">
        <v>28</v>
      </c>
      <c r="J45" s="37" t="s">
        <v>4688</v>
      </c>
      <c r="K45" s="18">
        <v>46147</v>
      </c>
      <c r="L45" s="18" t="s">
        <v>24</v>
      </c>
      <c r="M45" s="7" t="s">
        <v>25</v>
      </c>
      <c r="N45" s="17"/>
    </row>
    <row r="46" spans="1:14" ht="25.5" x14ac:dyDescent="0.25">
      <c r="A46" s="17">
        <v>45</v>
      </c>
      <c r="B46" s="16" t="s">
        <v>2000</v>
      </c>
      <c r="C46" s="17">
        <v>3</v>
      </c>
      <c r="D46" s="17">
        <v>12.3</v>
      </c>
      <c r="E46" s="17">
        <v>10.7</v>
      </c>
      <c r="F46" s="16" t="s">
        <v>126</v>
      </c>
      <c r="G46" s="17" t="s">
        <v>2003</v>
      </c>
      <c r="H46" s="17" t="s">
        <v>3811</v>
      </c>
      <c r="I46" s="17" t="s">
        <v>28</v>
      </c>
      <c r="J46" s="37" t="s">
        <v>4249</v>
      </c>
      <c r="K46" s="18">
        <v>46149</v>
      </c>
      <c r="L46" s="18" t="s">
        <v>24</v>
      </c>
      <c r="M46" s="7" t="s">
        <v>25</v>
      </c>
      <c r="N46" s="17"/>
    </row>
    <row r="47" spans="1:14" ht="25.5" x14ac:dyDescent="0.25">
      <c r="A47" s="17">
        <v>46</v>
      </c>
      <c r="B47" s="16" t="s">
        <v>2004</v>
      </c>
      <c r="C47" s="17">
        <v>1</v>
      </c>
      <c r="D47" s="17">
        <v>16.7</v>
      </c>
      <c r="E47" s="17">
        <v>10.8</v>
      </c>
      <c r="F47" s="16" t="s">
        <v>86</v>
      </c>
      <c r="G47" s="17" t="s">
        <v>2005</v>
      </c>
      <c r="H47" s="17" t="s">
        <v>3605</v>
      </c>
      <c r="I47" s="17" t="s">
        <v>28</v>
      </c>
      <c r="J47" s="37" t="s">
        <v>4661</v>
      </c>
      <c r="K47" s="18">
        <v>46144</v>
      </c>
      <c r="L47" s="18" t="s">
        <v>24</v>
      </c>
      <c r="M47" s="7" t="s">
        <v>25</v>
      </c>
      <c r="N47" s="17"/>
    </row>
    <row r="48" spans="1:14" ht="25.5" x14ac:dyDescent="0.25">
      <c r="A48" s="17">
        <v>47</v>
      </c>
      <c r="B48" s="16" t="s">
        <v>2004</v>
      </c>
      <c r="C48" s="17">
        <v>2</v>
      </c>
      <c r="D48" s="17">
        <v>16.600000000000001</v>
      </c>
      <c r="E48" s="17"/>
      <c r="F48" s="16" t="s">
        <v>86</v>
      </c>
      <c r="G48" s="17" t="s">
        <v>2006</v>
      </c>
      <c r="H48" s="17" t="s">
        <v>3606</v>
      </c>
      <c r="I48" s="17" t="s">
        <v>22</v>
      </c>
      <c r="J48" s="37" t="s">
        <v>4662</v>
      </c>
      <c r="K48" s="18">
        <v>46144</v>
      </c>
      <c r="L48" s="18" t="s">
        <v>24</v>
      </c>
      <c r="M48" s="7" t="s">
        <v>25</v>
      </c>
      <c r="N48" s="17"/>
    </row>
    <row r="49" spans="1:14" ht="25.5" x14ac:dyDescent="0.25">
      <c r="A49" s="17">
        <v>48</v>
      </c>
      <c r="B49" s="16" t="s">
        <v>2004</v>
      </c>
      <c r="C49" s="17">
        <v>3</v>
      </c>
      <c r="D49" s="17">
        <v>12.7</v>
      </c>
      <c r="E49" s="17">
        <v>10.1</v>
      </c>
      <c r="F49" s="16" t="s">
        <v>86</v>
      </c>
      <c r="G49" s="17" t="s">
        <v>2006</v>
      </c>
      <c r="H49" s="17" t="s">
        <v>3606</v>
      </c>
      <c r="I49" s="17" t="s">
        <v>22</v>
      </c>
      <c r="J49" s="37" t="s">
        <v>4662</v>
      </c>
      <c r="K49" s="18">
        <v>46144</v>
      </c>
      <c r="L49" s="18" t="s">
        <v>24</v>
      </c>
      <c r="M49" s="7" t="s">
        <v>25</v>
      </c>
      <c r="N49" s="17"/>
    </row>
    <row r="50" spans="1:14" ht="25.5" x14ac:dyDescent="0.25">
      <c r="A50" s="17">
        <v>49</v>
      </c>
      <c r="B50" s="16" t="s">
        <v>2007</v>
      </c>
      <c r="C50" s="17">
        <v>1</v>
      </c>
      <c r="D50" s="17">
        <v>16.899999999999999</v>
      </c>
      <c r="E50" s="17">
        <v>11.1</v>
      </c>
      <c r="F50" s="16" t="s">
        <v>86</v>
      </c>
      <c r="G50" s="17" t="s">
        <v>2008</v>
      </c>
      <c r="H50" s="17" t="s">
        <v>3952</v>
      </c>
      <c r="I50" s="17" t="s">
        <v>312</v>
      </c>
      <c r="J50" s="37" t="s">
        <v>4663</v>
      </c>
      <c r="K50" s="18">
        <v>46137</v>
      </c>
      <c r="L50" s="18" t="s">
        <v>24</v>
      </c>
      <c r="M50" s="7" t="s">
        <v>25</v>
      </c>
      <c r="N50" s="17"/>
    </row>
    <row r="51" spans="1:14" ht="25.5" x14ac:dyDescent="0.25">
      <c r="A51" s="17">
        <v>50</v>
      </c>
      <c r="B51" s="16" t="s">
        <v>2007</v>
      </c>
      <c r="C51" s="17">
        <v>2</v>
      </c>
      <c r="D51" s="17">
        <v>14.9</v>
      </c>
      <c r="E51" s="17"/>
      <c r="F51" s="16" t="s">
        <v>86</v>
      </c>
      <c r="G51" s="17" t="s">
        <v>2008</v>
      </c>
      <c r="H51" s="17" t="s">
        <v>3952</v>
      </c>
      <c r="I51" s="17" t="s">
        <v>312</v>
      </c>
      <c r="J51" s="37" t="s">
        <v>4663</v>
      </c>
      <c r="K51" s="18">
        <v>46137</v>
      </c>
      <c r="L51" s="18" t="s">
        <v>24</v>
      </c>
      <c r="M51" s="7" t="s">
        <v>25</v>
      </c>
      <c r="N51" s="17"/>
    </row>
    <row r="52" spans="1:14" ht="25.5" x14ac:dyDescent="0.25">
      <c r="A52" s="17">
        <v>51</v>
      </c>
      <c r="B52" s="16" t="s">
        <v>2007</v>
      </c>
      <c r="C52" s="17">
        <v>3</v>
      </c>
      <c r="D52" s="17">
        <v>11.7</v>
      </c>
      <c r="E52" s="17">
        <v>10.199999999999999</v>
      </c>
      <c r="F52" s="16" t="s">
        <v>62</v>
      </c>
      <c r="G52" s="17" t="s">
        <v>2009</v>
      </c>
      <c r="H52" s="17" t="s">
        <v>3607</v>
      </c>
      <c r="I52" s="17" t="s">
        <v>28</v>
      </c>
      <c r="J52" s="37" t="s">
        <v>4508</v>
      </c>
      <c r="K52" s="18">
        <v>46137</v>
      </c>
      <c r="L52" s="18" t="s">
        <v>24</v>
      </c>
      <c r="M52" s="7" t="s">
        <v>25</v>
      </c>
      <c r="N52" s="17"/>
    </row>
    <row r="53" spans="1:14" ht="51" x14ac:dyDescent="0.25">
      <c r="A53" s="17">
        <v>52</v>
      </c>
      <c r="B53" s="16" t="s">
        <v>2010</v>
      </c>
      <c r="C53" s="17">
        <v>1</v>
      </c>
      <c r="D53" s="17">
        <v>17.399999999999999</v>
      </c>
      <c r="E53" s="17">
        <v>10.4</v>
      </c>
      <c r="F53" s="16" t="s">
        <v>126</v>
      </c>
      <c r="G53" s="17" t="s">
        <v>4876</v>
      </c>
      <c r="H53" s="17" t="s">
        <v>3953</v>
      </c>
      <c r="I53" s="17" t="s">
        <v>34</v>
      </c>
      <c r="J53" s="37" t="s">
        <v>4250</v>
      </c>
      <c r="K53" s="18">
        <v>46149</v>
      </c>
      <c r="L53" s="18" t="s">
        <v>24</v>
      </c>
      <c r="M53" s="7" t="s">
        <v>25</v>
      </c>
      <c r="N53" s="17"/>
    </row>
    <row r="54" spans="1:14" ht="25.5" x14ac:dyDescent="0.25">
      <c r="A54" s="17">
        <v>53</v>
      </c>
      <c r="B54" s="16" t="s">
        <v>2010</v>
      </c>
      <c r="C54" s="17">
        <v>2</v>
      </c>
      <c r="D54" s="17">
        <v>16.5</v>
      </c>
      <c r="E54" s="17"/>
      <c r="F54" s="16" t="s">
        <v>338</v>
      </c>
      <c r="G54" s="17" t="s">
        <v>2011</v>
      </c>
      <c r="H54" s="17" t="s">
        <v>3608</v>
      </c>
      <c r="I54" s="17" t="s">
        <v>28</v>
      </c>
      <c r="J54" s="37" t="s">
        <v>4402</v>
      </c>
      <c r="K54" s="18">
        <v>46154</v>
      </c>
      <c r="L54" s="18" t="s">
        <v>24</v>
      </c>
      <c r="M54" s="7" t="s">
        <v>25</v>
      </c>
      <c r="N54" s="17"/>
    </row>
    <row r="55" spans="1:14" ht="63.75" x14ac:dyDescent="0.25">
      <c r="A55" s="17">
        <v>54</v>
      </c>
      <c r="B55" s="16" t="s">
        <v>2010</v>
      </c>
      <c r="C55" s="17">
        <v>3</v>
      </c>
      <c r="D55" s="17">
        <v>12.8</v>
      </c>
      <c r="E55" s="17">
        <v>10.8</v>
      </c>
      <c r="F55" s="16" t="s">
        <v>31</v>
      </c>
      <c r="G55" s="17" t="s">
        <v>2012</v>
      </c>
      <c r="H55" s="17" t="s">
        <v>3954</v>
      </c>
      <c r="I55" s="17" t="s">
        <v>34</v>
      </c>
      <c r="J55" s="37" t="s">
        <v>4689</v>
      </c>
      <c r="K55" s="18">
        <v>46148</v>
      </c>
      <c r="L55" s="18" t="s">
        <v>24</v>
      </c>
      <c r="M55" s="7" t="s">
        <v>25</v>
      </c>
      <c r="N55" s="17"/>
    </row>
    <row r="56" spans="1:14" ht="25.5" x14ac:dyDescent="0.25">
      <c r="A56" s="17">
        <v>55</v>
      </c>
      <c r="B56" s="16" t="s">
        <v>2013</v>
      </c>
      <c r="C56" s="17">
        <v>1</v>
      </c>
      <c r="D56" s="17">
        <v>16.899999999999999</v>
      </c>
      <c r="E56" s="17">
        <v>11.2</v>
      </c>
      <c r="F56" s="16" t="s">
        <v>121</v>
      </c>
      <c r="G56" s="17" t="s">
        <v>2014</v>
      </c>
      <c r="H56" s="17" t="s">
        <v>3812</v>
      </c>
      <c r="I56" s="17" t="s">
        <v>662</v>
      </c>
      <c r="J56" s="37" t="s">
        <v>4593</v>
      </c>
      <c r="K56" s="18">
        <v>46140</v>
      </c>
      <c r="L56" s="18" t="s">
        <v>24</v>
      </c>
      <c r="M56" s="7" t="s">
        <v>25</v>
      </c>
      <c r="N56" s="17"/>
    </row>
    <row r="57" spans="1:14" ht="25.5" x14ac:dyDescent="0.25">
      <c r="A57" s="17">
        <v>56</v>
      </c>
      <c r="B57" s="16" t="s">
        <v>2013</v>
      </c>
      <c r="C57" s="17">
        <v>2</v>
      </c>
      <c r="D57" s="17">
        <v>15.6</v>
      </c>
      <c r="E57" s="17"/>
      <c r="F57" s="16" t="s">
        <v>126</v>
      </c>
      <c r="G57" s="17" t="s">
        <v>2015</v>
      </c>
      <c r="H57" s="17" t="s">
        <v>3955</v>
      </c>
      <c r="I57" s="17" t="s">
        <v>22</v>
      </c>
      <c r="J57" s="37" t="s">
        <v>4251</v>
      </c>
      <c r="K57" s="18">
        <v>46149</v>
      </c>
      <c r="L57" s="18" t="s">
        <v>82</v>
      </c>
      <c r="M57" s="7" t="s">
        <v>25</v>
      </c>
      <c r="N57" s="17"/>
    </row>
    <row r="58" spans="1:14" ht="63.75" x14ac:dyDescent="0.25">
      <c r="A58" s="17">
        <v>57</v>
      </c>
      <c r="B58" s="16" t="s">
        <v>2013</v>
      </c>
      <c r="C58" s="17">
        <v>3</v>
      </c>
      <c r="D58" s="17">
        <v>13.4</v>
      </c>
      <c r="E58" s="17">
        <v>10.4</v>
      </c>
      <c r="F58" s="16" t="s">
        <v>343</v>
      </c>
      <c r="G58" s="17" t="s">
        <v>2016</v>
      </c>
      <c r="H58" s="17" t="s">
        <v>3586</v>
      </c>
      <c r="I58" s="17" t="s">
        <v>34</v>
      </c>
      <c r="J58" s="37" t="s">
        <v>4200</v>
      </c>
      <c r="K58" s="18">
        <v>46149</v>
      </c>
      <c r="L58" s="17" t="s">
        <v>24</v>
      </c>
      <c r="M58" s="7" t="s">
        <v>25</v>
      </c>
      <c r="N58" s="17"/>
    </row>
    <row r="59" spans="1:14" ht="25.5" x14ac:dyDescent="0.25">
      <c r="A59" s="17">
        <v>58</v>
      </c>
      <c r="B59" s="16" t="s">
        <v>2017</v>
      </c>
      <c r="C59" s="17">
        <v>1</v>
      </c>
      <c r="D59" s="17">
        <v>16.8</v>
      </c>
      <c r="E59" s="17">
        <v>10.8</v>
      </c>
      <c r="F59" s="16" t="s">
        <v>121</v>
      </c>
      <c r="G59" s="17" t="s">
        <v>2018</v>
      </c>
      <c r="H59" s="17" t="s">
        <v>3956</v>
      </c>
      <c r="I59" s="17" t="s">
        <v>28</v>
      </c>
      <c r="J59" s="37" t="s">
        <v>4594</v>
      </c>
      <c r="K59" s="18">
        <v>46141</v>
      </c>
      <c r="L59" s="18" t="s">
        <v>24</v>
      </c>
      <c r="M59" s="7" t="s">
        <v>25</v>
      </c>
      <c r="N59" s="17"/>
    </row>
    <row r="60" spans="1:14" ht="25.5" x14ac:dyDescent="0.25">
      <c r="A60" s="17">
        <v>59</v>
      </c>
      <c r="B60" s="16" t="s">
        <v>2017</v>
      </c>
      <c r="C60" s="17">
        <v>2</v>
      </c>
      <c r="D60" s="17">
        <v>16</v>
      </c>
      <c r="E60" s="17"/>
      <c r="F60" s="16" t="s">
        <v>121</v>
      </c>
      <c r="G60" s="17" t="s">
        <v>2019</v>
      </c>
      <c r="H60" s="17" t="s">
        <v>3609</v>
      </c>
      <c r="I60" s="17" t="s">
        <v>28</v>
      </c>
      <c r="J60" s="37" t="s">
        <v>4595</v>
      </c>
      <c r="K60" s="18">
        <v>46144</v>
      </c>
      <c r="L60" s="18" t="s">
        <v>24</v>
      </c>
      <c r="M60" s="7" t="s">
        <v>25</v>
      </c>
      <c r="N60" s="17"/>
    </row>
    <row r="61" spans="1:14" ht="25.5" x14ac:dyDescent="0.25">
      <c r="A61" s="17">
        <v>60</v>
      </c>
      <c r="B61" s="16" t="s">
        <v>2017</v>
      </c>
      <c r="C61" s="17">
        <v>3</v>
      </c>
      <c r="D61" s="17">
        <v>13</v>
      </c>
      <c r="E61" s="17">
        <v>10.8</v>
      </c>
      <c r="F61" s="16" t="s">
        <v>121</v>
      </c>
      <c r="G61" s="17" t="s">
        <v>2019</v>
      </c>
      <c r="H61" s="17" t="s">
        <v>3609</v>
      </c>
      <c r="I61" s="17" t="s">
        <v>28</v>
      </c>
      <c r="J61" s="37" t="s">
        <v>4595</v>
      </c>
      <c r="K61" s="18">
        <v>46144</v>
      </c>
      <c r="L61" s="18" t="s">
        <v>24</v>
      </c>
      <c r="M61" s="7" t="s">
        <v>25</v>
      </c>
      <c r="N61" s="17"/>
    </row>
    <row r="62" spans="1:14" ht="25.5" x14ac:dyDescent="0.25">
      <c r="A62" s="17">
        <v>61</v>
      </c>
      <c r="B62" s="16" t="s">
        <v>2020</v>
      </c>
      <c r="C62" s="17">
        <v>1</v>
      </c>
      <c r="D62" s="17">
        <v>16.600000000000001</v>
      </c>
      <c r="E62" s="17">
        <v>11</v>
      </c>
      <c r="F62" s="16" t="s">
        <v>19</v>
      </c>
      <c r="G62" s="17" t="s">
        <v>2021</v>
      </c>
      <c r="H62" s="17" t="s">
        <v>3957</v>
      </c>
      <c r="I62" s="17" t="s">
        <v>28</v>
      </c>
      <c r="J62" s="37" t="s">
        <v>4315</v>
      </c>
      <c r="K62" s="18">
        <v>46134</v>
      </c>
      <c r="L62" s="18" t="s">
        <v>24</v>
      </c>
      <c r="M62" s="7" t="s">
        <v>25</v>
      </c>
      <c r="N62" s="17"/>
    </row>
    <row r="63" spans="1:14" ht="51" x14ac:dyDescent="0.25">
      <c r="A63" s="17">
        <v>62</v>
      </c>
      <c r="B63" s="16" t="s">
        <v>2020</v>
      </c>
      <c r="C63" s="17">
        <v>2</v>
      </c>
      <c r="D63" s="17">
        <v>16.2</v>
      </c>
      <c r="E63" s="17"/>
      <c r="F63" s="16" t="s">
        <v>62</v>
      </c>
      <c r="G63" s="17" t="s">
        <v>2022</v>
      </c>
      <c r="H63" s="17" t="s">
        <v>3610</v>
      </c>
      <c r="I63" s="17" t="s">
        <v>34</v>
      </c>
      <c r="J63" s="37" t="s">
        <v>4509</v>
      </c>
      <c r="K63" s="18">
        <v>46135</v>
      </c>
      <c r="L63" s="18" t="s">
        <v>24</v>
      </c>
      <c r="M63" s="7" t="s">
        <v>25</v>
      </c>
      <c r="N63" s="17"/>
    </row>
    <row r="64" spans="1:14" ht="63.75" x14ac:dyDescent="0.25">
      <c r="A64" s="17">
        <v>63</v>
      </c>
      <c r="B64" s="16" t="s">
        <v>2020</v>
      </c>
      <c r="C64" s="17">
        <v>3</v>
      </c>
      <c r="D64" s="17">
        <v>12.7</v>
      </c>
      <c r="E64" s="17">
        <v>11.1</v>
      </c>
      <c r="F64" s="16" t="s">
        <v>54</v>
      </c>
      <c r="G64" s="17" t="s">
        <v>2023</v>
      </c>
      <c r="H64" s="17" t="s">
        <v>4942</v>
      </c>
      <c r="I64" s="17" t="s">
        <v>34</v>
      </c>
      <c r="J64" s="37" t="s">
        <v>4757</v>
      </c>
      <c r="K64" s="18">
        <v>46137</v>
      </c>
      <c r="L64" s="18" t="s">
        <v>24</v>
      </c>
      <c r="M64" s="7" t="s">
        <v>25</v>
      </c>
      <c r="N64" s="17"/>
    </row>
    <row r="65" spans="1:14" ht="51" x14ac:dyDescent="0.25">
      <c r="A65" s="17">
        <v>64</v>
      </c>
      <c r="B65" s="16" t="s">
        <v>2024</v>
      </c>
      <c r="C65" s="17">
        <v>1</v>
      </c>
      <c r="D65" s="17">
        <v>16.8</v>
      </c>
      <c r="E65" s="17">
        <v>10.5</v>
      </c>
      <c r="F65" s="16" t="s">
        <v>126</v>
      </c>
      <c r="G65" s="17" t="s">
        <v>4877</v>
      </c>
      <c r="H65" s="17" t="s">
        <v>3958</v>
      </c>
      <c r="I65" s="17" t="s">
        <v>34</v>
      </c>
      <c r="J65" s="37" t="s">
        <v>4252</v>
      </c>
      <c r="K65" s="18">
        <v>46155</v>
      </c>
      <c r="L65" s="18" t="s">
        <v>24</v>
      </c>
      <c r="M65" s="7" t="s">
        <v>25</v>
      </c>
      <c r="N65" s="17"/>
    </row>
    <row r="66" spans="1:14" ht="25.5" x14ac:dyDescent="0.25">
      <c r="A66" s="17">
        <v>65</v>
      </c>
      <c r="B66" s="16" t="s">
        <v>2024</v>
      </c>
      <c r="C66" s="17">
        <v>2</v>
      </c>
      <c r="D66" s="17">
        <v>16.7</v>
      </c>
      <c r="E66" s="17"/>
      <c r="F66" s="16" t="s">
        <v>126</v>
      </c>
      <c r="G66" s="17" t="s">
        <v>2025</v>
      </c>
      <c r="H66" s="17" t="s">
        <v>3813</v>
      </c>
      <c r="I66" s="17" t="s">
        <v>28</v>
      </c>
      <c r="J66" s="37" t="s">
        <v>4253</v>
      </c>
      <c r="K66" s="18">
        <v>46135</v>
      </c>
      <c r="L66" s="18" t="s">
        <v>24</v>
      </c>
      <c r="M66" s="7" t="s">
        <v>25</v>
      </c>
      <c r="N66" s="17"/>
    </row>
    <row r="67" spans="1:14" ht="25.5" x14ac:dyDescent="0.25">
      <c r="A67" s="17">
        <v>66</v>
      </c>
      <c r="B67" s="16" t="s">
        <v>2024</v>
      </c>
      <c r="C67" s="17">
        <v>3</v>
      </c>
      <c r="D67" s="17">
        <v>13.4</v>
      </c>
      <c r="E67" s="17">
        <v>10.4</v>
      </c>
      <c r="F67" s="16" t="s">
        <v>126</v>
      </c>
      <c r="G67" s="17" t="s">
        <v>2026</v>
      </c>
      <c r="H67" s="17" t="s">
        <v>3959</v>
      </c>
      <c r="I67" s="17" t="s">
        <v>22</v>
      </c>
      <c r="J67" s="37" t="s">
        <v>4254</v>
      </c>
      <c r="K67" s="18">
        <v>46149</v>
      </c>
      <c r="L67" s="18" t="s">
        <v>24</v>
      </c>
      <c r="M67" s="7" t="s">
        <v>25</v>
      </c>
      <c r="N67" s="17"/>
    </row>
    <row r="68" spans="1:14" ht="25.5" x14ac:dyDescent="0.25">
      <c r="A68" s="34">
        <v>67</v>
      </c>
      <c r="B68" s="35" t="s">
        <v>2027</v>
      </c>
      <c r="C68" s="34">
        <v>1</v>
      </c>
      <c r="D68" s="34">
        <v>16.2</v>
      </c>
      <c r="E68" s="34">
        <v>11</v>
      </c>
      <c r="F68" s="35" t="s">
        <v>48</v>
      </c>
      <c r="G68" s="34" t="s">
        <v>2028</v>
      </c>
      <c r="H68" s="17" t="s">
        <v>3611</v>
      </c>
      <c r="I68" s="17" t="s">
        <v>112</v>
      </c>
      <c r="J68" s="37" t="s">
        <v>4820</v>
      </c>
      <c r="K68" s="18">
        <v>46137</v>
      </c>
      <c r="L68" s="18" t="s">
        <v>24</v>
      </c>
      <c r="M68" s="7" t="s">
        <v>25</v>
      </c>
      <c r="N68" s="17"/>
    </row>
    <row r="69" spans="1:14" ht="25.5" x14ac:dyDescent="0.25">
      <c r="A69" s="17">
        <v>68</v>
      </c>
      <c r="B69" s="16" t="s">
        <v>2027</v>
      </c>
      <c r="C69" s="17">
        <v>2</v>
      </c>
      <c r="D69" s="17">
        <v>16.5</v>
      </c>
      <c r="E69" s="17"/>
      <c r="F69" s="16" t="s">
        <v>19</v>
      </c>
      <c r="G69" s="17" t="s">
        <v>2029</v>
      </c>
      <c r="H69" s="17" t="s">
        <v>3814</v>
      </c>
      <c r="I69" s="17" t="s">
        <v>28</v>
      </c>
      <c r="J69" s="37" t="s">
        <v>4316</v>
      </c>
      <c r="K69" s="18">
        <v>46142</v>
      </c>
      <c r="L69" s="18" t="s">
        <v>24</v>
      </c>
      <c r="M69" s="7" t="s">
        <v>25</v>
      </c>
      <c r="N69" s="17"/>
    </row>
    <row r="70" spans="1:14" ht="51" x14ac:dyDescent="0.25">
      <c r="A70" s="17">
        <v>69</v>
      </c>
      <c r="B70" s="16" t="s">
        <v>2027</v>
      </c>
      <c r="C70" s="17">
        <v>3</v>
      </c>
      <c r="D70" s="17">
        <v>13.4</v>
      </c>
      <c r="E70" s="17">
        <v>11</v>
      </c>
      <c r="F70" s="16" t="s">
        <v>126</v>
      </c>
      <c r="G70" s="17" t="s">
        <v>4878</v>
      </c>
      <c r="H70" s="17" t="s">
        <v>3960</v>
      </c>
      <c r="I70" s="17" t="s">
        <v>34</v>
      </c>
      <c r="J70" s="37" t="s">
        <v>4255</v>
      </c>
      <c r="K70" s="18">
        <v>46156</v>
      </c>
      <c r="L70" s="18" t="s">
        <v>24</v>
      </c>
      <c r="M70" s="7" t="s">
        <v>25</v>
      </c>
      <c r="N70" s="17"/>
    </row>
    <row r="71" spans="1:14" ht="25.5" x14ac:dyDescent="0.25">
      <c r="A71" s="34">
        <v>70</v>
      </c>
      <c r="B71" s="35" t="s">
        <v>2030</v>
      </c>
      <c r="C71" s="34">
        <v>1</v>
      </c>
      <c r="D71" s="34">
        <v>16.7</v>
      </c>
      <c r="E71" s="34">
        <v>10.6</v>
      </c>
      <c r="F71" s="35" t="s">
        <v>48</v>
      </c>
      <c r="G71" s="34" t="s">
        <v>2031</v>
      </c>
      <c r="H71" s="17" t="s">
        <v>3961</v>
      </c>
      <c r="I71" s="17" t="s">
        <v>2032</v>
      </c>
      <c r="J71" s="37" t="s">
        <v>4821</v>
      </c>
      <c r="K71" s="18">
        <v>46150</v>
      </c>
      <c r="L71" s="18" t="s">
        <v>82</v>
      </c>
      <c r="M71" s="7" t="s">
        <v>25</v>
      </c>
      <c r="N71" s="17"/>
    </row>
    <row r="72" spans="1:14" ht="25.5" x14ac:dyDescent="0.25">
      <c r="A72" s="34">
        <v>71</v>
      </c>
      <c r="B72" s="35" t="s">
        <v>2030</v>
      </c>
      <c r="C72" s="34">
        <v>2</v>
      </c>
      <c r="D72" s="34">
        <v>17.100000000000001</v>
      </c>
      <c r="E72" s="34"/>
      <c r="F72" s="35" t="s">
        <v>48</v>
      </c>
      <c r="G72" s="34" t="s">
        <v>2031</v>
      </c>
      <c r="H72" s="17" t="s">
        <v>3961</v>
      </c>
      <c r="I72" s="17" t="s">
        <v>2032</v>
      </c>
      <c r="J72" s="37" t="s">
        <v>4821</v>
      </c>
      <c r="K72" s="18">
        <v>46150</v>
      </c>
      <c r="L72" s="18" t="s">
        <v>82</v>
      </c>
      <c r="M72" s="7" t="s">
        <v>25</v>
      </c>
      <c r="N72" s="17"/>
    </row>
    <row r="73" spans="1:14" ht="25.5" x14ac:dyDescent="0.25">
      <c r="A73" s="17">
        <v>72</v>
      </c>
      <c r="B73" s="16" t="s">
        <v>2030</v>
      </c>
      <c r="C73" s="17">
        <v>3</v>
      </c>
      <c r="D73" s="17">
        <v>12.8</v>
      </c>
      <c r="E73" s="17">
        <v>10.5</v>
      </c>
      <c r="F73" s="16" t="s">
        <v>48</v>
      </c>
      <c r="G73" s="17" t="s">
        <v>2033</v>
      </c>
      <c r="H73" s="17" t="s">
        <v>3815</v>
      </c>
      <c r="I73" s="17" t="s">
        <v>28</v>
      </c>
      <c r="J73" s="37" t="s">
        <v>4822</v>
      </c>
      <c r="K73" s="18">
        <v>46142</v>
      </c>
      <c r="L73" s="18" t="s">
        <v>24</v>
      </c>
      <c r="M73" s="7" t="s">
        <v>25</v>
      </c>
      <c r="N73" s="17"/>
    </row>
    <row r="74" spans="1:14" ht="63.75" x14ac:dyDescent="0.25">
      <c r="A74" s="17">
        <v>73</v>
      </c>
      <c r="B74" s="16" t="s">
        <v>2034</v>
      </c>
      <c r="C74" s="17">
        <v>1</v>
      </c>
      <c r="D74" s="17">
        <v>17</v>
      </c>
      <c r="E74" s="17">
        <v>10.7</v>
      </c>
      <c r="F74" s="16" t="s">
        <v>19</v>
      </c>
      <c r="G74" s="17" t="s">
        <v>2035</v>
      </c>
      <c r="H74" s="17" t="s">
        <v>3962</v>
      </c>
      <c r="I74" s="17" t="s">
        <v>34</v>
      </c>
      <c r="J74" s="37" t="s">
        <v>4317</v>
      </c>
      <c r="K74" s="18">
        <v>46134</v>
      </c>
      <c r="L74" s="18" t="s">
        <v>24</v>
      </c>
      <c r="M74" s="7" t="s">
        <v>25</v>
      </c>
      <c r="N74" s="17"/>
    </row>
    <row r="75" spans="1:14" ht="25.5" x14ac:dyDescent="0.25">
      <c r="A75" s="17">
        <v>74</v>
      </c>
      <c r="B75" s="16" t="s">
        <v>2034</v>
      </c>
      <c r="C75" s="17">
        <v>2</v>
      </c>
      <c r="D75" s="17">
        <v>16.600000000000001</v>
      </c>
      <c r="E75" s="17"/>
      <c r="F75" s="16" t="s">
        <v>126</v>
      </c>
      <c r="G75" s="17" t="s">
        <v>2036</v>
      </c>
      <c r="H75" s="17" t="s">
        <v>3816</v>
      </c>
      <c r="I75" s="17" t="s">
        <v>28</v>
      </c>
      <c r="J75" s="37" t="s">
        <v>4256</v>
      </c>
      <c r="K75" s="18">
        <v>46149</v>
      </c>
      <c r="L75" s="18" t="s">
        <v>24</v>
      </c>
      <c r="M75" s="7" t="s">
        <v>25</v>
      </c>
      <c r="N75" s="17"/>
    </row>
    <row r="76" spans="1:14" ht="25.5" x14ac:dyDescent="0.25">
      <c r="A76" s="17">
        <v>75</v>
      </c>
      <c r="B76" s="16" t="s">
        <v>2034</v>
      </c>
      <c r="C76" s="17">
        <v>3</v>
      </c>
      <c r="D76" s="17">
        <v>12.6</v>
      </c>
      <c r="E76" s="17">
        <v>10.9</v>
      </c>
      <c r="F76" s="16" t="s">
        <v>126</v>
      </c>
      <c r="G76" s="17" t="s">
        <v>2036</v>
      </c>
      <c r="H76" s="17" t="s">
        <v>3816</v>
      </c>
      <c r="I76" s="17" t="s">
        <v>28</v>
      </c>
      <c r="J76" s="37" t="s">
        <v>4256</v>
      </c>
      <c r="K76" s="18">
        <v>46149</v>
      </c>
      <c r="L76" s="18" t="s">
        <v>24</v>
      </c>
      <c r="M76" s="7" t="s">
        <v>25</v>
      </c>
      <c r="N76" s="17"/>
    </row>
    <row r="77" spans="1:14" ht="25.5" x14ac:dyDescent="0.25">
      <c r="A77" s="17">
        <v>76</v>
      </c>
      <c r="B77" s="16" t="s">
        <v>2037</v>
      </c>
      <c r="C77" s="17">
        <v>1</v>
      </c>
      <c r="D77" s="17">
        <v>16.7</v>
      </c>
      <c r="E77" s="17">
        <v>10.3</v>
      </c>
      <c r="F77" s="16" t="s">
        <v>126</v>
      </c>
      <c r="G77" s="17" t="s">
        <v>2038</v>
      </c>
      <c r="H77" s="17" t="s">
        <v>3612</v>
      </c>
      <c r="I77" s="17" t="s">
        <v>22</v>
      </c>
      <c r="J77" s="37" t="s">
        <v>4257</v>
      </c>
      <c r="K77" s="18">
        <v>46148</v>
      </c>
      <c r="L77" s="18" t="s">
        <v>24</v>
      </c>
      <c r="M77" s="7" t="s">
        <v>25</v>
      </c>
      <c r="N77" s="17"/>
    </row>
    <row r="78" spans="1:14" x14ac:dyDescent="0.25">
      <c r="A78" s="14">
        <v>77</v>
      </c>
      <c r="B78" s="15" t="s">
        <v>2037</v>
      </c>
      <c r="C78" s="14">
        <v>2</v>
      </c>
      <c r="D78" s="14">
        <v>15.8</v>
      </c>
      <c r="E78" s="14"/>
      <c r="F78" s="15" t="s">
        <v>126</v>
      </c>
      <c r="G78" s="14"/>
      <c r="H78" s="14"/>
      <c r="I78" s="14"/>
      <c r="J78" s="28"/>
      <c r="K78" s="14"/>
      <c r="L78" s="14"/>
      <c r="M78" s="14" t="s">
        <v>286</v>
      </c>
      <c r="N78" s="14"/>
    </row>
    <row r="79" spans="1:14" ht="63.75" x14ac:dyDescent="0.25">
      <c r="A79" s="17">
        <v>78</v>
      </c>
      <c r="B79" s="16" t="s">
        <v>2037</v>
      </c>
      <c r="C79" s="17">
        <v>3</v>
      </c>
      <c r="D79" s="17">
        <v>12.5</v>
      </c>
      <c r="E79" s="17">
        <v>10.4</v>
      </c>
      <c r="F79" s="16" t="s">
        <v>126</v>
      </c>
      <c r="G79" s="17" t="s">
        <v>2039</v>
      </c>
      <c r="H79" s="17" t="s">
        <v>3963</v>
      </c>
      <c r="I79" s="17" t="s">
        <v>34</v>
      </c>
      <c r="J79" s="37" t="s">
        <v>4258</v>
      </c>
      <c r="K79" s="18">
        <v>46149</v>
      </c>
      <c r="L79" s="18" t="s">
        <v>24</v>
      </c>
      <c r="M79" s="7" t="s">
        <v>25</v>
      </c>
      <c r="N79" s="17"/>
    </row>
    <row r="80" spans="1:14" ht="25.5" x14ac:dyDescent="0.25">
      <c r="A80" s="17">
        <v>79</v>
      </c>
      <c r="B80" s="16" t="s">
        <v>2040</v>
      </c>
      <c r="C80" s="17">
        <v>1</v>
      </c>
      <c r="D80" s="17">
        <v>15.9</v>
      </c>
      <c r="E80" s="17">
        <v>10.4</v>
      </c>
      <c r="F80" s="16" t="s">
        <v>343</v>
      </c>
      <c r="G80" s="17" t="s">
        <v>2041</v>
      </c>
      <c r="H80" s="17" t="s">
        <v>3574</v>
      </c>
      <c r="I80" s="17" t="s">
        <v>28</v>
      </c>
      <c r="J80" s="37" t="s">
        <v>4201</v>
      </c>
      <c r="K80" s="18">
        <v>46136</v>
      </c>
      <c r="L80" s="18" t="s">
        <v>24</v>
      </c>
      <c r="M80" s="7" t="s">
        <v>25</v>
      </c>
      <c r="N80" s="17"/>
    </row>
    <row r="81" spans="1:14" ht="25.5" x14ac:dyDescent="0.25">
      <c r="A81" s="17">
        <v>80</v>
      </c>
      <c r="B81" s="16" t="s">
        <v>2040</v>
      </c>
      <c r="C81" s="17">
        <v>2</v>
      </c>
      <c r="D81" s="17">
        <v>16.3</v>
      </c>
      <c r="E81" s="17"/>
      <c r="F81" s="16" t="s">
        <v>343</v>
      </c>
      <c r="G81" s="17" t="s">
        <v>2041</v>
      </c>
      <c r="H81" s="17" t="s">
        <v>3574</v>
      </c>
      <c r="I81" s="17" t="s">
        <v>28</v>
      </c>
      <c r="J81" s="37" t="s">
        <v>4201</v>
      </c>
      <c r="K81" s="18">
        <v>46136</v>
      </c>
      <c r="L81" s="18" t="s">
        <v>24</v>
      </c>
      <c r="M81" s="7" t="s">
        <v>25</v>
      </c>
      <c r="N81" s="17"/>
    </row>
    <row r="82" spans="1:14" ht="25.5" x14ac:dyDescent="0.25">
      <c r="A82" s="17">
        <v>81</v>
      </c>
      <c r="B82" s="16" t="s">
        <v>2040</v>
      </c>
      <c r="C82" s="17">
        <v>3</v>
      </c>
      <c r="D82" s="17">
        <v>12.8</v>
      </c>
      <c r="E82" s="17">
        <v>10.4</v>
      </c>
      <c r="F82" s="16" t="s">
        <v>31</v>
      </c>
      <c r="G82" s="17" t="s">
        <v>2042</v>
      </c>
      <c r="H82" s="17" t="s">
        <v>3964</v>
      </c>
      <c r="I82" s="17" t="s">
        <v>28</v>
      </c>
      <c r="J82" s="37" t="s">
        <v>4690</v>
      </c>
      <c r="K82" s="18">
        <v>46155</v>
      </c>
      <c r="L82" s="18" t="s">
        <v>24</v>
      </c>
      <c r="M82" s="7" t="s">
        <v>25</v>
      </c>
      <c r="N82" s="17"/>
    </row>
    <row r="83" spans="1:14" ht="25.5" x14ac:dyDescent="0.25">
      <c r="A83" s="17">
        <v>82</v>
      </c>
      <c r="B83" s="16" t="s">
        <v>2043</v>
      </c>
      <c r="C83" s="17">
        <v>1</v>
      </c>
      <c r="D83" s="17">
        <v>16.5</v>
      </c>
      <c r="E83" s="17">
        <v>10.199999999999999</v>
      </c>
      <c r="F83" s="16" t="s">
        <v>151</v>
      </c>
      <c r="G83" s="17" t="s">
        <v>2044</v>
      </c>
      <c r="H83" s="17" t="s">
        <v>3613</v>
      </c>
      <c r="I83" s="17" t="s">
        <v>28</v>
      </c>
      <c r="J83" s="37" t="s">
        <v>4765</v>
      </c>
      <c r="K83" s="18">
        <v>46144</v>
      </c>
      <c r="L83" s="18" t="s">
        <v>24</v>
      </c>
      <c r="M83" s="7" t="s">
        <v>25</v>
      </c>
      <c r="N83" s="17"/>
    </row>
    <row r="84" spans="1:14" x14ac:dyDescent="0.25">
      <c r="A84" s="17">
        <v>83</v>
      </c>
      <c r="B84" s="16" t="s">
        <v>2043</v>
      </c>
      <c r="C84" s="17">
        <v>2</v>
      </c>
      <c r="D84" s="17">
        <v>16.5</v>
      </c>
      <c r="E84" s="17"/>
      <c r="F84" s="16" t="s">
        <v>31</v>
      </c>
      <c r="G84" s="17" t="s">
        <v>4920</v>
      </c>
      <c r="H84" s="17" t="s">
        <v>3965</v>
      </c>
      <c r="I84" s="17" t="s">
        <v>51</v>
      </c>
      <c r="J84" s="37" t="s">
        <v>4691</v>
      </c>
      <c r="K84" s="18">
        <v>46156</v>
      </c>
      <c r="L84" s="18" t="s">
        <v>24</v>
      </c>
      <c r="M84" s="7" t="s">
        <v>25</v>
      </c>
      <c r="N84" s="17"/>
    </row>
    <row r="85" spans="1:14" ht="25.5" x14ac:dyDescent="0.25">
      <c r="A85" s="17">
        <v>84</v>
      </c>
      <c r="B85" s="16" t="s">
        <v>2043</v>
      </c>
      <c r="C85" s="17">
        <v>3</v>
      </c>
      <c r="D85" s="17">
        <v>12.2</v>
      </c>
      <c r="E85" s="17">
        <v>10.4</v>
      </c>
      <c r="F85" s="16" t="s">
        <v>48</v>
      </c>
      <c r="G85" s="17" t="s">
        <v>2045</v>
      </c>
      <c r="H85" s="17" t="s">
        <v>3817</v>
      </c>
      <c r="I85" s="17" t="s">
        <v>28</v>
      </c>
      <c r="J85" s="37" t="s">
        <v>4823</v>
      </c>
      <c r="K85" s="18">
        <v>46155</v>
      </c>
      <c r="L85" s="18" t="s">
        <v>82</v>
      </c>
      <c r="M85" s="7" t="s">
        <v>25</v>
      </c>
      <c r="N85" s="17"/>
    </row>
    <row r="86" spans="1:14" x14ac:dyDescent="0.25">
      <c r="A86" s="17">
        <v>85</v>
      </c>
      <c r="B86" s="16" t="s">
        <v>2046</v>
      </c>
      <c r="C86" s="17">
        <v>1</v>
      </c>
      <c r="D86" s="17">
        <v>17</v>
      </c>
      <c r="E86" s="17">
        <v>10.8</v>
      </c>
      <c r="F86" s="16" t="s">
        <v>48</v>
      </c>
      <c r="G86" s="17" t="s">
        <v>2047</v>
      </c>
      <c r="H86" s="17" t="s">
        <v>3818</v>
      </c>
      <c r="I86" s="17" t="s">
        <v>28</v>
      </c>
      <c r="J86" s="37" t="s">
        <v>4824</v>
      </c>
      <c r="K86" s="18">
        <v>46150</v>
      </c>
      <c r="L86" s="18" t="s">
        <v>24</v>
      </c>
      <c r="M86" s="7" t="s">
        <v>25</v>
      </c>
      <c r="N86" s="17"/>
    </row>
    <row r="87" spans="1:14" ht="25.5" x14ac:dyDescent="0.25">
      <c r="A87" s="17">
        <v>86</v>
      </c>
      <c r="B87" s="16" t="s">
        <v>2046</v>
      </c>
      <c r="C87" s="17">
        <v>2</v>
      </c>
      <c r="D87" s="17">
        <v>16.399999999999999</v>
      </c>
      <c r="E87" s="17"/>
      <c r="F87" s="16" t="s">
        <v>19</v>
      </c>
      <c r="G87" s="17" t="s">
        <v>2048</v>
      </c>
      <c r="H87" s="17" t="s">
        <v>3819</v>
      </c>
      <c r="I87" s="17" t="s">
        <v>28</v>
      </c>
      <c r="J87" s="37" t="s">
        <v>4318</v>
      </c>
      <c r="K87" s="18">
        <v>46137</v>
      </c>
      <c r="L87" s="18" t="s">
        <v>24</v>
      </c>
      <c r="M87" s="7" t="s">
        <v>25</v>
      </c>
      <c r="N87" s="17"/>
    </row>
    <row r="88" spans="1:14" ht="25.5" x14ac:dyDescent="0.25">
      <c r="A88" s="17">
        <v>87</v>
      </c>
      <c r="B88" s="16" t="s">
        <v>2046</v>
      </c>
      <c r="C88" s="17">
        <v>3</v>
      </c>
      <c r="D88" s="17">
        <v>12.4</v>
      </c>
      <c r="E88" s="17">
        <v>10.8</v>
      </c>
      <c r="F88" s="16" t="s">
        <v>101</v>
      </c>
      <c r="G88" s="17" t="s">
        <v>2049</v>
      </c>
      <c r="H88" s="17" t="s">
        <v>3614</v>
      </c>
      <c r="I88" s="17" t="s">
        <v>388</v>
      </c>
      <c r="J88" s="37" t="s">
        <v>4224</v>
      </c>
      <c r="K88" s="18">
        <v>46133</v>
      </c>
      <c r="L88" s="18" t="s">
        <v>24</v>
      </c>
      <c r="M88" s="7" t="s">
        <v>25</v>
      </c>
      <c r="N88" s="17"/>
    </row>
    <row r="89" spans="1:14" ht="25.5" x14ac:dyDescent="0.25">
      <c r="A89" s="34">
        <v>88</v>
      </c>
      <c r="B89" s="35" t="s">
        <v>2050</v>
      </c>
      <c r="C89" s="34">
        <v>1</v>
      </c>
      <c r="D89" s="34">
        <v>15</v>
      </c>
      <c r="E89" s="34">
        <v>11.3</v>
      </c>
      <c r="F89" s="35" t="s">
        <v>106</v>
      </c>
      <c r="G89" s="34" t="s">
        <v>2051</v>
      </c>
      <c r="H89" s="34" t="s">
        <v>3820</v>
      </c>
      <c r="I89" s="34" t="s">
        <v>921</v>
      </c>
      <c r="J89" s="37" t="s">
        <v>4550</v>
      </c>
      <c r="K89" s="36">
        <v>46137</v>
      </c>
      <c r="L89" s="36" t="s">
        <v>24</v>
      </c>
      <c r="M89" s="13" t="s">
        <v>25</v>
      </c>
      <c r="N89" s="34"/>
    </row>
    <row r="90" spans="1:14" ht="25.5" x14ac:dyDescent="0.25">
      <c r="A90" s="17">
        <v>89</v>
      </c>
      <c r="B90" s="16" t="s">
        <v>2050</v>
      </c>
      <c r="C90" s="17">
        <v>2</v>
      </c>
      <c r="D90" s="17">
        <v>15.4</v>
      </c>
      <c r="E90" s="17"/>
      <c r="F90" s="16" t="s">
        <v>31</v>
      </c>
      <c r="G90" s="17" t="s">
        <v>2052</v>
      </c>
      <c r="H90" s="17" t="s">
        <v>3966</v>
      </c>
      <c r="I90" s="17" t="s">
        <v>28</v>
      </c>
      <c r="J90" s="37" t="s">
        <v>4692</v>
      </c>
      <c r="K90" s="18">
        <v>46141</v>
      </c>
      <c r="L90" s="18" t="s">
        <v>24</v>
      </c>
      <c r="M90" s="7" t="s">
        <v>25</v>
      </c>
      <c r="N90" s="17"/>
    </row>
    <row r="91" spans="1:14" ht="25.5" x14ac:dyDescent="0.25">
      <c r="A91" s="17">
        <v>90</v>
      </c>
      <c r="B91" s="16" t="s">
        <v>2050</v>
      </c>
      <c r="C91" s="17">
        <v>3</v>
      </c>
      <c r="D91" s="17">
        <v>14.1</v>
      </c>
      <c r="E91" s="17">
        <v>10.9</v>
      </c>
      <c r="F91" s="16" t="s">
        <v>31</v>
      </c>
      <c r="G91" s="17" t="s">
        <v>2053</v>
      </c>
      <c r="H91" s="17" t="s">
        <v>3615</v>
      </c>
      <c r="I91" s="17" t="s">
        <v>28</v>
      </c>
      <c r="J91" s="37" t="s">
        <v>4693</v>
      </c>
      <c r="K91" s="18">
        <v>46154</v>
      </c>
      <c r="L91" s="18" t="s">
        <v>24</v>
      </c>
      <c r="M91" s="7" t="s">
        <v>25</v>
      </c>
      <c r="N91" s="17"/>
    </row>
    <row r="92" spans="1:14" ht="25.5" x14ac:dyDescent="0.25">
      <c r="A92" s="17">
        <v>91</v>
      </c>
      <c r="B92" s="16" t="s">
        <v>2054</v>
      </c>
      <c r="C92" s="17">
        <v>1</v>
      </c>
      <c r="D92" s="17">
        <v>16.600000000000001</v>
      </c>
      <c r="E92" s="17">
        <v>11</v>
      </c>
      <c r="F92" s="16" t="s">
        <v>101</v>
      </c>
      <c r="G92" s="17" t="s">
        <v>2055</v>
      </c>
      <c r="H92" s="17" t="s">
        <v>3967</v>
      </c>
      <c r="I92" s="17" t="s">
        <v>51</v>
      </c>
      <c r="J92" s="37" t="s">
        <v>4225</v>
      </c>
      <c r="K92" s="18">
        <v>46133</v>
      </c>
      <c r="L92" s="18" t="s">
        <v>24</v>
      </c>
      <c r="M92" s="7" t="s">
        <v>25</v>
      </c>
      <c r="N92" s="17"/>
    </row>
    <row r="93" spans="1:14" ht="25.5" x14ac:dyDescent="0.25">
      <c r="A93" s="17">
        <v>92</v>
      </c>
      <c r="B93" s="16" t="s">
        <v>2054</v>
      </c>
      <c r="C93" s="17">
        <v>2</v>
      </c>
      <c r="D93" s="17">
        <v>16.8</v>
      </c>
      <c r="E93" s="17"/>
      <c r="F93" s="16" t="s">
        <v>101</v>
      </c>
      <c r="G93" s="17" t="s">
        <v>2055</v>
      </c>
      <c r="H93" s="17" t="s">
        <v>3967</v>
      </c>
      <c r="I93" s="17" t="s">
        <v>51</v>
      </c>
      <c r="J93" s="37" t="s">
        <v>4226</v>
      </c>
      <c r="K93" s="18">
        <v>46156</v>
      </c>
      <c r="L93" s="18" t="s">
        <v>24</v>
      </c>
      <c r="M93" s="7" t="s">
        <v>25</v>
      </c>
      <c r="N93" s="17"/>
    </row>
    <row r="94" spans="1:14" ht="25.5" x14ac:dyDescent="0.25">
      <c r="A94" s="17">
        <v>93</v>
      </c>
      <c r="B94" s="16" t="s">
        <v>2054</v>
      </c>
      <c r="C94" s="17">
        <v>3</v>
      </c>
      <c r="D94" s="17">
        <v>12.6</v>
      </c>
      <c r="E94" s="17">
        <v>10.7</v>
      </c>
      <c r="F94" s="16" t="s">
        <v>162</v>
      </c>
      <c r="G94" s="17" t="s">
        <v>2056</v>
      </c>
      <c r="H94" s="17" t="s">
        <v>3821</v>
      </c>
      <c r="I94" s="17" t="s">
        <v>28</v>
      </c>
      <c r="J94" s="37" t="s">
        <v>4453</v>
      </c>
      <c r="K94" s="18">
        <v>46154</v>
      </c>
      <c r="L94" s="18" t="s">
        <v>82</v>
      </c>
      <c r="M94" s="7" t="s">
        <v>25</v>
      </c>
      <c r="N94" s="17"/>
    </row>
    <row r="95" spans="1:14" ht="25.5" x14ac:dyDescent="0.25">
      <c r="A95" s="17">
        <v>94</v>
      </c>
      <c r="B95" s="16" t="s">
        <v>2057</v>
      </c>
      <c r="C95" s="17">
        <v>1</v>
      </c>
      <c r="D95" s="17">
        <v>17</v>
      </c>
      <c r="E95" s="17">
        <v>10.5</v>
      </c>
      <c r="F95" s="16" t="s">
        <v>101</v>
      </c>
      <c r="G95" s="17" t="s">
        <v>2058</v>
      </c>
      <c r="H95" s="17" t="s">
        <v>3968</v>
      </c>
      <c r="I95" s="17" t="s">
        <v>51</v>
      </c>
      <c r="J95" s="37" t="s">
        <v>4227</v>
      </c>
      <c r="K95" s="18">
        <v>46133</v>
      </c>
      <c r="L95" s="18" t="s">
        <v>24</v>
      </c>
      <c r="M95" s="7" t="s">
        <v>25</v>
      </c>
      <c r="N95" s="17"/>
    </row>
    <row r="96" spans="1:14" ht="63.75" x14ac:dyDescent="0.25">
      <c r="A96" s="17">
        <v>95</v>
      </c>
      <c r="B96" s="16" t="s">
        <v>2057</v>
      </c>
      <c r="C96" s="17">
        <v>2</v>
      </c>
      <c r="D96" s="17">
        <v>16.600000000000001</v>
      </c>
      <c r="E96" s="17"/>
      <c r="F96" s="16" t="s">
        <v>2059</v>
      </c>
      <c r="G96" s="17" t="s">
        <v>2060</v>
      </c>
      <c r="H96" s="17" t="s">
        <v>3969</v>
      </c>
      <c r="I96" s="17" t="s">
        <v>34</v>
      </c>
      <c r="J96" s="37" t="s">
        <v>4543</v>
      </c>
      <c r="K96" s="18">
        <v>46144</v>
      </c>
      <c r="L96" s="17" t="s">
        <v>24</v>
      </c>
      <c r="M96" s="7" t="s">
        <v>25</v>
      </c>
      <c r="N96" s="17"/>
    </row>
    <row r="97" spans="1:14" ht="25.5" x14ac:dyDescent="0.25">
      <c r="A97" s="17">
        <v>96</v>
      </c>
      <c r="B97" s="16" t="s">
        <v>2057</v>
      </c>
      <c r="C97" s="17">
        <v>3</v>
      </c>
      <c r="D97" s="17">
        <v>12.5</v>
      </c>
      <c r="E97" s="17">
        <v>10.4</v>
      </c>
      <c r="F97" s="16" t="s">
        <v>2059</v>
      </c>
      <c r="G97" s="17" t="s">
        <v>2061</v>
      </c>
      <c r="H97" s="17" t="s">
        <v>3970</v>
      </c>
      <c r="I97" s="17" t="s">
        <v>34</v>
      </c>
      <c r="J97" s="37" t="s">
        <v>4544</v>
      </c>
      <c r="K97" s="18">
        <v>46144</v>
      </c>
      <c r="L97" s="17" t="s">
        <v>24</v>
      </c>
      <c r="M97" s="7" t="s">
        <v>25</v>
      </c>
      <c r="N97" s="17"/>
    </row>
    <row r="98" spans="1:14" ht="25.5" x14ac:dyDescent="0.25">
      <c r="A98" s="17">
        <v>97</v>
      </c>
      <c r="B98" s="16" t="s">
        <v>2062</v>
      </c>
      <c r="C98" s="17">
        <v>1</v>
      </c>
      <c r="D98" s="17">
        <v>16.899999999999999</v>
      </c>
      <c r="E98" s="17">
        <v>10.6</v>
      </c>
      <c r="F98" s="16" t="s">
        <v>101</v>
      </c>
      <c r="G98" s="17" t="s">
        <v>2063</v>
      </c>
      <c r="H98" s="17" t="s">
        <v>3822</v>
      </c>
      <c r="I98" s="17" t="s">
        <v>22</v>
      </c>
      <c r="J98" s="37" t="s">
        <v>4228</v>
      </c>
      <c r="K98" s="18">
        <v>46136</v>
      </c>
      <c r="L98" s="18" t="s">
        <v>24</v>
      </c>
      <c r="M98" s="7" t="s">
        <v>25</v>
      </c>
      <c r="N98" s="17"/>
    </row>
    <row r="99" spans="1:14" ht="25.5" x14ac:dyDescent="0.25">
      <c r="A99" s="17">
        <v>98</v>
      </c>
      <c r="B99" s="16" t="s">
        <v>2062</v>
      </c>
      <c r="C99" s="17">
        <v>2</v>
      </c>
      <c r="D99" s="17">
        <v>16.8</v>
      </c>
      <c r="E99" s="17"/>
      <c r="F99" s="16" t="s">
        <v>101</v>
      </c>
      <c r="G99" s="17" t="s">
        <v>2063</v>
      </c>
      <c r="H99" s="17" t="s">
        <v>3822</v>
      </c>
      <c r="I99" s="17" t="s">
        <v>22</v>
      </c>
      <c r="J99" s="37" t="s">
        <v>4228</v>
      </c>
      <c r="K99" s="18">
        <v>46136</v>
      </c>
      <c r="L99" s="18" t="s">
        <v>24</v>
      </c>
      <c r="M99" s="7" t="s">
        <v>25</v>
      </c>
      <c r="N99" s="17"/>
    </row>
    <row r="100" spans="1:14" ht="63.75" x14ac:dyDescent="0.25">
      <c r="A100" s="17">
        <v>99</v>
      </c>
      <c r="B100" s="16" t="s">
        <v>2062</v>
      </c>
      <c r="C100" s="17">
        <v>3</v>
      </c>
      <c r="D100" s="17">
        <v>13.2</v>
      </c>
      <c r="E100" s="17">
        <v>10.6</v>
      </c>
      <c r="F100" s="16" t="s">
        <v>48</v>
      </c>
      <c r="G100" s="17" t="s">
        <v>2064</v>
      </c>
      <c r="H100" s="17" t="s">
        <v>3616</v>
      </c>
      <c r="I100" s="17" t="s">
        <v>34</v>
      </c>
      <c r="J100" s="37" t="s">
        <v>4825</v>
      </c>
      <c r="K100" s="18">
        <v>46154</v>
      </c>
      <c r="L100" s="18" t="s">
        <v>24</v>
      </c>
      <c r="M100" s="7" t="s">
        <v>25</v>
      </c>
      <c r="N100" s="17"/>
    </row>
    <row r="101" spans="1:14" ht="63.75" x14ac:dyDescent="0.25">
      <c r="A101" s="17">
        <v>100</v>
      </c>
      <c r="B101" s="16" t="s">
        <v>2065</v>
      </c>
      <c r="C101" s="17">
        <v>1</v>
      </c>
      <c r="D101" s="17">
        <v>16.600000000000001</v>
      </c>
      <c r="E101" s="17">
        <v>10.7</v>
      </c>
      <c r="F101" s="16" t="s">
        <v>86</v>
      </c>
      <c r="G101" s="17" t="s">
        <v>4913</v>
      </c>
      <c r="H101" s="17" t="s">
        <v>4914</v>
      </c>
      <c r="I101" s="17" t="s">
        <v>34</v>
      </c>
      <c r="J101" s="37" t="s">
        <v>4664</v>
      </c>
      <c r="K101" s="18">
        <v>46148</v>
      </c>
      <c r="L101" s="18" t="s">
        <v>24</v>
      </c>
      <c r="M101" s="7" t="s">
        <v>25</v>
      </c>
      <c r="N101" s="17"/>
    </row>
    <row r="102" spans="1:14" ht="63.75" x14ac:dyDescent="0.25">
      <c r="A102" s="17">
        <v>101</v>
      </c>
      <c r="B102" s="16" t="s">
        <v>2065</v>
      </c>
      <c r="C102" s="17">
        <v>2</v>
      </c>
      <c r="D102" s="17">
        <v>16.600000000000001</v>
      </c>
      <c r="E102" s="17"/>
      <c r="F102" s="16" t="s">
        <v>86</v>
      </c>
      <c r="G102" s="17" t="s">
        <v>4913</v>
      </c>
      <c r="H102" s="17" t="s">
        <v>4914</v>
      </c>
      <c r="I102" s="17" t="s">
        <v>34</v>
      </c>
      <c r="J102" s="37" t="s">
        <v>4664</v>
      </c>
      <c r="K102" s="18">
        <v>46148</v>
      </c>
      <c r="L102" s="18" t="s">
        <v>24</v>
      </c>
      <c r="M102" s="7" t="s">
        <v>25</v>
      </c>
      <c r="N102" s="17"/>
    </row>
    <row r="103" spans="1:14" ht="51" x14ac:dyDescent="0.25">
      <c r="A103" s="17">
        <v>102</v>
      </c>
      <c r="B103" s="16" t="s">
        <v>2065</v>
      </c>
      <c r="C103" s="17">
        <v>3</v>
      </c>
      <c r="D103" s="17">
        <v>12.3</v>
      </c>
      <c r="E103" s="17">
        <v>10.6</v>
      </c>
      <c r="F103" s="16" t="s">
        <v>338</v>
      </c>
      <c r="G103" s="17" t="s">
        <v>2066</v>
      </c>
      <c r="H103" s="17" t="s">
        <v>3617</v>
      </c>
      <c r="I103" s="17" t="s">
        <v>34</v>
      </c>
      <c r="J103" s="37" t="s">
        <v>4403</v>
      </c>
      <c r="K103" s="18">
        <v>46156</v>
      </c>
      <c r="L103" s="18" t="s">
        <v>24</v>
      </c>
      <c r="M103" s="7" t="s">
        <v>25</v>
      </c>
      <c r="N103" s="17"/>
    </row>
    <row r="104" spans="1:14" ht="25.5" x14ac:dyDescent="0.25">
      <c r="A104" s="17">
        <v>103</v>
      </c>
      <c r="B104" s="16" t="s">
        <v>2067</v>
      </c>
      <c r="C104" s="17">
        <v>1</v>
      </c>
      <c r="D104" s="17">
        <v>16.8</v>
      </c>
      <c r="E104" s="17">
        <v>10.1</v>
      </c>
      <c r="F104" s="16" t="s">
        <v>19</v>
      </c>
      <c r="G104" s="17" t="s">
        <v>2068</v>
      </c>
      <c r="H104" s="17" t="s">
        <v>3618</v>
      </c>
      <c r="I104" s="17" t="s">
        <v>28</v>
      </c>
      <c r="J104" s="37" t="s">
        <v>4319</v>
      </c>
      <c r="K104" s="18">
        <v>46142</v>
      </c>
      <c r="L104" s="18" t="s">
        <v>24</v>
      </c>
      <c r="M104" s="7" t="s">
        <v>25</v>
      </c>
      <c r="N104" s="17"/>
    </row>
    <row r="105" spans="1:14" ht="63.75" x14ac:dyDescent="0.25">
      <c r="A105" s="17">
        <v>104</v>
      </c>
      <c r="B105" s="16" t="s">
        <v>2067</v>
      </c>
      <c r="C105" s="17">
        <v>2</v>
      </c>
      <c r="D105" s="17">
        <v>16.2</v>
      </c>
      <c r="E105" s="17"/>
      <c r="F105" s="16" t="s">
        <v>151</v>
      </c>
      <c r="G105" s="17" t="s">
        <v>2069</v>
      </c>
      <c r="H105" s="17" t="s">
        <v>3619</v>
      </c>
      <c r="I105" s="17" t="s">
        <v>34</v>
      </c>
      <c r="J105" s="37" t="s">
        <v>4766</v>
      </c>
      <c r="K105" s="18">
        <v>46149</v>
      </c>
      <c r="L105" s="18" t="s">
        <v>24</v>
      </c>
      <c r="M105" s="7" t="s">
        <v>25</v>
      </c>
      <c r="N105" s="17"/>
    </row>
    <row r="106" spans="1:14" ht="63.75" x14ac:dyDescent="0.25">
      <c r="A106" s="17">
        <v>105</v>
      </c>
      <c r="B106" s="16" t="s">
        <v>2067</v>
      </c>
      <c r="C106" s="17">
        <v>3</v>
      </c>
      <c r="D106" s="17">
        <v>12.8</v>
      </c>
      <c r="E106" s="17">
        <v>10.3</v>
      </c>
      <c r="F106" s="16" t="s">
        <v>151</v>
      </c>
      <c r="G106" s="17" t="s">
        <v>2069</v>
      </c>
      <c r="H106" s="17" t="s">
        <v>3619</v>
      </c>
      <c r="I106" s="17" t="s">
        <v>34</v>
      </c>
      <c r="J106" s="37" t="s">
        <v>4767</v>
      </c>
      <c r="K106" s="18">
        <v>46149</v>
      </c>
      <c r="L106" s="18" t="s">
        <v>24</v>
      </c>
      <c r="M106" s="7" t="s">
        <v>25</v>
      </c>
      <c r="N106" s="17"/>
    </row>
    <row r="107" spans="1:14" ht="63.75" x14ac:dyDescent="0.25">
      <c r="A107" s="17">
        <v>106</v>
      </c>
      <c r="B107" s="16" t="s">
        <v>2070</v>
      </c>
      <c r="C107" s="17">
        <v>1</v>
      </c>
      <c r="D107" s="17">
        <v>16.100000000000001</v>
      </c>
      <c r="E107" s="17">
        <v>10.199999999999999</v>
      </c>
      <c r="F107" s="16" t="s">
        <v>48</v>
      </c>
      <c r="G107" s="17" t="s">
        <v>2071</v>
      </c>
      <c r="H107" s="17" t="s">
        <v>3971</v>
      </c>
      <c r="I107" s="17" t="s">
        <v>293</v>
      </c>
      <c r="J107" s="37" t="s">
        <v>4826</v>
      </c>
      <c r="K107" s="18">
        <v>46145</v>
      </c>
      <c r="L107" s="18" t="s">
        <v>24</v>
      </c>
      <c r="M107" s="7" t="s">
        <v>25</v>
      </c>
      <c r="N107" s="17"/>
    </row>
    <row r="108" spans="1:14" ht="63.75" x14ac:dyDescent="0.25">
      <c r="A108" s="17">
        <v>107</v>
      </c>
      <c r="B108" s="16" t="s">
        <v>2070</v>
      </c>
      <c r="C108" s="17">
        <v>2</v>
      </c>
      <c r="D108" s="17">
        <v>16.899999999999999</v>
      </c>
      <c r="E108" s="17"/>
      <c r="F108" s="16" t="s">
        <v>48</v>
      </c>
      <c r="G108" s="17" t="s">
        <v>2071</v>
      </c>
      <c r="H108" s="17" t="s">
        <v>3971</v>
      </c>
      <c r="I108" s="17" t="s">
        <v>293</v>
      </c>
      <c r="J108" s="37" t="s">
        <v>4826</v>
      </c>
      <c r="K108" s="18">
        <v>46145</v>
      </c>
      <c r="L108" s="18" t="s">
        <v>24</v>
      </c>
      <c r="M108" s="7" t="s">
        <v>25</v>
      </c>
      <c r="N108" s="17"/>
    </row>
    <row r="109" spans="1:14" ht="63.75" x14ac:dyDescent="0.25">
      <c r="A109" s="17">
        <v>108</v>
      </c>
      <c r="B109" s="16" t="s">
        <v>2070</v>
      </c>
      <c r="C109" s="17">
        <v>3</v>
      </c>
      <c r="D109" s="17">
        <v>12.6</v>
      </c>
      <c r="E109" s="17">
        <v>10.3</v>
      </c>
      <c r="F109" s="16" t="s">
        <v>31</v>
      </c>
      <c r="G109" s="17" t="s">
        <v>4921</v>
      </c>
      <c r="H109" s="17" t="s">
        <v>3620</v>
      </c>
      <c r="I109" s="17" t="s">
        <v>34</v>
      </c>
      <c r="J109" s="37" t="s">
        <v>4694</v>
      </c>
      <c r="K109" s="18">
        <v>46141</v>
      </c>
      <c r="L109" s="18" t="s">
        <v>24</v>
      </c>
      <c r="M109" s="7" t="s">
        <v>25</v>
      </c>
      <c r="N109" s="17"/>
    </row>
    <row r="110" spans="1:14" ht="63.75" x14ac:dyDescent="0.25">
      <c r="A110" s="17">
        <v>109</v>
      </c>
      <c r="B110" s="16" t="s">
        <v>2072</v>
      </c>
      <c r="C110" s="17">
        <v>1</v>
      </c>
      <c r="D110" s="17">
        <v>16.399999999999999</v>
      </c>
      <c r="E110" s="17">
        <v>10.8</v>
      </c>
      <c r="F110" s="16" t="s">
        <v>126</v>
      </c>
      <c r="G110" s="17" t="s">
        <v>2073</v>
      </c>
      <c r="H110" s="17" t="s">
        <v>3823</v>
      </c>
      <c r="I110" s="17" t="s">
        <v>34</v>
      </c>
      <c r="J110" s="37" t="s">
        <v>4260</v>
      </c>
      <c r="K110" s="18">
        <v>46148</v>
      </c>
      <c r="L110" s="18" t="s">
        <v>24</v>
      </c>
      <c r="M110" s="7" t="s">
        <v>25</v>
      </c>
      <c r="N110" s="17"/>
    </row>
    <row r="111" spans="1:14" ht="63.75" x14ac:dyDescent="0.25">
      <c r="A111" s="17">
        <v>110</v>
      </c>
      <c r="B111" s="16" t="s">
        <v>2072</v>
      </c>
      <c r="C111" s="17">
        <v>2</v>
      </c>
      <c r="D111" s="17">
        <v>15.9</v>
      </c>
      <c r="E111" s="17"/>
      <c r="F111" s="16" t="s">
        <v>126</v>
      </c>
      <c r="G111" s="17" t="s">
        <v>2073</v>
      </c>
      <c r="H111" s="17" t="s">
        <v>3823</v>
      </c>
      <c r="I111" s="17" t="s">
        <v>34</v>
      </c>
      <c r="J111" s="37" t="s">
        <v>4260</v>
      </c>
      <c r="K111" s="18">
        <v>46148</v>
      </c>
      <c r="L111" s="18" t="s">
        <v>24</v>
      </c>
      <c r="M111" s="7" t="s">
        <v>25</v>
      </c>
      <c r="N111" s="17"/>
    </row>
    <row r="112" spans="1:14" ht="25.5" x14ac:dyDescent="0.25">
      <c r="A112" s="17">
        <v>111</v>
      </c>
      <c r="B112" s="16" t="s">
        <v>2072</v>
      </c>
      <c r="C112" s="17">
        <v>3</v>
      </c>
      <c r="D112" s="17">
        <v>13.2</v>
      </c>
      <c r="E112" s="17">
        <v>11</v>
      </c>
      <c r="F112" s="16" t="s">
        <v>338</v>
      </c>
      <c r="G112" s="17" t="s">
        <v>2074</v>
      </c>
      <c r="H112" s="17" t="s">
        <v>3621</v>
      </c>
      <c r="I112" s="17" t="s">
        <v>662</v>
      </c>
      <c r="J112" s="37" t="s">
        <v>4404</v>
      </c>
      <c r="K112" s="18">
        <v>46150</v>
      </c>
      <c r="L112" s="18" t="s">
        <v>24</v>
      </c>
      <c r="M112" s="7" t="s">
        <v>25</v>
      </c>
      <c r="N112" s="17"/>
    </row>
    <row r="113" spans="1:14" ht="63.75" x14ac:dyDescent="0.25">
      <c r="A113" s="17">
        <v>112</v>
      </c>
      <c r="B113" s="16" t="s">
        <v>2075</v>
      </c>
      <c r="C113" s="17">
        <v>1</v>
      </c>
      <c r="D113" s="17">
        <v>16.899999999999999</v>
      </c>
      <c r="E113" s="17">
        <v>11.4</v>
      </c>
      <c r="F113" s="16" t="s">
        <v>31</v>
      </c>
      <c r="G113" s="17" t="s">
        <v>2076</v>
      </c>
      <c r="H113" s="17" t="s">
        <v>3972</v>
      </c>
      <c r="I113" s="17" t="s">
        <v>34</v>
      </c>
      <c r="J113" s="37" t="s">
        <v>4695</v>
      </c>
      <c r="K113" s="18">
        <v>46147</v>
      </c>
      <c r="L113" s="18" t="s">
        <v>24</v>
      </c>
      <c r="M113" s="7" t="s">
        <v>25</v>
      </c>
      <c r="N113" s="17"/>
    </row>
    <row r="114" spans="1:14" ht="63.75" x14ac:dyDescent="0.25">
      <c r="A114" s="17">
        <v>113</v>
      </c>
      <c r="B114" s="16" t="s">
        <v>2075</v>
      </c>
      <c r="C114" s="17">
        <v>2</v>
      </c>
      <c r="D114" s="17">
        <v>17.3</v>
      </c>
      <c r="E114" s="17"/>
      <c r="F114" s="16" t="s">
        <v>31</v>
      </c>
      <c r="G114" s="17" t="s">
        <v>2077</v>
      </c>
      <c r="H114" s="17" t="s">
        <v>3973</v>
      </c>
      <c r="I114" s="17" t="s">
        <v>34</v>
      </c>
      <c r="J114" s="37" t="s">
        <v>4696</v>
      </c>
      <c r="K114" s="18">
        <v>46149</v>
      </c>
      <c r="L114" s="18" t="s">
        <v>24</v>
      </c>
      <c r="M114" s="7" t="s">
        <v>25</v>
      </c>
      <c r="N114" s="17"/>
    </row>
    <row r="115" spans="1:14" ht="63.75" x14ac:dyDescent="0.25">
      <c r="A115" s="17">
        <v>114</v>
      </c>
      <c r="B115" s="16" t="s">
        <v>2075</v>
      </c>
      <c r="C115" s="17">
        <v>3</v>
      </c>
      <c r="D115" s="17">
        <v>13</v>
      </c>
      <c r="E115" s="17">
        <v>11.2</v>
      </c>
      <c r="F115" s="16" t="s">
        <v>31</v>
      </c>
      <c r="G115" s="17" t="s">
        <v>2078</v>
      </c>
      <c r="H115" s="17" t="s">
        <v>3974</v>
      </c>
      <c r="I115" s="17" t="s">
        <v>34</v>
      </c>
      <c r="J115" s="37" t="s">
        <v>4697</v>
      </c>
      <c r="K115" s="18">
        <v>46148</v>
      </c>
      <c r="L115" s="18" t="s">
        <v>24</v>
      </c>
      <c r="M115" s="7" t="s">
        <v>25</v>
      </c>
      <c r="N115" s="17"/>
    </row>
    <row r="116" spans="1:14" ht="25.5" x14ac:dyDescent="0.25">
      <c r="A116" s="17">
        <v>115</v>
      </c>
      <c r="B116" s="16" t="s">
        <v>2079</v>
      </c>
      <c r="C116" s="17">
        <v>1</v>
      </c>
      <c r="D116" s="17">
        <v>16.5</v>
      </c>
      <c r="E116" s="17">
        <v>10.8</v>
      </c>
      <c r="F116" s="16" t="s">
        <v>86</v>
      </c>
      <c r="G116" s="17" t="s">
        <v>2080</v>
      </c>
      <c r="H116" s="17" t="s">
        <v>3622</v>
      </c>
      <c r="I116" s="17" t="s">
        <v>28</v>
      </c>
      <c r="J116" s="37" t="s">
        <v>4665</v>
      </c>
      <c r="K116" s="18">
        <v>46144</v>
      </c>
      <c r="L116" s="18" t="s">
        <v>24</v>
      </c>
      <c r="M116" s="7" t="s">
        <v>25</v>
      </c>
      <c r="N116" s="17"/>
    </row>
    <row r="117" spans="1:14" ht="89.25" x14ac:dyDescent="0.25">
      <c r="A117" s="17">
        <v>116</v>
      </c>
      <c r="B117" s="16" t="s">
        <v>2079</v>
      </c>
      <c r="C117" s="17">
        <v>2</v>
      </c>
      <c r="D117" s="17">
        <v>16</v>
      </c>
      <c r="E117" s="17"/>
      <c r="F117" s="16" t="s">
        <v>19</v>
      </c>
      <c r="G117" s="17" t="s">
        <v>2081</v>
      </c>
      <c r="H117" s="17" t="s">
        <v>3975</v>
      </c>
      <c r="I117" s="17" t="s">
        <v>34</v>
      </c>
      <c r="J117" s="37" t="s">
        <v>4320</v>
      </c>
      <c r="K117" s="18">
        <v>46137</v>
      </c>
      <c r="L117" s="18" t="s">
        <v>24</v>
      </c>
      <c r="M117" s="7" t="s">
        <v>25</v>
      </c>
      <c r="N117" s="17"/>
    </row>
    <row r="118" spans="1:14" ht="89.25" x14ac:dyDescent="0.25">
      <c r="A118" s="17">
        <v>117</v>
      </c>
      <c r="B118" s="16" t="s">
        <v>2079</v>
      </c>
      <c r="C118" s="17">
        <v>3</v>
      </c>
      <c r="D118" s="17">
        <v>13.3</v>
      </c>
      <c r="E118" s="17">
        <v>10.6</v>
      </c>
      <c r="F118" s="16" t="s">
        <v>19</v>
      </c>
      <c r="G118" s="17" t="s">
        <v>2081</v>
      </c>
      <c r="H118" s="17" t="s">
        <v>3975</v>
      </c>
      <c r="I118" s="17" t="s">
        <v>34</v>
      </c>
      <c r="J118" s="37" t="s">
        <v>4320</v>
      </c>
      <c r="K118" s="18">
        <v>46137</v>
      </c>
      <c r="L118" s="18" t="s">
        <v>24</v>
      </c>
      <c r="M118" s="7" t="s">
        <v>25</v>
      </c>
      <c r="N118" s="17"/>
    </row>
    <row r="119" spans="1:14" ht="25.5" x14ac:dyDescent="0.25">
      <c r="A119" s="17">
        <v>118</v>
      </c>
      <c r="B119" s="16" t="s">
        <v>2082</v>
      </c>
      <c r="C119" s="17">
        <v>1</v>
      </c>
      <c r="D119" s="17">
        <v>15.7</v>
      </c>
      <c r="E119" s="17">
        <v>10.6</v>
      </c>
      <c r="F119" s="16" t="s">
        <v>338</v>
      </c>
      <c r="G119" s="17" t="s">
        <v>2083</v>
      </c>
      <c r="H119" s="17" t="s">
        <v>3976</v>
      </c>
      <c r="I119" s="17" t="s">
        <v>28</v>
      </c>
      <c r="J119" s="37" t="s">
        <v>4405</v>
      </c>
      <c r="K119" s="18">
        <v>46150</v>
      </c>
      <c r="L119" s="18" t="s">
        <v>24</v>
      </c>
      <c r="M119" s="7" t="s">
        <v>25</v>
      </c>
      <c r="N119" s="17"/>
    </row>
    <row r="120" spans="1:14" ht="25.5" x14ac:dyDescent="0.25">
      <c r="A120" s="17">
        <v>119</v>
      </c>
      <c r="B120" s="16" t="s">
        <v>2082</v>
      </c>
      <c r="C120" s="17">
        <v>2</v>
      </c>
      <c r="D120" s="17">
        <v>16.600000000000001</v>
      </c>
      <c r="E120" s="17"/>
      <c r="F120" s="16" t="s">
        <v>19</v>
      </c>
      <c r="G120" s="17" t="s">
        <v>2084</v>
      </c>
      <c r="H120" s="17" t="s">
        <v>4861</v>
      </c>
      <c r="I120" s="17" t="s">
        <v>51</v>
      </c>
      <c r="J120" s="37" t="s">
        <v>4321</v>
      </c>
      <c r="K120" s="18">
        <v>46136</v>
      </c>
      <c r="L120" s="18" t="s">
        <v>24</v>
      </c>
      <c r="M120" s="7" t="s">
        <v>25</v>
      </c>
      <c r="N120" s="17"/>
    </row>
    <row r="121" spans="1:14" ht="25.5" x14ac:dyDescent="0.25">
      <c r="A121" s="17">
        <v>120</v>
      </c>
      <c r="B121" s="16" t="s">
        <v>2082</v>
      </c>
      <c r="C121" s="17">
        <v>3</v>
      </c>
      <c r="D121" s="17">
        <v>13.7</v>
      </c>
      <c r="E121" s="17">
        <v>10.9</v>
      </c>
      <c r="F121" s="16" t="s">
        <v>106</v>
      </c>
      <c r="G121" s="17" t="s">
        <v>2085</v>
      </c>
      <c r="H121" s="17" t="s">
        <v>3623</v>
      </c>
      <c r="I121" s="17" t="s">
        <v>28</v>
      </c>
      <c r="J121" s="37" t="s">
        <v>4551</v>
      </c>
      <c r="K121" s="18">
        <v>46142</v>
      </c>
      <c r="L121" s="18" t="s">
        <v>82</v>
      </c>
      <c r="M121" s="7" t="s">
        <v>25</v>
      </c>
      <c r="N121" s="17"/>
    </row>
    <row r="122" spans="1:14" ht="51" x14ac:dyDescent="0.25">
      <c r="A122" s="17">
        <v>121</v>
      </c>
      <c r="B122" s="16" t="s">
        <v>2086</v>
      </c>
      <c r="C122" s="17">
        <v>1</v>
      </c>
      <c r="D122" s="17">
        <v>16.2</v>
      </c>
      <c r="E122" s="17">
        <v>10.4</v>
      </c>
      <c r="F122" s="16" t="s">
        <v>62</v>
      </c>
      <c r="G122" s="17" t="s">
        <v>2087</v>
      </c>
      <c r="H122" s="17" t="s">
        <v>3977</v>
      </c>
      <c r="I122" s="17" t="s">
        <v>34</v>
      </c>
      <c r="J122" s="37" t="s">
        <v>4510</v>
      </c>
      <c r="K122" s="18">
        <v>46137</v>
      </c>
      <c r="L122" s="18" t="s">
        <v>24</v>
      </c>
      <c r="M122" s="7" t="s">
        <v>25</v>
      </c>
      <c r="N122" s="17"/>
    </row>
    <row r="123" spans="1:14" x14ac:dyDescent="0.25">
      <c r="A123" s="14">
        <v>122</v>
      </c>
      <c r="B123" s="15" t="s">
        <v>2086</v>
      </c>
      <c r="C123" s="14">
        <v>2</v>
      </c>
      <c r="D123" s="14">
        <v>16.3</v>
      </c>
      <c r="E123" s="14"/>
      <c r="F123" s="15" t="s">
        <v>48</v>
      </c>
      <c r="G123" s="14"/>
      <c r="H123" s="14"/>
      <c r="I123" s="14"/>
      <c r="J123" s="28"/>
      <c r="K123" s="14"/>
      <c r="L123" s="14"/>
      <c r="M123" s="14" t="s">
        <v>286</v>
      </c>
      <c r="N123" s="14"/>
    </row>
    <row r="124" spans="1:14" ht="63.75" x14ac:dyDescent="0.25">
      <c r="A124" s="17">
        <v>123</v>
      </c>
      <c r="B124" s="16" t="s">
        <v>2086</v>
      </c>
      <c r="C124" s="17">
        <v>3</v>
      </c>
      <c r="D124" s="17">
        <v>12.8</v>
      </c>
      <c r="E124" s="17">
        <v>10.4</v>
      </c>
      <c r="F124" s="16" t="s">
        <v>48</v>
      </c>
      <c r="G124" s="17" t="s">
        <v>2088</v>
      </c>
      <c r="H124" s="17" t="s">
        <v>3978</v>
      </c>
      <c r="I124" s="17" t="s">
        <v>34</v>
      </c>
      <c r="J124" s="37" t="s">
        <v>4827</v>
      </c>
      <c r="K124" s="18">
        <v>46156</v>
      </c>
      <c r="L124" s="18" t="s">
        <v>24</v>
      </c>
      <c r="M124" s="7" t="s">
        <v>25</v>
      </c>
      <c r="N124" s="17"/>
    </row>
    <row r="125" spans="1:14" ht="51" x14ac:dyDescent="0.25">
      <c r="A125" s="17">
        <v>124</v>
      </c>
      <c r="B125" s="16" t="s">
        <v>2089</v>
      </c>
      <c r="C125" s="17">
        <v>1</v>
      </c>
      <c r="D125" s="17">
        <v>12.5</v>
      </c>
      <c r="E125" s="17">
        <v>10.6</v>
      </c>
      <c r="F125" s="16" t="s">
        <v>19</v>
      </c>
      <c r="G125" s="17" t="s">
        <v>2090</v>
      </c>
      <c r="H125" s="17" t="s">
        <v>3824</v>
      </c>
      <c r="I125" s="17" t="s">
        <v>293</v>
      </c>
      <c r="J125" s="37" t="s">
        <v>4322</v>
      </c>
      <c r="K125" s="18">
        <v>46134</v>
      </c>
      <c r="L125" s="18" t="s">
        <v>24</v>
      </c>
      <c r="M125" s="7" t="s">
        <v>25</v>
      </c>
      <c r="N125" s="17"/>
    </row>
    <row r="126" spans="1:14" ht="25.5" x14ac:dyDescent="0.25">
      <c r="A126" s="17">
        <v>125</v>
      </c>
      <c r="B126" s="16" t="s">
        <v>2089</v>
      </c>
      <c r="C126" s="17">
        <v>2</v>
      </c>
      <c r="D126" s="17">
        <v>16.5</v>
      </c>
      <c r="E126" s="17"/>
      <c r="F126" s="16" t="s">
        <v>19</v>
      </c>
      <c r="G126" s="17" t="s">
        <v>2091</v>
      </c>
      <c r="H126" s="17" t="s">
        <v>3825</v>
      </c>
      <c r="I126" s="17" t="s">
        <v>28</v>
      </c>
      <c r="J126" s="37" t="s">
        <v>4323</v>
      </c>
      <c r="K126" s="18">
        <v>46147</v>
      </c>
      <c r="L126" s="18" t="s">
        <v>24</v>
      </c>
      <c r="M126" s="7" t="s">
        <v>25</v>
      </c>
      <c r="N126" s="17"/>
    </row>
    <row r="127" spans="1:14" ht="51" x14ac:dyDescent="0.25">
      <c r="A127" s="17">
        <v>126</v>
      </c>
      <c r="B127" s="16" t="s">
        <v>2089</v>
      </c>
      <c r="C127" s="17">
        <v>3</v>
      </c>
      <c r="D127" s="17">
        <v>16.600000000000001</v>
      </c>
      <c r="E127" s="17">
        <v>10.9</v>
      </c>
      <c r="F127" s="16" t="s">
        <v>19</v>
      </c>
      <c r="G127" s="17" t="s">
        <v>2092</v>
      </c>
      <c r="H127" s="17" t="s">
        <v>3979</v>
      </c>
      <c r="I127" s="17" t="s">
        <v>34</v>
      </c>
      <c r="J127" s="37" t="s">
        <v>4324</v>
      </c>
      <c r="K127" s="18">
        <v>46134</v>
      </c>
      <c r="L127" s="18" t="s">
        <v>24</v>
      </c>
      <c r="M127" s="7" t="s">
        <v>25</v>
      </c>
      <c r="N127" s="17"/>
    </row>
    <row r="128" spans="1:14" ht="63.75" x14ac:dyDescent="0.25">
      <c r="A128" s="17">
        <v>127</v>
      </c>
      <c r="B128" s="16" t="s">
        <v>2093</v>
      </c>
      <c r="C128" s="17">
        <v>1</v>
      </c>
      <c r="D128" s="17">
        <v>12.7</v>
      </c>
      <c r="E128" s="17">
        <v>10.199999999999999</v>
      </c>
      <c r="F128" s="16" t="s">
        <v>162</v>
      </c>
      <c r="G128" s="17" t="s">
        <v>2094</v>
      </c>
      <c r="H128" s="17" t="s">
        <v>3826</v>
      </c>
      <c r="I128" s="17" t="s">
        <v>34</v>
      </c>
      <c r="J128" s="37" t="s">
        <v>4454</v>
      </c>
      <c r="K128" s="18">
        <v>46154</v>
      </c>
      <c r="L128" s="18" t="s">
        <v>24</v>
      </c>
      <c r="M128" s="7" t="s">
        <v>25</v>
      </c>
      <c r="N128" s="17"/>
    </row>
    <row r="129" spans="1:14" ht="25.5" x14ac:dyDescent="0.25">
      <c r="A129" s="17">
        <v>128</v>
      </c>
      <c r="B129" s="16" t="s">
        <v>2093</v>
      </c>
      <c r="C129" s="17">
        <v>2</v>
      </c>
      <c r="D129" s="17">
        <v>15.8</v>
      </c>
      <c r="E129" s="17"/>
      <c r="F129" s="16" t="s">
        <v>19</v>
      </c>
      <c r="G129" s="17" t="s">
        <v>2095</v>
      </c>
      <c r="H129" s="17" t="s">
        <v>3827</v>
      </c>
      <c r="I129" s="17" t="s">
        <v>28</v>
      </c>
      <c r="J129" s="37" t="s">
        <v>4325</v>
      </c>
      <c r="K129" s="18">
        <v>46134</v>
      </c>
      <c r="L129" s="18" t="s">
        <v>24</v>
      </c>
      <c r="M129" s="7" t="s">
        <v>25</v>
      </c>
      <c r="N129" s="17"/>
    </row>
    <row r="130" spans="1:14" ht="63.75" x14ac:dyDescent="0.25">
      <c r="A130" s="17">
        <v>129</v>
      </c>
      <c r="B130" s="16" t="s">
        <v>2093</v>
      </c>
      <c r="C130" s="17">
        <v>3</v>
      </c>
      <c r="D130" s="17">
        <v>16.3</v>
      </c>
      <c r="E130" s="17">
        <v>10.3</v>
      </c>
      <c r="F130" s="16" t="s">
        <v>338</v>
      </c>
      <c r="G130" s="17" t="s">
        <v>2096</v>
      </c>
      <c r="H130" s="17" t="s">
        <v>3624</v>
      </c>
      <c r="I130" s="17" t="s">
        <v>34</v>
      </c>
      <c r="J130" s="37" t="s">
        <v>4406</v>
      </c>
      <c r="K130" s="18">
        <v>46156</v>
      </c>
      <c r="L130" s="18" t="s">
        <v>24</v>
      </c>
      <c r="M130" s="7" t="s">
        <v>25</v>
      </c>
      <c r="N130" s="17"/>
    </row>
    <row r="131" spans="1:14" ht="25.5" x14ac:dyDescent="0.25">
      <c r="A131" s="17">
        <v>130</v>
      </c>
      <c r="B131" s="16" t="s">
        <v>2097</v>
      </c>
      <c r="C131" s="17">
        <v>1</v>
      </c>
      <c r="D131" s="17">
        <v>16.600000000000001</v>
      </c>
      <c r="E131" s="17">
        <v>11.3</v>
      </c>
      <c r="F131" s="16" t="s">
        <v>121</v>
      </c>
      <c r="G131" s="17" t="s">
        <v>2098</v>
      </c>
      <c r="H131" s="17" t="s">
        <v>3828</v>
      </c>
      <c r="I131" s="17" t="s">
        <v>22</v>
      </c>
      <c r="J131" s="37" t="s">
        <v>4596</v>
      </c>
      <c r="K131" s="18">
        <v>46140</v>
      </c>
      <c r="L131" s="18" t="s">
        <v>24</v>
      </c>
      <c r="M131" s="7" t="s">
        <v>25</v>
      </c>
      <c r="N131" s="17"/>
    </row>
    <row r="132" spans="1:14" ht="25.5" x14ac:dyDescent="0.25">
      <c r="A132" s="17">
        <v>131</v>
      </c>
      <c r="B132" s="16" t="s">
        <v>2097</v>
      </c>
      <c r="C132" s="17">
        <v>2</v>
      </c>
      <c r="D132" s="17">
        <v>17.3</v>
      </c>
      <c r="E132" s="17"/>
      <c r="F132" s="16" t="s">
        <v>31</v>
      </c>
      <c r="G132" s="17" t="s">
        <v>2099</v>
      </c>
      <c r="H132" s="17" t="s">
        <v>3829</v>
      </c>
      <c r="I132" s="17" t="s">
        <v>28</v>
      </c>
      <c r="J132" s="37" t="s">
        <v>4698</v>
      </c>
      <c r="K132" s="18">
        <v>46148</v>
      </c>
      <c r="L132" s="18" t="s">
        <v>24</v>
      </c>
      <c r="M132" s="7" t="s">
        <v>25</v>
      </c>
      <c r="N132" s="17"/>
    </row>
    <row r="133" spans="1:14" ht="25.5" x14ac:dyDescent="0.25">
      <c r="A133" s="17">
        <v>132</v>
      </c>
      <c r="B133" s="16" t="s">
        <v>2097</v>
      </c>
      <c r="C133" s="17">
        <v>3</v>
      </c>
      <c r="D133" s="17">
        <v>13.2</v>
      </c>
      <c r="E133" s="17">
        <v>11.3</v>
      </c>
      <c r="F133" s="16" t="s">
        <v>101</v>
      </c>
      <c r="G133" s="17" t="s">
        <v>2100</v>
      </c>
      <c r="H133" s="17" t="s">
        <v>3830</v>
      </c>
      <c r="I133" s="17" t="s">
        <v>28</v>
      </c>
      <c r="J133" s="37" t="s">
        <v>4229</v>
      </c>
      <c r="K133" s="18">
        <v>46133</v>
      </c>
      <c r="L133" s="18" t="s">
        <v>24</v>
      </c>
      <c r="M133" s="7" t="s">
        <v>25</v>
      </c>
      <c r="N133" s="17"/>
    </row>
    <row r="134" spans="1:14" ht="25.5" x14ac:dyDescent="0.25">
      <c r="A134" s="17">
        <v>133</v>
      </c>
      <c r="B134" s="16" t="s">
        <v>2101</v>
      </c>
      <c r="C134" s="17">
        <v>1</v>
      </c>
      <c r="D134" s="17">
        <v>16.5</v>
      </c>
      <c r="E134" s="17">
        <v>10.9</v>
      </c>
      <c r="F134" s="16" t="s">
        <v>121</v>
      </c>
      <c r="G134" s="17" t="s">
        <v>2102</v>
      </c>
      <c r="H134" s="17" t="s">
        <v>3625</v>
      </c>
      <c r="I134" s="17" t="s">
        <v>28</v>
      </c>
      <c r="J134" s="37" t="s">
        <v>4597</v>
      </c>
      <c r="K134" s="18">
        <v>46140</v>
      </c>
      <c r="L134" s="18" t="s">
        <v>24</v>
      </c>
      <c r="M134" s="7" t="s">
        <v>25</v>
      </c>
      <c r="N134" s="17"/>
    </row>
    <row r="135" spans="1:14" ht="25.5" x14ac:dyDescent="0.25">
      <c r="A135" s="17">
        <v>134</v>
      </c>
      <c r="B135" s="16" t="s">
        <v>2101</v>
      </c>
      <c r="C135" s="17">
        <v>2</v>
      </c>
      <c r="D135" s="17">
        <v>16.399999999999999</v>
      </c>
      <c r="E135" s="17"/>
      <c r="F135" s="16" t="s">
        <v>19</v>
      </c>
      <c r="G135" s="17" t="s">
        <v>2103</v>
      </c>
      <c r="H135" s="17" t="s">
        <v>3626</v>
      </c>
      <c r="I135" s="17" t="s">
        <v>38</v>
      </c>
      <c r="J135" s="37" t="s">
        <v>4326</v>
      </c>
      <c r="K135" s="18">
        <v>46137</v>
      </c>
      <c r="L135" s="18" t="s">
        <v>24</v>
      </c>
      <c r="M135" s="7" t="s">
        <v>25</v>
      </c>
      <c r="N135" s="17"/>
    </row>
    <row r="136" spans="1:14" ht="25.5" x14ac:dyDescent="0.25">
      <c r="A136" s="17">
        <v>135</v>
      </c>
      <c r="B136" s="16" t="s">
        <v>2101</v>
      </c>
      <c r="C136" s="17">
        <v>3</v>
      </c>
      <c r="D136" s="17">
        <v>12.5</v>
      </c>
      <c r="E136" s="17">
        <v>10.8</v>
      </c>
      <c r="F136" s="16" t="s">
        <v>48</v>
      </c>
      <c r="G136" s="17" t="s">
        <v>2104</v>
      </c>
      <c r="H136" s="17" t="s">
        <v>3831</v>
      </c>
      <c r="I136" s="17" t="s">
        <v>22</v>
      </c>
      <c r="J136" s="37" t="s">
        <v>4828</v>
      </c>
      <c r="K136" s="18">
        <v>46142</v>
      </c>
      <c r="L136" s="18" t="s">
        <v>24</v>
      </c>
      <c r="M136" s="7" t="s">
        <v>25</v>
      </c>
      <c r="N136" s="17"/>
    </row>
    <row r="137" spans="1:14" ht="25.5" x14ac:dyDescent="0.25">
      <c r="A137" s="17">
        <v>136</v>
      </c>
      <c r="B137" s="16" t="s">
        <v>2105</v>
      </c>
      <c r="C137" s="17">
        <v>1</v>
      </c>
      <c r="D137" s="17">
        <v>16.8</v>
      </c>
      <c r="E137" s="17">
        <v>10.9</v>
      </c>
      <c r="F137" s="16" t="s">
        <v>151</v>
      </c>
      <c r="G137" s="17" t="s">
        <v>2106</v>
      </c>
      <c r="H137" s="17" t="s">
        <v>3832</v>
      </c>
      <c r="I137" s="17" t="s">
        <v>267</v>
      </c>
      <c r="J137" s="37" t="s">
        <v>4768</v>
      </c>
      <c r="K137" s="18">
        <v>46155</v>
      </c>
      <c r="L137" s="18" t="s">
        <v>24</v>
      </c>
      <c r="M137" s="7" t="s">
        <v>25</v>
      </c>
      <c r="N137" s="17"/>
    </row>
    <row r="138" spans="1:14" ht="25.5" x14ac:dyDescent="0.25">
      <c r="A138" s="17">
        <v>137</v>
      </c>
      <c r="B138" s="16" t="s">
        <v>2105</v>
      </c>
      <c r="C138" s="17">
        <v>2</v>
      </c>
      <c r="D138" s="17">
        <v>16.899999999999999</v>
      </c>
      <c r="E138" s="17"/>
      <c r="F138" s="16" t="s">
        <v>151</v>
      </c>
      <c r="G138" s="17" t="s">
        <v>2106</v>
      </c>
      <c r="H138" s="17" t="s">
        <v>3832</v>
      </c>
      <c r="I138" s="17" t="s">
        <v>267</v>
      </c>
      <c r="J138" s="37" t="s">
        <v>4768</v>
      </c>
      <c r="K138" s="18">
        <v>46155</v>
      </c>
      <c r="L138" s="18" t="s">
        <v>24</v>
      </c>
      <c r="M138" s="7" t="s">
        <v>25</v>
      </c>
      <c r="N138" s="17"/>
    </row>
    <row r="139" spans="1:14" ht="25.5" x14ac:dyDescent="0.25">
      <c r="A139" s="17">
        <v>138</v>
      </c>
      <c r="B139" s="16" t="s">
        <v>2105</v>
      </c>
      <c r="C139" s="17">
        <v>3</v>
      </c>
      <c r="D139" s="17">
        <v>12.5</v>
      </c>
      <c r="E139" s="17">
        <v>10.4</v>
      </c>
      <c r="F139" s="16" t="s">
        <v>121</v>
      </c>
      <c r="G139" s="17" t="s">
        <v>2107</v>
      </c>
      <c r="H139" s="17" t="s">
        <v>3980</v>
      </c>
      <c r="I139" s="17" t="s">
        <v>388</v>
      </c>
      <c r="J139" s="37" t="s">
        <v>4598</v>
      </c>
      <c r="K139" s="18">
        <v>46144</v>
      </c>
      <c r="L139" s="18" t="s">
        <v>24</v>
      </c>
      <c r="M139" s="7" t="s">
        <v>25</v>
      </c>
      <c r="N139" s="17"/>
    </row>
    <row r="140" spans="1:14" ht="51" x14ac:dyDescent="0.25">
      <c r="A140" s="17">
        <v>139</v>
      </c>
      <c r="B140" s="16" t="s">
        <v>2108</v>
      </c>
      <c r="C140" s="17">
        <v>1</v>
      </c>
      <c r="D140" s="17">
        <v>17</v>
      </c>
      <c r="E140" s="17">
        <v>10.6</v>
      </c>
      <c r="F140" s="16" t="s">
        <v>126</v>
      </c>
      <c r="G140" s="17" t="s">
        <v>4879</v>
      </c>
      <c r="H140" s="17" t="s">
        <v>3981</v>
      </c>
      <c r="I140" s="17" t="s">
        <v>34</v>
      </c>
      <c r="J140" s="37" t="s">
        <v>4261</v>
      </c>
      <c r="K140" s="18">
        <v>46149</v>
      </c>
      <c r="L140" s="18" t="s">
        <v>24</v>
      </c>
      <c r="M140" s="7" t="s">
        <v>25</v>
      </c>
      <c r="N140" s="17"/>
    </row>
    <row r="141" spans="1:14" ht="25.5" x14ac:dyDescent="0.25">
      <c r="A141" s="17">
        <v>140</v>
      </c>
      <c r="B141" s="16" t="s">
        <v>2108</v>
      </c>
      <c r="C141" s="17">
        <v>2</v>
      </c>
      <c r="D141" s="17">
        <v>16.399999999999999</v>
      </c>
      <c r="E141" s="17"/>
      <c r="F141" s="16" t="s">
        <v>162</v>
      </c>
      <c r="G141" s="17" t="s">
        <v>2109</v>
      </c>
      <c r="H141" s="17" t="s">
        <v>3627</v>
      </c>
      <c r="I141" s="17" t="s">
        <v>28</v>
      </c>
      <c r="J141" s="37" t="s">
        <v>4455</v>
      </c>
      <c r="K141" s="18">
        <v>46154</v>
      </c>
      <c r="L141" s="18" t="s">
        <v>24</v>
      </c>
      <c r="M141" s="7" t="s">
        <v>25</v>
      </c>
      <c r="N141" s="17"/>
    </row>
    <row r="142" spans="1:14" x14ac:dyDescent="0.25">
      <c r="A142" s="17">
        <v>141</v>
      </c>
      <c r="B142" s="16" t="s">
        <v>2108</v>
      </c>
      <c r="C142" s="17">
        <v>3</v>
      </c>
      <c r="D142" s="17">
        <v>13.4</v>
      </c>
      <c r="E142" s="17">
        <v>10.4</v>
      </c>
      <c r="F142" s="16" t="s">
        <v>126</v>
      </c>
      <c r="G142" s="17" t="s">
        <v>2110</v>
      </c>
      <c r="H142" s="17" t="s">
        <v>2111</v>
      </c>
      <c r="I142" s="17" t="s">
        <v>28</v>
      </c>
      <c r="J142" s="37" t="s">
        <v>4262</v>
      </c>
      <c r="K142" s="18">
        <v>46149</v>
      </c>
      <c r="L142" s="18" t="s">
        <v>24</v>
      </c>
      <c r="M142" s="7" t="s">
        <v>25</v>
      </c>
      <c r="N142" s="17"/>
    </row>
    <row r="143" spans="1:14" ht="25.5" x14ac:dyDescent="0.25">
      <c r="A143" s="17">
        <v>142</v>
      </c>
      <c r="B143" s="16" t="s">
        <v>2112</v>
      </c>
      <c r="C143" s="17">
        <v>1</v>
      </c>
      <c r="D143" s="17">
        <v>12.3</v>
      </c>
      <c r="E143" s="17">
        <v>10.6</v>
      </c>
      <c r="F143" s="16" t="s">
        <v>121</v>
      </c>
      <c r="G143" s="17" t="s">
        <v>2113</v>
      </c>
      <c r="H143" s="17" t="s">
        <v>3628</v>
      </c>
      <c r="I143" s="17" t="s">
        <v>28</v>
      </c>
      <c r="J143" s="37" t="s">
        <v>4599</v>
      </c>
      <c r="K143" s="18">
        <v>46156</v>
      </c>
      <c r="L143" s="18" t="s">
        <v>24</v>
      </c>
      <c r="M143" s="7" t="s">
        <v>25</v>
      </c>
      <c r="N143" s="17"/>
    </row>
    <row r="144" spans="1:14" ht="25.5" x14ac:dyDescent="0.25">
      <c r="A144" s="17">
        <v>143</v>
      </c>
      <c r="B144" s="16" t="s">
        <v>2112</v>
      </c>
      <c r="C144" s="17">
        <v>2</v>
      </c>
      <c r="D144" s="17">
        <v>17.399999999999999</v>
      </c>
      <c r="E144" s="17"/>
      <c r="F144" s="16" t="s">
        <v>19</v>
      </c>
      <c r="G144" s="17" t="s">
        <v>2114</v>
      </c>
      <c r="H144" s="17" t="s">
        <v>3629</v>
      </c>
      <c r="I144" s="17" t="s">
        <v>51</v>
      </c>
      <c r="J144" s="37" t="s">
        <v>4327</v>
      </c>
      <c r="K144" s="18">
        <v>46134</v>
      </c>
      <c r="L144" s="18" t="s">
        <v>24</v>
      </c>
      <c r="M144" s="7" t="s">
        <v>25</v>
      </c>
      <c r="N144" s="17"/>
    </row>
    <row r="145" spans="1:14" ht="25.5" x14ac:dyDescent="0.25">
      <c r="A145" s="17">
        <v>144</v>
      </c>
      <c r="B145" s="16" t="s">
        <v>2112</v>
      </c>
      <c r="C145" s="17">
        <v>3</v>
      </c>
      <c r="D145" s="17">
        <v>16.8</v>
      </c>
      <c r="E145" s="17">
        <v>10.6</v>
      </c>
      <c r="F145" s="16" t="s">
        <v>121</v>
      </c>
      <c r="G145" s="17" t="s">
        <v>2115</v>
      </c>
      <c r="H145" s="17" t="s">
        <v>3630</v>
      </c>
      <c r="I145" s="17" t="s">
        <v>28</v>
      </c>
      <c r="J145" s="37" t="s">
        <v>4600</v>
      </c>
      <c r="K145" s="18">
        <v>46140</v>
      </c>
      <c r="L145" s="18" t="s">
        <v>24</v>
      </c>
      <c r="M145" s="7" t="s">
        <v>25</v>
      </c>
      <c r="N145" s="17"/>
    </row>
    <row r="146" spans="1:14" ht="25.5" x14ac:dyDescent="0.25">
      <c r="A146" s="17">
        <v>145</v>
      </c>
      <c r="B146" s="16" t="s">
        <v>2116</v>
      </c>
      <c r="C146" s="17">
        <v>1</v>
      </c>
      <c r="D146" s="17">
        <v>16.600000000000001</v>
      </c>
      <c r="E146" s="17">
        <v>11.4</v>
      </c>
      <c r="F146" s="16" t="s">
        <v>151</v>
      </c>
      <c r="G146" s="17" t="s">
        <v>2117</v>
      </c>
      <c r="H146" s="17" t="s">
        <v>3631</v>
      </c>
      <c r="I146" s="17" t="s">
        <v>28</v>
      </c>
      <c r="J146" s="37" t="s">
        <v>4769</v>
      </c>
      <c r="K146" s="18">
        <v>46155</v>
      </c>
      <c r="L146" s="18" t="s">
        <v>24</v>
      </c>
      <c r="M146" s="7" t="s">
        <v>25</v>
      </c>
      <c r="N146" s="17"/>
    </row>
    <row r="147" spans="1:14" ht="25.5" x14ac:dyDescent="0.25">
      <c r="A147" s="17">
        <v>146</v>
      </c>
      <c r="B147" s="16" t="s">
        <v>2116</v>
      </c>
      <c r="C147" s="17">
        <v>2</v>
      </c>
      <c r="D147" s="17">
        <v>15.6</v>
      </c>
      <c r="E147" s="17"/>
      <c r="F147" s="16" t="s">
        <v>151</v>
      </c>
      <c r="G147" s="17" t="s">
        <v>2118</v>
      </c>
      <c r="H147" s="17" t="s">
        <v>3982</v>
      </c>
      <c r="I147" s="17" t="s">
        <v>38</v>
      </c>
      <c r="J147" s="37" t="s">
        <v>4770</v>
      </c>
      <c r="K147" s="18">
        <v>46144</v>
      </c>
      <c r="L147" s="18" t="s">
        <v>24</v>
      </c>
      <c r="M147" s="7" t="s">
        <v>25</v>
      </c>
      <c r="N147" s="17"/>
    </row>
    <row r="148" spans="1:14" ht="51" x14ac:dyDescent="0.25">
      <c r="A148" s="17">
        <v>147</v>
      </c>
      <c r="B148" s="16" t="s">
        <v>2116</v>
      </c>
      <c r="C148" s="17">
        <v>3</v>
      </c>
      <c r="D148" s="17">
        <v>12.1</v>
      </c>
      <c r="E148" s="17">
        <v>10.5</v>
      </c>
      <c r="F148" s="16" t="s">
        <v>19</v>
      </c>
      <c r="G148" s="17" t="s">
        <v>2119</v>
      </c>
      <c r="H148" s="17" t="s">
        <v>3983</v>
      </c>
      <c r="I148" s="17" t="s">
        <v>34</v>
      </c>
      <c r="J148" s="37" t="s">
        <v>4328</v>
      </c>
      <c r="K148" s="18">
        <v>46135</v>
      </c>
      <c r="L148" s="18" t="s">
        <v>24</v>
      </c>
      <c r="M148" s="7" t="s">
        <v>25</v>
      </c>
      <c r="N148" s="17"/>
    </row>
    <row r="149" spans="1:14" ht="25.5" x14ac:dyDescent="0.25">
      <c r="A149" s="17">
        <v>148</v>
      </c>
      <c r="B149" s="16" t="s">
        <v>2120</v>
      </c>
      <c r="C149" s="17">
        <v>1</v>
      </c>
      <c r="D149" s="17">
        <v>16</v>
      </c>
      <c r="E149" s="17">
        <v>11</v>
      </c>
      <c r="F149" s="16" t="s">
        <v>121</v>
      </c>
      <c r="G149" s="17" t="s">
        <v>2121</v>
      </c>
      <c r="H149" s="17" t="s">
        <v>3632</v>
      </c>
      <c r="I149" s="17" t="s">
        <v>28</v>
      </c>
      <c r="J149" s="37" t="s">
        <v>4601</v>
      </c>
      <c r="K149" s="18">
        <v>46154</v>
      </c>
      <c r="L149" s="18" t="s">
        <v>24</v>
      </c>
      <c r="M149" s="7" t="s">
        <v>25</v>
      </c>
      <c r="N149" s="17"/>
    </row>
    <row r="150" spans="1:14" ht="25.5" x14ac:dyDescent="0.25">
      <c r="A150" s="34">
        <v>149</v>
      </c>
      <c r="B150" s="35" t="s">
        <v>2120</v>
      </c>
      <c r="C150" s="34">
        <v>2</v>
      </c>
      <c r="D150" s="34">
        <v>15.9</v>
      </c>
      <c r="E150" s="34"/>
      <c r="F150" s="35" t="s">
        <v>31</v>
      </c>
      <c r="G150" s="34" t="s">
        <v>2122</v>
      </c>
      <c r="H150" s="17" t="s">
        <v>3984</v>
      </c>
      <c r="I150" s="17" t="s">
        <v>2032</v>
      </c>
      <c r="J150" s="37" t="s">
        <v>4699</v>
      </c>
      <c r="K150" s="18">
        <v>46156</v>
      </c>
      <c r="L150" s="18" t="s">
        <v>24</v>
      </c>
      <c r="M150" s="7" t="s">
        <v>25</v>
      </c>
      <c r="N150" s="17"/>
    </row>
    <row r="151" spans="1:14" ht="51" x14ac:dyDescent="0.25">
      <c r="A151" s="17">
        <v>150</v>
      </c>
      <c r="B151" s="16" t="s">
        <v>2120</v>
      </c>
      <c r="C151" s="17">
        <v>3</v>
      </c>
      <c r="D151" s="17">
        <v>12.7</v>
      </c>
      <c r="E151" s="17">
        <v>10.5</v>
      </c>
      <c r="F151" s="16" t="s">
        <v>343</v>
      </c>
      <c r="G151" s="17" t="s">
        <v>2123</v>
      </c>
      <c r="H151" s="17" t="s">
        <v>3575</v>
      </c>
      <c r="I151" s="17" t="s">
        <v>34</v>
      </c>
      <c r="J151" s="37" t="s">
        <v>4202</v>
      </c>
      <c r="K151" s="18">
        <v>46144</v>
      </c>
      <c r="L151" s="18" t="s">
        <v>24</v>
      </c>
      <c r="M151" s="7" t="s">
        <v>25</v>
      </c>
      <c r="N151" s="17"/>
    </row>
    <row r="152" spans="1:14" ht="25.5" x14ac:dyDescent="0.25">
      <c r="A152" s="17">
        <v>151</v>
      </c>
      <c r="B152" s="16" t="s">
        <v>2124</v>
      </c>
      <c r="C152" s="17">
        <v>1</v>
      </c>
      <c r="D152" s="17">
        <v>16.899999999999999</v>
      </c>
      <c r="E152" s="17">
        <v>11</v>
      </c>
      <c r="F152" s="16" t="s">
        <v>338</v>
      </c>
      <c r="G152" s="17" t="s">
        <v>2125</v>
      </c>
      <c r="H152" s="17" t="s">
        <v>3633</v>
      </c>
      <c r="I152" s="17" t="s">
        <v>28</v>
      </c>
      <c r="J152" s="37" t="s">
        <v>4407</v>
      </c>
      <c r="K152" s="18">
        <v>46156</v>
      </c>
      <c r="L152" s="18" t="s">
        <v>82</v>
      </c>
      <c r="M152" s="7" t="s">
        <v>25</v>
      </c>
      <c r="N152" s="17"/>
    </row>
    <row r="153" spans="1:14" ht="63.75" x14ac:dyDescent="0.25">
      <c r="A153" s="17">
        <v>152</v>
      </c>
      <c r="B153" s="16" t="s">
        <v>2124</v>
      </c>
      <c r="C153" s="17">
        <v>2</v>
      </c>
      <c r="D153" s="17">
        <v>17.3</v>
      </c>
      <c r="E153" s="17"/>
      <c r="F153" s="16" t="s">
        <v>62</v>
      </c>
      <c r="G153" s="17" t="s">
        <v>2126</v>
      </c>
      <c r="H153" s="17" t="s">
        <v>3985</v>
      </c>
      <c r="I153" s="17" t="s">
        <v>34</v>
      </c>
      <c r="J153" s="37" t="s">
        <v>4511</v>
      </c>
      <c r="K153" s="18">
        <v>46142</v>
      </c>
      <c r="L153" s="18" t="s">
        <v>24</v>
      </c>
      <c r="M153" s="7" t="s">
        <v>25</v>
      </c>
      <c r="N153" s="17"/>
    </row>
    <row r="154" spans="1:14" ht="25.5" x14ac:dyDescent="0.25">
      <c r="A154" s="17">
        <v>153</v>
      </c>
      <c r="B154" s="16" t="s">
        <v>2124</v>
      </c>
      <c r="C154" s="17">
        <v>3</v>
      </c>
      <c r="D154" s="17">
        <v>13.4</v>
      </c>
      <c r="E154" s="17">
        <v>11.1</v>
      </c>
      <c r="F154" s="16" t="s">
        <v>48</v>
      </c>
      <c r="G154" s="17" t="s">
        <v>2127</v>
      </c>
      <c r="H154" s="17" t="s">
        <v>4192</v>
      </c>
      <c r="I154" s="17" t="s">
        <v>22</v>
      </c>
      <c r="J154" s="37" t="s">
        <v>4829</v>
      </c>
      <c r="K154" s="18">
        <v>46149</v>
      </c>
      <c r="L154" s="18" t="s">
        <v>24</v>
      </c>
      <c r="M154" s="7" t="s">
        <v>25</v>
      </c>
      <c r="N154" s="17"/>
    </row>
    <row r="155" spans="1:14" ht="63.75" x14ac:dyDescent="0.25">
      <c r="A155" s="17">
        <v>154</v>
      </c>
      <c r="B155" s="16" t="s">
        <v>2128</v>
      </c>
      <c r="C155" s="17">
        <v>1</v>
      </c>
      <c r="D155" s="17">
        <v>16.600000000000001</v>
      </c>
      <c r="E155" s="17">
        <v>10.6</v>
      </c>
      <c r="F155" s="16" t="s">
        <v>162</v>
      </c>
      <c r="G155" s="17" t="s">
        <v>2129</v>
      </c>
      <c r="H155" s="17" t="s">
        <v>3634</v>
      </c>
      <c r="I155" s="17" t="s">
        <v>34</v>
      </c>
      <c r="J155" s="37" t="s">
        <v>4456</v>
      </c>
      <c r="K155" s="18">
        <v>46147</v>
      </c>
      <c r="L155" s="18" t="s">
        <v>24</v>
      </c>
      <c r="M155" s="7" t="s">
        <v>25</v>
      </c>
      <c r="N155" s="17"/>
    </row>
    <row r="156" spans="1:14" ht="25.5" x14ac:dyDescent="0.25">
      <c r="A156" s="17">
        <v>155</v>
      </c>
      <c r="B156" s="16" t="s">
        <v>2128</v>
      </c>
      <c r="C156" s="17">
        <v>2</v>
      </c>
      <c r="D156" s="17">
        <v>16</v>
      </c>
      <c r="E156" s="17"/>
      <c r="F156" s="16" t="s">
        <v>31</v>
      </c>
      <c r="G156" s="17" t="s">
        <v>2130</v>
      </c>
      <c r="H156" s="17" t="s">
        <v>3986</v>
      </c>
      <c r="I156" s="17" t="s">
        <v>51</v>
      </c>
      <c r="J156" s="37" t="s">
        <v>4700</v>
      </c>
      <c r="K156" s="18">
        <v>46144</v>
      </c>
      <c r="L156" s="18" t="s">
        <v>82</v>
      </c>
      <c r="M156" s="7" t="s">
        <v>25</v>
      </c>
      <c r="N156" s="17"/>
    </row>
    <row r="157" spans="1:14" ht="63.75" x14ac:dyDescent="0.25">
      <c r="A157" s="17">
        <v>156</v>
      </c>
      <c r="B157" s="16" t="s">
        <v>2128</v>
      </c>
      <c r="C157" s="17">
        <v>3</v>
      </c>
      <c r="D157" s="17">
        <v>13.2</v>
      </c>
      <c r="E157" s="17">
        <v>10.5</v>
      </c>
      <c r="F157" s="16" t="s">
        <v>31</v>
      </c>
      <c r="G157" s="17" t="s">
        <v>2131</v>
      </c>
      <c r="H157" s="17" t="s">
        <v>3987</v>
      </c>
      <c r="I157" s="17" t="s">
        <v>34</v>
      </c>
      <c r="J157" s="37" t="s">
        <v>4701</v>
      </c>
      <c r="K157" s="18">
        <v>46147</v>
      </c>
      <c r="L157" s="18" t="s">
        <v>24</v>
      </c>
      <c r="M157" s="7" t="s">
        <v>25</v>
      </c>
      <c r="N157" s="17"/>
    </row>
    <row r="158" spans="1:14" ht="51" x14ac:dyDescent="0.25">
      <c r="A158" s="17">
        <v>157</v>
      </c>
      <c r="B158" s="16" t="s">
        <v>2132</v>
      </c>
      <c r="C158" s="17">
        <v>1</v>
      </c>
      <c r="D158" s="17">
        <v>16.399999999999999</v>
      </c>
      <c r="E158" s="17">
        <v>10.7</v>
      </c>
      <c r="F158" s="16" t="s">
        <v>54</v>
      </c>
      <c r="G158" s="17" t="s">
        <v>2133</v>
      </c>
      <c r="H158" s="17" t="s">
        <v>4943</v>
      </c>
      <c r="I158" s="17" t="s">
        <v>34</v>
      </c>
      <c r="J158" s="37" t="s">
        <v>4758</v>
      </c>
      <c r="K158" s="18">
        <v>46137</v>
      </c>
      <c r="L158" s="18" t="s">
        <v>24</v>
      </c>
      <c r="M158" s="7" t="s">
        <v>25</v>
      </c>
      <c r="N158" s="17"/>
    </row>
    <row r="159" spans="1:14" ht="25.5" x14ac:dyDescent="0.25">
      <c r="A159" s="17">
        <v>158</v>
      </c>
      <c r="B159" s="16" t="s">
        <v>2132</v>
      </c>
      <c r="C159" s="17">
        <v>2</v>
      </c>
      <c r="D159" s="17">
        <v>16.899999999999999</v>
      </c>
      <c r="E159" s="17"/>
      <c r="F159" s="16" t="s">
        <v>62</v>
      </c>
      <c r="G159" s="17" t="s">
        <v>2134</v>
      </c>
      <c r="H159" s="17" t="s">
        <v>3833</v>
      </c>
      <c r="I159" s="17" t="s">
        <v>28</v>
      </c>
      <c r="J159" s="37" t="s">
        <v>4512</v>
      </c>
      <c r="K159" s="18">
        <v>46137</v>
      </c>
      <c r="L159" s="18" t="s">
        <v>24</v>
      </c>
      <c r="M159" s="7" t="s">
        <v>25</v>
      </c>
      <c r="N159" s="17"/>
    </row>
    <row r="160" spans="1:14" ht="25.5" x14ac:dyDescent="0.25">
      <c r="A160" s="17">
        <v>159</v>
      </c>
      <c r="B160" s="16" t="s">
        <v>2132</v>
      </c>
      <c r="C160" s="17">
        <v>3</v>
      </c>
      <c r="D160" s="17">
        <v>12.1</v>
      </c>
      <c r="E160" s="17">
        <v>10.6</v>
      </c>
      <c r="F160" s="16" t="s">
        <v>126</v>
      </c>
      <c r="G160" s="17" t="s">
        <v>2135</v>
      </c>
      <c r="H160" s="17" t="s">
        <v>3834</v>
      </c>
      <c r="I160" s="17" t="s">
        <v>22</v>
      </c>
      <c r="J160" s="37" t="s">
        <v>4259</v>
      </c>
      <c r="K160" s="18">
        <v>46144</v>
      </c>
      <c r="L160" s="18" t="s">
        <v>24</v>
      </c>
      <c r="M160" s="7" t="s">
        <v>25</v>
      </c>
      <c r="N160" s="17"/>
    </row>
    <row r="161" spans="1:14" ht="63.75" x14ac:dyDescent="0.25">
      <c r="A161" s="17">
        <v>160</v>
      </c>
      <c r="B161" s="16" t="s">
        <v>2136</v>
      </c>
      <c r="C161" s="17">
        <v>1</v>
      </c>
      <c r="D161" s="17">
        <v>16</v>
      </c>
      <c r="E161" s="17">
        <v>10.4</v>
      </c>
      <c r="F161" s="16" t="s">
        <v>19</v>
      </c>
      <c r="G161" s="17" t="s">
        <v>2137</v>
      </c>
      <c r="H161" s="17" t="s">
        <v>3635</v>
      </c>
      <c r="I161" s="17" t="s">
        <v>34</v>
      </c>
      <c r="J161" s="37" t="s">
        <v>4329</v>
      </c>
      <c r="K161" s="18">
        <v>46136</v>
      </c>
      <c r="L161" s="18" t="s">
        <v>24</v>
      </c>
      <c r="M161" s="7" t="s">
        <v>25</v>
      </c>
      <c r="N161" s="17"/>
    </row>
    <row r="162" spans="1:14" ht="51" x14ac:dyDescent="0.25">
      <c r="A162" s="17">
        <v>161</v>
      </c>
      <c r="B162" s="16" t="s">
        <v>2136</v>
      </c>
      <c r="C162" s="17">
        <v>2</v>
      </c>
      <c r="D162" s="17">
        <v>16.8</v>
      </c>
      <c r="E162" s="17"/>
      <c r="F162" s="16" t="s">
        <v>19</v>
      </c>
      <c r="G162" s="17" t="s">
        <v>2138</v>
      </c>
      <c r="H162" s="17" t="s">
        <v>3636</v>
      </c>
      <c r="I162" s="17" t="s">
        <v>34</v>
      </c>
      <c r="J162" s="37" t="s">
        <v>4330</v>
      </c>
      <c r="K162" s="18">
        <v>46135</v>
      </c>
      <c r="L162" s="18" t="s">
        <v>24</v>
      </c>
      <c r="M162" s="7" t="s">
        <v>25</v>
      </c>
      <c r="N162" s="17"/>
    </row>
    <row r="163" spans="1:14" ht="63.75" x14ac:dyDescent="0.25">
      <c r="A163" s="17">
        <v>162</v>
      </c>
      <c r="B163" s="16" t="s">
        <v>2136</v>
      </c>
      <c r="C163" s="17">
        <v>3</v>
      </c>
      <c r="D163" s="17">
        <v>12.7</v>
      </c>
      <c r="E163" s="17">
        <v>10.4</v>
      </c>
      <c r="F163" s="16" t="s">
        <v>19</v>
      </c>
      <c r="G163" s="17" t="s">
        <v>2139</v>
      </c>
      <c r="H163" s="17" t="s">
        <v>3835</v>
      </c>
      <c r="I163" s="17" t="s">
        <v>34</v>
      </c>
      <c r="J163" s="37" t="s">
        <v>4331</v>
      </c>
      <c r="K163" s="18">
        <v>46134</v>
      </c>
      <c r="L163" s="18" t="s">
        <v>24</v>
      </c>
      <c r="M163" s="7" t="s">
        <v>25</v>
      </c>
      <c r="N163" s="17"/>
    </row>
    <row r="164" spans="1:14" ht="51" x14ac:dyDescent="0.25">
      <c r="A164" s="17">
        <v>163</v>
      </c>
      <c r="B164" s="16" t="s">
        <v>2140</v>
      </c>
      <c r="C164" s="17">
        <v>1</v>
      </c>
      <c r="D164" s="17">
        <v>16.100000000000001</v>
      </c>
      <c r="E164" s="17">
        <v>10.4</v>
      </c>
      <c r="F164" s="16" t="s">
        <v>19</v>
      </c>
      <c r="G164" s="17" t="s">
        <v>2141</v>
      </c>
      <c r="H164" s="17" t="s">
        <v>3988</v>
      </c>
      <c r="I164" s="17" t="s">
        <v>34</v>
      </c>
      <c r="J164" s="37" t="s">
        <v>4332</v>
      </c>
      <c r="K164" s="18">
        <v>46136</v>
      </c>
      <c r="L164" s="18" t="s">
        <v>24</v>
      </c>
      <c r="M164" s="7" t="s">
        <v>25</v>
      </c>
      <c r="N164" s="17"/>
    </row>
    <row r="165" spans="1:14" ht="63.75" x14ac:dyDescent="0.25">
      <c r="A165" s="17">
        <v>164</v>
      </c>
      <c r="B165" s="16" t="s">
        <v>2140</v>
      </c>
      <c r="C165" s="17">
        <v>2</v>
      </c>
      <c r="D165" s="17">
        <v>16</v>
      </c>
      <c r="E165" s="17"/>
      <c r="F165" s="16" t="s">
        <v>19</v>
      </c>
      <c r="G165" s="17" t="s">
        <v>2142</v>
      </c>
      <c r="H165" s="17" t="s">
        <v>3836</v>
      </c>
      <c r="I165" s="17" t="s">
        <v>34</v>
      </c>
      <c r="J165" s="37" t="s">
        <v>4333</v>
      </c>
      <c r="K165" s="18">
        <v>46136</v>
      </c>
      <c r="L165" s="18" t="s">
        <v>24</v>
      </c>
      <c r="M165" s="7" t="s">
        <v>25</v>
      </c>
      <c r="N165" s="17"/>
    </row>
    <row r="166" spans="1:14" ht="63.75" x14ac:dyDescent="0.25">
      <c r="A166" s="17">
        <v>165</v>
      </c>
      <c r="B166" s="16" t="s">
        <v>2140</v>
      </c>
      <c r="C166" s="17">
        <v>3</v>
      </c>
      <c r="D166" s="17">
        <v>13</v>
      </c>
      <c r="E166" s="17">
        <v>10.3</v>
      </c>
      <c r="F166" s="16" t="s">
        <v>19</v>
      </c>
      <c r="G166" s="17" t="s">
        <v>2142</v>
      </c>
      <c r="H166" s="17" t="s">
        <v>3836</v>
      </c>
      <c r="I166" s="17" t="s">
        <v>34</v>
      </c>
      <c r="J166" s="37" t="s">
        <v>4333</v>
      </c>
      <c r="K166" s="18">
        <v>46136</v>
      </c>
      <c r="L166" s="18" t="s">
        <v>24</v>
      </c>
      <c r="M166" s="7" t="s">
        <v>25</v>
      </c>
      <c r="N166" s="17"/>
    </row>
    <row r="167" spans="1:14" ht="25.5" x14ac:dyDescent="0.25">
      <c r="A167" s="17">
        <v>166</v>
      </c>
      <c r="B167" s="16" t="s">
        <v>2143</v>
      </c>
      <c r="C167" s="17">
        <v>1</v>
      </c>
      <c r="D167" s="17">
        <v>17.5</v>
      </c>
      <c r="E167" s="17">
        <v>10.9</v>
      </c>
      <c r="F167" s="16" t="s">
        <v>151</v>
      </c>
      <c r="G167" s="17" t="s">
        <v>2144</v>
      </c>
      <c r="H167" s="17" t="s">
        <v>3637</v>
      </c>
      <c r="I167" s="17" t="s">
        <v>22</v>
      </c>
      <c r="J167" s="37" t="s">
        <v>4771</v>
      </c>
      <c r="K167" s="18">
        <v>46155</v>
      </c>
      <c r="L167" s="18" t="s">
        <v>24</v>
      </c>
      <c r="M167" s="7" t="s">
        <v>25</v>
      </c>
      <c r="N167" s="17"/>
    </row>
    <row r="168" spans="1:14" ht="51" x14ac:dyDescent="0.25">
      <c r="A168" s="17">
        <v>167</v>
      </c>
      <c r="B168" s="16" t="s">
        <v>2143</v>
      </c>
      <c r="C168" s="17">
        <v>2</v>
      </c>
      <c r="D168" s="17">
        <v>18</v>
      </c>
      <c r="E168" s="17"/>
      <c r="F168" s="16" t="s">
        <v>106</v>
      </c>
      <c r="G168" s="17" t="s">
        <v>2145</v>
      </c>
      <c r="H168" s="17" t="s">
        <v>3638</v>
      </c>
      <c r="I168" s="17" t="s">
        <v>34</v>
      </c>
      <c r="J168" s="37" t="s">
        <v>4552</v>
      </c>
      <c r="K168" s="18">
        <v>46142</v>
      </c>
      <c r="L168" s="18" t="s">
        <v>24</v>
      </c>
      <c r="M168" s="7" t="s">
        <v>25</v>
      </c>
      <c r="N168" s="17"/>
    </row>
    <row r="169" spans="1:14" ht="51" x14ac:dyDescent="0.25">
      <c r="A169" s="17">
        <v>168</v>
      </c>
      <c r="B169" s="16" t="s">
        <v>2143</v>
      </c>
      <c r="C169" s="17">
        <v>3</v>
      </c>
      <c r="D169" s="17">
        <v>13.7</v>
      </c>
      <c r="E169" s="17">
        <v>10.9</v>
      </c>
      <c r="F169" s="16" t="s">
        <v>62</v>
      </c>
      <c r="G169" s="17" t="s">
        <v>2146</v>
      </c>
      <c r="H169" s="17" t="s">
        <v>3989</v>
      </c>
      <c r="I169" s="17" t="s">
        <v>34</v>
      </c>
      <c r="J169" s="37" t="s">
        <v>4513</v>
      </c>
      <c r="K169" s="18">
        <v>46137</v>
      </c>
      <c r="L169" s="18" t="s">
        <v>24</v>
      </c>
      <c r="M169" s="7" t="s">
        <v>25</v>
      </c>
      <c r="N169" s="17"/>
    </row>
    <row r="170" spans="1:14" ht="25.5" x14ac:dyDescent="0.25">
      <c r="A170" s="17">
        <v>169</v>
      </c>
      <c r="B170" s="16" t="s">
        <v>2147</v>
      </c>
      <c r="C170" s="17">
        <v>1</v>
      </c>
      <c r="D170" s="17">
        <v>16.8</v>
      </c>
      <c r="E170" s="17">
        <v>10.7</v>
      </c>
      <c r="F170" s="16" t="s">
        <v>19</v>
      </c>
      <c r="G170" s="17" t="s">
        <v>2148</v>
      </c>
      <c r="H170" s="17" t="s">
        <v>3639</v>
      </c>
      <c r="I170" s="17" t="s">
        <v>28</v>
      </c>
      <c r="J170" s="37" t="s">
        <v>4334</v>
      </c>
      <c r="K170" s="18">
        <v>46134</v>
      </c>
      <c r="L170" s="18" t="s">
        <v>24</v>
      </c>
      <c r="M170" s="7" t="s">
        <v>25</v>
      </c>
      <c r="N170" s="17"/>
    </row>
    <row r="171" spans="1:14" ht="25.5" x14ac:dyDescent="0.25">
      <c r="A171" s="17">
        <v>170</v>
      </c>
      <c r="B171" s="16" t="s">
        <v>2147</v>
      </c>
      <c r="C171" s="17">
        <v>2</v>
      </c>
      <c r="D171" s="17">
        <v>16.7</v>
      </c>
      <c r="E171" s="17"/>
      <c r="F171" s="16" t="s">
        <v>121</v>
      </c>
      <c r="G171" s="17" t="s">
        <v>2149</v>
      </c>
      <c r="H171" s="17" t="s">
        <v>3990</v>
      </c>
      <c r="I171" s="17" t="s">
        <v>38</v>
      </c>
      <c r="J171" s="37" t="s">
        <v>4602</v>
      </c>
      <c r="K171" s="18">
        <v>46140</v>
      </c>
      <c r="L171" s="18" t="s">
        <v>24</v>
      </c>
      <c r="M171" s="7" t="s">
        <v>25</v>
      </c>
      <c r="N171" s="17"/>
    </row>
    <row r="172" spans="1:14" ht="51" x14ac:dyDescent="0.25">
      <c r="A172" s="17">
        <v>171</v>
      </c>
      <c r="B172" s="16" t="s">
        <v>2147</v>
      </c>
      <c r="C172" s="17">
        <v>3</v>
      </c>
      <c r="D172" s="17">
        <v>12.3</v>
      </c>
      <c r="E172" s="17">
        <v>10.6</v>
      </c>
      <c r="F172" s="16" t="s">
        <v>121</v>
      </c>
      <c r="G172" s="17" t="s">
        <v>2150</v>
      </c>
      <c r="H172" s="17" t="s">
        <v>3991</v>
      </c>
      <c r="I172" s="17" t="s">
        <v>34</v>
      </c>
      <c r="J172" s="37" t="s">
        <v>4603</v>
      </c>
      <c r="K172" s="18">
        <v>46141</v>
      </c>
      <c r="L172" s="18" t="s">
        <v>24</v>
      </c>
      <c r="M172" s="7" t="s">
        <v>25</v>
      </c>
      <c r="N172" s="17"/>
    </row>
    <row r="173" spans="1:14" ht="25.5" x14ac:dyDescent="0.25">
      <c r="A173" s="17">
        <v>172</v>
      </c>
      <c r="B173" s="16" t="s">
        <v>2151</v>
      </c>
      <c r="C173" s="17">
        <v>1</v>
      </c>
      <c r="D173" s="17">
        <v>17.399999999999999</v>
      </c>
      <c r="E173" s="17">
        <v>10.9</v>
      </c>
      <c r="F173" s="16" t="s">
        <v>73</v>
      </c>
      <c r="G173" s="17" t="s">
        <v>2152</v>
      </c>
      <c r="H173" s="17" t="s">
        <v>3837</v>
      </c>
      <c r="I173" s="17" t="s">
        <v>28</v>
      </c>
      <c r="J173" s="37" t="s">
        <v>4447</v>
      </c>
      <c r="K173" s="18">
        <v>46144</v>
      </c>
      <c r="L173" s="18" t="s">
        <v>24</v>
      </c>
      <c r="M173" s="7" t="s">
        <v>25</v>
      </c>
      <c r="N173" s="17"/>
    </row>
    <row r="174" spans="1:14" ht="63.75" x14ac:dyDescent="0.25">
      <c r="A174" s="17">
        <v>173</v>
      </c>
      <c r="B174" s="16" t="s">
        <v>2151</v>
      </c>
      <c r="C174" s="17">
        <v>2</v>
      </c>
      <c r="D174" s="17">
        <v>18.600000000000001</v>
      </c>
      <c r="E174" s="17"/>
      <c r="F174" s="16" t="s">
        <v>86</v>
      </c>
      <c r="G174" s="17" t="s">
        <v>2153</v>
      </c>
      <c r="H174" s="17" t="s">
        <v>4193</v>
      </c>
      <c r="I174" s="17" t="s">
        <v>34</v>
      </c>
      <c r="J174" s="37" t="s">
        <v>4666</v>
      </c>
      <c r="K174" s="18">
        <v>46144</v>
      </c>
      <c r="L174" s="18" t="s">
        <v>24</v>
      </c>
      <c r="M174" s="7" t="s">
        <v>25</v>
      </c>
      <c r="N174" s="17"/>
    </row>
    <row r="175" spans="1:14" ht="63.75" x14ac:dyDescent="0.25">
      <c r="A175" s="17">
        <v>174</v>
      </c>
      <c r="B175" s="16" t="s">
        <v>2151</v>
      </c>
      <c r="C175" s="17">
        <v>3</v>
      </c>
      <c r="D175" s="17">
        <v>12.1</v>
      </c>
      <c r="E175" s="17">
        <v>10.9</v>
      </c>
      <c r="F175" s="16" t="s">
        <v>86</v>
      </c>
      <c r="G175" s="17" t="s">
        <v>2153</v>
      </c>
      <c r="H175" s="17" t="s">
        <v>3992</v>
      </c>
      <c r="I175" s="17" t="s">
        <v>34</v>
      </c>
      <c r="J175" s="37" t="s">
        <v>4667</v>
      </c>
      <c r="K175" s="18">
        <v>46156</v>
      </c>
      <c r="L175" s="18" t="s">
        <v>24</v>
      </c>
      <c r="M175" s="7" t="s">
        <v>25</v>
      </c>
      <c r="N175" s="17"/>
    </row>
    <row r="176" spans="1:14" ht="25.5" x14ac:dyDescent="0.25">
      <c r="A176" s="17">
        <v>175</v>
      </c>
      <c r="B176" s="16" t="s">
        <v>2154</v>
      </c>
      <c r="C176" s="17">
        <v>1</v>
      </c>
      <c r="D176" s="17">
        <v>16.7</v>
      </c>
      <c r="E176" s="17">
        <v>11.2</v>
      </c>
      <c r="F176" s="16" t="s">
        <v>121</v>
      </c>
      <c r="G176" s="17" t="s">
        <v>2155</v>
      </c>
      <c r="H176" s="17" t="s">
        <v>3640</v>
      </c>
      <c r="I176" s="17" t="s">
        <v>28</v>
      </c>
      <c r="J176" s="37" t="s">
        <v>4604</v>
      </c>
      <c r="K176" s="18">
        <v>46140</v>
      </c>
      <c r="L176" s="18" t="s">
        <v>24</v>
      </c>
      <c r="M176" s="7" t="s">
        <v>25</v>
      </c>
      <c r="N176" s="17"/>
    </row>
    <row r="177" spans="1:14" ht="25.5" x14ac:dyDescent="0.25">
      <c r="A177" s="17">
        <v>176</v>
      </c>
      <c r="B177" s="16" t="s">
        <v>2154</v>
      </c>
      <c r="C177" s="17">
        <v>2</v>
      </c>
      <c r="D177" s="17">
        <v>17.8</v>
      </c>
      <c r="E177" s="17"/>
      <c r="F177" s="16" t="s">
        <v>121</v>
      </c>
      <c r="G177" s="17" t="s">
        <v>2156</v>
      </c>
      <c r="H177" s="17" t="s">
        <v>3641</v>
      </c>
      <c r="I177" s="17" t="s">
        <v>28</v>
      </c>
      <c r="J177" s="37" t="s">
        <v>4605</v>
      </c>
      <c r="K177" s="18">
        <v>46141</v>
      </c>
      <c r="L177" s="18" t="s">
        <v>24</v>
      </c>
      <c r="M177" s="7" t="s">
        <v>25</v>
      </c>
      <c r="N177" s="17"/>
    </row>
    <row r="178" spans="1:14" ht="25.5" x14ac:dyDescent="0.25">
      <c r="A178" s="17">
        <v>177</v>
      </c>
      <c r="B178" s="16" t="s">
        <v>2154</v>
      </c>
      <c r="C178" s="17">
        <v>3</v>
      </c>
      <c r="D178" s="17">
        <v>12.5</v>
      </c>
      <c r="E178" s="17">
        <v>11.2</v>
      </c>
      <c r="F178" s="16" t="s">
        <v>121</v>
      </c>
      <c r="G178" s="17" t="s">
        <v>2157</v>
      </c>
      <c r="H178" s="17" t="s">
        <v>4194</v>
      </c>
      <c r="I178" s="17" t="s">
        <v>22</v>
      </c>
      <c r="J178" s="37" t="s">
        <v>4606</v>
      </c>
      <c r="K178" s="18">
        <v>46135</v>
      </c>
      <c r="L178" s="18" t="s">
        <v>24</v>
      </c>
      <c r="M178" s="7" t="s">
        <v>25</v>
      </c>
      <c r="N178" s="17"/>
    </row>
    <row r="179" spans="1:14" ht="25.5" x14ac:dyDescent="0.25">
      <c r="A179" s="17">
        <v>178</v>
      </c>
      <c r="B179" s="16" t="s">
        <v>2158</v>
      </c>
      <c r="C179" s="17">
        <v>1</v>
      </c>
      <c r="D179" s="17">
        <v>16.600000000000001</v>
      </c>
      <c r="E179" s="17">
        <v>10.8</v>
      </c>
      <c r="F179" s="16" t="s">
        <v>19</v>
      </c>
      <c r="G179" s="17" t="s">
        <v>2159</v>
      </c>
      <c r="H179" s="17" t="s">
        <v>3838</v>
      </c>
      <c r="I179" s="17" t="s">
        <v>22</v>
      </c>
      <c r="J179" s="37" t="s">
        <v>4335</v>
      </c>
      <c r="K179" s="18">
        <v>46135</v>
      </c>
      <c r="L179" s="18" t="s">
        <v>24</v>
      </c>
      <c r="M179" s="7" t="s">
        <v>25</v>
      </c>
      <c r="N179" s="17"/>
    </row>
    <row r="180" spans="1:14" ht="25.5" x14ac:dyDescent="0.25">
      <c r="A180" s="17">
        <v>179</v>
      </c>
      <c r="B180" s="16" t="s">
        <v>2158</v>
      </c>
      <c r="C180" s="17">
        <v>2</v>
      </c>
      <c r="D180" s="17">
        <v>16.7</v>
      </c>
      <c r="E180" s="17"/>
      <c r="F180" s="16" t="s">
        <v>19</v>
      </c>
      <c r="G180" s="17" t="s">
        <v>2159</v>
      </c>
      <c r="H180" s="17" t="s">
        <v>3838</v>
      </c>
      <c r="I180" s="17" t="s">
        <v>22</v>
      </c>
      <c r="J180" s="37" t="s">
        <v>4335</v>
      </c>
      <c r="K180" s="18">
        <v>46135</v>
      </c>
      <c r="L180" s="18" t="s">
        <v>24</v>
      </c>
      <c r="M180" s="7" t="s">
        <v>25</v>
      </c>
      <c r="N180" s="17"/>
    </row>
    <row r="181" spans="1:14" ht="25.5" x14ac:dyDescent="0.25">
      <c r="A181" s="17">
        <v>180</v>
      </c>
      <c r="B181" s="16" t="s">
        <v>2158</v>
      </c>
      <c r="C181" s="17">
        <v>3</v>
      </c>
      <c r="D181" s="17">
        <v>12.6</v>
      </c>
      <c r="E181" s="17">
        <v>10.8</v>
      </c>
      <c r="F181" s="16" t="s">
        <v>19</v>
      </c>
      <c r="G181" s="17" t="s">
        <v>2160</v>
      </c>
      <c r="H181" s="17" t="s">
        <v>3642</v>
      </c>
      <c r="I181" s="17" t="s">
        <v>28</v>
      </c>
      <c r="J181" s="37" t="s">
        <v>4336</v>
      </c>
      <c r="K181" s="18">
        <v>46134</v>
      </c>
      <c r="L181" s="18" t="s">
        <v>24</v>
      </c>
      <c r="M181" s="7" t="s">
        <v>25</v>
      </c>
      <c r="N181" s="17"/>
    </row>
    <row r="182" spans="1:14" ht="63.75" x14ac:dyDescent="0.25">
      <c r="A182" s="17">
        <v>181</v>
      </c>
      <c r="B182" s="16" t="s">
        <v>2161</v>
      </c>
      <c r="C182" s="17">
        <v>1</v>
      </c>
      <c r="D182" s="17">
        <v>11.8</v>
      </c>
      <c r="E182" s="17">
        <v>10.5</v>
      </c>
      <c r="F182" s="16" t="s">
        <v>162</v>
      </c>
      <c r="G182" s="17" t="s">
        <v>2162</v>
      </c>
      <c r="H182" s="17" t="s">
        <v>3993</v>
      </c>
      <c r="I182" s="17" t="s">
        <v>34</v>
      </c>
      <c r="J182" s="37" t="s">
        <v>4457</v>
      </c>
      <c r="K182" s="18">
        <v>46144</v>
      </c>
      <c r="L182" s="18" t="s">
        <v>24</v>
      </c>
      <c r="M182" s="7" t="s">
        <v>25</v>
      </c>
      <c r="N182" s="17"/>
    </row>
    <row r="183" spans="1:14" ht="51" x14ac:dyDescent="0.25">
      <c r="A183" s="17">
        <v>182</v>
      </c>
      <c r="B183" s="16" t="s">
        <v>2161</v>
      </c>
      <c r="C183" s="17">
        <v>2</v>
      </c>
      <c r="D183" s="17">
        <v>17.3</v>
      </c>
      <c r="E183" s="17"/>
      <c r="F183" s="16" t="s">
        <v>162</v>
      </c>
      <c r="G183" s="17" t="s">
        <v>2163</v>
      </c>
      <c r="H183" s="17" t="s">
        <v>3643</v>
      </c>
      <c r="I183" s="17" t="s">
        <v>34</v>
      </c>
      <c r="J183" s="37" t="s">
        <v>4458</v>
      </c>
      <c r="K183" s="18">
        <v>46144</v>
      </c>
      <c r="L183" s="18" t="s">
        <v>24</v>
      </c>
      <c r="M183" s="7" t="s">
        <v>25</v>
      </c>
      <c r="N183" s="17"/>
    </row>
    <row r="184" spans="1:14" ht="51" x14ac:dyDescent="0.25">
      <c r="A184" s="17">
        <v>183</v>
      </c>
      <c r="B184" s="16" t="s">
        <v>2161</v>
      </c>
      <c r="C184" s="17">
        <v>3</v>
      </c>
      <c r="D184" s="17">
        <v>16.899999999999999</v>
      </c>
      <c r="E184" s="17">
        <v>10.5</v>
      </c>
      <c r="F184" s="16" t="s">
        <v>162</v>
      </c>
      <c r="G184" s="17" t="s">
        <v>2163</v>
      </c>
      <c r="H184" s="17" t="s">
        <v>3643</v>
      </c>
      <c r="I184" s="17" t="s">
        <v>34</v>
      </c>
      <c r="J184" s="37" t="s">
        <v>4458</v>
      </c>
      <c r="K184" s="18">
        <v>46144</v>
      </c>
      <c r="L184" s="18" t="s">
        <v>24</v>
      </c>
      <c r="M184" s="7" t="s">
        <v>25</v>
      </c>
      <c r="N184" s="17"/>
    </row>
    <row r="185" spans="1:14" ht="25.5" x14ac:dyDescent="0.25">
      <c r="A185" s="17">
        <v>184</v>
      </c>
      <c r="B185" s="16" t="s">
        <v>2164</v>
      </c>
      <c r="C185" s="17">
        <v>1</v>
      </c>
      <c r="D185" s="17">
        <v>15.5</v>
      </c>
      <c r="E185" s="17">
        <v>10.199999999999999</v>
      </c>
      <c r="F185" s="16" t="s">
        <v>101</v>
      </c>
      <c r="G185" s="17" t="s">
        <v>2165</v>
      </c>
      <c r="H185" s="17" t="s">
        <v>3994</v>
      </c>
      <c r="I185" s="17" t="s">
        <v>51</v>
      </c>
      <c r="J185" s="37" t="s">
        <v>4230</v>
      </c>
      <c r="K185" s="18">
        <v>46133</v>
      </c>
      <c r="L185" s="18" t="s">
        <v>24</v>
      </c>
      <c r="M185" s="7" t="s">
        <v>25</v>
      </c>
      <c r="N185" s="17"/>
    </row>
    <row r="186" spans="1:14" ht="25.5" x14ac:dyDescent="0.25">
      <c r="A186" s="17">
        <v>185</v>
      </c>
      <c r="B186" s="16" t="s">
        <v>2164</v>
      </c>
      <c r="C186" s="17">
        <v>2</v>
      </c>
      <c r="D186" s="17">
        <v>17.399999999999999</v>
      </c>
      <c r="E186" s="17"/>
      <c r="F186" s="16" t="s">
        <v>101</v>
      </c>
      <c r="G186" s="17" t="s">
        <v>2165</v>
      </c>
      <c r="H186" s="17" t="s">
        <v>3994</v>
      </c>
      <c r="I186" s="17" t="s">
        <v>51</v>
      </c>
      <c r="J186" s="37" t="s">
        <v>4230</v>
      </c>
      <c r="K186" s="18">
        <v>46133</v>
      </c>
      <c r="L186" s="18" t="s">
        <v>24</v>
      </c>
      <c r="M186" s="7" t="s">
        <v>25</v>
      </c>
      <c r="N186" s="17"/>
    </row>
    <row r="187" spans="1:14" ht="25.5" x14ac:dyDescent="0.25">
      <c r="A187" s="17">
        <v>186</v>
      </c>
      <c r="B187" s="16" t="s">
        <v>2164</v>
      </c>
      <c r="C187" s="17">
        <v>3</v>
      </c>
      <c r="D187" s="17">
        <v>11.9</v>
      </c>
      <c r="E187" s="17">
        <v>10.7</v>
      </c>
      <c r="F187" s="16" t="s">
        <v>101</v>
      </c>
      <c r="G187" s="17" t="s">
        <v>2165</v>
      </c>
      <c r="H187" s="17" t="s">
        <v>3995</v>
      </c>
      <c r="I187" s="17" t="s">
        <v>51</v>
      </c>
      <c r="J187" s="37" t="s">
        <v>4223</v>
      </c>
      <c r="K187" s="18">
        <v>46156</v>
      </c>
      <c r="L187" s="18" t="s">
        <v>24</v>
      </c>
      <c r="M187" s="7" t="s">
        <v>25</v>
      </c>
      <c r="N187" s="17"/>
    </row>
    <row r="188" spans="1:14" ht="25.5" x14ac:dyDescent="0.25">
      <c r="A188" s="34">
        <v>187</v>
      </c>
      <c r="B188" s="35" t="s">
        <v>2166</v>
      </c>
      <c r="C188" s="34">
        <v>1</v>
      </c>
      <c r="D188" s="34">
        <v>15.6</v>
      </c>
      <c r="E188" s="34">
        <v>11</v>
      </c>
      <c r="F188" s="35" t="s">
        <v>121</v>
      </c>
      <c r="G188" s="34" t="s">
        <v>2167</v>
      </c>
      <c r="H188" s="17" t="s">
        <v>3996</v>
      </c>
      <c r="I188" s="17" t="s">
        <v>2032</v>
      </c>
      <c r="J188" s="37" t="s">
        <v>4607</v>
      </c>
      <c r="K188" s="18">
        <v>46154</v>
      </c>
      <c r="L188" s="18" t="s">
        <v>24</v>
      </c>
      <c r="M188" s="7" t="s">
        <v>25</v>
      </c>
      <c r="N188" s="17"/>
    </row>
    <row r="189" spans="1:14" ht="25.5" x14ac:dyDescent="0.25">
      <c r="A189" s="17">
        <v>188</v>
      </c>
      <c r="B189" s="16" t="s">
        <v>2166</v>
      </c>
      <c r="C189" s="17">
        <v>2</v>
      </c>
      <c r="D189" s="17">
        <v>16.5</v>
      </c>
      <c r="E189" s="17"/>
      <c r="F189" s="16" t="s">
        <v>343</v>
      </c>
      <c r="G189" s="17" t="s">
        <v>2168</v>
      </c>
      <c r="H189" s="17" t="s">
        <v>3577</v>
      </c>
      <c r="I189" s="17" t="s">
        <v>28</v>
      </c>
      <c r="J189" s="37" t="s">
        <v>4203</v>
      </c>
      <c r="K189" s="18">
        <v>46147</v>
      </c>
      <c r="L189" s="18" t="s">
        <v>24</v>
      </c>
      <c r="M189" s="7" t="s">
        <v>25</v>
      </c>
      <c r="N189" s="17"/>
    </row>
    <row r="190" spans="1:14" ht="63.75" x14ac:dyDescent="0.25">
      <c r="A190" s="17">
        <v>189</v>
      </c>
      <c r="B190" s="16" t="s">
        <v>2166</v>
      </c>
      <c r="C190" s="17">
        <v>3</v>
      </c>
      <c r="D190" s="17">
        <v>12.2</v>
      </c>
      <c r="E190" s="17">
        <v>11.1</v>
      </c>
      <c r="F190" s="16" t="s">
        <v>126</v>
      </c>
      <c r="G190" s="17" t="s">
        <v>4880</v>
      </c>
      <c r="H190" s="17" t="s">
        <v>3997</v>
      </c>
      <c r="I190" s="17" t="s">
        <v>34</v>
      </c>
      <c r="J190" s="37" t="s">
        <v>4264</v>
      </c>
      <c r="K190" s="18">
        <v>46150</v>
      </c>
      <c r="L190" s="18" t="s">
        <v>24</v>
      </c>
      <c r="M190" s="7" t="s">
        <v>25</v>
      </c>
      <c r="N190" s="17"/>
    </row>
    <row r="191" spans="1:14" ht="63.75" x14ac:dyDescent="0.25">
      <c r="A191" s="17">
        <v>190</v>
      </c>
      <c r="B191" s="16" t="s">
        <v>2169</v>
      </c>
      <c r="C191" s="17">
        <v>1</v>
      </c>
      <c r="D191" s="17">
        <v>16.8</v>
      </c>
      <c r="E191" s="17">
        <v>11.1</v>
      </c>
      <c r="F191" s="16" t="s">
        <v>31</v>
      </c>
      <c r="G191" s="17" t="s">
        <v>2170</v>
      </c>
      <c r="H191" s="17" t="s">
        <v>3644</v>
      </c>
      <c r="I191" s="17" t="s">
        <v>34</v>
      </c>
      <c r="J191" s="37" t="s">
        <v>4702</v>
      </c>
      <c r="K191" s="18">
        <v>46147</v>
      </c>
      <c r="L191" s="18" t="s">
        <v>24</v>
      </c>
      <c r="M191" s="7" t="s">
        <v>25</v>
      </c>
      <c r="N191" s="17"/>
    </row>
    <row r="192" spans="1:14" ht="51" x14ac:dyDescent="0.25">
      <c r="A192" s="17">
        <v>191</v>
      </c>
      <c r="B192" s="16" t="s">
        <v>2169</v>
      </c>
      <c r="C192" s="17">
        <v>2</v>
      </c>
      <c r="D192" s="17">
        <v>16.2</v>
      </c>
      <c r="E192" s="17"/>
      <c r="F192" s="16" t="s">
        <v>62</v>
      </c>
      <c r="G192" s="17" t="s">
        <v>4904</v>
      </c>
      <c r="H192" s="17" t="s">
        <v>3645</v>
      </c>
      <c r="I192" s="17" t="s">
        <v>34</v>
      </c>
      <c r="J192" s="37" t="s">
        <v>4514</v>
      </c>
      <c r="K192" s="18">
        <v>46137</v>
      </c>
      <c r="L192" s="18" t="s">
        <v>24</v>
      </c>
      <c r="M192" s="7" t="s">
        <v>25</v>
      </c>
      <c r="N192" s="17"/>
    </row>
    <row r="193" spans="1:14" ht="51" x14ac:dyDescent="0.25">
      <c r="A193" s="17">
        <v>192</v>
      </c>
      <c r="B193" s="16" t="s">
        <v>2169</v>
      </c>
      <c r="C193" s="17">
        <v>3</v>
      </c>
      <c r="D193" s="17">
        <v>12.5</v>
      </c>
      <c r="E193" s="17">
        <v>11.1</v>
      </c>
      <c r="F193" s="16" t="s">
        <v>62</v>
      </c>
      <c r="G193" s="17" t="s">
        <v>4904</v>
      </c>
      <c r="H193" s="17" t="s">
        <v>3645</v>
      </c>
      <c r="I193" s="17" t="s">
        <v>34</v>
      </c>
      <c r="J193" s="37" t="s">
        <v>4514</v>
      </c>
      <c r="K193" s="18">
        <v>46137</v>
      </c>
      <c r="L193" s="18" t="s">
        <v>24</v>
      </c>
      <c r="M193" s="7" t="s">
        <v>25</v>
      </c>
      <c r="N193" s="17"/>
    </row>
    <row r="194" spans="1:14" ht="63.75" x14ac:dyDescent="0.25">
      <c r="A194" s="17">
        <v>193</v>
      </c>
      <c r="B194" s="16" t="s">
        <v>2171</v>
      </c>
      <c r="C194" s="17">
        <v>1</v>
      </c>
      <c r="D194" s="17">
        <v>16.7</v>
      </c>
      <c r="E194" s="17">
        <v>10.5</v>
      </c>
      <c r="F194" s="16" t="s">
        <v>121</v>
      </c>
      <c r="G194" s="17" t="s">
        <v>2172</v>
      </c>
      <c r="H194" s="17" t="s">
        <v>3998</v>
      </c>
      <c r="I194" s="17" t="s">
        <v>34</v>
      </c>
      <c r="J194" s="37" t="s">
        <v>4608</v>
      </c>
      <c r="K194" s="18">
        <v>46141</v>
      </c>
      <c r="L194" s="18" t="s">
        <v>24</v>
      </c>
      <c r="M194" s="7" t="s">
        <v>25</v>
      </c>
      <c r="N194" s="17"/>
    </row>
    <row r="195" spans="1:14" ht="63.75" x14ac:dyDescent="0.25">
      <c r="A195" s="17">
        <v>194</v>
      </c>
      <c r="B195" s="16" t="s">
        <v>2171</v>
      </c>
      <c r="C195" s="17">
        <v>2</v>
      </c>
      <c r="D195" s="17">
        <v>16.600000000000001</v>
      </c>
      <c r="E195" s="17"/>
      <c r="F195" s="16" t="s">
        <v>121</v>
      </c>
      <c r="G195" s="17" t="s">
        <v>2172</v>
      </c>
      <c r="H195" s="17" t="s">
        <v>3998</v>
      </c>
      <c r="I195" s="17" t="s">
        <v>34</v>
      </c>
      <c r="J195" s="37" t="s">
        <v>4609</v>
      </c>
      <c r="K195" s="18">
        <v>46156</v>
      </c>
      <c r="L195" s="18" t="s">
        <v>24</v>
      </c>
      <c r="M195" s="7" t="s">
        <v>25</v>
      </c>
      <c r="N195" s="17"/>
    </row>
    <row r="196" spans="1:14" ht="25.5" x14ac:dyDescent="0.25">
      <c r="A196" s="17">
        <v>195</v>
      </c>
      <c r="B196" s="16" t="s">
        <v>2171</v>
      </c>
      <c r="C196" s="17">
        <v>3</v>
      </c>
      <c r="D196" s="17">
        <v>12.1</v>
      </c>
      <c r="E196" s="17">
        <v>10.7</v>
      </c>
      <c r="F196" s="16" t="s">
        <v>338</v>
      </c>
      <c r="G196" s="17" t="s">
        <v>2173</v>
      </c>
      <c r="H196" s="17" t="s">
        <v>3646</v>
      </c>
      <c r="I196" s="17" t="s">
        <v>28</v>
      </c>
      <c r="J196" s="37" t="s">
        <v>4408</v>
      </c>
      <c r="K196" s="18">
        <v>46156</v>
      </c>
      <c r="L196" s="18" t="s">
        <v>24</v>
      </c>
      <c r="M196" s="7" t="s">
        <v>25</v>
      </c>
      <c r="N196" s="17"/>
    </row>
    <row r="197" spans="1:14" ht="25.5" x14ac:dyDescent="0.25">
      <c r="A197" s="17">
        <v>196</v>
      </c>
      <c r="B197" s="16" t="s">
        <v>2174</v>
      </c>
      <c r="C197" s="17">
        <v>1</v>
      </c>
      <c r="D197" s="17">
        <v>16.5</v>
      </c>
      <c r="E197" s="17">
        <v>10.5</v>
      </c>
      <c r="F197" s="16" t="s">
        <v>338</v>
      </c>
      <c r="G197" s="17" t="s">
        <v>2175</v>
      </c>
      <c r="H197" s="17" t="s">
        <v>3647</v>
      </c>
      <c r="I197" s="17" t="s">
        <v>28</v>
      </c>
      <c r="J197" s="37" t="s">
        <v>4409</v>
      </c>
      <c r="K197" s="18">
        <v>46150</v>
      </c>
      <c r="L197" s="18" t="s">
        <v>24</v>
      </c>
      <c r="M197" s="7" t="s">
        <v>25</v>
      </c>
      <c r="N197" s="17"/>
    </row>
    <row r="198" spans="1:14" ht="25.5" x14ac:dyDescent="0.25">
      <c r="A198" s="17">
        <v>197</v>
      </c>
      <c r="B198" s="16" t="s">
        <v>2174</v>
      </c>
      <c r="C198" s="17">
        <v>2</v>
      </c>
      <c r="D198" s="17">
        <v>15.5</v>
      </c>
      <c r="E198" s="17"/>
      <c r="F198" s="16" t="s">
        <v>31</v>
      </c>
      <c r="G198" s="17" t="s">
        <v>2176</v>
      </c>
      <c r="H198" s="17" t="s">
        <v>3999</v>
      </c>
      <c r="I198" s="17" t="s">
        <v>22</v>
      </c>
      <c r="J198" s="37" t="s">
        <v>4703</v>
      </c>
      <c r="K198" s="18">
        <v>46147</v>
      </c>
      <c r="L198" s="18" t="s">
        <v>24</v>
      </c>
      <c r="M198" s="7" t="s">
        <v>25</v>
      </c>
      <c r="N198" s="17"/>
    </row>
    <row r="199" spans="1:14" ht="63.75" x14ac:dyDescent="0.25">
      <c r="A199" s="17">
        <v>198</v>
      </c>
      <c r="B199" s="16" t="s">
        <v>2174</v>
      </c>
      <c r="C199" s="17">
        <v>3</v>
      </c>
      <c r="D199" s="17">
        <v>13</v>
      </c>
      <c r="E199" s="17">
        <v>10.6</v>
      </c>
      <c r="F199" s="16" t="s">
        <v>31</v>
      </c>
      <c r="G199" s="17" t="s">
        <v>4922</v>
      </c>
      <c r="H199" s="17" t="s">
        <v>4000</v>
      </c>
      <c r="I199" s="17" t="s">
        <v>34</v>
      </c>
      <c r="J199" s="37" t="s">
        <v>4704</v>
      </c>
      <c r="K199" s="18">
        <v>46148</v>
      </c>
      <c r="L199" s="18" t="s">
        <v>24</v>
      </c>
      <c r="M199" s="7" t="s">
        <v>25</v>
      </c>
      <c r="N199" s="17"/>
    </row>
    <row r="200" spans="1:14" ht="25.5" x14ac:dyDescent="0.25">
      <c r="A200" s="17">
        <v>199</v>
      </c>
      <c r="B200" s="16" t="s">
        <v>2177</v>
      </c>
      <c r="C200" s="17">
        <v>1</v>
      </c>
      <c r="D200" s="17">
        <v>11</v>
      </c>
      <c r="E200" s="17">
        <v>11</v>
      </c>
      <c r="F200" s="16" t="s">
        <v>162</v>
      </c>
      <c r="G200" s="17" t="s">
        <v>2178</v>
      </c>
      <c r="H200" s="17" t="s">
        <v>3839</v>
      </c>
      <c r="I200" s="17" t="s">
        <v>28</v>
      </c>
      <c r="J200" s="37" t="s">
        <v>4459</v>
      </c>
      <c r="K200" s="18">
        <v>46154</v>
      </c>
      <c r="L200" s="18" t="s">
        <v>24</v>
      </c>
      <c r="M200" s="7" t="s">
        <v>25</v>
      </c>
      <c r="N200" s="17"/>
    </row>
    <row r="201" spans="1:14" ht="25.5" x14ac:dyDescent="0.25">
      <c r="A201" s="17">
        <v>200</v>
      </c>
      <c r="B201" s="16" t="s">
        <v>2177</v>
      </c>
      <c r="C201" s="17">
        <v>2</v>
      </c>
      <c r="D201" s="17">
        <v>18.2</v>
      </c>
      <c r="E201" s="17">
        <v>11</v>
      </c>
      <c r="F201" s="16" t="s">
        <v>101</v>
      </c>
      <c r="G201" s="17" t="s">
        <v>2179</v>
      </c>
      <c r="H201" s="17" t="s">
        <v>3840</v>
      </c>
      <c r="I201" s="17" t="s">
        <v>34</v>
      </c>
      <c r="J201" s="37" t="s">
        <v>4231</v>
      </c>
      <c r="K201" s="18">
        <v>46156</v>
      </c>
      <c r="L201" s="18" t="s">
        <v>24</v>
      </c>
      <c r="M201" s="7" t="s">
        <v>25</v>
      </c>
      <c r="N201" s="17"/>
    </row>
    <row r="202" spans="1:14" ht="25.5" x14ac:dyDescent="0.25">
      <c r="A202" s="17">
        <v>201</v>
      </c>
      <c r="B202" s="16" t="s">
        <v>2177</v>
      </c>
      <c r="C202" s="17">
        <v>3</v>
      </c>
      <c r="D202" s="17">
        <v>18</v>
      </c>
      <c r="E202" s="17"/>
      <c r="F202" s="16" t="s">
        <v>19</v>
      </c>
      <c r="G202" s="17" t="s">
        <v>2180</v>
      </c>
      <c r="H202" s="17" t="s">
        <v>3648</v>
      </c>
      <c r="I202" s="17" t="s">
        <v>28</v>
      </c>
      <c r="J202" s="37" t="s">
        <v>4337</v>
      </c>
      <c r="K202" s="18">
        <v>46154</v>
      </c>
      <c r="L202" s="18" t="s">
        <v>24</v>
      </c>
      <c r="M202" s="7" t="s">
        <v>25</v>
      </c>
      <c r="N202" s="17"/>
    </row>
    <row r="203" spans="1:14" ht="25.5" x14ac:dyDescent="0.25">
      <c r="A203" s="17">
        <v>202</v>
      </c>
      <c r="B203" s="16" t="s">
        <v>2181</v>
      </c>
      <c r="C203" s="17">
        <v>1</v>
      </c>
      <c r="D203" s="17">
        <v>16.7</v>
      </c>
      <c r="E203" s="17">
        <v>11.1</v>
      </c>
      <c r="F203" s="16" t="s">
        <v>31</v>
      </c>
      <c r="G203" s="17" t="s">
        <v>2182</v>
      </c>
      <c r="H203" s="17" t="s">
        <v>4001</v>
      </c>
      <c r="I203" s="17" t="s">
        <v>28</v>
      </c>
      <c r="J203" s="37" t="s">
        <v>4705</v>
      </c>
      <c r="K203" s="18">
        <v>46156</v>
      </c>
      <c r="L203" s="18" t="s">
        <v>24</v>
      </c>
      <c r="M203" s="7" t="s">
        <v>25</v>
      </c>
      <c r="N203" s="17"/>
    </row>
    <row r="204" spans="1:14" ht="63.75" x14ac:dyDescent="0.25">
      <c r="A204" s="17">
        <v>203</v>
      </c>
      <c r="B204" s="16" t="s">
        <v>2181</v>
      </c>
      <c r="C204" s="17">
        <v>2</v>
      </c>
      <c r="D204" s="17">
        <v>16.5</v>
      </c>
      <c r="E204" s="17"/>
      <c r="F204" s="16" t="s">
        <v>126</v>
      </c>
      <c r="G204" s="17" t="s">
        <v>2183</v>
      </c>
      <c r="H204" s="17" t="s">
        <v>3649</v>
      </c>
      <c r="I204" s="17" t="s">
        <v>34</v>
      </c>
      <c r="J204" s="37" t="s">
        <v>4265</v>
      </c>
      <c r="K204" s="18">
        <v>46149</v>
      </c>
      <c r="L204" s="18" t="s">
        <v>24</v>
      </c>
      <c r="M204" s="7" t="s">
        <v>25</v>
      </c>
      <c r="N204" s="17"/>
    </row>
    <row r="205" spans="1:14" ht="63.75" x14ac:dyDescent="0.25">
      <c r="A205" s="17">
        <v>204</v>
      </c>
      <c r="B205" s="16" t="s">
        <v>2181</v>
      </c>
      <c r="C205" s="17">
        <v>3</v>
      </c>
      <c r="D205" s="17">
        <v>13.1</v>
      </c>
      <c r="E205" s="17">
        <v>11</v>
      </c>
      <c r="F205" s="16" t="s">
        <v>31</v>
      </c>
      <c r="G205" s="17" t="s">
        <v>4923</v>
      </c>
      <c r="H205" s="17" t="s">
        <v>4002</v>
      </c>
      <c r="I205" s="17" t="s">
        <v>34</v>
      </c>
      <c r="J205" s="37" t="s">
        <v>4706</v>
      </c>
      <c r="K205" s="18">
        <v>46149</v>
      </c>
      <c r="L205" s="18" t="s">
        <v>24</v>
      </c>
      <c r="M205" s="7" t="s">
        <v>25</v>
      </c>
      <c r="N205" s="17"/>
    </row>
    <row r="206" spans="1:14" ht="25.5" x14ac:dyDescent="0.25">
      <c r="A206" s="17">
        <v>205</v>
      </c>
      <c r="B206" s="16" t="s">
        <v>2184</v>
      </c>
      <c r="C206" s="17">
        <v>1</v>
      </c>
      <c r="D206" s="17">
        <v>17.2</v>
      </c>
      <c r="E206" s="17">
        <v>10.8</v>
      </c>
      <c r="F206" s="16" t="s">
        <v>121</v>
      </c>
      <c r="G206" s="17" t="s">
        <v>2185</v>
      </c>
      <c r="H206" s="17" t="s">
        <v>4003</v>
      </c>
      <c r="I206" s="17" t="s">
        <v>28</v>
      </c>
      <c r="J206" s="37" t="s">
        <v>4611</v>
      </c>
      <c r="K206" s="18">
        <v>46134</v>
      </c>
      <c r="L206" s="18" t="s">
        <v>24</v>
      </c>
      <c r="M206" s="7" t="s">
        <v>25</v>
      </c>
      <c r="N206" s="17"/>
    </row>
    <row r="207" spans="1:14" ht="25.5" x14ac:dyDescent="0.25">
      <c r="A207" s="17">
        <v>206</v>
      </c>
      <c r="B207" s="16" t="s">
        <v>2184</v>
      </c>
      <c r="C207" s="17">
        <v>2</v>
      </c>
      <c r="D207" s="17">
        <v>17.5</v>
      </c>
      <c r="E207" s="17"/>
      <c r="F207" s="16" t="s">
        <v>162</v>
      </c>
      <c r="G207" s="17" t="s">
        <v>2186</v>
      </c>
      <c r="H207" s="17" t="s">
        <v>4004</v>
      </c>
      <c r="I207" s="17" t="s">
        <v>267</v>
      </c>
      <c r="J207" s="37" t="s">
        <v>4460</v>
      </c>
      <c r="K207" s="18">
        <v>46154</v>
      </c>
      <c r="L207" s="18" t="s">
        <v>24</v>
      </c>
      <c r="M207" s="7" t="s">
        <v>25</v>
      </c>
      <c r="N207" s="17"/>
    </row>
    <row r="208" spans="1:14" ht="25.5" x14ac:dyDescent="0.25">
      <c r="A208" s="17">
        <v>207</v>
      </c>
      <c r="B208" s="16" t="s">
        <v>2184</v>
      </c>
      <c r="C208" s="17">
        <v>3</v>
      </c>
      <c r="D208" s="17">
        <v>12.2</v>
      </c>
      <c r="E208" s="17">
        <v>11.1</v>
      </c>
      <c r="F208" s="16" t="s">
        <v>54</v>
      </c>
      <c r="G208" s="17" t="s">
        <v>2187</v>
      </c>
      <c r="H208" s="17" t="s">
        <v>4005</v>
      </c>
      <c r="I208" s="17" t="s">
        <v>2032</v>
      </c>
      <c r="J208" s="37" t="s">
        <v>4759</v>
      </c>
      <c r="K208" s="18">
        <v>46137</v>
      </c>
      <c r="L208" s="18" t="s">
        <v>24</v>
      </c>
      <c r="M208" s="7" t="s">
        <v>25</v>
      </c>
      <c r="N208" s="17"/>
    </row>
    <row r="209" spans="1:14" ht="51" x14ac:dyDescent="0.25">
      <c r="A209" s="17">
        <v>208</v>
      </c>
      <c r="B209" s="16" t="s">
        <v>2188</v>
      </c>
      <c r="C209" s="17">
        <v>1</v>
      </c>
      <c r="D209" s="17">
        <v>16.899999999999999</v>
      </c>
      <c r="E209" s="17">
        <v>10.9</v>
      </c>
      <c r="F209" s="16" t="s">
        <v>151</v>
      </c>
      <c r="G209" s="17" t="s">
        <v>2189</v>
      </c>
      <c r="H209" s="17" t="s">
        <v>4006</v>
      </c>
      <c r="I209" s="17" t="s">
        <v>34</v>
      </c>
      <c r="J209" s="37" t="s">
        <v>4772</v>
      </c>
      <c r="K209" s="18">
        <v>46156</v>
      </c>
      <c r="L209" s="18" t="s">
        <v>24</v>
      </c>
      <c r="M209" s="7" t="s">
        <v>25</v>
      </c>
      <c r="N209" s="17"/>
    </row>
    <row r="210" spans="1:14" ht="25.5" x14ac:dyDescent="0.25">
      <c r="A210" s="17">
        <v>209</v>
      </c>
      <c r="B210" s="16" t="s">
        <v>2188</v>
      </c>
      <c r="C210" s="17">
        <v>2</v>
      </c>
      <c r="D210" s="17">
        <v>16.3</v>
      </c>
      <c r="E210" s="17"/>
      <c r="F210" s="16" t="s">
        <v>62</v>
      </c>
      <c r="G210" s="17" t="s">
        <v>2190</v>
      </c>
      <c r="H210" s="17" t="s">
        <v>3650</v>
      </c>
      <c r="I210" s="17" t="s">
        <v>42</v>
      </c>
      <c r="J210" s="37" t="s">
        <v>4515</v>
      </c>
      <c r="K210" s="18">
        <v>46156</v>
      </c>
      <c r="L210" s="18" t="s">
        <v>24</v>
      </c>
      <c r="M210" s="7" t="s">
        <v>25</v>
      </c>
      <c r="N210" s="17"/>
    </row>
    <row r="211" spans="1:14" ht="25.5" x14ac:dyDescent="0.25">
      <c r="A211" s="17">
        <v>210</v>
      </c>
      <c r="B211" s="16" t="s">
        <v>2188</v>
      </c>
      <c r="C211" s="17">
        <v>3</v>
      </c>
      <c r="D211" s="17">
        <v>11.7</v>
      </c>
      <c r="E211" s="17">
        <v>10.6</v>
      </c>
      <c r="F211" s="16" t="s">
        <v>151</v>
      </c>
      <c r="G211" s="17" t="s">
        <v>4962</v>
      </c>
      <c r="H211" s="17" t="s">
        <v>3841</v>
      </c>
      <c r="I211" s="17" t="s">
        <v>22</v>
      </c>
      <c r="J211" s="37" t="s">
        <v>4773</v>
      </c>
      <c r="K211" s="18">
        <v>46155</v>
      </c>
      <c r="L211" s="18" t="s">
        <v>24</v>
      </c>
      <c r="M211" s="7" t="s">
        <v>25</v>
      </c>
      <c r="N211" s="17"/>
    </row>
    <row r="212" spans="1:14" ht="25.5" x14ac:dyDescent="0.25">
      <c r="A212" s="17">
        <v>211</v>
      </c>
      <c r="B212" s="16" t="s">
        <v>2191</v>
      </c>
      <c r="C212" s="17">
        <v>1</v>
      </c>
      <c r="D212" s="17">
        <v>16.600000000000001</v>
      </c>
      <c r="E212" s="17">
        <v>10.7</v>
      </c>
      <c r="F212" s="16" t="s">
        <v>106</v>
      </c>
      <c r="G212" s="17" t="s">
        <v>2192</v>
      </c>
      <c r="H212" s="17" t="s">
        <v>4007</v>
      </c>
      <c r="I212" s="17" t="s">
        <v>28</v>
      </c>
      <c r="J212" s="37" t="s">
        <v>4553</v>
      </c>
      <c r="K212" s="18">
        <v>46144</v>
      </c>
      <c r="L212" s="18" t="s">
        <v>24</v>
      </c>
      <c r="M212" s="7" t="s">
        <v>25</v>
      </c>
      <c r="N212" s="17"/>
    </row>
    <row r="213" spans="1:14" ht="63.75" x14ac:dyDescent="0.25">
      <c r="A213" s="17">
        <v>212</v>
      </c>
      <c r="B213" s="16" t="s">
        <v>2191</v>
      </c>
      <c r="C213" s="17">
        <v>2</v>
      </c>
      <c r="D213" s="17">
        <v>16.5</v>
      </c>
      <c r="E213" s="17"/>
      <c r="F213" s="16" t="s">
        <v>31</v>
      </c>
      <c r="G213" s="17" t="s">
        <v>2193</v>
      </c>
      <c r="H213" s="17" t="s">
        <v>4008</v>
      </c>
      <c r="I213" s="17" t="s">
        <v>34</v>
      </c>
      <c r="J213" s="37" t="s">
        <v>4707</v>
      </c>
      <c r="K213" s="18">
        <v>46147</v>
      </c>
      <c r="L213" s="18" t="s">
        <v>24</v>
      </c>
      <c r="M213" s="7" t="s">
        <v>25</v>
      </c>
      <c r="N213" s="17"/>
    </row>
    <row r="214" spans="1:14" ht="63.75" x14ac:dyDescent="0.25">
      <c r="A214" s="17">
        <v>213</v>
      </c>
      <c r="B214" s="16" t="s">
        <v>2191</v>
      </c>
      <c r="C214" s="17">
        <v>3</v>
      </c>
      <c r="D214" s="17">
        <v>12.5</v>
      </c>
      <c r="E214" s="17">
        <v>10.8</v>
      </c>
      <c r="F214" s="16" t="s">
        <v>31</v>
      </c>
      <c r="G214" s="17" t="s">
        <v>2193</v>
      </c>
      <c r="H214" s="17" t="s">
        <v>4008</v>
      </c>
      <c r="I214" s="17" t="s">
        <v>34</v>
      </c>
      <c r="J214" s="37" t="s">
        <v>4707</v>
      </c>
      <c r="K214" s="18">
        <v>46147</v>
      </c>
      <c r="L214" s="18" t="s">
        <v>24</v>
      </c>
      <c r="M214" s="7" t="s">
        <v>25</v>
      </c>
      <c r="N214" s="17"/>
    </row>
    <row r="215" spans="1:14" ht="63.75" x14ac:dyDescent="0.25">
      <c r="A215" s="17">
        <v>214</v>
      </c>
      <c r="B215" s="16" t="s">
        <v>2194</v>
      </c>
      <c r="C215" s="17">
        <v>1</v>
      </c>
      <c r="D215" s="17">
        <v>16.7</v>
      </c>
      <c r="E215" s="17">
        <v>10.9</v>
      </c>
      <c r="F215" s="16" t="s">
        <v>162</v>
      </c>
      <c r="G215" s="17" t="s">
        <v>2195</v>
      </c>
      <c r="H215" s="17" t="s">
        <v>3651</v>
      </c>
      <c r="I215" s="17" t="s">
        <v>34</v>
      </c>
      <c r="J215" s="37" t="s">
        <v>4461</v>
      </c>
      <c r="K215" s="18">
        <v>46154</v>
      </c>
      <c r="L215" s="18" t="s">
        <v>24</v>
      </c>
      <c r="M215" s="7" t="s">
        <v>25</v>
      </c>
      <c r="N215" s="17"/>
    </row>
    <row r="216" spans="1:14" ht="25.5" x14ac:dyDescent="0.25">
      <c r="A216" s="17">
        <v>215</v>
      </c>
      <c r="B216" s="16" t="s">
        <v>2194</v>
      </c>
      <c r="C216" s="17">
        <v>2</v>
      </c>
      <c r="D216" s="17">
        <v>16.899999999999999</v>
      </c>
      <c r="E216" s="17"/>
      <c r="F216" s="16" t="s">
        <v>19</v>
      </c>
      <c r="G216" s="17" t="s">
        <v>2196</v>
      </c>
      <c r="H216" s="17" t="s">
        <v>3652</v>
      </c>
      <c r="I216" s="17" t="s">
        <v>51</v>
      </c>
      <c r="J216" s="37" t="s">
        <v>4338</v>
      </c>
      <c r="K216" s="18">
        <v>46144</v>
      </c>
      <c r="L216" s="18" t="s">
        <v>24</v>
      </c>
      <c r="M216" s="7" t="s">
        <v>25</v>
      </c>
      <c r="N216" s="17"/>
    </row>
    <row r="217" spans="1:14" ht="25.5" x14ac:dyDescent="0.25">
      <c r="A217" s="34">
        <v>216</v>
      </c>
      <c r="B217" s="35" t="s">
        <v>2194</v>
      </c>
      <c r="C217" s="34">
        <v>3</v>
      </c>
      <c r="D217" s="34">
        <v>12.8</v>
      </c>
      <c r="E217" s="34">
        <v>10.6</v>
      </c>
      <c r="F217" s="35" t="s">
        <v>31</v>
      </c>
      <c r="G217" s="34" t="s">
        <v>2197</v>
      </c>
      <c r="H217" s="17" t="s">
        <v>3653</v>
      </c>
      <c r="I217" s="17" t="s">
        <v>267</v>
      </c>
      <c r="J217" s="37" t="s">
        <v>4708</v>
      </c>
      <c r="K217" s="18">
        <v>46147</v>
      </c>
      <c r="L217" s="18" t="s">
        <v>24</v>
      </c>
      <c r="M217" s="7" t="s">
        <v>25</v>
      </c>
      <c r="N217" s="17"/>
    </row>
    <row r="218" spans="1:14" ht="63.75" x14ac:dyDescent="0.25">
      <c r="A218" s="17">
        <v>217</v>
      </c>
      <c r="B218" s="16" t="s">
        <v>2198</v>
      </c>
      <c r="C218" s="17">
        <v>1</v>
      </c>
      <c r="D218" s="17">
        <v>16.2</v>
      </c>
      <c r="E218" s="17">
        <v>10</v>
      </c>
      <c r="F218" s="16" t="s">
        <v>162</v>
      </c>
      <c r="G218" s="17" t="s">
        <v>4899</v>
      </c>
      <c r="H218" s="17" t="s">
        <v>3654</v>
      </c>
      <c r="I218" s="17" t="s">
        <v>293</v>
      </c>
      <c r="J218" s="37" t="s">
        <v>4462</v>
      </c>
      <c r="K218" s="18">
        <v>46154</v>
      </c>
      <c r="L218" s="18" t="s">
        <v>24</v>
      </c>
      <c r="M218" s="7" t="s">
        <v>25</v>
      </c>
      <c r="N218" s="17"/>
    </row>
    <row r="219" spans="1:14" ht="25.5" x14ac:dyDescent="0.25">
      <c r="A219" s="17">
        <v>218</v>
      </c>
      <c r="B219" s="16" t="s">
        <v>2198</v>
      </c>
      <c r="C219" s="17">
        <v>2</v>
      </c>
      <c r="D219" s="17">
        <v>16.100000000000001</v>
      </c>
      <c r="E219" s="17"/>
      <c r="F219" s="16" t="s">
        <v>162</v>
      </c>
      <c r="G219" s="17" t="s">
        <v>2199</v>
      </c>
      <c r="H219" s="17" t="s">
        <v>3842</v>
      </c>
      <c r="I219" s="17" t="s">
        <v>28</v>
      </c>
      <c r="J219" s="37" t="s">
        <v>4463</v>
      </c>
      <c r="K219" s="18">
        <v>46144</v>
      </c>
      <c r="L219" s="18" t="s">
        <v>24</v>
      </c>
      <c r="M219" s="7" t="s">
        <v>25</v>
      </c>
      <c r="N219" s="17"/>
    </row>
    <row r="220" spans="1:14" ht="25.5" x14ac:dyDescent="0.25">
      <c r="A220" s="17">
        <v>219</v>
      </c>
      <c r="B220" s="16" t="s">
        <v>2198</v>
      </c>
      <c r="C220" s="17">
        <v>3</v>
      </c>
      <c r="D220" s="17">
        <v>13.3</v>
      </c>
      <c r="E220" s="17">
        <v>10.7</v>
      </c>
      <c r="F220" s="16" t="s">
        <v>162</v>
      </c>
      <c r="G220" s="17" t="s">
        <v>2199</v>
      </c>
      <c r="H220" s="17" t="s">
        <v>3842</v>
      </c>
      <c r="I220" s="17" t="s">
        <v>28</v>
      </c>
      <c r="J220" s="37" t="s">
        <v>4463</v>
      </c>
      <c r="K220" s="18">
        <v>46144</v>
      </c>
      <c r="L220" s="18" t="s">
        <v>24</v>
      </c>
      <c r="M220" s="7" t="s">
        <v>25</v>
      </c>
      <c r="N220" s="17"/>
    </row>
    <row r="221" spans="1:14" ht="51" x14ac:dyDescent="0.25">
      <c r="A221" s="17">
        <v>220</v>
      </c>
      <c r="B221" s="16" t="s">
        <v>2200</v>
      </c>
      <c r="C221" s="17">
        <v>1</v>
      </c>
      <c r="D221" s="17">
        <v>17.399999999999999</v>
      </c>
      <c r="E221" s="17">
        <v>11.7</v>
      </c>
      <c r="F221" s="16" t="s">
        <v>19</v>
      </c>
      <c r="G221" s="17" t="s">
        <v>2201</v>
      </c>
      <c r="H221" s="17" t="s">
        <v>4009</v>
      </c>
      <c r="I221" s="17" t="s">
        <v>34</v>
      </c>
      <c r="J221" s="37" t="s">
        <v>4339</v>
      </c>
      <c r="K221" s="18">
        <v>46134</v>
      </c>
      <c r="L221" s="18" t="s">
        <v>24</v>
      </c>
      <c r="M221" s="7" t="s">
        <v>25</v>
      </c>
      <c r="N221" s="17"/>
    </row>
    <row r="222" spans="1:14" ht="63.75" x14ac:dyDescent="0.25">
      <c r="A222" s="17">
        <v>221</v>
      </c>
      <c r="B222" s="16" t="s">
        <v>2200</v>
      </c>
      <c r="C222" s="17">
        <v>2</v>
      </c>
      <c r="D222" s="17">
        <v>18</v>
      </c>
      <c r="E222" s="17"/>
      <c r="F222" s="16" t="s">
        <v>19</v>
      </c>
      <c r="G222" s="17" t="s">
        <v>2202</v>
      </c>
      <c r="H222" s="17" t="s">
        <v>4010</v>
      </c>
      <c r="I222" s="17" t="s">
        <v>34</v>
      </c>
      <c r="J222" s="37" t="s">
        <v>4340</v>
      </c>
      <c r="K222" s="18">
        <v>46134</v>
      </c>
      <c r="L222" s="18" t="s">
        <v>24</v>
      </c>
      <c r="M222" s="7" t="s">
        <v>25</v>
      </c>
      <c r="N222" s="17"/>
    </row>
    <row r="223" spans="1:14" ht="51" x14ac:dyDescent="0.25">
      <c r="A223" s="17">
        <v>222</v>
      </c>
      <c r="B223" s="16" t="s">
        <v>2200</v>
      </c>
      <c r="C223" s="17">
        <v>3</v>
      </c>
      <c r="D223" s="17">
        <v>13.8</v>
      </c>
      <c r="E223" s="17">
        <v>11.6</v>
      </c>
      <c r="F223" s="16" t="s">
        <v>19</v>
      </c>
      <c r="G223" s="17" t="s">
        <v>2203</v>
      </c>
      <c r="H223" s="17" t="s">
        <v>4011</v>
      </c>
      <c r="I223" s="17" t="s">
        <v>34</v>
      </c>
      <c r="J223" s="37" t="s">
        <v>4341</v>
      </c>
      <c r="K223" s="18">
        <v>46134</v>
      </c>
      <c r="L223" s="18" t="s">
        <v>24</v>
      </c>
      <c r="M223" s="7" t="s">
        <v>25</v>
      </c>
      <c r="N223" s="17"/>
    </row>
    <row r="224" spans="1:14" ht="63.75" x14ac:dyDescent="0.25">
      <c r="A224" s="17">
        <v>223</v>
      </c>
      <c r="B224" s="16" t="s">
        <v>2204</v>
      </c>
      <c r="C224" s="17">
        <v>1</v>
      </c>
      <c r="D224" s="17">
        <v>16.600000000000001</v>
      </c>
      <c r="E224" s="17"/>
      <c r="F224" s="16" t="s">
        <v>31</v>
      </c>
      <c r="G224" s="17" t="s">
        <v>2205</v>
      </c>
      <c r="H224" s="17" t="s">
        <v>3655</v>
      </c>
      <c r="I224" s="17" t="s">
        <v>34</v>
      </c>
      <c r="J224" s="37" t="s">
        <v>4709</v>
      </c>
      <c r="K224" s="18">
        <v>46136</v>
      </c>
      <c r="L224" s="18" t="s">
        <v>24</v>
      </c>
      <c r="M224" s="7" t="s">
        <v>25</v>
      </c>
      <c r="N224" s="17"/>
    </row>
    <row r="225" spans="1:14" ht="25.5" x14ac:dyDescent="0.25">
      <c r="A225" s="17">
        <v>224</v>
      </c>
      <c r="B225" s="16" t="s">
        <v>2204</v>
      </c>
      <c r="C225" s="17">
        <v>2</v>
      </c>
      <c r="D225" s="17">
        <v>17.2</v>
      </c>
      <c r="E225" s="17">
        <v>10.8</v>
      </c>
      <c r="F225" s="16" t="s">
        <v>151</v>
      </c>
      <c r="G225" s="17" t="s">
        <v>2206</v>
      </c>
      <c r="H225" s="17" t="s">
        <v>4195</v>
      </c>
      <c r="I225" s="17" t="s">
        <v>28</v>
      </c>
      <c r="J225" s="37" t="s">
        <v>4774</v>
      </c>
      <c r="K225" s="18">
        <v>46156</v>
      </c>
      <c r="L225" s="18" t="s">
        <v>24</v>
      </c>
      <c r="M225" s="7" t="s">
        <v>25</v>
      </c>
      <c r="N225" s="17"/>
    </row>
    <row r="226" spans="1:14" ht="25.5" x14ac:dyDescent="0.25">
      <c r="A226" s="17">
        <v>225</v>
      </c>
      <c r="B226" s="16" t="s">
        <v>2204</v>
      </c>
      <c r="C226" s="17">
        <v>3</v>
      </c>
      <c r="D226" s="17">
        <v>12.3</v>
      </c>
      <c r="E226" s="17">
        <v>10.9</v>
      </c>
      <c r="F226" s="16" t="s">
        <v>151</v>
      </c>
      <c r="G226" s="17" t="s">
        <v>2206</v>
      </c>
      <c r="H226" s="17" t="s">
        <v>4195</v>
      </c>
      <c r="I226" s="17" t="s">
        <v>28</v>
      </c>
      <c r="J226" s="37" t="s">
        <v>4775</v>
      </c>
      <c r="K226" s="18">
        <v>46136</v>
      </c>
      <c r="L226" s="18" t="s">
        <v>24</v>
      </c>
      <c r="M226" s="7" t="s">
        <v>25</v>
      </c>
      <c r="N226" s="17"/>
    </row>
    <row r="227" spans="1:14" ht="51" x14ac:dyDescent="0.25">
      <c r="A227" s="17">
        <v>226</v>
      </c>
      <c r="B227" s="16" t="s">
        <v>2207</v>
      </c>
      <c r="C227" s="17">
        <v>1</v>
      </c>
      <c r="D227" s="17">
        <v>16.7</v>
      </c>
      <c r="E227" s="17">
        <v>10.9</v>
      </c>
      <c r="F227" s="16" t="s">
        <v>151</v>
      </c>
      <c r="G227" s="17" t="s">
        <v>2208</v>
      </c>
      <c r="H227" s="17" t="s">
        <v>4012</v>
      </c>
      <c r="I227" s="17" t="s">
        <v>34</v>
      </c>
      <c r="J227" s="37" t="s">
        <v>4776</v>
      </c>
      <c r="K227" s="18">
        <v>46155</v>
      </c>
      <c r="L227" s="18" t="s">
        <v>24</v>
      </c>
      <c r="M227" s="7" t="s">
        <v>25</v>
      </c>
      <c r="N227" s="17"/>
    </row>
    <row r="228" spans="1:14" ht="25.5" x14ac:dyDescent="0.25">
      <c r="A228" s="17">
        <v>227</v>
      </c>
      <c r="B228" s="16" t="s">
        <v>2207</v>
      </c>
      <c r="C228" s="17">
        <v>2</v>
      </c>
      <c r="D228" s="17">
        <v>16.7</v>
      </c>
      <c r="E228" s="17"/>
      <c r="F228" s="16" t="s">
        <v>121</v>
      </c>
      <c r="G228" s="17" t="s">
        <v>2209</v>
      </c>
      <c r="H228" s="17" t="s">
        <v>3843</v>
      </c>
      <c r="I228" s="17" t="s">
        <v>388</v>
      </c>
      <c r="J228" s="37" t="s">
        <v>4612</v>
      </c>
      <c r="K228" s="18">
        <v>46154</v>
      </c>
      <c r="L228" s="18" t="s">
        <v>24</v>
      </c>
      <c r="M228" s="7" t="s">
        <v>25</v>
      </c>
      <c r="N228" s="17"/>
    </row>
    <row r="229" spans="1:14" ht="25.5" x14ac:dyDescent="0.25">
      <c r="A229" s="17">
        <v>228</v>
      </c>
      <c r="B229" s="16" t="s">
        <v>2207</v>
      </c>
      <c r="C229" s="17">
        <v>3</v>
      </c>
      <c r="D229" s="17">
        <v>12.9</v>
      </c>
      <c r="E229" s="17">
        <v>11</v>
      </c>
      <c r="F229" s="16" t="s">
        <v>121</v>
      </c>
      <c r="G229" s="17" t="s">
        <v>2209</v>
      </c>
      <c r="H229" s="17" t="s">
        <v>3843</v>
      </c>
      <c r="I229" s="17" t="s">
        <v>388</v>
      </c>
      <c r="J229" s="37" t="s">
        <v>4610</v>
      </c>
      <c r="K229" s="18">
        <v>46140</v>
      </c>
      <c r="L229" s="18" t="s">
        <v>24</v>
      </c>
      <c r="M229" s="7" t="s">
        <v>25</v>
      </c>
      <c r="N229" s="17"/>
    </row>
    <row r="230" spans="1:14" ht="25.5" x14ac:dyDescent="0.25">
      <c r="A230" s="17">
        <v>229</v>
      </c>
      <c r="B230" s="16" t="s">
        <v>2210</v>
      </c>
      <c r="C230" s="17">
        <v>1</v>
      </c>
      <c r="D230" s="17">
        <v>16.899999999999999</v>
      </c>
      <c r="E230" s="17">
        <v>10.8</v>
      </c>
      <c r="F230" s="16" t="s">
        <v>101</v>
      </c>
      <c r="G230" s="17" t="s">
        <v>2211</v>
      </c>
      <c r="H230" s="17" t="s">
        <v>4013</v>
      </c>
      <c r="I230" s="17" t="s">
        <v>312</v>
      </c>
      <c r="J230" s="37" t="s">
        <v>4232</v>
      </c>
      <c r="K230" s="18">
        <v>46141</v>
      </c>
      <c r="L230" s="18" t="s">
        <v>24</v>
      </c>
      <c r="M230" s="7" t="s">
        <v>25</v>
      </c>
      <c r="N230" s="17"/>
    </row>
    <row r="231" spans="1:14" ht="63.75" x14ac:dyDescent="0.25">
      <c r="A231" s="17">
        <v>230</v>
      </c>
      <c r="B231" s="16" t="s">
        <v>2210</v>
      </c>
      <c r="C231" s="17">
        <v>2</v>
      </c>
      <c r="D231" s="17">
        <v>17.100000000000001</v>
      </c>
      <c r="E231" s="17"/>
      <c r="F231" s="16" t="s">
        <v>343</v>
      </c>
      <c r="G231" s="17" t="s">
        <v>2212</v>
      </c>
      <c r="H231" s="17" t="s">
        <v>3587</v>
      </c>
      <c r="I231" s="17" t="s">
        <v>34</v>
      </c>
      <c r="J231" s="37" t="s">
        <v>4204</v>
      </c>
      <c r="K231" s="18">
        <v>46133</v>
      </c>
      <c r="L231" s="18" t="s">
        <v>24</v>
      </c>
      <c r="M231" s="7" t="s">
        <v>25</v>
      </c>
      <c r="N231" s="17"/>
    </row>
    <row r="232" spans="1:14" ht="63.75" x14ac:dyDescent="0.25">
      <c r="A232" s="17">
        <v>231</v>
      </c>
      <c r="B232" s="16" t="s">
        <v>2210</v>
      </c>
      <c r="C232" s="17">
        <v>3</v>
      </c>
      <c r="D232" s="17">
        <v>12.7</v>
      </c>
      <c r="E232" s="17">
        <v>11</v>
      </c>
      <c r="F232" s="16" t="s">
        <v>343</v>
      </c>
      <c r="G232" s="17" t="s">
        <v>2212</v>
      </c>
      <c r="H232" s="17" t="s">
        <v>3587</v>
      </c>
      <c r="I232" s="17" t="s">
        <v>34</v>
      </c>
      <c r="J232" s="37" t="s">
        <v>4204</v>
      </c>
      <c r="K232" s="18">
        <v>46133</v>
      </c>
      <c r="L232" s="18" t="s">
        <v>24</v>
      </c>
      <c r="M232" s="7" t="s">
        <v>25</v>
      </c>
      <c r="N232" s="17"/>
    </row>
    <row r="233" spans="1:14" ht="25.5" x14ac:dyDescent="0.25">
      <c r="A233" s="17">
        <v>232</v>
      </c>
      <c r="B233" s="16" t="s">
        <v>2213</v>
      </c>
      <c r="C233" s="17">
        <v>1</v>
      </c>
      <c r="D233" s="17">
        <v>16.2</v>
      </c>
      <c r="E233" s="17">
        <v>10.6</v>
      </c>
      <c r="F233" s="16" t="s">
        <v>19</v>
      </c>
      <c r="G233" s="17" t="s">
        <v>2214</v>
      </c>
      <c r="H233" s="17" t="s">
        <v>3844</v>
      </c>
      <c r="I233" s="17" t="s">
        <v>28</v>
      </c>
      <c r="J233" s="37" t="s">
        <v>4342</v>
      </c>
      <c r="K233" s="18">
        <v>46147</v>
      </c>
      <c r="L233" s="18" t="s">
        <v>24</v>
      </c>
      <c r="M233" s="7" t="s">
        <v>25</v>
      </c>
      <c r="N233" s="17"/>
    </row>
    <row r="234" spans="1:14" ht="25.5" x14ac:dyDescent="0.25">
      <c r="A234" s="17">
        <v>233</v>
      </c>
      <c r="B234" s="16" t="s">
        <v>2213</v>
      </c>
      <c r="C234" s="17">
        <v>2</v>
      </c>
      <c r="D234" s="17">
        <v>16.399999999999999</v>
      </c>
      <c r="E234" s="17"/>
      <c r="F234" s="16" t="s">
        <v>19</v>
      </c>
      <c r="G234" s="17" t="s">
        <v>2215</v>
      </c>
      <c r="H234" s="17" t="s">
        <v>4014</v>
      </c>
      <c r="I234" s="17" t="s">
        <v>42</v>
      </c>
      <c r="J234" s="37" t="s">
        <v>4343</v>
      </c>
      <c r="K234" s="18">
        <v>46134</v>
      </c>
      <c r="L234" s="18" t="s">
        <v>24</v>
      </c>
      <c r="M234" s="7" t="s">
        <v>25</v>
      </c>
      <c r="N234" s="17"/>
    </row>
    <row r="235" spans="1:14" ht="25.5" x14ac:dyDescent="0.25">
      <c r="A235" s="17">
        <v>234</v>
      </c>
      <c r="B235" s="16" t="s">
        <v>2213</v>
      </c>
      <c r="C235" s="17">
        <v>3</v>
      </c>
      <c r="D235" s="17">
        <v>12.5</v>
      </c>
      <c r="E235" s="17">
        <v>10.4</v>
      </c>
      <c r="F235" s="16" t="s">
        <v>19</v>
      </c>
      <c r="G235" s="17" t="s">
        <v>2215</v>
      </c>
      <c r="H235" s="17" t="s">
        <v>4014</v>
      </c>
      <c r="I235" s="17" t="s">
        <v>42</v>
      </c>
      <c r="J235" s="37" t="s">
        <v>4343</v>
      </c>
      <c r="K235" s="18">
        <v>46134</v>
      </c>
      <c r="L235" s="18" t="s">
        <v>24</v>
      </c>
      <c r="M235" s="7" t="s">
        <v>25</v>
      </c>
      <c r="N235" s="17"/>
    </row>
    <row r="236" spans="1:14" ht="25.5" x14ac:dyDescent="0.25">
      <c r="A236" s="17">
        <v>235</v>
      </c>
      <c r="B236" s="16" t="s">
        <v>2216</v>
      </c>
      <c r="C236" s="17">
        <v>1</v>
      </c>
      <c r="D236" s="17">
        <v>16.2</v>
      </c>
      <c r="E236" s="17">
        <v>10.9</v>
      </c>
      <c r="F236" s="16" t="s">
        <v>151</v>
      </c>
      <c r="G236" s="17" t="s">
        <v>2217</v>
      </c>
      <c r="H236" s="17" t="s">
        <v>3656</v>
      </c>
      <c r="I236" s="17" t="s">
        <v>22</v>
      </c>
      <c r="J236" s="37" t="s">
        <v>4777</v>
      </c>
      <c r="K236" s="18">
        <v>46155</v>
      </c>
      <c r="L236" s="18" t="s">
        <v>24</v>
      </c>
      <c r="M236" s="7" t="s">
        <v>25</v>
      </c>
      <c r="N236" s="17"/>
    </row>
    <row r="237" spans="1:14" ht="25.5" x14ac:dyDescent="0.25">
      <c r="A237" s="17">
        <v>236</v>
      </c>
      <c r="B237" s="16" t="s">
        <v>2216</v>
      </c>
      <c r="C237" s="17">
        <v>2</v>
      </c>
      <c r="D237" s="17">
        <v>15.7</v>
      </c>
      <c r="E237" s="17"/>
      <c r="F237" s="16" t="s">
        <v>126</v>
      </c>
      <c r="G237" s="17" t="s">
        <v>4881</v>
      </c>
      <c r="H237" s="17" t="s">
        <v>3845</v>
      </c>
      <c r="I237" s="17" t="s">
        <v>28</v>
      </c>
      <c r="J237" s="37" t="s">
        <v>4266</v>
      </c>
      <c r="K237" s="18">
        <v>46134</v>
      </c>
      <c r="L237" s="18" t="s">
        <v>24</v>
      </c>
      <c r="M237" s="7" t="s">
        <v>25</v>
      </c>
      <c r="N237" s="17" t="s">
        <v>4882</v>
      </c>
    </row>
    <row r="238" spans="1:14" ht="25.5" x14ac:dyDescent="0.25">
      <c r="A238" s="17">
        <v>237</v>
      </c>
      <c r="B238" s="16" t="s">
        <v>2216</v>
      </c>
      <c r="C238" s="17">
        <v>3</v>
      </c>
      <c r="D238" s="17">
        <v>13.6</v>
      </c>
      <c r="E238" s="17">
        <v>10.6</v>
      </c>
      <c r="F238" s="16" t="s">
        <v>126</v>
      </c>
      <c r="G238" s="17" t="s">
        <v>4881</v>
      </c>
      <c r="H238" s="17" t="s">
        <v>3845</v>
      </c>
      <c r="I238" s="17" t="s">
        <v>28</v>
      </c>
      <c r="J238" s="37" t="s">
        <v>4266</v>
      </c>
      <c r="K238" s="18">
        <v>46134</v>
      </c>
      <c r="L238" s="18" t="s">
        <v>24</v>
      </c>
      <c r="M238" s="7" t="s">
        <v>25</v>
      </c>
      <c r="N238" s="17" t="s">
        <v>4882</v>
      </c>
    </row>
    <row r="239" spans="1:14" ht="63.75" x14ac:dyDescent="0.25">
      <c r="A239" s="17">
        <v>238</v>
      </c>
      <c r="B239" s="16" t="s">
        <v>2218</v>
      </c>
      <c r="C239" s="17">
        <v>1</v>
      </c>
      <c r="D239" s="17">
        <v>16.600000000000001</v>
      </c>
      <c r="E239" s="17">
        <v>10.9</v>
      </c>
      <c r="F239" s="16" t="s">
        <v>162</v>
      </c>
      <c r="G239" s="17" t="s">
        <v>2219</v>
      </c>
      <c r="H239" s="17" t="s">
        <v>4015</v>
      </c>
      <c r="I239" s="17" t="s">
        <v>34</v>
      </c>
      <c r="J239" s="37" t="s">
        <v>4464</v>
      </c>
      <c r="K239" s="18">
        <v>46137</v>
      </c>
      <c r="L239" s="18" t="s">
        <v>24</v>
      </c>
      <c r="M239" s="7" t="s">
        <v>25</v>
      </c>
      <c r="N239" s="17"/>
    </row>
    <row r="240" spans="1:14" ht="25.5" x14ac:dyDescent="0.25">
      <c r="A240" s="17">
        <v>239</v>
      </c>
      <c r="B240" s="16" t="s">
        <v>2218</v>
      </c>
      <c r="C240" s="17">
        <v>2</v>
      </c>
      <c r="D240" s="17">
        <v>16.5</v>
      </c>
      <c r="E240" s="17"/>
      <c r="F240" s="16" t="s">
        <v>162</v>
      </c>
      <c r="G240" s="17" t="s">
        <v>2220</v>
      </c>
      <c r="H240" s="17" t="s">
        <v>3846</v>
      </c>
      <c r="I240" s="17" t="s">
        <v>28</v>
      </c>
      <c r="J240" s="37" t="s">
        <v>4465</v>
      </c>
      <c r="K240" s="18">
        <v>46154</v>
      </c>
      <c r="L240" s="18" t="s">
        <v>24</v>
      </c>
      <c r="M240" s="7" t="s">
        <v>25</v>
      </c>
      <c r="N240" s="17"/>
    </row>
    <row r="241" spans="1:14" ht="25.5" x14ac:dyDescent="0.25">
      <c r="A241" s="17">
        <v>240</v>
      </c>
      <c r="B241" s="16" t="s">
        <v>2218</v>
      </c>
      <c r="C241" s="17">
        <v>3</v>
      </c>
      <c r="D241" s="17">
        <v>13.1</v>
      </c>
      <c r="E241" s="17">
        <v>11.1</v>
      </c>
      <c r="F241" s="16" t="s">
        <v>338</v>
      </c>
      <c r="G241" s="17" t="s">
        <v>2221</v>
      </c>
      <c r="H241" s="17" t="s">
        <v>3657</v>
      </c>
      <c r="I241" s="17" t="s">
        <v>28</v>
      </c>
      <c r="J241" s="37" t="s">
        <v>4410</v>
      </c>
      <c r="K241" s="18">
        <v>46156</v>
      </c>
      <c r="L241" s="18" t="s">
        <v>24</v>
      </c>
      <c r="M241" s="7" t="s">
        <v>25</v>
      </c>
      <c r="N241" s="17"/>
    </row>
    <row r="242" spans="1:14" ht="51" x14ac:dyDescent="0.25">
      <c r="A242" s="17">
        <v>241</v>
      </c>
      <c r="B242" s="16" t="s">
        <v>2222</v>
      </c>
      <c r="C242" s="17">
        <v>1</v>
      </c>
      <c r="D242" s="17">
        <v>17.899999999999999</v>
      </c>
      <c r="E242" s="17">
        <v>10.8</v>
      </c>
      <c r="F242" s="16" t="s">
        <v>106</v>
      </c>
      <c r="G242" s="17" t="s">
        <v>2223</v>
      </c>
      <c r="H242" s="17" t="s">
        <v>4907</v>
      </c>
      <c r="I242" s="17" t="s">
        <v>34</v>
      </c>
      <c r="J242" s="37" t="s">
        <v>4554</v>
      </c>
      <c r="K242" s="18">
        <v>46141</v>
      </c>
      <c r="L242" s="18" t="s">
        <v>24</v>
      </c>
      <c r="M242" s="7" t="s">
        <v>25</v>
      </c>
      <c r="N242" s="17"/>
    </row>
    <row r="243" spans="1:14" ht="25.5" x14ac:dyDescent="0.25">
      <c r="A243" s="17">
        <v>242</v>
      </c>
      <c r="B243" s="16" t="s">
        <v>2222</v>
      </c>
      <c r="C243" s="17">
        <v>2</v>
      </c>
      <c r="D243" s="17">
        <v>16.100000000000001</v>
      </c>
      <c r="E243" s="17"/>
      <c r="F243" s="16" t="s">
        <v>162</v>
      </c>
      <c r="G243" s="17" t="s">
        <v>2224</v>
      </c>
      <c r="H243" s="17" t="s">
        <v>4016</v>
      </c>
      <c r="I243" s="17" t="s">
        <v>28</v>
      </c>
      <c r="J243" s="37" t="s">
        <v>4466</v>
      </c>
      <c r="K243" s="18">
        <v>46154</v>
      </c>
      <c r="L243" s="18" t="s">
        <v>24</v>
      </c>
      <c r="M243" s="7" t="s">
        <v>25</v>
      </c>
      <c r="N243" s="17"/>
    </row>
    <row r="244" spans="1:14" ht="25.5" x14ac:dyDescent="0.25">
      <c r="A244" s="17">
        <v>243</v>
      </c>
      <c r="B244" s="16" t="s">
        <v>2222</v>
      </c>
      <c r="C244" s="17">
        <v>3</v>
      </c>
      <c r="D244" s="17">
        <v>12.9</v>
      </c>
      <c r="E244" s="17">
        <v>10.8</v>
      </c>
      <c r="F244" s="16" t="s">
        <v>162</v>
      </c>
      <c r="G244" s="17" t="s">
        <v>2224</v>
      </c>
      <c r="H244" s="17" t="s">
        <v>4016</v>
      </c>
      <c r="I244" s="17" t="s">
        <v>28</v>
      </c>
      <c r="J244" s="37" t="s">
        <v>4466</v>
      </c>
      <c r="K244" s="18">
        <v>46154</v>
      </c>
      <c r="L244" s="18" t="s">
        <v>24</v>
      </c>
      <c r="M244" s="7" t="s">
        <v>25</v>
      </c>
      <c r="N244" s="17"/>
    </row>
    <row r="245" spans="1:14" ht="51" x14ac:dyDescent="0.25">
      <c r="A245" s="17">
        <v>244</v>
      </c>
      <c r="B245" s="16" t="s">
        <v>2225</v>
      </c>
      <c r="C245" s="17">
        <v>1</v>
      </c>
      <c r="D245" s="17">
        <v>16.899999999999999</v>
      </c>
      <c r="E245" s="17">
        <v>11.1</v>
      </c>
      <c r="F245" s="16" t="s">
        <v>31</v>
      </c>
      <c r="G245" s="17" t="s">
        <v>2226</v>
      </c>
      <c r="H245" s="17" t="s">
        <v>4017</v>
      </c>
      <c r="I245" s="17" t="s">
        <v>34</v>
      </c>
      <c r="J245" s="37" t="s">
        <v>4710</v>
      </c>
      <c r="K245" s="18">
        <v>46147</v>
      </c>
      <c r="L245" s="18" t="s">
        <v>24</v>
      </c>
      <c r="M245" s="7" t="s">
        <v>25</v>
      </c>
      <c r="N245" s="17"/>
    </row>
    <row r="246" spans="1:14" ht="51" x14ac:dyDescent="0.25">
      <c r="A246" s="17">
        <v>245</v>
      </c>
      <c r="B246" s="16" t="s">
        <v>2225</v>
      </c>
      <c r="C246" s="17">
        <v>2</v>
      </c>
      <c r="D246" s="17">
        <v>16.600000000000001</v>
      </c>
      <c r="E246" s="17"/>
      <c r="F246" s="16" t="s">
        <v>31</v>
      </c>
      <c r="G246" s="17" t="s">
        <v>2226</v>
      </c>
      <c r="H246" s="17" t="s">
        <v>4017</v>
      </c>
      <c r="I246" s="17" t="s">
        <v>34</v>
      </c>
      <c r="J246" s="37" t="s">
        <v>4710</v>
      </c>
      <c r="K246" s="18">
        <v>46147</v>
      </c>
      <c r="L246" s="18" t="s">
        <v>24</v>
      </c>
      <c r="M246" s="7" t="s">
        <v>25</v>
      </c>
      <c r="N246" s="17"/>
    </row>
    <row r="247" spans="1:14" ht="38.25" x14ac:dyDescent="0.25">
      <c r="A247" s="17">
        <v>246</v>
      </c>
      <c r="B247" s="16" t="s">
        <v>2225</v>
      </c>
      <c r="C247" s="17">
        <v>3</v>
      </c>
      <c r="D247" s="17">
        <v>13.4</v>
      </c>
      <c r="E247" s="17">
        <v>10.7</v>
      </c>
      <c r="F247" s="16" t="s">
        <v>62</v>
      </c>
      <c r="G247" s="17" t="s">
        <v>2227</v>
      </c>
      <c r="H247" s="17" t="s">
        <v>4018</v>
      </c>
      <c r="I247" s="17" t="s">
        <v>34</v>
      </c>
      <c r="J247" s="37" t="s">
        <v>4516</v>
      </c>
      <c r="K247" s="18">
        <v>46155</v>
      </c>
      <c r="L247" s="18" t="s">
        <v>24</v>
      </c>
      <c r="M247" s="7" t="s">
        <v>25</v>
      </c>
      <c r="N247" s="17"/>
    </row>
    <row r="248" spans="1:14" ht="51" x14ac:dyDescent="0.25">
      <c r="A248" s="17">
        <v>247</v>
      </c>
      <c r="B248" s="16" t="s">
        <v>2228</v>
      </c>
      <c r="C248" s="17">
        <v>1</v>
      </c>
      <c r="D248" s="17">
        <v>17.8</v>
      </c>
      <c r="E248" s="17">
        <v>10.9</v>
      </c>
      <c r="F248" s="16" t="s">
        <v>19</v>
      </c>
      <c r="G248" s="17" t="s">
        <v>2229</v>
      </c>
      <c r="H248" s="17" t="s">
        <v>3658</v>
      </c>
      <c r="I248" s="17" t="s">
        <v>34</v>
      </c>
      <c r="J248" s="37" t="s">
        <v>4344</v>
      </c>
      <c r="K248" s="18">
        <v>46134</v>
      </c>
      <c r="L248" s="18" t="s">
        <v>24</v>
      </c>
      <c r="M248" s="7" t="s">
        <v>25</v>
      </c>
      <c r="N248" s="17"/>
    </row>
    <row r="249" spans="1:14" ht="51" x14ac:dyDescent="0.25">
      <c r="A249" s="17">
        <v>248</v>
      </c>
      <c r="B249" s="16" t="s">
        <v>2228</v>
      </c>
      <c r="C249" s="17">
        <v>2</v>
      </c>
      <c r="D249" s="17">
        <v>16.899999999999999</v>
      </c>
      <c r="E249" s="17"/>
      <c r="F249" s="16" t="s">
        <v>19</v>
      </c>
      <c r="G249" s="17" t="s">
        <v>2229</v>
      </c>
      <c r="H249" s="17" t="s">
        <v>3658</v>
      </c>
      <c r="I249" s="17" t="s">
        <v>34</v>
      </c>
      <c r="J249" s="37" t="s">
        <v>4344</v>
      </c>
      <c r="K249" s="18">
        <v>46134</v>
      </c>
      <c r="L249" s="18" t="s">
        <v>24</v>
      </c>
      <c r="M249" s="7" t="s">
        <v>25</v>
      </c>
      <c r="N249" s="17"/>
    </row>
    <row r="250" spans="1:14" ht="51" x14ac:dyDescent="0.25">
      <c r="A250" s="17">
        <v>249</v>
      </c>
      <c r="B250" s="16" t="s">
        <v>2228</v>
      </c>
      <c r="C250" s="17">
        <v>3</v>
      </c>
      <c r="D250" s="17">
        <v>12.6</v>
      </c>
      <c r="E250" s="17">
        <v>10.7</v>
      </c>
      <c r="F250" s="16" t="s">
        <v>19</v>
      </c>
      <c r="G250" s="17" t="s">
        <v>2230</v>
      </c>
      <c r="H250" s="17" t="s">
        <v>3847</v>
      </c>
      <c r="I250" s="17" t="s">
        <v>293</v>
      </c>
      <c r="J250" s="37" t="s">
        <v>4345</v>
      </c>
      <c r="K250" s="18">
        <v>46135</v>
      </c>
      <c r="L250" s="18" t="s">
        <v>24</v>
      </c>
      <c r="M250" s="7" t="s">
        <v>25</v>
      </c>
      <c r="N250" s="17"/>
    </row>
    <row r="251" spans="1:14" ht="25.5" x14ac:dyDescent="0.25">
      <c r="A251" s="17">
        <v>250</v>
      </c>
      <c r="B251" s="16" t="s">
        <v>2231</v>
      </c>
      <c r="C251" s="17">
        <v>1</v>
      </c>
      <c r="D251" s="17">
        <v>16.5</v>
      </c>
      <c r="E251" s="17">
        <v>11</v>
      </c>
      <c r="F251" s="16" t="s">
        <v>19</v>
      </c>
      <c r="G251" s="17" t="s">
        <v>2232</v>
      </c>
      <c r="H251" s="17" t="s">
        <v>3848</v>
      </c>
      <c r="I251" s="17" t="s">
        <v>388</v>
      </c>
      <c r="J251" s="37" t="s">
        <v>4346</v>
      </c>
      <c r="K251" s="18">
        <v>46156</v>
      </c>
      <c r="L251" s="18" t="s">
        <v>24</v>
      </c>
      <c r="M251" s="7" t="s">
        <v>25</v>
      </c>
      <c r="N251" s="17"/>
    </row>
    <row r="252" spans="1:14" ht="25.5" x14ac:dyDescent="0.25">
      <c r="A252" s="17">
        <v>251</v>
      </c>
      <c r="B252" s="16" t="s">
        <v>2231</v>
      </c>
      <c r="C252" s="17">
        <v>2</v>
      </c>
      <c r="D252" s="17">
        <v>16.899999999999999</v>
      </c>
      <c r="E252" s="17"/>
      <c r="F252" s="16" t="s">
        <v>19</v>
      </c>
      <c r="G252" s="17" t="s">
        <v>2232</v>
      </c>
      <c r="H252" s="17" t="s">
        <v>3848</v>
      </c>
      <c r="I252" s="17" t="s">
        <v>388</v>
      </c>
      <c r="J252" s="37" t="s">
        <v>4346</v>
      </c>
      <c r="K252" s="18">
        <v>46156</v>
      </c>
      <c r="L252" s="18" t="s">
        <v>24</v>
      </c>
      <c r="M252" s="7" t="s">
        <v>25</v>
      </c>
      <c r="N252" s="17"/>
    </row>
    <row r="253" spans="1:14" ht="25.5" x14ac:dyDescent="0.25">
      <c r="A253" s="17">
        <v>252</v>
      </c>
      <c r="B253" s="16" t="s">
        <v>2231</v>
      </c>
      <c r="C253" s="17">
        <v>3</v>
      </c>
      <c r="D253" s="17">
        <v>12.7</v>
      </c>
      <c r="E253" s="17">
        <v>11</v>
      </c>
      <c r="F253" s="16" t="s">
        <v>121</v>
      </c>
      <c r="G253" s="17" t="s">
        <v>2233</v>
      </c>
      <c r="H253" s="17" t="s">
        <v>3659</v>
      </c>
      <c r="I253" s="17" t="s">
        <v>28</v>
      </c>
      <c r="J253" s="37" t="s">
        <v>4613</v>
      </c>
      <c r="K253" s="18">
        <v>46141</v>
      </c>
      <c r="L253" s="18" t="s">
        <v>24</v>
      </c>
      <c r="M253" s="7" t="s">
        <v>25</v>
      </c>
      <c r="N253" s="17"/>
    </row>
    <row r="254" spans="1:14" ht="51" x14ac:dyDescent="0.25">
      <c r="A254" s="17">
        <v>253</v>
      </c>
      <c r="B254" s="16" t="s">
        <v>2234</v>
      </c>
      <c r="C254" s="17">
        <v>1</v>
      </c>
      <c r="D254" s="17">
        <v>17</v>
      </c>
      <c r="E254" s="17">
        <v>10.8</v>
      </c>
      <c r="F254" s="16" t="s">
        <v>48</v>
      </c>
      <c r="G254" s="17" t="s">
        <v>2235</v>
      </c>
      <c r="H254" s="17" t="s">
        <v>3660</v>
      </c>
      <c r="I254" s="17" t="s">
        <v>34</v>
      </c>
      <c r="J254" s="37" t="s">
        <v>4830</v>
      </c>
      <c r="K254" s="18">
        <v>46150</v>
      </c>
      <c r="L254" s="18" t="s">
        <v>24</v>
      </c>
      <c r="M254" s="7" t="s">
        <v>25</v>
      </c>
      <c r="N254" s="17"/>
    </row>
    <row r="255" spans="1:14" ht="25.5" x14ac:dyDescent="0.25">
      <c r="A255" s="17">
        <v>254</v>
      </c>
      <c r="B255" s="16" t="s">
        <v>2234</v>
      </c>
      <c r="C255" s="17">
        <v>2</v>
      </c>
      <c r="D255" s="17">
        <v>16.100000000000001</v>
      </c>
      <c r="E255" s="17"/>
      <c r="F255" s="16" t="s">
        <v>48</v>
      </c>
      <c r="G255" s="17" t="s">
        <v>2236</v>
      </c>
      <c r="H255" s="17" t="s">
        <v>4196</v>
      </c>
      <c r="I255" s="17" t="s">
        <v>28</v>
      </c>
      <c r="J255" s="37" t="s">
        <v>4831</v>
      </c>
      <c r="K255" s="18">
        <v>46144</v>
      </c>
      <c r="L255" s="18" t="s">
        <v>24</v>
      </c>
      <c r="M255" s="7" t="s">
        <v>25</v>
      </c>
      <c r="N255" s="17"/>
    </row>
    <row r="256" spans="1:14" ht="25.5" x14ac:dyDescent="0.25">
      <c r="A256" s="17">
        <v>255</v>
      </c>
      <c r="B256" s="16" t="s">
        <v>2234</v>
      </c>
      <c r="C256" s="17">
        <v>3</v>
      </c>
      <c r="D256" s="17">
        <v>12.9</v>
      </c>
      <c r="E256" s="17">
        <v>10.8</v>
      </c>
      <c r="F256" s="16" t="s">
        <v>48</v>
      </c>
      <c r="G256" s="17" t="s">
        <v>2237</v>
      </c>
      <c r="H256" s="17" t="s">
        <v>3849</v>
      </c>
      <c r="I256" s="17" t="s">
        <v>28</v>
      </c>
      <c r="J256" s="37" t="s">
        <v>4832</v>
      </c>
      <c r="K256" s="18">
        <v>46156</v>
      </c>
      <c r="L256" s="18" t="s">
        <v>24</v>
      </c>
      <c r="M256" s="7" t="s">
        <v>25</v>
      </c>
      <c r="N256" s="17"/>
    </row>
    <row r="257" spans="1:14" ht="25.5" x14ac:dyDescent="0.25">
      <c r="A257" s="17">
        <v>256</v>
      </c>
      <c r="B257" s="16" t="s">
        <v>2238</v>
      </c>
      <c r="C257" s="17">
        <v>1</v>
      </c>
      <c r="D257" s="17">
        <v>16.2</v>
      </c>
      <c r="E257" s="17">
        <v>10.8</v>
      </c>
      <c r="F257" s="16" t="s">
        <v>19</v>
      </c>
      <c r="G257" s="17" t="s">
        <v>2239</v>
      </c>
      <c r="H257" s="17" t="s">
        <v>3661</v>
      </c>
      <c r="I257" s="17" t="s">
        <v>22</v>
      </c>
      <c r="J257" s="37" t="s">
        <v>4347</v>
      </c>
      <c r="K257" s="18">
        <v>46137</v>
      </c>
      <c r="L257" s="18" t="s">
        <v>24</v>
      </c>
      <c r="M257" s="7" t="s">
        <v>25</v>
      </c>
      <c r="N257" s="17"/>
    </row>
    <row r="258" spans="1:14" ht="25.5" x14ac:dyDescent="0.25">
      <c r="A258" s="17">
        <v>257</v>
      </c>
      <c r="B258" s="16" t="s">
        <v>2238</v>
      </c>
      <c r="C258" s="17">
        <v>2</v>
      </c>
      <c r="D258" s="17">
        <v>16.2</v>
      </c>
      <c r="E258" s="17"/>
      <c r="F258" s="16" t="s">
        <v>19</v>
      </c>
      <c r="G258" s="17" t="s">
        <v>2239</v>
      </c>
      <c r="H258" s="17" t="s">
        <v>3661</v>
      </c>
      <c r="I258" s="17" t="s">
        <v>22</v>
      </c>
      <c r="J258" s="37" t="s">
        <v>4348</v>
      </c>
      <c r="K258" s="18">
        <v>46137</v>
      </c>
      <c r="L258" s="18" t="s">
        <v>24</v>
      </c>
      <c r="M258" s="7" t="s">
        <v>25</v>
      </c>
      <c r="N258" s="17"/>
    </row>
    <row r="259" spans="1:14" ht="25.5" x14ac:dyDescent="0.25">
      <c r="A259" s="17">
        <v>258</v>
      </c>
      <c r="B259" s="16" t="s">
        <v>2238</v>
      </c>
      <c r="C259" s="17">
        <v>3</v>
      </c>
      <c r="D259" s="17">
        <v>13.1</v>
      </c>
      <c r="E259" s="17">
        <v>10.8</v>
      </c>
      <c r="F259" s="16" t="s">
        <v>31</v>
      </c>
      <c r="G259" s="17" t="s">
        <v>2240</v>
      </c>
      <c r="H259" s="17" t="s">
        <v>4019</v>
      </c>
      <c r="I259" s="17" t="s">
        <v>28</v>
      </c>
      <c r="J259" s="37" t="s">
        <v>4711</v>
      </c>
      <c r="K259" s="18">
        <v>46156</v>
      </c>
      <c r="L259" s="18" t="s">
        <v>24</v>
      </c>
      <c r="M259" s="7" t="s">
        <v>25</v>
      </c>
      <c r="N259" s="17"/>
    </row>
    <row r="260" spans="1:14" ht="63.75" x14ac:dyDescent="0.25">
      <c r="A260" s="17">
        <v>259</v>
      </c>
      <c r="B260" s="16" t="s">
        <v>2241</v>
      </c>
      <c r="C260" s="17">
        <v>1</v>
      </c>
      <c r="D260" s="17">
        <v>17.399999999999999</v>
      </c>
      <c r="E260" s="17">
        <v>11.7</v>
      </c>
      <c r="F260" s="16" t="s">
        <v>106</v>
      </c>
      <c r="G260" s="17" t="s">
        <v>2242</v>
      </c>
      <c r="H260" s="17" t="s">
        <v>3662</v>
      </c>
      <c r="I260" s="17" t="s">
        <v>34</v>
      </c>
      <c r="J260" s="37" t="s">
        <v>4555</v>
      </c>
      <c r="K260" s="18">
        <v>46156</v>
      </c>
      <c r="L260" s="18" t="s">
        <v>24</v>
      </c>
      <c r="M260" s="7" t="s">
        <v>25</v>
      </c>
      <c r="N260" s="17"/>
    </row>
    <row r="261" spans="1:14" ht="63.75" x14ac:dyDescent="0.25">
      <c r="A261" s="17">
        <v>260</v>
      </c>
      <c r="B261" s="16" t="s">
        <v>2241</v>
      </c>
      <c r="C261" s="17">
        <v>2</v>
      </c>
      <c r="D261" s="17">
        <v>18</v>
      </c>
      <c r="E261" s="17"/>
      <c r="F261" s="16" t="s">
        <v>106</v>
      </c>
      <c r="G261" s="17" t="s">
        <v>2242</v>
      </c>
      <c r="H261" s="17" t="s">
        <v>3662</v>
      </c>
      <c r="I261" s="17" t="s">
        <v>34</v>
      </c>
      <c r="J261" s="37" t="s">
        <v>4556</v>
      </c>
      <c r="K261" s="18">
        <v>46142</v>
      </c>
      <c r="L261" s="18" t="s">
        <v>24</v>
      </c>
      <c r="M261" s="7" t="s">
        <v>25</v>
      </c>
      <c r="N261" s="17"/>
    </row>
    <row r="262" spans="1:14" ht="63.75" x14ac:dyDescent="0.25">
      <c r="A262" s="17">
        <v>261</v>
      </c>
      <c r="B262" s="16" t="s">
        <v>2241</v>
      </c>
      <c r="C262" s="17">
        <v>3</v>
      </c>
      <c r="D262" s="17">
        <v>13.8</v>
      </c>
      <c r="E262" s="17">
        <v>11.6</v>
      </c>
      <c r="F262" s="16" t="s">
        <v>62</v>
      </c>
      <c r="G262" s="17" t="s">
        <v>2243</v>
      </c>
      <c r="H262" s="17" t="s">
        <v>3663</v>
      </c>
      <c r="I262" s="17" t="s">
        <v>34</v>
      </c>
      <c r="J262" s="37" t="s">
        <v>4517</v>
      </c>
      <c r="K262" s="18">
        <v>46137</v>
      </c>
      <c r="L262" s="18" t="s">
        <v>24</v>
      </c>
      <c r="M262" s="7" t="s">
        <v>25</v>
      </c>
      <c r="N262" s="17"/>
    </row>
    <row r="263" spans="1:14" ht="51" x14ac:dyDescent="0.25">
      <c r="A263" s="17">
        <v>262</v>
      </c>
      <c r="B263" s="16" t="s">
        <v>2244</v>
      </c>
      <c r="C263" s="17">
        <v>1</v>
      </c>
      <c r="D263" s="17">
        <v>17.2</v>
      </c>
      <c r="E263" s="17">
        <v>10.4</v>
      </c>
      <c r="F263" s="16" t="s">
        <v>31</v>
      </c>
      <c r="G263" s="17" t="s">
        <v>2245</v>
      </c>
      <c r="H263" s="17" t="s">
        <v>4020</v>
      </c>
      <c r="I263" s="17" t="s">
        <v>34</v>
      </c>
      <c r="J263" s="37" t="s">
        <v>4712</v>
      </c>
      <c r="K263" s="18">
        <v>46137</v>
      </c>
      <c r="L263" s="18" t="s">
        <v>24</v>
      </c>
      <c r="M263" s="7" t="s">
        <v>25</v>
      </c>
      <c r="N263" s="17"/>
    </row>
    <row r="264" spans="1:14" ht="25.5" x14ac:dyDescent="0.25">
      <c r="A264" s="17">
        <v>263</v>
      </c>
      <c r="B264" s="16" t="s">
        <v>2244</v>
      </c>
      <c r="C264" s="17">
        <v>2</v>
      </c>
      <c r="D264" s="17">
        <v>17</v>
      </c>
      <c r="E264" s="17"/>
      <c r="F264" s="16" t="s">
        <v>162</v>
      </c>
      <c r="G264" s="17" t="s">
        <v>2246</v>
      </c>
      <c r="H264" s="17" t="s">
        <v>3664</v>
      </c>
      <c r="I264" s="17" t="s">
        <v>51</v>
      </c>
      <c r="J264" s="37" t="s">
        <v>4467</v>
      </c>
      <c r="K264" s="18">
        <v>46154</v>
      </c>
      <c r="L264" s="18" t="s">
        <v>24</v>
      </c>
      <c r="M264" s="7" t="s">
        <v>25</v>
      </c>
      <c r="N264" s="17"/>
    </row>
    <row r="265" spans="1:14" ht="25.5" x14ac:dyDescent="0.25">
      <c r="A265" s="17">
        <v>264</v>
      </c>
      <c r="B265" s="16" t="s">
        <v>2244</v>
      </c>
      <c r="C265" s="17">
        <v>3</v>
      </c>
      <c r="D265" s="17">
        <v>12.7</v>
      </c>
      <c r="E265" s="17">
        <v>10.199999999999999</v>
      </c>
      <c r="F265" s="16" t="s">
        <v>19</v>
      </c>
      <c r="G265" s="17" t="s">
        <v>2247</v>
      </c>
      <c r="H265" s="17" t="s">
        <v>3850</v>
      </c>
      <c r="I265" s="17" t="s">
        <v>28</v>
      </c>
      <c r="J265" s="37" t="s">
        <v>4349</v>
      </c>
      <c r="K265" s="18">
        <v>46134</v>
      </c>
      <c r="L265" s="18" t="s">
        <v>24</v>
      </c>
      <c r="M265" s="7" t="s">
        <v>25</v>
      </c>
      <c r="N265" s="17"/>
    </row>
    <row r="266" spans="1:14" ht="25.5" x14ac:dyDescent="0.25">
      <c r="A266" s="17">
        <v>265</v>
      </c>
      <c r="B266" s="16" t="s">
        <v>2248</v>
      </c>
      <c r="C266" s="17">
        <v>1</v>
      </c>
      <c r="D266" s="17">
        <v>17.100000000000001</v>
      </c>
      <c r="E266" s="17">
        <v>10.8</v>
      </c>
      <c r="F266" s="16" t="s">
        <v>126</v>
      </c>
      <c r="G266" s="17" t="s">
        <v>2249</v>
      </c>
      <c r="H266" s="17" t="s">
        <v>4021</v>
      </c>
      <c r="I266" s="17" t="s">
        <v>22</v>
      </c>
      <c r="J266" s="37" t="s">
        <v>4267</v>
      </c>
      <c r="K266" s="18">
        <v>46149</v>
      </c>
      <c r="L266" s="18" t="s">
        <v>24</v>
      </c>
      <c r="M266" s="7" t="s">
        <v>25</v>
      </c>
      <c r="N266" s="17"/>
    </row>
    <row r="267" spans="1:14" ht="25.5" x14ac:dyDescent="0.25">
      <c r="A267" s="17">
        <v>266</v>
      </c>
      <c r="B267" s="16" t="s">
        <v>2248</v>
      </c>
      <c r="C267" s="17">
        <v>2</v>
      </c>
      <c r="D267" s="17">
        <v>16.399999999999999</v>
      </c>
      <c r="E267" s="17"/>
      <c r="F267" s="16" t="s">
        <v>62</v>
      </c>
      <c r="G267" s="17" t="s">
        <v>2250</v>
      </c>
      <c r="H267" s="17" t="s">
        <v>4022</v>
      </c>
      <c r="I267" s="17" t="s">
        <v>51</v>
      </c>
      <c r="J267" s="37" t="s">
        <v>4518</v>
      </c>
      <c r="K267" s="18">
        <v>46144</v>
      </c>
      <c r="L267" s="18" t="s">
        <v>24</v>
      </c>
      <c r="M267" s="7" t="s">
        <v>25</v>
      </c>
      <c r="N267" s="17"/>
    </row>
    <row r="268" spans="1:14" ht="25.5" x14ac:dyDescent="0.25">
      <c r="A268" s="17">
        <v>267</v>
      </c>
      <c r="B268" s="16" t="s">
        <v>2248</v>
      </c>
      <c r="C268" s="17">
        <v>3</v>
      </c>
      <c r="D268" s="17">
        <v>12.7</v>
      </c>
      <c r="E268" s="17">
        <v>10.8</v>
      </c>
      <c r="F268" s="16" t="s">
        <v>62</v>
      </c>
      <c r="G268" s="17" t="s">
        <v>2250</v>
      </c>
      <c r="H268" s="17" t="s">
        <v>4022</v>
      </c>
      <c r="I268" s="17" t="s">
        <v>51</v>
      </c>
      <c r="J268" s="37" t="s">
        <v>4518</v>
      </c>
      <c r="K268" s="18">
        <v>46144</v>
      </c>
      <c r="L268" s="18" t="s">
        <v>24</v>
      </c>
      <c r="M268" s="7" t="s">
        <v>25</v>
      </c>
      <c r="N268" s="17"/>
    </row>
    <row r="269" spans="1:14" ht="51" x14ac:dyDescent="0.25">
      <c r="A269" s="17">
        <v>268</v>
      </c>
      <c r="B269" s="16" t="s">
        <v>2251</v>
      </c>
      <c r="C269" s="17">
        <v>1</v>
      </c>
      <c r="D269" s="17">
        <v>16.899999999999999</v>
      </c>
      <c r="E269" s="17">
        <v>10.6</v>
      </c>
      <c r="F269" s="16" t="s">
        <v>162</v>
      </c>
      <c r="G269" s="17" t="s">
        <v>2252</v>
      </c>
      <c r="H269" s="17" t="s">
        <v>3851</v>
      </c>
      <c r="I269" s="17" t="s">
        <v>34</v>
      </c>
      <c r="J269" s="37" t="s">
        <v>4468</v>
      </c>
      <c r="K269" s="18">
        <v>46155</v>
      </c>
      <c r="L269" s="18" t="s">
        <v>24</v>
      </c>
      <c r="M269" s="7" t="s">
        <v>25</v>
      </c>
      <c r="N269" s="17"/>
    </row>
    <row r="270" spans="1:14" ht="25.5" x14ac:dyDescent="0.25">
      <c r="A270" s="17">
        <v>269</v>
      </c>
      <c r="B270" s="16" t="s">
        <v>2251</v>
      </c>
      <c r="C270" s="17">
        <v>2</v>
      </c>
      <c r="D270" s="17">
        <v>17.100000000000001</v>
      </c>
      <c r="E270" s="17"/>
      <c r="F270" s="16" t="s">
        <v>151</v>
      </c>
      <c r="G270" s="17" t="s">
        <v>2253</v>
      </c>
      <c r="H270" s="17" t="s">
        <v>3665</v>
      </c>
      <c r="I270" s="17" t="s">
        <v>22</v>
      </c>
      <c r="J270" s="37" t="s">
        <v>4778</v>
      </c>
      <c r="K270" s="18">
        <v>46155</v>
      </c>
      <c r="L270" s="18" t="s">
        <v>24</v>
      </c>
      <c r="M270" s="7" t="s">
        <v>25</v>
      </c>
      <c r="N270" s="17"/>
    </row>
    <row r="271" spans="1:14" ht="51" x14ac:dyDescent="0.25">
      <c r="A271" s="17">
        <v>270</v>
      </c>
      <c r="B271" s="16" t="s">
        <v>2251</v>
      </c>
      <c r="C271" s="17">
        <v>3</v>
      </c>
      <c r="D271" s="17">
        <v>12.8</v>
      </c>
      <c r="E271" s="17">
        <v>10.8</v>
      </c>
      <c r="F271" s="16" t="s">
        <v>151</v>
      </c>
      <c r="G271" s="17" t="s">
        <v>2254</v>
      </c>
      <c r="H271" s="17" t="s">
        <v>4023</v>
      </c>
      <c r="I271" s="17" t="s">
        <v>34</v>
      </c>
      <c r="J271" s="37" t="s">
        <v>4779</v>
      </c>
      <c r="K271" s="18">
        <v>46155</v>
      </c>
      <c r="L271" s="18" t="s">
        <v>24</v>
      </c>
      <c r="M271" s="7" t="s">
        <v>25</v>
      </c>
      <c r="N271" s="17"/>
    </row>
    <row r="272" spans="1:14" ht="25.5" x14ac:dyDescent="0.25">
      <c r="A272" s="17">
        <v>271</v>
      </c>
      <c r="B272" s="16" t="s">
        <v>2255</v>
      </c>
      <c r="C272" s="17">
        <v>1</v>
      </c>
      <c r="D272" s="17">
        <v>16.7</v>
      </c>
      <c r="E272" s="17">
        <v>11.2</v>
      </c>
      <c r="F272" s="16" t="s">
        <v>343</v>
      </c>
      <c r="G272" s="17" t="s">
        <v>2256</v>
      </c>
      <c r="H272" s="17" t="s">
        <v>3578</v>
      </c>
      <c r="I272" s="17" t="s">
        <v>28</v>
      </c>
      <c r="J272" s="37" t="s">
        <v>4205</v>
      </c>
      <c r="K272" s="18">
        <v>46133</v>
      </c>
      <c r="L272" s="18" t="s">
        <v>24</v>
      </c>
      <c r="M272" s="7" t="s">
        <v>25</v>
      </c>
      <c r="N272" s="17"/>
    </row>
    <row r="273" spans="1:14" x14ac:dyDescent="0.25">
      <c r="A273" s="14">
        <v>272</v>
      </c>
      <c r="B273" s="15" t="s">
        <v>2255</v>
      </c>
      <c r="C273" s="14">
        <v>2</v>
      </c>
      <c r="D273" s="14">
        <v>16.7</v>
      </c>
      <c r="E273" s="14"/>
      <c r="F273" s="15" t="s">
        <v>343</v>
      </c>
      <c r="G273" s="14"/>
      <c r="H273" s="14"/>
      <c r="I273" s="14"/>
      <c r="J273" s="28"/>
      <c r="K273" s="14"/>
      <c r="L273" s="14"/>
      <c r="M273" s="14" t="s">
        <v>286</v>
      </c>
      <c r="N273" s="14"/>
    </row>
    <row r="274" spans="1:14" ht="25.5" x14ac:dyDescent="0.25">
      <c r="A274" s="17">
        <v>273</v>
      </c>
      <c r="B274" s="16" t="s">
        <v>2255</v>
      </c>
      <c r="C274" s="17">
        <v>3</v>
      </c>
      <c r="D274" s="17">
        <v>13.1</v>
      </c>
      <c r="E274" s="17">
        <v>10.6</v>
      </c>
      <c r="F274" s="16" t="s">
        <v>31</v>
      </c>
      <c r="G274" s="17" t="s">
        <v>2257</v>
      </c>
      <c r="H274" s="17" t="s">
        <v>4024</v>
      </c>
      <c r="I274" s="17" t="s">
        <v>388</v>
      </c>
      <c r="J274" s="37" t="s">
        <v>4713</v>
      </c>
      <c r="K274" s="18">
        <v>46156</v>
      </c>
      <c r="L274" s="18" t="s">
        <v>24</v>
      </c>
      <c r="M274" s="7" t="s">
        <v>25</v>
      </c>
      <c r="N274" s="17"/>
    </row>
    <row r="275" spans="1:14" ht="51" x14ac:dyDescent="0.25">
      <c r="A275" s="17">
        <v>274</v>
      </c>
      <c r="B275" s="16" t="s">
        <v>2258</v>
      </c>
      <c r="C275" s="17">
        <v>1</v>
      </c>
      <c r="D275" s="17">
        <v>16.100000000000001</v>
      </c>
      <c r="E275" s="17">
        <v>10.4</v>
      </c>
      <c r="F275" s="16" t="s">
        <v>86</v>
      </c>
      <c r="G275" s="17" t="s">
        <v>2259</v>
      </c>
      <c r="H275" s="17" t="s">
        <v>4025</v>
      </c>
      <c r="I275" s="17" t="s">
        <v>34</v>
      </c>
      <c r="J275" s="37" t="s">
        <v>4668</v>
      </c>
      <c r="K275" s="18">
        <v>46144</v>
      </c>
      <c r="L275" s="18" t="s">
        <v>24</v>
      </c>
      <c r="M275" s="7" t="s">
        <v>25</v>
      </c>
      <c r="N275" s="17"/>
    </row>
    <row r="276" spans="1:14" ht="25.5" x14ac:dyDescent="0.25">
      <c r="A276" s="17">
        <v>275</v>
      </c>
      <c r="B276" s="16" t="s">
        <v>2258</v>
      </c>
      <c r="C276" s="17">
        <v>2</v>
      </c>
      <c r="D276" s="17">
        <v>16.3</v>
      </c>
      <c r="E276" s="17"/>
      <c r="F276" s="16" t="s">
        <v>86</v>
      </c>
      <c r="G276" s="17" t="s">
        <v>2260</v>
      </c>
      <c r="H276" s="17" t="s">
        <v>3852</v>
      </c>
      <c r="I276" s="17" t="s">
        <v>28</v>
      </c>
      <c r="J276" s="37" t="s">
        <v>4669</v>
      </c>
      <c r="K276" s="18">
        <v>46147</v>
      </c>
      <c r="L276" s="18" t="s">
        <v>24</v>
      </c>
      <c r="M276" s="7" t="s">
        <v>25</v>
      </c>
      <c r="N276" s="17"/>
    </row>
    <row r="277" spans="1:14" ht="25.5" x14ac:dyDescent="0.25">
      <c r="A277" s="17">
        <v>276</v>
      </c>
      <c r="B277" s="16" t="s">
        <v>2258</v>
      </c>
      <c r="C277" s="17">
        <v>3</v>
      </c>
      <c r="D277" s="17">
        <v>12.6</v>
      </c>
      <c r="E277" s="17">
        <v>10.7</v>
      </c>
      <c r="F277" s="16" t="s">
        <v>86</v>
      </c>
      <c r="G277" s="17" t="s">
        <v>2261</v>
      </c>
      <c r="H277" s="17" t="s">
        <v>3666</v>
      </c>
      <c r="I277" s="17" t="s">
        <v>662</v>
      </c>
      <c r="J277" s="37" t="s">
        <v>4670</v>
      </c>
      <c r="K277" s="18">
        <v>46144</v>
      </c>
      <c r="L277" s="18" t="s">
        <v>24</v>
      </c>
      <c r="M277" s="7" t="s">
        <v>25</v>
      </c>
      <c r="N277" s="17"/>
    </row>
    <row r="278" spans="1:14" ht="63.75" x14ac:dyDescent="0.25">
      <c r="A278" s="17">
        <v>277</v>
      </c>
      <c r="B278" s="16" t="s">
        <v>2262</v>
      </c>
      <c r="C278" s="17">
        <v>1</v>
      </c>
      <c r="D278" s="17">
        <v>16.399999999999999</v>
      </c>
      <c r="E278" s="17">
        <v>11</v>
      </c>
      <c r="F278" s="16" t="s">
        <v>106</v>
      </c>
      <c r="G278" s="17" t="s">
        <v>2263</v>
      </c>
      <c r="H278" s="17" t="s">
        <v>4908</v>
      </c>
      <c r="I278" s="17" t="s">
        <v>34</v>
      </c>
      <c r="J278" s="37" t="s">
        <v>4557</v>
      </c>
      <c r="K278" s="18">
        <v>46144</v>
      </c>
      <c r="L278" s="18" t="s">
        <v>24</v>
      </c>
      <c r="M278" s="7" t="s">
        <v>25</v>
      </c>
      <c r="N278" s="17"/>
    </row>
    <row r="279" spans="1:14" ht="63.75" x14ac:dyDescent="0.25">
      <c r="A279" s="17">
        <v>278</v>
      </c>
      <c r="B279" s="16" t="s">
        <v>2262</v>
      </c>
      <c r="C279" s="17">
        <v>2</v>
      </c>
      <c r="D279" s="17">
        <v>16.3</v>
      </c>
      <c r="E279" s="17"/>
      <c r="F279" s="16" t="s">
        <v>106</v>
      </c>
      <c r="G279" s="17" t="s">
        <v>2263</v>
      </c>
      <c r="H279" s="17" t="s">
        <v>4908</v>
      </c>
      <c r="I279" s="17" t="s">
        <v>34</v>
      </c>
      <c r="J279" s="37" t="s">
        <v>4557</v>
      </c>
      <c r="K279" s="18">
        <v>46144</v>
      </c>
      <c r="L279" s="18" t="s">
        <v>24</v>
      </c>
      <c r="M279" s="7" t="s">
        <v>25</v>
      </c>
      <c r="N279" s="17"/>
    </row>
    <row r="280" spans="1:14" ht="51" x14ac:dyDescent="0.25">
      <c r="A280" s="17">
        <v>279</v>
      </c>
      <c r="B280" s="16" t="s">
        <v>2262</v>
      </c>
      <c r="C280" s="17">
        <v>3</v>
      </c>
      <c r="D280" s="17">
        <v>12.9</v>
      </c>
      <c r="E280" s="17">
        <v>10.8</v>
      </c>
      <c r="F280" s="16" t="s">
        <v>106</v>
      </c>
      <c r="G280" s="17" t="s">
        <v>2264</v>
      </c>
      <c r="H280" s="17" t="s">
        <v>4026</v>
      </c>
      <c r="I280" s="17" t="s">
        <v>34</v>
      </c>
      <c r="J280" s="37" t="s">
        <v>4558</v>
      </c>
      <c r="K280" s="18">
        <v>46142</v>
      </c>
      <c r="L280" s="18" t="s">
        <v>24</v>
      </c>
      <c r="M280" s="7" t="s">
        <v>25</v>
      </c>
      <c r="N280" s="17"/>
    </row>
    <row r="281" spans="1:14" ht="25.5" x14ac:dyDescent="0.25">
      <c r="A281" s="17">
        <v>280</v>
      </c>
      <c r="B281" s="16" t="s">
        <v>2265</v>
      </c>
      <c r="C281" s="17">
        <v>1</v>
      </c>
      <c r="D281" s="17">
        <v>17.100000000000001</v>
      </c>
      <c r="E281" s="17">
        <v>10.8</v>
      </c>
      <c r="F281" s="16" t="s">
        <v>121</v>
      </c>
      <c r="G281" s="17" t="s">
        <v>2266</v>
      </c>
      <c r="H281" s="17" t="s">
        <v>4027</v>
      </c>
      <c r="I281" s="17" t="s">
        <v>22</v>
      </c>
      <c r="J281" s="37" t="s">
        <v>4614</v>
      </c>
      <c r="K281" s="18">
        <v>46141</v>
      </c>
      <c r="L281" s="18" t="s">
        <v>24</v>
      </c>
      <c r="M281" s="7" t="s">
        <v>25</v>
      </c>
      <c r="N281" s="17"/>
    </row>
    <row r="282" spans="1:14" ht="25.5" x14ac:dyDescent="0.25">
      <c r="A282" s="17">
        <v>281</v>
      </c>
      <c r="B282" s="16" t="s">
        <v>2265</v>
      </c>
      <c r="C282" s="17">
        <v>2</v>
      </c>
      <c r="D282" s="17">
        <v>16.899999999999999</v>
      </c>
      <c r="E282" s="17"/>
      <c r="F282" s="16" t="s">
        <v>121</v>
      </c>
      <c r="G282" s="17" t="s">
        <v>2266</v>
      </c>
      <c r="H282" s="17" t="s">
        <v>4027</v>
      </c>
      <c r="I282" s="17" t="s">
        <v>22</v>
      </c>
      <c r="J282" s="37" t="s">
        <v>4614</v>
      </c>
      <c r="K282" s="18">
        <v>46141</v>
      </c>
      <c r="L282" s="18" t="s">
        <v>24</v>
      </c>
      <c r="M282" s="7" t="s">
        <v>25</v>
      </c>
      <c r="N282" s="17"/>
    </row>
    <row r="283" spans="1:14" ht="63.75" x14ac:dyDescent="0.25">
      <c r="A283" s="17">
        <v>282</v>
      </c>
      <c r="B283" s="16" t="s">
        <v>2265</v>
      </c>
      <c r="C283" s="17">
        <v>3</v>
      </c>
      <c r="D283" s="17">
        <v>12.8</v>
      </c>
      <c r="E283" s="17">
        <v>10.8</v>
      </c>
      <c r="F283" s="16" t="s">
        <v>121</v>
      </c>
      <c r="G283" s="17" t="s">
        <v>2267</v>
      </c>
      <c r="H283" s="17" t="s">
        <v>4028</v>
      </c>
      <c r="I283" s="17" t="s">
        <v>34</v>
      </c>
      <c r="J283" s="37" t="s">
        <v>4615</v>
      </c>
      <c r="K283" s="18">
        <v>46140</v>
      </c>
      <c r="L283" s="18" t="s">
        <v>24</v>
      </c>
      <c r="M283" s="7" t="s">
        <v>25</v>
      </c>
      <c r="N283" s="17"/>
    </row>
    <row r="284" spans="1:14" ht="25.5" x14ac:dyDescent="0.25">
      <c r="A284" s="17">
        <v>283</v>
      </c>
      <c r="B284" s="16" t="s">
        <v>2268</v>
      </c>
      <c r="C284" s="17">
        <v>1</v>
      </c>
      <c r="D284" s="17">
        <v>15.5</v>
      </c>
      <c r="E284" s="17">
        <v>10.8</v>
      </c>
      <c r="F284" s="16" t="s">
        <v>19</v>
      </c>
      <c r="G284" s="17" t="s">
        <v>2269</v>
      </c>
      <c r="H284" s="17" t="s">
        <v>4029</v>
      </c>
      <c r="I284" s="17" t="s">
        <v>28</v>
      </c>
      <c r="J284" s="37" t="s">
        <v>4350</v>
      </c>
      <c r="K284" s="18">
        <v>46134</v>
      </c>
      <c r="L284" s="18" t="s">
        <v>24</v>
      </c>
      <c r="M284" s="7" t="s">
        <v>25</v>
      </c>
      <c r="N284" s="17"/>
    </row>
    <row r="285" spans="1:14" ht="25.5" x14ac:dyDescent="0.25">
      <c r="A285" s="17">
        <v>284</v>
      </c>
      <c r="B285" s="16" t="s">
        <v>2268</v>
      </c>
      <c r="C285" s="17">
        <v>2</v>
      </c>
      <c r="D285" s="17">
        <v>15.9</v>
      </c>
      <c r="E285" s="17"/>
      <c r="F285" s="16" t="s">
        <v>343</v>
      </c>
      <c r="G285" s="17" t="s">
        <v>2270</v>
      </c>
      <c r="H285" s="17" t="s">
        <v>3579</v>
      </c>
      <c r="I285" s="17" t="s">
        <v>22</v>
      </c>
      <c r="J285" s="37" t="s">
        <v>4206</v>
      </c>
      <c r="K285" s="18">
        <v>46154</v>
      </c>
      <c r="L285" s="18" t="s">
        <v>24</v>
      </c>
      <c r="M285" s="7" t="s">
        <v>25</v>
      </c>
      <c r="N285" s="17"/>
    </row>
    <row r="286" spans="1:14" ht="25.5" x14ac:dyDescent="0.25">
      <c r="A286" s="17">
        <v>285</v>
      </c>
      <c r="B286" s="16" t="s">
        <v>2268</v>
      </c>
      <c r="C286" s="17">
        <v>3</v>
      </c>
      <c r="D286" s="17">
        <v>12.5</v>
      </c>
      <c r="E286" s="17">
        <v>10.5</v>
      </c>
      <c r="F286" s="16" t="s">
        <v>343</v>
      </c>
      <c r="G286" s="17" t="s">
        <v>2270</v>
      </c>
      <c r="H286" s="17" t="s">
        <v>3579</v>
      </c>
      <c r="I286" s="17" t="s">
        <v>22</v>
      </c>
      <c r="J286" s="37" t="s">
        <v>4206</v>
      </c>
      <c r="K286" s="18">
        <v>46154</v>
      </c>
      <c r="L286" s="18" t="s">
        <v>24</v>
      </c>
      <c r="M286" s="7" t="s">
        <v>25</v>
      </c>
      <c r="N286" s="17"/>
    </row>
    <row r="287" spans="1:14" ht="51" x14ac:dyDescent="0.25">
      <c r="A287" s="17">
        <v>286</v>
      </c>
      <c r="B287" s="16" t="s">
        <v>2271</v>
      </c>
      <c r="C287" s="17">
        <v>1</v>
      </c>
      <c r="D287" s="17">
        <v>17.100000000000001</v>
      </c>
      <c r="E287" s="17">
        <v>11</v>
      </c>
      <c r="F287" s="16" t="s">
        <v>19</v>
      </c>
      <c r="G287" s="17" t="s">
        <v>2272</v>
      </c>
      <c r="H287" s="17" t="s">
        <v>3667</v>
      </c>
      <c r="I287" s="17" t="s">
        <v>34</v>
      </c>
      <c r="J287" s="37" t="s">
        <v>4351</v>
      </c>
      <c r="K287" s="18">
        <v>46133</v>
      </c>
      <c r="L287" s="18" t="s">
        <v>24</v>
      </c>
      <c r="M287" s="7" t="s">
        <v>25</v>
      </c>
      <c r="N287" s="17"/>
    </row>
    <row r="288" spans="1:14" ht="51" x14ac:dyDescent="0.25">
      <c r="A288" s="17">
        <v>287</v>
      </c>
      <c r="B288" s="16" t="s">
        <v>2271</v>
      </c>
      <c r="C288" s="17">
        <v>2</v>
      </c>
      <c r="D288" s="17">
        <v>16.5</v>
      </c>
      <c r="E288" s="17"/>
      <c r="F288" s="16" t="s">
        <v>19</v>
      </c>
      <c r="G288" s="17" t="s">
        <v>2272</v>
      </c>
      <c r="H288" s="17" t="s">
        <v>3667</v>
      </c>
      <c r="I288" s="17" t="s">
        <v>34</v>
      </c>
      <c r="J288" s="37" t="s">
        <v>4351</v>
      </c>
      <c r="K288" s="18">
        <v>46133</v>
      </c>
      <c r="L288" s="18" t="s">
        <v>24</v>
      </c>
      <c r="M288" s="7" t="s">
        <v>25</v>
      </c>
      <c r="N288" s="17"/>
    </row>
    <row r="289" spans="1:14" ht="51" x14ac:dyDescent="0.25">
      <c r="A289" s="17">
        <v>288</v>
      </c>
      <c r="B289" s="16" t="s">
        <v>2271</v>
      </c>
      <c r="C289" s="17">
        <v>3</v>
      </c>
      <c r="D289" s="17">
        <v>13.1</v>
      </c>
      <c r="E289" s="17">
        <v>10.9</v>
      </c>
      <c r="F289" s="16" t="s">
        <v>19</v>
      </c>
      <c r="G289" s="17" t="s">
        <v>2273</v>
      </c>
      <c r="H289" s="17" t="s">
        <v>3853</v>
      </c>
      <c r="I289" s="17" t="s">
        <v>34</v>
      </c>
      <c r="J289" s="37" t="s">
        <v>4352</v>
      </c>
      <c r="K289" s="18">
        <v>46135</v>
      </c>
      <c r="L289" s="18" t="s">
        <v>24</v>
      </c>
      <c r="M289" s="7" t="s">
        <v>25</v>
      </c>
      <c r="N289" s="17"/>
    </row>
    <row r="290" spans="1:14" ht="25.5" x14ac:dyDescent="0.25">
      <c r="A290" s="17">
        <v>289</v>
      </c>
      <c r="B290" s="16" t="s">
        <v>2274</v>
      </c>
      <c r="C290" s="17">
        <v>1</v>
      </c>
      <c r="D290" s="17">
        <v>16.899999999999999</v>
      </c>
      <c r="E290" s="17">
        <v>11.4</v>
      </c>
      <c r="F290" s="16" t="s">
        <v>19</v>
      </c>
      <c r="G290" s="17" t="s">
        <v>2275</v>
      </c>
      <c r="H290" s="17" t="s">
        <v>4030</v>
      </c>
      <c r="I290" s="17" t="s">
        <v>22</v>
      </c>
      <c r="J290" s="37" t="s">
        <v>4353</v>
      </c>
      <c r="K290" s="18">
        <v>46137</v>
      </c>
      <c r="L290" s="18" t="s">
        <v>24</v>
      </c>
      <c r="M290" s="7" t="s">
        <v>25</v>
      </c>
      <c r="N290" s="17"/>
    </row>
    <row r="291" spans="1:14" ht="63.75" x14ac:dyDescent="0.25">
      <c r="A291" s="17">
        <v>290</v>
      </c>
      <c r="B291" s="16" t="s">
        <v>2274</v>
      </c>
      <c r="C291" s="17">
        <v>2</v>
      </c>
      <c r="D291" s="17">
        <v>16.899999999999999</v>
      </c>
      <c r="E291" s="17"/>
      <c r="F291" s="16" t="s">
        <v>19</v>
      </c>
      <c r="G291" s="17" t="s">
        <v>2276</v>
      </c>
      <c r="H291" s="17" t="s">
        <v>3668</v>
      </c>
      <c r="I291" s="17" t="s">
        <v>34</v>
      </c>
      <c r="J291" s="37" t="s">
        <v>4354</v>
      </c>
      <c r="K291" s="18">
        <v>46136</v>
      </c>
      <c r="L291" s="18" t="s">
        <v>24</v>
      </c>
      <c r="M291" s="7" t="s">
        <v>25</v>
      </c>
      <c r="N291" s="17"/>
    </row>
    <row r="292" spans="1:14" ht="63.75" x14ac:dyDescent="0.25">
      <c r="A292" s="17">
        <v>291</v>
      </c>
      <c r="B292" s="16" t="s">
        <v>2274</v>
      </c>
      <c r="C292" s="17">
        <v>3</v>
      </c>
      <c r="D292" s="17">
        <v>14.4</v>
      </c>
      <c r="E292" s="17">
        <v>11.4</v>
      </c>
      <c r="F292" s="16" t="s">
        <v>19</v>
      </c>
      <c r="G292" s="17" t="s">
        <v>2276</v>
      </c>
      <c r="H292" s="17" t="s">
        <v>3668</v>
      </c>
      <c r="I292" s="17" t="s">
        <v>34</v>
      </c>
      <c r="J292" s="37" t="s">
        <v>4354</v>
      </c>
      <c r="K292" s="18">
        <v>46136</v>
      </c>
      <c r="L292" s="18" t="s">
        <v>24</v>
      </c>
      <c r="M292" s="7" t="s">
        <v>25</v>
      </c>
      <c r="N292" s="17"/>
    </row>
    <row r="293" spans="1:14" ht="25.5" x14ac:dyDescent="0.25">
      <c r="A293" s="17">
        <v>292</v>
      </c>
      <c r="B293" s="16" t="s">
        <v>2277</v>
      </c>
      <c r="C293" s="17">
        <v>1</v>
      </c>
      <c r="D293" s="17">
        <v>17.3</v>
      </c>
      <c r="E293" s="17">
        <v>11.4</v>
      </c>
      <c r="F293" s="16" t="s">
        <v>121</v>
      </c>
      <c r="G293" s="17" t="s">
        <v>2278</v>
      </c>
      <c r="H293" s="17" t="s">
        <v>3854</v>
      </c>
      <c r="I293" s="17" t="s">
        <v>28</v>
      </c>
      <c r="J293" s="37" t="s">
        <v>4616</v>
      </c>
      <c r="K293" s="18">
        <v>46140</v>
      </c>
      <c r="L293" s="18" t="s">
        <v>24</v>
      </c>
      <c r="M293" s="7" t="s">
        <v>25</v>
      </c>
      <c r="N293" s="17"/>
    </row>
    <row r="294" spans="1:14" ht="25.5" x14ac:dyDescent="0.25">
      <c r="A294" s="17">
        <v>293</v>
      </c>
      <c r="B294" s="16" t="s">
        <v>2277</v>
      </c>
      <c r="C294" s="17">
        <v>2</v>
      </c>
      <c r="D294" s="17">
        <v>17.7</v>
      </c>
      <c r="E294" s="17"/>
      <c r="F294" s="16" t="s">
        <v>121</v>
      </c>
      <c r="G294" s="17" t="s">
        <v>2279</v>
      </c>
      <c r="H294" s="17" t="s">
        <v>3669</v>
      </c>
      <c r="I294" s="17" t="s">
        <v>28</v>
      </c>
      <c r="J294" s="37" t="s">
        <v>4617</v>
      </c>
      <c r="K294" s="18">
        <v>46141</v>
      </c>
      <c r="L294" s="18" t="s">
        <v>24</v>
      </c>
      <c r="M294" s="7" t="s">
        <v>25</v>
      </c>
      <c r="N294" s="17"/>
    </row>
    <row r="295" spans="1:14" ht="51" x14ac:dyDescent="0.25">
      <c r="A295" s="17">
        <v>294</v>
      </c>
      <c r="B295" s="16" t="s">
        <v>2277</v>
      </c>
      <c r="C295" s="17">
        <v>3</v>
      </c>
      <c r="D295" s="17">
        <v>14</v>
      </c>
      <c r="E295" s="17">
        <v>11.4</v>
      </c>
      <c r="F295" s="16" t="s">
        <v>121</v>
      </c>
      <c r="G295" s="17" t="s">
        <v>2280</v>
      </c>
      <c r="H295" s="17" t="s">
        <v>3670</v>
      </c>
      <c r="I295" s="17" t="s">
        <v>34</v>
      </c>
      <c r="J295" s="37" t="s">
        <v>4618</v>
      </c>
      <c r="K295" s="18">
        <v>46140</v>
      </c>
      <c r="L295" s="18" t="s">
        <v>24</v>
      </c>
      <c r="M295" s="7" t="s">
        <v>25</v>
      </c>
      <c r="N295" s="17"/>
    </row>
    <row r="296" spans="1:14" ht="25.5" x14ac:dyDescent="0.25">
      <c r="A296" s="17">
        <v>295</v>
      </c>
      <c r="B296" s="16" t="s">
        <v>2281</v>
      </c>
      <c r="C296" s="17">
        <v>1</v>
      </c>
      <c r="D296" s="17">
        <v>16.100000000000001</v>
      </c>
      <c r="E296" s="17">
        <v>10.7</v>
      </c>
      <c r="F296" s="16" t="s">
        <v>121</v>
      </c>
      <c r="G296" s="17" t="s">
        <v>2282</v>
      </c>
      <c r="H296" s="17" t="s">
        <v>3671</v>
      </c>
      <c r="I296" s="17" t="s">
        <v>28</v>
      </c>
      <c r="J296" s="37" t="s">
        <v>4619</v>
      </c>
      <c r="K296" s="18">
        <v>46141</v>
      </c>
      <c r="L296" s="18" t="s">
        <v>24</v>
      </c>
      <c r="M296" s="7" t="s">
        <v>25</v>
      </c>
      <c r="N296" s="17"/>
    </row>
    <row r="297" spans="1:14" ht="25.5" x14ac:dyDescent="0.25">
      <c r="A297" s="14">
        <v>296</v>
      </c>
      <c r="B297" s="15" t="s">
        <v>2281</v>
      </c>
      <c r="C297" s="14">
        <v>2</v>
      </c>
      <c r="D297" s="14">
        <v>16.600000000000001</v>
      </c>
      <c r="E297" s="14"/>
      <c r="F297" s="15" t="s">
        <v>162</v>
      </c>
      <c r="G297" s="14"/>
      <c r="H297" s="14"/>
      <c r="I297" s="14"/>
      <c r="J297" s="28"/>
      <c r="K297" s="14"/>
      <c r="L297" s="14"/>
      <c r="M297" s="14" t="s">
        <v>286</v>
      </c>
      <c r="N297" s="14"/>
    </row>
    <row r="298" spans="1:14" ht="25.5" x14ac:dyDescent="0.25">
      <c r="A298" s="17">
        <v>297</v>
      </c>
      <c r="B298" s="16" t="s">
        <v>2281</v>
      </c>
      <c r="C298" s="17">
        <v>3</v>
      </c>
      <c r="D298" s="17">
        <v>13.5</v>
      </c>
      <c r="E298" s="17">
        <v>10.7</v>
      </c>
      <c r="F298" s="16" t="s">
        <v>106</v>
      </c>
      <c r="G298" s="17" t="s">
        <v>2283</v>
      </c>
      <c r="H298" s="17" t="s">
        <v>4031</v>
      </c>
      <c r="I298" s="17" t="s">
        <v>28</v>
      </c>
      <c r="J298" s="37" t="s">
        <v>4559</v>
      </c>
      <c r="K298" s="18">
        <v>46133</v>
      </c>
      <c r="L298" s="18" t="s">
        <v>24</v>
      </c>
      <c r="M298" s="7" t="s">
        <v>25</v>
      </c>
      <c r="N298" s="17"/>
    </row>
    <row r="299" spans="1:14" ht="51" x14ac:dyDescent="0.25">
      <c r="A299" s="17">
        <v>298</v>
      </c>
      <c r="B299" s="16" t="s">
        <v>2284</v>
      </c>
      <c r="C299" s="17">
        <v>1</v>
      </c>
      <c r="D299" s="17">
        <v>17.2</v>
      </c>
      <c r="E299" s="17">
        <v>11.6</v>
      </c>
      <c r="F299" s="16" t="s">
        <v>19</v>
      </c>
      <c r="G299" s="17" t="s">
        <v>2285</v>
      </c>
      <c r="H299" s="17" t="s">
        <v>3672</v>
      </c>
      <c r="I299" s="17" t="s">
        <v>34</v>
      </c>
      <c r="J299" s="37" t="s">
        <v>4355</v>
      </c>
      <c r="K299" s="18">
        <v>46134</v>
      </c>
      <c r="L299" s="18" t="s">
        <v>24</v>
      </c>
      <c r="M299" s="7" t="s">
        <v>25</v>
      </c>
      <c r="N299" s="17"/>
    </row>
    <row r="300" spans="1:14" ht="51" x14ac:dyDescent="0.25">
      <c r="A300" s="17">
        <v>299</v>
      </c>
      <c r="B300" s="16" t="s">
        <v>2284</v>
      </c>
      <c r="C300" s="17">
        <v>2</v>
      </c>
      <c r="D300" s="17">
        <v>17.600000000000001</v>
      </c>
      <c r="E300" s="17"/>
      <c r="F300" s="16" t="s">
        <v>19</v>
      </c>
      <c r="G300" s="17" t="s">
        <v>2285</v>
      </c>
      <c r="H300" s="17" t="s">
        <v>3672</v>
      </c>
      <c r="I300" s="17" t="s">
        <v>34</v>
      </c>
      <c r="J300" s="37" t="s">
        <v>4355</v>
      </c>
      <c r="K300" s="18">
        <v>46134</v>
      </c>
      <c r="L300" s="18" t="s">
        <v>24</v>
      </c>
      <c r="M300" s="7" t="s">
        <v>25</v>
      </c>
      <c r="N300" s="17"/>
    </row>
    <row r="301" spans="1:14" ht="25.5" x14ac:dyDescent="0.25">
      <c r="A301" s="17">
        <v>300</v>
      </c>
      <c r="B301" s="16" t="s">
        <v>2284</v>
      </c>
      <c r="C301" s="17">
        <v>3</v>
      </c>
      <c r="D301" s="17">
        <v>13.8</v>
      </c>
      <c r="E301" s="17">
        <v>11.6</v>
      </c>
      <c r="F301" s="16" t="s">
        <v>151</v>
      </c>
      <c r="G301" s="17" t="s">
        <v>2286</v>
      </c>
      <c r="H301" s="17" t="s">
        <v>3673</v>
      </c>
      <c r="I301" s="17" t="s">
        <v>28</v>
      </c>
      <c r="J301" s="37" t="s">
        <v>4780</v>
      </c>
      <c r="K301" s="18">
        <v>46134</v>
      </c>
      <c r="L301" s="18" t="s">
        <v>24</v>
      </c>
      <c r="M301" s="7" t="s">
        <v>25</v>
      </c>
      <c r="N301" s="17"/>
    </row>
    <row r="302" spans="1:14" ht="63.75" x14ac:dyDescent="0.25">
      <c r="A302" s="17">
        <v>301</v>
      </c>
      <c r="B302" s="16" t="s">
        <v>2287</v>
      </c>
      <c r="C302" s="17">
        <v>1</v>
      </c>
      <c r="D302" s="17">
        <v>16.3</v>
      </c>
      <c r="E302" s="17">
        <v>11.1</v>
      </c>
      <c r="F302" s="16" t="s">
        <v>31</v>
      </c>
      <c r="G302" s="17" t="s">
        <v>2288</v>
      </c>
      <c r="H302" s="17" t="s">
        <v>4032</v>
      </c>
      <c r="I302" s="17" t="s">
        <v>34</v>
      </c>
      <c r="J302" s="37" t="s">
        <v>4714</v>
      </c>
      <c r="K302" s="18">
        <v>46147</v>
      </c>
      <c r="L302" s="18" t="s">
        <v>24</v>
      </c>
      <c r="M302" s="7" t="s">
        <v>25</v>
      </c>
      <c r="N302" s="17"/>
    </row>
    <row r="303" spans="1:14" x14ac:dyDescent="0.25">
      <c r="A303" s="17">
        <v>302</v>
      </c>
      <c r="B303" s="16" t="s">
        <v>2287</v>
      </c>
      <c r="C303" s="17">
        <v>2</v>
      </c>
      <c r="D303" s="17">
        <v>15.5</v>
      </c>
      <c r="E303" s="17"/>
      <c r="F303" s="16" t="s">
        <v>151</v>
      </c>
      <c r="G303" s="17" t="s">
        <v>2289</v>
      </c>
      <c r="H303" s="17" t="s">
        <v>4033</v>
      </c>
      <c r="I303" s="17" t="s">
        <v>51</v>
      </c>
      <c r="J303" s="37" t="s">
        <v>4781</v>
      </c>
      <c r="K303" s="18">
        <v>46155</v>
      </c>
      <c r="L303" s="18" t="s">
        <v>24</v>
      </c>
      <c r="M303" s="7" t="s">
        <v>25</v>
      </c>
      <c r="N303" s="17"/>
    </row>
    <row r="304" spans="1:14" ht="25.5" x14ac:dyDescent="0.25">
      <c r="A304" s="17">
        <v>303</v>
      </c>
      <c r="B304" s="16" t="s">
        <v>2287</v>
      </c>
      <c r="C304" s="17">
        <v>3</v>
      </c>
      <c r="D304" s="17">
        <v>12.8</v>
      </c>
      <c r="E304" s="17">
        <v>10.5</v>
      </c>
      <c r="F304" s="16" t="s">
        <v>31</v>
      </c>
      <c r="G304" s="17" t="s">
        <v>2290</v>
      </c>
      <c r="H304" s="17" t="s">
        <v>3674</v>
      </c>
      <c r="I304" s="17" t="s">
        <v>28</v>
      </c>
      <c r="J304" s="37" t="s">
        <v>4715</v>
      </c>
      <c r="K304" s="18">
        <v>46148</v>
      </c>
      <c r="L304" s="18" t="s">
        <v>24</v>
      </c>
      <c r="M304" s="7" t="s">
        <v>25</v>
      </c>
      <c r="N304" s="17"/>
    </row>
    <row r="305" spans="1:14" ht="51" x14ac:dyDescent="0.25">
      <c r="A305" s="17">
        <v>304</v>
      </c>
      <c r="B305" s="16" t="s">
        <v>2291</v>
      </c>
      <c r="C305" s="17">
        <v>1</v>
      </c>
      <c r="D305" s="17">
        <v>17.899999999999999</v>
      </c>
      <c r="E305" s="17">
        <v>11.8</v>
      </c>
      <c r="F305" s="16" t="s">
        <v>151</v>
      </c>
      <c r="G305" s="17" t="s">
        <v>2292</v>
      </c>
      <c r="H305" s="17" t="s">
        <v>4034</v>
      </c>
      <c r="I305" s="17" t="s">
        <v>34</v>
      </c>
      <c r="J305" s="37" t="s">
        <v>4782</v>
      </c>
      <c r="K305" s="18">
        <v>46155</v>
      </c>
      <c r="L305" s="18" t="s">
        <v>24</v>
      </c>
      <c r="M305" s="7" t="s">
        <v>25</v>
      </c>
      <c r="N305" s="17"/>
    </row>
    <row r="306" spans="1:14" ht="25.5" x14ac:dyDescent="0.25">
      <c r="A306" s="17">
        <v>305</v>
      </c>
      <c r="B306" s="16" t="s">
        <v>2291</v>
      </c>
      <c r="C306" s="17">
        <v>2</v>
      </c>
      <c r="D306" s="17">
        <v>17.600000000000001</v>
      </c>
      <c r="E306" s="17"/>
      <c r="F306" s="16" t="s">
        <v>151</v>
      </c>
      <c r="G306" s="17" t="s">
        <v>2293</v>
      </c>
      <c r="H306" s="17" t="s">
        <v>3675</v>
      </c>
      <c r="I306" s="17" t="s">
        <v>28</v>
      </c>
      <c r="J306" s="37" t="s">
        <v>4783</v>
      </c>
      <c r="K306" s="18">
        <v>46155</v>
      </c>
      <c r="L306" s="18" t="s">
        <v>24</v>
      </c>
      <c r="M306" s="7" t="s">
        <v>25</v>
      </c>
      <c r="N306" s="17"/>
    </row>
    <row r="307" spans="1:14" ht="25.5" x14ac:dyDescent="0.25">
      <c r="A307" s="17">
        <v>306</v>
      </c>
      <c r="B307" s="16" t="s">
        <v>2291</v>
      </c>
      <c r="C307" s="17">
        <v>3</v>
      </c>
      <c r="D307" s="17">
        <v>13.1</v>
      </c>
      <c r="E307" s="17">
        <v>11.8</v>
      </c>
      <c r="F307" s="16" t="s">
        <v>151</v>
      </c>
      <c r="G307" s="17" t="s">
        <v>2294</v>
      </c>
      <c r="H307" s="17" t="s">
        <v>4035</v>
      </c>
      <c r="I307" s="17" t="s">
        <v>51</v>
      </c>
      <c r="J307" s="37" t="s">
        <v>4784</v>
      </c>
      <c r="K307" s="18">
        <v>46149</v>
      </c>
      <c r="L307" s="18" t="s">
        <v>24</v>
      </c>
      <c r="M307" s="7" t="s">
        <v>25</v>
      </c>
      <c r="N307" s="17"/>
    </row>
    <row r="308" spans="1:14" ht="25.5" x14ac:dyDescent="0.25">
      <c r="A308" s="34">
        <v>307</v>
      </c>
      <c r="B308" s="35" t="s">
        <v>2295</v>
      </c>
      <c r="C308" s="34">
        <v>1</v>
      </c>
      <c r="D308" s="34">
        <v>16.100000000000001</v>
      </c>
      <c r="E308" s="34">
        <v>10.6</v>
      </c>
      <c r="F308" s="35" t="s">
        <v>121</v>
      </c>
      <c r="G308" s="34" t="s">
        <v>2296</v>
      </c>
      <c r="H308" s="17" t="s">
        <v>4036</v>
      </c>
      <c r="I308" s="17" t="s">
        <v>2032</v>
      </c>
      <c r="J308" s="37" t="s">
        <v>4620</v>
      </c>
      <c r="K308" s="18">
        <v>46140</v>
      </c>
      <c r="L308" s="18" t="s">
        <v>24</v>
      </c>
      <c r="M308" s="7" t="s">
        <v>25</v>
      </c>
      <c r="N308" s="17"/>
    </row>
    <row r="309" spans="1:14" ht="25.5" x14ac:dyDescent="0.25">
      <c r="A309" s="17">
        <v>308</v>
      </c>
      <c r="B309" s="16" t="s">
        <v>2295</v>
      </c>
      <c r="C309" s="17">
        <v>2</v>
      </c>
      <c r="D309" s="17">
        <v>16.5</v>
      </c>
      <c r="E309" s="17"/>
      <c r="F309" s="16" t="s">
        <v>121</v>
      </c>
      <c r="G309" s="17" t="s">
        <v>2297</v>
      </c>
      <c r="H309" s="17" t="s">
        <v>3676</v>
      </c>
      <c r="I309" s="17" t="s">
        <v>28</v>
      </c>
      <c r="J309" s="37" t="s">
        <v>4621</v>
      </c>
      <c r="K309" s="18">
        <v>46133</v>
      </c>
      <c r="L309" s="18" t="s">
        <v>24</v>
      </c>
      <c r="M309" s="7" t="s">
        <v>25</v>
      </c>
      <c r="N309" s="17"/>
    </row>
    <row r="310" spans="1:14" ht="25.5" x14ac:dyDescent="0.25">
      <c r="A310" s="17">
        <v>309</v>
      </c>
      <c r="B310" s="16" t="s">
        <v>2295</v>
      </c>
      <c r="C310" s="17">
        <v>3</v>
      </c>
      <c r="D310" s="17">
        <v>12.3</v>
      </c>
      <c r="E310" s="17">
        <v>10.4</v>
      </c>
      <c r="F310" s="16" t="s">
        <v>121</v>
      </c>
      <c r="G310" s="17" t="s">
        <v>2297</v>
      </c>
      <c r="H310" s="17" t="s">
        <v>3676</v>
      </c>
      <c r="I310" s="17" t="s">
        <v>28</v>
      </c>
      <c r="J310" s="37" t="s">
        <v>4621</v>
      </c>
      <c r="K310" s="18">
        <v>46133</v>
      </c>
      <c r="L310" s="18" t="s">
        <v>24</v>
      </c>
      <c r="M310" s="7" t="s">
        <v>25</v>
      </c>
      <c r="N310" s="17"/>
    </row>
    <row r="311" spans="1:14" ht="25.5" x14ac:dyDescent="0.25">
      <c r="A311" s="17">
        <v>310</v>
      </c>
      <c r="B311" s="16" t="s">
        <v>2298</v>
      </c>
      <c r="C311" s="17">
        <v>1</v>
      </c>
      <c r="D311" s="17">
        <v>16.600000000000001</v>
      </c>
      <c r="E311" s="17">
        <v>10.5</v>
      </c>
      <c r="F311" s="16" t="s">
        <v>338</v>
      </c>
      <c r="G311" s="17" t="s">
        <v>2299</v>
      </c>
      <c r="H311" s="17" t="s">
        <v>3855</v>
      </c>
      <c r="I311" s="17" t="s">
        <v>42</v>
      </c>
      <c r="J311" s="37" t="s">
        <v>4411</v>
      </c>
      <c r="K311" s="18">
        <v>46137</v>
      </c>
      <c r="L311" s="18" t="s">
        <v>24</v>
      </c>
      <c r="M311" s="7" t="s">
        <v>25</v>
      </c>
      <c r="N311" s="17"/>
    </row>
    <row r="312" spans="1:14" ht="25.5" x14ac:dyDescent="0.25">
      <c r="A312" s="17">
        <v>311</v>
      </c>
      <c r="B312" s="16" t="s">
        <v>2298</v>
      </c>
      <c r="C312" s="17">
        <v>2</v>
      </c>
      <c r="D312" s="17">
        <v>17.100000000000001</v>
      </c>
      <c r="E312" s="17"/>
      <c r="F312" s="16" t="s">
        <v>338</v>
      </c>
      <c r="G312" s="17" t="s">
        <v>2299</v>
      </c>
      <c r="H312" s="17" t="s">
        <v>3855</v>
      </c>
      <c r="I312" s="17" t="s">
        <v>42</v>
      </c>
      <c r="J312" s="37" t="s">
        <v>4411</v>
      </c>
      <c r="K312" s="18">
        <v>46137</v>
      </c>
      <c r="L312" s="18" t="s">
        <v>24</v>
      </c>
      <c r="M312" s="7" t="s">
        <v>25</v>
      </c>
      <c r="N312" s="17"/>
    </row>
    <row r="313" spans="1:14" ht="25.5" x14ac:dyDescent="0.25">
      <c r="A313" s="17">
        <v>312</v>
      </c>
      <c r="B313" s="16" t="s">
        <v>2298</v>
      </c>
      <c r="C313" s="17">
        <v>3</v>
      </c>
      <c r="D313" s="17">
        <v>12.4</v>
      </c>
      <c r="E313" s="17">
        <v>10.5</v>
      </c>
      <c r="F313" s="16" t="s">
        <v>19</v>
      </c>
      <c r="G313" s="17" t="s">
        <v>2300</v>
      </c>
      <c r="H313" s="17" t="s">
        <v>3856</v>
      </c>
      <c r="I313" s="17" t="s">
        <v>42</v>
      </c>
      <c r="J313" s="37" t="s">
        <v>4356</v>
      </c>
      <c r="K313" s="18">
        <v>46137</v>
      </c>
      <c r="L313" s="18" t="s">
        <v>24</v>
      </c>
      <c r="M313" s="7" t="s">
        <v>25</v>
      </c>
      <c r="N313" s="17"/>
    </row>
    <row r="314" spans="1:14" ht="25.5" x14ac:dyDescent="0.25">
      <c r="A314" s="17">
        <v>313</v>
      </c>
      <c r="B314" s="16" t="s">
        <v>2301</v>
      </c>
      <c r="C314" s="17">
        <v>1</v>
      </c>
      <c r="D314" s="17">
        <v>17.100000000000001</v>
      </c>
      <c r="E314" s="17">
        <v>11.8</v>
      </c>
      <c r="F314" s="16" t="s">
        <v>101</v>
      </c>
      <c r="G314" s="17" t="s">
        <v>2302</v>
      </c>
      <c r="H314" s="17" t="s">
        <v>3857</v>
      </c>
      <c r="I314" s="17" t="s">
        <v>28</v>
      </c>
      <c r="J314" s="37" t="s">
        <v>4233</v>
      </c>
      <c r="K314" s="18">
        <v>46141</v>
      </c>
      <c r="L314" s="18" t="s">
        <v>24</v>
      </c>
      <c r="M314" s="7" t="s">
        <v>25</v>
      </c>
      <c r="N314" s="17"/>
    </row>
    <row r="315" spans="1:14" ht="25.5" x14ac:dyDescent="0.25">
      <c r="A315" s="17">
        <v>314</v>
      </c>
      <c r="B315" s="16" t="s">
        <v>2301</v>
      </c>
      <c r="C315" s="17">
        <v>2</v>
      </c>
      <c r="D315" s="17">
        <v>17.899999999999999</v>
      </c>
      <c r="E315" s="17"/>
      <c r="F315" s="16" t="s">
        <v>101</v>
      </c>
      <c r="G315" s="34" t="s">
        <v>2302</v>
      </c>
      <c r="H315" s="17" t="s">
        <v>3857</v>
      </c>
      <c r="I315" s="17" t="s">
        <v>28</v>
      </c>
      <c r="J315" s="37" t="s">
        <v>4233</v>
      </c>
      <c r="K315" s="18">
        <v>46141</v>
      </c>
      <c r="L315" s="18" t="s">
        <v>24</v>
      </c>
      <c r="M315" s="7" t="s">
        <v>25</v>
      </c>
      <c r="N315" s="17"/>
    </row>
    <row r="316" spans="1:14" ht="25.5" x14ac:dyDescent="0.25">
      <c r="A316" s="34">
        <v>315</v>
      </c>
      <c r="B316" s="35" t="s">
        <v>2301</v>
      </c>
      <c r="C316" s="34">
        <v>3</v>
      </c>
      <c r="D316" s="34">
        <v>13.7</v>
      </c>
      <c r="E316" s="34">
        <v>11.8</v>
      </c>
      <c r="F316" s="35" t="s">
        <v>162</v>
      </c>
      <c r="G316" s="34" t="s">
        <v>2303</v>
      </c>
      <c r="H316" s="17" t="s">
        <v>4037</v>
      </c>
      <c r="I316" s="17" t="s">
        <v>2032</v>
      </c>
      <c r="J316" s="37" t="s">
        <v>4469</v>
      </c>
      <c r="K316" s="18">
        <v>46155</v>
      </c>
      <c r="L316" s="18" t="s">
        <v>82</v>
      </c>
      <c r="M316" s="7" t="s">
        <v>25</v>
      </c>
      <c r="N316" s="17"/>
    </row>
    <row r="317" spans="1:14" ht="25.5" x14ac:dyDescent="0.25">
      <c r="A317" s="17">
        <v>316</v>
      </c>
      <c r="B317" s="16" t="s">
        <v>2305</v>
      </c>
      <c r="C317" s="17">
        <v>1</v>
      </c>
      <c r="D317" s="17">
        <v>16.2</v>
      </c>
      <c r="E317" s="17">
        <v>10.7</v>
      </c>
      <c r="F317" s="16" t="s">
        <v>48</v>
      </c>
      <c r="G317" s="17" t="s">
        <v>2306</v>
      </c>
      <c r="H317" s="17" t="s">
        <v>3677</v>
      </c>
      <c r="I317" s="17" t="s">
        <v>28</v>
      </c>
      <c r="J317" s="37" t="s">
        <v>4833</v>
      </c>
      <c r="K317" s="18">
        <v>46136</v>
      </c>
      <c r="L317" s="18" t="s">
        <v>24</v>
      </c>
      <c r="M317" s="7" t="s">
        <v>25</v>
      </c>
      <c r="N317" s="17"/>
    </row>
    <row r="318" spans="1:14" ht="51" x14ac:dyDescent="0.25">
      <c r="A318" s="17">
        <v>317</v>
      </c>
      <c r="B318" s="16" t="s">
        <v>2305</v>
      </c>
      <c r="C318" s="17">
        <v>2</v>
      </c>
      <c r="D318" s="17">
        <v>16.899999999999999</v>
      </c>
      <c r="E318" s="17"/>
      <c r="F318" s="16" t="s">
        <v>101</v>
      </c>
      <c r="G318" s="17" t="s">
        <v>2307</v>
      </c>
      <c r="H318" s="17" t="s">
        <v>3858</v>
      </c>
      <c r="I318" s="17" t="s">
        <v>34</v>
      </c>
      <c r="J318" s="37" t="s">
        <v>4234</v>
      </c>
      <c r="K318" s="18">
        <v>46135</v>
      </c>
      <c r="L318" s="18" t="s">
        <v>24</v>
      </c>
      <c r="M318" s="7" t="s">
        <v>25</v>
      </c>
      <c r="N318" s="17"/>
    </row>
    <row r="319" spans="1:14" ht="51" x14ac:dyDescent="0.25">
      <c r="A319" s="17">
        <v>318</v>
      </c>
      <c r="B319" s="16" t="s">
        <v>2305</v>
      </c>
      <c r="C319" s="17">
        <v>3</v>
      </c>
      <c r="D319" s="17">
        <v>13.1</v>
      </c>
      <c r="E319" s="17">
        <v>10.6</v>
      </c>
      <c r="F319" s="16" t="s">
        <v>101</v>
      </c>
      <c r="G319" s="17" t="s">
        <v>2307</v>
      </c>
      <c r="H319" s="17" t="s">
        <v>3858</v>
      </c>
      <c r="I319" s="17" t="s">
        <v>34</v>
      </c>
      <c r="J319" s="37" t="s">
        <v>4234</v>
      </c>
      <c r="K319" s="18">
        <v>46135</v>
      </c>
      <c r="L319" s="18" t="s">
        <v>24</v>
      </c>
      <c r="M319" s="7" t="s">
        <v>25</v>
      </c>
      <c r="N319" s="17"/>
    </row>
    <row r="320" spans="1:14" ht="63.75" x14ac:dyDescent="0.25">
      <c r="A320" s="17">
        <v>319</v>
      </c>
      <c r="B320" s="16" t="s">
        <v>2308</v>
      </c>
      <c r="C320" s="17">
        <v>1</v>
      </c>
      <c r="D320" s="17">
        <v>16.3</v>
      </c>
      <c r="E320" s="17">
        <v>10.5</v>
      </c>
      <c r="F320" s="16" t="s">
        <v>121</v>
      </c>
      <c r="G320" s="17" t="s">
        <v>2309</v>
      </c>
      <c r="H320" s="17" t="s">
        <v>3678</v>
      </c>
      <c r="I320" s="17" t="s">
        <v>34</v>
      </c>
      <c r="J320" s="37" t="s">
        <v>4622</v>
      </c>
      <c r="K320" s="18">
        <v>46150</v>
      </c>
      <c r="L320" s="18" t="s">
        <v>24</v>
      </c>
      <c r="M320" s="7" t="s">
        <v>25</v>
      </c>
      <c r="N320" s="17"/>
    </row>
    <row r="321" spans="1:14" ht="63.75" x14ac:dyDescent="0.25">
      <c r="A321" s="17">
        <v>320</v>
      </c>
      <c r="B321" s="16" t="s">
        <v>2308</v>
      </c>
      <c r="C321" s="17">
        <v>2</v>
      </c>
      <c r="D321" s="17">
        <v>16.7</v>
      </c>
      <c r="E321" s="17"/>
      <c r="F321" s="16" t="s">
        <v>19</v>
      </c>
      <c r="G321" s="17" t="s">
        <v>2310</v>
      </c>
      <c r="H321" s="17" t="s">
        <v>4038</v>
      </c>
      <c r="I321" s="17" t="s">
        <v>34</v>
      </c>
      <c r="J321" s="37" t="s">
        <v>4357</v>
      </c>
      <c r="K321" s="18">
        <v>46136</v>
      </c>
      <c r="L321" s="18" t="s">
        <v>24</v>
      </c>
      <c r="M321" s="7" t="s">
        <v>25</v>
      </c>
      <c r="N321" s="17"/>
    </row>
    <row r="322" spans="1:14" ht="25.5" x14ac:dyDescent="0.25">
      <c r="A322" s="17">
        <v>321</v>
      </c>
      <c r="B322" s="16" t="s">
        <v>2308</v>
      </c>
      <c r="C322" s="17">
        <v>3</v>
      </c>
      <c r="D322" s="17">
        <v>13.2</v>
      </c>
      <c r="E322" s="17">
        <v>10.7</v>
      </c>
      <c r="F322" s="16" t="s">
        <v>19</v>
      </c>
      <c r="G322" s="17" t="s">
        <v>2311</v>
      </c>
      <c r="H322" s="17" t="s">
        <v>3679</v>
      </c>
      <c r="I322" s="17" t="s">
        <v>28</v>
      </c>
      <c r="J322" s="37" t="s">
        <v>4358</v>
      </c>
      <c r="K322" s="18">
        <v>46135</v>
      </c>
      <c r="L322" s="18" t="s">
        <v>24</v>
      </c>
      <c r="M322" s="7" t="s">
        <v>25</v>
      </c>
      <c r="N322" s="17"/>
    </row>
    <row r="323" spans="1:14" ht="51" x14ac:dyDescent="0.25">
      <c r="A323" s="17">
        <v>322</v>
      </c>
      <c r="B323" s="16" t="s">
        <v>2312</v>
      </c>
      <c r="C323" s="17">
        <v>1</v>
      </c>
      <c r="D323" s="17">
        <v>16.2</v>
      </c>
      <c r="E323" s="17">
        <v>11.3</v>
      </c>
      <c r="F323" s="16" t="s">
        <v>343</v>
      </c>
      <c r="G323" s="17" t="s">
        <v>2313</v>
      </c>
      <c r="H323" s="17" t="s">
        <v>3588</v>
      </c>
      <c r="I323" s="17" t="s">
        <v>34</v>
      </c>
      <c r="J323" s="37" t="s">
        <v>4207</v>
      </c>
      <c r="K323" s="18">
        <v>46133</v>
      </c>
      <c r="L323" s="18" t="s">
        <v>24</v>
      </c>
      <c r="M323" s="7" t="s">
        <v>25</v>
      </c>
      <c r="N323" s="17"/>
    </row>
    <row r="324" spans="1:14" ht="51" x14ac:dyDescent="0.25">
      <c r="A324" s="17">
        <v>323</v>
      </c>
      <c r="B324" s="16" t="s">
        <v>2312</v>
      </c>
      <c r="C324" s="17">
        <v>2</v>
      </c>
      <c r="D324" s="17">
        <v>16.5</v>
      </c>
      <c r="E324" s="17"/>
      <c r="F324" s="16" t="s">
        <v>343</v>
      </c>
      <c r="G324" s="17" t="s">
        <v>2313</v>
      </c>
      <c r="H324" s="17" t="s">
        <v>3588</v>
      </c>
      <c r="I324" s="17" t="s">
        <v>34</v>
      </c>
      <c r="J324" s="37" t="s">
        <v>4207</v>
      </c>
      <c r="K324" s="18">
        <v>46133</v>
      </c>
      <c r="L324" s="18" t="s">
        <v>24</v>
      </c>
      <c r="M324" s="7" t="s">
        <v>25</v>
      </c>
      <c r="N324" s="17"/>
    </row>
    <row r="325" spans="1:14" ht="63.75" x14ac:dyDescent="0.25">
      <c r="A325" s="17">
        <v>324</v>
      </c>
      <c r="B325" s="16" t="s">
        <v>2312</v>
      </c>
      <c r="C325" s="17">
        <v>3</v>
      </c>
      <c r="D325" s="17">
        <v>12.8</v>
      </c>
      <c r="E325" s="17">
        <v>10.5</v>
      </c>
      <c r="F325" s="16" t="s">
        <v>162</v>
      </c>
      <c r="G325" s="17" t="s">
        <v>2314</v>
      </c>
      <c r="H325" s="17" t="s">
        <v>4039</v>
      </c>
      <c r="I325" s="17" t="s">
        <v>34</v>
      </c>
      <c r="J325" s="37" t="s">
        <v>4470</v>
      </c>
      <c r="K325" s="18">
        <v>46154</v>
      </c>
      <c r="L325" s="18" t="s">
        <v>24</v>
      </c>
      <c r="M325" s="7" t="s">
        <v>25</v>
      </c>
      <c r="N325" s="17"/>
    </row>
    <row r="326" spans="1:14" ht="63.75" x14ac:dyDescent="0.25">
      <c r="A326" s="17">
        <v>325</v>
      </c>
      <c r="B326" s="16" t="s">
        <v>2315</v>
      </c>
      <c r="C326" s="17">
        <v>1</v>
      </c>
      <c r="D326" s="17">
        <v>15.9</v>
      </c>
      <c r="E326" s="17">
        <v>10.7</v>
      </c>
      <c r="F326" s="16" t="s">
        <v>126</v>
      </c>
      <c r="G326" s="17" t="s">
        <v>2316</v>
      </c>
      <c r="H326" s="17" t="s">
        <v>3859</v>
      </c>
      <c r="I326" s="17" t="s">
        <v>34</v>
      </c>
      <c r="J326" s="37" t="s">
        <v>4263</v>
      </c>
      <c r="K326" s="18">
        <v>46149</v>
      </c>
      <c r="L326" s="18" t="s">
        <v>24</v>
      </c>
      <c r="M326" s="7" t="s">
        <v>25</v>
      </c>
      <c r="N326" s="17"/>
    </row>
    <row r="327" spans="1:14" ht="25.5" x14ac:dyDescent="0.25">
      <c r="A327" s="17">
        <v>326</v>
      </c>
      <c r="B327" s="16" t="s">
        <v>2315</v>
      </c>
      <c r="C327" s="17">
        <v>2</v>
      </c>
      <c r="D327" s="17">
        <v>17.600000000000001</v>
      </c>
      <c r="E327" s="17"/>
      <c r="F327" s="16" t="s">
        <v>48</v>
      </c>
      <c r="G327" s="17" t="s">
        <v>2317</v>
      </c>
      <c r="H327" s="17" t="s">
        <v>4040</v>
      </c>
      <c r="I327" s="17" t="s">
        <v>51</v>
      </c>
      <c r="J327" s="37" t="s">
        <v>4834</v>
      </c>
      <c r="K327" s="18">
        <v>46156</v>
      </c>
      <c r="L327" s="18" t="s">
        <v>82</v>
      </c>
      <c r="M327" s="7" t="s">
        <v>25</v>
      </c>
      <c r="N327" s="17"/>
    </row>
    <row r="328" spans="1:14" ht="51" x14ac:dyDescent="0.25">
      <c r="A328" s="17">
        <v>327</v>
      </c>
      <c r="B328" s="16" t="s">
        <v>2315</v>
      </c>
      <c r="C328" s="17">
        <v>3</v>
      </c>
      <c r="D328" s="17">
        <v>12.1</v>
      </c>
      <c r="E328" s="17">
        <v>10.5</v>
      </c>
      <c r="F328" s="16" t="s">
        <v>48</v>
      </c>
      <c r="G328" s="17" t="s">
        <v>2318</v>
      </c>
      <c r="H328" s="17" t="s">
        <v>3680</v>
      </c>
      <c r="I328" s="17" t="s">
        <v>34</v>
      </c>
      <c r="J328" s="37" t="s">
        <v>4835</v>
      </c>
      <c r="K328" s="18">
        <v>46156</v>
      </c>
      <c r="L328" s="18" t="s">
        <v>24</v>
      </c>
      <c r="M328" s="7" t="s">
        <v>25</v>
      </c>
      <c r="N328" s="17"/>
    </row>
    <row r="329" spans="1:14" ht="63.75" x14ac:dyDescent="0.25">
      <c r="A329" s="17">
        <v>328</v>
      </c>
      <c r="B329" s="16" t="s">
        <v>2319</v>
      </c>
      <c r="C329" s="17">
        <v>1</v>
      </c>
      <c r="D329" s="17">
        <v>16.100000000000001</v>
      </c>
      <c r="E329" s="17">
        <v>10.7</v>
      </c>
      <c r="F329" s="16" t="s">
        <v>121</v>
      </c>
      <c r="G329" s="17" t="s">
        <v>2320</v>
      </c>
      <c r="H329" s="17" t="s">
        <v>4041</v>
      </c>
      <c r="I329" s="17" t="s">
        <v>34</v>
      </c>
      <c r="J329" s="37" t="s">
        <v>4623</v>
      </c>
      <c r="K329" s="18">
        <v>46134</v>
      </c>
      <c r="L329" s="18" t="s">
        <v>24</v>
      </c>
      <c r="M329" s="7" t="s">
        <v>25</v>
      </c>
      <c r="N329" s="17"/>
    </row>
    <row r="330" spans="1:14" ht="25.5" x14ac:dyDescent="0.25">
      <c r="A330" s="17">
        <v>329</v>
      </c>
      <c r="B330" s="16" t="s">
        <v>2319</v>
      </c>
      <c r="C330" s="17">
        <v>2</v>
      </c>
      <c r="D330" s="17">
        <v>15.6</v>
      </c>
      <c r="E330" s="17"/>
      <c r="F330" s="16" t="s">
        <v>48</v>
      </c>
      <c r="G330" s="17" t="s">
        <v>2321</v>
      </c>
      <c r="H330" s="17" t="s">
        <v>3860</v>
      </c>
      <c r="I330" s="17" t="s">
        <v>38</v>
      </c>
      <c r="J330" s="37" t="s">
        <v>4836</v>
      </c>
      <c r="K330" s="18">
        <v>46134</v>
      </c>
      <c r="L330" s="18" t="s">
        <v>24</v>
      </c>
      <c r="M330" s="7" t="s">
        <v>25</v>
      </c>
      <c r="N330" s="17"/>
    </row>
    <row r="331" spans="1:14" ht="25.5" x14ac:dyDescent="0.25">
      <c r="A331" s="17">
        <v>330</v>
      </c>
      <c r="B331" s="16" t="s">
        <v>2319</v>
      </c>
      <c r="C331" s="17">
        <v>3</v>
      </c>
      <c r="D331" s="17">
        <v>12.8</v>
      </c>
      <c r="E331" s="17">
        <v>10.9</v>
      </c>
      <c r="F331" s="16" t="s">
        <v>48</v>
      </c>
      <c r="G331" s="17" t="s">
        <v>2321</v>
      </c>
      <c r="H331" s="17" t="s">
        <v>3860</v>
      </c>
      <c r="I331" s="17" t="s">
        <v>38</v>
      </c>
      <c r="J331" s="37" t="s">
        <v>4836</v>
      </c>
      <c r="K331" s="18">
        <v>46134</v>
      </c>
      <c r="L331" s="18" t="s">
        <v>24</v>
      </c>
      <c r="M331" s="7" t="s">
        <v>25</v>
      </c>
      <c r="N331" s="17"/>
    </row>
    <row r="332" spans="1:14" ht="25.5" x14ac:dyDescent="0.25">
      <c r="A332" s="17">
        <v>331</v>
      </c>
      <c r="B332" s="16" t="s">
        <v>2322</v>
      </c>
      <c r="C332" s="17">
        <v>1</v>
      </c>
      <c r="D332" s="17">
        <v>17.8</v>
      </c>
      <c r="E332" s="17">
        <v>11.8</v>
      </c>
      <c r="F332" s="16" t="s">
        <v>121</v>
      </c>
      <c r="G332" s="17" t="s">
        <v>2323</v>
      </c>
      <c r="H332" s="17" t="s">
        <v>3861</v>
      </c>
      <c r="I332" s="17" t="s">
        <v>28</v>
      </c>
      <c r="J332" s="37" t="s">
        <v>4624</v>
      </c>
      <c r="K332" s="18">
        <v>46140</v>
      </c>
      <c r="L332" s="18" t="s">
        <v>24</v>
      </c>
      <c r="M332" s="7" t="s">
        <v>25</v>
      </c>
      <c r="N332" s="17"/>
    </row>
    <row r="333" spans="1:14" ht="25.5" x14ac:dyDescent="0.25">
      <c r="A333" s="17">
        <v>332</v>
      </c>
      <c r="B333" s="16" t="s">
        <v>2322</v>
      </c>
      <c r="C333" s="17">
        <v>2</v>
      </c>
      <c r="D333" s="17">
        <v>16.5</v>
      </c>
      <c r="E333" s="17"/>
      <c r="F333" s="16" t="s">
        <v>121</v>
      </c>
      <c r="G333" s="17" t="s">
        <v>2324</v>
      </c>
      <c r="H333" s="17" t="s">
        <v>4042</v>
      </c>
      <c r="I333" s="17" t="s">
        <v>28</v>
      </c>
      <c r="J333" s="37" t="s">
        <v>4625</v>
      </c>
      <c r="K333" s="18">
        <v>46156</v>
      </c>
      <c r="L333" s="18" t="s">
        <v>82</v>
      </c>
      <c r="M333" s="7" t="s">
        <v>25</v>
      </c>
      <c r="N333" s="17"/>
    </row>
    <row r="334" spans="1:14" ht="25.5" x14ac:dyDescent="0.25">
      <c r="A334" s="34">
        <v>333</v>
      </c>
      <c r="B334" s="35" t="s">
        <v>2322</v>
      </c>
      <c r="C334" s="34">
        <v>3</v>
      </c>
      <c r="D334" s="34">
        <v>13.9</v>
      </c>
      <c r="E334" s="34">
        <v>11.8</v>
      </c>
      <c r="F334" s="35" t="s">
        <v>19</v>
      </c>
      <c r="G334" s="34" t="s">
        <v>2325</v>
      </c>
      <c r="H334" s="17" t="s">
        <v>4043</v>
      </c>
      <c r="I334" s="17" t="s">
        <v>2326</v>
      </c>
      <c r="J334" s="37" t="s">
        <v>4359</v>
      </c>
      <c r="K334" s="18">
        <v>46137</v>
      </c>
      <c r="L334" s="18" t="s">
        <v>24</v>
      </c>
      <c r="M334" s="7" t="s">
        <v>25</v>
      </c>
      <c r="N334" s="17"/>
    </row>
    <row r="335" spans="1:14" ht="25.5" x14ac:dyDescent="0.25">
      <c r="A335" s="34">
        <v>334</v>
      </c>
      <c r="B335" s="35" t="s">
        <v>2327</v>
      </c>
      <c r="C335" s="34">
        <v>1</v>
      </c>
      <c r="D335" s="34">
        <v>16.899999999999999</v>
      </c>
      <c r="E335" s="34"/>
      <c r="F335" s="35" t="s">
        <v>31</v>
      </c>
      <c r="G335" s="36" t="s">
        <v>2328</v>
      </c>
      <c r="H335" s="17" t="s">
        <v>3681</v>
      </c>
      <c r="I335" s="17" t="s">
        <v>2032</v>
      </c>
      <c r="J335" s="37" t="s">
        <v>4716</v>
      </c>
      <c r="K335" s="18">
        <v>46149</v>
      </c>
      <c r="L335" s="18" t="s">
        <v>24</v>
      </c>
      <c r="M335" s="7" t="s">
        <v>25</v>
      </c>
      <c r="N335" s="17"/>
    </row>
    <row r="336" spans="1:14" ht="63.75" x14ac:dyDescent="0.25">
      <c r="A336" s="17">
        <v>335</v>
      </c>
      <c r="B336" s="16" t="s">
        <v>2327</v>
      </c>
      <c r="C336" s="17">
        <v>2</v>
      </c>
      <c r="D336" s="17">
        <v>17.7</v>
      </c>
      <c r="E336" s="17">
        <v>11</v>
      </c>
      <c r="F336" s="16" t="s">
        <v>48</v>
      </c>
      <c r="G336" s="17" t="s">
        <v>2329</v>
      </c>
      <c r="H336" s="17" t="s">
        <v>3682</v>
      </c>
      <c r="I336" s="17" t="s">
        <v>34</v>
      </c>
      <c r="J336" s="37" t="s">
        <v>4837</v>
      </c>
      <c r="K336" s="18">
        <v>46144</v>
      </c>
      <c r="L336" s="18" t="s">
        <v>24</v>
      </c>
      <c r="M336" s="7" t="s">
        <v>25</v>
      </c>
      <c r="N336" s="17"/>
    </row>
    <row r="337" spans="1:14" ht="25.5" x14ac:dyDescent="0.25">
      <c r="A337" s="17">
        <v>336</v>
      </c>
      <c r="B337" s="16" t="s">
        <v>2327</v>
      </c>
      <c r="C337" s="17">
        <v>3</v>
      </c>
      <c r="D337" s="17">
        <v>11.6</v>
      </c>
      <c r="E337" s="17">
        <v>10.9</v>
      </c>
      <c r="F337" s="16" t="s">
        <v>162</v>
      </c>
      <c r="G337" s="17" t="s">
        <v>2330</v>
      </c>
      <c r="H337" s="17" t="s">
        <v>4044</v>
      </c>
      <c r="I337" s="17" t="s">
        <v>51</v>
      </c>
      <c r="J337" s="37" t="s">
        <v>4471</v>
      </c>
      <c r="K337" s="18">
        <v>46156</v>
      </c>
      <c r="L337" s="18" t="s">
        <v>24</v>
      </c>
      <c r="M337" s="7" t="s">
        <v>25</v>
      </c>
      <c r="N337" s="17"/>
    </row>
    <row r="338" spans="1:14" ht="25.5" x14ac:dyDescent="0.25">
      <c r="A338" s="17">
        <v>337</v>
      </c>
      <c r="B338" s="16" t="s">
        <v>2331</v>
      </c>
      <c r="C338" s="17">
        <v>1</v>
      </c>
      <c r="D338" s="17">
        <v>17.7</v>
      </c>
      <c r="E338" s="17">
        <v>10.5</v>
      </c>
      <c r="F338" s="16" t="s">
        <v>121</v>
      </c>
      <c r="G338" s="17" t="s">
        <v>2332</v>
      </c>
      <c r="H338" s="17" t="s">
        <v>4045</v>
      </c>
      <c r="I338" s="17" t="s">
        <v>28</v>
      </c>
      <c r="J338" s="37" t="s">
        <v>4626</v>
      </c>
      <c r="K338" s="18">
        <v>46140</v>
      </c>
      <c r="L338" s="18" t="s">
        <v>24</v>
      </c>
      <c r="M338" s="7" t="s">
        <v>25</v>
      </c>
      <c r="N338" s="17"/>
    </row>
    <row r="339" spans="1:14" ht="25.5" x14ac:dyDescent="0.25">
      <c r="A339" s="17">
        <v>338</v>
      </c>
      <c r="B339" s="16" t="s">
        <v>2331</v>
      </c>
      <c r="C339" s="17">
        <v>2</v>
      </c>
      <c r="D339" s="17">
        <v>17</v>
      </c>
      <c r="E339" s="17"/>
      <c r="F339" s="16" t="s">
        <v>31</v>
      </c>
      <c r="G339" s="17" t="s">
        <v>2333</v>
      </c>
      <c r="H339" s="17" t="s">
        <v>4046</v>
      </c>
      <c r="I339" s="17" t="s">
        <v>28</v>
      </c>
      <c r="J339" s="37" t="s">
        <v>4717</v>
      </c>
      <c r="K339" s="18">
        <v>46148</v>
      </c>
      <c r="L339" s="18" t="s">
        <v>24</v>
      </c>
      <c r="M339" s="7" t="s">
        <v>25</v>
      </c>
      <c r="N339" s="17"/>
    </row>
    <row r="340" spans="1:14" ht="63.75" x14ac:dyDescent="0.25">
      <c r="A340" s="17">
        <v>339</v>
      </c>
      <c r="B340" s="16" t="s">
        <v>2331</v>
      </c>
      <c r="C340" s="17">
        <v>3</v>
      </c>
      <c r="D340" s="17">
        <v>15.1</v>
      </c>
      <c r="E340" s="17">
        <v>10.7</v>
      </c>
      <c r="F340" s="16" t="s">
        <v>101</v>
      </c>
      <c r="G340" s="17" t="s">
        <v>2334</v>
      </c>
      <c r="H340" s="17" t="s">
        <v>4047</v>
      </c>
      <c r="I340" s="17" t="s">
        <v>34</v>
      </c>
      <c r="J340" s="37" t="s">
        <v>4235</v>
      </c>
      <c r="K340" s="18">
        <v>46133</v>
      </c>
      <c r="L340" s="18" t="s">
        <v>24</v>
      </c>
      <c r="M340" s="7" t="s">
        <v>25</v>
      </c>
      <c r="N340" s="17"/>
    </row>
    <row r="341" spans="1:14" ht="63.75" x14ac:dyDescent="0.25">
      <c r="A341" s="17">
        <v>340</v>
      </c>
      <c r="B341" s="16" t="s">
        <v>2335</v>
      </c>
      <c r="C341" s="17">
        <v>1</v>
      </c>
      <c r="D341" s="17">
        <v>12.5</v>
      </c>
      <c r="E341" s="17">
        <v>10.9</v>
      </c>
      <c r="F341" s="16" t="s">
        <v>338</v>
      </c>
      <c r="G341" s="17" t="s">
        <v>2336</v>
      </c>
      <c r="H341" s="17" t="s">
        <v>3683</v>
      </c>
      <c r="I341" s="17" t="s">
        <v>34</v>
      </c>
      <c r="J341" s="37" t="s">
        <v>4412</v>
      </c>
      <c r="K341" s="18">
        <v>46156</v>
      </c>
      <c r="L341" s="18" t="s">
        <v>24</v>
      </c>
      <c r="M341" s="7" t="s">
        <v>25</v>
      </c>
      <c r="N341" s="17"/>
    </row>
    <row r="342" spans="1:14" x14ac:dyDescent="0.25">
      <c r="A342" s="17">
        <v>341</v>
      </c>
      <c r="B342" s="16" t="s">
        <v>2335</v>
      </c>
      <c r="C342" s="17">
        <v>2</v>
      </c>
      <c r="D342" s="17">
        <v>15.7</v>
      </c>
      <c r="E342" s="17"/>
      <c r="F342" s="16" t="s">
        <v>62</v>
      </c>
      <c r="G342" s="17" t="s">
        <v>2337</v>
      </c>
      <c r="H342" s="17" t="s">
        <v>3862</v>
      </c>
      <c r="I342" s="17" t="s">
        <v>28</v>
      </c>
      <c r="J342" s="37" t="s">
        <v>4519</v>
      </c>
      <c r="K342" s="18">
        <v>46137</v>
      </c>
      <c r="L342" s="18" t="s">
        <v>24</v>
      </c>
      <c r="M342" s="7" t="s">
        <v>25</v>
      </c>
      <c r="N342" s="17"/>
    </row>
    <row r="343" spans="1:14" x14ac:dyDescent="0.25">
      <c r="A343" s="17">
        <v>342</v>
      </c>
      <c r="B343" s="16" t="s">
        <v>2335</v>
      </c>
      <c r="C343" s="17">
        <v>3</v>
      </c>
      <c r="D343" s="17">
        <v>16.2</v>
      </c>
      <c r="E343" s="17">
        <v>10.9</v>
      </c>
      <c r="F343" s="16" t="s">
        <v>62</v>
      </c>
      <c r="G343" s="17" t="s">
        <v>2337</v>
      </c>
      <c r="H343" s="17" t="s">
        <v>3862</v>
      </c>
      <c r="I343" s="17" t="s">
        <v>28</v>
      </c>
      <c r="J343" s="37" t="s">
        <v>4519</v>
      </c>
      <c r="K343" s="18">
        <v>46137</v>
      </c>
      <c r="L343" s="18" t="s">
        <v>24</v>
      </c>
      <c r="M343" s="7" t="s">
        <v>25</v>
      </c>
      <c r="N343" s="17"/>
    </row>
    <row r="344" spans="1:14" ht="25.5" x14ac:dyDescent="0.25">
      <c r="A344" s="17">
        <v>343</v>
      </c>
      <c r="B344" s="16" t="s">
        <v>2338</v>
      </c>
      <c r="C344" s="17">
        <v>1</v>
      </c>
      <c r="D344" s="17">
        <v>16.899999999999999</v>
      </c>
      <c r="E344" s="17">
        <v>10.8</v>
      </c>
      <c r="F344" s="16" t="s">
        <v>338</v>
      </c>
      <c r="G344" s="17" t="s">
        <v>2339</v>
      </c>
      <c r="H344" s="17" t="s">
        <v>3684</v>
      </c>
      <c r="I344" s="17" t="s">
        <v>267</v>
      </c>
      <c r="J344" s="37" t="s">
        <v>4413</v>
      </c>
      <c r="K344" s="18">
        <v>46137</v>
      </c>
      <c r="L344" s="18" t="s">
        <v>24</v>
      </c>
      <c r="M344" s="7" t="s">
        <v>25</v>
      </c>
      <c r="N344" s="17"/>
    </row>
    <row r="345" spans="1:14" ht="63.75" x14ac:dyDescent="0.25">
      <c r="A345" s="17">
        <v>344</v>
      </c>
      <c r="B345" s="16" t="s">
        <v>2338</v>
      </c>
      <c r="C345" s="17">
        <v>2</v>
      </c>
      <c r="D345" s="17">
        <v>16.899999999999999</v>
      </c>
      <c r="E345" s="17"/>
      <c r="F345" s="16" t="s">
        <v>54</v>
      </c>
      <c r="G345" s="17" t="s">
        <v>2340</v>
      </c>
      <c r="H345" s="17" t="s">
        <v>3685</v>
      </c>
      <c r="I345" s="17" t="s">
        <v>293</v>
      </c>
      <c r="J345" s="37" t="s">
        <v>4760</v>
      </c>
      <c r="K345" s="18">
        <v>46137</v>
      </c>
      <c r="L345" s="18" t="s">
        <v>24</v>
      </c>
      <c r="M345" s="7" t="s">
        <v>25</v>
      </c>
      <c r="N345" s="17"/>
    </row>
    <row r="346" spans="1:14" ht="25.5" x14ac:dyDescent="0.25">
      <c r="A346" s="17">
        <v>345</v>
      </c>
      <c r="B346" s="16" t="s">
        <v>2338</v>
      </c>
      <c r="C346" s="17">
        <v>3</v>
      </c>
      <c r="D346" s="17">
        <v>13.5</v>
      </c>
      <c r="E346" s="17">
        <v>10.5</v>
      </c>
      <c r="F346" s="16" t="s">
        <v>121</v>
      </c>
      <c r="G346" s="17" t="s">
        <v>2341</v>
      </c>
      <c r="H346" s="17" t="s">
        <v>3686</v>
      </c>
      <c r="I346" s="17" t="s">
        <v>51</v>
      </c>
      <c r="J346" s="37" t="s">
        <v>4627</v>
      </c>
      <c r="K346" s="18">
        <v>46148</v>
      </c>
      <c r="L346" s="18" t="s">
        <v>24</v>
      </c>
      <c r="M346" s="7" t="s">
        <v>25</v>
      </c>
      <c r="N346" s="17"/>
    </row>
    <row r="347" spans="1:14" ht="25.5" x14ac:dyDescent="0.25">
      <c r="A347" s="17">
        <v>346</v>
      </c>
      <c r="B347" s="16" t="s">
        <v>2342</v>
      </c>
      <c r="C347" s="17">
        <v>1</v>
      </c>
      <c r="D347" s="17">
        <v>12.7</v>
      </c>
      <c r="E347" s="17">
        <v>11.3</v>
      </c>
      <c r="F347" s="16" t="s">
        <v>19</v>
      </c>
      <c r="G347" s="17" t="s">
        <v>2343</v>
      </c>
      <c r="H347" s="17" t="s">
        <v>3863</v>
      </c>
      <c r="I347" s="17" t="s">
        <v>28</v>
      </c>
      <c r="J347" s="37" t="s">
        <v>4361</v>
      </c>
      <c r="K347" s="18">
        <v>46135</v>
      </c>
      <c r="L347" s="18" t="s">
        <v>24</v>
      </c>
      <c r="M347" s="7" t="s">
        <v>25</v>
      </c>
      <c r="N347" s="17"/>
    </row>
    <row r="348" spans="1:14" ht="25.5" x14ac:dyDescent="0.25">
      <c r="A348" s="17">
        <v>347</v>
      </c>
      <c r="B348" s="16" t="s">
        <v>2342</v>
      </c>
      <c r="C348" s="17">
        <v>2</v>
      </c>
      <c r="D348" s="17">
        <v>16</v>
      </c>
      <c r="E348" s="17"/>
      <c r="F348" s="16" t="s">
        <v>19</v>
      </c>
      <c r="G348" s="17" t="s">
        <v>2344</v>
      </c>
      <c r="H348" s="17" t="s">
        <v>3864</v>
      </c>
      <c r="I348" s="17" t="s">
        <v>28</v>
      </c>
      <c r="J348" s="37" t="s">
        <v>4360</v>
      </c>
      <c r="K348" s="18">
        <v>46137</v>
      </c>
      <c r="L348" s="18" t="s">
        <v>24</v>
      </c>
      <c r="M348" s="7" t="s">
        <v>25</v>
      </c>
      <c r="N348" s="17"/>
    </row>
    <row r="349" spans="1:14" ht="25.5" x14ac:dyDescent="0.25">
      <c r="A349" s="17">
        <v>348</v>
      </c>
      <c r="B349" s="16" t="s">
        <v>2342</v>
      </c>
      <c r="C349" s="17">
        <v>3</v>
      </c>
      <c r="D349" s="17">
        <v>16.2</v>
      </c>
      <c r="E349" s="17">
        <v>11.1</v>
      </c>
      <c r="F349" s="16" t="s">
        <v>19</v>
      </c>
      <c r="G349" s="17" t="s">
        <v>2343</v>
      </c>
      <c r="H349" s="17" t="s">
        <v>3863</v>
      </c>
      <c r="I349" s="17" t="s">
        <v>28</v>
      </c>
      <c r="J349" s="37" t="s">
        <v>4361</v>
      </c>
      <c r="K349" s="18">
        <v>46135</v>
      </c>
      <c r="L349" s="18" t="s">
        <v>24</v>
      </c>
      <c r="M349" s="7" t="s">
        <v>25</v>
      </c>
      <c r="N349" s="17"/>
    </row>
    <row r="350" spans="1:14" ht="25.5" x14ac:dyDescent="0.25">
      <c r="A350" s="17">
        <v>349</v>
      </c>
      <c r="B350" s="16" t="s">
        <v>2345</v>
      </c>
      <c r="C350" s="17">
        <v>1</v>
      </c>
      <c r="D350" s="17">
        <v>15.5</v>
      </c>
      <c r="E350" s="17">
        <v>10.7</v>
      </c>
      <c r="F350" s="16" t="s">
        <v>343</v>
      </c>
      <c r="G350" s="17" t="s">
        <v>2346</v>
      </c>
      <c r="H350" s="17" t="s">
        <v>3589</v>
      </c>
      <c r="I350" s="17" t="s">
        <v>28</v>
      </c>
      <c r="J350" s="37" t="s">
        <v>4208</v>
      </c>
      <c r="K350" s="18">
        <v>46155</v>
      </c>
      <c r="L350" s="18" t="s">
        <v>24</v>
      </c>
      <c r="M350" s="7" t="s">
        <v>25</v>
      </c>
      <c r="N350" s="17"/>
    </row>
    <row r="351" spans="1:14" ht="25.5" x14ac:dyDescent="0.25">
      <c r="A351" s="17">
        <v>350</v>
      </c>
      <c r="B351" s="16" t="s">
        <v>2345</v>
      </c>
      <c r="C351" s="17">
        <v>2</v>
      </c>
      <c r="D351" s="17">
        <v>15.9</v>
      </c>
      <c r="E351" s="17"/>
      <c r="F351" s="16" t="s">
        <v>19</v>
      </c>
      <c r="G351" s="17" t="s">
        <v>2347</v>
      </c>
      <c r="H351" s="17" t="s">
        <v>4048</v>
      </c>
      <c r="I351" s="17" t="s">
        <v>51</v>
      </c>
      <c r="J351" s="37" t="s">
        <v>4362</v>
      </c>
      <c r="K351" s="18">
        <v>46136</v>
      </c>
      <c r="L351" s="18" t="s">
        <v>24</v>
      </c>
      <c r="M351" s="7" t="s">
        <v>25</v>
      </c>
      <c r="N351" s="17"/>
    </row>
    <row r="352" spans="1:14" ht="25.5" x14ac:dyDescent="0.25">
      <c r="A352" s="17">
        <v>351</v>
      </c>
      <c r="B352" s="16" t="s">
        <v>2345</v>
      </c>
      <c r="C352" s="17">
        <v>3</v>
      </c>
      <c r="D352" s="17">
        <v>14.8</v>
      </c>
      <c r="E352" s="17">
        <v>10.5</v>
      </c>
      <c r="F352" s="16" t="s">
        <v>19</v>
      </c>
      <c r="G352" s="17" t="s">
        <v>2347</v>
      </c>
      <c r="H352" s="17" t="s">
        <v>4048</v>
      </c>
      <c r="I352" s="17" t="s">
        <v>51</v>
      </c>
      <c r="J352" s="37" t="s">
        <v>4362</v>
      </c>
      <c r="K352" s="18">
        <v>46155</v>
      </c>
      <c r="L352" s="18" t="s">
        <v>24</v>
      </c>
      <c r="M352" s="7" t="s">
        <v>25</v>
      </c>
      <c r="N352" s="17"/>
    </row>
    <row r="353" spans="1:14" ht="25.5" x14ac:dyDescent="0.25">
      <c r="A353" s="17">
        <v>352</v>
      </c>
      <c r="B353" s="16" t="s">
        <v>2348</v>
      </c>
      <c r="C353" s="17">
        <v>1</v>
      </c>
      <c r="D353" s="17">
        <v>15.7</v>
      </c>
      <c r="E353" s="17">
        <v>10.7</v>
      </c>
      <c r="F353" s="16" t="s">
        <v>106</v>
      </c>
      <c r="G353" s="17" t="s">
        <v>2349</v>
      </c>
      <c r="H353" s="17" t="s">
        <v>3687</v>
      </c>
      <c r="I353" s="17" t="s">
        <v>28</v>
      </c>
      <c r="J353" s="37" t="s">
        <v>4560</v>
      </c>
      <c r="K353" s="18">
        <v>46142</v>
      </c>
      <c r="L353" s="18" t="s">
        <v>24</v>
      </c>
      <c r="M353" s="7" t="s">
        <v>25</v>
      </c>
      <c r="N353" s="17"/>
    </row>
    <row r="354" spans="1:14" ht="25.5" x14ac:dyDescent="0.25">
      <c r="A354" s="17">
        <v>353</v>
      </c>
      <c r="B354" s="16" t="s">
        <v>2348</v>
      </c>
      <c r="C354" s="17">
        <v>2</v>
      </c>
      <c r="D354" s="17">
        <v>17</v>
      </c>
      <c r="E354" s="17"/>
      <c r="F354" s="16" t="s">
        <v>106</v>
      </c>
      <c r="G354" s="17" t="s">
        <v>2349</v>
      </c>
      <c r="H354" s="17" t="s">
        <v>3687</v>
      </c>
      <c r="I354" s="17" t="s">
        <v>28</v>
      </c>
      <c r="J354" s="37" t="s">
        <v>4560</v>
      </c>
      <c r="K354" s="18">
        <v>46142</v>
      </c>
      <c r="L354" s="18" t="s">
        <v>24</v>
      </c>
      <c r="M354" s="7" t="s">
        <v>25</v>
      </c>
      <c r="N354" s="17"/>
    </row>
    <row r="355" spans="1:14" ht="25.5" x14ac:dyDescent="0.25">
      <c r="A355" s="17">
        <v>354</v>
      </c>
      <c r="B355" s="16" t="s">
        <v>2348</v>
      </c>
      <c r="C355" s="17">
        <v>3</v>
      </c>
      <c r="D355" s="17">
        <v>13.7</v>
      </c>
      <c r="E355" s="17">
        <v>10.7</v>
      </c>
      <c r="F355" s="16" t="s">
        <v>106</v>
      </c>
      <c r="G355" s="17" t="s">
        <v>2350</v>
      </c>
      <c r="H355" s="17" t="s">
        <v>3688</v>
      </c>
      <c r="I355" s="17" t="s">
        <v>28</v>
      </c>
      <c r="J355" s="37" t="s">
        <v>4561</v>
      </c>
      <c r="K355" s="18">
        <v>46144</v>
      </c>
      <c r="L355" s="18" t="s">
        <v>24</v>
      </c>
      <c r="M355" s="7" t="s">
        <v>25</v>
      </c>
      <c r="N355" s="17"/>
    </row>
    <row r="356" spans="1:14" ht="25.5" x14ac:dyDescent="0.25">
      <c r="A356" s="17">
        <v>355</v>
      </c>
      <c r="B356" s="16" t="s">
        <v>2351</v>
      </c>
      <c r="C356" s="17">
        <v>1</v>
      </c>
      <c r="D356" s="17">
        <v>16.100000000000001</v>
      </c>
      <c r="E356" s="17">
        <v>10.5</v>
      </c>
      <c r="F356" s="16" t="s">
        <v>121</v>
      </c>
      <c r="G356" s="17" t="s">
        <v>2352</v>
      </c>
      <c r="H356" s="17" t="s">
        <v>4049</v>
      </c>
      <c r="I356" s="17" t="s">
        <v>267</v>
      </c>
      <c r="J356" s="37" t="s">
        <v>4628</v>
      </c>
      <c r="K356" s="18">
        <v>46156</v>
      </c>
      <c r="L356" s="18" t="s">
        <v>24</v>
      </c>
      <c r="M356" s="7" t="s">
        <v>25</v>
      </c>
      <c r="N356" s="17"/>
    </row>
    <row r="357" spans="1:14" ht="25.5" x14ac:dyDescent="0.25">
      <c r="A357" s="17">
        <v>356</v>
      </c>
      <c r="B357" s="16" t="s">
        <v>2351</v>
      </c>
      <c r="C357" s="17">
        <v>2</v>
      </c>
      <c r="D357" s="17">
        <v>17.399999999999999</v>
      </c>
      <c r="E357" s="17"/>
      <c r="F357" s="16" t="s">
        <v>86</v>
      </c>
      <c r="G357" s="17" t="s">
        <v>2353</v>
      </c>
      <c r="H357" s="17" t="s">
        <v>3689</v>
      </c>
      <c r="I357" s="17" t="s">
        <v>22</v>
      </c>
      <c r="J357" s="37" t="s">
        <v>4671</v>
      </c>
      <c r="K357" s="18">
        <v>46144</v>
      </c>
      <c r="L357" s="18" t="s">
        <v>24</v>
      </c>
      <c r="M357" s="7" t="s">
        <v>25</v>
      </c>
      <c r="N357" s="17"/>
    </row>
    <row r="358" spans="1:14" ht="63.75" x14ac:dyDescent="0.25">
      <c r="A358" s="17">
        <v>357</v>
      </c>
      <c r="B358" s="16" t="s">
        <v>2351</v>
      </c>
      <c r="C358" s="17">
        <v>3</v>
      </c>
      <c r="D358" s="17">
        <v>13</v>
      </c>
      <c r="E358" s="17">
        <v>10.6</v>
      </c>
      <c r="F358" s="16" t="s">
        <v>106</v>
      </c>
      <c r="G358" s="17" t="s">
        <v>2354</v>
      </c>
      <c r="H358" s="17" t="s">
        <v>4909</v>
      </c>
      <c r="I358" s="17" t="s">
        <v>34</v>
      </c>
      <c r="J358" s="37" t="s">
        <v>4562</v>
      </c>
      <c r="K358" s="18">
        <v>46144</v>
      </c>
      <c r="L358" s="18" t="s">
        <v>24</v>
      </c>
      <c r="M358" s="7" t="s">
        <v>25</v>
      </c>
      <c r="N358" s="17"/>
    </row>
    <row r="359" spans="1:14" ht="25.5" x14ac:dyDescent="0.25">
      <c r="A359" s="17">
        <v>358</v>
      </c>
      <c r="B359" s="16" t="s">
        <v>2355</v>
      </c>
      <c r="C359" s="17">
        <v>1</v>
      </c>
      <c r="D359" s="17">
        <v>17.100000000000001</v>
      </c>
      <c r="E359" s="17">
        <v>11</v>
      </c>
      <c r="F359" s="16" t="s">
        <v>121</v>
      </c>
      <c r="G359" s="17" t="s">
        <v>2356</v>
      </c>
      <c r="H359" s="17" t="s">
        <v>3690</v>
      </c>
      <c r="I359" s="17" t="s">
        <v>662</v>
      </c>
      <c r="J359" s="37" t="s">
        <v>4629</v>
      </c>
      <c r="K359" s="18">
        <v>46140</v>
      </c>
      <c r="L359" s="18" t="s">
        <v>24</v>
      </c>
      <c r="M359" s="7" t="s">
        <v>25</v>
      </c>
      <c r="N359" s="17"/>
    </row>
    <row r="360" spans="1:14" ht="63.75" x14ac:dyDescent="0.25">
      <c r="A360" s="17">
        <v>359</v>
      </c>
      <c r="B360" s="16" t="s">
        <v>2355</v>
      </c>
      <c r="C360" s="17">
        <v>2</v>
      </c>
      <c r="D360" s="17">
        <v>16.7</v>
      </c>
      <c r="E360" s="17"/>
      <c r="F360" s="16" t="s">
        <v>121</v>
      </c>
      <c r="G360" s="17" t="s">
        <v>2357</v>
      </c>
      <c r="H360" s="17" t="s">
        <v>3691</v>
      </c>
      <c r="I360" s="17" t="s">
        <v>34</v>
      </c>
      <c r="J360" s="37" t="s">
        <v>4630</v>
      </c>
      <c r="K360" s="18">
        <v>46134</v>
      </c>
      <c r="L360" s="18" t="s">
        <v>24</v>
      </c>
      <c r="M360" s="7" t="s">
        <v>25</v>
      </c>
      <c r="N360" s="17"/>
    </row>
    <row r="361" spans="1:14" ht="25.5" x14ac:dyDescent="0.25">
      <c r="A361" s="17">
        <v>360</v>
      </c>
      <c r="B361" s="16" t="s">
        <v>2355</v>
      </c>
      <c r="C361" s="17">
        <v>3</v>
      </c>
      <c r="D361" s="17">
        <v>12.8</v>
      </c>
      <c r="E361" s="17">
        <v>11.2</v>
      </c>
      <c r="F361" s="16" t="s">
        <v>121</v>
      </c>
      <c r="G361" s="17" t="s">
        <v>2358</v>
      </c>
      <c r="H361" s="17" t="s">
        <v>4050</v>
      </c>
      <c r="I361" s="17" t="s">
        <v>28</v>
      </c>
      <c r="J361" s="37" t="s">
        <v>4631</v>
      </c>
      <c r="K361" s="18">
        <v>46140</v>
      </c>
      <c r="L361" s="18" t="s">
        <v>24</v>
      </c>
      <c r="M361" s="7" t="s">
        <v>25</v>
      </c>
      <c r="N361" s="17"/>
    </row>
    <row r="362" spans="1:14" ht="25.5" x14ac:dyDescent="0.25">
      <c r="A362" s="17">
        <v>361</v>
      </c>
      <c r="B362" s="16" t="s">
        <v>2359</v>
      </c>
      <c r="C362" s="17">
        <v>1</v>
      </c>
      <c r="D362" s="17">
        <v>16.8</v>
      </c>
      <c r="E362" s="17">
        <v>10.6</v>
      </c>
      <c r="F362" s="16" t="s">
        <v>48</v>
      </c>
      <c r="G362" s="17" t="s">
        <v>2360</v>
      </c>
      <c r="H362" s="17" t="s">
        <v>4051</v>
      </c>
      <c r="I362" s="17" t="s">
        <v>51</v>
      </c>
      <c r="J362" s="37" t="s">
        <v>4838</v>
      </c>
      <c r="K362" s="18">
        <v>46150</v>
      </c>
      <c r="L362" s="18" t="s">
        <v>24</v>
      </c>
      <c r="M362" s="7" t="s">
        <v>25</v>
      </c>
      <c r="N362" s="17"/>
    </row>
    <row r="363" spans="1:14" ht="63.75" x14ac:dyDescent="0.25">
      <c r="A363" s="17">
        <v>362</v>
      </c>
      <c r="B363" s="16" t="s">
        <v>2359</v>
      </c>
      <c r="C363" s="17">
        <v>2</v>
      </c>
      <c r="D363" s="17">
        <v>16.2</v>
      </c>
      <c r="E363" s="17"/>
      <c r="F363" s="16" t="s">
        <v>106</v>
      </c>
      <c r="G363" s="17" t="s">
        <v>2361</v>
      </c>
      <c r="H363" s="17" t="s">
        <v>4052</v>
      </c>
      <c r="I363" s="17" t="s">
        <v>34</v>
      </c>
      <c r="J363" s="37" t="s">
        <v>4563</v>
      </c>
      <c r="K363" s="18">
        <v>46148</v>
      </c>
      <c r="L363" s="18" t="s">
        <v>24</v>
      </c>
      <c r="M363" s="7" t="s">
        <v>25</v>
      </c>
      <c r="N363" s="17"/>
    </row>
    <row r="364" spans="1:14" ht="25.5" x14ac:dyDescent="0.25">
      <c r="A364" s="17">
        <v>363</v>
      </c>
      <c r="B364" s="16" t="s">
        <v>2359</v>
      </c>
      <c r="C364" s="17">
        <v>3</v>
      </c>
      <c r="D364" s="17">
        <v>12.6</v>
      </c>
      <c r="E364" s="17">
        <v>10.7</v>
      </c>
      <c r="F364" s="16" t="s">
        <v>62</v>
      </c>
      <c r="G364" s="17" t="s">
        <v>2362</v>
      </c>
      <c r="H364" s="17" t="s">
        <v>3692</v>
      </c>
      <c r="I364" s="17" t="s">
        <v>28</v>
      </c>
      <c r="J364" s="37" t="s">
        <v>4520</v>
      </c>
      <c r="K364" s="18">
        <v>46147</v>
      </c>
      <c r="L364" s="18" t="s">
        <v>24</v>
      </c>
      <c r="M364" s="7" t="s">
        <v>25</v>
      </c>
      <c r="N364" s="17"/>
    </row>
    <row r="365" spans="1:14" ht="51" x14ac:dyDescent="0.25">
      <c r="A365" s="17">
        <v>364</v>
      </c>
      <c r="B365" s="16" t="s">
        <v>2363</v>
      </c>
      <c r="C365" s="17">
        <v>1</v>
      </c>
      <c r="D365" s="17">
        <v>16.2</v>
      </c>
      <c r="E365" s="17">
        <v>10.6</v>
      </c>
      <c r="F365" s="16" t="s">
        <v>343</v>
      </c>
      <c r="G365" s="17" t="s">
        <v>2364</v>
      </c>
      <c r="H365" s="17" t="s">
        <v>3576</v>
      </c>
      <c r="I365" s="17" t="s">
        <v>34</v>
      </c>
      <c r="J365" s="37" t="s">
        <v>4209</v>
      </c>
      <c r="K365" s="18">
        <v>46133</v>
      </c>
      <c r="L365" s="18" t="s">
        <v>24</v>
      </c>
      <c r="M365" s="7" t="s">
        <v>25</v>
      </c>
      <c r="N365" s="17"/>
    </row>
    <row r="366" spans="1:14" ht="25.5" x14ac:dyDescent="0.25">
      <c r="A366" s="34">
        <v>365</v>
      </c>
      <c r="B366" s="35" t="s">
        <v>2363</v>
      </c>
      <c r="C366" s="34">
        <v>2</v>
      </c>
      <c r="D366" s="34">
        <v>15.8</v>
      </c>
      <c r="E366" s="34"/>
      <c r="F366" s="35" t="s">
        <v>106</v>
      </c>
      <c r="G366" s="34" t="s">
        <v>2365</v>
      </c>
      <c r="H366" s="34" t="s">
        <v>3865</v>
      </c>
      <c r="I366" s="34" t="s">
        <v>921</v>
      </c>
      <c r="J366" s="37" t="s">
        <v>4564</v>
      </c>
      <c r="K366" s="36">
        <v>46142</v>
      </c>
      <c r="L366" s="36" t="s">
        <v>24</v>
      </c>
      <c r="M366" s="13" t="s">
        <v>25</v>
      </c>
      <c r="N366" s="34"/>
    </row>
    <row r="367" spans="1:14" ht="25.5" x14ac:dyDescent="0.25">
      <c r="A367" s="34">
        <v>366</v>
      </c>
      <c r="B367" s="35" t="s">
        <v>2363</v>
      </c>
      <c r="C367" s="34">
        <v>3</v>
      </c>
      <c r="D367" s="34">
        <v>13.2</v>
      </c>
      <c r="E367" s="34">
        <v>10.6</v>
      </c>
      <c r="F367" s="35" t="s">
        <v>106</v>
      </c>
      <c r="G367" s="34" t="s">
        <v>2365</v>
      </c>
      <c r="H367" s="34" t="s">
        <v>3865</v>
      </c>
      <c r="I367" s="34" t="s">
        <v>921</v>
      </c>
      <c r="J367" s="37" t="s">
        <v>4564</v>
      </c>
      <c r="K367" s="36">
        <v>46142</v>
      </c>
      <c r="L367" s="36" t="s">
        <v>24</v>
      </c>
      <c r="M367" s="13" t="s">
        <v>25</v>
      </c>
      <c r="N367" s="34"/>
    </row>
    <row r="368" spans="1:14" ht="25.5" x14ac:dyDescent="0.25">
      <c r="A368" s="17">
        <v>367</v>
      </c>
      <c r="B368" s="16" t="s">
        <v>2366</v>
      </c>
      <c r="C368" s="17">
        <v>1</v>
      </c>
      <c r="D368" s="17">
        <v>16.7</v>
      </c>
      <c r="E368" s="17">
        <v>10.7</v>
      </c>
      <c r="F368" s="16" t="s">
        <v>31</v>
      </c>
      <c r="G368" s="17" t="s">
        <v>2367</v>
      </c>
      <c r="H368" s="17" t="s">
        <v>4053</v>
      </c>
      <c r="I368" s="17" t="s">
        <v>51</v>
      </c>
      <c r="J368" s="37" t="s">
        <v>4718</v>
      </c>
      <c r="K368" s="18">
        <v>46148</v>
      </c>
      <c r="L368" s="18" t="s">
        <v>24</v>
      </c>
      <c r="M368" s="7" t="s">
        <v>25</v>
      </c>
      <c r="N368" s="17"/>
    </row>
    <row r="369" spans="1:14" ht="25.5" x14ac:dyDescent="0.25">
      <c r="A369" s="17">
        <v>368</v>
      </c>
      <c r="B369" s="16" t="s">
        <v>2366</v>
      </c>
      <c r="C369" s="17">
        <v>2</v>
      </c>
      <c r="D369" s="17">
        <v>16.600000000000001</v>
      </c>
      <c r="E369" s="17"/>
      <c r="F369" s="16" t="s">
        <v>31</v>
      </c>
      <c r="G369" s="17" t="s">
        <v>2367</v>
      </c>
      <c r="H369" s="17" t="s">
        <v>4053</v>
      </c>
      <c r="I369" s="17" t="s">
        <v>51</v>
      </c>
      <c r="J369" s="37" t="s">
        <v>4718</v>
      </c>
      <c r="K369" s="18">
        <v>46148</v>
      </c>
      <c r="L369" s="18" t="s">
        <v>24</v>
      </c>
      <c r="M369" s="7" t="s">
        <v>25</v>
      </c>
      <c r="N369" s="17"/>
    </row>
    <row r="370" spans="1:14" ht="25.5" x14ac:dyDescent="0.25">
      <c r="A370" s="17">
        <v>369</v>
      </c>
      <c r="B370" s="16" t="s">
        <v>2368</v>
      </c>
      <c r="C370" s="17">
        <v>1</v>
      </c>
      <c r="D370" s="17">
        <v>16.899999999999999</v>
      </c>
      <c r="E370" s="17">
        <v>11</v>
      </c>
      <c r="F370" s="16" t="s">
        <v>48</v>
      </c>
      <c r="G370" s="17" t="s">
        <v>2369</v>
      </c>
      <c r="H370" s="17" t="s">
        <v>3866</v>
      </c>
      <c r="I370" s="17" t="s">
        <v>28</v>
      </c>
      <c r="J370" s="37" t="s">
        <v>4839</v>
      </c>
      <c r="K370" s="18">
        <v>46150</v>
      </c>
      <c r="L370" s="18" t="s">
        <v>24</v>
      </c>
      <c r="M370" s="7" t="s">
        <v>25</v>
      </c>
      <c r="N370" s="17"/>
    </row>
    <row r="371" spans="1:14" ht="25.5" x14ac:dyDescent="0.25">
      <c r="A371" s="17">
        <v>370</v>
      </c>
      <c r="B371" s="16" t="s">
        <v>2368</v>
      </c>
      <c r="C371" s="17">
        <v>2</v>
      </c>
      <c r="D371" s="17">
        <v>15.9</v>
      </c>
      <c r="E371" s="17"/>
      <c r="F371" s="16" t="s">
        <v>121</v>
      </c>
      <c r="G371" s="17" t="s">
        <v>2370</v>
      </c>
      <c r="H371" s="17" t="s">
        <v>3693</v>
      </c>
      <c r="I371" s="17" t="s">
        <v>28</v>
      </c>
      <c r="J371" s="37" t="s">
        <v>4632</v>
      </c>
      <c r="K371" s="18">
        <v>46140</v>
      </c>
      <c r="L371" s="18" t="s">
        <v>24</v>
      </c>
      <c r="M371" s="7" t="s">
        <v>25</v>
      </c>
      <c r="N371" s="17"/>
    </row>
    <row r="372" spans="1:14" ht="25.5" x14ac:dyDescent="0.25">
      <c r="A372" s="17">
        <v>371</v>
      </c>
      <c r="B372" s="16" t="s">
        <v>2368</v>
      </c>
      <c r="C372" s="17">
        <v>3</v>
      </c>
      <c r="D372" s="17">
        <v>13.3</v>
      </c>
      <c r="E372" s="17">
        <v>11</v>
      </c>
      <c r="F372" s="16" t="s">
        <v>151</v>
      </c>
      <c r="G372" s="17" t="s">
        <v>2371</v>
      </c>
      <c r="H372" s="17" t="s">
        <v>3694</v>
      </c>
      <c r="I372" s="17" t="s">
        <v>28</v>
      </c>
      <c r="J372" s="37" t="s">
        <v>4785</v>
      </c>
      <c r="K372" s="18">
        <v>46154</v>
      </c>
      <c r="L372" s="18" t="s">
        <v>82</v>
      </c>
      <c r="M372" s="7" t="s">
        <v>25</v>
      </c>
      <c r="N372" s="17"/>
    </row>
    <row r="373" spans="1:14" ht="25.5" x14ac:dyDescent="0.25">
      <c r="A373" s="17">
        <v>372</v>
      </c>
      <c r="B373" s="16" t="s">
        <v>2372</v>
      </c>
      <c r="C373" s="17">
        <v>1</v>
      </c>
      <c r="D373" s="17">
        <v>16.2</v>
      </c>
      <c r="E373" s="17">
        <v>10.7</v>
      </c>
      <c r="F373" s="16" t="s">
        <v>48</v>
      </c>
      <c r="G373" s="17" t="s">
        <v>2373</v>
      </c>
      <c r="H373" s="17" t="s">
        <v>3695</v>
      </c>
      <c r="I373" s="17" t="s">
        <v>28</v>
      </c>
      <c r="J373" s="37" t="s">
        <v>4840</v>
      </c>
      <c r="K373" s="18">
        <v>46156</v>
      </c>
      <c r="L373" s="18" t="s">
        <v>24</v>
      </c>
      <c r="M373" s="7" t="s">
        <v>25</v>
      </c>
      <c r="N373" s="17"/>
    </row>
    <row r="374" spans="1:14" ht="63.75" x14ac:dyDescent="0.25">
      <c r="A374" s="17">
        <v>373</v>
      </c>
      <c r="B374" s="16" t="s">
        <v>2372</v>
      </c>
      <c r="C374" s="17">
        <v>2</v>
      </c>
      <c r="D374" s="17">
        <v>16</v>
      </c>
      <c r="E374" s="17"/>
      <c r="F374" s="16" t="s">
        <v>151</v>
      </c>
      <c r="G374" s="17" t="s">
        <v>2374</v>
      </c>
      <c r="H374" s="17" t="s">
        <v>3696</v>
      </c>
      <c r="I374" s="17" t="s">
        <v>34</v>
      </c>
      <c r="J374" s="37" t="s">
        <v>4786</v>
      </c>
      <c r="K374" s="18">
        <v>46155</v>
      </c>
      <c r="L374" s="18" t="s">
        <v>24</v>
      </c>
      <c r="M374" s="7" t="s">
        <v>25</v>
      </c>
      <c r="N374" s="17"/>
    </row>
    <row r="375" spans="1:14" ht="63.75" x14ac:dyDescent="0.25">
      <c r="A375" s="17">
        <v>374</v>
      </c>
      <c r="B375" s="16" t="s">
        <v>2372</v>
      </c>
      <c r="C375" s="17">
        <v>3</v>
      </c>
      <c r="D375" s="17">
        <v>12.3</v>
      </c>
      <c r="E375" s="17">
        <v>11</v>
      </c>
      <c r="F375" s="16" t="s">
        <v>151</v>
      </c>
      <c r="G375" s="17" t="s">
        <v>2374</v>
      </c>
      <c r="H375" s="17" t="s">
        <v>3696</v>
      </c>
      <c r="I375" s="17" t="s">
        <v>34</v>
      </c>
      <c r="J375" s="37" t="s">
        <v>4786</v>
      </c>
      <c r="K375" s="18">
        <v>46155</v>
      </c>
      <c r="L375" s="18" t="s">
        <v>24</v>
      </c>
      <c r="M375" s="7" t="s">
        <v>25</v>
      </c>
      <c r="N375" s="17"/>
    </row>
    <row r="376" spans="1:14" ht="25.5" x14ac:dyDescent="0.25">
      <c r="A376" s="17">
        <v>375</v>
      </c>
      <c r="B376" s="16" t="s">
        <v>2375</v>
      </c>
      <c r="C376" s="17">
        <v>1</v>
      </c>
      <c r="D376" s="17">
        <v>12.4</v>
      </c>
      <c r="E376" s="17">
        <v>10.8</v>
      </c>
      <c r="F376" s="16" t="s">
        <v>48</v>
      </c>
      <c r="G376" s="17" t="s">
        <v>2376</v>
      </c>
      <c r="H376" s="17" t="s">
        <v>4054</v>
      </c>
      <c r="I376" s="17" t="s">
        <v>51</v>
      </c>
      <c r="J376" s="37" t="s">
        <v>4841</v>
      </c>
      <c r="K376" s="18">
        <v>46156</v>
      </c>
      <c r="L376" s="18" t="s">
        <v>24</v>
      </c>
      <c r="M376" s="7" t="s">
        <v>25</v>
      </c>
      <c r="N376" s="17"/>
    </row>
    <row r="377" spans="1:14" ht="25.5" x14ac:dyDescent="0.25">
      <c r="A377" s="17">
        <v>376</v>
      </c>
      <c r="B377" s="16" t="s">
        <v>2375</v>
      </c>
      <c r="C377" s="17">
        <v>2</v>
      </c>
      <c r="D377" s="17">
        <v>16.600000000000001</v>
      </c>
      <c r="E377" s="17"/>
      <c r="F377" s="16" t="s">
        <v>162</v>
      </c>
      <c r="G377" s="17" t="s">
        <v>2377</v>
      </c>
      <c r="H377" s="17" t="s">
        <v>4055</v>
      </c>
      <c r="I377" s="17" t="s">
        <v>267</v>
      </c>
      <c r="J377" s="37" t="s">
        <v>4472</v>
      </c>
      <c r="K377" s="18">
        <v>46154</v>
      </c>
      <c r="L377" s="18" t="s">
        <v>24</v>
      </c>
      <c r="M377" s="7" t="s">
        <v>25</v>
      </c>
      <c r="N377" s="17"/>
    </row>
    <row r="378" spans="1:14" ht="25.5" x14ac:dyDescent="0.25">
      <c r="A378" s="17">
        <v>377</v>
      </c>
      <c r="B378" s="16" t="s">
        <v>2375</v>
      </c>
      <c r="C378" s="17">
        <v>3</v>
      </c>
      <c r="D378" s="17">
        <v>16.5</v>
      </c>
      <c r="E378" s="17">
        <v>10.7</v>
      </c>
      <c r="F378" s="16" t="s">
        <v>151</v>
      </c>
      <c r="G378" s="17" t="s">
        <v>2378</v>
      </c>
      <c r="H378" s="17" t="s">
        <v>3867</v>
      </c>
      <c r="I378" s="17" t="s">
        <v>28</v>
      </c>
      <c r="J378" s="37" t="s">
        <v>4787</v>
      </c>
      <c r="K378" s="18">
        <v>46149</v>
      </c>
      <c r="L378" s="18" t="s">
        <v>24</v>
      </c>
      <c r="M378" s="7" t="s">
        <v>25</v>
      </c>
      <c r="N378" s="17"/>
    </row>
    <row r="379" spans="1:14" ht="25.5" x14ac:dyDescent="0.25">
      <c r="A379" s="17">
        <v>378</v>
      </c>
      <c r="B379" s="16" t="s">
        <v>2379</v>
      </c>
      <c r="C379" s="17">
        <v>1</v>
      </c>
      <c r="D379" s="17">
        <v>9.1999999999999993</v>
      </c>
      <c r="E379" s="17">
        <v>9.3000000000000007</v>
      </c>
      <c r="F379" s="16" t="s">
        <v>151</v>
      </c>
      <c r="G379" s="17" t="s">
        <v>2380</v>
      </c>
      <c r="H379" s="17" t="s">
        <v>4056</v>
      </c>
      <c r="I379" s="17" t="s">
        <v>51</v>
      </c>
      <c r="J379" s="37" t="s">
        <v>4788</v>
      </c>
      <c r="K379" s="18">
        <v>46155</v>
      </c>
      <c r="L379" s="18" t="s">
        <v>24</v>
      </c>
      <c r="M379" s="7" t="s">
        <v>25</v>
      </c>
      <c r="N379" s="17"/>
    </row>
    <row r="380" spans="1:14" ht="25.5" x14ac:dyDescent="0.25">
      <c r="A380" s="17">
        <v>379</v>
      </c>
      <c r="B380" s="16" t="s">
        <v>2379</v>
      </c>
      <c r="C380" s="17">
        <v>2</v>
      </c>
      <c r="D380" s="17">
        <v>13.4</v>
      </c>
      <c r="E380" s="17"/>
      <c r="F380" s="16" t="s">
        <v>31</v>
      </c>
      <c r="G380" s="17" t="s">
        <v>2381</v>
      </c>
      <c r="H380" s="17" t="s">
        <v>3697</v>
      </c>
      <c r="I380" s="17" t="s">
        <v>28</v>
      </c>
      <c r="J380" s="37" t="s">
        <v>2843</v>
      </c>
      <c r="K380" s="18">
        <v>46147</v>
      </c>
      <c r="L380" s="18" t="s">
        <v>24</v>
      </c>
      <c r="M380" s="7" t="s">
        <v>25</v>
      </c>
      <c r="N380" s="17"/>
    </row>
    <row r="381" spans="1:14" ht="25.5" x14ac:dyDescent="0.25">
      <c r="A381" s="17">
        <v>380</v>
      </c>
      <c r="B381" s="16" t="s">
        <v>2379</v>
      </c>
      <c r="C381" s="17">
        <v>3</v>
      </c>
      <c r="D381" s="17">
        <v>12.2</v>
      </c>
      <c r="E381" s="17">
        <v>9.1999999999999993</v>
      </c>
      <c r="F381" s="16" t="s">
        <v>106</v>
      </c>
      <c r="G381" s="17" t="s">
        <v>2382</v>
      </c>
      <c r="H381" s="17" t="s">
        <v>4057</v>
      </c>
      <c r="I381" s="17" t="s">
        <v>28</v>
      </c>
      <c r="J381" s="37" t="s">
        <v>4565</v>
      </c>
      <c r="K381" s="18">
        <v>46142</v>
      </c>
      <c r="L381" s="18" t="s">
        <v>24</v>
      </c>
      <c r="M381" s="7" t="s">
        <v>25</v>
      </c>
      <c r="N381" s="17"/>
    </row>
    <row r="382" spans="1:14" ht="25.5" x14ac:dyDescent="0.25">
      <c r="A382" s="17">
        <v>381</v>
      </c>
      <c r="B382" s="16" t="s">
        <v>2383</v>
      </c>
      <c r="C382" s="17">
        <v>1</v>
      </c>
      <c r="D382" s="17">
        <v>9.8000000000000007</v>
      </c>
      <c r="E382" s="17">
        <v>9.3000000000000007</v>
      </c>
      <c r="F382" s="16" t="s">
        <v>162</v>
      </c>
      <c r="G382" s="17" t="s">
        <v>2384</v>
      </c>
      <c r="H382" s="17" t="s">
        <v>4058</v>
      </c>
      <c r="I382" s="17" t="s">
        <v>42</v>
      </c>
      <c r="J382" s="37" t="s">
        <v>4473</v>
      </c>
      <c r="K382" s="18">
        <v>46154</v>
      </c>
      <c r="L382" s="18" t="s">
        <v>24</v>
      </c>
      <c r="M382" s="7" t="s">
        <v>25</v>
      </c>
      <c r="N382" s="17"/>
    </row>
    <row r="383" spans="1:14" ht="25.5" x14ac:dyDescent="0.25">
      <c r="A383" s="17">
        <v>382</v>
      </c>
      <c r="B383" s="16" t="s">
        <v>2383</v>
      </c>
      <c r="C383" s="17">
        <v>2</v>
      </c>
      <c r="D383" s="17">
        <v>13.1</v>
      </c>
      <c r="E383" s="17"/>
      <c r="F383" s="16" t="s">
        <v>162</v>
      </c>
      <c r="G383" s="17" t="s">
        <v>2384</v>
      </c>
      <c r="H383" s="17" t="s">
        <v>4058</v>
      </c>
      <c r="I383" s="17" t="s">
        <v>42</v>
      </c>
      <c r="J383" s="37" t="s">
        <v>4473</v>
      </c>
      <c r="K383" s="18">
        <v>46154</v>
      </c>
      <c r="L383" s="18" t="s">
        <v>24</v>
      </c>
      <c r="M383" s="7" t="s">
        <v>25</v>
      </c>
      <c r="N383" s="17"/>
    </row>
    <row r="384" spans="1:14" ht="25.5" x14ac:dyDescent="0.25">
      <c r="A384" s="17">
        <v>383</v>
      </c>
      <c r="B384" s="16" t="s">
        <v>2383</v>
      </c>
      <c r="C384" s="17">
        <v>3</v>
      </c>
      <c r="D384" s="17">
        <v>12.3</v>
      </c>
      <c r="E384" s="17">
        <v>9.1999999999999993</v>
      </c>
      <c r="F384" s="16" t="s">
        <v>162</v>
      </c>
      <c r="G384" s="17" t="s">
        <v>2385</v>
      </c>
      <c r="H384" s="17" t="s">
        <v>3868</v>
      </c>
      <c r="I384" s="17" t="s">
        <v>28</v>
      </c>
      <c r="J384" s="37" t="s">
        <v>4474</v>
      </c>
      <c r="K384" s="18">
        <v>46154</v>
      </c>
      <c r="L384" s="18" t="s">
        <v>24</v>
      </c>
      <c r="M384" s="7" t="s">
        <v>25</v>
      </c>
      <c r="N384" s="17"/>
    </row>
    <row r="385" spans="1:14" ht="51" x14ac:dyDescent="0.25">
      <c r="A385" s="17">
        <v>384</v>
      </c>
      <c r="B385" s="16" t="s">
        <v>2386</v>
      </c>
      <c r="C385" s="17">
        <v>1</v>
      </c>
      <c r="D385" s="17">
        <v>15.9</v>
      </c>
      <c r="E385" s="17">
        <v>10.7</v>
      </c>
      <c r="F385" s="16" t="s">
        <v>338</v>
      </c>
      <c r="G385" s="17" t="s">
        <v>2387</v>
      </c>
      <c r="H385" s="17" t="s">
        <v>3869</v>
      </c>
      <c r="I385" s="17" t="s">
        <v>34</v>
      </c>
      <c r="J385" s="37" t="s">
        <v>4414</v>
      </c>
      <c r="K385" s="18">
        <v>46156</v>
      </c>
      <c r="L385" s="18" t="s">
        <v>24</v>
      </c>
      <c r="M385" s="7" t="s">
        <v>25</v>
      </c>
      <c r="N385" s="17"/>
    </row>
    <row r="386" spans="1:14" ht="51" x14ac:dyDescent="0.25">
      <c r="A386" s="17">
        <v>385</v>
      </c>
      <c r="B386" s="16" t="s">
        <v>2386</v>
      </c>
      <c r="C386" s="17">
        <v>2</v>
      </c>
      <c r="D386" s="17">
        <v>16.3</v>
      </c>
      <c r="E386" s="17"/>
      <c r="F386" s="16" t="s">
        <v>162</v>
      </c>
      <c r="G386" s="17" t="s">
        <v>2388</v>
      </c>
      <c r="H386" s="17" t="s">
        <v>4059</v>
      </c>
      <c r="I386" s="17" t="s">
        <v>34</v>
      </c>
      <c r="J386" s="37" t="s">
        <v>4475</v>
      </c>
      <c r="K386" s="18">
        <v>46155</v>
      </c>
      <c r="L386" s="18" t="s">
        <v>24</v>
      </c>
      <c r="M386" s="7" t="s">
        <v>25</v>
      </c>
      <c r="N386" s="17"/>
    </row>
    <row r="387" spans="1:14" ht="51" x14ac:dyDescent="0.25">
      <c r="A387" s="17">
        <v>386</v>
      </c>
      <c r="B387" s="16" t="s">
        <v>2386</v>
      </c>
      <c r="C387" s="17">
        <v>3</v>
      </c>
      <c r="D387" s="17">
        <v>12.8</v>
      </c>
      <c r="E387" s="17">
        <v>10.6</v>
      </c>
      <c r="F387" s="16" t="s">
        <v>162</v>
      </c>
      <c r="G387" s="17" t="s">
        <v>2388</v>
      </c>
      <c r="H387" s="17" t="s">
        <v>4059</v>
      </c>
      <c r="I387" s="17" t="s">
        <v>34</v>
      </c>
      <c r="J387" s="37" t="s">
        <v>4475</v>
      </c>
      <c r="K387" s="18">
        <v>46155</v>
      </c>
      <c r="L387" s="18" t="s">
        <v>24</v>
      </c>
      <c r="M387" s="7" t="s">
        <v>25</v>
      </c>
      <c r="N387" s="17"/>
    </row>
    <row r="388" spans="1:14" ht="25.5" x14ac:dyDescent="0.25">
      <c r="A388" s="17">
        <v>387</v>
      </c>
      <c r="B388" s="16" t="s">
        <v>2389</v>
      </c>
      <c r="C388" s="17">
        <v>1</v>
      </c>
      <c r="D388" s="17">
        <v>14.8</v>
      </c>
      <c r="E388" s="17">
        <v>10.8</v>
      </c>
      <c r="F388" s="16" t="s">
        <v>19</v>
      </c>
      <c r="G388" s="17" t="s">
        <v>2390</v>
      </c>
      <c r="H388" s="17" t="s">
        <v>3870</v>
      </c>
      <c r="I388" s="17" t="s">
        <v>38</v>
      </c>
      <c r="J388" s="37" t="s">
        <v>4363</v>
      </c>
      <c r="K388" s="18">
        <v>46137</v>
      </c>
      <c r="L388" s="18" t="s">
        <v>24</v>
      </c>
      <c r="M388" s="7" t="s">
        <v>25</v>
      </c>
      <c r="N388" s="17"/>
    </row>
    <row r="389" spans="1:14" ht="63.75" x14ac:dyDescent="0.25">
      <c r="A389" s="17">
        <v>388</v>
      </c>
      <c r="B389" s="16" t="s">
        <v>2389</v>
      </c>
      <c r="C389" s="17">
        <v>2</v>
      </c>
      <c r="D389" s="17">
        <v>15.8</v>
      </c>
      <c r="E389" s="17"/>
      <c r="F389" s="16" t="s">
        <v>73</v>
      </c>
      <c r="G389" s="17" t="s">
        <v>2391</v>
      </c>
      <c r="H389" s="17" t="s">
        <v>3698</v>
      </c>
      <c r="I389" s="17" t="s">
        <v>34</v>
      </c>
      <c r="J389" s="37" t="s">
        <v>4448</v>
      </c>
      <c r="K389" s="18">
        <v>46144</v>
      </c>
      <c r="L389" s="18" t="s">
        <v>24</v>
      </c>
      <c r="M389" s="7" t="s">
        <v>25</v>
      </c>
      <c r="N389" s="17"/>
    </row>
    <row r="390" spans="1:14" ht="63.75" x14ac:dyDescent="0.25">
      <c r="A390" s="17">
        <v>389</v>
      </c>
      <c r="B390" s="16" t="s">
        <v>2389</v>
      </c>
      <c r="C390" s="17">
        <v>3</v>
      </c>
      <c r="D390" s="17">
        <v>12.7</v>
      </c>
      <c r="E390" s="17">
        <v>10.8</v>
      </c>
      <c r="F390" s="16" t="s">
        <v>121</v>
      </c>
      <c r="G390" s="17" t="s">
        <v>2392</v>
      </c>
      <c r="H390" s="17" t="s">
        <v>4060</v>
      </c>
      <c r="I390" s="17" t="s">
        <v>34</v>
      </c>
      <c r="J390" s="37" t="s">
        <v>4633</v>
      </c>
      <c r="K390" s="18">
        <v>46140</v>
      </c>
      <c r="L390" s="18" t="s">
        <v>24</v>
      </c>
      <c r="M390" s="7" t="s">
        <v>25</v>
      </c>
      <c r="N390" s="17"/>
    </row>
    <row r="391" spans="1:14" ht="25.5" x14ac:dyDescent="0.25">
      <c r="A391" s="17">
        <v>390</v>
      </c>
      <c r="B391" s="16" t="s">
        <v>2393</v>
      </c>
      <c r="C391" s="17">
        <v>1</v>
      </c>
      <c r="D391" s="17">
        <v>16</v>
      </c>
      <c r="E391" s="17">
        <v>10.6</v>
      </c>
      <c r="F391" s="16" t="s">
        <v>31</v>
      </c>
      <c r="G391" s="17" t="s">
        <v>2394</v>
      </c>
      <c r="H391" s="17" t="s">
        <v>3871</v>
      </c>
      <c r="I391" s="17" t="s">
        <v>28</v>
      </c>
      <c r="J391" s="37" t="s">
        <v>4719</v>
      </c>
      <c r="K391" s="18">
        <v>46156</v>
      </c>
      <c r="L391" s="18" t="s">
        <v>24</v>
      </c>
      <c r="M391" s="7" t="s">
        <v>25</v>
      </c>
      <c r="N391" s="17"/>
    </row>
    <row r="392" spans="1:14" ht="25.5" x14ac:dyDescent="0.25">
      <c r="A392" s="17">
        <v>391</v>
      </c>
      <c r="B392" s="16" t="s">
        <v>2393</v>
      </c>
      <c r="C392" s="17">
        <v>2</v>
      </c>
      <c r="D392" s="17">
        <v>15.6</v>
      </c>
      <c r="E392" s="17"/>
      <c r="F392" s="16" t="s">
        <v>31</v>
      </c>
      <c r="G392" s="17" t="s">
        <v>2394</v>
      </c>
      <c r="H392" s="17" t="s">
        <v>3871</v>
      </c>
      <c r="I392" s="17" t="s">
        <v>28</v>
      </c>
      <c r="J392" s="37" t="s">
        <v>4719</v>
      </c>
      <c r="K392" s="18">
        <v>46156</v>
      </c>
      <c r="L392" s="18" t="s">
        <v>24</v>
      </c>
      <c r="M392" s="7" t="s">
        <v>25</v>
      </c>
      <c r="N392" s="17"/>
    </row>
    <row r="393" spans="1:14" ht="25.5" x14ac:dyDescent="0.25">
      <c r="A393" s="17">
        <v>392</v>
      </c>
      <c r="B393" s="16" t="s">
        <v>2393</v>
      </c>
      <c r="C393" s="17">
        <v>3</v>
      </c>
      <c r="D393" s="17">
        <v>13.1</v>
      </c>
      <c r="E393" s="17">
        <v>10.6</v>
      </c>
      <c r="F393" s="16" t="s">
        <v>31</v>
      </c>
      <c r="G393" s="17" t="s">
        <v>2395</v>
      </c>
      <c r="H393" s="17" t="s">
        <v>4061</v>
      </c>
      <c r="I393" s="17" t="s">
        <v>28</v>
      </c>
      <c r="J393" s="37" t="s">
        <v>4720</v>
      </c>
      <c r="K393" s="18">
        <v>46147</v>
      </c>
      <c r="L393" s="18" t="s">
        <v>24</v>
      </c>
      <c r="M393" s="7" t="s">
        <v>25</v>
      </c>
      <c r="N393" s="17"/>
    </row>
    <row r="394" spans="1:14" ht="25.5" x14ac:dyDescent="0.25">
      <c r="A394" s="17">
        <v>393</v>
      </c>
      <c r="B394" s="16" t="s">
        <v>2396</v>
      </c>
      <c r="C394" s="17">
        <v>1</v>
      </c>
      <c r="D394" s="17">
        <v>16</v>
      </c>
      <c r="E394" s="17">
        <v>10.6</v>
      </c>
      <c r="F394" s="16" t="s">
        <v>121</v>
      </c>
      <c r="G394" s="17" t="s">
        <v>2397</v>
      </c>
      <c r="H394" s="17" t="s">
        <v>4062</v>
      </c>
      <c r="I394" s="17" t="s">
        <v>28</v>
      </c>
      <c r="J394" s="37" t="s">
        <v>4634</v>
      </c>
      <c r="K394" s="18">
        <v>46140</v>
      </c>
      <c r="L394" s="18" t="s">
        <v>24</v>
      </c>
      <c r="M394" s="7" t="s">
        <v>25</v>
      </c>
      <c r="N394" s="17"/>
    </row>
    <row r="395" spans="1:14" x14ac:dyDescent="0.25">
      <c r="A395" s="14">
        <v>394</v>
      </c>
      <c r="B395" s="15" t="s">
        <v>2396</v>
      </c>
      <c r="C395" s="14">
        <v>2</v>
      </c>
      <c r="D395" s="14">
        <v>16.7</v>
      </c>
      <c r="E395" s="14"/>
      <c r="F395" s="15" t="s">
        <v>62</v>
      </c>
      <c r="G395" s="14"/>
      <c r="H395" s="14"/>
      <c r="I395" s="14"/>
      <c r="J395" s="28"/>
      <c r="K395" s="14"/>
      <c r="L395" s="14"/>
      <c r="M395" s="14" t="s">
        <v>286</v>
      </c>
      <c r="N395" s="14"/>
    </row>
    <row r="396" spans="1:14" ht="25.5" x14ac:dyDescent="0.25">
      <c r="A396" s="17">
        <v>395</v>
      </c>
      <c r="B396" s="16" t="s">
        <v>2396</v>
      </c>
      <c r="C396" s="17">
        <v>3</v>
      </c>
      <c r="D396" s="17">
        <v>11.9</v>
      </c>
      <c r="E396" s="17">
        <v>10.8</v>
      </c>
      <c r="F396" s="16" t="s">
        <v>101</v>
      </c>
      <c r="G396" s="17" t="s">
        <v>2398</v>
      </c>
      <c r="H396" s="17" t="s">
        <v>3872</v>
      </c>
      <c r="I396" s="17" t="s">
        <v>51</v>
      </c>
      <c r="J396" s="37" t="s">
        <v>4236</v>
      </c>
      <c r="K396" s="18">
        <v>46133</v>
      </c>
      <c r="L396" s="18" t="s">
        <v>24</v>
      </c>
      <c r="M396" s="7" t="s">
        <v>25</v>
      </c>
      <c r="N396" s="17"/>
    </row>
    <row r="397" spans="1:14" ht="25.5" x14ac:dyDescent="0.25">
      <c r="A397" s="17">
        <v>396</v>
      </c>
      <c r="B397" s="16" t="s">
        <v>2399</v>
      </c>
      <c r="C397" s="17">
        <v>1</v>
      </c>
      <c r="D397" s="17">
        <v>12.8</v>
      </c>
      <c r="E397" s="17">
        <v>10.8</v>
      </c>
      <c r="F397" s="16" t="s">
        <v>62</v>
      </c>
      <c r="G397" s="17" t="s">
        <v>2400</v>
      </c>
      <c r="H397" s="17" t="s">
        <v>4063</v>
      </c>
      <c r="I397" s="17" t="s">
        <v>51</v>
      </c>
      <c r="J397" s="37" t="s">
        <v>4521</v>
      </c>
      <c r="K397" s="18">
        <v>46140</v>
      </c>
      <c r="L397" s="18" t="s">
        <v>24</v>
      </c>
      <c r="M397" s="7" t="s">
        <v>25</v>
      </c>
      <c r="N397" s="17"/>
    </row>
    <row r="398" spans="1:14" ht="25.5" x14ac:dyDescent="0.25">
      <c r="A398" s="17">
        <v>397</v>
      </c>
      <c r="B398" s="16" t="s">
        <v>2399</v>
      </c>
      <c r="C398" s="17">
        <v>2</v>
      </c>
      <c r="D398" s="17">
        <v>17</v>
      </c>
      <c r="E398" s="17"/>
      <c r="F398" s="16" t="s">
        <v>121</v>
      </c>
      <c r="G398" s="17" t="s">
        <v>2401</v>
      </c>
      <c r="H398" s="17" t="s">
        <v>3873</v>
      </c>
      <c r="I398" s="17" t="s">
        <v>662</v>
      </c>
      <c r="J398" s="37" t="s">
        <v>4635</v>
      </c>
      <c r="K398" s="18">
        <v>46148</v>
      </c>
      <c r="L398" s="18" t="s">
        <v>24</v>
      </c>
      <c r="M398" s="7" t="s">
        <v>25</v>
      </c>
      <c r="N398" s="17"/>
    </row>
    <row r="399" spans="1:14" ht="63.75" x14ac:dyDescent="0.25">
      <c r="A399" s="17">
        <v>398</v>
      </c>
      <c r="B399" s="16" t="s">
        <v>2399</v>
      </c>
      <c r="C399" s="17">
        <v>3</v>
      </c>
      <c r="D399" s="17">
        <v>16</v>
      </c>
      <c r="E399" s="17">
        <v>10.9</v>
      </c>
      <c r="F399" s="16" t="s">
        <v>151</v>
      </c>
      <c r="G399" s="17" t="s">
        <v>2402</v>
      </c>
      <c r="H399" s="17" t="s">
        <v>4064</v>
      </c>
      <c r="I399" s="17" t="s">
        <v>34</v>
      </c>
      <c r="J399" s="37" t="s">
        <v>4789</v>
      </c>
      <c r="K399" s="18">
        <v>46155</v>
      </c>
      <c r="L399" s="18" t="s">
        <v>24</v>
      </c>
      <c r="M399" s="7" t="s">
        <v>25</v>
      </c>
      <c r="N399" s="17"/>
    </row>
    <row r="400" spans="1:14" ht="51" x14ac:dyDescent="0.25">
      <c r="A400" s="17">
        <v>399</v>
      </c>
      <c r="B400" s="16" t="s">
        <v>2403</v>
      </c>
      <c r="C400" s="17">
        <v>1</v>
      </c>
      <c r="D400" s="17">
        <v>16.100000000000001</v>
      </c>
      <c r="E400" s="17">
        <v>11</v>
      </c>
      <c r="F400" s="16" t="s">
        <v>106</v>
      </c>
      <c r="G400" s="17" t="s">
        <v>4910</v>
      </c>
      <c r="H400" s="17" t="s">
        <v>3699</v>
      </c>
      <c r="I400" s="17" t="s">
        <v>34</v>
      </c>
      <c r="J400" s="37" t="s">
        <v>4566</v>
      </c>
      <c r="K400" s="18">
        <v>46148</v>
      </c>
      <c r="L400" s="18" t="s">
        <v>24</v>
      </c>
      <c r="M400" s="7" t="s">
        <v>25</v>
      </c>
      <c r="N400" s="17"/>
    </row>
    <row r="401" spans="1:14" ht="25.5" x14ac:dyDescent="0.25">
      <c r="A401" s="17">
        <v>400</v>
      </c>
      <c r="B401" s="16" t="s">
        <v>2403</v>
      </c>
      <c r="C401" s="17">
        <v>2</v>
      </c>
      <c r="D401" s="17">
        <v>16.5</v>
      </c>
      <c r="E401" s="17"/>
      <c r="F401" s="16" t="s">
        <v>338</v>
      </c>
      <c r="G401" s="17" t="s">
        <v>2404</v>
      </c>
      <c r="H401" s="17" t="s">
        <v>3874</v>
      </c>
      <c r="I401" s="17" t="s">
        <v>22</v>
      </c>
      <c r="J401" s="37" t="s">
        <v>4415</v>
      </c>
      <c r="K401" s="18">
        <v>46133</v>
      </c>
      <c r="L401" s="18" t="s">
        <v>24</v>
      </c>
      <c r="M401" s="7" t="s">
        <v>25</v>
      </c>
      <c r="N401" s="17"/>
    </row>
    <row r="402" spans="1:14" ht="25.5" x14ac:dyDescent="0.25">
      <c r="A402" s="34">
        <v>401</v>
      </c>
      <c r="B402" s="35" t="s">
        <v>2403</v>
      </c>
      <c r="C402" s="34">
        <v>3</v>
      </c>
      <c r="D402" s="34">
        <v>12.4</v>
      </c>
      <c r="E402" s="34">
        <v>10.9</v>
      </c>
      <c r="F402" s="35" t="s">
        <v>54</v>
      </c>
      <c r="G402" s="34" t="s">
        <v>2405</v>
      </c>
      <c r="H402" s="17" t="s">
        <v>4065</v>
      </c>
      <c r="I402" s="17" t="s">
        <v>2032</v>
      </c>
      <c r="J402" s="37" t="s">
        <v>4761</v>
      </c>
      <c r="K402" s="18">
        <v>46137</v>
      </c>
      <c r="L402" s="18" t="s">
        <v>82</v>
      </c>
      <c r="M402" s="7" t="s">
        <v>25</v>
      </c>
      <c r="N402" s="17"/>
    </row>
    <row r="403" spans="1:14" ht="51" x14ac:dyDescent="0.25">
      <c r="A403" s="17">
        <v>402</v>
      </c>
      <c r="B403" s="16" t="s">
        <v>2406</v>
      </c>
      <c r="C403" s="17">
        <v>1</v>
      </c>
      <c r="D403" s="17">
        <v>16.899999999999999</v>
      </c>
      <c r="E403" s="17">
        <v>10.6</v>
      </c>
      <c r="F403" s="16" t="s">
        <v>162</v>
      </c>
      <c r="G403" s="17" t="s">
        <v>2407</v>
      </c>
      <c r="H403" s="17" t="s">
        <v>3700</v>
      </c>
      <c r="I403" s="17" t="s">
        <v>34</v>
      </c>
      <c r="J403" s="37" t="s">
        <v>4476</v>
      </c>
      <c r="K403" s="18">
        <v>46133</v>
      </c>
      <c r="L403" s="18" t="s">
        <v>24</v>
      </c>
      <c r="M403" s="7" t="s">
        <v>25</v>
      </c>
      <c r="N403" s="17"/>
    </row>
    <row r="404" spans="1:14" ht="25.5" x14ac:dyDescent="0.25">
      <c r="A404" s="17">
        <v>403</v>
      </c>
      <c r="B404" s="16" t="s">
        <v>2406</v>
      </c>
      <c r="C404" s="17">
        <v>2</v>
      </c>
      <c r="D404" s="17">
        <v>15.9</v>
      </c>
      <c r="E404" s="17"/>
      <c r="F404" s="16" t="s">
        <v>162</v>
      </c>
      <c r="G404" s="17" t="s">
        <v>2408</v>
      </c>
      <c r="H404" s="17" t="s">
        <v>4066</v>
      </c>
      <c r="I404" s="17" t="s">
        <v>28</v>
      </c>
      <c r="J404" s="37" t="s">
        <v>4477</v>
      </c>
      <c r="K404" s="18">
        <v>46134</v>
      </c>
      <c r="L404" s="18" t="s">
        <v>24</v>
      </c>
      <c r="M404" s="7" t="s">
        <v>25</v>
      </c>
      <c r="N404" s="17"/>
    </row>
    <row r="405" spans="1:14" ht="63.75" x14ac:dyDescent="0.25">
      <c r="A405" s="17">
        <v>404</v>
      </c>
      <c r="B405" s="16" t="s">
        <v>2406</v>
      </c>
      <c r="C405" s="17">
        <v>3</v>
      </c>
      <c r="D405" s="17">
        <v>12.2</v>
      </c>
      <c r="E405" s="17">
        <v>10.5</v>
      </c>
      <c r="F405" s="16" t="s">
        <v>121</v>
      </c>
      <c r="G405" s="17" t="s">
        <v>2409</v>
      </c>
      <c r="H405" s="17" t="s">
        <v>3701</v>
      </c>
      <c r="I405" s="17" t="s">
        <v>34</v>
      </c>
      <c r="J405" s="37" t="s">
        <v>4636</v>
      </c>
      <c r="K405" s="18">
        <v>46140</v>
      </c>
      <c r="L405" s="18" t="s">
        <v>24</v>
      </c>
      <c r="M405" s="7" t="s">
        <v>25</v>
      </c>
      <c r="N405" s="17"/>
    </row>
    <row r="406" spans="1:14" ht="25.5" x14ac:dyDescent="0.25">
      <c r="A406" s="17">
        <v>405</v>
      </c>
      <c r="B406" s="16" t="s">
        <v>2410</v>
      </c>
      <c r="C406" s="17">
        <v>1</v>
      </c>
      <c r="D406" s="17">
        <v>17.399999999999999</v>
      </c>
      <c r="E406" s="17">
        <v>11.2</v>
      </c>
      <c r="F406" s="16" t="s">
        <v>48</v>
      </c>
      <c r="G406" s="17" t="s">
        <v>2411</v>
      </c>
      <c r="H406" s="17" t="s">
        <v>3875</v>
      </c>
      <c r="I406" s="17" t="s">
        <v>28</v>
      </c>
      <c r="J406" s="37" t="s">
        <v>4842</v>
      </c>
      <c r="K406" s="18">
        <v>46137</v>
      </c>
      <c r="L406" s="18" t="s">
        <v>24</v>
      </c>
      <c r="M406" s="7" t="s">
        <v>25</v>
      </c>
      <c r="N406" s="17"/>
    </row>
    <row r="407" spans="1:14" ht="25.5" x14ac:dyDescent="0.25">
      <c r="A407" s="17">
        <v>406</v>
      </c>
      <c r="B407" s="16" t="s">
        <v>2410</v>
      </c>
      <c r="C407" s="17">
        <v>2</v>
      </c>
      <c r="D407" s="17">
        <v>17</v>
      </c>
      <c r="E407" s="17"/>
      <c r="F407" s="16" t="s">
        <v>48</v>
      </c>
      <c r="G407" s="17" t="s">
        <v>2411</v>
      </c>
      <c r="H407" s="17" t="s">
        <v>3875</v>
      </c>
      <c r="I407" s="17" t="s">
        <v>28</v>
      </c>
      <c r="J407" s="37" t="s">
        <v>4842</v>
      </c>
      <c r="K407" s="18">
        <v>46137</v>
      </c>
      <c r="L407" s="18" t="s">
        <v>24</v>
      </c>
      <c r="M407" s="7" t="s">
        <v>25</v>
      </c>
      <c r="N407" s="17"/>
    </row>
    <row r="408" spans="1:14" x14ac:dyDescent="0.25">
      <c r="A408" s="14">
        <v>407</v>
      </c>
      <c r="B408" s="15" t="s">
        <v>2410</v>
      </c>
      <c r="C408" s="14">
        <v>3</v>
      </c>
      <c r="D408" s="14">
        <v>12.8</v>
      </c>
      <c r="E408" s="14">
        <v>11.2</v>
      </c>
      <c r="F408" s="15" t="s">
        <v>126</v>
      </c>
      <c r="G408" s="14"/>
      <c r="H408" s="14"/>
      <c r="I408" s="14"/>
      <c r="J408" s="28"/>
      <c r="K408" s="14"/>
      <c r="L408" s="14"/>
      <c r="M408" s="14" t="s">
        <v>286</v>
      </c>
      <c r="N408" s="14"/>
    </row>
    <row r="409" spans="1:14" ht="63.75" x14ac:dyDescent="0.25">
      <c r="A409" s="17">
        <v>408</v>
      </c>
      <c r="B409" s="16" t="s">
        <v>2412</v>
      </c>
      <c r="C409" s="17">
        <v>1</v>
      </c>
      <c r="D409" s="17">
        <v>12.6</v>
      </c>
      <c r="E409" s="17">
        <v>8.6</v>
      </c>
      <c r="F409" s="16" t="s">
        <v>151</v>
      </c>
      <c r="G409" s="17" t="s">
        <v>2413</v>
      </c>
      <c r="H409" s="17" t="s">
        <v>3702</v>
      </c>
      <c r="I409" s="17" t="s">
        <v>34</v>
      </c>
      <c r="J409" s="37" t="s">
        <v>4790</v>
      </c>
      <c r="K409" s="18">
        <v>46155</v>
      </c>
      <c r="L409" s="18" t="s">
        <v>24</v>
      </c>
      <c r="M409" s="7" t="s">
        <v>25</v>
      </c>
      <c r="N409" s="17"/>
    </row>
    <row r="410" spans="1:14" ht="25.5" x14ac:dyDescent="0.25">
      <c r="A410" s="17">
        <v>409</v>
      </c>
      <c r="B410" s="16" t="s">
        <v>2412</v>
      </c>
      <c r="C410" s="17">
        <v>2</v>
      </c>
      <c r="D410" s="17">
        <v>13.6</v>
      </c>
      <c r="E410" s="17">
        <v>8.5</v>
      </c>
      <c r="F410" s="16" t="s">
        <v>1030</v>
      </c>
      <c r="G410" s="17" t="s">
        <v>2414</v>
      </c>
      <c r="H410" s="17" t="s">
        <v>3876</v>
      </c>
      <c r="I410" s="17" t="s">
        <v>22</v>
      </c>
      <c r="J410" s="37" t="s">
        <v>4545</v>
      </c>
      <c r="K410" s="18">
        <v>46144</v>
      </c>
      <c r="L410" s="18" t="s">
        <v>24</v>
      </c>
      <c r="M410" s="7" t="s">
        <v>25</v>
      </c>
      <c r="N410" s="17"/>
    </row>
    <row r="411" spans="1:14" ht="25.5" x14ac:dyDescent="0.25">
      <c r="A411" s="17">
        <v>410</v>
      </c>
      <c r="B411" s="16" t="s">
        <v>2412</v>
      </c>
      <c r="C411" s="17">
        <v>3</v>
      </c>
      <c r="D411" s="17">
        <v>10.199999999999999</v>
      </c>
      <c r="E411" s="17"/>
      <c r="F411" s="16" t="s">
        <v>151</v>
      </c>
      <c r="G411" s="17" t="s">
        <v>2415</v>
      </c>
      <c r="H411" s="17" t="s">
        <v>3703</v>
      </c>
      <c r="I411" s="17" t="s">
        <v>28</v>
      </c>
      <c r="J411" s="37" t="s">
        <v>4791</v>
      </c>
      <c r="K411" s="18">
        <v>46156</v>
      </c>
      <c r="L411" s="18" t="s">
        <v>24</v>
      </c>
      <c r="M411" s="7" t="s">
        <v>25</v>
      </c>
      <c r="N411" s="17"/>
    </row>
    <row r="412" spans="1:14" ht="51" x14ac:dyDescent="0.25">
      <c r="A412" s="17">
        <v>411</v>
      </c>
      <c r="B412" s="16" t="s">
        <v>2416</v>
      </c>
      <c r="C412" s="17">
        <v>1</v>
      </c>
      <c r="D412" s="17">
        <v>12.7</v>
      </c>
      <c r="E412" s="17">
        <v>11</v>
      </c>
      <c r="F412" s="16" t="s">
        <v>19</v>
      </c>
      <c r="G412" s="17" t="s">
        <v>2417</v>
      </c>
      <c r="H412" s="17" t="s">
        <v>3704</v>
      </c>
      <c r="I412" s="17" t="s">
        <v>34</v>
      </c>
      <c r="J412" s="37" t="s">
        <v>4364</v>
      </c>
      <c r="K412" s="18">
        <v>46134</v>
      </c>
      <c r="L412" s="18" t="s">
        <v>24</v>
      </c>
      <c r="M412" s="7" t="s">
        <v>25</v>
      </c>
      <c r="N412" s="17"/>
    </row>
    <row r="413" spans="1:14" ht="25.5" x14ac:dyDescent="0.25">
      <c r="A413" s="17">
        <v>412</v>
      </c>
      <c r="B413" s="16" t="s">
        <v>2416</v>
      </c>
      <c r="C413" s="17">
        <v>2</v>
      </c>
      <c r="D413" s="17">
        <v>17.100000000000001</v>
      </c>
      <c r="E413" s="17"/>
      <c r="F413" s="16" t="s">
        <v>19</v>
      </c>
      <c r="G413" s="17" t="s">
        <v>2418</v>
      </c>
      <c r="H413" s="17" t="s">
        <v>3877</v>
      </c>
      <c r="I413" s="17" t="s">
        <v>28</v>
      </c>
      <c r="J413" s="37" t="s">
        <v>4365</v>
      </c>
      <c r="K413" s="18">
        <v>46134</v>
      </c>
      <c r="L413" s="18" t="s">
        <v>24</v>
      </c>
      <c r="M413" s="7" t="s">
        <v>25</v>
      </c>
      <c r="N413" s="17"/>
    </row>
    <row r="414" spans="1:14" ht="63.75" x14ac:dyDescent="0.25">
      <c r="A414" s="17">
        <v>413</v>
      </c>
      <c r="B414" s="16" t="s">
        <v>2416</v>
      </c>
      <c r="C414" s="17">
        <v>3</v>
      </c>
      <c r="D414" s="17">
        <v>16.5</v>
      </c>
      <c r="E414" s="17">
        <v>11</v>
      </c>
      <c r="F414" s="16" t="s">
        <v>338</v>
      </c>
      <c r="G414" s="17" t="s">
        <v>2419</v>
      </c>
      <c r="H414" s="17" t="s">
        <v>3705</v>
      </c>
      <c r="I414" s="17" t="s">
        <v>34</v>
      </c>
      <c r="J414" s="37" t="s">
        <v>4416</v>
      </c>
      <c r="K414" s="18">
        <v>46134</v>
      </c>
      <c r="L414" s="18" t="s">
        <v>24</v>
      </c>
      <c r="M414" s="7" t="s">
        <v>25</v>
      </c>
      <c r="N414" s="17"/>
    </row>
    <row r="415" spans="1:14" ht="63.75" x14ac:dyDescent="0.25">
      <c r="A415" s="17">
        <v>414</v>
      </c>
      <c r="B415" s="16" t="s">
        <v>2420</v>
      </c>
      <c r="C415" s="17">
        <v>1</v>
      </c>
      <c r="D415" s="17">
        <v>16.899999999999999</v>
      </c>
      <c r="E415" s="17">
        <v>11</v>
      </c>
      <c r="F415" s="16" t="s">
        <v>106</v>
      </c>
      <c r="G415" s="17" t="s">
        <v>2421</v>
      </c>
      <c r="H415" s="17" t="s">
        <v>4067</v>
      </c>
      <c r="I415" s="17" t="s">
        <v>293</v>
      </c>
      <c r="J415" s="37" t="s">
        <v>4567</v>
      </c>
      <c r="K415" s="18">
        <v>46133</v>
      </c>
      <c r="L415" s="18" t="s">
        <v>24</v>
      </c>
      <c r="M415" s="7" t="s">
        <v>25</v>
      </c>
      <c r="N415" s="17"/>
    </row>
    <row r="416" spans="1:14" ht="63.75" x14ac:dyDescent="0.25">
      <c r="A416" s="17">
        <v>415</v>
      </c>
      <c r="B416" s="16" t="s">
        <v>2420</v>
      </c>
      <c r="C416" s="17">
        <v>2</v>
      </c>
      <c r="D416" s="17">
        <v>16</v>
      </c>
      <c r="E416" s="17"/>
      <c r="F416" s="16" t="s">
        <v>106</v>
      </c>
      <c r="G416" s="17" t="s">
        <v>2421</v>
      </c>
      <c r="H416" s="17" t="s">
        <v>4067</v>
      </c>
      <c r="I416" s="17" t="s">
        <v>293</v>
      </c>
      <c r="J416" s="37" t="s">
        <v>4567</v>
      </c>
      <c r="K416" s="18">
        <v>46133</v>
      </c>
      <c r="L416" s="18" t="s">
        <v>24</v>
      </c>
      <c r="M416" s="7" t="s">
        <v>25</v>
      </c>
      <c r="N416" s="17"/>
    </row>
    <row r="417" spans="1:14" ht="63.75" x14ac:dyDescent="0.25">
      <c r="A417" s="17">
        <v>416</v>
      </c>
      <c r="B417" s="16" t="s">
        <v>2420</v>
      </c>
      <c r="C417" s="17">
        <v>3</v>
      </c>
      <c r="D417" s="17">
        <v>12.9</v>
      </c>
      <c r="E417" s="17">
        <v>11.2</v>
      </c>
      <c r="F417" s="16" t="s">
        <v>19</v>
      </c>
      <c r="G417" s="17" t="s">
        <v>2422</v>
      </c>
      <c r="H417" s="17" t="s">
        <v>3706</v>
      </c>
      <c r="I417" s="17" t="s">
        <v>34</v>
      </c>
      <c r="J417" s="37" t="s">
        <v>4366</v>
      </c>
      <c r="K417" s="18">
        <v>46137</v>
      </c>
      <c r="L417" s="18" t="s">
        <v>24</v>
      </c>
      <c r="M417" s="7" t="s">
        <v>25</v>
      </c>
      <c r="N417" s="17"/>
    </row>
    <row r="418" spans="1:14" ht="25.5" x14ac:dyDescent="0.25">
      <c r="A418" s="17">
        <v>417</v>
      </c>
      <c r="B418" s="16" t="s">
        <v>2423</v>
      </c>
      <c r="C418" s="17">
        <v>1</v>
      </c>
      <c r="D418" s="17">
        <v>16.100000000000001</v>
      </c>
      <c r="E418" s="17">
        <v>11.6</v>
      </c>
      <c r="F418" s="16" t="s">
        <v>19</v>
      </c>
      <c r="G418" s="17" t="s">
        <v>2424</v>
      </c>
      <c r="H418" s="17" t="s">
        <v>3707</v>
      </c>
      <c r="I418" s="17" t="s">
        <v>28</v>
      </c>
      <c r="J418" s="37" t="s">
        <v>4367</v>
      </c>
      <c r="K418" s="18">
        <v>46136</v>
      </c>
      <c r="L418" s="18" t="s">
        <v>24</v>
      </c>
      <c r="M418" s="7" t="s">
        <v>25</v>
      </c>
      <c r="N418" s="17"/>
    </row>
    <row r="419" spans="1:14" ht="25.5" x14ac:dyDescent="0.25">
      <c r="A419" s="17">
        <v>418</v>
      </c>
      <c r="B419" s="16" t="s">
        <v>2423</v>
      </c>
      <c r="C419" s="17">
        <v>2</v>
      </c>
      <c r="D419" s="17">
        <v>16.3</v>
      </c>
      <c r="E419" s="17"/>
      <c r="F419" s="16" t="s">
        <v>19</v>
      </c>
      <c r="G419" s="17" t="s">
        <v>2425</v>
      </c>
      <c r="H419" s="17" t="s">
        <v>3708</v>
      </c>
      <c r="I419" s="17" t="s">
        <v>51</v>
      </c>
      <c r="J419" s="37" t="s">
        <v>4368</v>
      </c>
      <c r="K419" s="18">
        <v>46134</v>
      </c>
      <c r="L419" s="18" t="s">
        <v>82</v>
      </c>
      <c r="M419" s="7" t="s">
        <v>25</v>
      </c>
      <c r="N419" s="17"/>
    </row>
    <row r="420" spans="1:14" ht="25.5" x14ac:dyDescent="0.25">
      <c r="A420" s="34">
        <v>419</v>
      </c>
      <c r="B420" s="35" t="s">
        <v>2423</v>
      </c>
      <c r="C420" s="34">
        <v>3</v>
      </c>
      <c r="D420" s="34">
        <v>12.4</v>
      </c>
      <c r="E420" s="34">
        <v>10.7</v>
      </c>
      <c r="F420" s="35" t="s">
        <v>19</v>
      </c>
      <c r="G420" s="34" t="s">
        <v>2426</v>
      </c>
      <c r="H420" s="17" t="s">
        <v>4068</v>
      </c>
      <c r="I420" s="17" t="s">
        <v>2032</v>
      </c>
      <c r="J420" s="37" t="s">
        <v>4369</v>
      </c>
      <c r="K420" s="18">
        <v>46134</v>
      </c>
      <c r="L420" s="18" t="s">
        <v>24</v>
      </c>
      <c r="M420" s="7" t="s">
        <v>25</v>
      </c>
      <c r="N420" s="17"/>
    </row>
    <row r="421" spans="1:14" ht="51" x14ac:dyDescent="0.25">
      <c r="A421" s="17">
        <v>420</v>
      </c>
      <c r="B421" s="16" t="s">
        <v>2427</v>
      </c>
      <c r="C421" s="17">
        <v>1</v>
      </c>
      <c r="D421" s="17">
        <v>16.7</v>
      </c>
      <c r="E421" s="17">
        <v>11</v>
      </c>
      <c r="F421" s="16" t="s">
        <v>48</v>
      </c>
      <c r="G421" s="17" t="s">
        <v>2428</v>
      </c>
      <c r="H421" s="17" t="s">
        <v>3709</v>
      </c>
      <c r="I421" s="17" t="s">
        <v>34</v>
      </c>
      <c r="J421" s="37" t="s">
        <v>4843</v>
      </c>
      <c r="K421" s="18">
        <v>46156</v>
      </c>
      <c r="L421" s="18" t="s">
        <v>24</v>
      </c>
      <c r="M421" s="7" t="s">
        <v>25</v>
      </c>
      <c r="N421" s="17"/>
    </row>
    <row r="422" spans="1:14" ht="76.5" x14ac:dyDescent="0.25">
      <c r="A422" s="17">
        <v>421</v>
      </c>
      <c r="B422" s="16" t="s">
        <v>2427</v>
      </c>
      <c r="C422" s="17">
        <v>2</v>
      </c>
      <c r="D422" s="17">
        <v>16.8</v>
      </c>
      <c r="E422" s="17"/>
      <c r="F422" s="16" t="s">
        <v>62</v>
      </c>
      <c r="G422" s="17" t="s">
        <v>2429</v>
      </c>
      <c r="H422" s="17" t="s">
        <v>4069</v>
      </c>
      <c r="I422" s="17" t="s">
        <v>34</v>
      </c>
      <c r="J422" s="37" t="s">
        <v>4522</v>
      </c>
      <c r="K422" s="18">
        <v>46156</v>
      </c>
      <c r="L422" s="18" t="s">
        <v>24</v>
      </c>
      <c r="M422" s="7" t="s">
        <v>25</v>
      </c>
      <c r="N422" s="17"/>
    </row>
    <row r="423" spans="1:14" ht="76.5" x14ac:dyDescent="0.25">
      <c r="A423" s="17">
        <v>422</v>
      </c>
      <c r="B423" s="16" t="s">
        <v>2427</v>
      </c>
      <c r="C423" s="17">
        <v>3</v>
      </c>
      <c r="D423" s="17">
        <v>12.2</v>
      </c>
      <c r="E423" s="17">
        <v>11</v>
      </c>
      <c r="F423" s="16" t="s">
        <v>62</v>
      </c>
      <c r="G423" s="17" t="s">
        <v>2429</v>
      </c>
      <c r="H423" s="17" t="s">
        <v>4069</v>
      </c>
      <c r="I423" s="17" t="s">
        <v>34</v>
      </c>
      <c r="J423" s="37" t="s">
        <v>4523</v>
      </c>
      <c r="K423" s="18">
        <v>46137</v>
      </c>
      <c r="L423" s="18" t="s">
        <v>24</v>
      </c>
      <c r="M423" s="7" t="s">
        <v>25</v>
      </c>
      <c r="N423" s="17"/>
    </row>
    <row r="424" spans="1:14" ht="51" x14ac:dyDescent="0.25">
      <c r="A424" s="17">
        <v>423</v>
      </c>
      <c r="B424" s="16" t="s">
        <v>2430</v>
      </c>
      <c r="C424" s="17">
        <v>1</v>
      </c>
      <c r="D424" s="17">
        <v>16.899999999999999</v>
      </c>
      <c r="E424" s="17">
        <v>11</v>
      </c>
      <c r="F424" s="16" t="s">
        <v>126</v>
      </c>
      <c r="G424" s="17" t="s">
        <v>4883</v>
      </c>
      <c r="H424" s="17" t="s">
        <v>4070</v>
      </c>
      <c r="I424" s="17" t="s">
        <v>34</v>
      </c>
      <c r="J424" s="37" t="s">
        <v>4268</v>
      </c>
      <c r="K424" s="18">
        <v>46136</v>
      </c>
      <c r="L424" s="18" t="s">
        <v>24</v>
      </c>
      <c r="M424" s="7" t="s">
        <v>25</v>
      </c>
      <c r="N424" s="17"/>
    </row>
    <row r="425" spans="1:14" ht="25.5" x14ac:dyDescent="0.25">
      <c r="A425" s="17">
        <v>424</v>
      </c>
      <c r="B425" s="16" t="s">
        <v>2430</v>
      </c>
      <c r="C425" s="17">
        <v>2</v>
      </c>
      <c r="D425" s="17">
        <v>17.399999999999999</v>
      </c>
      <c r="E425" s="17"/>
      <c r="F425" s="16" t="s">
        <v>162</v>
      </c>
      <c r="G425" s="17" t="s">
        <v>2431</v>
      </c>
      <c r="H425" s="17" t="s">
        <v>3710</v>
      </c>
      <c r="I425" s="17" t="s">
        <v>51</v>
      </c>
      <c r="J425" s="37" t="s">
        <v>4478</v>
      </c>
      <c r="K425" s="18">
        <v>46156</v>
      </c>
      <c r="L425" s="18" t="s">
        <v>24</v>
      </c>
      <c r="M425" s="7" t="s">
        <v>25</v>
      </c>
      <c r="N425" s="17"/>
    </row>
    <row r="426" spans="1:14" ht="25.5" x14ac:dyDescent="0.25">
      <c r="A426" s="17">
        <v>425</v>
      </c>
      <c r="B426" s="16" t="s">
        <v>2430</v>
      </c>
      <c r="C426" s="17">
        <v>3</v>
      </c>
      <c r="D426" s="17">
        <v>12.1</v>
      </c>
      <c r="E426" s="17">
        <v>10.9</v>
      </c>
      <c r="F426" s="16" t="s">
        <v>162</v>
      </c>
      <c r="G426" s="17" t="s">
        <v>2431</v>
      </c>
      <c r="H426" s="17" t="s">
        <v>3710</v>
      </c>
      <c r="I426" s="17" t="s">
        <v>51</v>
      </c>
      <c r="J426" s="37" t="s">
        <v>4479</v>
      </c>
      <c r="K426" s="18">
        <v>46155</v>
      </c>
      <c r="L426" s="18" t="s">
        <v>82</v>
      </c>
      <c r="M426" s="7" t="s">
        <v>25</v>
      </c>
      <c r="N426" s="17"/>
    </row>
    <row r="427" spans="1:14" ht="25.5" x14ac:dyDescent="0.25">
      <c r="A427" s="17">
        <v>426</v>
      </c>
      <c r="B427" s="16" t="s">
        <v>2432</v>
      </c>
      <c r="C427" s="17">
        <v>1</v>
      </c>
      <c r="D427" s="17">
        <v>16.5</v>
      </c>
      <c r="E427" s="17">
        <v>11</v>
      </c>
      <c r="F427" s="16" t="s">
        <v>126</v>
      </c>
      <c r="G427" s="17" t="s">
        <v>2433</v>
      </c>
      <c r="H427" s="17" t="s">
        <v>4071</v>
      </c>
      <c r="I427" s="17" t="s">
        <v>28</v>
      </c>
      <c r="J427" s="37" t="s">
        <v>4269</v>
      </c>
      <c r="K427" s="18">
        <v>46149</v>
      </c>
      <c r="L427" s="18" t="s">
        <v>24</v>
      </c>
      <c r="M427" s="7" t="s">
        <v>25</v>
      </c>
      <c r="N427" s="17"/>
    </row>
    <row r="428" spans="1:14" ht="51" x14ac:dyDescent="0.25">
      <c r="A428" s="17">
        <v>427</v>
      </c>
      <c r="B428" s="16" t="s">
        <v>2432</v>
      </c>
      <c r="C428" s="17">
        <v>2</v>
      </c>
      <c r="D428" s="17">
        <v>16.7</v>
      </c>
      <c r="E428" s="17"/>
      <c r="F428" s="16" t="s">
        <v>126</v>
      </c>
      <c r="G428" s="17" t="s">
        <v>4884</v>
      </c>
      <c r="H428" s="17" t="s">
        <v>4072</v>
      </c>
      <c r="I428" s="17" t="s">
        <v>34</v>
      </c>
      <c r="J428" s="37" t="s">
        <v>4270</v>
      </c>
      <c r="K428" s="18">
        <v>46156</v>
      </c>
      <c r="L428" s="18" t="s">
        <v>24</v>
      </c>
      <c r="M428" s="7" t="s">
        <v>25</v>
      </c>
      <c r="N428" s="17"/>
    </row>
    <row r="429" spans="1:14" ht="51" x14ac:dyDescent="0.25">
      <c r="A429" s="17">
        <v>428</v>
      </c>
      <c r="B429" s="16" t="s">
        <v>2432</v>
      </c>
      <c r="C429" s="17">
        <v>3</v>
      </c>
      <c r="D429" s="17">
        <v>12.2</v>
      </c>
      <c r="E429" s="17">
        <v>10.6</v>
      </c>
      <c r="F429" s="16" t="s">
        <v>126</v>
      </c>
      <c r="G429" s="17" t="s">
        <v>4884</v>
      </c>
      <c r="H429" s="17" t="s">
        <v>4072</v>
      </c>
      <c r="I429" s="17" t="s">
        <v>34</v>
      </c>
      <c r="J429" s="37" t="s">
        <v>4271</v>
      </c>
      <c r="K429" s="18">
        <v>46137</v>
      </c>
      <c r="L429" s="18" t="s">
        <v>24</v>
      </c>
      <c r="M429" s="7" t="s">
        <v>25</v>
      </c>
      <c r="N429" s="17"/>
    </row>
    <row r="430" spans="1:14" ht="51" x14ac:dyDescent="0.25">
      <c r="A430" s="17">
        <v>429</v>
      </c>
      <c r="B430" s="16" t="s">
        <v>2434</v>
      </c>
      <c r="C430" s="17">
        <v>1</v>
      </c>
      <c r="D430" s="17">
        <v>16</v>
      </c>
      <c r="E430" s="17">
        <v>11</v>
      </c>
      <c r="F430" s="16" t="s">
        <v>126</v>
      </c>
      <c r="G430" s="17" t="s">
        <v>4885</v>
      </c>
      <c r="H430" s="17" t="s">
        <v>4073</v>
      </c>
      <c r="I430" s="17" t="s">
        <v>34</v>
      </c>
      <c r="J430" s="37" t="s">
        <v>4273</v>
      </c>
      <c r="K430" s="18">
        <v>46154</v>
      </c>
      <c r="L430" s="18" t="s">
        <v>24</v>
      </c>
      <c r="M430" s="7" t="s">
        <v>25</v>
      </c>
      <c r="N430" s="17"/>
    </row>
    <row r="431" spans="1:14" ht="51" x14ac:dyDescent="0.25">
      <c r="A431" s="17">
        <v>430</v>
      </c>
      <c r="B431" s="16" t="s">
        <v>2434</v>
      </c>
      <c r="C431" s="17">
        <v>2</v>
      </c>
      <c r="D431" s="17">
        <v>16</v>
      </c>
      <c r="E431" s="17"/>
      <c r="F431" s="16" t="s">
        <v>126</v>
      </c>
      <c r="G431" s="17" t="s">
        <v>4885</v>
      </c>
      <c r="H431" s="17" t="s">
        <v>4073</v>
      </c>
      <c r="I431" s="17" t="s">
        <v>34</v>
      </c>
      <c r="J431" s="37" t="s">
        <v>4273</v>
      </c>
      <c r="K431" s="18">
        <v>46154</v>
      </c>
      <c r="L431" s="18" t="s">
        <v>24</v>
      </c>
      <c r="M431" s="7" t="s">
        <v>25</v>
      </c>
      <c r="N431" s="17"/>
    </row>
    <row r="432" spans="1:14" x14ac:dyDescent="0.25">
      <c r="A432" s="17">
        <v>431</v>
      </c>
      <c r="B432" s="16" t="s">
        <v>2434</v>
      </c>
      <c r="C432" s="17">
        <v>3</v>
      </c>
      <c r="D432" s="17">
        <v>12.7</v>
      </c>
      <c r="E432" s="17">
        <v>10.7</v>
      </c>
      <c r="F432" s="16" t="s">
        <v>48</v>
      </c>
      <c r="G432" s="17" t="s">
        <v>2435</v>
      </c>
      <c r="H432" s="17" t="s">
        <v>4074</v>
      </c>
      <c r="I432" s="17" t="s">
        <v>51</v>
      </c>
      <c r="J432" s="37" t="s">
        <v>4844</v>
      </c>
      <c r="K432" s="18">
        <v>46154</v>
      </c>
      <c r="L432" s="18" t="s">
        <v>24</v>
      </c>
      <c r="M432" s="7" t="s">
        <v>25</v>
      </c>
      <c r="N432" s="17"/>
    </row>
    <row r="433" spans="1:14" ht="51" x14ac:dyDescent="0.25">
      <c r="A433" s="17">
        <v>432</v>
      </c>
      <c r="B433" s="16" t="s">
        <v>2436</v>
      </c>
      <c r="C433" s="17">
        <v>1</v>
      </c>
      <c r="D433" s="17">
        <v>16.5</v>
      </c>
      <c r="E433" s="17">
        <v>11.1</v>
      </c>
      <c r="F433" s="35" t="s">
        <v>126</v>
      </c>
      <c r="G433" s="17" t="s">
        <v>4886</v>
      </c>
      <c r="H433" s="17" t="s">
        <v>4075</v>
      </c>
      <c r="I433" s="17" t="s">
        <v>34</v>
      </c>
      <c r="J433" s="37" t="s">
        <v>4274</v>
      </c>
      <c r="K433" s="18">
        <v>46156</v>
      </c>
      <c r="L433" s="18" t="s">
        <v>24</v>
      </c>
      <c r="M433" s="7" t="s">
        <v>25</v>
      </c>
      <c r="N433" s="17"/>
    </row>
    <row r="434" spans="1:14" ht="51" x14ac:dyDescent="0.25">
      <c r="A434" s="17">
        <v>433</v>
      </c>
      <c r="B434" s="16" t="s">
        <v>2436</v>
      </c>
      <c r="C434" s="17">
        <v>2</v>
      </c>
      <c r="D434" s="17">
        <v>16</v>
      </c>
      <c r="E434" s="17"/>
      <c r="F434" s="16" t="s">
        <v>126</v>
      </c>
      <c r="G434" s="17" t="s">
        <v>4886</v>
      </c>
      <c r="H434" s="17" t="s">
        <v>4075</v>
      </c>
      <c r="I434" s="17" t="s">
        <v>34</v>
      </c>
      <c r="J434" s="37" t="s">
        <v>4275</v>
      </c>
      <c r="K434" s="18">
        <v>46156</v>
      </c>
      <c r="L434" s="18" t="s">
        <v>24</v>
      </c>
      <c r="M434" s="7" t="s">
        <v>25</v>
      </c>
      <c r="N434" s="17"/>
    </row>
    <row r="435" spans="1:14" ht="25.5" x14ac:dyDescent="0.25">
      <c r="A435" s="17">
        <v>434</v>
      </c>
      <c r="B435" s="16" t="s">
        <v>2436</v>
      </c>
      <c r="C435" s="17">
        <v>3</v>
      </c>
      <c r="D435" s="17">
        <v>13.5</v>
      </c>
      <c r="E435" s="17">
        <v>11.1</v>
      </c>
      <c r="F435" s="16" t="s">
        <v>126</v>
      </c>
      <c r="G435" s="17" t="s">
        <v>2437</v>
      </c>
      <c r="H435" s="17" t="s">
        <v>4075</v>
      </c>
      <c r="I435" s="17" t="s">
        <v>34</v>
      </c>
      <c r="J435" s="37" t="s">
        <v>4272</v>
      </c>
      <c r="K435" s="18">
        <v>46148</v>
      </c>
      <c r="L435" s="18" t="s">
        <v>24</v>
      </c>
      <c r="M435" s="7" t="s">
        <v>25</v>
      </c>
      <c r="N435" s="17"/>
    </row>
    <row r="436" spans="1:14" ht="25.5" x14ac:dyDescent="0.25">
      <c r="A436" s="34">
        <v>435</v>
      </c>
      <c r="B436" s="35" t="s">
        <v>2438</v>
      </c>
      <c r="C436" s="34">
        <v>1</v>
      </c>
      <c r="D436" s="34">
        <v>16.3</v>
      </c>
      <c r="E436" s="34">
        <v>10.7</v>
      </c>
      <c r="F436" s="35" t="s">
        <v>162</v>
      </c>
      <c r="G436" s="34" t="s">
        <v>2439</v>
      </c>
      <c r="H436" s="17" t="s">
        <v>4076</v>
      </c>
      <c r="I436" s="17" t="s">
        <v>2326</v>
      </c>
      <c r="J436" s="37" t="s">
        <v>4480</v>
      </c>
      <c r="K436" s="18">
        <v>46154</v>
      </c>
      <c r="L436" s="18" t="s">
        <v>24</v>
      </c>
      <c r="M436" s="7" t="s">
        <v>25</v>
      </c>
      <c r="N436" s="17"/>
    </row>
    <row r="437" spans="1:14" ht="25.5" x14ac:dyDescent="0.25">
      <c r="A437" s="17">
        <v>436</v>
      </c>
      <c r="B437" s="16" t="s">
        <v>2438</v>
      </c>
      <c r="C437" s="17">
        <v>2</v>
      </c>
      <c r="D437" s="17">
        <v>16</v>
      </c>
      <c r="E437" s="17"/>
      <c r="F437" s="16" t="s">
        <v>162</v>
      </c>
      <c r="G437" s="17" t="s">
        <v>2440</v>
      </c>
      <c r="H437" s="17" t="s">
        <v>4077</v>
      </c>
      <c r="I437" s="17" t="s">
        <v>662</v>
      </c>
      <c r="J437" s="37" t="s">
        <v>4481</v>
      </c>
      <c r="K437" s="18">
        <v>46149</v>
      </c>
      <c r="L437" s="18" t="s">
        <v>24</v>
      </c>
      <c r="M437" s="7" t="s">
        <v>25</v>
      </c>
      <c r="N437" s="17"/>
    </row>
    <row r="438" spans="1:14" ht="25.5" x14ac:dyDescent="0.25">
      <c r="A438" s="17">
        <v>437</v>
      </c>
      <c r="B438" s="16" t="s">
        <v>2438</v>
      </c>
      <c r="C438" s="17">
        <v>3</v>
      </c>
      <c r="D438" s="17">
        <v>12.8</v>
      </c>
      <c r="E438" s="17">
        <v>10.5</v>
      </c>
      <c r="F438" s="16" t="s">
        <v>162</v>
      </c>
      <c r="G438" s="17" t="s">
        <v>2440</v>
      </c>
      <c r="H438" s="17" t="s">
        <v>4077</v>
      </c>
      <c r="I438" s="17" t="s">
        <v>662</v>
      </c>
      <c r="J438" s="37" t="s">
        <v>4481</v>
      </c>
      <c r="K438" s="18">
        <v>46149</v>
      </c>
      <c r="L438" s="18" t="s">
        <v>24</v>
      </c>
      <c r="M438" s="7" t="s">
        <v>25</v>
      </c>
      <c r="N438" s="17"/>
    </row>
    <row r="439" spans="1:14" ht="51" x14ac:dyDescent="0.25">
      <c r="A439" s="17">
        <v>438</v>
      </c>
      <c r="B439" s="16" t="s">
        <v>2441</v>
      </c>
      <c r="C439" s="17">
        <v>1</v>
      </c>
      <c r="D439" s="17">
        <v>13.1</v>
      </c>
      <c r="E439" s="17">
        <v>10.4</v>
      </c>
      <c r="F439" s="16" t="s">
        <v>106</v>
      </c>
      <c r="G439" s="17" t="s">
        <v>2442</v>
      </c>
      <c r="H439" s="17" t="s">
        <v>4078</v>
      </c>
      <c r="I439" s="17" t="s">
        <v>34</v>
      </c>
      <c r="J439" s="37" t="s">
        <v>4568</v>
      </c>
      <c r="K439" s="18">
        <v>46142</v>
      </c>
      <c r="L439" s="18" t="s">
        <v>24</v>
      </c>
      <c r="M439" s="7" t="s">
        <v>25</v>
      </c>
      <c r="N439" s="17"/>
    </row>
    <row r="440" spans="1:14" ht="51" x14ac:dyDescent="0.25">
      <c r="A440" s="17">
        <v>439</v>
      </c>
      <c r="B440" s="16" t="s">
        <v>2441</v>
      </c>
      <c r="C440" s="17">
        <v>2</v>
      </c>
      <c r="D440" s="17">
        <v>16.899999999999999</v>
      </c>
      <c r="E440" s="17"/>
      <c r="F440" s="16" t="s">
        <v>106</v>
      </c>
      <c r="G440" s="17" t="s">
        <v>2442</v>
      </c>
      <c r="H440" s="17" t="s">
        <v>4078</v>
      </c>
      <c r="I440" s="17" t="s">
        <v>34</v>
      </c>
      <c r="J440" s="37" t="s">
        <v>4568</v>
      </c>
      <c r="K440" s="18">
        <v>46142</v>
      </c>
      <c r="L440" s="18" t="s">
        <v>24</v>
      </c>
      <c r="M440" s="7" t="s">
        <v>25</v>
      </c>
      <c r="N440" s="17"/>
    </row>
    <row r="441" spans="1:14" ht="51" x14ac:dyDescent="0.25">
      <c r="A441" s="17">
        <v>440</v>
      </c>
      <c r="B441" s="16" t="s">
        <v>2441</v>
      </c>
      <c r="C441" s="17">
        <v>3</v>
      </c>
      <c r="D441" s="17">
        <v>16.8</v>
      </c>
      <c r="E441" s="17">
        <v>10.4</v>
      </c>
      <c r="F441" s="16" t="s">
        <v>106</v>
      </c>
      <c r="G441" s="17" t="s">
        <v>2442</v>
      </c>
      <c r="H441" s="17" t="s">
        <v>4078</v>
      </c>
      <c r="I441" s="17" t="s">
        <v>34</v>
      </c>
      <c r="J441" s="37" t="s">
        <v>4568</v>
      </c>
      <c r="K441" s="18">
        <v>46142</v>
      </c>
      <c r="L441" s="18" t="s">
        <v>24</v>
      </c>
      <c r="M441" s="7" t="s">
        <v>25</v>
      </c>
      <c r="N441" s="17"/>
    </row>
    <row r="442" spans="1:14" ht="51" x14ac:dyDescent="0.25">
      <c r="A442" s="17">
        <v>441</v>
      </c>
      <c r="B442" s="16" t="s">
        <v>2443</v>
      </c>
      <c r="C442" s="17">
        <v>1</v>
      </c>
      <c r="D442" s="17">
        <v>16.399999999999999</v>
      </c>
      <c r="E442" s="17">
        <v>10.7</v>
      </c>
      <c r="F442" s="16" t="s">
        <v>162</v>
      </c>
      <c r="G442" s="17" t="s">
        <v>2444</v>
      </c>
      <c r="H442" s="17" t="s">
        <v>3878</v>
      </c>
      <c r="I442" s="17" t="s">
        <v>34</v>
      </c>
      <c r="J442" s="37" t="s">
        <v>4482</v>
      </c>
      <c r="K442" s="18">
        <v>46150</v>
      </c>
      <c r="L442" s="18" t="s">
        <v>24</v>
      </c>
      <c r="M442" s="7" t="s">
        <v>25</v>
      </c>
      <c r="N442" s="17"/>
    </row>
    <row r="443" spans="1:14" ht="51" x14ac:dyDescent="0.25">
      <c r="A443" s="17">
        <v>442</v>
      </c>
      <c r="B443" s="16" t="s">
        <v>2443</v>
      </c>
      <c r="C443" s="17">
        <v>2</v>
      </c>
      <c r="D443" s="17">
        <v>16.8</v>
      </c>
      <c r="E443" s="17"/>
      <c r="F443" s="16" t="s">
        <v>162</v>
      </c>
      <c r="G443" s="17" t="s">
        <v>2444</v>
      </c>
      <c r="H443" s="17" t="s">
        <v>3878</v>
      </c>
      <c r="I443" s="17" t="s">
        <v>34</v>
      </c>
      <c r="J443" s="37" t="s">
        <v>4482</v>
      </c>
      <c r="K443" s="18">
        <v>46150</v>
      </c>
      <c r="L443" s="18" t="s">
        <v>24</v>
      </c>
      <c r="M443" s="7" t="s">
        <v>25</v>
      </c>
      <c r="N443" s="17"/>
    </row>
    <row r="444" spans="1:14" ht="51" x14ac:dyDescent="0.25">
      <c r="A444" s="17">
        <v>443</v>
      </c>
      <c r="B444" s="16" t="s">
        <v>2443</v>
      </c>
      <c r="C444" s="17">
        <v>3</v>
      </c>
      <c r="D444" s="17">
        <v>13</v>
      </c>
      <c r="E444" s="17">
        <v>10.7</v>
      </c>
      <c r="F444" s="16" t="s">
        <v>162</v>
      </c>
      <c r="G444" s="17" t="s">
        <v>2444</v>
      </c>
      <c r="H444" s="17" t="s">
        <v>3878</v>
      </c>
      <c r="I444" s="17" t="s">
        <v>34</v>
      </c>
      <c r="J444" s="37" t="s">
        <v>4482</v>
      </c>
      <c r="K444" s="18">
        <v>46150</v>
      </c>
      <c r="L444" s="18" t="s">
        <v>24</v>
      </c>
      <c r="M444" s="7" t="s">
        <v>25</v>
      </c>
      <c r="N444" s="17"/>
    </row>
    <row r="445" spans="1:14" ht="25.5" x14ac:dyDescent="0.25">
      <c r="A445" s="17">
        <v>444</v>
      </c>
      <c r="B445" s="16" t="s">
        <v>2445</v>
      </c>
      <c r="C445" s="17">
        <v>1</v>
      </c>
      <c r="D445" s="17">
        <v>10.3</v>
      </c>
      <c r="E445" s="17">
        <v>9.1999999999999993</v>
      </c>
      <c r="F445" s="16" t="s">
        <v>126</v>
      </c>
      <c r="G445" s="17" t="s">
        <v>2446</v>
      </c>
      <c r="H445" s="17" t="s">
        <v>3711</v>
      </c>
      <c r="I445" s="17" t="s">
        <v>662</v>
      </c>
      <c r="J445" s="37" t="s">
        <v>4276</v>
      </c>
      <c r="K445" s="18">
        <v>46149</v>
      </c>
      <c r="L445" s="18" t="s">
        <v>24</v>
      </c>
      <c r="M445" s="7" t="s">
        <v>25</v>
      </c>
      <c r="N445" s="17"/>
    </row>
    <row r="446" spans="1:14" ht="51" x14ac:dyDescent="0.25">
      <c r="A446" s="17">
        <v>445</v>
      </c>
      <c r="B446" s="16" t="s">
        <v>2445</v>
      </c>
      <c r="C446" s="17">
        <v>2</v>
      </c>
      <c r="D446" s="17">
        <v>13.2</v>
      </c>
      <c r="E446" s="17"/>
      <c r="F446" s="16" t="s">
        <v>343</v>
      </c>
      <c r="G446" s="17" t="s">
        <v>4857</v>
      </c>
      <c r="H446" s="17" t="s">
        <v>3580</v>
      </c>
      <c r="I446" s="17" t="s">
        <v>34</v>
      </c>
      <c r="J446" s="37" t="s">
        <v>4210</v>
      </c>
      <c r="K446" s="18">
        <v>46133</v>
      </c>
      <c r="L446" s="18" t="s">
        <v>24</v>
      </c>
      <c r="M446" s="7" t="s">
        <v>25</v>
      </c>
      <c r="N446" s="17"/>
    </row>
    <row r="447" spans="1:14" ht="51" x14ac:dyDescent="0.25">
      <c r="A447" s="17">
        <v>446</v>
      </c>
      <c r="B447" s="16" t="s">
        <v>2445</v>
      </c>
      <c r="C447" s="17">
        <v>3</v>
      </c>
      <c r="D447" s="17">
        <v>12.2</v>
      </c>
      <c r="E447" s="17">
        <v>9.1999999999999993</v>
      </c>
      <c r="F447" s="16" t="s">
        <v>343</v>
      </c>
      <c r="G447" s="17" t="s">
        <v>4857</v>
      </c>
      <c r="H447" s="17" t="s">
        <v>3580</v>
      </c>
      <c r="I447" s="17" t="s">
        <v>34</v>
      </c>
      <c r="J447" s="37" t="s">
        <v>4210</v>
      </c>
      <c r="K447" s="18">
        <v>46133</v>
      </c>
      <c r="L447" s="18" t="s">
        <v>24</v>
      </c>
      <c r="M447" s="7" t="s">
        <v>25</v>
      </c>
      <c r="N447" s="17"/>
    </row>
    <row r="448" spans="1:14" ht="25.5" x14ac:dyDescent="0.25">
      <c r="A448" s="17">
        <v>447</v>
      </c>
      <c r="B448" s="16" t="s">
        <v>2447</v>
      </c>
      <c r="C448" s="17">
        <v>1</v>
      </c>
      <c r="D448" s="17">
        <v>12.1</v>
      </c>
      <c r="E448" s="17">
        <v>10.8</v>
      </c>
      <c r="F448" s="16" t="s">
        <v>31</v>
      </c>
      <c r="G448" s="17" t="s">
        <v>2448</v>
      </c>
      <c r="H448" s="17" t="s">
        <v>4079</v>
      </c>
      <c r="I448" s="17" t="s">
        <v>28</v>
      </c>
      <c r="J448" s="37" t="s">
        <v>4721</v>
      </c>
      <c r="K448" s="18">
        <v>46154</v>
      </c>
      <c r="L448" s="18" t="s">
        <v>24</v>
      </c>
      <c r="M448" s="7" t="s">
        <v>25</v>
      </c>
      <c r="N448" s="17"/>
    </row>
    <row r="449" spans="1:14" x14ac:dyDescent="0.25">
      <c r="A449" s="17">
        <v>448</v>
      </c>
      <c r="B449" s="16" t="s">
        <v>2447</v>
      </c>
      <c r="C449" s="17">
        <v>2</v>
      </c>
      <c r="D449" s="17">
        <v>16.2</v>
      </c>
      <c r="E449" s="17"/>
      <c r="F449" s="16" t="s">
        <v>31</v>
      </c>
      <c r="G449" s="17" t="s">
        <v>2449</v>
      </c>
      <c r="H449" s="17" t="s">
        <v>4080</v>
      </c>
      <c r="I449" s="17" t="s">
        <v>42</v>
      </c>
      <c r="J449" s="37" t="s">
        <v>4722</v>
      </c>
      <c r="K449" s="18">
        <v>46156</v>
      </c>
      <c r="L449" s="18" t="s">
        <v>24</v>
      </c>
      <c r="M449" s="7" t="s">
        <v>25</v>
      </c>
      <c r="N449" s="17"/>
    </row>
    <row r="450" spans="1:14" x14ac:dyDescent="0.25">
      <c r="A450" s="17">
        <v>449</v>
      </c>
      <c r="B450" s="16" t="s">
        <v>2447</v>
      </c>
      <c r="C450" s="17">
        <v>3</v>
      </c>
      <c r="D450" s="17">
        <v>12.4</v>
      </c>
      <c r="E450" s="17">
        <v>10.8</v>
      </c>
      <c r="F450" s="16" t="s">
        <v>31</v>
      </c>
      <c r="G450" s="17" t="s">
        <v>2449</v>
      </c>
      <c r="H450" s="17" t="s">
        <v>4080</v>
      </c>
      <c r="I450" s="17" t="s">
        <v>42</v>
      </c>
      <c r="J450" s="37" t="s">
        <v>4722</v>
      </c>
      <c r="K450" s="18">
        <v>46147</v>
      </c>
      <c r="L450" s="18" t="s">
        <v>24</v>
      </c>
      <c r="M450" s="7" t="s">
        <v>25</v>
      </c>
      <c r="N450" s="17"/>
    </row>
    <row r="451" spans="1:14" ht="25.5" x14ac:dyDescent="0.25">
      <c r="A451" s="17">
        <v>450</v>
      </c>
      <c r="B451" s="16" t="s">
        <v>2450</v>
      </c>
      <c r="C451" s="17">
        <v>1</v>
      </c>
      <c r="D451" s="17">
        <v>15.7</v>
      </c>
      <c r="E451" s="17">
        <v>10.7</v>
      </c>
      <c r="F451" s="16" t="s">
        <v>101</v>
      </c>
      <c r="G451" s="17" t="s">
        <v>2451</v>
      </c>
      <c r="H451" s="17" t="s">
        <v>3712</v>
      </c>
      <c r="I451" s="17" t="s">
        <v>28</v>
      </c>
      <c r="J451" s="37" t="s">
        <v>4237</v>
      </c>
      <c r="K451" s="18">
        <v>46141</v>
      </c>
      <c r="L451" s="18" t="s">
        <v>24</v>
      </c>
      <c r="M451" s="7" t="s">
        <v>25</v>
      </c>
      <c r="N451" s="17"/>
    </row>
    <row r="452" spans="1:14" ht="25.5" x14ac:dyDescent="0.25">
      <c r="A452" s="17">
        <v>451</v>
      </c>
      <c r="B452" s="16" t="s">
        <v>2450</v>
      </c>
      <c r="C452" s="17">
        <v>2</v>
      </c>
      <c r="D452" s="17">
        <v>15.8</v>
      </c>
      <c r="E452" s="17"/>
      <c r="F452" s="16" t="s">
        <v>31</v>
      </c>
      <c r="G452" s="17" t="s">
        <v>2452</v>
      </c>
      <c r="H452" s="17" t="s">
        <v>4081</v>
      </c>
      <c r="I452" s="17" t="s">
        <v>267</v>
      </c>
      <c r="J452" s="37" t="s">
        <v>4723</v>
      </c>
      <c r="K452" s="18">
        <v>46133</v>
      </c>
      <c r="L452" s="18" t="s">
        <v>24</v>
      </c>
      <c r="M452" s="7" t="s">
        <v>25</v>
      </c>
      <c r="N452" s="17"/>
    </row>
    <row r="453" spans="1:14" ht="51" x14ac:dyDescent="0.25">
      <c r="A453" s="17">
        <v>452</v>
      </c>
      <c r="B453" s="16" t="s">
        <v>2450</v>
      </c>
      <c r="C453" s="17">
        <v>3</v>
      </c>
      <c r="D453" s="17">
        <v>13.1</v>
      </c>
      <c r="E453" s="17">
        <v>10.6</v>
      </c>
      <c r="F453" s="16" t="s">
        <v>151</v>
      </c>
      <c r="G453" s="17" t="s">
        <v>2453</v>
      </c>
      <c r="H453" s="17" t="s">
        <v>4082</v>
      </c>
      <c r="I453" s="17" t="s">
        <v>34</v>
      </c>
      <c r="J453" s="37" t="s">
        <v>4792</v>
      </c>
      <c r="K453" s="18">
        <v>46155</v>
      </c>
      <c r="L453" s="18" t="s">
        <v>24</v>
      </c>
      <c r="M453" s="7" t="s">
        <v>25</v>
      </c>
      <c r="N453" s="17"/>
    </row>
    <row r="454" spans="1:14" ht="25.5" x14ac:dyDescent="0.25">
      <c r="A454" s="17">
        <v>453</v>
      </c>
      <c r="B454" s="16" t="s">
        <v>2454</v>
      </c>
      <c r="C454" s="17">
        <v>1</v>
      </c>
      <c r="D454" s="17">
        <v>16</v>
      </c>
      <c r="E454" s="17">
        <v>10.8</v>
      </c>
      <c r="F454" s="16" t="s">
        <v>121</v>
      </c>
      <c r="G454" s="17" t="s">
        <v>2455</v>
      </c>
      <c r="H454" s="17" t="s">
        <v>3713</v>
      </c>
      <c r="I454" s="17" t="s">
        <v>42</v>
      </c>
      <c r="J454" s="37" t="s">
        <v>4637</v>
      </c>
      <c r="K454" s="18">
        <v>46140</v>
      </c>
      <c r="L454" s="18" t="s">
        <v>24</v>
      </c>
      <c r="M454" s="7" t="s">
        <v>25</v>
      </c>
      <c r="N454" s="17"/>
    </row>
    <row r="455" spans="1:14" ht="25.5" x14ac:dyDescent="0.25">
      <c r="A455" s="17">
        <v>454</v>
      </c>
      <c r="B455" s="16" t="s">
        <v>2454</v>
      </c>
      <c r="C455" s="17">
        <v>2</v>
      </c>
      <c r="D455" s="17">
        <v>15.8</v>
      </c>
      <c r="E455" s="17"/>
      <c r="F455" s="16" t="s">
        <v>151</v>
      </c>
      <c r="G455" s="17" t="s">
        <v>2456</v>
      </c>
      <c r="H455" s="17" t="s">
        <v>3879</v>
      </c>
      <c r="I455" s="17" t="s">
        <v>662</v>
      </c>
      <c r="J455" s="37" t="s">
        <v>4793</v>
      </c>
      <c r="K455" s="18">
        <v>46149</v>
      </c>
      <c r="L455" s="18" t="s">
        <v>24</v>
      </c>
      <c r="M455" s="7" t="s">
        <v>25</v>
      </c>
      <c r="N455" s="17"/>
    </row>
    <row r="456" spans="1:14" ht="25.5" x14ac:dyDescent="0.25">
      <c r="A456" s="17">
        <v>455</v>
      </c>
      <c r="B456" s="16" t="s">
        <v>2454</v>
      </c>
      <c r="C456" s="17">
        <v>3</v>
      </c>
      <c r="D456" s="17">
        <v>13</v>
      </c>
      <c r="E456" s="17">
        <v>10.8</v>
      </c>
      <c r="F456" s="16" t="s">
        <v>151</v>
      </c>
      <c r="G456" s="17" t="s">
        <v>2456</v>
      </c>
      <c r="H456" s="17" t="s">
        <v>3879</v>
      </c>
      <c r="I456" s="17" t="s">
        <v>662</v>
      </c>
      <c r="J456" s="37" t="s">
        <v>4793</v>
      </c>
      <c r="K456" s="18">
        <v>46149</v>
      </c>
      <c r="L456" s="18" t="s">
        <v>24</v>
      </c>
      <c r="M456" s="7" t="s">
        <v>25</v>
      </c>
      <c r="N456" s="17"/>
    </row>
    <row r="457" spans="1:14" ht="25.5" x14ac:dyDescent="0.25">
      <c r="A457" s="17">
        <v>456</v>
      </c>
      <c r="B457" s="16" t="s">
        <v>2457</v>
      </c>
      <c r="C457" s="17">
        <v>1</v>
      </c>
      <c r="D457" s="17">
        <v>16</v>
      </c>
      <c r="E457" s="17">
        <v>11</v>
      </c>
      <c r="F457" s="16" t="s">
        <v>73</v>
      </c>
      <c r="G457" s="17" t="s">
        <v>2458</v>
      </c>
      <c r="H457" s="17" t="s">
        <v>3714</v>
      </c>
      <c r="I457" s="17" t="s">
        <v>51</v>
      </c>
      <c r="J457" s="37" t="s">
        <v>4449</v>
      </c>
      <c r="K457" s="18">
        <v>46142</v>
      </c>
      <c r="L457" s="18" t="s">
        <v>24</v>
      </c>
      <c r="M457" s="7" t="s">
        <v>25</v>
      </c>
      <c r="N457" s="17"/>
    </row>
    <row r="458" spans="1:14" ht="25.5" x14ac:dyDescent="0.25">
      <c r="A458" s="17">
        <v>457</v>
      </c>
      <c r="B458" s="16" t="s">
        <v>2457</v>
      </c>
      <c r="C458" s="17">
        <v>2</v>
      </c>
      <c r="D458" s="17">
        <v>16.399999999999999</v>
      </c>
      <c r="E458" s="17"/>
      <c r="F458" s="16" t="s">
        <v>73</v>
      </c>
      <c r="G458" s="17" t="s">
        <v>2458</v>
      </c>
      <c r="H458" s="17" t="s">
        <v>3714</v>
      </c>
      <c r="I458" s="17" t="s">
        <v>51</v>
      </c>
      <c r="J458" s="37" t="s">
        <v>4449</v>
      </c>
      <c r="K458" s="18">
        <v>46142</v>
      </c>
      <c r="L458" s="18" t="s">
        <v>24</v>
      </c>
      <c r="M458" s="7" t="s">
        <v>25</v>
      </c>
      <c r="N458" s="17"/>
    </row>
    <row r="459" spans="1:14" ht="25.5" x14ac:dyDescent="0.25">
      <c r="A459" s="17">
        <v>458</v>
      </c>
      <c r="B459" s="16" t="s">
        <v>2457</v>
      </c>
      <c r="C459" s="17">
        <v>3</v>
      </c>
      <c r="D459" s="17">
        <v>12.5</v>
      </c>
      <c r="E459" s="17">
        <v>10.8</v>
      </c>
      <c r="F459" s="16" t="s">
        <v>62</v>
      </c>
      <c r="G459" s="17" t="s">
        <v>2459</v>
      </c>
      <c r="H459" s="17" t="s">
        <v>4083</v>
      </c>
      <c r="I459" s="17" t="s">
        <v>28</v>
      </c>
      <c r="J459" s="37" t="s">
        <v>4524</v>
      </c>
      <c r="K459" s="18">
        <v>46140</v>
      </c>
      <c r="L459" s="18" t="s">
        <v>24</v>
      </c>
      <c r="M459" s="7" t="s">
        <v>25</v>
      </c>
      <c r="N459" s="17"/>
    </row>
    <row r="460" spans="1:14" ht="63.75" x14ac:dyDescent="0.25">
      <c r="A460" s="17">
        <v>459</v>
      </c>
      <c r="B460" s="16" t="s">
        <v>2460</v>
      </c>
      <c r="C460" s="17">
        <v>1</v>
      </c>
      <c r="D460" s="17">
        <v>16.2</v>
      </c>
      <c r="E460" s="17">
        <v>10.8</v>
      </c>
      <c r="F460" s="16" t="s">
        <v>162</v>
      </c>
      <c r="G460" s="17" t="s">
        <v>2461</v>
      </c>
      <c r="H460" s="17" t="s">
        <v>4084</v>
      </c>
      <c r="I460" s="17" t="s">
        <v>34</v>
      </c>
      <c r="J460" s="37" t="s">
        <v>4483</v>
      </c>
      <c r="K460" s="18">
        <v>46154</v>
      </c>
      <c r="L460" s="18" t="s">
        <v>24</v>
      </c>
      <c r="M460" s="7" t="s">
        <v>25</v>
      </c>
      <c r="N460" s="17"/>
    </row>
    <row r="461" spans="1:14" ht="63.75" x14ac:dyDescent="0.25">
      <c r="A461" s="17">
        <v>460</v>
      </c>
      <c r="B461" s="16" t="s">
        <v>2460</v>
      </c>
      <c r="C461" s="17">
        <v>2</v>
      </c>
      <c r="D461" s="17">
        <v>16.600000000000001</v>
      </c>
      <c r="E461" s="17"/>
      <c r="F461" s="16" t="s">
        <v>162</v>
      </c>
      <c r="G461" s="17" t="s">
        <v>2461</v>
      </c>
      <c r="H461" s="17" t="s">
        <v>4084</v>
      </c>
      <c r="I461" s="17" t="s">
        <v>34</v>
      </c>
      <c r="J461" s="37" t="s">
        <v>4483</v>
      </c>
      <c r="K461" s="18">
        <v>46154</v>
      </c>
      <c r="L461" s="18" t="s">
        <v>24</v>
      </c>
      <c r="M461" s="7" t="s">
        <v>25</v>
      </c>
      <c r="N461" s="17"/>
    </row>
    <row r="462" spans="1:14" x14ac:dyDescent="0.25">
      <c r="A462" s="14">
        <v>461</v>
      </c>
      <c r="B462" s="15" t="s">
        <v>2460</v>
      </c>
      <c r="C462" s="14">
        <v>3</v>
      </c>
      <c r="D462" s="14">
        <v>12.7</v>
      </c>
      <c r="E462" s="14">
        <v>10.8</v>
      </c>
      <c r="F462" s="15" t="s">
        <v>343</v>
      </c>
      <c r="G462" s="14"/>
      <c r="H462" s="14"/>
      <c r="I462" s="14"/>
      <c r="J462" s="28"/>
      <c r="K462" s="14"/>
      <c r="L462" s="14"/>
      <c r="M462" s="14" t="s">
        <v>286</v>
      </c>
      <c r="N462" s="14"/>
    </row>
    <row r="463" spans="1:14" ht="51" x14ac:dyDescent="0.25">
      <c r="A463" s="17">
        <v>462</v>
      </c>
      <c r="B463" s="16" t="s">
        <v>2462</v>
      </c>
      <c r="C463" s="17">
        <v>1</v>
      </c>
      <c r="D463" s="17">
        <v>15</v>
      </c>
      <c r="E463" s="17">
        <v>10.7</v>
      </c>
      <c r="F463" s="16" t="s">
        <v>162</v>
      </c>
      <c r="G463" s="17" t="s">
        <v>4900</v>
      </c>
      <c r="H463" s="17" t="s">
        <v>3880</v>
      </c>
      <c r="I463" s="17" t="s">
        <v>34</v>
      </c>
      <c r="J463" s="37" t="s">
        <v>4484</v>
      </c>
      <c r="K463" s="18">
        <v>46150</v>
      </c>
      <c r="L463" s="18" t="s">
        <v>24</v>
      </c>
      <c r="M463" s="7" t="s">
        <v>25</v>
      </c>
      <c r="N463" s="17"/>
    </row>
    <row r="464" spans="1:14" ht="51" x14ac:dyDescent="0.25">
      <c r="A464" s="17">
        <v>463</v>
      </c>
      <c r="B464" s="16" t="s">
        <v>2462</v>
      </c>
      <c r="C464" s="17">
        <v>2</v>
      </c>
      <c r="D464" s="17">
        <v>15</v>
      </c>
      <c r="E464" s="17"/>
      <c r="F464" s="16" t="s">
        <v>162</v>
      </c>
      <c r="G464" s="17" t="s">
        <v>4900</v>
      </c>
      <c r="H464" s="17" t="s">
        <v>3880</v>
      </c>
      <c r="I464" s="17" t="s">
        <v>34</v>
      </c>
      <c r="J464" s="37" t="s">
        <v>4484</v>
      </c>
      <c r="K464" s="18">
        <v>46150</v>
      </c>
      <c r="L464" s="18" t="s">
        <v>24</v>
      </c>
      <c r="M464" s="7" t="s">
        <v>25</v>
      </c>
      <c r="N464" s="17"/>
    </row>
    <row r="465" spans="1:14" x14ac:dyDescent="0.25">
      <c r="A465" s="14">
        <v>464</v>
      </c>
      <c r="B465" s="15" t="s">
        <v>2462</v>
      </c>
      <c r="C465" s="14">
        <v>3</v>
      </c>
      <c r="D465" s="14">
        <v>13.2</v>
      </c>
      <c r="E465" s="14">
        <v>10.5</v>
      </c>
      <c r="F465" s="15" t="s">
        <v>343</v>
      </c>
      <c r="G465" s="14"/>
      <c r="H465" s="14"/>
      <c r="I465" s="14"/>
      <c r="J465" s="28"/>
      <c r="K465" s="14"/>
      <c r="L465" s="14"/>
      <c r="M465" s="14" t="s">
        <v>286</v>
      </c>
      <c r="N465" s="14"/>
    </row>
    <row r="466" spans="1:14" ht="63.75" x14ac:dyDescent="0.25">
      <c r="A466" s="17">
        <v>465</v>
      </c>
      <c r="B466" s="16" t="s">
        <v>2463</v>
      </c>
      <c r="C466" s="17">
        <v>1</v>
      </c>
      <c r="D466" s="17">
        <v>17.7</v>
      </c>
      <c r="E466" s="17">
        <v>10.7</v>
      </c>
      <c r="F466" s="16" t="s">
        <v>338</v>
      </c>
      <c r="G466" s="17" t="s">
        <v>2464</v>
      </c>
      <c r="H466" s="17" t="s">
        <v>3715</v>
      </c>
      <c r="I466" s="17" t="s">
        <v>34</v>
      </c>
      <c r="J466" s="37" t="s">
        <v>4417</v>
      </c>
      <c r="K466" s="18">
        <v>46156</v>
      </c>
      <c r="L466" s="18" t="s">
        <v>24</v>
      </c>
      <c r="M466" s="7" t="s">
        <v>25</v>
      </c>
      <c r="N466" s="17"/>
    </row>
    <row r="467" spans="1:14" ht="63.75" x14ac:dyDescent="0.25">
      <c r="A467" s="17">
        <v>466</v>
      </c>
      <c r="B467" s="16" t="s">
        <v>2463</v>
      </c>
      <c r="C467" s="17">
        <v>2</v>
      </c>
      <c r="D467" s="17">
        <v>16.600000000000001</v>
      </c>
      <c r="E467" s="17"/>
      <c r="F467" s="16" t="s">
        <v>338</v>
      </c>
      <c r="G467" s="17" t="s">
        <v>2464</v>
      </c>
      <c r="H467" s="17" t="s">
        <v>3715</v>
      </c>
      <c r="I467" s="17" t="s">
        <v>34</v>
      </c>
      <c r="J467" s="37" t="s">
        <v>4417</v>
      </c>
      <c r="K467" s="18">
        <v>46156</v>
      </c>
      <c r="L467" s="18" t="s">
        <v>24</v>
      </c>
      <c r="M467" s="7" t="s">
        <v>25</v>
      </c>
      <c r="N467" s="17"/>
    </row>
    <row r="468" spans="1:14" ht="25.5" x14ac:dyDescent="0.25">
      <c r="A468" s="17">
        <v>467</v>
      </c>
      <c r="B468" s="16" t="s">
        <v>2463</v>
      </c>
      <c r="C468" s="17">
        <v>3</v>
      </c>
      <c r="D468" s="17">
        <v>12.8</v>
      </c>
      <c r="E468" s="17">
        <v>11</v>
      </c>
      <c r="F468" s="16" t="s">
        <v>106</v>
      </c>
      <c r="G468" s="17" t="s">
        <v>2465</v>
      </c>
      <c r="H468" s="17" t="s">
        <v>3881</v>
      </c>
      <c r="I468" s="17" t="s">
        <v>662</v>
      </c>
      <c r="J468" s="37" t="s">
        <v>4569</v>
      </c>
      <c r="K468" s="18">
        <v>46142</v>
      </c>
      <c r="L468" s="18" t="s">
        <v>24</v>
      </c>
      <c r="M468" s="7" t="s">
        <v>25</v>
      </c>
      <c r="N468" s="17"/>
    </row>
    <row r="469" spans="1:14" ht="25.5" x14ac:dyDescent="0.25">
      <c r="A469" s="17">
        <v>468</v>
      </c>
      <c r="B469" s="16" t="s">
        <v>2466</v>
      </c>
      <c r="C469" s="17">
        <v>1</v>
      </c>
      <c r="D469" s="17">
        <v>15.4</v>
      </c>
      <c r="E469" s="17">
        <v>10.8</v>
      </c>
      <c r="F469" s="16" t="s">
        <v>86</v>
      </c>
      <c r="G469" s="17" t="s">
        <v>2467</v>
      </c>
      <c r="H469" s="17" t="s">
        <v>3882</v>
      </c>
      <c r="I469" s="17" t="s">
        <v>28</v>
      </c>
      <c r="J469" s="37" t="s">
        <v>4672</v>
      </c>
      <c r="K469" s="18">
        <v>46144</v>
      </c>
      <c r="L469" s="18" t="s">
        <v>24</v>
      </c>
      <c r="M469" s="7" t="s">
        <v>25</v>
      </c>
      <c r="N469" s="17"/>
    </row>
    <row r="470" spans="1:14" ht="25.5" x14ac:dyDescent="0.25">
      <c r="A470" s="17">
        <v>469</v>
      </c>
      <c r="B470" s="16" t="s">
        <v>2466</v>
      </c>
      <c r="C470" s="17">
        <v>2</v>
      </c>
      <c r="D470" s="17">
        <v>13.9</v>
      </c>
      <c r="E470" s="17"/>
      <c r="F470" s="16" t="s">
        <v>19</v>
      </c>
      <c r="G470" s="17" t="s">
        <v>2468</v>
      </c>
      <c r="H470" s="17" t="s">
        <v>3883</v>
      </c>
      <c r="I470" s="17" t="s">
        <v>267</v>
      </c>
      <c r="J470" s="37" t="s">
        <v>4370</v>
      </c>
      <c r="K470" s="18">
        <v>46134</v>
      </c>
      <c r="L470" s="18" t="s">
        <v>24</v>
      </c>
      <c r="M470" s="7" t="s">
        <v>25</v>
      </c>
      <c r="N470" s="17"/>
    </row>
    <row r="471" spans="1:14" ht="63.75" x14ac:dyDescent="0.25">
      <c r="A471" s="17">
        <v>470</v>
      </c>
      <c r="B471" s="16" t="s">
        <v>2466</v>
      </c>
      <c r="C471" s="17">
        <v>3</v>
      </c>
      <c r="D471" s="17">
        <v>13.7</v>
      </c>
      <c r="E471" s="17">
        <v>10.5</v>
      </c>
      <c r="F471" s="16" t="s">
        <v>162</v>
      </c>
      <c r="G471" s="17" t="s">
        <v>2469</v>
      </c>
      <c r="H471" s="17" t="s">
        <v>3716</v>
      </c>
      <c r="I471" s="17" t="s">
        <v>34</v>
      </c>
      <c r="J471" s="37" t="s">
        <v>4485</v>
      </c>
      <c r="K471" s="18">
        <v>46154</v>
      </c>
      <c r="L471" s="18" t="s">
        <v>24</v>
      </c>
      <c r="M471" s="7" t="s">
        <v>25</v>
      </c>
      <c r="N471" s="17"/>
    </row>
    <row r="472" spans="1:14" ht="25.5" x14ac:dyDescent="0.25">
      <c r="A472" s="17">
        <v>471</v>
      </c>
      <c r="B472" s="16" t="s">
        <v>2470</v>
      </c>
      <c r="C472" s="17">
        <v>1</v>
      </c>
      <c r="D472" s="17">
        <v>17.399999999999999</v>
      </c>
      <c r="E472" s="17">
        <v>11</v>
      </c>
      <c r="F472" s="16" t="s">
        <v>151</v>
      </c>
      <c r="G472" s="17" t="s">
        <v>2471</v>
      </c>
      <c r="H472" s="17" t="s">
        <v>3717</v>
      </c>
      <c r="I472" s="17" t="s">
        <v>28</v>
      </c>
      <c r="J472" s="37" t="s">
        <v>4794</v>
      </c>
      <c r="K472" s="18">
        <v>46155</v>
      </c>
      <c r="L472" s="18" t="s">
        <v>24</v>
      </c>
      <c r="M472" s="7" t="s">
        <v>25</v>
      </c>
      <c r="N472" s="17"/>
    </row>
    <row r="473" spans="1:14" x14ac:dyDescent="0.25">
      <c r="A473" s="17">
        <v>472</v>
      </c>
      <c r="B473" s="16" t="s">
        <v>2470</v>
      </c>
      <c r="C473" s="17">
        <v>2</v>
      </c>
      <c r="D473" s="17">
        <v>14.5</v>
      </c>
      <c r="E473" s="17"/>
      <c r="F473" s="16" t="s">
        <v>343</v>
      </c>
      <c r="G473" s="17" t="s">
        <v>2472</v>
      </c>
      <c r="H473" s="17" t="s">
        <v>3590</v>
      </c>
      <c r="I473" s="17" t="s">
        <v>51</v>
      </c>
      <c r="J473" s="37" t="s">
        <v>4211</v>
      </c>
      <c r="K473" s="18">
        <v>46150</v>
      </c>
      <c r="L473" s="18" t="s">
        <v>24</v>
      </c>
      <c r="M473" s="7" t="s">
        <v>25</v>
      </c>
      <c r="N473" s="17"/>
    </row>
    <row r="474" spans="1:14" ht="25.5" x14ac:dyDescent="0.25">
      <c r="A474" s="17">
        <v>473</v>
      </c>
      <c r="B474" s="16" t="s">
        <v>2470</v>
      </c>
      <c r="C474" s="17">
        <v>3</v>
      </c>
      <c r="D474" s="17">
        <v>12.4</v>
      </c>
      <c r="E474" s="17">
        <v>10.6</v>
      </c>
      <c r="F474" s="16" t="s">
        <v>86</v>
      </c>
      <c r="G474" s="17" t="s">
        <v>2473</v>
      </c>
      <c r="H474" s="17" t="s">
        <v>3884</v>
      </c>
      <c r="I474" s="17" t="s">
        <v>22</v>
      </c>
      <c r="J474" s="37" t="s">
        <v>4673</v>
      </c>
      <c r="K474" s="18">
        <v>46150</v>
      </c>
      <c r="L474" s="18" t="s">
        <v>24</v>
      </c>
      <c r="M474" s="7" t="s">
        <v>25</v>
      </c>
      <c r="N474" s="17"/>
    </row>
    <row r="475" spans="1:14" ht="51" x14ac:dyDescent="0.25">
      <c r="A475" s="17">
        <v>474</v>
      </c>
      <c r="B475" s="16" t="s">
        <v>2474</v>
      </c>
      <c r="C475" s="17">
        <v>1</v>
      </c>
      <c r="D475" s="17">
        <v>17.899999999999999</v>
      </c>
      <c r="E475" s="17">
        <v>10.4</v>
      </c>
      <c r="F475" s="16" t="s">
        <v>62</v>
      </c>
      <c r="G475" s="17" t="s">
        <v>2475</v>
      </c>
      <c r="H475" s="17" t="s">
        <v>3718</v>
      </c>
      <c r="I475" s="17" t="s">
        <v>34</v>
      </c>
      <c r="J475" s="37" t="s">
        <v>4525</v>
      </c>
      <c r="K475" s="18">
        <v>46137</v>
      </c>
      <c r="L475" s="18" t="s">
        <v>24</v>
      </c>
      <c r="M475" s="7" t="s">
        <v>25</v>
      </c>
      <c r="N475" s="17"/>
    </row>
    <row r="476" spans="1:14" ht="51" x14ac:dyDescent="0.25">
      <c r="A476" s="17">
        <v>475</v>
      </c>
      <c r="B476" s="16" t="s">
        <v>2474</v>
      </c>
      <c r="C476" s="17">
        <v>2</v>
      </c>
      <c r="D476" s="17">
        <v>17</v>
      </c>
      <c r="E476" s="17"/>
      <c r="F476" s="16" t="s">
        <v>126</v>
      </c>
      <c r="G476" s="17" t="s">
        <v>4887</v>
      </c>
      <c r="H476" s="17" t="s">
        <v>4085</v>
      </c>
      <c r="I476" s="17" t="s">
        <v>34</v>
      </c>
      <c r="J476" s="37" t="s">
        <v>4277</v>
      </c>
      <c r="K476" s="18">
        <v>46157</v>
      </c>
      <c r="L476" s="18" t="s">
        <v>24</v>
      </c>
      <c r="M476" s="7" t="s">
        <v>25</v>
      </c>
      <c r="N476" s="17"/>
    </row>
    <row r="477" spans="1:14" ht="51" x14ac:dyDescent="0.25">
      <c r="A477" s="17">
        <v>476</v>
      </c>
      <c r="B477" s="16" t="s">
        <v>2474</v>
      </c>
      <c r="C477" s="17">
        <v>3</v>
      </c>
      <c r="D477" s="17">
        <v>13.3</v>
      </c>
      <c r="E477" s="17">
        <v>10.4</v>
      </c>
      <c r="F477" s="16" t="s">
        <v>126</v>
      </c>
      <c r="G477" s="17" t="s">
        <v>4887</v>
      </c>
      <c r="H477" s="17" t="s">
        <v>4085</v>
      </c>
      <c r="I477" s="17" t="s">
        <v>34</v>
      </c>
      <c r="J477" s="37" t="s">
        <v>4277</v>
      </c>
      <c r="K477" s="18">
        <v>46157</v>
      </c>
      <c r="L477" s="18" t="s">
        <v>24</v>
      </c>
      <c r="M477" s="7" t="s">
        <v>25</v>
      </c>
      <c r="N477" s="17"/>
    </row>
    <row r="478" spans="1:14" ht="25.5" x14ac:dyDescent="0.25">
      <c r="A478" s="17">
        <v>477</v>
      </c>
      <c r="B478" s="16" t="s">
        <v>2476</v>
      </c>
      <c r="C478" s="17">
        <v>1</v>
      </c>
      <c r="D478" s="17">
        <v>12.9</v>
      </c>
      <c r="E478" s="17">
        <v>11.1</v>
      </c>
      <c r="F478" s="16" t="s">
        <v>343</v>
      </c>
      <c r="G478" s="17" t="s">
        <v>2477</v>
      </c>
      <c r="H478" s="17" t="s">
        <v>3591</v>
      </c>
      <c r="I478" s="17" t="s">
        <v>51</v>
      </c>
      <c r="J478" s="37" t="s">
        <v>4212</v>
      </c>
      <c r="K478" s="18">
        <v>46140</v>
      </c>
      <c r="L478" s="18" t="s">
        <v>24</v>
      </c>
      <c r="M478" s="7" t="s">
        <v>25</v>
      </c>
      <c r="N478" s="17"/>
    </row>
    <row r="479" spans="1:14" ht="25.5" x14ac:dyDescent="0.25">
      <c r="A479" s="17">
        <v>478</v>
      </c>
      <c r="B479" s="16" t="s">
        <v>2476</v>
      </c>
      <c r="C479" s="17">
        <v>2</v>
      </c>
      <c r="D479" s="17">
        <v>17.2</v>
      </c>
      <c r="E479" s="17"/>
      <c r="F479" s="16" t="s">
        <v>73</v>
      </c>
      <c r="G479" s="17" t="s">
        <v>2478</v>
      </c>
      <c r="H479" s="17" t="s">
        <v>3719</v>
      </c>
      <c r="I479" s="17" t="s">
        <v>28</v>
      </c>
      <c r="J479" s="37" t="s">
        <v>4450</v>
      </c>
      <c r="K479" s="18">
        <v>46144</v>
      </c>
      <c r="L479" s="18" t="s">
        <v>24</v>
      </c>
      <c r="M479" s="7" t="s">
        <v>25</v>
      </c>
      <c r="N479" s="17"/>
    </row>
    <row r="480" spans="1:14" ht="25.5" x14ac:dyDescent="0.25">
      <c r="A480" s="17">
        <v>479</v>
      </c>
      <c r="B480" s="16" t="s">
        <v>2476</v>
      </c>
      <c r="C480" s="17">
        <v>3</v>
      </c>
      <c r="D480" s="17">
        <v>16.8</v>
      </c>
      <c r="E480" s="17">
        <v>11</v>
      </c>
      <c r="F480" s="16" t="s">
        <v>73</v>
      </c>
      <c r="G480" s="17" t="s">
        <v>2478</v>
      </c>
      <c r="H480" s="17" t="s">
        <v>3719</v>
      </c>
      <c r="I480" s="17" t="s">
        <v>28</v>
      </c>
      <c r="J480" s="37" t="s">
        <v>4450</v>
      </c>
      <c r="K480" s="18">
        <v>46144</v>
      </c>
      <c r="L480" s="18" t="s">
        <v>24</v>
      </c>
      <c r="M480" s="7" t="s">
        <v>25</v>
      </c>
      <c r="N480" s="17"/>
    </row>
    <row r="481" spans="1:14" ht="25.5" x14ac:dyDescent="0.25">
      <c r="A481" s="17">
        <v>480</v>
      </c>
      <c r="B481" s="16" t="s">
        <v>2479</v>
      </c>
      <c r="C481" s="17">
        <v>1</v>
      </c>
      <c r="D481" s="17">
        <v>15.7</v>
      </c>
      <c r="E481" s="17">
        <v>11.2</v>
      </c>
      <c r="F481" s="16" t="s">
        <v>19</v>
      </c>
      <c r="G481" s="17" t="s">
        <v>2480</v>
      </c>
      <c r="H481" s="17" t="s">
        <v>3885</v>
      </c>
      <c r="I481" s="17" t="s">
        <v>42</v>
      </c>
      <c r="J481" s="37" t="s">
        <v>4371</v>
      </c>
      <c r="K481" s="18">
        <v>46154</v>
      </c>
      <c r="L481" s="18" t="s">
        <v>82</v>
      </c>
      <c r="M481" s="7" t="s">
        <v>25</v>
      </c>
      <c r="N481" s="17"/>
    </row>
    <row r="482" spans="1:14" ht="25.5" x14ac:dyDescent="0.25">
      <c r="A482" s="17">
        <v>481</v>
      </c>
      <c r="B482" s="16" t="s">
        <v>2479</v>
      </c>
      <c r="C482" s="17">
        <v>2</v>
      </c>
      <c r="D482" s="17">
        <v>14.7</v>
      </c>
      <c r="E482" s="17"/>
      <c r="F482" s="16" t="s">
        <v>86</v>
      </c>
      <c r="G482" s="17" t="s">
        <v>2481</v>
      </c>
      <c r="H482" s="17" t="s">
        <v>3886</v>
      </c>
      <c r="I482" s="17" t="s">
        <v>388</v>
      </c>
      <c r="J482" s="37" t="s">
        <v>4674</v>
      </c>
      <c r="K482" s="18">
        <v>46144</v>
      </c>
      <c r="L482" s="18" t="s">
        <v>82</v>
      </c>
      <c r="M482" s="7" t="s">
        <v>25</v>
      </c>
      <c r="N482" s="17"/>
    </row>
    <row r="483" spans="1:14" ht="25.5" x14ac:dyDescent="0.25">
      <c r="A483" s="17">
        <v>482</v>
      </c>
      <c r="B483" s="16" t="s">
        <v>2479</v>
      </c>
      <c r="C483" s="17">
        <v>3</v>
      </c>
      <c r="D483" s="17">
        <v>13.8</v>
      </c>
      <c r="E483" s="17">
        <v>11.2</v>
      </c>
      <c r="F483" s="16" t="s">
        <v>121</v>
      </c>
      <c r="G483" s="17" t="s">
        <v>2482</v>
      </c>
      <c r="H483" s="17" t="s">
        <v>4086</v>
      </c>
      <c r="I483" s="17" t="s">
        <v>28</v>
      </c>
      <c r="J483" s="37" t="s">
        <v>4638</v>
      </c>
      <c r="K483" s="18">
        <v>46154</v>
      </c>
      <c r="L483" s="18" t="s">
        <v>24</v>
      </c>
      <c r="M483" s="7" t="s">
        <v>25</v>
      </c>
      <c r="N483" s="17"/>
    </row>
    <row r="484" spans="1:14" ht="25.5" x14ac:dyDescent="0.25">
      <c r="A484" s="17">
        <v>483</v>
      </c>
      <c r="B484" s="16" t="s">
        <v>2483</v>
      </c>
      <c r="C484" s="17">
        <v>1</v>
      </c>
      <c r="D484" s="17">
        <v>18</v>
      </c>
      <c r="E484" s="17">
        <v>11.6</v>
      </c>
      <c r="F484" s="16" t="s">
        <v>31</v>
      </c>
      <c r="G484" s="17" t="s">
        <v>2484</v>
      </c>
      <c r="H484" s="17" t="s">
        <v>4087</v>
      </c>
      <c r="I484" s="17" t="s">
        <v>28</v>
      </c>
      <c r="J484" s="37" t="s">
        <v>4724</v>
      </c>
      <c r="K484" s="18">
        <v>46144</v>
      </c>
      <c r="L484" s="18" t="s">
        <v>24</v>
      </c>
      <c r="M484" s="7" t="s">
        <v>25</v>
      </c>
      <c r="N484" s="17"/>
    </row>
    <row r="485" spans="1:14" ht="51" x14ac:dyDescent="0.25">
      <c r="A485" s="17">
        <v>484</v>
      </c>
      <c r="B485" s="16" t="s">
        <v>2483</v>
      </c>
      <c r="C485" s="17">
        <v>2</v>
      </c>
      <c r="D485" s="17">
        <v>16.2</v>
      </c>
      <c r="E485" s="17"/>
      <c r="F485" s="16" t="s">
        <v>31</v>
      </c>
      <c r="G485" s="17" t="s">
        <v>2485</v>
      </c>
      <c r="H485" s="17" t="s">
        <v>4088</v>
      </c>
      <c r="I485" s="17" t="s">
        <v>34</v>
      </c>
      <c r="J485" s="37" t="s">
        <v>4725</v>
      </c>
      <c r="K485" s="18">
        <v>46150</v>
      </c>
      <c r="L485" s="18" t="s">
        <v>24</v>
      </c>
      <c r="M485" s="7" t="s">
        <v>25</v>
      </c>
      <c r="N485" s="17"/>
    </row>
    <row r="486" spans="1:14" ht="51" x14ac:dyDescent="0.25">
      <c r="A486" s="17">
        <v>485</v>
      </c>
      <c r="B486" s="16" t="s">
        <v>2483</v>
      </c>
      <c r="C486" s="17">
        <v>3</v>
      </c>
      <c r="D486" s="17">
        <v>12.9</v>
      </c>
      <c r="E486" s="17">
        <v>10.8</v>
      </c>
      <c r="F486" s="16" t="s">
        <v>121</v>
      </c>
      <c r="G486" s="17" t="s">
        <v>2486</v>
      </c>
      <c r="H486" s="17" t="s">
        <v>3720</v>
      </c>
      <c r="I486" s="17" t="s">
        <v>34</v>
      </c>
      <c r="J486" s="37" t="s">
        <v>4639</v>
      </c>
      <c r="K486" s="18">
        <v>46140</v>
      </c>
      <c r="L486" s="18" t="s">
        <v>24</v>
      </c>
      <c r="M486" s="7" t="s">
        <v>25</v>
      </c>
      <c r="N486" s="17"/>
    </row>
    <row r="487" spans="1:14" ht="63.75" x14ac:dyDescent="0.25">
      <c r="A487" s="17">
        <v>486</v>
      </c>
      <c r="B487" s="16" t="s">
        <v>2487</v>
      </c>
      <c r="C487" s="17">
        <v>1</v>
      </c>
      <c r="D487" s="17">
        <v>15</v>
      </c>
      <c r="E487" s="17">
        <v>10.5</v>
      </c>
      <c r="F487" s="16" t="s">
        <v>62</v>
      </c>
      <c r="G487" s="17" t="s">
        <v>2488</v>
      </c>
      <c r="H487" s="17" t="s">
        <v>4089</v>
      </c>
      <c r="I487" s="17" t="s">
        <v>34</v>
      </c>
      <c r="J487" s="37" t="s">
        <v>4526</v>
      </c>
      <c r="K487" s="18">
        <v>46149</v>
      </c>
      <c r="L487" s="18" t="s">
        <v>24</v>
      </c>
      <c r="M487" s="7" t="s">
        <v>25</v>
      </c>
      <c r="N487" s="17"/>
    </row>
    <row r="488" spans="1:14" ht="25.5" x14ac:dyDescent="0.25">
      <c r="A488" s="17">
        <v>487</v>
      </c>
      <c r="B488" s="16" t="s">
        <v>2487</v>
      </c>
      <c r="C488" s="17">
        <v>2</v>
      </c>
      <c r="D488" s="17">
        <v>16.899999999999999</v>
      </c>
      <c r="E488" s="17">
        <v>11.3</v>
      </c>
      <c r="F488" s="16" t="s">
        <v>121</v>
      </c>
      <c r="G488" s="17" t="s">
        <v>2489</v>
      </c>
      <c r="H488" s="17" t="s">
        <v>3721</v>
      </c>
      <c r="I488" s="17" t="s">
        <v>28</v>
      </c>
      <c r="J488" s="37" t="s">
        <v>4640</v>
      </c>
      <c r="K488" s="18">
        <v>46150</v>
      </c>
      <c r="L488" s="18" t="s">
        <v>24</v>
      </c>
      <c r="M488" s="7" t="s">
        <v>25</v>
      </c>
      <c r="N488" s="17"/>
    </row>
    <row r="489" spans="1:14" ht="25.5" x14ac:dyDescent="0.25">
      <c r="A489" s="17">
        <v>488</v>
      </c>
      <c r="B489" s="16" t="s">
        <v>2487</v>
      </c>
      <c r="C489" s="17">
        <v>3</v>
      </c>
      <c r="D489" s="17">
        <v>12.7</v>
      </c>
      <c r="E489" s="17">
        <v>11.2</v>
      </c>
      <c r="F489" s="16" t="s">
        <v>62</v>
      </c>
      <c r="G489" s="17" t="s">
        <v>2490</v>
      </c>
      <c r="H489" s="17" t="s">
        <v>3722</v>
      </c>
      <c r="I489" s="17" t="s">
        <v>28</v>
      </c>
      <c r="J489" s="37" t="s">
        <v>4527</v>
      </c>
      <c r="K489" s="18">
        <v>46137</v>
      </c>
      <c r="L489" s="18" t="s">
        <v>24</v>
      </c>
      <c r="M489" s="7" t="s">
        <v>25</v>
      </c>
      <c r="N489" s="17"/>
    </row>
    <row r="490" spans="1:14" ht="25.5" x14ac:dyDescent="0.25">
      <c r="A490" s="17">
        <v>489</v>
      </c>
      <c r="B490" s="16" t="s">
        <v>2491</v>
      </c>
      <c r="C490" s="17">
        <v>1</v>
      </c>
      <c r="D490" s="17">
        <v>16.399999999999999</v>
      </c>
      <c r="E490" s="17">
        <v>10.8</v>
      </c>
      <c r="F490" s="16" t="s">
        <v>106</v>
      </c>
      <c r="G490" s="17" t="s">
        <v>2492</v>
      </c>
      <c r="H490" s="17" t="s">
        <v>3723</v>
      </c>
      <c r="I490" s="17" t="s">
        <v>28</v>
      </c>
      <c r="J490" s="37" t="s">
        <v>4570</v>
      </c>
      <c r="K490" s="18">
        <v>46144</v>
      </c>
      <c r="L490" s="18" t="s">
        <v>24</v>
      </c>
      <c r="M490" s="7" t="s">
        <v>25</v>
      </c>
      <c r="N490" s="17"/>
    </row>
    <row r="491" spans="1:14" ht="51" x14ac:dyDescent="0.25">
      <c r="A491" s="17">
        <v>490</v>
      </c>
      <c r="B491" s="16" t="s">
        <v>2491</v>
      </c>
      <c r="C491" s="17">
        <v>2</v>
      </c>
      <c r="D491" s="17">
        <v>16.899999999999999</v>
      </c>
      <c r="E491" s="17"/>
      <c r="F491" s="16" t="s">
        <v>19</v>
      </c>
      <c r="G491" s="17" t="s">
        <v>2493</v>
      </c>
      <c r="H491" s="17" t="s">
        <v>4090</v>
      </c>
      <c r="I491" s="17" t="s">
        <v>34</v>
      </c>
      <c r="J491" s="37" t="s">
        <v>4372</v>
      </c>
      <c r="K491" s="18">
        <v>46144</v>
      </c>
      <c r="L491" s="18" t="s">
        <v>24</v>
      </c>
      <c r="M491" s="7" t="s">
        <v>25</v>
      </c>
      <c r="N491" s="17"/>
    </row>
    <row r="492" spans="1:14" ht="25.5" x14ac:dyDescent="0.25">
      <c r="A492" s="17">
        <v>491</v>
      </c>
      <c r="B492" s="16" t="s">
        <v>2491</v>
      </c>
      <c r="C492" s="17">
        <v>3</v>
      </c>
      <c r="D492" s="17">
        <v>13.3</v>
      </c>
      <c r="E492" s="17">
        <v>10.7</v>
      </c>
      <c r="F492" s="16" t="s">
        <v>19</v>
      </c>
      <c r="G492" s="17" t="s">
        <v>2494</v>
      </c>
      <c r="H492" s="17" t="s">
        <v>3724</v>
      </c>
      <c r="I492" s="17" t="s">
        <v>28</v>
      </c>
      <c r="J492" s="37" t="s">
        <v>4373</v>
      </c>
      <c r="K492" s="18">
        <v>46135</v>
      </c>
      <c r="L492" s="18" t="s">
        <v>24</v>
      </c>
      <c r="M492" s="7" t="s">
        <v>25</v>
      </c>
      <c r="N492" s="17"/>
    </row>
    <row r="493" spans="1:14" ht="25.5" x14ac:dyDescent="0.25">
      <c r="A493" s="17">
        <v>492</v>
      </c>
      <c r="B493" s="16" t="s">
        <v>2495</v>
      </c>
      <c r="C493" s="17">
        <v>1</v>
      </c>
      <c r="D493" s="17">
        <v>16.600000000000001</v>
      </c>
      <c r="E493" s="17">
        <v>10.9</v>
      </c>
      <c r="F493" s="16" t="s">
        <v>121</v>
      </c>
      <c r="G493" s="17" t="s">
        <v>2496</v>
      </c>
      <c r="H493" s="17" t="s">
        <v>3725</v>
      </c>
      <c r="I493" s="17" t="s">
        <v>22</v>
      </c>
      <c r="J493" s="37" t="s">
        <v>4641</v>
      </c>
      <c r="K493" s="18">
        <v>46144</v>
      </c>
      <c r="L493" s="18" t="s">
        <v>24</v>
      </c>
      <c r="M493" s="7" t="s">
        <v>25</v>
      </c>
      <c r="N493" s="17"/>
    </row>
    <row r="494" spans="1:14" ht="51" x14ac:dyDescent="0.25">
      <c r="A494" s="17">
        <v>493</v>
      </c>
      <c r="B494" s="16" t="s">
        <v>2495</v>
      </c>
      <c r="C494" s="17">
        <v>2</v>
      </c>
      <c r="D494" s="17">
        <v>16.7</v>
      </c>
      <c r="E494" s="17"/>
      <c r="F494" s="16" t="s">
        <v>121</v>
      </c>
      <c r="G494" s="17" t="s">
        <v>2497</v>
      </c>
      <c r="H494" s="17" t="s">
        <v>3726</v>
      </c>
      <c r="I494" s="17" t="s">
        <v>34</v>
      </c>
      <c r="J494" s="37" t="s">
        <v>4642</v>
      </c>
      <c r="K494" s="18">
        <v>46140</v>
      </c>
      <c r="L494" s="18" t="s">
        <v>24</v>
      </c>
      <c r="M494" s="7" t="s">
        <v>25</v>
      </c>
      <c r="N494" s="17"/>
    </row>
    <row r="495" spans="1:14" ht="51" x14ac:dyDescent="0.25">
      <c r="A495" s="17">
        <v>494</v>
      </c>
      <c r="B495" s="16" t="s">
        <v>2495</v>
      </c>
      <c r="C495" s="17">
        <v>3</v>
      </c>
      <c r="D495" s="17">
        <v>12.8</v>
      </c>
      <c r="E495" s="17">
        <v>10.8</v>
      </c>
      <c r="F495" s="16" t="s">
        <v>121</v>
      </c>
      <c r="G495" s="17" t="s">
        <v>2498</v>
      </c>
      <c r="H495" s="17" t="s">
        <v>3727</v>
      </c>
      <c r="I495" s="17" t="s">
        <v>34</v>
      </c>
      <c r="J495" s="37" t="s">
        <v>4643</v>
      </c>
      <c r="K495" s="18">
        <v>46137</v>
      </c>
      <c r="L495" s="18" t="s">
        <v>24</v>
      </c>
      <c r="M495" s="7" t="s">
        <v>25</v>
      </c>
      <c r="N495" s="17"/>
    </row>
    <row r="496" spans="1:14" ht="51" x14ac:dyDescent="0.25">
      <c r="A496" s="17">
        <v>495</v>
      </c>
      <c r="B496" s="16" t="s">
        <v>2499</v>
      </c>
      <c r="C496" s="17">
        <v>1</v>
      </c>
      <c r="D496" s="17">
        <v>16.8</v>
      </c>
      <c r="E496" s="17">
        <v>11.3</v>
      </c>
      <c r="F496" s="16" t="s">
        <v>126</v>
      </c>
      <c r="G496" s="17" t="s">
        <v>4888</v>
      </c>
      <c r="H496" s="17" t="s">
        <v>4091</v>
      </c>
      <c r="I496" s="17" t="s">
        <v>34</v>
      </c>
      <c r="J496" s="37" t="s">
        <v>4278</v>
      </c>
      <c r="K496" s="18">
        <v>46155</v>
      </c>
      <c r="L496" s="18" t="s">
        <v>24</v>
      </c>
      <c r="M496" s="7" t="s">
        <v>25</v>
      </c>
      <c r="N496" s="17"/>
    </row>
    <row r="497" spans="1:14" ht="51" x14ac:dyDescent="0.25">
      <c r="A497" s="17">
        <v>496</v>
      </c>
      <c r="B497" s="16" t="s">
        <v>2499</v>
      </c>
      <c r="C497" s="17">
        <v>2</v>
      </c>
      <c r="D497" s="17">
        <v>16.399999999999999</v>
      </c>
      <c r="E497" s="17"/>
      <c r="F497" s="16" t="s">
        <v>19</v>
      </c>
      <c r="G497" s="17" t="s">
        <v>2500</v>
      </c>
      <c r="H497" s="17" t="s">
        <v>4092</v>
      </c>
      <c r="I497" s="17" t="s">
        <v>34</v>
      </c>
      <c r="J497" s="37" t="s">
        <v>4374</v>
      </c>
      <c r="K497" s="18">
        <v>46136</v>
      </c>
      <c r="L497" s="18" t="s">
        <v>24</v>
      </c>
      <c r="M497" s="7" t="s">
        <v>25</v>
      </c>
      <c r="N497" s="17"/>
    </row>
    <row r="498" spans="1:14" ht="51" x14ac:dyDescent="0.25">
      <c r="A498" s="17">
        <v>497</v>
      </c>
      <c r="B498" s="16" t="s">
        <v>2499</v>
      </c>
      <c r="C498" s="17">
        <v>3</v>
      </c>
      <c r="D498" s="17">
        <v>13.1</v>
      </c>
      <c r="E498" s="17">
        <v>11</v>
      </c>
      <c r="F498" s="16" t="s">
        <v>106</v>
      </c>
      <c r="G498" s="17" t="s">
        <v>2501</v>
      </c>
      <c r="H498" s="17" t="s">
        <v>4093</v>
      </c>
      <c r="I498" s="17" t="s">
        <v>293</v>
      </c>
      <c r="J498" s="37" t="s">
        <v>4571</v>
      </c>
      <c r="K498" s="18">
        <v>46144</v>
      </c>
      <c r="L498" s="18" t="s">
        <v>24</v>
      </c>
      <c r="M498" s="7" t="s">
        <v>25</v>
      </c>
      <c r="N498" s="17"/>
    </row>
    <row r="499" spans="1:14" ht="51" x14ac:dyDescent="0.25">
      <c r="A499" s="17">
        <v>498</v>
      </c>
      <c r="B499" s="16" t="s">
        <v>2502</v>
      </c>
      <c r="C499" s="17">
        <v>1</v>
      </c>
      <c r="D499" s="17">
        <v>17.7</v>
      </c>
      <c r="E499" s="17">
        <v>10.199999999999999</v>
      </c>
      <c r="F499" s="16" t="s">
        <v>121</v>
      </c>
      <c r="G499" s="17" t="s">
        <v>2503</v>
      </c>
      <c r="H499" s="17" t="s">
        <v>3728</v>
      </c>
      <c r="I499" s="17" t="s">
        <v>34</v>
      </c>
      <c r="J499" s="37" t="s">
        <v>4644</v>
      </c>
      <c r="K499" s="18">
        <v>46144</v>
      </c>
      <c r="L499" s="18" t="s">
        <v>24</v>
      </c>
      <c r="M499" s="7" t="s">
        <v>25</v>
      </c>
      <c r="N499" s="17"/>
    </row>
    <row r="500" spans="1:14" ht="25.5" x14ac:dyDescent="0.25">
      <c r="A500" s="17">
        <v>499</v>
      </c>
      <c r="B500" s="16" t="s">
        <v>2502</v>
      </c>
      <c r="C500" s="17">
        <v>2</v>
      </c>
      <c r="D500" s="17">
        <v>17.5</v>
      </c>
      <c r="E500" s="17"/>
      <c r="F500" s="16" t="s">
        <v>121</v>
      </c>
      <c r="G500" s="17" t="s">
        <v>2504</v>
      </c>
      <c r="H500" s="17" t="s">
        <v>3887</v>
      </c>
      <c r="I500" s="17" t="s">
        <v>42</v>
      </c>
      <c r="J500" s="37" t="s">
        <v>4645</v>
      </c>
      <c r="K500" s="18">
        <v>46137</v>
      </c>
      <c r="L500" s="18" t="s">
        <v>24</v>
      </c>
      <c r="M500" s="7" t="s">
        <v>25</v>
      </c>
      <c r="N500" s="17"/>
    </row>
    <row r="501" spans="1:14" ht="25.5" x14ac:dyDescent="0.25">
      <c r="A501" s="17">
        <v>500</v>
      </c>
      <c r="B501" s="16" t="s">
        <v>2502</v>
      </c>
      <c r="C501" s="17">
        <v>3</v>
      </c>
      <c r="D501" s="17">
        <v>11.9</v>
      </c>
      <c r="E501" s="17">
        <v>10.4</v>
      </c>
      <c r="F501" s="16" t="s">
        <v>162</v>
      </c>
      <c r="G501" s="17" t="s">
        <v>2505</v>
      </c>
      <c r="H501" s="17" t="s">
        <v>3888</v>
      </c>
      <c r="I501" s="17" t="s">
        <v>28</v>
      </c>
      <c r="J501" s="37" t="s">
        <v>4486</v>
      </c>
      <c r="K501" s="18">
        <v>46150</v>
      </c>
      <c r="L501" s="18" t="s">
        <v>24</v>
      </c>
      <c r="M501" s="7" t="s">
        <v>25</v>
      </c>
      <c r="N501" s="17"/>
    </row>
    <row r="502" spans="1:14" ht="25.5" x14ac:dyDescent="0.25">
      <c r="A502" s="17">
        <v>501</v>
      </c>
      <c r="B502" s="16" t="s">
        <v>2506</v>
      </c>
      <c r="C502" s="17">
        <v>1</v>
      </c>
      <c r="D502" s="17">
        <v>16.899999999999999</v>
      </c>
      <c r="E502" s="17">
        <v>11.1</v>
      </c>
      <c r="F502" s="16" t="s">
        <v>162</v>
      </c>
      <c r="G502" s="17" t="s">
        <v>2507</v>
      </c>
      <c r="H502" s="17" t="s">
        <v>3889</v>
      </c>
      <c r="I502" s="17" t="s">
        <v>28</v>
      </c>
      <c r="J502" s="37" t="s">
        <v>4487</v>
      </c>
      <c r="K502" s="18">
        <v>46136</v>
      </c>
      <c r="L502" s="18" t="s">
        <v>24</v>
      </c>
      <c r="M502" s="7" t="s">
        <v>25</v>
      </c>
      <c r="N502" s="17"/>
    </row>
    <row r="503" spans="1:14" ht="25.5" x14ac:dyDescent="0.25">
      <c r="A503" s="17">
        <v>502</v>
      </c>
      <c r="B503" s="16" t="s">
        <v>2506</v>
      </c>
      <c r="C503" s="17">
        <v>2</v>
      </c>
      <c r="D503" s="17">
        <v>15.9</v>
      </c>
      <c r="E503" s="17"/>
      <c r="F503" s="16" t="s">
        <v>162</v>
      </c>
      <c r="G503" s="17" t="s">
        <v>2508</v>
      </c>
      <c r="H503" s="17" t="s">
        <v>3890</v>
      </c>
      <c r="I503" s="17" t="s">
        <v>28</v>
      </c>
      <c r="J503" s="37" t="s">
        <v>4488</v>
      </c>
      <c r="K503" s="18">
        <v>46154</v>
      </c>
      <c r="L503" s="18" t="s">
        <v>82</v>
      </c>
      <c r="M503" s="7" t="s">
        <v>25</v>
      </c>
      <c r="N503" s="17"/>
    </row>
    <row r="504" spans="1:14" ht="25.5" x14ac:dyDescent="0.25">
      <c r="A504" s="17">
        <v>503</v>
      </c>
      <c r="B504" s="16" t="s">
        <v>2506</v>
      </c>
      <c r="C504" s="17">
        <v>3</v>
      </c>
      <c r="D504" s="17">
        <v>13.9</v>
      </c>
      <c r="E504" s="17">
        <v>11</v>
      </c>
      <c r="F504" s="16" t="s">
        <v>162</v>
      </c>
      <c r="G504" s="17" t="s">
        <v>2509</v>
      </c>
      <c r="H504" s="17" t="s">
        <v>3729</v>
      </c>
      <c r="I504" s="17" t="s">
        <v>28</v>
      </c>
      <c r="J504" s="37" t="s">
        <v>4489</v>
      </c>
      <c r="K504" s="18">
        <v>46154</v>
      </c>
      <c r="L504" s="18" t="s">
        <v>24</v>
      </c>
      <c r="M504" s="7" t="s">
        <v>25</v>
      </c>
      <c r="N504" s="17"/>
    </row>
    <row r="505" spans="1:14" ht="25.5" x14ac:dyDescent="0.25">
      <c r="A505" s="17">
        <v>504</v>
      </c>
      <c r="B505" s="16" t="s">
        <v>2510</v>
      </c>
      <c r="C505" s="17">
        <v>1</v>
      </c>
      <c r="D505" s="17">
        <v>16.5</v>
      </c>
      <c r="E505" s="17">
        <v>10.6</v>
      </c>
      <c r="F505" s="16" t="s">
        <v>31</v>
      </c>
      <c r="G505" s="17" t="s">
        <v>2511</v>
      </c>
      <c r="H505" s="17" t="s">
        <v>4094</v>
      </c>
      <c r="I505" s="17" t="s">
        <v>38</v>
      </c>
      <c r="J505" s="37" t="s">
        <v>4726</v>
      </c>
      <c r="K505" s="18">
        <v>46147</v>
      </c>
      <c r="L505" s="18" t="s">
        <v>24</v>
      </c>
      <c r="M505" s="7" t="s">
        <v>25</v>
      </c>
      <c r="N505" s="17"/>
    </row>
    <row r="506" spans="1:14" ht="25.5" x14ac:dyDescent="0.25">
      <c r="A506" s="17">
        <v>505</v>
      </c>
      <c r="B506" s="16" t="s">
        <v>2510</v>
      </c>
      <c r="C506" s="17">
        <v>2</v>
      </c>
      <c r="D506" s="17">
        <v>17</v>
      </c>
      <c r="E506" s="17"/>
      <c r="F506" s="16" t="s">
        <v>31</v>
      </c>
      <c r="G506" s="17" t="s">
        <v>2511</v>
      </c>
      <c r="H506" s="17" t="s">
        <v>4094</v>
      </c>
      <c r="I506" s="17" t="s">
        <v>38</v>
      </c>
      <c r="J506" s="37" t="s">
        <v>4727</v>
      </c>
      <c r="K506" s="18">
        <v>46154</v>
      </c>
      <c r="L506" s="18" t="s">
        <v>24</v>
      </c>
      <c r="M506" s="7" t="s">
        <v>25</v>
      </c>
      <c r="N506" s="17"/>
    </row>
    <row r="507" spans="1:14" ht="25.5" x14ac:dyDescent="0.25">
      <c r="A507" s="17">
        <v>506</v>
      </c>
      <c r="B507" s="16" t="s">
        <v>2510</v>
      </c>
      <c r="C507" s="17">
        <v>3</v>
      </c>
      <c r="D507" s="17">
        <v>12.4</v>
      </c>
      <c r="E507" s="17">
        <v>10.8</v>
      </c>
      <c r="F507" s="16" t="s">
        <v>162</v>
      </c>
      <c r="G507" s="17" t="s">
        <v>2512</v>
      </c>
      <c r="H507" s="17" t="s">
        <v>4095</v>
      </c>
      <c r="I507" s="17" t="s">
        <v>28</v>
      </c>
      <c r="J507" s="37" t="s">
        <v>4490</v>
      </c>
      <c r="K507" s="18">
        <v>46133</v>
      </c>
      <c r="L507" s="18" t="s">
        <v>24</v>
      </c>
      <c r="M507" s="7" t="s">
        <v>25</v>
      </c>
      <c r="N507" s="17"/>
    </row>
    <row r="508" spans="1:14" ht="25.5" x14ac:dyDescent="0.25">
      <c r="A508" s="17">
        <v>507</v>
      </c>
      <c r="B508" s="16" t="s">
        <v>2513</v>
      </c>
      <c r="C508" s="17">
        <v>1</v>
      </c>
      <c r="D508" s="17">
        <v>16.100000000000001</v>
      </c>
      <c r="E508" s="17">
        <v>10.6</v>
      </c>
      <c r="F508" s="16" t="s">
        <v>101</v>
      </c>
      <c r="G508" s="17" t="s">
        <v>2514</v>
      </c>
      <c r="H508" s="17" t="s">
        <v>4096</v>
      </c>
      <c r="I508" s="17" t="s">
        <v>22</v>
      </c>
      <c r="J508" s="37" t="s">
        <v>4238</v>
      </c>
      <c r="K508" s="18">
        <v>46147</v>
      </c>
      <c r="L508" s="18" t="s">
        <v>24</v>
      </c>
      <c r="M508" s="7" t="s">
        <v>25</v>
      </c>
      <c r="N508" s="17"/>
    </row>
    <row r="509" spans="1:14" ht="25.5" x14ac:dyDescent="0.25">
      <c r="A509" s="17">
        <v>508</v>
      </c>
      <c r="B509" s="16" t="s">
        <v>2513</v>
      </c>
      <c r="C509" s="17">
        <v>2</v>
      </c>
      <c r="D509" s="17">
        <v>16.399999999999999</v>
      </c>
      <c r="E509" s="17"/>
      <c r="F509" s="16" t="s">
        <v>101</v>
      </c>
      <c r="G509" s="17" t="s">
        <v>2514</v>
      </c>
      <c r="H509" s="17" t="s">
        <v>4096</v>
      </c>
      <c r="I509" s="17" t="s">
        <v>22</v>
      </c>
      <c r="J509" s="37" t="s">
        <v>4238</v>
      </c>
      <c r="K509" s="18">
        <v>46147</v>
      </c>
      <c r="L509" s="18" t="s">
        <v>24</v>
      </c>
      <c r="M509" s="7" t="s">
        <v>25</v>
      </c>
      <c r="N509" s="17"/>
    </row>
    <row r="510" spans="1:14" ht="25.5" x14ac:dyDescent="0.25">
      <c r="A510" s="17">
        <v>509</v>
      </c>
      <c r="B510" s="16" t="s">
        <v>2513</v>
      </c>
      <c r="C510" s="17">
        <v>3</v>
      </c>
      <c r="D510" s="17">
        <v>12.4</v>
      </c>
      <c r="E510" s="17">
        <v>10.7</v>
      </c>
      <c r="F510" s="16" t="s">
        <v>19</v>
      </c>
      <c r="G510" s="17" t="s">
        <v>2515</v>
      </c>
      <c r="H510" s="17" t="s">
        <v>4862</v>
      </c>
      <c r="I510" s="17" t="s">
        <v>28</v>
      </c>
      <c r="J510" s="37" t="s">
        <v>4375</v>
      </c>
      <c r="K510" s="18">
        <v>46134</v>
      </c>
      <c r="L510" s="18" t="s">
        <v>24</v>
      </c>
      <c r="M510" s="7" t="s">
        <v>25</v>
      </c>
      <c r="N510" s="17"/>
    </row>
    <row r="511" spans="1:14" ht="25.5" x14ac:dyDescent="0.25">
      <c r="A511" s="17">
        <v>510</v>
      </c>
      <c r="B511" s="16" t="s">
        <v>2516</v>
      </c>
      <c r="C511" s="17">
        <v>1</v>
      </c>
      <c r="D511" s="17">
        <v>16.899999999999999</v>
      </c>
      <c r="E511" s="17">
        <v>11.3</v>
      </c>
      <c r="F511" s="16" t="s">
        <v>343</v>
      </c>
      <c r="G511" s="17" t="s">
        <v>2517</v>
      </c>
      <c r="H511" s="17" t="s">
        <v>3581</v>
      </c>
      <c r="I511" s="17" t="s">
        <v>28</v>
      </c>
      <c r="J511" s="37" t="s">
        <v>4213</v>
      </c>
      <c r="K511" s="18">
        <v>46133</v>
      </c>
      <c r="L511" s="18" t="s">
        <v>24</v>
      </c>
      <c r="M511" s="7" t="s">
        <v>25</v>
      </c>
      <c r="N511" s="17"/>
    </row>
    <row r="512" spans="1:14" ht="51" x14ac:dyDescent="0.25">
      <c r="A512" s="17">
        <v>511</v>
      </c>
      <c r="B512" s="16" t="s">
        <v>2516</v>
      </c>
      <c r="C512" s="17">
        <v>2</v>
      </c>
      <c r="D512" s="17">
        <v>16.399999999999999</v>
      </c>
      <c r="E512" s="17"/>
      <c r="F512" s="16" t="s">
        <v>106</v>
      </c>
      <c r="G512" s="17" t="s">
        <v>2518</v>
      </c>
      <c r="H512" s="17" t="s">
        <v>3891</v>
      </c>
      <c r="I512" s="17" t="s">
        <v>34</v>
      </c>
      <c r="J512" s="37" t="s">
        <v>4572</v>
      </c>
      <c r="K512" s="18">
        <v>46142</v>
      </c>
      <c r="L512" s="18" t="s">
        <v>24</v>
      </c>
      <c r="M512" s="7" t="s">
        <v>25</v>
      </c>
      <c r="N512" s="17"/>
    </row>
    <row r="513" spans="1:14" ht="51" x14ac:dyDescent="0.25">
      <c r="A513" s="17">
        <v>512</v>
      </c>
      <c r="B513" s="16" t="s">
        <v>2516</v>
      </c>
      <c r="C513" s="17">
        <v>3</v>
      </c>
      <c r="D513" s="17">
        <v>13.2</v>
      </c>
      <c r="E513" s="17">
        <v>11.1</v>
      </c>
      <c r="F513" s="16" t="s">
        <v>106</v>
      </c>
      <c r="G513" s="17" t="s">
        <v>2518</v>
      </c>
      <c r="H513" s="17" t="s">
        <v>3891</v>
      </c>
      <c r="I513" s="17" t="s">
        <v>34</v>
      </c>
      <c r="J513" s="37" t="s">
        <v>4572</v>
      </c>
      <c r="K513" s="18">
        <v>46142</v>
      </c>
      <c r="L513" s="18" t="s">
        <v>24</v>
      </c>
      <c r="M513" s="7" t="s">
        <v>25</v>
      </c>
      <c r="N513" s="17"/>
    </row>
    <row r="514" spans="1:14" ht="25.5" x14ac:dyDescent="0.25">
      <c r="A514" s="17">
        <v>513</v>
      </c>
      <c r="B514" s="16" t="s">
        <v>2519</v>
      </c>
      <c r="C514" s="17">
        <v>1</v>
      </c>
      <c r="D514" s="17">
        <v>17</v>
      </c>
      <c r="E514" s="17">
        <v>10.9</v>
      </c>
      <c r="F514" s="16" t="s">
        <v>151</v>
      </c>
      <c r="G514" s="17" t="s">
        <v>2520</v>
      </c>
      <c r="H514" s="17" t="s">
        <v>3892</v>
      </c>
      <c r="I514" s="17" t="s">
        <v>28</v>
      </c>
      <c r="J514" s="37" t="s">
        <v>4795</v>
      </c>
      <c r="K514" s="18">
        <v>46141</v>
      </c>
      <c r="L514" s="18" t="s">
        <v>24</v>
      </c>
      <c r="M514" s="7" t="s">
        <v>25</v>
      </c>
      <c r="N514" s="17"/>
    </row>
    <row r="515" spans="1:14" ht="25.5" x14ac:dyDescent="0.25">
      <c r="A515" s="17">
        <v>514</v>
      </c>
      <c r="B515" s="16" t="s">
        <v>2519</v>
      </c>
      <c r="C515" s="17">
        <v>2</v>
      </c>
      <c r="D515" s="17">
        <v>16.8</v>
      </c>
      <c r="E515" s="17"/>
      <c r="F515" s="16" t="s">
        <v>151</v>
      </c>
      <c r="G515" s="17" t="s">
        <v>2520</v>
      </c>
      <c r="H515" s="17" t="s">
        <v>3892</v>
      </c>
      <c r="I515" s="17" t="s">
        <v>28</v>
      </c>
      <c r="J515" s="37" t="s">
        <v>4795</v>
      </c>
      <c r="K515" s="18">
        <v>46141</v>
      </c>
      <c r="L515" s="18" t="s">
        <v>24</v>
      </c>
      <c r="M515" s="7" t="s">
        <v>25</v>
      </c>
      <c r="N515" s="17"/>
    </row>
    <row r="516" spans="1:14" ht="25.5" x14ac:dyDescent="0.25">
      <c r="A516" s="17">
        <v>515</v>
      </c>
      <c r="B516" s="16" t="s">
        <v>2519</v>
      </c>
      <c r="C516" s="17">
        <v>3</v>
      </c>
      <c r="D516" s="17">
        <v>13.4</v>
      </c>
      <c r="E516" s="17">
        <v>10.8</v>
      </c>
      <c r="F516" s="16" t="s">
        <v>151</v>
      </c>
      <c r="G516" s="17" t="s">
        <v>2521</v>
      </c>
      <c r="H516" s="17" t="s">
        <v>3893</v>
      </c>
      <c r="I516" s="17" t="s">
        <v>28</v>
      </c>
      <c r="J516" s="37" t="s">
        <v>4796</v>
      </c>
      <c r="K516" s="18">
        <v>46156</v>
      </c>
      <c r="L516" s="18" t="s">
        <v>24</v>
      </c>
      <c r="M516" s="7" t="s">
        <v>25</v>
      </c>
      <c r="N516" s="17"/>
    </row>
    <row r="517" spans="1:14" ht="51" x14ac:dyDescent="0.25">
      <c r="A517" s="17">
        <v>516</v>
      </c>
      <c r="B517" s="16" t="s">
        <v>2522</v>
      </c>
      <c r="C517" s="17">
        <v>1</v>
      </c>
      <c r="D517" s="17">
        <v>17</v>
      </c>
      <c r="E517" s="17">
        <v>11</v>
      </c>
      <c r="F517" s="16" t="s">
        <v>19</v>
      </c>
      <c r="G517" s="17" t="s">
        <v>2523</v>
      </c>
      <c r="H517" s="17" t="s">
        <v>3730</v>
      </c>
      <c r="I517" s="17" t="s">
        <v>34</v>
      </c>
      <c r="J517" s="37" t="s">
        <v>4376</v>
      </c>
      <c r="K517" s="18">
        <v>46134</v>
      </c>
      <c r="L517" s="18" t="s">
        <v>24</v>
      </c>
      <c r="M517" s="7" t="s">
        <v>25</v>
      </c>
      <c r="N517" s="17"/>
    </row>
    <row r="518" spans="1:14" ht="51" x14ac:dyDescent="0.25">
      <c r="A518" s="17">
        <v>517</v>
      </c>
      <c r="B518" s="16" t="s">
        <v>2522</v>
      </c>
      <c r="C518" s="17">
        <v>2</v>
      </c>
      <c r="D518" s="17">
        <v>17</v>
      </c>
      <c r="E518" s="17"/>
      <c r="F518" s="16" t="s">
        <v>19</v>
      </c>
      <c r="G518" s="17" t="s">
        <v>2523</v>
      </c>
      <c r="H518" s="17" t="s">
        <v>3730</v>
      </c>
      <c r="I518" s="17" t="s">
        <v>34</v>
      </c>
      <c r="J518" s="37" t="s">
        <v>4376</v>
      </c>
      <c r="K518" s="18">
        <v>46134</v>
      </c>
      <c r="L518" s="18" t="s">
        <v>24</v>
      </c>
      <c r="M518" s="7" t="s">
        <v>25</v>
      </c>
      <c r="N518" s="17"/>
    </row>
    <row r="519" spans="1:14" ht="63.75" x14ac:dyDescent="0.25">
      <c r="A519" s="17">
        <v>518</v>
      </c>
      <c r="B519" s="16" t="s">
        <v>2522</v>
      </c>
      <c r="C519" s="17">
        <v>3</v>
      </c>
      <c r="D519" s="17">
        <v>12.6</v>
      </c>
      <c r="E519" s="17">
        <v>10</v>
      </c>
      <c r="F519" s="16" t="s">
        <v>338</v>
      </c>
      <c r="G519" s="17" t="s">
        <v>2524</v>
      </c>
      <c r="H519" s="17" t="s">
        <v>4097</v>
      </c>
      <c r="I519" s="17" t="s">
        <v>34</v>
      </c>
      <c r="J519" s="37" t="s">
        <v>4418</v>
      </c>
      <c r="K519" s="18">
        <v>46141</v>
      </c>
      <c r="L519" s="18" t="s">
        <v>24</v>
      </c>
      <c r="M519" s="7" t="s">
        <v>25</v>
      </c>
      <c r="N519" s="17"/>
    </row>
    <row r="520" spans="1:14" ht="25.5" x14ac:dyDescent="0.25">
      <c r="A520" s="17">
        <v>519</v>
      </c>
      <c r="B520" s="16" t="s">
        <v>2525</v>
      </c>
      <c r="C520" s="17">
        <v>1</v>
      </c>
      <c r="D520" s="17">
        <v>17.600000000000001</v>
      </c>
      <c r="E520" s="17">
        <v>11</v>
      </c>
      <c r="F520" s="16" t="s">
        <v>151</v>
      </c>
      <c r="G520" s="17" t="s">
        <v>2526</v>
      </c>
      <c r="H520" s="17" t="s">
        <v>4098</v>
      </c>
      <c r="I520" s="17" t="s">
        <v>28</v>
      </c>
      <c r="J520" s="37" t="s">
        <v>4797</v>
      </c>
      <c r="K520" s="18">
        <v>46137</v>
      </c>
      <c r="L520" s="18" t="s">
        <v>82</v>
      </c>
      <c r="M520" s="7" t="s">
        <v>25</v>
      </c>
      <c r="N520" s="17"/>
    </row>
    <row r="521" spans="1:14" x14ac:dyDescent="0.25">
      <c r="A521" s="14">
        <v>520</v>
      </c>
      <c r="B521" s="15" t="s">
        <v>2525</v>
      </c>
      <c r="C521" s="14">
        <v>2</v>
      </c>
      <c r="D521" s="14">
        <v>16.899999999999999</v>
      </c>
      <c r="E521" s="14"/>
      <c r="F521" s="15" t="s">
        <v>101</v>
      </c>
      <c r="G521" s="14"/>
      <c r="H521" s="14"/>
      <c r="I521" s="14"/>
      <c r="J521" s="28"/>
      <c r="K521" s="14"/>
      <c r="L521" s="14"/>
      <c r="M521" s="14" t="s">
        <v>286</v>
      </c>
      <c r="N521" s="14"/>
    </row>
    <row r="522" spans="1:14" ht="25.5" x14ac:dyDescent="0.25">
      <c r="A522" s="17">
        <v>521</v>
      </c>
      <c r="B522" s="16" t="s">
        <v>2525</v>
      </c>
      <c r="C522" s="17">
        <v>3</v>
      </c>
      <c r="D522" s="17">
        <v>12.1</v>
      </c>
      <c r="E522" s="17">
        <v>11</v>
      </c>
      <c r="F522" s="16" t="s">
        <v>62</v>
      </c>
      <c r="G522" s="17" t="s">
        <v>2527</v>
      </c>
      <c r="H522" s="17" t="s">
        <v>4099</v>
      </c>
      <c r="I522" s="17" t="s">
        <v>28</v>
      </c>
      <c r="J522" s="37" t="s">
        <v>4528</v>
      </c>
      <c r="K522" s="18">
        <v>46142</v>
      </c>
      <c r="L522" s="18" t="s">
        <v>24</v>
      </c>
      <c r="M522" s="7" t="s">
        <v>25</v>
      </c>
      <c r="N522" s="17"/>
    </row>
    <row r="523" spans="1:14" ht="63.75" x14ac:dyDescent="0.25">
      <c r="A523" s="17">
        <v>522</v>
      </c>
      <c r="B523" s="16" t="s">
        <v>2528</v>
      </c>
      <c r="C523" s="17">
        <v>1</v>
      </c>
      <c r="D523" s="17">
        <v>17.2</v>
      </c>
      <c r="E523" s="17">
        <v>11</v>
      </c>
      <c r="F523" s="16" t="s">
        <v>31</v>
      </c>
      <c r="G523" s="17" t="s">
        <v>4924</v>
      </c>
      <c r="H523" s="17" t="s">
        <v>3731</v>
      </c>
      <c r="I523" s="17" t="s">
        <v>34</v>
      </c>
      <c r="J523" s="37" t="s">
        <v>4728</v>
      </c>
      <c r="K523" s="18">
        <v>46147</v>
      </c>
      <c r="L523" s="18" t="s">
        <v>24</v>
      </c>
      <c r="M523" s="7" t="s">
        <v>25</v>
      </c>
      <c r="N523" s="17"/>
    </row>
    <row r="524" spans="1:14" ht="63.75" x14ac:dyDescent="0.25">
      <c r="A524" s="17">
        <v>523</v>
      </c>
      <c r="B524" s="16" t="s">
        <v>2528</v>
      </c>
      <c r="C524" s="17">
        <v>2</v>
      </c>
      <c r="D524" s="17">
        <v>16.5</v>
      </c>
      <c r="E524" s="17"/>
      <c r="F524" s="16" t="s">
        <v>31</v>
      </c>
      <c r="G524" s="17" t="s">
        <v>2529</v>
      </c>
      <c r="H524" s="17" t="s">
        <v>4100</v>
      </c>
      <c r="I524" s="17" t="s">
        <v>34</v>
      </c>
      <c r="J524" s="37" t="s">
        <v>4729</v>
      </c>
      <c r="K524" s="18">
        <v>46147</v>
      </c>
      <c r="L524" s="18" t="s">
        <v>24</v>
      </c>
      <c r="M524" s="7" t="s">
        <v>25</v>
      </c>
      <c r="N524" s="17"/>
    </row>
    <row r="525" spans="1:14" ht="51" x14ac:dyDescent="0.25">
      <c r="A525" s="17">
        <v>524</v>
      </c>
      <c r="B525" s="16" t="s">
        <v>2528</v>
      </c>
      <c r="C525" s="17">
        <v>3</v>
      </c>
      <c r="D525" s="17">
        <v>12.1</v>
      </c>
      <c r="E525" s="17">
        <v>10.8</v>
      </c>
      <c r="F525" s="16" t="s">
        <v>338</v>
      </c>
      <c r="G525" s="17" t="s">
        <v>2530</v>
      </c>
      <c r="H525" s="17" t="s">
        <v>3894</v>
      </c>
      <c r="I525" s="17" t="s">
        <v>34</v>
      </c>
      <c r="J525" s="37" t="s">
        <v>4419</v>
      </c>
      <c r="K525" s="18">
        <v>46156</v>
      </c>
      <c r="L525" s="18" t="s">
        <v>24</v>
      </c>
      <c r="M525" s="7" t="s">
        <v>25</v>
      </c>
      <c r="N525" s="17"/>
    </row>
    <row r="526" spans="1:14" ht="25.5" x14ac:dyDescent="0.25">
      <c r="A526" s="17">
        <v>525</v>
      </c>
      <c r="B526" s="16" t="s">
        <v>2531</v>
      </c>
      <c r="C526" s="17">
        <v>1</v>
      </c>
      <c r="D526" s="17">
        <v>16.600000000000001</v>
      </c>
      <c r="E526" s="17">
        <v>11</v>
      </c>
      <c r="F526" s="16" t="s">
        <v>121</v>
      </c>
      <c r="G526" s="17" t="s">
        <v>2532</v>
      </c>
      <c r="H526" s="17" t="s">
        <v>3732</v>
      </c>
      <c r="I526" s="17" t="s">
        <v>388</v>
      </c>
      <c r="J526" s="37" t="s">
        <v>4646</v>
      </c>
      <c r="K526" s="18">
        <v>46140</v>
      </c>
      <c r="L526" s="18" t="s">
        <v>24</v>
      </c>
      <c r="M526" s="7" t="s">
        <v>25</v>
      </c>
      <c r="N526" s="17"/>
    </row>
    <row r="527" spans="1:14" ht="51" x14ac:dyDescent="0.25">
      <c r="A527" s="17">
        <v>526</v>
      </c>
      <c r="B527" s="16" t="s">
        <v>2531</v>
      </c>
      <c r="C527" s="17">
        <v>2</v>
      </c>
      <c r="D527" s="17">
        <v>16.8</v>
      </c>
      <c r="E527" s="17"/>
      <c r="F527" s="16" t="s">
        <v>121</v>
      </c>
      <c r="G527" s="17" t="s">
        <v>2533</v>
      </c>
      <c r="H527" s="17" t="s">
        <v>3733</v>
      </c>
      <c r="I527" s="17" t="s">
        <v>34</v>
      </c>
      <c r="J527" s="37" t="s">
        <v>4647</v>
      </c>
      <c r="K527" s="18">
        <v>46137</v>
      </c>
      <c r="L527" s="18" t="s">
        <v>24</v>
      </c>
      <c r="M527" s="7" t="s">
        <v>25</v>
      </c>
      <c r="N527" s="17"/>
    </row>
    <row r="528" spans="1:14" ht="51" x14ac:dyDescent="0.25">
      <c r="A528" s="17">
        <v>527</v>
      </c>
      <c r="B528" s="16" t="s">
        <v>2531</v>
      </c>
      <c r="C528" s="17">
        <v>3</v>
      </c>
      <c r="D528" s="17">
        <v>12.4</v>
      </c>
      <c r="E528" s="17">
        <v>11</v>
      </c>
      <c r="F528" s="16" t="s">
        <v>121</v>
      </c>
      <c r="G528" s="17" t="s">
        <v>2533</v>
      </c>
      <c r="H528" s="17" t="s">
        <v>3733</v>
      </c>
      <c r="I528" s="17" t="s">
        <v>34</v>
      </c>
      <c r="J528" s="37" t="s">
        <v>4647</v>
      </c>
      <c r="K528" s="18">
        <v>46137</v>
      </c>
      <c r="L528" s="18" t="s">
        <v>24</v>
      </c>
      <c r="M528" s="7" t="s">
        <v>25</v>
      </c>
      <c r="N528" s="17"/>
    </row>
    <row r="529" spans="1:14" ht="25.5" x14ac:dyDescent="0.25">
      <c r="A529" s="17">
        <v>528</v>
      </c>
      <c r="B529" s="16" t="s">
        <v>2534</v>
      </c>
      <c r="C529" s="17">
        <v>1</v>
      </c>
      <c r="D529" s="17">
        <v>16.899999999999999</v>
      </c>
      <c r="E529" s="17">
        <v>11</v>
      </c>
      <c r="F529" s="16" t="s">
        <v>31</v>
      </c>
      <c r="G529" s="17" t="s">
        <v>2535</v>
      </c>
      <c r="H529" s="17" t="s">
        <v>4101</v>
      </c>
      <c r="I529" s="17" t="s">
        <v>28</v>
      </c>
      <c r="J529" s="37" t="s">
        <v>4730</v>
      </c>
      <c r="K529" s="18">
        <v>46147</v>
      </c>
      <c r="L529" s="18" t="s">
        <v>24</v>
      </c>
      <c r="M529" s="7" t="s">
        <v>25</v>
      </c>
      <c r="N529" s="17"/>
    </row>
    <row r="530" spans="1:14" ht="25.5" x14ac:dyDescent="0.25">
      <c r="A530" s="17">
        <v>529</v>
      </c>
      <c r="B530" s="16" t="s">
        <v>2534</v>
      </c>
      <c r="C530" s="17">
        <v>2</v>
      </c>
      <c r="D530" s="17">
        <v>16.600000000000001</v>
      </c>
      <c r="E530" s="17"/>
      <c r="F530" s="16" t="s">
        <v>19</v>
      </c>
      <c r="G530" s="17" t="s">
        <v>2536</v>
      </c>
      <c r="H530" s="17" t="s">
        <v>3895</v>
      </c>
      <c r="I530" s="17" t="s">
        <v>28</v>
      </c>
      <c r="J530" s="37" t="s">
        <v>4377</v>
      </c>
      <c r="K530" s="18">
        <v>46137</v>
      </c>
      <c r="L530" s="18" t="s">
        <v>24</v>
      </c>
      <c r="M530" s="7" t="s">
        <v>25</v>
      </c>
      <c r="N530" s="17"/>
    </row>
    <row r="531" spans="1:14" ht="25.5" x14ac:dyDescent="0.25">
      <c r="A531" s="17">
        <v>530</v>
      </c>
      <c r="B531" s="16" t="s">
        <v>2534</v>
      </c>
      <c r="C531" s="17">
        <v>3</v>
      </c>
      <c r="D531" s="17">
        <v>12.6</v>
      </c>
      <c r="E531" s="17">
        <v>10.6</v>
      </c>
      <c r="F531" s="16" t="s">
        <v>338</v>
      </c>
      <c r="G531" s="17" t="s">
        <v>2537</v>
      </c>
      <c r="H531" s="17" t="s">
        <v>4102</v>
      </c>
      <c r="I531" s="17" t="s">
        <v>51</v>
      </c>
      <c r="J531" s="37" t="s">
        <v>4420</v>
      </c>
      <c r="K531" s="18">
        <v>46156</v>
      </c>
      <c r="L531" s="18" t="s">
        <v>24</v>
      </c>
      <c r="M531" s="7" t="s">
        <v>25</v>
      </c>
      <c r="N531" s="17"/>
    </row>
    <row r="532" spans="1:14" ht="51" x14ac:dyDescent="0.25">
      <c r="A532" s="17">
        <v>531</v>
      </c>
      <c r="B532" s="16" t="s">
        <v>2538</v>
      </c>
      <c r="C532" s="17">
        <v>1</v>
      </c>
      <c r="D532" s="17">
        <v>17.100000000000001</v>
      </c>
      <c r="E532" s="17"/>
      <c r="F532" s="16" t="s">
        <v>151</v>
      </c>
      <c r="G532" s="17" t="s">
        <v>2539</v>
      </c>
      <c r="H532" s="17" t="s">
        <v>3896</v>
      </c>
      <c r="I532" s="17" t="s">
        <v>293</v>
      </c>
      <c r="J532" s="37" t="s">
        <v>4798</v>
      </c>
      <c r="K532" s="18">
        <v>46155</v>
      </c>
      <c r="L532" s="18" t="s">
        <v>24</v>
      </c>
      <c r="M532" s="7" t="s">
        <v>25</v>
      </c>
      <c r="N532" s="17"/>
    </row>
    <row r="533" spans="1:14" ht="25.5" x14ac:dyDescent="0.25">
      <c r="A533" s="17">
        <v>532</v>
      </c>
      <c r="B533" s="16" t="s">
        <v>2538</v>
      </c>
      <c r="C533" s="17">
        <v>2</v>
      </c>
      <c r="D533" s="17">
        <v>16.399999999999999</v>
      </c>
      <c r="E533" s="17">
        <v>11.2</v>
      </c>
      <c r="F533" s="16" t="s">
        <v>86</v>
      </c>
      <c r="G533" s="17" t="s">
        <v>2540</v>
      </c>
      <c r="H533" s="17" t="s">
        <v>4103</v>
      </c>
      <c r="I533" s="17" t="s">
        <v>28</v>
      </c>
      <c r="J533" s="37" t="s">
        <v>4675</v>
      </c>
      <c r="K533" s="18">
        <v>46144</v>
      </c>
      <c r="L533" s="18" t="s">
        <v>24</v>
      </c>
      <c r="M533" s="7" t="s">
        <v>25</v>
      </c>
      <c r="N533" s="17"/>
    </row>
    <row r="534" spans="1:14" ht="51" x14ac:dyDescent="0.25">
      <c r="A534" s="17">
        <v>533</v>
      </c>
      <c r="B534" s="16" t="s">
        <v>2538</v>
      </c>
      <c r="C534" s="17">
        <v>3</v>
      </c>
      <c r="D534" s="17">
        <v>12.2</v>
      </c>
      <c r="E534" s="17">
        <v>11.1</v>
      </c>
      <c r="F534" s="16" t="s">
        <v>151</v>
      </c>
      <c r="G534" s="17" t="s">
        <v>2539</v>
      </c>
      <c r="H534" s="17" t="s">
        <v>3896</v>
      </c>
      <c r="I534" s="17" t="s">
        <v>293</v>
      </c>
      <c r="J534" s="37" t="s">
        <v>4798</v>
      </c>
      <c r="K534" s="18">
        <v>46155</v>
      </c>
      <c r="L534" s="18" t="s">
        <v>24</v>
      </c>
      <c r="M534" s="7" t="s">
        <v>25</v>
      </c>
      <c r="N534" s="17"/>
    </row>
    <row r="535" spans="1:14" ht="25.5" x14ac:dyDescent="0.25">
      <c r="A535" s="17">
        <v>534</v>
      </c>
      <c r="B535" s="16" t="s">
        <v>2541</v>
      </c>
      <c r="C535" s="17">
        <v>1</v>
      </c>
      <c r="D535" s="17">
        <v>17.399999999999999</v>
      </c>
      <c r="E535" s="17">
        <v>10.8</v>
      </c>
      <c r="F535" s="16" t="s">
        <v>101</v>
      </c>
      <c r="G535" s="17" t="s">
        <v>2542</v>
      </c>
      <c r="H535" s="17" t="s">
        <v>4104</v>
      </c>
      <c r="I535" s="17" t="s">
        <v>51</v>
      </c>
      <c r="J535" s="37" t="s">
        <v>4239</v>
      </c>
      <c r="K535" s="18">
        <v>46137</v>
      </c>
      <c r="L535" s="18" t="s">
        <v>24</v>
      </c>
      <c r="M535" s="7" t="s">
        <v>25</v>
      </c>
      <c r="N535" s="17"/>
    </row>
    <row r="536" spans="1:14" ht="63.75" x14ac:dyDescent="0.25">
      <c r="A536" s="17">
        <v>535</v>
      </c>
      <c r="B536" s="16" t="s">
        <v>2541</v>
      </c>
      <c r="C536" s="17">
        <v>2</v>
      </c>
      <c r="D536" s="17">
        <v>16.3</v>
      </c>
      <c r="E536" s="17"/>
      <c r="F536" s="16" t="s">
        <v>62</v>
      </c>
      <c r="G536" s="17" t="s">
        <v>2543</v>
      </c>
      <c r="H536" s="17" t="s">
        <v>4105</v>
      </c>
      <c r="I536" s="17" t="s">
        <v>34</v>
      </c>
      <c r="J536" s="37" t="s">
        <v>4529</v>
      </c>
      <c r="K536" s="18">
        <v>46137</v>
      </c>
      <c r="L536" s="18" t="s">
        <v>24</v>
      </c>
      <c r="M536" s="7" t="s">
        <v>25</v>
      </c>
      <c r="N536" s="17"/>
    </row>
    <row r="537" spans="1:14" ht="63.75" x14ac:dyDescent="0.25">
      <c r="A537" s="17">
        <v>536</v>
      </c>
      <c r="B537" s="16" t="s">
        <v>2541</v>
      </c>
      <c r="C537" s="17">
        <v>3</v>
      </c>
      <c r="D537" s="17">
        <v>13.2</v>
      </c>
      <c r="E537" s="17">
        <v>10.9</v>
      </c>
      <c r="F537" s="16" t="s">
        <v>62</v>
      </c>
      <c r="G537" s="17" t="s">
        <v>2543</v>
      </c>
      <c r="H537" s="17" t="s">
        <v>4105</v>
      </c>
      <c r="I537" s="17" t="s">
        <v>34</v>
      </c>
      <c r="J537" s="37" t="s">
        <v>4529</v>
      </c>
      <c r="K537" s="18">
        <v>46137</v>
      </c>
      <c r="L537" s="18" t="s">
        <v>24</v>
      </c>
      <c r="M537" s="7" t="s">
        <v>25</v>
      </c>
      <c r="N537" s="17"/>
    </row>
    <row r="538" spans="1:14" ht="63.75" x14ac:dyDescent="0.25">
      <c r="A538" s="17">
        <v>537</v>
      </c>
      <c r="B538" s="16" t="s">
        <v>2544</v>
      </c>
      <c r="C538" s="17">
        <v>1</v>
      </c>
      <c r="D538" s="17">
        <v>16.899999999999999</v>
      </c>
      <c r="E538" s="17">
        <v>11</v>
      </c>
      <c r="F538" s="16" t="s">
        <v>19</v>
      </c>
      <c r="G538" s="17" t="s">
        <v>2545</v>
      </c>
      <c r="H538" s="17" t="s">
        <v>3734</v>
      </c>
      <c r="I538" s="17" t="s">
        <v>34</v>
      </c>
      <c r="J538" s="37" t="s">
        <v>4378</v>
      </c>
      <c r="K538" s="18">
        <v>46141</v>
      </c>
      <c r="L538" s="18" t="s">
        <v>24</v>
      </c>
      <c r="M538" s="7" t="s">
        <v>25</v>
      </c>
      <c r="N538" s="17"/>
    </row>
    <row r="539" spans="1:14" ht="25.5" x14ac:dyDescent="0.25">
      <c r="A539" s="17">
        <v>538</v>
      </c>
      <c r="B539" s="16" t="s">
        <v>2544</v>
      </c>
      <c r="C539" s="17">
        <v>2</v>
      </c>
      <c r="D539" s="17">
        <v>16.100000000000001</v>
      </c>
      <c r="E539" s="17"/>
      <c r="F539" s="16" t="s">
        <v>338</v>
      </c>
      <c r="G539" s="17" t="s">
        <v>2546</v>
      </c>
      <c r="H539" s="17" t="s">
        <v>4106</v>
      </c>
      <c r="I539" s="17" t="s">
        <v>51</v>
      </c>
      <c r="J539" s="37" t="s">
        <v>4421</v>
      </c>
      <c r="K539" s="18">
        <v>46156</v>
      </c>
      <c r="L539" s="18" t="s">
        <v>24</v>
      </c>
      <c r="M539" s="7" t="s">
        <v>25</v>
      </c>
      <c r="N539" s="17"/>
    </row>
    <row r="540" spans="1:14" ht="51" x14ac:dyDescent="0.25">
      <c r="A540" s="17">
        <v>539</v>
      </c>
      <c r="B540" s="16" t="s">
        <v>2544</v>
      </c>
      <c r="C540" s="17">
        <v>3</v>
      </c>
      <c r="D540" s="17">
        <v>12.3</v>
      </c>
      <c r="E540" s="17">
        <v>10.4</v>
      </c>
      <c r="F540" s="16" t="s">
        <v>338</v>
      </c>
      <c r="G540" s="17" t="s">
        <v>2547</v>
      </c>
      <c r="H540" s="17" t="s">
        <v>3897</v>
      </c>
      <c r="I540" s="17" t="s">
        <v>34</v>
      </c>
      <c r="J540" s="37" t="s">
        <v>4422</v>
      </c>
      <c r="K540" s="18">
        <v>46156</v>
      </c>
      <c r="L540" s="18" t="s">
        <v>24</v>
      </c>
      <c r="M540" s="7" t="s">
        <v>25</v>
      </c>
      <c r="N540" s="17"/>
    </row>
    <row r="541" spans="1:14" ht="51" x14ac:dyDescent="0.25">
      <c r="A541" s="17">
        <v>540</v>
      </c>
      <c r="B541" s="16" t="s">
        <v>2548</v>
      </c>
      <c r="C541" s="17">
        <v>1</v>
      </c>
      <c r="D541" s="17">
        <v>16</v>
      </c>
      <c r="E541" s="17">
        <v>11.3</v>
      </c>
      <c r="F541" s="16" t="s">
        <v>106</v>
      </c>
      <c r="G541" s="17" t="s">
        <v>2549</v>
      </c>
      <c r="H541" s="17" t="s">
        <v>4107</v>
      </c>
      <c r="I541" s="17" t="s">
        <v>34</v>
      </c>
      <c r="J541" s="37" t="s">
        <v>4573</v>
      </c>
      <c r="K541" s="18">
        <v>46142</v>
      </c>
      <c r="L541" s="18" t="s">
        <v>24</v>
      </c>
      <c r="M541" s="7" t="s">
        <v>25</v>
      </c>
      <c r="N541" s="17"/>
    </row>
    <row r="542" spans="1:14" ht="25.5" x14ac:dyDescent="0.25">
      <c r="A542" s="17">
        <v>541</v>
      </c>
      <c r="B542" s="16" t="s">
        <v>2548</v>
      </c>
      <c r="C542" s="17">
        <v>2</v>
      </c>
      <c r="D542" s="17">
        <v>15.7</v>
      </c>
      <c r="E542" s="17"/>
      <c r="F542" s="16" t="s">
        <v>106</v>
      </c>
      <c r="G542" s="17" t="s">
        <v>2550</v>
      </c>
      <c r="H542" s="17" t="s">
        <v>4108</v>
      </c>
      <c r="I542" s="17" t="s">
        <v>22</v>
      </c>
      <c r="J542" s="37" t="s">
        <v>4574</v>
      </c>
      <c r="K542" s="18">
        <v>46147</v>
      </c>
      <c r="L542" s="18" t="s">
        <v>24</v>
      </c>
      <c r="M542" s="7" t="s">
        <v>25</v>
      </c>
      <c r="N542" s="17"/>
    </row>
    <row r="543" spans="1:14" ht="25.5" x14ac:dyDescent="0.25">
      <c r="A543" s="17">
        <v>542</v>
      </c>
      <c r="B543" s="16" t="s">
        <v>2548</v>
      </c>
      <c r="C543" s="17">
        <v>3</v>
      </c>
      <c r="D543" s="17">
        <v>13.2</v>
      </c>
      <c r="E543" s="17">
        <v>11.1</v>
      </c>
      <c r="F543" s="16" t="s">
        <v>106</v>
      </c>
      <c r="G543" s="17" t="s">
        <v>2550</v>
      </c>
      <c r="H543" s="17" t="s">
        <v>4108</v>
      </c>
      <c r="I543" s="17" t="s">
        <v>22</v>
      </c>
      <c r="J543" s="37" t="s">
        <v>4575</v>
      </c>
      <c r="K543" s="18">
        <v>46156</v>
      </c>
      <c r="L543" s="18" t="s">
        <v>82</v>
      </c>
      <c r="M543" s="7" t="s">
        <v>25</v>
      </c>
      <c r="N543" s="17"/>
    </row>
    <row r="544" spans="1:14" ht="63.75" x14ac:dyDescent="0.25">
      <c r="A544" s="17">
        <v>543</v>
      </c>
      <c r="B544" s="16" t="s">
        <v>2551</v>
      </c>
      <c r="C544" s="17">
        <v>1</v>
      </c>
      <c r="D544" s="17">
        <v>17.100000000000001</v>
      </c>
      <c r="E544" s="17">
        <v>11.1</v>
      </c>
      <c r="F544" s="16" t="s">
        <v>126</v>
      </c>
      <c r="G544" s="17" t="s">
        <v>2552</v>
      </c>
      <c r="H544" s="17" t="s">
        <v>3898</v>
      </c>
      <c r="I544" s="17" t="s">
        <v>34</v>
      </c>
      <c r="J544" s="37" t="s">
        <v>4279</v>
      </c>
      <c r="K544" s="18">
        <v>46149</v>
      </c>
      <c r="L544" s="18" t="s">
        <v>24</v>
      </c>
      <c r="M544" s="7" t="s">
        <v>25</v>
      </c>
      <c r="N544" s="17"/>
    </row>
    <row r="545" spans="1:14" ht="63.75" x14ac:dyDescent="0.25">
      <c r="A545" s="17">
        <v>544</v>
      </c>
      <c r="B545" s="16" t="s">
        <v>2551</v>
      </c>
      <c r="C545" s="17">
        <v>2</v>
      </c>
      <c r="D545" s="17">
        <v>16.399999999999999</v>
      </c>
      <c r="E545" s="17"/>
      <c r="F545" s="16" t="s">
        <v>126</v>
      </c>
      <c r="G545" s="17" t="s">
        <v>2552</v>
      </c>
      <c r="H545" s="17" t="s">
        <v>3898</v>
      </c>
      <c r="I545" s="17" t="s">
        <v>34</v>
      </c>
      <c r="J545" s="37" t="s">
        <v>4280</v>
      </c>
      <c r="K545" s="18">
        <v>46149</v>
      </c>
      <c r="L545" s="18" t="s">
        <v>24</v>
      </c>
      <c r="M545" s="7" t="s">
        <v>25</v>
      </c>
      <c r="N545" s="17"/>
    </row>
    <row r="546" spans="1:14" ht="25.5" x14ac:dyDescent="0.25">
      <c r="A546" s="17">
        <v>545</v>
      </c>
      <c r="B546" s="16" t="s">
        <v>2551</v>
      </c>
      <c r="C546" s="17">
        <v>3</v>
      </c>
      <c r="D546" s="17">
        <v>12.1</v>
      </c>
      <c r="E546" s="17">
        <v>11.1</v>
      </c>
      <c r="F546" s="16" t="s">
        <v>31</v>
      </c>
      <c r="G546" s="17" t="s">
        <v>2553</v>
      </c>
      <c r="H546" s="17" t="s">
        <v>3735</v>
      </c>
      <c r="I546" s="17" t="s">
        <v>28</v>
      </c>
      <c r="J546" s="37" t="s">
        <v>4731</v>
      </c>
      <c r="K546" s="18">
        <v>46147</v>
      </c>
      <c r="L546" s="18" t="s">
        <v>24</v>
      </c>
      <c r="M546" s="7" t="s">
        <v>25</v>
      </c>
      <c r="N546" s="17"/>
    </row>
    <row r="547" spans="1:14" ht="63.75" x14ac:dyDescent="0.25">
      <c r="A547" s="17">
        <v>546</v>
      </c>
      <c r="B547" s="16" t="s">
        <v>2554</v>
      </c>
      <c r="C547" s="17">
        <v>1</v>
      </c>
      <c r="D547" s="17">
        <v>16.899999999999999</v>
      </c>
      <c r="E547" s="17">
        <v>10.8</v>
      </c>
      <c r="F547" s="16" t="s">
        <v>121</v>
      </c>
      <c r="G547" s="17" t="s">
        <v>2555</v>
      </c>
      <c r="H547" s="17" t="s">
        <v>3736</v>
      </c>
      <c r="I547" s="17" t="s">
        <v>34</v>
      </c>
      <c r="J547" s="37" t="s">
        <v>4648</v>
      </c>
      <c r="K547" s="18">
        <v>46144</v>
      </c>
      <c r="L547" s="18" t="s">
        <v>24</v>
      </c>
      <c r="M547" s="7" t="s">
        <v>25</v>
      </c>
      <c r="N547" s="17"/>
    </row>
    <row r="548" spans="1:14" ht="63.75" x14ac:dyDescent="0.25">
      <c r="A548" s="17">
        <v>547</v>
      </c>
      <c r="B548" s="16" t="s">
        <v>2554</v>
      </c>
      <c r="C548" s="17">
        <v>2</v>
      </c>
      <c r="D548" s="17">
        <v>16.3</v>
      </c>
      <c r="E548" s="17"/>
      <c r="F548" s="16" t="s">
        <v>121</v>
      </c>
      <c r="G548" s="17" t="s">
        <v>2555</v>
      </c>
      <c r="H548" s="17" t="s">
        <v>3736</v>
      </c>
      <c r="I548" s="17" t="s">
        <v>34</v>
      </c>
      <c r="J548" s="37" t="s">
        <v>4648</v>
      </c>
      <c r="K548" s="18">
        <v>46144</v>
      </c>
      <c r="L548" s="18" t="s">
        <v>24</v>
      </c>
      <c r="M548" s="7" t="s">
        <v>25</v>
      </c>
      <c r="N548" s="17"/>
    </row>
    <row r="549" spans="1:14" ht="63.75" x14ac:dyDescent="0.25">
      <c r="A549" s="17">
        <v>548</v>
      </c>
      <c r="B549" s="16" t="s">
        <v>2554</v>
      </c>
      <c r="C549" s="17">
        <v>3</v>
      </c>
      <c r="D549" s="17">
        <v>12.8</v>
      </c>
      <c r="E549" s="17">
        <v>11</v>
      </c>
      <c r="F549" s="16" t="s">
        <v>19</v>
      </c>
      <c r="G549" s="17" t="s">
        <v>2556</v>
      </c>
      <c r="H549" s="17" t="s">
        <v>3737</v>
      </c>
      <c r="I549" s="17" t="s">
        <v>34</v>
      </c>
      <c r="J549" s="37" t="s">
        <v>4380</v>
      </c>
      <c r="K549" s="18">
        <v>46150</v>
      </c>
      <c r="L549" s="18" t="s">
        <v>24</v>
      </c>
      <c r="M549" s="7" t="s">
        <v>25</v>
      </c>
      <c r="N549" s="17"/>
    </row>
    <row r="550" spans="1:14" ht="51" x14ac:dyDescent="0.25">
      <c r="A550" s="17">
        <v>549</v>
      </c>
      <c r="B550" s="16" t="s">
        <v>2557</v>
      </c>
      <c r="C550" s="17">
        <v>1</v>
      </c>
      <c r="D550" s="17">
        <v>16.7</v>
      </c>
      <c r="E550" s="17">
        <v>10.8</v>
      </c>
      <c r="F550" s="16" t="s">
        <v>19</v>
      </c>
      <c r="G550" s="17" t="s">
        <v>2558</v>
      </c>
      <c r="H550" s="17" t="s">
        <v>4109</v>
      </c>
      <c r="I550" s="17" t="s">
        <v>34</v>
      </c>
      <c r="J550" s="37" t="s">
        <v>4379</v>
      </c>
      <c r="K550" s="18">
        <v>46135</v>
      </c>
      <c r="L550" s="18" t="s">
        <v>24</v>
      </c>
      <c r="M550" s="7" t="s">
        <v>25</v>
      </c>
      <c r="N550" s="17"/>
    </row>
    <row r="551" spans="1:14" ht="25.5" x14ac:dyDescent="0.25">
      <c r="A551" s="17">
        <v>550</v>
      </c>
      <c r="B551" s="16" t="s">
        <v>2557</v>
      </c>
      <c r="C551" s="17">
        <v>2</v>
      </c>
      <c r="D551" s="17">
        <v>16</v>
      </c>
      <c r="E551" s="17"/>
      <c r="F551" s="16" t="s">
        <v>162</v>
      </c>
      <c r="G551" s="17" t="s">
        <v>2559</v>
      </c>
      <c r="H551" s="17" t="s">
        <v>3899</v>
      </c>
      <c r="I551" s="17" t="s">
        <v>28</v>
      </c>
      <c r="J551" s="37" t="s">
        <v>4491</v>
      </c>
      <c r="K551" s="18">
        <v>46154</v>
      </c>
      <c r="L551" s="18" t="s">
        <v>24</v>
      </c>
      <c r="M551" s="7" t="s">
        <v>25</v>
      </c>
      <c r="N551" s="17"/>
    </row>
    <row r="552" spans="1:14" ht="51" x14ac:dyDescent="0.25">
      <c r="A552" s="17">
        <v>551</v>
      </c>
      <c r="B552" s="16" t="s">
        <v>2557</v>
      </c>
      <c r="C552" s="17">
        <v>3</v>
      </c>
      <c r="D552" s="17">
        <v>13.5</v>
      </c>
      <c r="E552" s="17">
        <v>10.8</v>
      </c>
      <c r="F552" s="16" t="s">
        <v>54</v>
      </c>
      <c r="G552" s="17" t="s">
        <v>2560</v>
      </c>
      <c r="H552" s="17" t="s">
        <v>4944</v>
      </c>
      <c r="I552" s="17" t="s">
        <v>34</v>
      </c>
      <c r="J552" s="37" t="s">
        <v>4762</v>
      </c>
      <c r="K552" s="18">
        <v>46137</v>
      </c>
      <c r="L552" s="18" t="s">
        <v>24</v>
      </c>
      <c r="M552" s="7" t="s">
        <v>25</v>
      </c>
      <c r="N552" s="17"/>
    </row>
    <row r="553" spans="1:14" ht="63.75" x14ac:dyDescent="0.25">
      <c r="A553" s="17">
        <v>552</v>
      </c>
      <c r="B553" s="16" t="s">
        <v>2561</v>
      </c>
      <c r="C553" s="17">
        <v>1</v>
      </c>
      <c r="D553" s="17">
        <v>16.3</v>
      </c>
      <c r="E553" s="17">
        <v>10.9</v>
      </c>
      <c r="F553" s="16" t="s">
        <v>151</v>
      </c>
      <c r="G553" s="17" t="s">
        <v>2562</v>
      </c>
      <c r="H553" s="17" t="s">
        <v>4110</v>
      </c>
      <c r="I553" s="17" t="s">
        <v>34</v>
      </c>
      <c r="J553" s="37" t="s">
        <v>4799</v>
      </c>
      <c r="K553" s="18">
        <v>46155</v>
      </c>
      <c r="L553" s="18" t="s">
        <v>24</v>
      </c>
      <c r="M553" s="7" t="s">
        <v>25</v>
      </c>
      <c r="N553" s="17"/>
    </row>
    <row r="554" spans="1:14" ht="25.5" x14ac:dyDescent="0.25">
      <c r="A554" s="17">
        <v>553</v>
      </c>
      <c r="B554" s="16" t="s">
        <v>2561</v>
      </c>
      <c r="C554" s="17">
        <v>2</v>
      </c>
      <c r="D554" s="17">
        <v>17.2</v>
      </c>
      <c r="E554" s="17"/>
      <c r="F554" s="16" t="s">
        <v>151</v>
      </c>
      <c r="G554" s="17" t="s">
        <v>2563</v>
      </c>
      <c r="H554" s="17" t="s">
        <v>3738</v>
      </c>
      <c r="I554" s="17" t="s">
        <v>28</v>
      </c>
      <c r="J554" s="37" t="s">
        <v>4800</v>
      </c>
      <c r="K554" s="18">
        <v>46155</v>
      </c>
      <c r="L554" s="18" t="s">
        <v>24</v>
      </c>
      <c r="M554" s="7" t="s">
        <v>25</v>
      </c>
      <c r="N554" s="17"/>
    </row>
    <row r="555" spans="1:14" ht="63.75" x14ac:dyDescent="0.25">
      <c r="A555" s="17">
        <v>554</v>
      </c>
      <c r="B555" s="16" t="s">
        <v>2561</v>
      </c>
      <c r="C555" s="17">
        <v>3</v>
      </c>
      <c r="D555" s="17">
        <v>12.5</v>
      </c>
      <c r="E555" s="17">
        <v>11</v>
      </c>
      <c r="F555" s="16" t="s">
        <v>151</v>
      </c>
      <c r="G555" s="17" t="s">
        <v>2562</v>
      </c>
      <c r="H555" s="17" t="s">
        <v>4110</v>
      </c>
      <c r="I555" s="17" t="s">
        <v>34</v>
      </c>
      <c r="J555" s="37" t="s">
        <v>4799</v>
      </c>
      <c r="K555" s="18">
        <v>46155</v>
      </c>
      <c r="L555" s="18" t="s">
        <v>24</v>
      </c>
      <c r="M555" s="7" t="s">
        <v>25</v>
      </c>
      <c r="N555" s="17"/>
    </row>
    <row r="556" spans="1:14" ht="25.5" x14ac:dyDescent="0.25">
      <c r="A556" s="34">
        <v>555</v>
      </c>
      <c r="B556" s="35" t="s">
        <v>2564</v>
      </c>
      <c r="C556" s="34">
        <v>1</v>
      </c>
      <c r="D556" s="34">
        <v>16.5</v>
      </c>
      <c r="E556" s="34">
        <v>10.9</v>
      </c>
      <c r="F556" s="35" t="s">
        <v>343</v>
      </c>
      <c r="G556" s="34" t="s">
        <v>2565</v>
      </c>
      <c r="H556" s="17" t="s">
        <v>3582</v>
      </c>
      <c r="I556" s="17" t="s">
        <v>112</v>
      </c>
      <c r="J556" s="37" t="s">
        <v>4214</v>
      </c>
      <c r="K556" s="18">
        <v>46135</v>
      </c>
      <c r="L556" s="18" t="s">
        <v>24</v>
      </c>
      <c r="M556" s="7" t="s">
        <v>25</v>
      </c>
      <c r="N556" s="17"/>
    </row>
    <row r="557" spans="1:14" ht="25.5" x14ac:dyDescent="0.25">
      <c r="A557" s="34">
        <v>556</v>
      </c>
      <c r="B557" s="35" t="s">
        <v>2564</v>
      </c>
      <c r="C557" s="34">
        <v>2</v>
      </c>
      <c r="D557" s="34">
        <v>16.899999999999999</v>
      </c>
      <c r="E557" s="34"/>
      <c r="F557" s="35" t="s">
        <v>343</v>
      </c>
      <c r="G557" s="34" t="s">
        <v>2565</v>
      </c>
      <c r="H557" s="17" t="s">
        <v>3582</v>
      </c>
      <c r="I557" s="17" t="s">
        <v>112</v>
      </c>
      <c r="J557" s="37" t="s">
        <v>4214</v>
      </c>
      <c r="K557" s="18">
        <v>46135</v>
      </c>
      <c r="L557" s="18" t="s">
        <v>24</v>
      </c>
      <c r="M557" s="7" t="s">
        <v>25</v>
      </c>
      <c r="N557" s="17"/>
    </row>
    <row r="558" spans="1:14" x14ac:dyDescent="0.25">
      <c r="A558" s="14">
        <v>557</v>
      </c>
      <c r="B558" s="15" t="s">
        <v>2564</v>
      </c>
      <c r="C558" s="14">
        <v>3</v>
      </c>
      <c r="D558" s="14">
        <v>12.5</v>
      </c>
      <c r="E558" s="14">
        <v>11</v>
      </c>
      <c r="F558" s="15" t="s">
        <v>48</v>
      </c>
      <c r="G558" s="14"/>
      <c r="H558" s="14"/>
      <c r="I558" s="14"/>
      <c r="J558" s="28"/>
      <c r="K558" s="14"/>
      <c r="L558" s="14"/>
      <c r="M558" s="14" t="s">
        <v>286</v>
      </c>
      <c r="N558" s="14"/>
    </row>
    <row r="559" spans="1:14" ht="25.5" x14ac:dyDescent="0.25">
      <c r="A559" s="17">
        <v>558</v>
      </c>
      <c r="B559" s="16" t="s">
        <v>2566</v>
      </c>
      <c r="C559" s="17">
        <v>1</v>
      </c>
      <c r="D559" s="17">
        <v>16.3</v>
      </c>
      <c r="E559" s="17">
        <v>10.9</v>
      </c>
      <c r="F559" s="16" t="s">
        <v>151</v>
      </c>
      <c r="G559" s="17" t="s">
        <v>2567</v>
      </c>
      <c r="H559" s="17" t="s">
        <v>4111</v>
      </c>
      <c r="I559" s="17" t="s">
        <v>312</v>
      </c>
      <c r="J559" s="37" t="s">
        <v>4801</v>
      </c>
      <c r="K559" s="18">
        <v>46155</v>
      </c>
      <c r="L559" s="18" t="s">
        <v>24</v>
      </c>
      <c r="M559" s="7" t="s">
        <v>25</v>
      </c>
      <c r="N559" s="17"/>
    </row>
    <row r="560" spans="1:14" ht="25.5" x14ac:dyDescent="0.25">
      <c r="A560" s="17">
        <v>559</v>
      </c>
      <c r="B560" s="16" t="s">
        <v>2566</v>
      </c>
      <c r="C560" s="17">
        <v>2</v>
      </c>
      <c r="D560" s="17">
        <v>16.100000000000001</v>
      </c>
      <c r="E560" s="17"/>
      <c r="F560" s="16" t="s">
        <v>151</v>
      </c>
      <c r="G560" s="17" t="s">
        <v>2567</v>
      </c>
      <c r="H560" s="17" t="s">
        <v>4111</v>
      </c>
      <c r="I560" s="17" t="s">
        <v>312</v>
      </c>
      <c r="J560" s="37" t="s">
        <v>4801</v>
      </c>
      <c r="K560" s="18">
        <v>46155</v>
      </c>
      <c r="L560" s="18" t="s">
        <v>24</v>
      </c>
      <c r="M560" s="7" t="s">
        <v>25</v>
      </c>
      <c r="N560" s="17"/>
    </row>
    <row r="561" spans="1:14" ht="25.5" x14ac:dyDescent="0.25">
      <c r="A561" s="17">
        <v>560</v>
      </c>
      <c r="B561" s="16" t="s">
        <v>2566</v>
      </c>
      <c r="C561" s="17">
        <v>3</v>
      </c>
      <c r="D561" s="17">
        <v>12.3</v>
      </c>
      <c r="E561" s="17">
        <v>11</v>
      </c>
      <c r="F561" s="16" t="s">
        <v>121</v>
      </c>
      <c r="G561" s="17" t="s">
        <v>2568</v>
      </c>
      <c r="H561" s="17" t="s">
        <v>3739</v>
      </c>
      <c r="I561" s="17" t="s">
        <v>28</v>
      </c>
      <c r="J561" s="37" t="s">
        <v>4649</v>
      </c>
      <c r="K561" s="18">
        <v>46137</v>
      </c>
      <c r="L561" s="18" t="s">
        <v>24</v>
      </c>
      <c r="M561" s="7" t="s">
        <v>25</v>
      </c>
      <c r="N561" s="17"/>
    </row>
    <row r="562" spans="1:14" ht="51" x14ac:dyDescent="0.25">
      <c r="A562" s="17">
        <v>561</v>
      </c>
      <c r="B562" s="16" t="s">
        <v>2569</v>
      </c>
      <c r="C562" s="17">
        <v>1</v>
      </c>
      <c r="D562" s="17">
        <v>16.3</v>
      </c>
      <c r="E562" s="17">
        <v>11.2</v>
      </c>
      <c r="F562" s="16" t="s">
        <v>19</v>
      </c>
      <c r="G562" s="17" t="s">
        <v>2570</v>
      </c>
      <c r="H562" s="17" t="s">
        <v>4112</v>
      </c>
      <c r="I562" s="17" t="s">
        <v>34</v>
      </c>
      <c r="J562" s="37" t="s">
        <v>4381</v>
      </c>
      <c r="K562" s="18">
        <v>46137</v>
      </c>
      <c r="L562" s="18" t="s">
        <v>24</v>
      </c>
      <c r="M562" s="7" t="s">
        <v>25</v>
      </c>
      <c r="N562" s="17"/>
    </row>
    <row r="563" spans="1:14" ht="25.5" x14ac:dyDescent="0.25">
      <c r="A563" s="17">
        <v>562</v>
      </c>
      <c r="B563" s="16" t="s">
        <v>2569</v>
      </c>
      <c r="C563" s="17">
        <v>2</v>
      </c>
      <c r="D563" s="17">
        <v>16.8</v>
      </c>
      <c r="E563" s="17"/>
      <c r="F563" s="16" t="s">
        <v>151</v>
      </c>
      <c r="G563" s="17" t="s">
        <v>2571</v>
      </c>
      <c r="H563" s="17" t="s">
        <v>4113</v>
      </c>
      <c r="I563" s="17" t="s">
        <v>28</v>
      </c>
      <c r="J563" s="37" t="s">
        <v>4802</v>
      </c>
      <c r="K563" s="18" t="s">
        <v>2572</v>
      </c>
      <c r="L563" s="18" t="s">
        <v>82</v>
      </c>
      <c r="M563" s="7" t="s">
        <v>25</v>
      </c>
      <c r="N563" s="17"/>
    </row>
    <row r="564" spans="1:14" ht="25.5" x14ac:dyDescent="0.25">
      <c r="A564" s="17">
        <v>563</v>
      </c>
      <c r="B564" s="16" t="s">
        <v>2569</v>
      </c>
      <c r="C564" s="17">
        <v>3</v>
      </c>
      <c r="D564" s="17">
        <v>13.3</v>
      </c>
      <c r="E564" s="17">
        <v>11.2</v>
      </c>
      <c r="F564" s="16" t="s">
        <v>151</v>
      </c>
      <c r="G564" s="17" t="s">
        <v>2571</v>
      </c>
      <c r="H564" s="17" t="s">
        <v>4113</v>
      </c>
      <c r="I564" s="17" t="s">
        <v>28</v>
      </c>
      <c r="J564" s="37" t="s">
        <v>4803</v>
      </c>
      <c r="K564" s="18">
        <v>46156</v>
      </c>
      <c r="L564" s="18" t="s">
        <v>82</v>
      </c>
      <c r="M564" s="7" t="s">
        <v>25</v>
      </c>
      <c r="N564" s="17"/>
    </row>
    <row r="565" spans="1:14" ht="25.5" x14ac:dyDescent="0.25">
      <c r="A565" s="17">
        <v>564</v>
      </c>
      <c r="B565" s="16" t="s">
        <v>2573</v>
      </c>
      <c r="C565" s="17">
        <v>1</v>
      </c>
      <c r="D565" s="17">
        <v>16.8</v>
      </c>
      <c r="E565" s="17">
        <v>11.1</v>
      </c>
      <c r="F565" s="16" t="s">
        <v>151</v>
      </c>
      <c r="G565" s="17" t="s">
        <v>2574</v>
      </c>
      <c r="H565" s="17" t="s">
        <v>4114</v>
      </c>
      <c r="I565" s="17" t="s">
        <v>28</v>
      </c>
      <c r="J565" s="37" t="s">
        <v>4804</v>
      </c>
      <c r="K565" s="18">
        <v>46137</v>
      </c>
      <c r="L565" s="18" t="s">
        <v>24</v>
      </c>
      <c r="M565" s="7" t="s">
        <v>25</v>
      </c>
      <c r="N565" s="17"/>
    </row>
    <row r="566" spans="1:14" ht="25.5" x14ac:dyDescent="0.25">
      <c r="A566" s="17">
        <v>565</v>
      </c>
      <c r="B566" s="16" t="s">
        <v>2573</v>
      </c>
      <c r="C566" s="17">
        <v>2</v>
      </c>
      <c r="D566" s="17">
        <v>17.3</v>
      </c>
      <c r="E566" s="17"/>
      <c r="F566" s="16" t="s">
        <v>126</v>
      </c>
      <c r="G566" s="17" t="s">
        <v>2575</v>
      </c>
      <c r="H566" s="17" t="s">
        <v>3740</v>
      </c>
      <c r="I566" s="17" t="s">
        <v>28</v>
      </c>
      <c r="J566" s="37" t="s">
        <v>4281</v>
      </c>
      <c r="K566" s="18">
        <v>46149</v>
      </c>
      <c r="L566" s="18" t="s">
        <v>82</v>
      </c>
      <c r="M566" s="7" t="s">
        <v>25</v>
      </c>
      <c r="N566" s="17"/>
    </row>
    <row r="567" spans="1:14" ht="25.5" x14ac:dyDescent="0.25">
      <c r="A567" s="17">
        <v>566</v>
      </c>
      <c r="B567" s="16" t="s">
        <v>2573</v>
      </c>
      <c r="C567" s="17">
        <v>3</v>
      </c>
      <c r="D567" s="17">
        <v>13.7</v>
      </c>
      <c r="E567" s="17">
        <v>11.2</v>
      </c>
      <c r="F567" s="16" t="s">
        <v>121</v>
      </c>
      <c r="G567" s="17" t="s">
        <v>2576</v>
      </c>
      <c r="H567" s="17" t="s">
        <v>4115</v>
      </c>
      <c r="I567" s="17" t="s">
        <v>28</v>
      </c>
      <c r="J567" s="37" t="s">
        <v>4650</v>
      </c>
      <c r="K567" s="18">
        <v>46140</v>
      </c>
      <c r="L567" s="18" t="s">
        <v>24</v>
      </c>
      <c r="M567" s="7" t="s">
        <v>25</v>
      </c>
      <c r="N567" s="17"/>
    </row>
    <row r="568" spans="1:14" ht="63.75" x14ac:dyDescent="0.25">
      <c r="A568" s="17">
        <v>567</v>
      </c>
      <c r="B568" s="16" t="s">
        <v>2577</v>
      </c>
      <c r="C568" s="17">
        <v>1</v>
      </c>
      <c r="D568" s="17">
        <v>17.100000000000001</v>
      </c>
      <c r="E568" s="17">
        <v>11</v>
      </c>
      <c r="F568" s="16" t="s">
        <v>31</v>
      </c>
      <c r="G568" s="17" t="s">
        <v>2578</v>
      </c>
      <c r="H568" s="17" t="s">
        <v>4116</v>
      </c>
      <c r="I568" s="17" t="s">
        <v>34</v>
      </c>
      <c r="J568" s="37" t="s">
        <v>4732</v>
      </c>
      <c r="K568" s="18">
        <v>46147</v>
      </c>
      <c r="L568" s="18" t="s">
        <v>24</v>
      </c>
      <c r="M568" s="7" t="s">
        <v>25</v>
      </c>
      <c r="N568" s="17"/>
    </row>
    <row r="569" spans="1:14" ht="51" x14ac:dyDescent="0.25">
      <c r="A569" s="17">
        <v>568</v>
      </c>
      <c r="B569" s="16" t="s">
        <v>2577</v>
      </c>
      <c r="C569" s="17">
        <v>2</v>
      </c>
      <c r="D569" s="17">
        <v>16.8</v>
      </c>
      <c r="E569" s="17"/>
      <c r="F569" s="16" t="s">
        <v>62</v>
      </c>
      <c r="G569" s="17" t="s">
        <v>2579</v>
      </c>
      <c r="H569" s="17" t="s">
        <v>3741</v>
      </c>
      <c r="I569" s="17" t="s">
        <v>34</v>
      </c>
      <c r="J569" s="37" t="s">
        <v>4530</v>
      </c>
      <c r="K569" s="18">
        <v>46141</v>
      </c>
      <c r="L569" s="18" t="s">
        <v>24</v>
      </c>
      <c r="M569" s="7" t="s">
        <v>25</v>
      </c>
      <c r="N569" s="17"/>
    </row>
    <row r="570" spans="1:14" ht="51" x14ac:dyDescent="0.25">
      <c r="A570" s="17">
        <v>569</v>
      </c>
      <c r="B570" s="16" t="s">
        <v>2577</v>
      </c>
      <c r="C570" s="17">
        <v>3</v>
      </c>
      <c r="D570" s="17">
        <v>13</v>
      </c>
      <c r="E570" s="17">
        <v>11</v>
      </c>
      <c r="F570" s="16" t="s">
        <v>62</v>
      </c>
      <c r="G570" s="17" t="s">
        <v>2579</v>
      </c>
      <c r="H570" s="17" t="s">
        <v>3741</v>
      </c>
      <c r="I570" s="17" t="s">
        <v>34</v>
      </c>
      <c r="J570" s="37" t="s">
        <v>4530</v>
      </c>
      <c r="K570" s="18">
        <v>46141</v>
      </c>
      <c r="L570" s="18" t="s">
        <v>24</v>
      </c>
      <c r="M570" s="7" t="s">
        <v>25</v>
      </c>
      <c r="N570" s="17"/>
    </row>
    <row r="571" spans="1:14" ht="63.75" x14ac:dyDescent="0.25">
      <c r="A571" s="17">
        <v>570</v>
      </c>
      <c r="B571" s="16" t="s">
        <v>2580</v>
      </c>
      <c r="C571" s="17">
        <v>1</v>
      </c>
      <c r="D571" s="17">
        <v>16.399999999999999</v>
      </c>
      <c r="E571" s="17">
        <v>10.9</v>
      </c>
      <c r="F571" s="16" t="s">
        <v>31</v>
      </c>
      <c r="G571" s="17" t="s">
        <v>2581</v>
      </c>
      <c r="H571" s="17" t="s">
        <v>4117</v>
      </c>
      <c r="I571" s="17" t="s">
        <v>34</v>
      </c>
      <c r="J571" s="37" t="s">
        <v>4733</v>
      </c>
      <c r="K571" s="18">
        <v>46156</v>
      </c>
      <c r="L571" s="18" t="s">
        <v>24</v>
      </c>
      <c r="M571" s="7" t="s">
        <v>25</v>
      </c>
      <c r="N571" s="17"/>
    </row>
    <row r="572" spans="1:14" ht="63.75" x14ac:dyDescent="0.25">
      <c r="A572" s="17">
        <v>571</v>
      </c>
      <c r="B572" s="16" t="s">
        <v>2580</v>
      </c>
      <c r="C572" s="17">
        <v>2</v>
      </c>
      <c r="D572" s="17">
        <v>16.7</v>
      </c>
      <c r="E572" s="17"/>
      <c r="F572" s="16" t="s">
        <v>31</v>
      </c>
      <c r="G572" s="17" t="s">
        <v>2581</v>
      </c>
      <c r="H572" s="17" t="s">
        <v>4117</v>
      </c>
      <c r="I572" s="17" t="s">
        <v>34</v>
      </c>
      <c r="J572" s="37" t="s">
        <v>4734</v>
      </c>
      <c r="K572" s="18">
        <v>46154</v>
      </c>
      <c r="L572" s="18" t="s">
        <v>24</v>
      </c>
      <c r="M572" s="7" t="s">
        <v>25</v>
      </c>
      <c r="N572" s="17"/>
    </row>
    <row r="573" spans="1:14" ht="63.75" x14ac:dyDescent="0.25">
      <c r="A573" s="17">
        <v>572</v>
      </c>
      <c r="B573" s="16" t="s">
        <v>2580</v>
      </c>
      <c r="C573" s="17">
        <v>3</v>
      </c>
      <c r="D573" s="17">
        <v>12.8</v>
      </c>
      <c r="E573" s="17">
        <v>10.8</v>
      </c>
      <c r="F573" s="16" t="s">
        <v>31</v>
      </c>
      <c r="G573" s="17" t="s">
        <v>2581</v>
      </c>
      <c r="H573" s="17" t="s">
        <v>4117</v>
      </c>
      <c r="I573" s="17" t="s">
        <v>34</v>
      </c>
      <c r="J573" s="37" t="s">
        <v>4734</v>
      </c>
      <c r="K573" s="18">
        <v>46154</v>
      </c>
      <c r="L573" s="18" t="s">
        <v>24</v>
      </c>
      <c r="M573" s="7" t="s">
        <v>25</v>
      </c>
      <c r="N573" s="17"/>
    </row>
    <row r="574" spans="1:14" ht="25.5" x14ac:dyDescent="0.25">
      <c r="A574" s="17">
        <v>573</v>
      </c>
      <c r="B574" s="16" t="s">
        <v>2582</v>
      </c>
      <c r="C574" s="17">
        <v>1</v>
      </c>
      <c r="D574" s="17">
        <v>13.1</v>
      </c>
      <c r="E574" s="17">
        <v>10.9</v>
      </c>
      <c r="F574" s="16" t="s">
        <v>62</v>
      </c>
      <c r="G574" s="17" t="s">
        <v>2583</v>
      </c>
      <c r="H574" s="17" t="s">
        <v>3742</v>
      </c>
      <c r="I574" s="17" t="s">
        <v>28</v>
      </c>
      <c r="J574" s="37" t="s">
        <v>4531</v>
      </c>
      <c r="K574" s="18">
        <v>46149</v>
      </c>
      <c r="L574" s="18" t="s">
        <v>24</v>
      </c>
      <c r="M574" s="7" t="s">
        <v>25</v>
      </c>
      <c r="N574" s="17"/>
    </row>
    <row r="575" spans="1:14" ht="25.5" x14ac:dyDescent="0.25">
      <c r="A575" s="17">
        <v>574</v>
      </c>
      <c r="B575" s="16" t="s">
        <v>2582</v>
      </c>
      <c r="C575" s="17">
        <v>2</v>
      </c>
      <c r="D575" s="17">
        <v>16.5</v>
      </c>
      <c r="E575" s="17"/>
      <c r="F575" s="16" t="s">
        <v>48</v>
      </c>
      <c r="G575" s="17" t="s">
        <v>2584</v>
      </c>
      <c r="H575" s="17" t="s">
        <v>3900</v>
      </c>
      <c r="I575" s="17" t="s">
        <v>42</v>
      </c>
      <c r="J575" s="37" t="s">
        <v>4845</v>
      </c>
      <c r="K575" s="18">
        <v>46155</v>
      </c>
      <c r="L575" s="18" t="s">
        <v>24</v>
      </c>
      <c r="M575" s="7" t="s">
        <v>25</v>
      </c>
      <c r="N575" s="17"/>
    </row>
    <row r="576" spans="1:14" ht="25.5" x14ac:dyDescent="0.25">
      <c r="A576" s="17">
        <v>575</v>
      </c>
      <c r="B576" s="16" t="s">
        <v>2582</v>
      </c>
      <c r="C576" s="17">
        <v>3</v>
      </c>
      <c r="D576" s="17">
        <v>15.9</v>
      </c>
      <c r="E576" s="17">
        <v>10.7</v>
      </c>
      <c r="F576" s="16" t="s">
        <v>48</v>
      </c>
      <c r="G576" s="17" t="s">
        <v>2584</v>
      </c>
      <c r="H576" s="17" t="s">
        <v>3900</v>
      </c>
      <c r="I576" s="17" t="s">
        <v>42</v>
      </c>
      <c r="J576" s="37" t="s">
        <v>4845</v>
      </c>
      <c r="K576" s="18">
        <v>46155</v>
      </c>
      <c r="L576" s="18" t="s">
        <v>24</v>
      </c>
      <c r="M576" s="7" t="s">
        <v>25</v>
      </c>
      <c r="N576" s="17"/>
    </row>
    <row r="577" spans="1:14" ht="51" x14ac:dyDescent="0.25">
      <c r="A577" s="17">
        <v>576</v>
      </c>
      <c r="B577" s="16" t="s">
        <v>2585</v>
      </c>
      <c r="C577" s="17">
        <v>1</v>
      </c>
      <c r="D577" s="17">
        <v>16.600000000000001</v>
      </c>
      <c r="E577" s="17">
        <v>10.4</v>
      </c>
      <c r="F577" s="16" t="s">
        <v>126</v>
      </c>
      <c r="G577" s="17" t="s">
        <v>2586</v>
      </c>
      <c r="H577" s="17" t="s">
        <v>3901</v>
      </c>
      <c r="I577" s="17" t="s">
        <v>34</v>
      </c>
      <c r="J577" s="37" t="s">
        <v>4282</v>
      </c>
      <c r="K577" s="18">
        <v>46147</v>
      </c>
      <c r="L577" s="18" t="s">
        <v>24</v>
      </c>
      <c r="M577" s="7" t="s">
        <v>25</v>
      </c>
      <c r="N577" s="17"/>
    </row>
    <row r="578" spans="1:14" ht="25.5" x14ac:dyDescent="0.25">
      <c r="A578" s="17">
        <v>577</v>
      </c>
      <c r="B578" s="16" t="s">
        <v>2585</v>
      </c>
      <c r="C578" s="17">
        <v>2</v>
      </c>
      <c r="D578" s="17">
        <v>17</v>
      </c>
      <c r="E578" s="17"/>
      <c r="F578" s="16" t="s">
        <v>126</v>
      </c>
      <c r="G578" s="17" t="s">
        <v>2587</v>
      </c>
      <c r="H578" s="17" t="s">
        <v>3743</v>
      </c>
      <c r="I578" s="17" t="s">
        <v>28</v>
      </c>
      <c r="J578" s="37" t="s">
        <v>4283</v>
      </c>
      <c r="K578" s="18">
        <v>46140</v>
      </c>
      <c r="L578" s="18" t="s">
        <v>24</v>
      </c>
      <c r="M578" s="7" t="s">
        <v>25</v>
      </c>
      <c r="N578" s="17"/>
    </row>
    <row r="579" spans="1:14" ht="25.5" x14ac:dyDescent="0.25">
      <c r="A579" s="17">
        <v>578</v>
      </c>
      <c r="B579" s="16" t="s">
        <v>2585</v>
      </c>
      <c r="C579" s="17">
        <v>3</v>
      </c>
      <c r="D579" s="17">
        <v>13.2</v>
      </c>
      <c r="E579" s="17">
        <v>10.8</v>
      </c>
      <c r="F579" s="16" t="s">
        <v>106</v>
      </c>
      <c r="G579" s="17" t="s">
        <v>2588</v>
      </c>
      <c r="H579" s="17" t="s">
        <v>4118</v>
      </c>
      <c r="I579" s="17" t="s">
        <v>267</v>
      </c>
      <c r="J579" s="37" t="s">
        <v>4576</v>
      </c>
      <c r="K579" s="18">
        <v>46142</v>
      </c>
      <c r="L579" s="18" t="s">
        <v>24</v>
      </c>
      <c r="M579" s="7" t="s">
        <v>25</v>
      </c>
      <c r="N579" s="17"/>
    </row>
    <row r="580" spans="1:14" ht="25.5" x14ac:dyDescent="0.25">
      <c r="A580" s="17">
        <v>579</v>
      </c>
      <c r="B580" s="16" t="s">
        <v>2589</v>
      </c>
      <c r="C580" s="17">
        <v>1</v>
      </c>
      <c r="D580" s="17">
        <v>16.3</v>
      </c>
      <c r="E580" s="17">
        <v>11.1</v>
      </c>
      <c r="F580" s="16" t="s">
        <v>338</v>
      </c>
      <c r="G580" s="17" t="s">
        <v>4950</v>
      </c>
      <c r="H580" s="17" t="s">
        <v>4119</v>
      </c>
      <c r="I580" s="17" t="s">
        <v>28</v>
      </c>
      <c r="J580" s="37" t="s">
        <v>4423</v>
      </c>
      <c r="K580" s="18">
        <v>46156</v>
      </c>
      <c r="L580" s="18" t="s">
        <v>24</v>
      </c>
      <c r="M580" s="7" t="s">
        <v>25</v>
      </c>
      <c r="N580" s="17"/>
    </row>
    <row r="581" spans="1:14" ht="51" x14ac:dyDescent="0.25">
      <c r="A581" s="17">
        <v>580</v>
      </c>
      <c r="B581" s="16" t="s">
        <v>2589</v>
      </c>
      <c r="C581" s="17">
        <v>2</v>
      </c>
      <c r="D581" s="17">
        <v>16.8</v>
      </c>
      <c r="E581" s="17"/>
      <c r="F581" s="16" t="s">
        <v>338</v>
      </c>
      <c r="G581" s="17" t="s">
        <v>2590</v>
      </c>
      <c r="H581" s="17" t="s">
        <v>4120</v>
      </c>
      <c r="I581" s="17" t="s">
        <v>293</v>
      </c>
      <c r="J581" s="37" t="s">
        <v>4424</v>
      </c>
      <c r="K581" s="18">
        <v>46157</v>
      </c>
      <c r="L581" s="18" t="s">
        <v>82</v>
      </c>
      <c r="M581" s="7" t="s">
        <v>25</v>
      </c>
      <c r="N581" s="17"/>
    </row>
    <row r="582" spans="1:14" ht="63.75" x14ac:dyDescent="0.25">
      <c r="A582" s="17">
        <v>581</v>
      </c>
      <c r="B582" s="16" t="s">
        <v>2589</v>
      </c>
      <c r="C582" s="17">
        <v>3</v>
      </c>
      <c r="D582" s="17">
        <v>12.7</v>
      </c>
      <c r="E582" s="17">
        <v>11</v>
      </c>
      <c r="F582" s="16" t="s">
        <v>121</v>
      </c>
      <c r="G582" s="17" t="s">
        <v>2591</v>
      </c>
      <c r="H582" s="17" t="s">
        <v>3744</v>
      </c>
      <c r="I582" s="17" t="s">
        <v>34</v>
      </c>
      <c r="J582" s="37" t="s">
        <v>4651</v>
      </c>
      <c r="K582" s="18">
        <v>46142</v>
      </c>
      <c r="L582" s="18" t="s">
        <v>24</v>
      </c>
      <c r="M582" s="7" t="s">
        <v>25</v>
      </c>
      <c r="N582" s="17"/>
    </row>
    <row r="583" spans="1:14" ht="51" x14ac:dyDescent="0.25">
      <c r="A583" s="17">
        <v>582</v>
      </c>
      <c r="B583" s="16" t="s">
        <v>2592</v>
      </c>
      <c r="C583" s="17">
        <v>1</v>
      </c>
      <c r="D583" s="17">
        <v>16.7</v>
      </c>
      <c r="E583" s="17">
        <v>10.4</v>
      </c>
      <c r="F583" s="16" t="s">
        <v>338</v>
      </c>
      <c r="G583" s="17" t="s">
        <v>2593</v>
      </c>
      <c r="H583" s="17" t="s">
        <v>4121</v>
      </c>
      <c r="I583" s="17" t="s">
        <v>34</v>
      </c>
      <c r="J583" s="37" t="s">
        <v>4425</v>
      </c>
      <c r="K583" s="18">
        <v>46156</v>
      </c>
      <c r="L583" s="18" t="s">
        <v>24</v>
      </c>
      <c r="M583" s="7" t="s">
        <v>25</v>
      </c>
      <c r="N583" s="17"/>
    </row>
    <row r="584" spans="1:14" ht="51" x14ac:dyDescent="0.25">
      <c r="A584" s="17">
        <v>583</v>
      </c>
      <c r="B584" s="16" t="s">
        <v>2592</v>
      </c>
      <c r="C584" s="17">
        <v>2</v>
      </c>
      <c r="D584" s="17">
        <v>17.100000000000001</v>
      </c>
      <c r="E584" s="17"/>
      <c r="F584" s="16" t="s">
        <v>338</v>
      </c>
      <c r="G584" s="17" t="s">
        <v>2593</v>
      </c>
      <c r="H584" s="17" t="s">
        <v>4121</v>
      </c>
      <c r="I584" s="17" t="s">
        <v>34</v>
      </c>
      <c r="J584" s="37" t="s">
        <v>4425</v>
      </c>
      <c r="K584" s="18">
        <v>46156</v>
      </c>
      <c r="L584" s="18" t="s">
        <v>24</v>
      </c>
      <c r="M584" s="7" t="s">
        <v>25</v>
      </c>
      <c r="N584" s="17"/>
    </row>
    <row r="585" spans="1:14" x14ac:dyDescent="0.25">
      <c r="A585" s="14">
        <v>584</v>
      </c>
      <c r="B585" s="15" t="s">
        <v>2592</v>
      </c>
      <c r="C585" s="14">
        <v>3</v>
      </c>
      <c r="D585" s="14">
        <v>12.2</v>
      </c>
      <c r="E585" s="14">
        <v>10.5</v>
      </c>
      <c r="F585" s="15" t="s">
        <v>338</v>
      </c>
      <c r="G585" s="14"/>
      <c r="H585" s="14"/>
      <c r="I585" s="14"/>
      <c r="J585" s="28"/>
      <c r="K585" s="14"/>
      <c r="L585" s="14"/>
      <c r="M585" s="14" t="s">
        <v>286</v>
      </c>
      <c r="N585" s="14"/>
    </row>
    <row r="586" spans="1:14" ht="63.75" x14ac:dyDescent="0.25">
      <c r="A586" s="17">
        <v>585</v>
      </c>
      <c r="B586" s="16" t="s">
        <v>2594</v>
      </c>
      <c r="C586" s="17">
        <v>1</v>
      </c>
      <c r="D586" s="17">
        <v>13.1</v>
      </c>
      <c r="E586" s="17">
        <v>10.9</v>
      </c>
      <c r="F586" s="16" t="s">
        <v>31</v>
      </c>
      <c r="G586" s="17" t="s">
        <v>2595</v>
      </c>
      <c r="H586" s="17" t="s">
        <v>4122</v>
      </c>
      <c r="I586" s="17" t="s">
        <v>34</v>
      </c>
      <c r="J586" s="37" t="s">
        <v>4735</v>
      </c>
      <c r="K586" s="18">
        <v>46147</v>
      </c>
      <c r="L586" s="18" t="s">
        <v>82</v>
      </c>
      <c r="M586" s="7" t="s">
        <v>25</v>
      </c>
      <c r="N586" s="17"/>
    </row>
    <row r="587" spans="1:14" ht="25.5" x14ac:dyDescent="0.25">
      <c r="A587" s="17">
        <v>586</v>
      </c>
      <c r="B587" s="16" t="s">
        <v>2594</v>
      </c>
      <c r="C587" s="17">
        <v>2</v>
      </c>
      <c r="D587" s="17">
        <v>16.899999999999999</v>
      </c>
      <c r="E587" s="17"/>
      <c r="F587" s="16" t="s">
        <v>48</v>
      </c>
      <c r="G587" s="17" t="s">
        <v>2596</v>
      </c>
      <c r="H587" s="17" t="s">
        <v>3902</v>
      </c>
      <c r="I587" s="17" t="s">
        <v>28</v>
      </c>
      <c r="J587" s="37" t="s">
        <v>4846</v>
      </c>
      <c r="K587" s="18">
        <v>46137</v>
      </c>
      <c r="L587" s="18" t="s">
        <v>24</v>
      </c>
      <c r="M587" s="7" t="s">
        <v>25</v>
      </c>
      <c r="N587" s="17"/>
    </row>
    <row r="588" spans="1:14" ht="25.5" x14ac:dyDescent="0.25">
      <c r="A588" s="17">
        <v>587</v>
      </c>
      <c r="B588" s="16" t="s">
        <v>2594</v>
      </c>
      <c r="C588" s="17">
        <v>3</v>
      </c>
      <c r="D588" s="17">
        <v>17.100000000000001</v>
      </c>
      <c r="E588" s="17">
        <v>10.9</v>
      </c>
      <c r="F588" s="16" t="s">
        <v>126</v>
      </c>
      <c r="G588" s="17" t="s">
        <v>2597</v>
      </c>
      <c r="H588" s="17" t="s">
        <v>3903</v>
      </c>
      <c r="I588" s="17" t="s">
        <v>28</v>
      </c>
      <c r="J588" s="37" t="s">
        <v>2881</v>
      </c>
      <c r="K588" s="18">
        <v>46136</v>
      </c>
      <c r="L588" s="18" t="s">
        <v>24</v>
      </c>
      <c r="M588" s="7" t="s">
        <v>25</v>
      </c>
      <c r="N588" s="17"/>
    </row>
    <row r="589" spans="1:14" ht="25.5" x14ac:dyDescent="0.25">
      <c r="A589" s="17">
        <v>588</v>
      </c>
      <c r="B589" s="16" t="s">
        <v>2598</v>
      </c>
      <c r="C589" s="17">
        <v>1</v>
      </c>
      <c r="D589" s="17">
        <v>16.399999999999999</v>
      </c>
      <c r="E589" s="17">
        <v>10.8</v>
      </c>
      <c r="F589" s="16" t="s">
        <v>62</v>
      </c>
      <c r="G589" s="17" t="s">
        <v>2599</v>
      </c>
      <c r="H589" s="17" t="s">
        <v>4123</v>
      </c>
      <c r="I589" s="17" t="s">
        <v>51</v>
      </c>
      <c r="J589" s="37" t="s">
        <v>4532</v>
      </c>
      <c r="K589" s="18">
        <v>46137</v>
      </c>
      <c r="L589" s="18" t="s">
        <v>24</v>
      </c>
      <c r="M589" s="7" t="s">
        <v>25</v>
      </c>
      <c r="N589" s="17"/>
    </row>
    <row r="590" spans="1:14" ht="25.5" x14ac:dyDescent="0.25">
      <c r="A590" s="17">
        <v>589</v>
      </c>
      <c r="B590" s="16" t="s">
        <v>2598</v>
      </c>
      <c r="C590" s="17">
        <v>2</v>
      </c>
      <c r="D590" s="17">
        <v>16.7</v>
      </c>
      <c r="E590" s="17"/>
      <c r="F590" s="16" t="s">
        <v>86</v>
      </c>
      <c r="G590" s="17" t="s">
        <v>2600</v>
      </c>
      <c r="H590" s="17" t="s">
        <v>4124</v>
      </c>
      <c r="I590" s="17" t="s">
        <v>51</v>
      </c>
      <c r="J590" s="37" t="s">
        <v>4676</v>
      </c>
      <c r="K590" s="18">
        <v>46147</v>
      </c>
      <c r="L590" s="18" t="s">
        <v>24</v>
      </c>
      <c r="M590" s="7" t="s">
        <v>25</v>
      </c>
      <c r="N590" s="17"/>
    </row>
    <row r="591" spans="1:14" ht="25.5" x14ac:dyDescent="0.25">
      <c r="A591" s="17">
        <v>590</v>
      </c>
      <c r="B591" s="16" t="s">
        <v>2598</v>
      </c>
      <c r="C591" s="17">
        <v>3</v>
      </c>
      <c r="D591" s="17">
        <v>13</v>
      </c>
      <c r="E591" s="17">
        <v>10.9</v>
      </c>
      <c r="F591" s="16" t="s">
        <v>86</v>
      </c>
      <c r="G591" s="17" t="s">
        <v>2600</v>
      </c>
      <c r="H591" s="17" t="s">
        <v>4124</v>
      </c>
      <c r="I591" s="17" t="s">
        <v>51</v>
      </c>
      <c r="J591" s="37" t="s">
        <v>4676</v>
      </c>
      <c r="K591" s="18">
        <v>46147</v>
      </c>
      <c r="L591" s="18" t="s">
        <v>24</v>
      </c>
      <c r="M591" s="7" t="s">
        <v>25</v>
      </c>
      <c r="N591" s="17"/>
    </row>
    <row r="592" spans="1:14" ht="25.5" x14ac:dyDescent="0.25">
      <c r="A592" s="17">
        <v>591</v>
      </c>
      <c r="B592" s="16" t="s">
        <v>2601</v>
      </c>
      <c r="C592" s="17">
        <v>1</v>
      </c>
      <c r="D592" s="17">
        <v>17.100000000000001</v>
      </c>
      <c r="E592" s="17">
        <v>11</v>
      </c>
      <c r="F592" s="16" t="s">
        <v>151</v>
      </c>
      <c r="G592" s="17" t="s">
        <v>2602</v>
      </c>
      <c r="H592" s="17" t="s">
        <v>3904</v>
      </c>
      <c r="I592" s="17" t="s">
        <v>28</v>
      </c>
      <c r="J592" s="37" t="s">
        <v>4805</v>
      </c>
      <c r="K592" s="18">
        <v>46148</v>
      </c>
      <c r="L592" s="18" t="s">
        <v>24</v>
      </c>
      <c r="M592" s="7" t="s">
        <v>25</v>
      </c>
      <c r="N592" s="17"/>
    </row>
    <row r="593" spans="1:14" ht="25.5" x14ac:dyDescent="0.25">
      <c r="A593" s="17">
        <v>592</v>
      </c>
      <c r="B593" s="16" t="s">
        <v>2601</v>
      </c>
      <c r="C593" s="17">
        <v>2</v>
      </c>
      <c r="D593" s="17">
        <v>15.5</v>
      </c>
      <c r="E593" s="17"/>
      <c r="F593" s="16" t="s">
        <v>19</v>
      </c>
      <c r="G593" s="17" t="s">
        <v>2603</v>
      </c>
      <c r="H593" s="17" t="s">
        <v>3745</v>
      </c>
      <c r="I593" s="17" t="s">
        <v>28</v>
      </c>
      <c r="J593" s="37" t="s">
        <v>4382</v>
      </c>
      <c r="K593" s="18">
        <v>46144</v>
      </c>
      <c r="L593" s="18" t="s">
        <v>24</v>
      </c>
      <c r="M593" s="7" t="s">
        <v>25</v>
      </c>
      <c r="N593" s="17"/>
    </row>
    <row r="594" spans="1:14" ht="25.5" x14ac:dyDescent="0.25">
      <c r="A594" s="17">
        <v>593</v>
      </c>
      <c r="B594" s="16" t="s">
        <v>2601</v>
      </c>
      <c r="C594" s="17">
        <v>3</v>
      </c>
      <c r="D594" s="17">
        <v>13.5</v>
      </c>
      <c r="E594" s="17">
        <v>11</v>
      </c>
      <c r="F594" s="16" t="s">
        <v>19</v>
      </c>
      <c r="G594" s="17" t="s">
        <v>2603</v>
      </c>
      <c r="H594" s="17" t="s">
        <v>3745</v>
      </c>
      <c r="I594" s="17" t="s">
        <v>28</v>
      </c>
      <c r="J594" s="37" t="s">
        <v>4382</v>
      </c>
      <c r="K594" s="18">
        <v>46144</v>
      </c>
      <c r="L594" s="18" t="s">
        <v>24</v>
      </c>
      <c r="M594" s="7" t="s">
        <v>25</v>
      </c>
      <c r="N594" s="17"/>
    </row>
    <row r="595" spans="1:14" ht="51" x14ac:dyDescent="0.25">
      <c r="A595" s="17">
        <v>594</v>
      </c>
      <c r="B595" s="16" t="s">
        <v>2604</v>
      </c>
      <c r="C595" s="17">
        <v>1</v>
      </c>
      <c r="D595" s="17">
        <v>16.600000000000001</v>
      </c>
      <c r="E595" s="17">
        <v>10.9</v>
      </c>
      <c r="F595" s="16" t="s">
        <v>126</v>
      </c>
      <c r="G595" s="17" t="s">
        <v>4889</v>
      </c>
      <c r="H595" s="17" t="s">
        <v>4125</v>
      </c>
      <c r="I595" s="17" t="s">
        <v>34</v>
      </c>
      <c r="J595" s="37" t="s">
        <v>4284</v>
      </c>
      <c r="K595" s="18">
        <v>46149</v>
      </c>
      <c r="L595" s="18" t="s">
        <v>24</v>
      </c>
      <c r="M595" s="7" t="s">
        <v>25</v>
      </c>
      <c r="N595" s="17"/>
    </row>
    <row r="596" spans="1:14" ht="51" x14ac:dyDescent="0.25">
      <c r="A596" s="17">
        <v>595</v>
      </c>
      <c r="B596" s="16" t="s">
        <v>2604</v>
      </c>
      <c r="C596" s="17">
        <v>2</v>
      </c>
      <c r="D596" s="17">
        <v>16.600000000000001</v>
      </c>
      <c r="E596" s="17"/>
      <c r="F596" s="16" t="s">
        <v>126</v>
      </c>
      <c r="G596" s="17" t="s">
        <v>4889</v>
      </c>
      <c r="H596" s="17" t="s">
        <v>4125</v>
      </c>
      <c r="I596" s="17" t="s">
        <v>34</v>
      </c>
      <c r="J596" s="37" t="s">
        <v>4284</v>
      </c>
      <c r="K596" s="18">
        <v>46149</v>
      </c>
      <c r="L596" s="18" t="s">
        <v>24</v>
      </c>
      <c r="M596" s="7" t="s">
        <v>25</v>
      </c>
      <c r="N596" s="17"/>
    </row>
    <row r="597" spans="1:14" ht="25.5" x14ac:dyDescent="0.25">
      <c r="A597" s="17">
        <v>596</v>
      </c>
      <c r="B597" s="16" t="s">
        <v>2604</v>
      </c>
      <c r="C597" s="17">
        <v>3</v>
      </c>
      <c r="D597" s="17">
        <v>12.6</v>
      </c>
      <c r="E597" s="17">
        <v>10.9</v>
      </c>
      <c r="F597" s="16" t="s">
        <v>338</v>
      </c>
      <c r="G597" s="17" t="s">
        <v>2605</v>
      </c>
      <c r="H597" s="17" t="s">
        <v>3746</v>
      </c>
      <c r="I597" s="17" t="s">
        <v>28</v>
      </c>
      <c r="J597" s="37" t="s">
        <v>4426</v>
      </c>
      <c r="K597" s="18">
        <v>46134</v>
      </c>
      <c r="L597" s="18" t="s">
        <v>24</v>
      </c>
      <c r="M597" s="7" t="s">
        <v>25</v>
      </c>
      <c r="N597" s="17"/>
    </row>
    <row r="598" spans="1:14" ht="63.75" x14ac:dyDescent="0.25">
      <c r="A598" s="17">
        <v>597</v>
      </c>
      <c r="B598" s="16" t="s">
        <v>2606</v>
      </c>
      <c r="C598" s="17">
        <v>1</v>
      </c>
      <c r="D598" s="17">
        <v>12.7</v>
      </c>
      <c r="E598" s="17">
        <v>10.9</v>
      </c>
      <c r="F598" s="16" t="s">
        <v>338</v>
      </c>
      <c r="G598" s="17" t="s">
        <v>2607</v>
      </c>
      <c r="H598" s="17" t="s">
        <v>4126</v>
      </c>
      <c r="I598" s="17" t="s">
        <v>34</v>
      </c>
      <c r="J598" s="37" t="s">
        <v>4427</v>
      </c>
      <c r="K598" s="18">
        <v>46156</v>
      </c>
      <c r="L598" s="18" t="s">
        <v>24</v>
      </c>
      <c r="M598" s="7" t="s">
        <v>25</v>
      </c>
      <c r="N598" s="17"/>
    </row>
    <row r="599" spans="1:14" x14ac:dyDescent="0.25">
      <c r="A599" s="14">
        <v>598</v>
      </c>
      <c r="B599" s="15" t="s">
        <v>2606</v>
      </c>
      <c r="C599" s="14">
        <v>2</v>
      </c>
      <c r="D599" s="14">
        <v>16.600000000000001</v>
      </c>
      <c r="E599" s="14"/>
      <c r="F599" s="15" t="s">
        <v>343</v>
      </c>
      <c r="G599" s="14"/>
      <c r="H599" s="14"/>
      <c r="I599" s="14"/>
      <c r="J599" s="28"/>
      <c r="K599" s="14"/>
      <c r="L599" s="14"/>
      <c r="M599" s="14" t="s">
        <v>286</v>
      </c>
      <c r="N599" s="14"/>
    </row>
    <row r="600" spans="1:14" ht="63.75" x14ac:dyDescent="0.25">
      <c r="A600" s="17">
        <v>599</v>
      </c>
      <c r="B600" s="16" t="s">
        <v>2606</v>
      </c>
      <c r="C600" s="17">
        <v>3</v>
      </c>
      <c r="D600" s="17">
        <v>16.5</v>
      </c>
      <c r="E600" s="17">
        <v>10.9</v>
      </c>
      <c r="F600" s="16" t="s">
        <v>106</v>
      </c>
      <c r="G600" s="17" t="s">
        <v>2608</v>
      </c>
      <c r="H600" s="17" t="s">
        <v>4127</v>
      </c>
      <c r="I600" s="17" t="s">
        <v>34</v>
      </c>
      <c r="J600" s="37" t="s">
        <v>4577</v>
      </c>
      <c r="K600" s="18">
        <v>46142</v>
      </c>
      <c r="L600" s="18" t="s">
        <v>24</v>
      </c>
      <c r="M600" s="7" t="s">
        <v>25</v>
      </c>
      <c r="N600" s="17"/>
    </row>
    <row r="601" spans="1:14" ht="25.5" x14ac:dyDescent="0.25">
      <c r="A601" s="17">
        <v>600</v>
      </c>
      <c r="B601" s="16" t="s">
        <v>2609</v>
      </c>
      <c r="C601" s="17">
        <v>1</v>
      </c>
      <c r="D601" s="17">
        <v>17.399999999999999</v>
      </c>
      <c r="E601" s="17">
        <v>10.8</v>
      </c>
      <c r="F601" s="16" t="s">
        <v>19</v>
      </c>
      <c r="G601" s="17" t="s">
        <v>2610</v>
      </c>
      <c r="H601" s="17" t="s">
        <v>3747</v>
      </c>
      <c r="I601" s="17" t="s">
        <v>388</v>
      </c>
      <c r="J601" s="37" t="s">
        <v>4383</v>
      </c>
      <c r="K601" s="18">
        <v>46135</v>
      </c>
      <c r="L601" s="18" t="s">
        <v>24</v>
      </c>
      <c r="M601" s="7" t="s">
        <v>25</v>
      </c>
      <c r="N601" s="17"/>
    </row>
    <row r="602" spans="1:14" ht="25.5" x14ac:dyDescent="0.25">
      <c r="A602" s="17">
        <v>601</v>
      </c>
      <c r="B602" s="16" t="s">
        <v>2609</v>
      </c>
      <c r="C602" s="17">
        <v>2</v>
      </c>
      <c r="D602" s="17">
        <v>16.3</v>
      </c>
      <c r="E602" s="17"/>
      <c r="F602" s="16" t="s">
        <v>19</v>
      </c>
      <c r="G602" s="17" t="s">
        <v>2611</v>
      </c>
      <c r="H602" s="17" t="s">
        <v>4128</v>
      </c>
      <c r="I602" s="17" t="s">
        <v>28</v>
      </c>
      <c r="J602" s="37" t="s">
        <v>4384</v>
      </c>
      <c r="K602" s="18">
        <v>46136</v>
      </c>
      <c r="L602" s="18" t="s">
        <v>24</v>
      </c>
      <c r="M602" s="7" t="s">
        <v>25</v>
      </c>
      <c r="N602" s="17"/>
    </row>
    <row r="603" spans="1:14" ht="25.5" x14ac:dyDescent="0.25">
      <c r="A603" s="17">
        <v>602</v>
      </c>
      <c r="B603" s="16" t="s">
        <v>2609</v>
      </c>
      <c r="C603" s="17">
        <v>3</v>
      </c>
      <c r="D603" s="17">
        <v>13.4</v>
      </c>
      <c r="E603" s="17">
        <v>10.6</v>
      </c>
      <c r="F603" s="16" t="s">
        <v>19</v>
      </c>
      <c r="G603" s="17" t="s">
        <v>2611</v>
      </c>
      <c r="H603" s="17" t="s">
        <v>4128</v>
      </c>
      <c r="I603" s="17" t="s">
        <v>28</v>
      </c>
      <c r="J603" s="37" t="s">
        <v>4384</v>
      </c>
      <c r="K603" s="18">
        <v>46136</v>
      </c>
      <c r="L603" s="18" t="s">
        <v>24</v>
      </c>
      <c r="M603" s="7" t="s">
        <v>25</v>
      </c>
      <c r="N603" s="17"/>
    </row>
    <row r="604" spans="1:14" ht="63.75" x14ac:dyDescent="0.25">
      <c r="A604" s="17">
        <v>603</v>
      </c>
      <c r="B604" s="16" t="s">
        <v>2612</v>
      </c>
      <c r="C604" s="17">
        <v>1</v>
      </c>
      <c r="D604" s="17">
        <v>16.8</v>
      </c>
      <c r="E604" s="17">
        <v>10.8</v>
      </c>
      <c r="F604" s="16" t="s">
        <v>162</v>
      </c>
      <c r="G604" s="17" t="s">
        <v>2613</v>
      </c>
      <c r="H604" s="17" t="s">
        <v>3905</v>
      </c>
      <c r="I604" s="17" t="s">
        <v>293</v>
      </c>
      <c r="J604" s="37" t="s">
        <v>4492</v>
      </c>
      <c r="K604" s="18">
        <v>46154</v>
      </c>
      <c r="L604" s="18" t="s">
        <v>24</v>
      </c>
      <c r="M604" s="7" t="s">
        <v>25</v>
      </c>
      <c r="N604" s="17"/>
    </row>
    <row r="605" spans="1:14" ht="63.75" x14ac:dyDescent="0.25">
      <c r="A605" s="17">
        <v>604</v>
      </c>
      <c r="B605" s="16" t="s">
        <v>2612</v>
      </c>
      <c r="C605" s="17">
        <v>2</v>
      </c>
      <c r="D605" s="17">
        <v>16.399999999999999</v>
      </c>
      <c r="E605" s="17"/>
      <c r="F605" s="16" t="s">
        <v>19</v>
      </c>
      <c r="G605" s="17" t="s">
        <v>2614</v>
      </c>
      <c r="H605" s="17" t="s">
        <v>4129</v>
      </c>
      <c r="I605" s="17" t="s">
        <v>34</v>
      </c>
      <c r="J605" s="37" t="s">
        <v>4385</v>
      </c>
      <c r="K605" s="18">
        <v>46154</v>
      </c>
      <c r="L605" s="18" t="s">
        <v>82</v>
      </c>
      <c r="M605" s="7" t="s">
        <v>25</v>
      </c>
      <c r="N605" s="17"/>
    </row>
    <row r="606" spans="1:14" ht="25.5" x14ac:dyDescent="0.25">
      <c r="A606" s="17">
        <v>605</v>
      </c>
      <c r="B606" s="16" t="s">
        <v>2612</v>
      </c>
      <c r="C606" s="17">
        <v>3</v>
      </c>
      <c r="D606" s="17">
        <v>12.4</v>
      </c>
      <c r="E606" s="17">
        <v>11.2</v>
      </c>
      <c r="F606" s="16" t="s">
        <v>106</v>
      </c>
      <c r="G606" s="17" t="s">
        <v>4911</v>
      </c>
      <c r="H606" s="17" t="s">
        <v>3748</v>
      </c>
      <c r="I606" s="17" t="s">
        <v>267</v>
      </c>
      <c r="J606" s="37" t="s">
        <v>4578</v>
      </c>
      <c r="K606" s="18">
        <v>46144</v>
      </c>
      <c r="L606" s="18" t="s">
        <v>24</v>
      </c>
      <c r="M606" s="7" t="s">
        <v>25</v>
      </c>
      <c r="N606" s="17"/>
    </row>
    <row r="607" spans="1:14" ht="63.75" x14ac:dyDescent="0.25">
      <c r="A607" s="17">
        <v>606</v>
      </c>
      <c r="B607" s="16" t="s">
        <v>2615</v>
      </c>
      <c r="C607" s="17">
        <v>1</v>
      </c>
      <c r="D607" s="17">
        <v>15</v>
      </c>
      <c r="E607" s="17">
        <v>10.4</v>
      </c>
      <c r="F607" s="16" t="s">
        <v>31</v>
      </c>
      <c r="G607" s="17" t="s">
        <v>2616</v>
      </c>
      <c r="H607" s="17" t="s">
        <v>4130</v>
      </c>
      <c r="I607" s="17" t="s">
        <v>34</v>
      </c>
      <c r="J607" s="37" t="s">
        <v>4736</v>
      </c>
      <c r="K607" s="18">
        <v>46148</v>
      </c>
      <c r="L607" s="18" t="s">
        <v>24</v>
      </c>
      <c r="M607" s="7" t="s">
        <v>25</v>
      </c>
      <c r="N607" s="17"/>
    </row>
    <row r="608" spans="1:14" ht="63.75" x14ac:dyDescent="0.25">
      <c r="A608" s="17">
        <v>607</v>
      </c>
      <c r="B608" s="16" t="s">
        <v>2615</v>
      </c>
      <c r="C608" s="17">
        <v>2</v>
      </c>
      <c r="D608" s="17">
        <v>15.8</v>
      </c>
      <c r="E608" s="17"/>
      <c r="F608" s="16" t="s">
        <v>31</v>
      </c>
      <c r="G608" s="17" t="s">
        <v>2616</v>
      </c>
      <c r="H608" s="17" t="s">
        <v>4130</v>
      </c>
      <c r="I608" s="17" t="s">
        <v>34</v>
      </c>
      <c r="J608" s="37" t="s">
        <v>4737</v>
      </c>
      <c r="K608" s="18">
        <v>46155</v>
      </c>
      <c r="L608" s="18" t="s">
        <v>24</v>
      </c>
      <c r="M608" s="7" t="s">
        <v>25</v>
      </c>
      <c r="N608" s="17"/>
    </row>
    <row r="609" spans="1:14" ht="63.75" x14ac:dyDescent="0.25">
      <c r="A609" s="17">
        <v>608</v>
      </c>
      <c r="B609" s="16" t="s">
        <v>2615</v>
      </c>
      <c r="C609" s="17">
        <v>3</v>
      </c>
      <c r="D609" s="17">
        <v>13</v>
      </c>
      <c r="E609" s="17">
        <v>10.4</v>
      </c>
      <c r="F609" s="16" t="s">
        <v>121</v>
      </c>
      <c r="G609" s="17" t="s">
        <v>2617</v>
      </c>
      <c r="H609" s="17" t="s">
        <v>3906</v>
      </c>
      <c r="I609" s="17" t="s">
        <v>34</v>
      </c>
      <c r="J609" s="37" t="s">
        <v>4652</v>
      </c>
      <c r="K609" s="18">
        <v>46140</v>
      </c>
      <c r="L609" s="18" t="s">
        <v>24</v>
      </c>
      <c r="M609" s="7" t="s">
        <v>25</v>
      </c>
      <c r="N609" s="17"/>
    </row>
    <row r="610" spans="1:14" ht="51" x14ac:dyDescent="0.25">
      <c r="A610" s="17">
        <v>609</v>
      </c>
      <c r="B610" s="16" t="s">
        <v>2618</v>
      </c>
      <c r="C610" s="17">
        <v>1</v>
      </c>
      <c r="D610" s="17">
        <v>16.7</v>
      </c>
      <c r="E610" s="17">
        <v>10.6</v>
      </c>
      <c r="F610" s="16" t="s">
        <v>31</v>
      </c>
      <c r="G610" s="17" t="s">
        <v>2619</v>
      </c>
      <c r="H610" s="17" t="s">
        <v>4131</v>
      </c>
      <c r="I610" s="17" t="s">
        <v>34</v>
      </c>
      <c r="J610" s="37" t="s">
        <v>4738</v>
      </c>
      <c r="K610" s="18">
        <v>46155</v>
      </c>
      <c r="L610" s="18" t="s">
        <v>24</v>
      </c>
      <c r="M610" s="7" t="s">
        <v>25</v>
      </c>
      <c r="N610" s="17"/>
    </row>
    <row r="611" spans="1:14" x14ac:dyDescent="0.25">
      <c r="A611" s="14">
        <v>610</v>
      </c>
      <c r="B611" s="15" t="s">
        <v>2618</v>
      </c>
      <c r="C611" s="14">
        <v>2</v>
      </c>
      <c r="D611" s="14">
        <v>17.100000000000001</v>
      </c>
      <c r="E611" s="14"/>
      <c r="F611" s="15" t="s">
        <v>73</v>
      </c>
      <c r="G611" s="14"/>
      <c r="H611" s="14"/>
      <c r="I611" s="14"/>
      <c r="J611" s="28"/>
      <c r="K611" s="14"/>
      <c r="L611" s="14"/>
      <c r="M611" s="14" t="s">
        <v>286</v>
      </c>
      <c r="N611" s="14"/>
    </row>
    <row r="612" spans="1:14" ht="63.75" x14ac:dyDescent="0.25">
      <c r="A612" s="17">
        <v>611</v>
      </c>
      <c r="B612" s="16" t="s">
        <v>2618</v>
      </c>
      <c r="C612" s="17">
        <v>3</v>
      </c>
      <c r="D612" s="17">
        <v>12.4</v>
      </c>
      <c r="E612" s="17">
        <v>10.6</v>
      </c>
      <c r="F612" s="16" t="s">
        <v>73</v>
      </c>
      <c r="G612" s="17" t="s">
        <v>2620</v>
      </c>
      <c r="H612" s="17" t="s">
        <v>3749</v>
      </c>
      <c r="I612" s="17" t="s">
        <v>34</v>
      </c>
      <c r="J612" s="37" t="s">
        <v>4451</v>
      </c>
      <c r="K612" s="18">
        <v>46144</v>
      </c>
      <c r="L612" s="18" t="s">
        <v>24</v>
      </c>
      <c r="M612" s="7" t="s">
        <v>25</v>
      </c>
      <c r="N612" s="17"/>
    </row>
    <row r="613" spans="1:14" ht="25.5" x14ac:dyDescent="0.25">
      <c r="A613" s="34">
        <v>612</v>
      </c>
      <c r="B613" s="35" t="s">
        <v>2621</v>
      </c>
      <c r="C613" s="34">
        <v>1</v>
      </c>
      <c r="D613" s="34">
        <v>16</v>
      </c>
      <c r="E613" s="34">
        <v>10.9</v>
      </c>
      <c r="F613" s="35" t="s">
        <v>48</v>
      </c>
      <c r="G613" s="34" t="s">
        <v>2622</v>
      </c>
      <c r="H613" s="34" t="s">
        <v>3907</v>
      </c>
      <c r="I613" s="34" t="s">
        <v>921</v>
      </c>
      <c r="J613" s="37" t="s">
        <v>4847</v>
      </c>
      <c r="K613" s="36">
        <v>46144</v>
      </c>
      <c r="L613" s="36" t="s">
        <v>24</v>
      </c>
      <c r="M613" s="13" t="s">
        <v>25</v>
      </c>
      <c r="N613" s="34"/>
    </row>
    <row r="614" spans="1:14" ht="25.5" x14ac:dyDescent="0.25">
      <c r="A614" s="34">
        <v>613</v>
      </c>
      <c r="B614" s="35" t="s">
        <v>2621</v>
      </c>
      <c r="C614" s="34">
        <v>2</v>
      </c>
      <c r="D614" s="34">
        <v>15.8</v>
      </c>
      <c r="E614" s="34"/>
      <c r="F614" s="35" t="s">
        <v>48</v>
      </c>
      <c r="G614" s="34" t="s">
        <v>2622</v>
      </c>
      <c r="H614" s="34" t="s">
        <v>3907</v>
      </c>
      <c r="I614" s="34" t="s">
        <v>921</v>
      </c>
      <c r="J614" s="37" t="s">
        <v>4847</v>
      </c>
      <c r="K614" s="36">
        <v>46144</v>
      </c>
      <c r="L614" s="36" t="s">
        <v>24</v>
      </c>
      <c r="M614" s="13" t="s">
        <v>25</v>
      </c>
      <c r="N614" s="34"/>
    </row>
    <row r="615" spans="1:14" ht="63.75" x14ac:dyDescent="0.25">
      <c r="A615" s="17">
        <v>614</v>
      </c>
      <c r="B615" s="16" t="s">
        <v>2621</v>
      </c>
      <c r="C615" s="17">
        <v>3</v>
      </c>
      <c r="D615" s="17">
        <v>13.3</v>
      </c>
      <c r="E615" s="17">
        <v>10.9</v>
      </c>
      <c r="F615" s="16" t="s">
        <v>151</v>
      </c>
      <c r="G615" s="17" t="s">
        <v>2623</v>
      </c>
      <c r="H615" s="17" t="s">
        <v>3908</v>
      </c>
      <c r="I615" s="17" t="s">
        <v>293</v>
      </c>
      <c r="J615" s="37" t="s">
        <v>4806</v>
      </c>
      <c r="K615" s="18">
        <v>46155</v>
      </c>
      <c r="L615" s="18" t="s">
        <v>24</v>
      </c>
      <c r="M615" s="7" t="s">
        <v>25</v>
      </c>
      <c r="N615" s="17"/>
    </row>
    <row r="616" spans="1:14" ht="25.5" x14ac:dyDescent="0.25">
      <c r="A616" s="17">
        <v>615</v>
      </c>
      <c r="B616" s="16" t="s">
        <v>2624</v>
      </c>
      <c r="C616" s="17">
        <v>1</v>
      </c>
      <c r="D616" s="17">
        <v>16.899999999999999</v>
      </c>
      <c r="E616" s="17">
        <v>10.8</v>
      </c>
      <c r="F616" s="16" t="s">
        <v>121</v>
      </c>
      <c r="G616" s="17" t="s">
        <v>2625</v>
      </c>
      <c r="H616" s="17" t="s">
        <v>4132</v>
      </c>
      <c r="I616" s="17" t="s">
        <v>51</v>
      </c>
      <c r="J616" s="37" t="s">
        <v>4653</v>
      </c>
      <c r="K616" s="18">
        <v>46148</v>
      </c>
      <c r="L616" s="18" t="s">
        <v>24</v>
      </c>
      <c r="M616" s="7" t="s">
        <v>25</v>
      </c>
      <c r="N616" s="17"/>
    </row>
    <row r="617" spans="1:14" ht="51" x14ac:dyDescent="0.25">
      <c r="A617" s="17">
        <v>616</v>
      </c>
      <c r="B617" s="16" t="s">
        <v>2624</v>
      </c>
      <c r="C617" s="17">
        <v>2</v>
      </c>
      <c r="D617" s="17">
        <v>16.3</v>
      </c>
      <c r="E617" s="17"/>
      <c r="F617" s="16" t="s">
        <v>126</v>
      </c>
      <c r="G617" s="17" t="s">
        <v>4890</v>
      </c>
      <c r="H617" s="17" t="s">
        <v>4133</v>
      </c>
      <c r="I617" s="17" t="s">
        <v>34</v>
      </c>
      <c r="J617" s="37" t="s">
        <v>4285</v>
      </c>
      <c r="K617" s="18">
        <v>46156</v>
      </c>
      <c r="L617" s="18" t="s">
        <v>24</v>
      </c>
      <c r="M617" s="7" t="s">
        <v>25</v>
      </c>
      <c r="N617" s="17"/>
    </row>
    <row r="618" spans="1:14" ht="51" x14ac:dyDescent="0.25">
      <c r="A618" s="17">
        <v>617</v>
      </c>
      <c r="B618" s="16" t="s">
        <v>2624</v>
      </c>
      <c r="C618" s="17">
        <v>3</v>
      </c>
      <c r="D618" s="17">
        <v>13.1</v>
      </c>
      <c r="E618" s="17">
        <v>10.8</v>
      </c>
      <c r="F618" s="16" t="s">
        <v>126</v>
      </c>
      <c r="G618" s="17" t="s">
        <v>4890</v>
      </c>
      <c r="H618" s="17" t="s">
        <v>4133</v>
      </c>
      <c r="I618" s="17" t="s">
        <v>34</v>
      </c>
      <c r="J618" s="37" t="s">
        <v>4285</v>
      </c>
      <c r="K618" s="18">
        <v>46156</v>
      </c>
      <c r="L618" s="18" t="s">
        <v>24</v>
      </c>
      <c r="M618" s="7" t="s">
        <v>25</v>
      </c>
      <c r="N618" s="17"/>
    </row>
    <row r="619" spans="1:14" ht="25.5" x14ac:dyDescent="0.25">
      <c r="A619" s="17">
        <v>618</v>
      </c>
      <c r="B619" s="16" t="s">
        <v>2626</v>
      </c>
      <c r="C619" s="17">
        <v>1</v>
      </c>
      <c r="D619" s="17">
        <v>17.3</v>
      </c>
      <c r="E619" s="17">
        <v>10.199999999999999</v>
      </c>
      <c r="F619" s="16" t="s">
        <v>162</v>
      </c>
      <c r="G619" s="17" t="s">
        <v>2627</v>
      </c>
      <c r="H619" s="17" t="s">
        <v>3909</v>
      </c>
      <c r="I619" s="17" t="s">
        <v>22</v>
      </c>
      <c r="J619" s="37" t="s">
        <v>4493</v>
      </c>
      <c r="K619" s="18">
        <v>46147</v>
      </c>
      <c r="L619" s="18" t="s">
        <v>24</v>
      </c>
      <c r="M619" s="7" t="s">
        <v>25</v>
      </c>
      <c r="N619" s="17"/>
    </row>
    <row r="620" spans="1:14" ht="25.5" x14ac:dyDescent="0.25">
      <c r="A620" s="17">
        <v>619</v>
      </c>
      <c r="B620" s="16" t="s">
        <v>2626</v>
      </c>
      <c r="C620" s="17">
        <v>2</v>
      </c>
      <c r="D620" s="17">
        <v>15.5</v>
      </c>
      <c r="E620" s="17"/>
      <c r="F620" s="16" t="s">
        <v>162</v>
      </c>
      <c r="G620" s="17" t="s">
        <v>2627</v>
      </c>
      <c r="H620" s="17" t="s">
        <v>3909</v>
      </c>
      <c r="I620" s="17" t="s">
        <v>22</v>
      </c>
      <c r="J620" s="37" t="s">
        <v>4493</v>
      </c>
      <c r="K620" s="18">
        <v>46147</v>
      </c>
      <c r="L620" s="18" t="s">
        <v>24</v>
      </c>
      <c r="M620" s="7" t="s">
        <v>25</v>
      </c>
      <c r="N620" s="17"/>
    </row>
    <row r="621" spans="1:14" ht="25.5" x14ac:dyDescent="0.25">
      <c r="A621" s="34">
        <v>620</v>
      </c>
      <c r="B621" s="35" t="s">
        <v>2626</v>
      </c>
      <c r="C621" s="34">
        <v>3</v>
      </c>
      <c r="D621" s="34">
        <v>11.3</v>
      </c>
      <c r="E621" s="34">
        <v>10.199999999999999</v>
      </c>
      <c r="F621" s="35" t="s">
        <v>121</v>
      </c>
      <c r="G621" s="34" t="s">
        <v>2628</v>
      </c>
      <c r="H621" s="17" t="s">
        <v>4134</v>
      </c>
      <c r="I621" s="17" t="s">
        <v>2304</v>
      </c>
      <c r="J621" s="37" t="s">
        <v>4654</v>
      </c>
      <c r="K621" s="18">
        <v>46150</v>
      </c>
      <c r="L621" s="18" t="s">
        <v>82</v>
      </c>
      <c r="M621" s="7" t="s">
        <v>25</v>
      </c>
      <c r="N621" s="17"/>
    </row>
    <row r="622" spans="1:14" ht="25.5" x14ac:dyDescent="0.25">
      <c r="A622" s="17">
        <v>621</v>
      </c>
      <c r="B622" s="16" t="s">
        <v>2629</v>
      </c>
      <c r="C622" s="17">
        <v>1</v>
      </c>
      <c r="D622" s="17">
        <v>12.5</v>
      </c>
      <c r="E622" s="17">
        <v>10.5</v>
      </c>
      <c r="F622" s="16" t="s">
        <v>101</v>
      </c>
      <c r="G622" s="17" t="s">
        <v>2630</v>
      </c>
      <c r="H622" s="17" t="s">
        <v>3750</v>
      </c>
      <c r="I622" s="17" t="s">
        <v>22</v>
      </c>
      <c r="J622" s="37" t="s">
        <v>4240</v>
      </c>
      <c r="K622" s="18">
        <v>46133</v>
      </c>
      <c r="L622" s="18" t="s">
        <v>24</v>
      </c>
      <c r="M622" s="7" t="s">
        <v>25</v>
      </c>
      <c r="N622" s="17"/>
    </row>
    <row r="623" spans="1:14" ht="25.5" x14ac:dyDescent="0.25">
      <c r="A623" s="17">
        <v>622</v>
      </c>
      <c r="B623" s="16" t="s">
        <v>2629</v>
      </c>
      <c r="C623" s="17">
        <v>2</v>
      </c>
      <c r="D623" s="17">
        <v>15.8</v>
      </c>
      <c r="E623" s="17"/>
      <c r="F623" s="16" t="s">
        <v>31</v>
      </c>
      <c r="G623" s="17" t="s">
        <v>2631</v>
      </c>
      <c r="H623" s="17" t="s">
        <v>4135</v>
      </c>
      <c r="I623" s="17" t="s">
        <v>28</v>
      </c>
      <c r="J623" s="37" t="s">
        <v>4739</v>
      </c>
      <c r="K623" s="18">
        <v>46147</v>
      </c>
      <c r="L623" s="18" t="s">
        <v>24</v>
      </c>
      <c r="M623" s="7" t="s">
        <v>25</v>
      </c>
      <c r="N623" s="17"/>
    </row>
    <row r="624" spans="1:14" ht="25.5" x14ac:dyDescent="0.25">
      <c r="A624" s="17">
        <v>623</v>
      </c>
      <c r="B624" s="16" t="s">
        <v>2629</v>
      </c>
      <c r="C624" s="17">
        <v>3</v>
      </c>
      <c r="D624" s="17">
        <v>14.9</v>
      </c>
      <c r="E624" s="17">
        <v>10.7</v>
      </c>
      <c r="F624" s="16" t="s">
        <v>151</v>
      </c>
      <c r="G624" s="17" t="s">
        <v>2632</v>
      </c>
      <c r="H624" s="17" t="s">
        <v>3910</v>
      </c>
      <c r="I624" s="17" t="s">
        <v>28</v>
      </c>
      <c r="J624" s="37" t="s">
        <v>4807</v>
      </c>
      <c r="K624" s="18">
        <v>46155</v>
      </c>
      <c r="L624" s="18" t="s">
        <v>24</v>
      </c>
      <c r="M624" s="7" t="s">
        <v>25</v>
      </c>
      <c r="N624" s="17"/>
    </row>
    <row r="625" spans="1:14" ht="25.5" x14ac:dyDescent="0.25">
      <c r="A625" s="17">
        <v>624</v>
      </c>
      <c r="B625" s="16" t="s">
        <v>2633</v>
      </c>
      <c r="C625" s="17">
        <v>1</v>
      </c>
      <c r="D625" s="17">
        <v>12.9</v>
      </c>
      <c r="E625" s="17">
        <v>10.4</v>
      </c>
      <c r="F625" s="16" t="s">
        <v>338</v>
      </c>
      <c r="G625" s="34" t="s">
        <v>2634</v>
      </c>
      <c r="H625" s="17" t="s">
        <v>3592</v>
      </c>
      <c r="I625" s="17" t="s">
        <v>28</v>
      </c>
      <c r="J625" s="37" t="s">
        <v>4220</v>
      </c>
      <c r="K625" s="18">
        <v>46156</v>
      </c>
      <c r="L625" s="18" t="s">
        <v>82</v>
      </c>
      <c r="M625" s="7" t="s">
        <v>25</v>
      </c>
      <c r="N625" s="17"/>
    </row>
    <row r="626" spans="1:14" ht="25.5" x14ac:dyDescent="0.25">
      <c r="A626" s="17">
        <v>625</v>
      </c>
      <c r="B626" s="16" t="s">
        <v>2633</v>
      </c>
      <c r="C626" s="17">
        <v>2</v>
      </c>
      <c r="D626" s="17">
        <v>15.9</v>
      </c>
      <c r="E626" s="17"/>
      <c r="F626" s="16" t="s">
        <v>338</v>
      </c>
      <c r="G626" s="34" t="s">
        <v>2634</v>
      </c>
      <c r="H626" s="17" t="s">
        <v>3592</v>
      </c>
      <c r="I626" s="17" t="s">
        <v>28</v>
      </c>
      <c r="J626" s="37" t="s">
        <v>4221</v>
      </c>
      <c r="K626" s="18">
        <v>46156</v>
      </c>
      <c r="L626" s="18" t="s">
        <v>82</v>
      </c>
      <c r="M626" s="7" t="s">
        <v>25</v>
      </c>
      <c r="N626" s="17"/>
    </row>
    <row r="627" spans="1:14" ht="25.5" x14ac:dyDescent="0.25">
      <c r="A627" s="17">
        <v>626</v>
      </c>
      <c r="B627" s="16" t="s">
        <v>2633</v>
      </c>
      <c r="C627" s="17">
        <v>3</v>
      </c>
      <c r="D627" s="17">
        <v>16.3</v>
      </c>
      <c r="E627" s="17">
        <v>10.4</v>
      </c>
      <c r="F627" s="16" t="s">
        <v>338</v>
      </c>
      <c r="G627" s="17" t="s">
        <v>2634</v>
      </c>
      <c r="H627" s="17" t="s">
        <v>3573</v>
      </c>
      <c r="I627" s="17" t="s">
        <v>28</v>
      </c>
      <c r="J627" s="37" t="s">
        <v>4220</v>
      </c>
      <c r="K627" s="18">
        <v>46155</v>
      </c>
      <c r="L627" s="18" t="s">
        <v>24</v>
      </c>
      <c r="M627" s="7" t="s">
        <v>25</v>
      </c>
      <c r="N627" s="17"/>
    </row>
    <row r="628" spans="1:14" ht="51" x14ac:dyDescent="0.25">
      <c r="A628" s="17">
        <v>627</v>
      </c>
      <c r="B628" s="16" t="s">
        <v>2635</v>
      </c>
      <c r="C628" s="17">
        <v>1</v>
      </c>
      <c r="D628" s="17">
        <v>17</v>
      </c>
      <c r="E628" s="17">
        <v>10.8</v>
      </c>
      <c r="F628" s="16" t="s">
        <v>338</v>
      </c>
      <c r="G628" s="17" t="s">
        <v>2636</v>
      </c>
      <c r="H628" s="17" t="s">
        <v>3751</v>
      </c>
      <c r="I628" s="17" t="s">
        <v>34</v>
      </c>
      <c r="J628" s="37" t="s">
        <v>4428</v>
      </c>
      <c r="K628" s="18">
        <v>46136</v>
      </c>
      <c r="L628" s="18" t="s">
        <v>24</v>
      </c>
      <c r="M628" s="7" t="s">
        <v>25</v>
      </c>
      <c r="N628" s="17"/>
    </row>
    <row r="629" spans="1:14" ht="25.5" x14ac:dyDescent="0.25">
      <c r="A629" s="17">
        <v>628</v>
      </c>
      <c r="B629" s="16" t="s">
        <v>2635</v>
      </c>
      <c r="C629" s="17">
        <v>2</v>
      </c>
      <c r="D629" s="17">
        <v>16.100000000000001</v>
      </c>
      <c r="E629" s="17"/>
      <c r="F629" s="16" t="s">
        <v>62</v>
      </c>
      <c r="G629" s="17" t="s">
        <v>2637</v>
      </c>
      <c r="H629" s="17" t="s">
        <v>3752</v>
      </c>
      <c r="I629" s="17" t="s">
        <v>28</v>
      </c>
      <c r="J629" s="37" t="s">
        <v>4533</v>
      </c>
      <c r="K629" s="18">
        <v>46141</v>
      </c>
      <c r="L629" s="18" t="s">
        <v>82</v>
      </c>
      <c r="M629" s="7" t="s">
        <v>25</v>
      </c>
      <c r="N629" s="17"/>
    </row>
    <row r="630" spans="1:14" ht="25.5" x14ac:dyDescent="0.25">
      <c r="A630" s="17">
        <v>629</v>
      </c>
      <c r="B630" s="16" t="s">
        <v>2635</v>
      </c>
      <c r="C630" s="17">
        <v>3</v>
      </c>
      <c r="D630" s="17">
        <v>13</v>
      </c>
      <c r="E630" s="17">
        <v>10.9</v>
      </c>
      <c r="F630" s="16" t="s">
        <v>62</v>
      </c>
      <c r="G630" s="17" t="s">
        <v>2637</v>
      </c>
      <c r="H630" s="17" t="s">
        <v>3752</v>
      </c>
      <c r="I630" s="17" t="s">
        <v>28</v>
      </c>
      <c r="J630" s="37" t="s">
        <v>4533</v>
      </c>
      <c r="K630" s="18">
        <v>46141</v>
      </c>
      <c r="L630" s="18" t="s">
        <v>82</v>
      </c>
      <c r="M630" s="7" t="s">
        <v>25</v>
      </c>
      <c r="N630" s="17"/>
    </row>
    <row r="631" spans="1:14" ht="51" x14ac:dyDescent="0.25">
      <c r="A631" s="17">
        <v>630</v>
      </c>
      <c r="B631" s="16" t="s">
        <v>2638</v>
      </c>
      <c r="C631" s="17">
        <v>1</v>
      </c>
      <c r="D631" s="17">
        <v>16.600000000000001</v>
      </c>
      <c r="E631" s="17">
        <v>10.4</v>
      </c>
      <c r="F631" s="16" t="s">
        <v>338</v>
      </c>
      <c r="G631" s="17" t="s">
        <v>4951</v>
      </c>
      <c r="H631" s="17" t="s">
        <v>4136</v>
      </c>
      <c r="I631" s="17" t="s">
        <v>34</v>
      </c>
      <c r="J631" s="37" t="s">
        <v>4429</v>
      </c>
      <c r="K631" s="18">
        <v>46156</v>
      </c>
      <c r="L631" s="18" t="s">
        <v>24</v>
      </c>
      <c r="M631" s="7" t="s">
        <v>25</v>
      </c>
      <c r="N631" s="17"/>
    </row>
    <row r="632" spans="1:14" ht="63.75" x14ac:dyDescent="0.25">
      <c r="A632" s="17">
        <v>631</v>
      </c>
      <c r="B632" s="16" t="s">
        <v>2638</v>
      </c>
      <c r="C632" s="17">
        <v>2</v>
      </c>
      <c r="D632" s="17">
        <v>17.100000000000001</v>
      </c>
      <c r="E632" s="17"/>
      <c r="F632" s="16" t="s">
        <v>48</v>
      </c>
      <c r="G632" s="17" t="s">
        <v>2639</v>
      </c>
      <c r="H632" s="17" t="s">
        <v>3753</v>
      </c>
      <c r="I632" s="17" t="s">
        <v>34</v>
      </c>
      <c r="J632" s="37" t="s">
        <v>4848</v>
      </c>
      <c r="K632" s="18">
        <v>46147</v>
      </c>
      <c r="L632" s="18" t="s">
        <v>82</v>
      </c>
      <c r="M632" s="7" t="s">
        <v>25</v>
      </c>
      <c r="N632" s="17"/>
    </row>
    <row r="633" spans="1:14" ht="63.75" x14ac:dyDescent="0.25">
      <c r="A633" s="17">
        <v>632</v>
      </c>
      <c r="B633" s="16" t="s">
        <v>2638</v>
      </c>
      <c r="C633" s="17">
        <v>3</v>
      </c>
      <c r="D633" s="17">
        <v>11.5</v>
      </c>
      <c r="E633" s="17">
        <v>10.4</v>
      </c>
      <c r="F633" s="16" t="s">
        <v>48</v>
      </c>
      <c r="G633" s="17" t="s">
        <v>2639</v>
      </c>
      <c r="H633" s="17" t="s">
        <v>3753</v>
      </c>
      <c r="I633" s="17" t="s">
        <v>34</v>
      </c>
      <c r="J633" s="37" t="s">
        <v>4848</v>
      </c>
      <c r="K633" s="18">
        <v>46147</v>
      </c>
      <c r="L633" s="18" t="s">
        <v>82</v>
      </c>
      <c r="M633" s="7" t="s">
        <v>25</v>
      </c>
      <c r="N633" s="17"/>
    </row>
    <row r="634" spans="1:14" ht="25.5" x14ac:dyDescent="0.25">
      <c r="A634" s="17">
        <v>633</v>
      </c>
      <c r="B634" s="16" t="s">
        <v>2640</v>
      </c>
      <c r="C634" s="17">
        <v>1</v>
      </c>
      <c r="D634" s="17">
        <v>16.3</v>
      </c>
      <c r="E634" s="17">
        <v>10.5</v>
      </c>
      <c r="F634" s="16" t="s">
        <v>126</v>
      </c>
      <c r="G634" s="17" t="s">
        <v>2641</v>
      </c>
      <c r="H634" s="17" t="s">
        <v>4891</v>
      </c>
      <c r="I634" s="17" t="s">
        <v>22</v>
      </c>
      <c r="J634" s="37" t="s">
        <v>4286</v>
      </c>
      <c r="K634" s="18">
        <v>46148</v>
      </c>
      <c r="L634" s="18" t="s">
        <v>24</v>
      </c>
      <c r="M634" s="7" t="s">
        <v>25</v>
      </c>
      <c r="N634" s="17"/>
    </row>
    <row r="635" spans="1:14" ht="25.5" x14ac:dyDescent="0.25">
      <c r="A635" s="17">
        <v>634</v>
      </c>
      <c r="B635" s="16" t="s">
        <v>2640</v>
      </c>
      <c r="C635" s="17">
        <v>2</v>
      </c>
      <c r="D635" s="17">
        <v>16.3</v>
      </c>
      <c r="E635" s="17"/>
      <c r="F635" s="16" t="s">
        <v>126</v>
      </c>
      <c r="G635" s="17" t="s">
        <v>2642</v>
      </c>
      <c r="H635" s="17" t="s">
        <v>3911</v>
      </c>
      <c r="I635" s="17" t="s">
        <v>28</v>
      </c>
      <c r="J635" s="37" t="s">
        <v>4287</v>
      </c>
      <c r="K635" s="18">
        <v>46141</v>
      </c>
      <c r="L635" s="18" t="s">
        <v>24</v>
      </c>
      <c r="M635" s="7" t="s">
        <v>25</v>
      </c>
      <c r="N635" s="17"/>
    </row>
    <row r="636" spans="1:14" ht="25.5" x14ac:dyDescent="0.25">
      <c r="A636" s="17">
        <v>635</v>
      </c>
      <c r="B636" s="16" t="s">
        <v>2640</v>
      </c>
      <c r="C636" s="17">
        <v>3</v>
      </c>
      <c r="D636" s="17">
        <v>12.6</v>
      </c>
      <c r="E636" s="17">
        <v>10.6</v>
      </c>
      <c r="F636" s="16" t="s">
        <v>126</v>
      </c>
      <c r="G636" s="17" t="s">
        <v>2642</v>
      </c>
      <c r="H636" s="17" t="s">
        <v>3911</v>
      </c>
      <c r="I636" s="17" t="s">
        <v>28</v>
      </c>
      <c r="J636" s="37" t="s">
        <v>4287</v>
      </c>
      <c r="K636" s="18">
        <v>46141</v>
      </c>
      <c r="L636" s="18" t="s">
        <v>24</v>
      </c>
      <c r="M636" s="7" t="s">
        <v>25</v>
      </c>
      <c r="N636" s="17"/>
    </row>
    <row r="637" spans="1:14" ht="25.5" x14ac:dyDescent="0.25">
      <c r="A637" s="17">
        <v>636</v>
      </c>
      <c r="B637" s="16" t="s">
        <v>2643</v>
      </c>
      <c r="C637" s="17">
        <v>1</v>
      </c>
      <c r="D637" s="17">
        <v>12.1</v>
      </c>
      <c r="E637" s="17">
        <v>10.6</v>
      </c>
      <c r="F637" s="16" t="s">
        <v>151</v>
      </c>
      <c r="G637" s="17" t="s">
        <v>2644</v>
      </c>
      <c r="H637" s="17" t="s">
        <v>3754</v>
      </c>
      <c r="I637" s="17" t="s">
        <v>28</v>
      </c>
      <c r="J637" s="37" t="s">
        <v>4808</v>
      </c>
      <c r="K637" s="18">
        <v>46156</v>
      </c>
      <c r="L637" s="18" t="s">
        <v>82</v>
      </c>
      <c r="M637" s="7" t="s">
        <v>25</v>
      </c>
      <c r="N637" s="17"/>
    </row>
    <row r="638" spans="1:14" x14ac:dyDescent="0.25">
      <c r="A638" s="14">
        <v>637</v>
      </c>
      <c r="B638" s="15" t="s">
        <v>2643</v>
      </c>
      <c r="C638" s="14">
        <v>2</v>
      </c>
      <c r="D638" s="14">
        <v>14.9</v>
      </c>
      <c r="E638" s="14"/>
      <c r="F638" s="15" t="s">
        <v>343</v>
      </c>
      <c r="G638" s="14"/>
      <c r="H638" s="14"/>
      <c r="I638" s="14"/>
      <c r="J638" s="28"/>
      <c r="K638" s="14"/>
      <c r="L638" s="14"/>
      <c r="M638" s="14" t="s">
        <v>286</v>
      </c>
      <c r="N638" s="14"/>
    </row>
    <row r="639" spans="1:14" ht="25.5" x14ac:dyDescent="0.25">
      <c r="A639" s="17">
        <v>638</v>
      </c>
      <c r="B639" s="16" t="s">
        <v>2643</v>
      </c>
      <c r="C639" s="17">
        <v>3</v>
      </c>
      <c r="D639" s="17">
        <v>15.5</v>
      </c>
      <c r="E639" s="17">
        <v>10.5</v>
      </c>
      <c r="F639" s="16" t="s">
        <v>31</v>
      </c>
      <c r="G639" s="17" t="s">
        <v>2645</v>
      </c>
      <c r="H639" s="17" t="s">
        <v>3755</v>
      </c>
      <c r="I639" s="17" t="s">
        <v>22</v>
      </c>
      <c r="J639" s="37" t="s">
        <v>4740</v>
      </c>
      <c r="K639" s="18">
        <v>46147</v>
      </c>
      <c r="L639" s="18" t="s">
        <v>82</v>
      </c>
      <c r="M639" s="7" t="s">
        <v>25</v>
      </c>
      <c r="N639" s="17"/>
    </row>
    <row r="640" spans="1:14" ht="51" x14ac:dyDescent="0.25">
      <c r="A640" s="17">
        <v>639</v>
      </c>
      <c r="B640" s="16" t="s">
        <v>2646</v>
      </c>
      <c r="C640" s="17">
        <v>1</v>
      </c>
      <c r="D640" s="17">
        <v>16</v>
      </c>
      <c r="E640" s="17">
        <v>10.4</v>
      </c>
      <c r="F640" s="16" t="s">
        <v>338</v>
      </c>
      <c r="G640" s="17" t="s">
        <v>2647</v>
      </c>
      <c r="H640" s="17" t="s">
        <v>4137</v>
      </c>
      <c r="I640" s="17" t="s">
        <v>34</v>
      </c>
      <c r="J640" s="37" t="s">
        <v>4430</v>
      </c>
      <c r="K640" s="18">
        <v>46147</v>
      </c>
      <c r="L640" s="18" t="s">
        <v>24</v>
      </c>
      <c r="M640" s="7" t="s">
        <v>25</v>
      </c>
      <c r="N640" s="17"/>
    </row>
    <row r="641" spans="1:14" ht="51" x14ac:dyDescent="0.25">
      <c r="A641" s="17">
        <v>640</v>
      </c>
      <c r="B641" s="16" t="s">
        <v>2646</v>
      </c>
      <c r="C641" s="17">
        <v>2</v>
      </c>
      <c r="D641" s="17">
        <v>15.8</v>
      </c>
      <c r="E641" s="17"/>
      <c r="F641" s="16" t="s">
        <v>338</v>
      </c>
      <c r="G641" s="17" t="s">
        <v>2647</v>
      </c>
      <c r="H641" s="17" t="s">
        <v>4952</v>
      </c>
      <c r="I641" s="17" t="s">
        <v>34</v>
      </c>
      <c r="J641" s="37" t="s">
        <v>4430</v>
      </c>
      <c r="K641" s="18">
        <v>46147</v>
      </c>
      <c r="L641" s="18" t="s">
        <v>24</v>
      </c>
      <c r="M641" s="7" t="s">
        <v>25</v>
      </c>
      <c r="N641" s="17"/>
    </row>
    <row r="642" spans="1:14" ht="25.5" x14ac:dyDescent="0.25">
      <c r="A642" s="17">
        <v>641</v>
      </c>
      <c r="B642" s="16" t="s">
        <v>2646</v>
      </c>
      <c r="C642" s="17">
        <v>3</v>
      </c>
      <c r="D642" s="17">
        <v>13.1</v>
      </c>
      <c r="E642" s="17">
        <v>10.7</v>
      </c>
      <c r="F642" s="16" t="s">
        <v>151</v>
      </c>
      <c r="G642" s="17" t="s">
        <v>2648</v>
      </c>
      <c r="H642" s="17" t="s">
        <v>3756</v>
      </c>
      <c r="I642" s="17" t="s">
        <v>28</v>
      </c>
      <c r="J642" s="37" t="s">
        <v>4809</v>
      </c>
      <c r="K642" s="18">
        <v>46155</v>
      </c>
      <c r="L642" s="18" t="s">
        <v>24</v>
      </c>
      <c r="M642" s="7" t="s">
        <v>25</v>
      </c>
      <c r="N642" s="17"/>
    </row>
    <row r="643" spans="1:14" ht="51" x14ac:dyDescent="0.25">
      <c r="A643" s="17">
        <v>642</v>
      </c>
      <c r="B643" s="16" t="s">
        <v>2649</v>
      </c>
      <c r="C643" s="17">
        <v>1</v>
      </c>
      <c r="D643" s="17">
        <v>16.8</v>
      </c>
      <c r="E643" s="17">
        <v>10.5</v>
      </c>
      <c r="F643" s="16" t="s">
        <v>126</v>
      </c>
      <c r="G643" s="17" t="s">
        <v>4892</v>
      </c>
      <c r="H643" s="17" t="s">
        <v>4138</v>
      </c>
      <c r="I643" s="17" t="s">
        <v>34</v>
      </c>
      <c r="J643" s="37" t="s">
        <v>4288</v>
      </c>
      <c r="K643" s="18">
        <v>46149</v>
      </c>
      <c r="L643" s="18" t="s">
        <v>24</v>
      </c>
      <c r="M643" s="7" t="s">
        <v>25</v>
      </c>
      <c r="N643" s="17"/>
    </row>
    <row r="644" spans="1:14" ht="51" x14ac:dyDescent="0.25">
      <c r="A644" s="17">
        <v>643</v>
      </c>
      <c r="B644" s="16" t="s">
        <v>2649</v>
      </c>
      <c r="C644" s="17">
        <v>2</v>
      </c>
      <c r="D644" s="17">
        <v>16</v>
      </c>
      <c r="E644" s="17"/>
      <c r="F644" s="16" t="s">
        <v>126</v>
      </c>
      <c r="G644" s="17" t="s">
        <v>2650</v>
      </c>
      <c r="H644" s="17" t="s">
        <v>3757</v>
      </c>
      <c r="I644" s="17" t="s">
        <v>34</v>
      </c>
      <c r="J644" s="37" t="s">
        <v>4289</v>
      </c>
      <c r="K644" s="18">
        <v>46149</v>
      </c>
      <c r="L644" s="18" t="s">
        <v>24</v>
      </c>
      <c r="M644" s="7" t="s">
        <v>25</v>
      </c>
      <c r="N644" s="17"/>
    </row>
    <row r="645" spans="1:14" ht="51" x14ac:dyDescent="0.25">
      <c r="A645" s="17">
        <v>644</v>
      </c>
      <c r="B645" s="16" t="s">
        <v>2649</v>
      </c>
      <c r="C645" s="17">
        <v>3</v>
      </c>
      <c r="D645" s="17">
        <v>13</v>
      </c>
      <c r="E645" s="17">
        <v>10.7</v>
      </c>
      <c r="F645" s="16" t="s">
        <v>126</v>
      </c>
      <c r="G645" s="17" t="s">
        <v>2650</v>
      </c>
      <c r="H645" s="17" t="s">
        <v>3757</v>
      </c>
      <c r="I645" s="17" t="s">
        <v>34</v>
      </c>
      <c r="J645" s="37" t="s">
        <v>4289</v>
      </c>
      <c r="K645" s="18">
        <v>46149</v>
      </c>
      <c r="L645" s="18" t="s">
        <v>24</v>
      </c>
      <c r="M645" s="7" t="s">
        <v>25</v>
      </c>
      <c r="N645" s="17"/>
    </row>
    <row r="646" spans="1:14" ht="25.5" x14ac:dyDescent="0.25">
      <c r="A646" s="17">
        <v>645</v>
      </c>
      <c r="B646" s="16" t="s">
        <v>2651</v>
      </c>
      <c r="C646" s="17">
        <v>1</v>
      </c>
      <c r="D646" s="17">
        <v>17.8</v>
      </c>
      <c r="E646" s="17">
        <v>10.8</v>
      </c>
      <c r="F646" s="16" t="s">
        <v>338</v>
      </c>
      <c r="G646" s="17" t="s">
        <v>2652</v>
      </c>
      <c r="H646" s="17" t="s">
        <v>4139</v>
      </c>
      <c r="I646" s="17" t="s">
        <v>28</v>
      </c>
      <c r="J646" s="37" t="s">
        <v>4431</v>
      </c>
      <c r="K646" s="18">
        <v>46156</v>
      </c>
      <c r="L646" s="18" t="s">
        <v>24</v>
      </c>
      <c r="M646" s="7" t="s">
        <v>25</v>
      </c>
      <c r="N646" s="17"/>
    </row>
    <row r="647" spans="1:14" ht="25.5" x14ac:dyDescent="0.25">
      <c r="A647" s="17">
        <v>646</v>
      </c>
      <c r="B647" s="16" t="s">
        <v>2651</v>
      </c>
      <c r="C647" s="17">
        <v>2</v>
      </c>
      <c r="D647" s="17">
        <v>16.7</v>
      </c>
      <c r="E647" s="17"/>
      <c r="F647" s="16" t="s">
        <v>338</v>
      </c>
      <c r="G647" s="17" t="s">
        <v>2652</v>
      </c>
      <c r="H647" s="17" t="s">
        <v>4139</v>
      </c>
      <c r="I647" s="17" t="s">
        <v>28</v>
      </c>
      <c r="J647" s="37" t="s">
        <v>4431</v>
      </c>
      <c r="K647" s="18">
        <v>46156</v>
      </c>
      <c r="L647" s="18" t="s">
        <v>24</v>
      </c>
      <c r="M647" s="7" t="s">
        <v>25</v>
      </c>
      <c r="N647" s="17"/>
    </row>
    <row r="648" spans="1:14" ht="25.5" x14ac:dyDescent="0.25">
      <c r="A648" s="17">
        <v>647</v>
      </c>
      <c r="B648" s="16" t="s">
        <v>2651</v>
      </c>
      <c r="C648" s="17">
        <v>3</v>
      </c>
      <c r="D648" s="17">
        <v>12.6</v>
      </c>
      <c r="E648" s="17">
        <v>10.7</v>
      </c>
      <c r="F648" s="16" t="s">
        <v>338</v>
      </c>
      <c r="G648" s="17" t="s">
        <v>2653</v>
      </c>
      <c r="H648" s="17" t="s">
        <v>3758</v>
      </c>
      <c r="I648" s="17" t="s">
        <v>28</v>
      </c>
      <c r="J648" s="37" t="s">
        <v>4432</v>
      </c>
      <c r="K648" s="18">
        <v>46156</v>
      </c>
      <c r="L648" s="18" t="s">
        <v>24</v>
      </c>
      <c r="M648" s="7" t="s">
        <v>25</v>
      </c>
      <c r="N648" s="17"/>
    </row>
    <row r="649" spans="1:14" ht="63.75" x14ac:dyDescent="0.25">
      <c r="A649" s="17">
        <v>648</v>
      </c>
      <c r="B649" s="16" t="s">
        <v>2654</v>
      </c>
      <c r="C649" s="17">
        <v>1</v>
      </c>
      <c r="D649" s="17">
        <v>17.2</v>
      </c>
      <c r="E649" s="17">
        <v>10.9</v>
      </c>
      <c r="F649" s="16" t="s">
        <v>31</v>
      </c>
      <c r="G649" s="17" t="s">
        <v>2655</v>
      </c>
      <c r="H649" s="17" t="s">
        <v>4140</v>
      </c>
      <c r="I649" s="17" t="s">
        <v>34</v>
      </c>
      <c r="J649" s="37" t="s">
        <v>4741</v>
      </c>
      <c r="K649" s="18">
        <v>46147</v>
      </c>
      <c r="L649" s="18" t="s">
        <v>24</v>
      </c>
      <c r="M649" s="7" t="s">
        <v>25</v>
      </c>
      <c r="N649" s="17"/>
    </row>
    <row r="650" spans="1:14" x14ac:dyDescent="0.25">
      <c r="A650" s="17">
        <v>649</v>
      </c>
      <c r="B650" s="16" t="s">
        <v>2654</v>
      </c>
      <c r="C650" s="17">
        <v>2</v>
      </c>
      <c r="D650" s="17">
        <v>16.600000000000001</v>
      </c>
      <c r="E650" s="17"/>
      <c r="F650" s="16" t="s">
        <v>101</v>
      </c>
      <c r="G650" s="17" t="s">
        <v>2656</v>
      </c>
      <c r="H650" s="17" t="s">
        <v>3759</v>
      </c>
      <c r="I650" s="17" t="s">
        <v>51</v>
      </c>
      <c r="J650" s="37" t="s">
        <v>4241</v>
      </c>
      <c r="K650" s="18">
        <v>46133</v>
      </c>
      <c r="L650" s="18" t="s">
        <v>24</v>
      </c>
      <c r="M650" s="7" t="s">
        <v>25</v>
      </c>
      <c r="N650" s="17"/>
    </row>
    <row r="651" spans="1:14" ht="25.5" x14ac:dyDescent="0.25">
      <c r="A651" s="17">
        <v>650</v>
      </c>
      <c r="B651" s="16" t="s">
        <v>2654</v>
      </c>
      <c r="C651" s="17">
        <v>3</v>
      </c>
      <c r="D651" s="17">
        <v>12.8</v>
      </c>
      <c r="E651" s="17">
        <v>10.9</v>
      </c>
      <c r="F651" s="16" t="s">
        <v>101</v>
      </c>
      <c r="G651" s="17" t="s">
        <v>2657</v>
      </c>
      <c r="H651" s="17" t="s">
        <v>3912</v>
      </c>
      <c r="I651" s="17" t="s">
        <v>388</v>
      </c>
      <c r="J651" s="37" t="s">
        <v>4242</v>
      </c>
      <c r="K651" s="18">
        <v>46133</v>
      </c>
      <c r="L651" s="18" t="s">
        <v>24</v>
      </c>
      <c r="M651" s="7" t="s">
        <v>25</v>
      </c>
      <c r="N651" s="17"/>
    </row>
    <row r="652" spans="1:14" ht="51" x14ac:dyDescent="0.25">
      <c r="A652" s="17">
        <v>651</v>
      </c>
      <c r="B652" s="16" t="s">
        <v>2658</v>
      </c>
      <c r="C652" s="17">
        <v>1</v>
      </c>
      <c r="D652" s="17">
        <v>12.4</v>
      </c>
      <c r="E652" s="17">
        <v>10.8</v>
      </c>
      <c r="F652" s="16" t="s">
        <v>151</v>
      </c>
      <c r="G652" s="17" t="s">
        <v>2659</v>
      </c>
      <c r="H652" s="17" t="s">
        <v>3760</v>
      </c>
      <c r="I652" s="17" t="s">
        <v>34</v>
      </c>
      <c r="J652" s="37" t="s">
        <v>4810</v>
      </c>
      <c r="K652" s="18">
        <v>46155</v>
      </c>
      <c r="L652" s="18" t="s">
        <v>24</v>
      </c>
      <c r="M652" s="7" t="s">
        <v>25</v>
      </c>
      <c r="N652" s="17"/>
    </row>
    <row r="653" spans="1:14" x14ac:dyDescent="0.25">
      <c r="A653" s="14">
        <v>652</v>
      </c>
      <c r="B653" s="15" t="s">
        <v>2658</v>
      </c>
      <c r="C653" s="14">
        <v>2</v>
      </c>
      <c r="D653" s="14">
        <v>17.2</v>
      </c>
      <c r="E653" s="14"/>
      <c r="F653" s="15" t="s">
        <v>126</v>
      </c>
      <c r="G653" s="14"/>
      <c r="H653" s="14"/>
      <c r="I653" s="14"/>
      <c r="J653" s="28"/>
      <c r="K653" s="14"/>
      <c r="L653" s="14"/>
      <c r="M653" s="14" t="s">
        <v>286</v>
      </c>
      <c r="N653" s="14"/>
    </row>
    <row r="654" spans="1:14" ht="25.5" x14ac:dyDescent="0.25">
      <c r="A654" s="17">
        <v>653</v>
      </c>
      <c r="B654" s="16" t="s">
        <v>2658</v>
      </c>
      <c r="C654" s="17">
        <v>3</v>
      </c>
      <c r="D654" s="17">
        <v>16.7</v>
      </c>
      <c r="E654" s="17">
        <v>10.6</v>
      </c>
      <c r="F654" s="16" t="s">
        <v>101</v>
      </c>
      <c r="G654" s="17" t="s">
        <v>2660</v>
      </c>
      <c r="H654" s="17" t="s">
        <v>3913</v>
      </c>
      <c r="I654" s="17" t="s">
        <v>28</v>
      </c>
      <c r="J654" s="37" t="s">
        <v>4243</v>
      </c>
      <c r="K654" s="18">
        <v>46133</v>
      </c>
      <c r="L654" s="18" t="s">
        <v>24</v>
      </c>
      <c r="M654" s="7" t="s">
        <v>25</v>
      </c>
      <c r="N654" s="17"/>
    </row>
    <row r="655" spans="1:14" ht="38.25" x14ac:dyDescent="0.25">
      <c r="A655" s="17">
        <v>654</v>
      </c>
      <c r="B655" s="16" t="s">
        <v>2661</v>
      </c>
      <c r="C655" s="17">
        <v>1</v>
      </c>
      <c r="D655" s="17">
        <v>16.899999999999999</v>
      </c>
      <c r="E655" s="17">
        <v>10.7</v>
      </c>
      <c r="F655" s="16" t="s">
        <v>126</v>
      </c>
      <c r="G655" s="17" t="s">
        <v>4893</v>
      </c>
      <c r="H655" s="17" t="s">
        <v>4141</v>
      </c>
      <c r="I655" s="17" t="s">
        <v>34</v>
      </c>
      <c r="J655" s="37" t="s">
        <v>4290</v>
      </c>
      <c r="K655" s="18">
        <v>46149</v>
      </c>
      <c r="L655" s="18" t="s">
        <v>82</v>
      </c>
      <c r="M655" s="7" t="s">
        <v>25</v>
      </c>
      <c r="N655" s="17"/>
    </row>
    <row r="656" spans="1:14" ht="63.75" x14ac:dyDescent="0.25">
      <c r="A656" s="17">
        <v>655</v>
      </c>
      <c r="B656" s="16" t="s">
        <v>2661</v>
      </c>
      <c r="C656" s="17">
        <v>2</v>
      </c>
      <c r="D656" s="17">
        <v>16.2</v>
      </c>
      <c r="E656" s="17"/>
      <c r="F656" s="16" t="s">
        <v>126</v>
      </c>
      <c r="G656" s="17" t="s">
        <v>2662</v>
      </c>
      <c r="H656" s="17" t="s">
        <v>3914</v>
      </c>
      <c r="I656" s="17" t="s">
        <v>34</v>
      </c>
      <c r="J656" s="37" t="s">
        <v>4291</v>
      </c>
      <c r="K656" s="18">
        <v>46149</v>
      </c>
      <c r="L656" s="18" t="s">
        <v>24</v>
      </c>
      <c r="M656" s="7" t="s">
        <v>25</v>
      </c>
      <c r="N656" s="17"/>
    </row>
    <row r="657" spans="1:14" ht="63.75" x14ac:dyDescent="0.25">
      <c r="A657" s="17">
        <v>656</v>
      </c>
      <c r="B657" s="16" t="s">
        <v>2661</v>
      </c>
      <c r="C657" s="17">
        <v>3</v>
      </c>
      <c r="D657" s="17">
        <v>12.9</v>
      </c>
      <c r="E657" s="17">
        <v>10.4</v>
      </c>
      <c r="F657" s="16" t="s">
        <v>126</v>
      </c>
      <c r="G657" s="17" t="s">
        <v>2662</v>
      </c>
      <c r="H657" s="17" t="s">
        <v>3914</v>
      </c>
      <c r="I657" s="17" t="s">
        <v>34</v>
      </c>
      <c r="J657" s="37" t="s">
        <v>4291</v>
      </c>
      <c r="K657" s="18">
        <v>46149</v>
      </c>
      <c r="L657" s="18" t="s">
        <v>24</v>
      </c>
      <c r="M657" s="7" t="s">
        <v>25</v>
      </c>
      <c r="N657" s="17"/>
    </row>
    <row r="658" spans="1:14" ht="63.75" x14ac:dyDescent="0.25">
      <c r="A658" s="17">
        <v>657</v>
      </c>
      <c r="B658" s="16" t="s">
        <v>2663</v>
      </c>
      <c r="C658" s="17">
        <v>1</v>
      </c>
      <c r="D658" s="17">
        <v>17</v>
      </c>
      <c r="E658" s="17">
        <v>10.8</v>
      </c>
      <c r="F658" s="16" t="s">
        <v>162</v>
      </c>
      <c r="G658" s="17" t="s">
        <v>2664</v>
      </c>
      <c r="H658" s="17" t="s">
        <v>4142</v>
      </c>
      <c r="I658" s="17" t="s">
        <v>34</v>
      </c>
      <c r="J658" s="37" t="s">
        <v>4494</v>
      </c>
      <c r="K658" s="18">
        <v>46154</v>
      </c>
      <c r="L658" s="18" t="s">
        <v>24</v>
      </c>
      <c r="M658" s="7" t="s">
        <v>25</v>
      </c>
      <c r="N658" s="17"/>
    </row>
    <row r="659" spans="1:14" ht="25.5" x14ac:dyDescent="0.25">
      <c r="A659" s="17">
        <v>658</v>
      </c>
      <c r="B659" s="16" t="s">
        <v>2663</v>
      </c>
      <c r="C659" s="17">
        <v>2</v>
      </c>
      <c r="D659" s="17">
        <v>16.899999999999999</v>
      </c>
      <c r="E659" s="17"/>
      <c r="F659" s="16" t="s">
        <v>106</v>
      </c>
      <c r="G659" s="17" t="s">
        <v>2665</v>
      </c>
      <c r="H659" s="17" t="s">
        <v>4143</v>
      </c>
      <c r="I659" s="17" t="s">
        <v>38</v>
      </c>
      <c r="J659" s="37" t="s">
        <v>4579</v>
      </c>
      <c r="K659" s="18">
        <v>46140</v>
      </c>
      <c r="L659" s="18" t="s">
        <v>24</v>
      </c>
      <c r="M659" s="7" t="s">
        <v>25</v>
      </c>
      <c r="N659" s="17"/>
    </row>
    <row r="660" spans="1:14" ht="25.5" x14ac:dyDescent="0.25">
      <c r="A660" s="17">
        <v>659</v>
      </c>
      <c r="B660" s="16" t="s">
        <v>2663</v>
      </c>
      <c r="C660" s="17">
        <v>3</v>
      </c>
      <c r="D660" s="17">
        <v>13.1</v>
      </c>
      <c r="E660" s="17">
        <v>10.6</v>
      </c>
      <c r="F660" s="16" t="s">
        <v>106</v>
      </c>
      <c r="G660" s="17" t="s">
        <v>2665</v>
      </c>
      <c r="H660" s="17" t="s">
        <v>4143</v>
      </c>
      <c r="I660" s="17" t="s">
        <v>38</v>
      </c>
      <c r="J660" s="37" t="s">
        <v>4579</v>
      </c>
      <c r="K660" s="18">
        <v>46140</v>
      </c>
      <c r="L660" s="18" t="s">
        <v>24</v>
      </c>
      <c r="M660" s="7" t="s">
        <v>25</v>
      </c>
      <c r="N660" s="17"/>
    </row>
    <row r="661" spans="1:14" ht="25.5" x14ac:dyDescent="0.25">
      <c r="A661" s="17">
        <v>660</v>
      </c>
      <c r="B661" s="16" t="s">
        <v>2666</v>
      </c>
      <c r="C661" s="17">
        <v>1</v>
      </c>
      <c r="D661" s="17">
        <v>16.2</v>
      </c>
      <c r="E661" s="17">
        <v>10.9</v>
      </c>
      <c r="F661" s="16" t="s">
        <v>31</v>
      </c>
      <c r="G661" s="17" t="s">
        <v>2667</v>
      </c>
      <c r="H661" s="17" t="s">
        <v>4144</v>
      </c>
      <c r="I661" s="17" t="s">
        <v>51</v>
      </c>
      <c r="J661" s="37" t="s">
        <v>4742</v>
      </c>
      <c r="K661" s="18">
        <v>46147</v>
      </c>
      <c r="L661" s="18" t="s">
        <v>24</v>
      </c>
      <c r="M661" s="7" t="s">
        <v>25</v>
      </c>
      <c r="N661" s="17"/>
    </row>
    <row r="662" spans="1:14" ht="25.5" x14ac:dyDescent="0.25">
      <c r="A662" s="17">
        <v>661</v>
      </c>
      <c r="B662" s="16" t="s">
        <v>2666</v>
      </c>
      <c r="C662" s="17">
        <v>2</v>
      </c>
      <c r="D662" s="17">
        <v>16.100000000000001</v>
      </c>
      <c r="E662" s="17"/>
      <c r="F662" s="16" t="s">
        <v>48</v>
      </c>
      <c r="G662" s="17" t="s">
        <v>2668</v>
      </c>
      <c r="H662" s="17" t="s">
        <v>3761</v>
      </c>
      <c r="I662" s="17" t="s">
        <v>42</v>
      </c>
      <c r="J662" s="37" t="s">
        <v>4849</v>
      </c>
      <c r="K662" s="18">
        <v>46150</v>
      </c>
      <c r="L662" s="18" t="s">
        <v>24</v>
      </c>
      <c r="M662" s="7" t="s">
        <v>25</v>
      </c>
      <c r="N662" s="17"/>
    </row>
    <row r="663" spans="1:14" ht="51" x14ac:dyDescent="0.25">
      <c r="A663" s="17">
        <v>662</v>
      </c>
      <c r="B663" s="16" t="s">
        <v>2666</v>
      </c>
      <c r="C663" s="17">
        <v>3</v>
      </c>
      <c r="D663" s="17">
        <v>13.1</v>
      </c>
      <c r="E663" s="17">
        <v>10.9</v>
      </c>
      <c r="F663" s="16" t="s">
        <v>106</v>
      </c>
      <c r="G663" s="17" t="s">
        <v>2669</v>
      </c>
      <c r="H663" s="17" t="s">
        <v>3762</v>
      </c>
      <c r="I663" s="17" t="s">
        <v>34</v>
      </c>
      <c r="J663" s="37" t="s">
        <v>4580</v>
      </c>
      <c r="K663" s="18">
        <v>46144</v>
      </c>
      <c r="L663" s="18" t="s">
        <v>24</v>
      </c>
      <c r="M663" s="7" t="s">
        <v>25</v>
      </c>
      <c r="N663" s="17"/>
    </row>
    <row r="664" spans="1:14" ht="25.5" x14ac:dyDescent="0.25">
      <c r="A664" s="17">
        <v>663</v>
      </c>
      <c r="B664" s="16" t="s">
        <v>2670</v>
      </c>
      <c r="C664" s="17">
        <v>1</v>
      </c>
      <c r="D664" s="17">
        <v>16.8</v>
      </c>
      <c r="E664" s="17">
        <v>10.9</v>
      </c>
      <c r="F664" s="16" t="s">
        <v>121</v>
      </c>
      <c r="G664" s="17" t="s">
        <v>2671</v>
      </c>
      <c r="H664" s="17" t="s">
        <v>4145</v>
      </c>
      <c r="I664" s="17" t="s">
        <v>34</v>
      </c>
      <c r="J664" s="37" t="s">
        <v>4655</v>
      </c>
      <c r="K664" s="18">
        <v>46156</v>
      </c>
      <c r="L664" s="18" t="s">
        <v>24</v>
      </c>
      <c r="M664" s="7" t="s">
        <v>25</v>
      </c>
      <c r="N664" s="17"/>
    </row>
    <row r="665" spans="1:14" ht="25.5" x14ac:dyDescent="0.25">
      <c r="A665" s="17">
        <v>664</v>
      </c>
      <c r="B665" s="16" t="s">
        <v>2670</v>
      </c>
      <c r="C665" s="17">
        <v>2</v>
      </c>
      <c r="D665" s="17">
        <v>16.5</v>
      </c>
      <c r="E665" s="17"/>
      <c r="F665" s="16" t="s">
        <v>121</v>
      </c>
      <c r="G665" s="17" t="s">
        <v>2671</v>
      </c>
      <c r="H665" s="17" t="s">
        <v>4145</v>
      </c>
      <c r="I665" s="17" t="s">
        <v>34</v>
      </c>
      <c r="J665" s="37" t="s">
        <v>4655</v>
      </c>
      <c r="K665" s="18">
        <v>46156</v>
      </c>
      <c r="L665" s="18" t="s">
        <v>24</v>
      </c>
      <c r="M665" s="7" t="s">
        <v>25</v>
      </c>
      <c r="N665" s="17"/>
    </row>
    <row r="666" spans="1:14" ht="51" x14ac:dyDescent="0.25">
      <c r="A666" s="17">
        <v>665</v>
      </c>
      <c r="B666" s="16" t="s">
        <v>2670</v>
      </c>
      <c r="C666" s="17">
        <v>3</v>
      </c>
      <c r="D666" s="17">
        <v>12.9</v>
      </c>
      <c r="E666" s="17">
        <v>10.7</v>
      </c>
      <c r="F666" s="16" t="s">
        <v>31</v>
      </c>
      <c r="G666" s="17" t="s">
        <v>4925</v>
      </c>
      <c r="H666" s="17" t="s">
        <v>4146</v>
      </c>
      <c r="I666" s="17" t="s">
        <v>34</v>
      </c>
      <c r="J666" s="37" t="s">
        <v>4743</v>
      </c>
      <c r="K666" s="18">
        <v>46149</v>
      </c>
      <c r="L666" s="18" t="s">
        <v>24</v>
      </c>
      <c r="M666" s="7" t="s">
        <v>25</v>
      </c>
      <c r="N666" s="17"/>
    </row>
    <row r="667" spans="1:14" ht="63.75" x14ac:dyDescent="0.25">
      <c r="A667" s="17">
        <v>666</v>
      </c>
      <c r="B667" s="16" t="s">
        <v>2672</v>
      </c>
      <c r="C667" s="17">
        <v>1</v>
      </c>
      <c r="D667" s="17">
        <v>16.3</v>
      </c>
      <c r="E667" s="17">
        <v>10.8</v>
      </c>
      <c r="F667" s="16" t="s">
        <v>31</v>
      </c>
      <c r="G667" s="17" t="s">
        <v>2673</v>
      </c>
      <c r="H667" s="17" t="s">
        <v>4147</v>
      </c>
      <c r="I667" s="17" t="s">
        <v>34</v>
      </c>
      <c r="J667" s="37" t="s">
        <v>4744</v>
      </c>
      <c r="K667" s="18">
        <v>46147</v>
      </c>
      <c r="L667" s="18" t="s">
        <v>24</v>
      </c>
      <c r="M667" s="7" t="s">
        <v>25</v>
      </c>
      <c r="N667" s="17"/>
    </row>
    <row r="668" spans="1:14" ht="63.75" x14ac:dyDescent="0.25">
      <c r="A668" s="17">
        <v>667</v>
      </c>
      <c r="B668" s="16" t="s">
        <v>2672</v>
      </c>
      <c r="C668" s="17">
        <v>2</v>
      </c>
      <c r="D668" s="17">
        <v>16.899999999999999</v>
      </c>
      <c r="E668" s="17"/>
      <c r="F668" s="16" t="s">
        <v>31</v>
      </c>
      <c r="G668" s="17" t="s">
        <v>2674</v>
      </c>
      <c r="H668" s="17" t="s">
        <v>3763</v>
      </c>
      <c r="I668" s="17" t="s">
        <v>34</v>
      </c>
      <c r="J668" s="37" t="s">
        <v>4745</v>
      </c>
      <c r="K668" s="18">
        <v>46148</v>
      </c>
      <c r="L668" s="18" t="s">
        <v>24</v>
      </c>
      <c r="M668" s="7" t="s">
        <v>25</v>
      </c>
      <c r="N668" s="17"/>
    </row>
    <row r="669" spans="1:14" ht="25.5" x14ac:dyDescent="0.25">
      <c r="A669" s="17">
        <v>668</v>
      </c>
      <c r="B669" s="16" t="s">
        <v>2672</v>
      </c>
      <c r="C669" s="17">
        <v>3</v>
      </c>
      <c r="D669" s="17">
        <v>12.8</v>
      </c>
      <c r="E669" s="17">
        <v>10.3</v>
      </c>
      <c r="F669" s="16" t="s">
        <v>162</v>
      </c>
      <c r="G669" s="17" t="s">
        <v>2675</v>
      </c>
      <c r="H669" s="17" t="s">
        <v>3915</v>
      </c>
      <c r="I669" s="17" t="s">
        <v>28</v>
      </c>
      <c r="J669" s="37" t="s">
        <v>4495</v>
      </c>
      <c r="K669" s="18">
        <v>46154</v>
      </c>
      <c r="L669" s="18" t="s">
        <v>24</v>
      </c>
      <c r="M669" s="7" t="s">
        <v>25</v>
      </c>
      <c r="N669" s="17"/>
    </row>
    <row r="670" spans="1:14" ht="63.75" x14ac:dyDescent="0.25">
      <c r="A670" s="17">
        <v>669</v>
      </c>
      <c r="B670" s="16" t="s">
        <v>2676</v>
      </c>
      <c r="C670" s="17">
        <v>1</v>
      </c>
      <c r="D670" s="17">
        <v>17.100000000000001</v>
      </c>
      <c r="E670" s="17">
        <v>10.6</v>
      </c>
      <c r="F670" s="16" t="s">
        <v>126</v>
      </c>
      <c r="G670" s="17" t="s">
        <v>2677</v>
      </c>
      <c r="H670" s="17" t="s">
        <v>4148</v>
      </c>
      <c r="I670" s="17" t="s">
        <v>34</v>
      </c>
      <c r="J670" s="37" t="s">
        <v>4292</v>
      </c>
      <c r="K670" s="18">
        <v>46142</v>
      </c>
      <c r="L670" s="18" t="s">
        <v>24</v>
      </c>
      <c r="M670" s="7" t="s">
        <v>25</v>
      </c>
      <c r="N670" s="17"/>
    </row>
    <row r="671" spans="1:14" ht="25.5" x14ac:dyDescent="0.25">
      <c r="A671" s="17">
        <v>670</v>
      </c>
      <c r="B671" s="16" t="s">
        <v>2676</v>
      </c>
      <c r="C671" s="17">
        <v>2</v>
      </c>
      <c r="D671" s="17">
        <v>16.7</v>
      </c>
      <c r="E671" s="17"/>
      <c r="F671" s="16" t="s">
        <v>126</v>
      </c>
      <c r="G671" s="17" t="s">
        <v>2678</v>
      </c>
      <c r="H671" s="17" t="s">
        <v>3916</v>
      </c>
      <c r="I671" s="17" t="s">
        <v>38</v>
      </c>
      <c r="J671" s="37" t="s">
        <v>4293</v>
      </c>
      <c r="K671" s="18">
        <v>46144</v>
      </c>
      <c r="L671" s="18" t="s">
        <v>24</v>
      </c>
      <c r="M671" s="7" t="s">
        <v>25</v>
      </c>
      <c r="N671" s="17"/>
    </row>
    <row r="672" spans="1:14" ht="25.5" x14ac:dyDescent="0.25">
      <c r="A672" s="17">
        <v>671</v>
      </c>
      <c r="B672" s="16" t="s">
        <v>2676</v>
      </c>
      <c r="C672" s="17">
        <v>3</v>
      </c>
      <c r="D672" s="17">
        <v>12.5</v>
      </c>
      <c r="E672" s="17">
        <v>10.7</v>
      </c>
      <c r="F672" s="16" t="s">
        <v>338</v>
      </c>
      <c r="G672" s="17" t="s">
        <v>2679</v>
      </c>
      <c r="H672" s="17" t="s">
        <v>3917</v>
      </c>
      <c r="I672" s="17" t="s">
        <v>28</v>
      </c>
      <c r="J672" s="37" t="s">
        <v>4433</v>
      </c>
      <c r="K672" s="18">
        <v>46156</v>
      </c>
      <c r="L672" s="18" t="s">
        <v>24</v>
      </c>
      <c r="M672" s="7" t="s">
        <v>25</v>
      </c>
      <c r="N672" s="17"/>
    </row>
    <row r="673" spans="1:14" ht="63.75" x14ac:dyDescent="0.25">
      <c r="A673" s="17">
        <v>672</v>
      </c>
      <c r="B673" s="16" t="s">
        <v>2680</v>
      </c>
      <c r="C673" s="17">
        <v>1</v>
      </c>
      <c r="D673" s="17">
        <v>17.3</v>
      </c>
      <c r="E673" s="17">
        <v>10.8</v>
      </c>
      <c r="F673" s="16" t="s">
        <v>48</v>
      </c>
      <c r="G673" s="17" t="s">
        <v>4927</v>
      </c>
      <c r="H673" s="17" t="s">
        <v>4149</v>
      </c>
      <c r="I673" s="17" t="s">
        <v>34</v>
      </c>
      <c r="J673" s="37" t="s">
        <v>4850</v>
      </c>
      <c r="K673" s="18">
        <v>46144</v>
      </c>
      <c r="L673" s="18" t="s">
        <v>24</v>
      </c>
      <c r="M673" s="7" t="s">
        <v>25</v>
      </c>
      <c r="N673" s="17"/>
    </row>
    <row r="674" spans="1:14" ht="51" x14ac:dyDescent="0.25">
      <c r="A674" s="17">
        <v>673</v>
      </c>
      <c r="B674" s="16" t="s">
        <v>2680</v>
      </c>
      <c r="C674" s="17">
        <v>2</v>
      </c>
      <c r="D674" s="17">
        <v>16.2</v>
      </c>
      <c r="E674" s="17"/>
      <c r="F674" s="16" t="s">
        <v>31</v>
      </c>
      <c r="G674" s="17" t="s">
        <v>2681</v>
      </c>
      <c r="H674" s="17" t="s">
        <v>4150</v>
      </c>
      <c r="I674" s="17" t="s">
        <v>34</v>
      </c>
      <c r="J674" s="37" t="s">
        <v>4746</v>
      </c>
      <c r="K674" s="18">
        <v>46148</v>
      </c>
      <c r="L674" s="18" t="s">
        <v>24</v>
      </c>
      <c r="M674" s="7" t="s">
        <v>25</v>
      </c>
      <c r="N674" s="17"/>
    </row>
    <row r="675" spans="1:14" ht="51" x14ac:dyDescent="0.25">
      <c r="A675" s="17">
        <v>674</v>
      </c>
      <c r="B675" s="16" t="s">
        <v>2680</v>
      </c>
      <c r="C675" s="17">
        <v>3</v>
      </c>
      <c r="D675" s="17">
        <v>12.9</v>
      </c>
      <c r="E675" s="17">
        <v>10.9</v>
      </c>
      <c r="F675" s="16" t="s">
        <v>31</v>
      </c>
      <c r="G675" s="17" t="s">
        <v>2681</v>
      </c>
      <c r="H675" s="17" t="s">
        <v>4150</v>
      </c>
      <c r="I675" s="17" t="s">
        <v>34</v>
      </c>
      <c r="J675" s="37" t="s">
        <v>4746</v>
      </c>
      <c r="K675" s="18">
        <v>46148</v>
      </c>
      <c r="L675" s="18" t="s">
        <v>24</v>
      </c>
      <c r="M675" s="7" t="s">
        <v>25</v>
      </c>
      <c r="N675" s="17"/>
    </row>
    <row r="676" spans="1:14" ht="25.5" x14ac:dyDescent="0.25">
      <c r="A676" s="17">
        <v>675</v>
      </c>
      <c r="B676" s="16" t="s">
        <v>2682</v>
      </c>
      <c r="C676" s="17">
        <v>1</v>
      </c>
      <c r="D676" s="17">
        <v>16.8</v>
      </c>
      <c r="E676" s="17">
        <v>10.9</v>
      </c>
      <c r="F676" s="16" t="s">
        <v>48</v>
      </c>
      <c r="G676" s="17" t="s">
        <v>2683</v>
      </c>
      <c r="H676" s="17" t="s">
        <v>3764</v>
      </c>
      <c r="I676" s="17" t="s">
        <v>28</v>
      </c>
      <c r="J676" s="37" t="s">
        <v>4851</v>
      </c>
      <c r="K676" s="18">
        <v>46144</v>
      </c>
      <c r="L676" s="18" t="s">
        <v>24</v>
      </c>
      <c r="M676" s="7" t="s">
        <v>25</v>
      </c>
      <c r="N676" s="17"/>
    </row>
    <row r="677" spans="1:14" ht="25.5" x14ac:dyDescent="0.25">
      <c r="A677" s="17">
        <v>676</v>
      </c>
      <c r="B677" s="16" t="s">
        <v>2682</v>
      </c>
      <c r="C677" s="17">
        <v>2</v>
      </c>
      <c r="D677" s="17">
        <v>17.100000000000001</v>
      </c>
      <c r="E677" s="17"/>
      <c r="F677" s="16" t="s">
        <v>121</v>
      </c>
      <c r="G677" s="17" t="s">
        <v>2684</v>
      </c>
      <c r="H677" s="17" t="s">
        <v>4151</v>
      </c>
      <c r="I677" s="17" t="s">
        <v>28</v>
      </c>
      <c r="J677" s="37" t="s">
        <v>4656</v>
      </c>
      <c r="K677" s="18">
        <v>46141</v>
      </c>
      <c r="L677" s="18" t="s">
        <v>24</v>
      </c>
      <c r="M677" s="7" t="s">
        <v>25</v>
      </c>
      <c r="N677" s="17"/>
    </row>
    <row r="678" spans="1:14" ht="25.5" x14ac:dyDescent="0.25">
      <c r="A678" s="34">
        <v>677</v>
      </c>
      <c r="B678" s="35" t="s">
        <v>2682</v>
      </c>
      <c r="C678" s="34">
        <v>3</v>
      </c>
      <c r="D678" s="34">
        <v>12.5</v>
      </c>
      <c r="E678" s="34">
        <v>10.9</v>
      </c>
      <c r="F678" s="35" t="s">
        <v>54</v>
      </c>
      <c r="G678" s="34" t="s">
        <v>2685</v>
      </c>
      <c r="H678" s="17" t="s">
        <v>4152</v>
      </c>
      <c r="I678" s="17" t="s">
        <v>112</v>
      </c>
      <c r="J678" s="37" t="s">
        <v>4763</v>
      </c>
      <c r="K678" s="18">
        <v>46137</v>
      </c>
      <c r="L678" s="18" t="s">
        <v>24</v>
      </c>
      <c r="M678" s="7" t="s">
        <v>25</v>
      </c>
      <c r="N678" s="17"/>
    </row>
    <row r="679" spans="1:14" ht="25.5" x14ac:dyDescent="0.25">
      <c r="A679" s="17">
        <v>678</v>
      </c>
      <c r="B679" s="16" t="s">
        <v>2686</v>
      </c>
      <c r="C679" s="17">
        <v>1</v>
      </c>
      <c r="D679" s="17">
        <v>17</v>
      </c>
      <c r="E679" s="17">
        <v>10.4</v>
      </c>
      <c r="F679" s="16" t="s">
        <v>19</v>
      </c>
      <c r="G679" s="17" t="s">
        <v>2687</v>
      </c>
      <c r="H679" s="17" t="s">
        <v>4153</v>
      </c>
      <c r="I679" s="17" t="s">
        <v>51</v>
      </c>
      <c r="J679" s="37" t="s">
        <v>4386</v>
      </c>
      <c r="K679" s="18">
        <v>46134</v>
      </c>
      <c r="L679" s="18" t="s">
        <v>24</v>
      </c>
      <c r="M679" s="7" t="s">
        <v>25</v>
      </c>
      <c r="N679" s="17"/>
    </row>
    <row r="680" spans="1:14" ht="25.5" x14ac:dyDescent="0.25">
      <c r="A680" s="17">
        <v>679</v>
      </c>
      <c r="B680" s="16" t="s">
        <v>2686</v>
      </c>
      <c r="C680" s="17">
        <v>2</v>
      </c>
      <c r="D680" s="17">
        <v>17.100000000000001</v>
      </c>
      <c r="E680" s="17"/>
      <c r="F680" s="16" t="s">
        <v>19</v>
      </c>
      <c r="G680" s="17" t="s">
        <v>2688</v>
      </c>
      <c r="H680" s="17" t="s">
        <v>3765</v>
      </c>
      <c r="I680" s="17" t="s">
        <v>28</v>
      </c>
      <c r="J680" s="37" t="s">
        <v>4387</v>
      </c>
      <c r="K680" s="18">
        <v>46136</v>
      </c>
      <c r="L680" s="18" t="s">
        <v>24</v>
      </c>
      <c r="M680" s="7" t="s">
        <v>25</v>
      </c>
      <c r="N680" s="17"/>
    </row>
    <row r="681" spans="1:14" ht="25.5" x14ac:dyDescent="0.25">
      <c r="A681" s="17">
        <v>680</v>
      </c>
      <c r="B681" s="16" t="s">
        <v>2686</v>
      </c>
      <c r="C681" s="17">
        <v>3</v>
      </c>
      <c r="D681" s="17">
        <v>12.3</v>
      </c>
      <c r="E681" s="17">
        <v>10.7</v>
      </c>
      <c r="F681" s="16" t="s">
        <v>62</v>
      </c>
      <c r="G681" s="17" t="s">
        <v>2689</v>
      </c>
      <c r="H681" s="17" t="s">
        <v>4154</v>
      </c>
      <c r="I681" s="17" t="s">
        <v>267</v>
      </c>
      <c r="J681" s="37" t="s">
        <v>4534</v>
      </c>
      <c r="K681" s="18">
        <v>46137</v>
      </c>
      <c r="L681" s="18" t="s">
        <v>24</v>
      </c>
      <c r="M681" s="7" t="s">
        <v>25</v>
      </c>
      <c r="N681" s="17"/>
    </row>
    <row r="682" spans="1:14" ht="25.5" x14ac:dyDescent="0.25">
      <c r="A682" s="17">
        <v>681</v>
      </c>
      <c r="B682" s="16" t="s">
        <v>2690</v>
      </c>
      <c r="C682" s="17">
        <v>1</v>
      </c>
      <c r="D682" s="17">
        <v>16.7</v>
      </c>
      <c r="E682" s="17">
        <v>10.8</v>
      </c>
      <c r="F682" s="16" t="s">
        <v>338</v>
      </c>
      <c r="G682" s="17" t="s">
        <v>2691</v>
      </c>
      <c r="H682" s="17" t="s">
        <v>3918</v>
      </c>
      <c r="I682" s="17" t="s">
        <v>22</v>
      </c>
      <c r="J682" s="37" t="s">
        <v>4434</v>
      </c>
      <c r="K682" s="18">
        <v>46156</v>
      </c>
      <c r="L682" s="18" t="s">
        <v>24</v>
      </c>
      <c r="M682" s="7" t="s">
        <v>25</v>
      </c>
      <c r="N682" s="17"/>
    </row>
    <row r="683" spans="1:14" ht="25.5" x14ac:dyDescent="0.25">
      <c r="A683" s="17">
        <v>682</v>
      </c>
      <c r="B683" s="16" t="s">
        <v>2690</v>
      </c>
      <c r="C683" s="17">
        <v>2</v>
      </c>
      <c r="D683" s="17">
        <v>15.7</v>
      </c>
      <c r="E683" s="17"/>
      <c r="F683" s="16" t="s">
        <v>338</v>
      </c>
      <c r="G683" s="17" t="s">
        <v>2691</v>
      </c>
      <c r="H683" s="17" t="s">
        <v>3918</v>
      </c>
      <c r="I683" s="17" t="s">
        <v>22</v>
      </c>
      <c r="J683" s="37" t="s">
        <v>4434</v>
      </c>
      <c r="K683" s="18">
        <v>46156</v>
      </c>
      <c r="L683" s="18" t="s">
        <v>24</v>
      </c>
      <c r="M683" s="7" t="s">
        <v>25</v>
      </c>
      <c r="N683" s="17"/>
    </row>
    <row r="684" spans="1:14" ht="25.5" x14ac:dyDescent="0.25">
      <c r="A684" s="17">
        <v>683</v>
      </c>
      <c r="B684" s="16" t="s">
        <v>2690</v>
      </c>
      <c r="C684" s="17">
        <v>3</v>
      </c>
      <c r="D684" s="17">
        <v>13.5</v>
      </c>
      <c r="E684" s="17">
        <v>10.8</v>
      </c>
      <c r="F684" s="16" t="s">
        <v>86</v>
      </c>
      <c r="G684" s="17" t="s">
        <v>2692</v>
      </c>
      <c r="H684" s="17" t="s">
        <v>3766</v>
      </c>
      <c r="I684" s="17" t="s">
        <v>28</v>
      </c>
      <c r="J684" s="37" t="s">
        <v>4678</v>
      </c>
      <c r="K684" s="18">
        <v>46154</v>
      </c>
      <c r="L684" s="18" t="s">
        <v>24</v>
      </c>
      <c r="M684" s="7" t="s">
        <v>25</v>
      </c>
      <c r="N684" s="17"/>
    </row>
    <row r="685" spans="1:14" ht="25.5" x14ac:dyDescent="0.25">
      <c r="A685" s="17">
        <v>684</v>
      </c>
      <c r="B685" s="16" t="s">
        <v>2693</v>
      </c>
      <c r="C685" s="17">
        <v>1</v>
      </c>
      <c r="D685" s="17">
        <v>16.7</v>
      </c>
      <c r="E685" s="17">
        <v>11</v>
      </c>
      <c r="F685" s="16" t="s">
        <v>343</v>
      </c>
      <c r="G685" s="17" t="s">
        <v>2694</v>
      </c>
      <c r="H685" s="17" t="s">
        <v>3593</v>
      </c>
      <c r="I685" s="17" t="s">
        <v>28</v>
      </c>
      <c r="J685" s="37" t="s">
        <v>4215</v>
      </c>
      <c r="K685" s="18">
        <v>46135</v>
      </c>
      <c r="L685" s="18" t="s">
        <v>24</v>
      </c>
      <c r="M685" s="7" t="s">
        <v>25</v>
      </c>
      <c r="N685" s="17"/>
    </row>
    <row r="686" spans="1:14" ht="25.5" x14ac:dyDescent="0.25">
      <c r="A686" s="17">
        <v>685</v>
      </c>
      <c r="B686" s="16" t="s">
        <v>2693</v>
      </c>
      <c r="C686" s="17">
        <v>2</v>
      </c>
      <c r="D686" s="17">
        <v>16.7</v>
      </c>
      <c r="E686" s="17"/>
      <c r="F686" s="16" t="s">
        <v>343</v>
      </c>
      <c r="G686" s="17" t="s">
        <v>2695</v>
      </c>
      <c r="H686" s="17" t="s">
        <v>3594</v>
      </c>
      <c r="I686" s="17" t="s">
        <v>28</v>
      </c>
      <c r="J686" s="37" t="s">
        <v>4216</v>
      </c>
      <c r="K686" s="18">
        <v>46135</v>
      </c>
      <c r="L686" s="18" t="s">
        <v>24</v>
      </c>
      <c r="M686" s="7" t="s">
        <v>25</v>
      </c>
      <c r="N686" s="17"/>
    </row>
    <row r="687" spans="1:14" ht="25.5" x14ac:dyDescent="0.25">
      <c r="A687" s="17">
        <v>686</v>
      </c>
      <c r="B687" s="16" t="s">
        <v>2693</v>
      </c>
      <c r="C687" s="17">
        <v>3</v>
      </c>
      <c r="D687" s="17">
        <v>12.2</v>
      </c>
      <c r="E687" s="17">
        <v>11</v>
      </c>
      <c r="F687" s="16" t="s">
        <v>343</v>
      </c>
      <c r="G687" s="17" t="s">
        <v>2696</v>
      </c>
      <c r="H687" s="17" t="s">
        <v>3583</v>
      </c>
      <c r="I687" s="17" t="s">
        <v>267</v>
      </c>
      <c r="J687" s="37" t="s">
        <v>4217</v>
      </c>
      <c r="K687" s="18" t="s">
        <v>2697</v>
      </c>
      <c r="L687" s="18" t="s">
        <v>24</v>
      </c>
      <c r="M687" s="7" t="s">
        <v>25</v>
      </c>
      <c r="N687" s="17"/>
    </row>
    <row r="688" spans="1:14" ht="25.5" x14ac:dyDescent="0.25">
      <c r="A688" s="17">
        <v>687</v>
      </c>
      <c r="B688" s="16" t="s">
        <v>2698</v>
      </c>
      <c r="C688" s="17">
        <v>1</v>
      </c>
      <c r="D688" s="17">
        <v>17.100000000000001</v>
      </c>
      <c r="E688" s="17">
        <v>10.9</v>
      </c>
      <c r="F688" s="16" t="s">
        <v>106</v>
      </c>
      <c r="G688" s="17" t="s">
        <v>2699</v>
      </c>
      <c r="H688" s="17" t="s">
        <v>3919</v>
      </c>
      <c r="I688" s="17" t="s">
        <v>662</v>
      </c>
      <c r="J688" s="37" t="s">
        <v>4581</v>
      </c>
      <c r="K688" s="18">
        <v>46134</v>
      </c>
      <c r="L688" s="18" t="s">
        <v>24</v>
      </c>
      <c r="M688" s="7" t="s">
        <v>25</v>
      </c>
      <c r="N688" s="17"/>
    </row>
    <row r="689" spans="1:14" ht="25.5" x14ac:dyDescent="0.25">
      <c r="A689" s="17">
        <v>688</v>
      </c>
      <c r="B689" s="16" t="s">
        <v>2698</v>
      </c>
      <c r="C689" s="17">
        <v>2</v>
      </c>
      <c r="D689" s="17">
        <v>16.600000000000001</v>
      </c>
      <c r="E689" s="17"/>
      <c r="F689" s="16" t="s">
        <v>106</v>
      </c>
      <c r="G689" s="17" t="s">
        <v>2699</v>
      </c>
      <c r="H689" s="17" t="s">
        <v>3919</v>
      </c>
      <c r="I689" s="17" t="s">
        <v>662</v>
      </c>
      <c r="J689" s="37" t="s">
        <v>4581</v>
      </c>
      <c r="K689" s="18">
        <v>46134</v>
      </c>
      <c r="L689" s="18" t="s">
        <v>24</v>
      </c>
      <c r="M689" s="7" t="s">
        <v>25</v>
      </c>
      <c r="N689" s="17"/>
    </row>
    <row r="690" spans="1:14" ht="25.5" x14ac:dyDescent="0.25">
      <c r="A690" s="17">
        <v>689</v>
      </c>
      <c r="B690" s="16" t="s">
        <v>2698</v>
      </c>
      <c r="C690" s="17">
        <v>3</v>
      </c>
      <c r="D690" s="17">
        <v>13.3</v>
      </c>
      <c r="E690" s="17">
        <v>10.9</v>
      </c>
      <c r="F690" s="16" t="s">
        <v>106</v>
      </c>
      <c r="G690" s="17" t="s">
        <v>2699</v>
      </c>
      <c r="H690" s="17" t="s">
        <v>3919</v>
      </c>
      <c r="I690" s="17" t="s">
        <v>662</v>
      </c>
      <c r="J690" s="37" t="s">
        <v>4581</v>
      </c>
      <c r="K690" s="18">
        <v>46134</v>
      </c>
      <c r="L690" s="18" t="s">
        <v>24</v>
      </c>
      <c r="M690" s="7" t="s">
        <v>25</v>
      </c>
      <c r="N690" s="17"/>
    </row>
    <row r="691" spans="1:14" ht="63.75" x14ac:dyDescent="0.25">
      <c r="A691" s="17">
        <v>690</v>
      </c>
      <c r="B691" s="16" t="s">
        <v>2700</v>
      </c>
      <c r="C691" s="17">
        <v>1</v>
      </c>
      <c r="D691" s="17">
        <v>16.5</v>
      </c>
      <c r="E691" s="17">
        <v>10.8</v>
      </c>
      <c r="F691" s="16" t="s">
        <v>106</v>
      </c>
      <c r="G691" s="17" t="s">
        <v>2701</v>
      </c>
      <c r="H691" s="17" t="s">
        <v>3920</v>
      </c>
      <c r="I691" s="17" t="s">
        <v>34</v>
      </c>
      <c r="J691" s="37" t="s">
        <v>4582</v>
      </c>
      <c r="K691" s="18">
        <v>46142</v>
      </c>
      <c r="L691" s="18" t="s">
        <v>24</v>
      </c>
      <c r="M691" s="7" t="s">
        <v>25</v>
      </c>
      <c r="N691" s="17"/>
    </row>
    <row r="692" spans="1:14" ht="25.5" x14ac:dyDescent="0.25">
      <c r="A692" s="17">
        <v>691</v>
      </c>
      <c r="B692" s="16" t="s">
        <v>2700</v>
      </c>
      <c r="C692" s="17">
        <v>2</v>
      </c>
      <c r="D692" s="17">
        <v>16.100000000000001</v>
      </c>
      <c r="E692" s="17"/>
      <c r="F692" s="16" t="s">
        <v>106</v>
      </c>
      <c r="G692" s="17" t="s">
        <v>2702</v>
      </c>
      <c r="H692" s="17" t="s">
        <v>3767</v>
      </c>
      <c r="I692" s="17" t="s">
        <v>51</v>
      </c>
      <c r="J692" s="37" t="s">
        <v>4583</v>
      </c>
      <c r="K692" s="18">
        <v>46142</v>
      </c>
      <c r="L692" s="18" t="s">
        <v>24</v>
      </c>
      <c r="M692" s="7" t="s">
        <v>25</v>
      </c>
      <c r="N692" s="17"/>
    </row>
    <row r="693" spans="1:14" ht="51" x14ac:dyDescent="0.25">
      <c r="A693" s="17">
        <v>692</v>
      </c>
      <c r="B693" s="16" t="s">
        <v>2700</v>
      </c>
      <c r="C693" s="17">
        <v>3</v>
      </c>
      <c r="D693" s="17">
        <v>13.1</v>
      </c>
      <c r="E693" s="17">
        <v>10.6</v>
      </c>
      <c r="F693" s="16" t="s">
        <v>86</v>
      </c>
      <c r="G693" s="17" t="s">
        <v>2703</v>
      </c>
      <c r="H693" s="17" t="s">
        <v>4915</v>
      </c>
      <c r="I693" s="17" t="s">
        <v>34</v>
      </c>
      <c r="J693" s="37" t="s">
        <v>4677</v>
      </c>
      <c r="K693" s="18">
        <v>46134</v>
      </c>
      <c r="L693" s="18" t="s">
        <v>24</v>
      </c>
      <c r="M693" s="7" t="s">
        <v>25</v>
      </c>
      <c r="N693" s="17"/>
    </row>
    <row r="694" spans="1:14" ht="25.5" x14ac:dyDescent="0.25">
      <c r="A694" s="17">
        <v>693</v>
      </c>
      <c r="B694" s="16" t="s">
        <v>2704</v>
      </c>
      <c r="C694" s="17">
        <v>1</v>
      </c>
      <c r="D694" s="17">
        <v>16.8</v>
      </c>
      <c r="E694" s="17">
        <v>10.7</v>
      </c>
      <c r="F694" s="16" t="s">
        <v>62</v>
      </c>
      <c r="G694" s="17" t="s">
        <v>2705</v>
      </c>
      <c r="H694" s="17" t="s">
        <v>3768</v>
      </c>
      <c r="I694" s="17" t="s">
        <v>28</v>
      </c>
      <c r="J694" s="37" t="s">
        <v>4535</v>
      </c>
      <c r="K694" s="18">
        <v>46137</v>
      </c>
      <c r="L694" s="18" t="s">
        <v>24</v>
      </c>
      <c r="M694" s="7" t="s">
        <v>25</v>
      </c>
      <c r="N694" s="17"/>
    </row>
    <row r="695" spans="1:14" ht="25.5" x14ac:dyDescent="0.25">
      <c r="A695" s="17">
        <v>694</v>
      </c>
      <c r="B695" s="16" t="s">
        <v>2704</v>
      </c>
      <c r="C695" s="17">
        <v>2</v>
      </c>
      <c r="D695" s="17">
        <v>16</v>
      </c>
      <c r="E695" s="17"/>
      <c r="F695" s="16" t="s">
        <v>48</v>
      </c>
      <c r="G695" s="17" t="s">
        <v>2706</v>
      </c>
      <c r="H695" s="17" t="s">
        <v>3921</v>
      </c>
      <c r="I695" s="17" t="s">
        <v>28</v>
      </c>
      <c r="J695" s="37" t="s">
        <v>4852</v>
      </c>
      <c r="K695" s="18">
        <v>46150</v>
      </c>
      <c r="L695" s="18" t="s">
        <v>24</v>
      </c>
      <c r="M695" s="7" t="s">
        <v>25</v>
      </c>
      <c r="N695" s="17"/>
    </row>
    <row r="696" spans="1:14" ht="25.5" x14ac:dyDescent="0.25">
      <c r="A696" s="17">
        <v>695</v>
      </c>
      <c r="B696" s="16" t="s">
        <v>2704</v>
      </c>
      <c r="C696" s="17">
        <v>3</v>
      </c>
      <c r="D696" s="17">
        <v>12.7</v>
      </c>
      <c r="E696" s="17">
        <v>10.7</v>
      </c>
      <c r="F696" s="16" t="s">
        <v>338</v>
      </c>
      <c r="G696" s="17" t="s">
        <v>2707</v>
      </c>
      <c r="H696" s="17" t="s">
        <v>3769</v>
      </c>
      <c r="I696" s="17" t="s">
        <v>28</v>
      </c>
      <c r="J696" s="37" t="s">
        <v>4435</v>
      </c>
      <c r="K696" s="18">
        <v>46137</v>
      </c>
      <c r="L696" s="18" t="s">
        <v>24</v>
      </c>
      <c r="M696" s="7" t="s">
        <v>25</v>
      </c>
      <c r="N696" s="17"/>
    </row>
    <row r="697" spans="1:14" ht="25.5" x14ac:dyDescent="0.25">
      <c r="A697" s="17">
        <v>696</v>
      </c>
      <c r="B697" s="16" t="s">
        <v>2708</v>
      </c>
      <c r="C697" s="17">
        <v>1</v>
      </c>
      <c r="D697" s="17">
        <v>16.7</v>
      </c>
      <c r="E697" s="17">
        <v>10.9</v>
      </c>
      <c r="F697" s="16" t="s">
        <v>338</v>
      </c>
      <c r="G697" s="17" t="s">
        <v>2709</v>
      </c>
      <c r="H697" s="17" t="s">
        <v>4155</v>
      </c>
      <c r="I697" s="17" t="s">
        <v>28</v>
      </c>
      <c r="J697" s="37" t="s">
        <v>4436</v>
      </c>
      <c r="K697" s="18">
        <v>46156</v>
      </c>
      <c r="L697" s="18" t="s">
        <v>24</v>
      </c>
      <c r="M697" s="7" t="s">
        <v>25</v>
      </c>
      <c r="N697" s="17"/>
    </row>
    <row r="698" spans="1:14" ht="25.5" x14ac:dyDescent="0.25">
      <c r="A698" s="17">
        <v>697</v>
      </c>
      <c r="B698" s="16" t="s">
        <v>2708</v>
      </c>
      <c r="C698" s="17">
        <v>2</v>
      </c>
      <c r="D698" s="17">
        <v>16.8</v>
      </c>
      <c r="E698" s="17"/>
      <c r="F698" s="16" t="s">
        <v>338</v>
      </c>
      <c r="G698" s="17" t="s">
        <v>2710</v>
      </c>
      <c r="H698" s="17" t="s">
        <v>3770</v>
      </c>
      <c r="I698" s="17" t="s">
        <v>22</v>
      </c>
      <c r="J698" s="37" t="s">
        <v>4437</v>
      </c>
      <c r="K698" s="18">
        <v>46156</v>
      </c>
      <c r="L698" s="18" t="s">
        <v>82</v>
      </c>
      <c r="M698" s="7" t="s">
        <v>25</v>
      </c>
      <c r="N698" s="17"/>
    </row>
    <row r="699" spans="1:14" ht="25.5" x14ac:dyDescent="0.25">
      <c r="A699" s="34">
        <v>698</v>
      </c>
      <c r="B699" s="35" t="s">
        <v>2708</v>
      </c>
      <c r="C699" s="34">
        <v>3</v>
      </c>
      <c r="D699" s="34">
        <v>12.9</v>
      </c>
      <c r="E699" s="34">
        <v>11.1</v>
      </c>
      <c r="F699" s="35" t="s">
        <v>162</v>
      </c>
      <c r="G699" s="34" t="s">
        <v>2711</v>
      </c>
      <c r="H699" s="17" t="s">
        <v>4156</v>
      </c>
      <c r="I699" s="17" t="s">
        <v>2032</v>
      </c>
      <c r="J699" s="37" t="s">
        <v>4496</v>
      </c>
      <c r="K699" s="18">
        <v>46154</v>
      </c>
      <c r="L699" s="18" t="s">
        <v>24</v>
      </c>
      <c r="M699" s="7" t="s">
        <v>25</v>
      </c>
      <c r="N699" s="17"/>
    </row>
    <row r="700" spans="1:14" ht="63.75" x14ac:dyDescent="0.25">
      <c r="A700" s="17">
        <v>699</v>
      </c>
      <c r="B700" s="16" t="s">
        <v>2712</v>
      </c>
      <c r="C700" s="17">
        <v>1</v>
      </c>
      <c r="D700" s="17">
        <v>15.3</v>
      </c>
      <c r="E700" s="17">
        <v>10.8</v>
      </c>
      <c r="F700" s="16" t="s">
        <v>62</v>
      </c>
      <c r="G700" s="17" t="s">
        <v>2713</v>
      </c>
      <c r="H700" s="17" t="s">
        <v>3922</v>
      </c>
      <c r="I700" s="17" t="s">
        <v>34</v>
      </c>
      <c r="J700" s="37" t="s">
        <v>4536</v>
      </c>
      <c r="K700" s="18">
        <v>46136</v>
      </c>
      <c r="L700" s="18" t="s">
        <v>24</v>
      </c>
      <c r="M700" s="7" t="s">
        <v>25</v>
      </c>
      <c r="N700" s="17"/>
    </row>
    <row r="701" spans="1:14" ht="25.5" x14ac:dyDescent="0.25">
      <c r="A701" s="17">
        <v>700</v>
      </c>
      <c r="B701" s="16" t="s">
        <v>2712</v>
      </c>
      <c r="C701" s="17">
        <v>2</v>
      </c>
      <c r="D701" s="17">
        <v>15.2</v>
      </c>
      <c r="E701" s="17"/>
      <c r="F701" s="16" t="s">
        <v>151</v>
      </c>
      <c r="G701" s="17" t="s">
        <v>2714</v>
      </c>
      <c r="H701" s="17" t="s">
        <v>4157</v>
      </c>
      <c r="I701" s="17" t="s">
        <v>51</v>
      </c>
      <c r="J701" s="37" t="s">
        <v>4811</v>
      </c>
      <c r="K701" s="18">
        <v>46144</v>
      </c>
      <c r="L701" s="18" t="s">
        <v>24</v>
      </c>
      <c r="M701" s="7" t="s">
        <v>25</v>
      </c>
      <c r="N701" s="17"/>
    </row>
    <row r="702" spans="1:14" ht="25.5" x14ac:dyDescent="0.25">
      <c r="A702" s="17">
        <v>701</v>
      </c>
      <c r="B702" s="16" t="s">
        <v>2712</v>
      </c>
      <c r="C702" s="17">
        <v>3</v>
      </c>
      <c r="D702" s="17">
        <v>13.3</v>
      </c>
      <c r="E702" s="17">
        <v>10.8</v>
      </c>
      <c r="F702" s="16" t="s">
        <v>162</v>
      </c>
      <c r="G702" s="17" t="s">
        <v>2715</v>
      </c>
      <c r="H702" s="17" t="s">
        <v>3771</v>
      </c>
      <c r="I702" s="17" t="s">
        <v>28</v>
      </c>
      <c r="J702" s="37" t="s">
        <v>4497</v>
      </c>
      <c r="K702" s="18">
        <v>46154</v>
      </c>
      <c r="L702" s="18" t="s">
        <v>24</v>
      </c>
      <c r="M702" s="7" t="s">
        <v>25</v>
      </c>
      <c r="N702" s="17"/>
    </row>
    <row r="703" spans="1:14" ht="51" x14ac:dyDescent="0.25">
      <c r="A703" s="17">
        <v>702</v>
      </c>
      <c r="B703" s="16" t="s">
        <v>2716</v>
      </c>
      <c r="C703" s="17">
        <v>1</v>
      </c>
      <c r="D703" s="17">
        <v>15.8</v>
      </c>
      <c r="E703" s="17">
        <v>10.8</v>
      </c>
      <c r="F703" s="16" t="s">
        <v>19</v>
      </c>
      <c r="G703" s="17" t="s">
        <v>2717</v>
      </c>
      <c r="H703" s="17" t="s">
        <v>3772</v>
      </c>
      <c r="I703" s="17" t="s">
        <v>34</v>
      </c>
      <c r="J703" s="37" t="s">
        <v>4388</v>
      </c>
      <c r="K703" s="18">
        <v>46135</v>
      </c>
      <c r="L703" s="18" t="s">
        <v>82</v>
      </c>
      <c r="M703" s="7" t="s">
        <v>25</v>
      </c>
      <c r="N703" s="17"/>
    </row>
    <row r="704" spans="1:14" ht="63.75" x14ac:dyDescent="0.25">
      <c r="A704" s="17">
        <v>703</v>
      </c>
      <c r="B704" s="16" t="s">
        <v>2716</v>
      </c>
      <c r="C704" s="17">
        <v>2</v>
      </c>
      <c r="D704" s="17">
        <v>16.3</v>
      </c>
      <c r="E704" s="17"/>
      <c r="F704" s="16" t="s">
        <v>19</v>
      </c>
      <c r="G704" s="17" t="s">
        <v>2718</v>
      </c>
      <c r="H704" s="17" t="s">
        <v>3773</v>
      </c>
      <c r="I704" s="17" t="s">
        <v>34</v>
      </c>
      <c r="J704" s="37" t="s">
        <v>4389</v>
      </c>
      <c r="K704" s="18">
        <v>46135</v>
      </c>
      <c r="L704" s="18" t="s">
        <v>24</v>
      </c>
      <c r="M704" s="7" t="s">
        <v>25</v>
      </c>
      <c r="N704" s="17"/>
    </row>
    <row r="705" spans="1:14" ht="63.75" x14ac:dyDescent="0.25">
      <c r="A705" s="17">
        <v>704</v>
      </c>
      <c r="B705" s="16" t="s">
        <v>2716</v>
      </c>
      <c r="C705" s="17">
        <v>3</v>
      </c>
      <c r="D705" s="17">
        <v>12.9</v>
      </c>
      <c r="E705" s="17">
        <v>10.8</v>
      </c>
      <c r="F705" s="16" t="s">
        <v>19</v>
      </c>
      <c r="G705" s="17" t="s">
        <v>2718</v>
      </c>
      <c r="H705" s="17" t="s">
        <v>3773</v>
      </c>
      <c r="I705" s="17" t="s">
        <v>34</v>
      </c>
      <c r="J705" s="37" t="s">
        <v>4389</v>
      </c>
      <c r="K705" s="18">
        <v>46135</v>
      </c>
      <c r="L705" s="18" t="s">
        <v>24</v>
      </c>
      <c r="M705" s="7" t="s">
        <v>25</v>
      </c>
      <c r="N705" s="17"/>
    </row>
    <row r="706" spans="1:14" ht="63.75" x14ac:dyDescent="0.25">
      <c r="A706" s="17">
        <v>705</v>
      </c>
      <c r="B706" s="16" t="s">
        <v>2719</v>
      </c>
      <c r="C706" s="17">
        <v>1</v>
      </c>
      <c r="D706" s="17">
        <v>17.3</v>
      </c>
      <c r="E706" s="17">
        <v>11</v>
      </c>
      <c r="F706" s="16" t="s">
        <v>86</v>
      </c>
      <c r="G706" s="17" t="s">
        <v>2720</v>
      </c>
      <c r="H706" s="17" t="s">
        <v>4158</v>
      </c>
      <c r="I706" s="17" t="s">
        <v>34</v>
      </c>
      <c r="J706" s="37" t="s">
        <v>4679</v>
      </c>
      <c r="K706" s="18">
        <v>46144</v>
      </c>
      <c r="L706" s="18" t="s">
        <v>24</v>
      </c>
      <c r="M706" s="7" t="s">
        <v>25</v>
      </c>
      <c r="N706" s="17"/>
    </row>
    <row r="707" spans="1:14" ht="63.75" x14ac:dyDescent="0.25">
      <c r="A707" s="17">
        <v>706</v>
      </c>
      <c r="B707" s="16" t="s">
        <v>2719</v>
      </c>
      <c r="C707" s="17">
        <v>2</v>
      </c>
      <c r="D707" s="17">
        <v>16.899999999999999</v>
      </c>
      <c r="E707" s="17"/>
      <c r="F707" s="16" t="s">
        <v>86</v>
      </c>
      <c r="G707" s="17" t="s">
        <v>2720</v>
      </c>
      <c r="H707" s="17" t="s">
        <v>4158</v>
      </c>
      <c r="I707" s="17" t="s">
        <v>34</v>
      </c>
      <c r="J707" s="37" t="s">
        <v>4679</v>
      </c>
      <c r="K707" s="18">
        <v>46144</v>
      </c>
      <c r="L707" s="18" t="s">
        <v>24</v>
      </c>
      <c r="M707" s="7" t="s">
        <v>25</v>
      </c>
      <c r="N707" s="17"/>
    </row>
    <row r="708" spans="1:14" ht="63.75" x14ac:dyDescent="0.25">
      <c r="A708" s="17">
        <v>707</v>
      </c>
      <c r="B708" s="16" t="s">
        <v>2719</v>
      </c>
      <c r="C708" s="17">
        <v>3</v>
      </c>
      <c r="D708" s="17">
        <v>12.8</v>
      </c>
      <c r="E708" s="17">
        <v>10.8</v>
      </c>
      <c r="F708" s="16" t="s">
        <v>86</v>
      </c>
      <c r="G708" s="17" t="s">
        <v>2720</v>
      </c>
      <c r="H708" s="17" t="s">
        <v>4158</v>
      </c>
      <c r="I708" s="17" t="s">
        <v>34</v>
      </c>
      <c r="J708" s="37" t="s">
        <v>4679</v>
      </c>
      <c r="K708" s="18">
        <v>46144</v>
      </c>
      <c r="L708" s="18" t="s">
        <v>24</v>
      </c>
      <c r="M708" s="7" t="s">
        <v>25</v>
      </c>
      <c r="N708" s="17"/>
    </row>
    <row r="709" spans="1:14" ht="63.75" x14ac:dyDescent="0.25">
      <c r="A709" s="17">
        <v>708</v>
      </c>
      <c r="B709" s="16" t="s">
        <v>2721</v>
      </c>
      <c r="C709" s="17">
        <v>1</v>
      </c>
      <c r="D709" s="17">
        <v>17</v>
      </c>
      <c r="E709" s="17">
        <v>10.8</v>
      </c>
      <c r="F709" s="16" t="s">
        <v>106</v>
      </c>
      <c r="G709" s="17" t="s">
        <v>2722</v>
      </c>
      <c r="H709" s="17" t="s">
        <v>3774</v>
      </c>
      <c r="I709" s="17" t="s">
        <v>293</v>
      </c>
      <c r="J709" s="37" t="s">
        <v>4584</v>
      </c>
      <c r="K709" s="18">
        <v>46144</v>
      </c>
      <c r="L709" s="18" t="s">
        <v>24</v>
      </c>
      <c r="M709" s="7" t="s">
        <v>25</v>
      </c>
      <c r="N709" s="17"/>
    </row>
    <row r="710" spans="1:14" ht="25.5" x14ac:dyDescent="0.25">
      <c r="A710" s="17">
        <v>709</v>
      </c>
      <c r="B710" s="16" t="s">
        <v>2721</v>
      </c>
      <c r="C710" s="17">
        <v>2</v>
      </c>
      <c r="D710" s="17">
        <v>16.5</v>
      </c>
      <c r="E710" s="17"/>
      <c r="F710" s="16" t="s">
        <v>126</v>
      </c>
      <c r="G710" s="17" t="s">
        <v>2723</v>
      </c>
      <c r="H710" s="17" t="s">
        <v>3775</v>
      </c>
      <c r="I710" s="17" t="s">
        <v>28</v>
      </c>
      <c r="J710" s="37" t="s">
        <v>4294</v>
      </c>
      <c r="K710" s="18">
        <v>46149</v>
      </c>
      <c r="L710" s="18" t="s">
        <v>24</v>
      </c>
      <c r="M710" s="7" t="s">
        <v>25</v>
      </c>
      <c r="N710" s="17"/>
    </row>
    <row r="711" spans="1:14" ht="63.75" x14ac:dyDescent="0.25">
      <c r="A711" s="17">
        <v>710</v>
      </c>
      <c r="B711" s="16" t="s">
        <v>2721</v>
      </c>
      <c r="C711" s="17">
        <v>3</v>
      </c>
      <c r="D711" s="17">
        <v>12.8</v>
      </c>
      <c r="E711" s="17">
        <v>10.8</v>
      </c>
      <c r="F711" s="16" t="s">
        <v>126</v>
      </c>
      <c r="G711" s="17" t="s">
        <v>2724</v>
      </c>
      <c r="H711" s="17" t="s">
        <v>4894</v>
      </c>
      <c r="I711" s="17" t="s">
        <v>34</v>
      </c>
      <c r="J711" s="37" t="s">
        <v>4295</v>
      </c>
      <c r="K711" s="18">
        <v>46149</v>
      </c>
      <c r="L711" s="18" t="s">
        <v>24</v>
      </c>
      <c r="M711" s="7" t="s">
        <v>25</v>
      </c>
      <c r="N711" s="17"/>
    </row>
    <row r="712" spans="1:14" ht="63.75" x14ac:dyDescent="0.25">
      <c r="A712" s="17">
        <v>711</v>
      </c>
      <c r="B712" s="16" t="s">
        <v>2725</v>
      </c>
      <c r="C712" s="17">
        <v>1</v>
      </c>
      <c r="D712" s="17">
        <v>17.3</v>
      </c>
      <c r="E712" s="17">
        <v>10.9</v>
      </c>
      <c r="F712" s="16" t="s">
        <v>86</v>
      </c>
      <c r="G712" s="17" t="s">
        <v>2726</v>
      </c>
      <c r="H712" s="17" t="s">
        <v>3776</v>
      </c>
      <c r="I712" s="17" t="s">
        <v>34</v>
      </c>
      <c r="J712" s="37" t="s">
        <v>4680</v>
      </c>
      <c r="K712" s="18">
        <v>46135</v>
      </c>
      <c r="L712" s="18" t="s">
        <v>24</v>
      </c>
      <c r="M712" s="7" t="s">
        <v>25</v>
      </c>
      <c r="N712" s="17"/>
    </row>
    <row r="713" spans="1:14" ht="63.75" x14ac:dyDescent="0.25">
      <c r="A713" s="17">
        <v>712</v>
      </c>
      <c r="B713" s="16" t="s">
        <v>2725</v>
      </c>
      <c r="C713" s="17">
        <v>2</v>
      </c>
      <c r="D713" s="17">
        <v>16.3</v>
      </c>
      <c r="E713" s="17"/>
      <c r="F713" s="16" t="s">
        <v>86</v>
      </c>
      <c r="G713" s="17" t="s">
        <v>2726</v>
      </c>
      <c r="H713" s="17" t="s">
        <v>3776</v>
      </c>
      <c r="I713" s="17" t="s">
        <v>34</v>
      </c>
      <c r="J713" s="37" t="s">
        <v>4681</v>
      </c>
      <c r="K713" s="18">
        <v>46135</v>
      </c>
      <c r="L713" s="18" t="s">
        <v>24</v>
      </c>
      <c r="M713" s="7" t="s">
        <v>25</v>
      </c>
      <c r="N713" s="17"/>
    </row>
    <row r="714" spans="1:14" ht="63.75" x14ac:dyDescent="0.25">
      <c r="A714" s="17">
        <v>713</v>
      </c>
      <c r="B714" s="16" t="s">
        <v>2725</v>
      </c>
      <c r="C714" s="17">
        <v>3</v>
      </c>
      <c r="D714" s="17">
        <v>13.5</v>
      </c>
      <c r="E714" s="17">
        <v>10.8</v>
      </c>
      <c r="F714" s="16" t="s">
        <v>19</v>
      </c>
      <c r="G714" s="17" t="s">
        <v>2727</v>
      </c>
      <c r="H714" s="17" t="s">
        <v>4159</v>
      </c>
      <c r="I714" s="17" t="s">
        <v>34</v>
      </c>
      <c r="J714" s="37" t="s">
        <v>4390</v>
      </c>
      <c r="K714" s="18">
        <v>46133</v>
      </c>
      <c r="L714" s="18" t="s">
        <v>24</v>
      </c>
      <c r="M714" s="7" t="s">
        <v>25</v>
      </c>
      <c r="N714" s="17"/>
    </row>
    <row r="715" spans="1:14" ht="25.5" x14ac:dyDescent="0.25">
      <c r="A715" s="17">
        <v>714</v>
      </c>
      <c r="B715" s="16" t="s">
        <v>2728</v>
      </c>
      <c r="C715" s="17">
        <v>1</v>
      </c>
      <c r="D715" s="17">
        <v>16.100000000000001</v>
      </c>
      <c r="E715" s="17">
        <v>10.6</v>
      </c>
      <c r="F715" s="16" t="s">
        <v>19</v>
      </c>
      <c r="G715" s="17" t="s">
        <v>2729</v>
      </c>
      <c r="H715" s="17" t="s">
        <v>3777</v>
      </c>
      <c r="I715" s="17" t="s">
        <v>28</v>
      </c>
      <c r="J715" s="37" t="s">
        <v>4391</v>
      </c>
      <c r="K715" s="18">
        <v>46136</v>
      </c>
      <c r="L715" s="18" t="s">
        <v>24</v>
      </c>
      <c r="M715" s="7" t="s">
        <v>25</v>
      </c>
      <c r="N715" s="17"/>
    </row>
    <row r="716" spans="1:14" ht="25.5" x14ac:dyDescent="0.25">
      <c r="A716" s="17">
        <v>715</v>
      </c>
      <c r="B716" s="16" t="s">
        <v>2728</v>
      </c>
      <c r="C716" s="17">
        <v>2</v>
      </c>
      <c r="D716" s="17">
        <v>16</v>
      </c>
      <c r="E716" s="17"/>
      <c r="F716" s="16" t="s">
        <v>162</v>
      </c>
      <c r="G716" s="17" t="s">
        <v>2730</v>
      </c>
      <c r="H716" s="17" t="s">
        <v>3778</v>
      </c>
      <c r="I716" s="17" t="s">
        <v>22</v>
      </c>
      <c r="J716" s="37" t="s">
        <v>4498</v>
      </c>
      <c r="K716" s="18">
        <v>46154</v>
      </c>
      <c r="L716" s="18" t="s">
        <v>24</v>
      </c>
      <c r="M716" s="7" t="s">
        <v>25</v>
      </c>
      <c r="N716" s="17"/>
    </row>
    <row r="717" spans="1:14" ht="25.5" x14ac:dyDescent="0.25">
      <c r="A717" s="17">
        <v>716</v>
      </c>
      <c r="B717" s="16" t="s">
        <v>2728</v>
      </c>
      <c r="C717" s="17">
        <v>3</v>
      </c>
      <c r="D717" s="17">
        <v>13.2</v>
      </c>
      <c r="E717" s="17">
        <v>10.8</v>
      </c>
      <c r="F717" s="16" t="s">
        <v>162</v>
      </c>
      <c r="G717" s="17" t="s">
        <v>2731</v>
      </c>
      <c r="H717" s="17" t="s">
        <v>3779</v>
      </c>
      <c r="I717" s="17" t="s">
        <v>28</v>
      </c>
      <c r="J717" s="37" t="s">
        <v>4499</v>
      </c>
      <c r="K717" s="18">
        <v>46150</v>
      </c>
      <c r="L717" s="18" t="s">
        <v>24</v>
      </c>
      <c r="M717" s="7" t="s">
        <v>25</v>
      </c>
      <c r="N717" s="17"/>
    </row>
    <row r="718" spans="1:14" ht="25.5" x14ac:dyDescent="0.25">
      <c r="A718" s="17">
        <v>717</v>
      </c>
      <c r="B718" s="16" t="s">
        <v>2732</v>
      </c>
      <c r="C718" s="17">
        <v>1</v>
      </c>
      <c r="D718" s="17">
        <v>16</v>
      </c>
      <c r="E718" s="17">
        <v>10.6</v>
      </c>
      <c r="F718" s="16" t="s">
        <v>126</v>
      </c>
      <c r="G718" s="17" t="s">
        <v>2733</v>
      </c>
      <c r="H718" s="17" t="s">
        <v>4160</v>
      </c>
      <c r="I718" s="17" t="s">
        <v>51</v>
      </c>
      <c r="J718" s="37" t="s">
        <v>4296</v>
      </c>
      <c r="K718" s="18">
        <v>46156</v>
      </c>
      <c r="L718" s="18" t="s">
        <v>24</v>
      </c>
      <c r="M718" s="7" t="s">
        <v>25</v>
      </c>
      <c r="N718" s="17"/>
    </row>
    <row r="719" spans="1:14" ht="63.75" x14ac:dyDescent="0.25">
      <c r="A719" s="17">
        <v>718</v>
      </c>
      <c r="B719" s="16" t="s">
        <v>2732</v>
      </c>
      <c r="C719" s="17">
        <v>2</v>
      </c>
      <c r="D719" s="17">
        <v>15</v>
      </c>
      <c r="E719" s="17"/>
      <c r="F719" s="16" t="s">
        <v>106</v>
      </c>
      <c r="G719" s="17" t="s">
        <v>2734</v>
      </c>
      <c r="H719" s="17" t="s">
        <v>4161</v>
      </c>
      <c r="I719" s="17" t="s">
        <v>34</v>
      </c>
      <c r="J719" s="37" t="s">
        <v>4585</v>
      </c>
      <c r="K719" s="18">
        <v>46148</v>
      </c>
      <c r="L719" s="18" t="s">
        <v>24</v>
      </c>
      <c r="M719" s="7" t="s">
        <v>25</v>
      </c>
      <c r="N719" s="17"/>
    </row>
    <row r="720" spans="1:14" ht="63.75" x14ac:dyDescent="0.25">
      <c r="A720" s="17">
        <v>719</v>
      </c>
      <c r="B720" s="16" t="s">
        <v>2732</v>
      </c>
      <c r="C720" s="17">
        <v>3</v>
      </c>
      <c r="D720" s="17">
        <v>13.7</v>
      </c>
      <c r="E720" s="17">
        <v>10.8</v>
      </c>
      <c r="F720" s="16" t="s">
        <v>126</v>
      </c>
      <c r="G720" s="17" t="s">
        <v>2735</v>
      </c>
      <c r="H720" s="17" t="s">
        <v>4162</v>
      </c>
      <c r="I720" s="17" t="s">
        <v>34</v>
      </c>
      <c r="J720" s="37" t="s">
        <v>4297</v>
      </c>
      <c r="K720" s="18">
        <v>46149</v>
      </c>
      <c r="L720" s="18" t="s">
        <v>24</v>
      </c>
      <c r="M720" s="7" t="s">
        <v>25</v>
      </c>
      <c r="N720" s="17"/>
    </row>
    <row r="721" spans="1:14" x14ac:dyDescent="0.25">
      <c r="A721" s="14">
        <v>720</v>
      </c>
      <c r="B721" s="15" t="s">
        <v>2736</v>
      </c>
      <c r="C721" s="14">
        <v>1</v>
      </c>
      <c r="D721" s="14">
        <v>16.7</v>
      </c>
      <c r="E721" s="14">
        <v>11.1</v>
      </c>
      <c r="F721" s="15" t="s">
        <v>101</v>
      </c>
      <c r="G721" s="14"/>
      <c r="H721" s="14"/>
      <c r="I721" s="14"/>
      <c r="J721" s="28"/>
      <c r="K721" s="14"/>
      <c r="L721" s="14"/>
      <c r="M721" s="14" t="s">
        <v>286</v>
      </c>
      <c r="N721" s="14"/>
    </row>
    <row r="722" spans="1:14" ht="51" x14ac:dyDescent="0.25">
      <c r="A722" s="17">
        <v>721</v>
      </c>
      <c r="B722" s="16" t="s">
        <v>2736</v>
      </c>
      <c r="C722" s="17">
        <v>2</v>
      </c>
      <c r="D722" s="17">
        <v>16.899999999999999</v>
      </c>
      <c r="E722" s="17"/>
      <c r="F722" s="16" t="s">
        <v>162</v>
      </c>
      <c r="G722" s="17" t="s">
        <v>2737</v>
      </c>
      <c r="H722" s="17" t="s">
        <v>4163</v>
      </c>
      <c r="I722" s="17" t="s">
        <v>34</v>
      </c>
      <c r="J722" s="37" t="s">
        <v>4500</v>
      </c>
      <c r="K722" s="18">
        <v>46142</v>
      </c>
      <c r="L722" s="18" t="s">
        <v>24</v>
      </c>
      <c r="M722" s="7" t="s">
        <v>25</v>
      </c>
      <c r="N722" s="17"/>
    </row>
    <row r="723" spans="1:14" ht="51" x14ac:dyDescent="0.25">
      <c r="A723" s="17">
        <v>722</v>
      </c>
      <c r="B723" s="16" t="s">
        <v>2736</v>
      </c>
      <c r="C723" s="17">
        <v>3</v>
      </c>
      <c r="D723" s="17">
        <v>13.8</v>
      </c>
      <c r="E723" s="17">
        <v>11</v>
      </c>
      <c r="F723" s="16" t="s">
        <v>162</v>
      </c>
      <c r="G723" s="17" t="s">
        <v>2737</v>
      </c>
      <c r="H723" s="17" t="s">
        <v>4163</v>
      </c>
      <c r="I723" s="17" t="s">
        <v>34</v>
      </c>
      <c r="J723" s="37" t="s">
        <v>4500</v>
      </c>
      <c r="K723" s="18">
        <v>46142</v>
      </c>
      <c r="L723" s="18" t="s">
        <v>24</v>
      </c>
      <c r="M723" s="7" t="s">
        <v>25</v>
      </c>
      <c r="N723" s="17"/>
    </row>
    <row r="724" spans="1:14" ht="63.75" x14ac:dyDescent="0.25">
      <c r="A724" s="17">
        <v>723</v>
      </c>
      <c r="B724" s="16" t="s">
        <v>2738</v>
      </c>
      <c r="C724" s="17">
        <v>1</v>
      </c>
      <c r="D724" s="17">
        <v>16.8</v>
      </c>
      <c r="E724" s="17">
        <v>10.6</v>
      </c>
      <c r="F724" s="16" t="s">
        <v>151</v>
      </c>
      <c r="G724" s="17" t="s">
        <v>2739</v>
      </c>
      <c r="H724" s="17" t="s">
        <v>4164</v>
      </c>
      <c r="I724" s="17" t="s">
        <v>34</v>
      </c>
      <c r="J724" s="37" t="s">
        <v>4812</v>
      </c>
      <c r="K724" s="18">
        <v>46155</v>
      </c>
      <c r="L724" s="18" t="s">
        <v>24</v>
      </c>
      <c r="M724" s="7" t="s">
        <v>25</v>
      </c>
      <c r="N724" s="17"/>
    </row>
    <row r="725" spans="1:14" ht="63.75" x14ac:dyDescent="0.25">
      <c r="A725" s="17">
        <v>724</v>
      </c>
      <c r="B725" s="16" t="s">
        <v>2738</v>
      </c>
      <c r="C725" s="17">
        <v>2</v>
      </c>
      <c r="D725" s="17">
        <v>16.8</v>
      </c>
      <c r="E725" s="17"/>
      <c r="F725" s="16" t="s">
        <v>151</v>
      </c>
      <c r="G725" s="17" t="s">
        <v>2739</v>
      </c>
      <c r="H725" s="17" t="s">
        <v>4164</v>
      </c>
      <c r="I725" s="17" t="s">
        <v>34</v>
      </c>
      <c r="J725" s="37" t="s">
        <v>4812</v>
      </c>
      <c r="K725" s="18">
        <v>46155</v>
      </c>
      <c r="L725" s="18" t="s">
        <v>24</v>
      </c>
      <c r="M725" s="7" t="s">
        <v>25</v>
      </c>
      <c r="N725" s="17"/>
    </row>
    <row r="726" spans="1:14" x14ac:dyDescent="0.25">
      <c r="A726" s="14">
        <v>725</v>
      </c>
      <c r="B726" s="15" t="s">
        <v>2738</v>
      </c>
      <c r="C726" s="14">
        <v>3</v>
      </c>
      <c r="D726" s="14">
        <v>12.9</v>
      </c>
      <c r="E726" s="14">
        <v>10.7</v>
      </c>
      <c r="F726" s="15" t="s">
        <v>338</v>
      </c>
      <c r="G726" s="14"/>
      <c r="H726" s="14"/>
      <c r="I726" s="14"/>
      <c r="J726" s="28"/>
      <c r="K726" s="14"/>
      <c r="L726" s="14"/>
      <c r="M726" s="14" t="s">
        <v>286</v>
      </c>
      <c r="N726" s="14"/>
    </row>
    <row r="727" spans="1:14" ht="25.5" x14ac:dyDescent="0.25">
      <c r="A727" s="17">
        <v>726</v>
      </c>
      <c r="B727" s="16" t="s">
        <v>2740</v>
      </c>
      <c r="C727" s="17">
        <v>1</v>
      </c>
      <c r="D727" s="17">
        <v>16.600000000000001</v>
      </c>
      <c r="E727" s="17">
        <v>10.8</v>
      </c>
      <c r="F727" s="16" t="s">
        <v>162</v>
      </c>
      <c r="G727" s="17" t="s">
        <v>2741</v>
      </c>
      <c r="H727" s="17" t="s">
        <v>4165</v>
      </c>
      <c r="I727" s="17" t="s">
        <v>28</v>
      </c>
      <c r="J727" s="37" t="s">
        <v>4501</v>
      </c>
      <c r="K727" s="18">
        <v>46154</v>
      </c>
      <c r="L727" s="18" t="s">
        <v>24</v>
      </c>
      <c r="M727" s="7" t="s">
        <v>25</v>
      </c>
      <c r="N727" s="17"/>
    </row>
    <row r="728" spans="1:14" ht="25.5" x14ac:dyDescent="0.25">
      <c r="A728" s="17">
        <v>727</v>
      </c>
      <c r="B728" s="16" t="s">
        <v>2740</v>
      </c>
      <c r="C728" s="17">
        <v>2</v>
      </c>
      <c r="D728" s="17">
        <v>16.399999999999999</v>
      </c>
      <c r="E728" s="17"/>
      <c r="F728" s="16" t="s">
        <v>48</v>
      </c>
      <c r="G728" s="17" t="s">
        <v>2742</v>
      </c>
      <c r="H728" s="17" t="s">
        <v>4166</v>
      </c>
      <c r="I728" s="17" t="s">
        <v>51</v>
      </c>
      <c r="J728" s="37" t="s">
        <v>4853</v>
      </c>
      <c r="K728" s="18">
        <v>46144</v>
      </c>
      <c r="L728" s="18" t="s">
        <v>24</v>
      </c>
      <c r="M728" s="7" t="s">
        <v>25</v>
      </c>
      <c r="N728" s="17"/>
    </row>
    <row r="729" spans="1:14" ht="63.75" x14ac:dyDescent="0.25">
      <c r="A729" s="17">
        <v>728</v>
      </c>
      <c r="B729" s="16" t="s">
        <v>2740</v>
      </c>
      <c r="C729" s="17">
        <v>3</v>
      </c>
      <c r="D729" s="17">
        <v>13</v>
      </c>
      <c r="E729" s="17">
        <v>10.8</v>
      </c>
      <c r="F729" s="16" t="s">
        <v>151</v>
      </c>
      <c r="G729" s="17" t="s">
        <v>2743</v>
      </c>
      <c r="H729" s="17" t="s">
        <v>4167</v>
      </c>
      <c r="I729" s="17" t="s">
        <v>34</v>
      </c>
      <c r="J729" s="37" t="s">
        <v>4813</v>
      </c>
      <c r="K729" s="18">
        <v>46140</v>
      </c>
      <c r="L729" s="18" t="s">
        <v>24</v>
      </c>
      <c r="M729" s="7" t="s">
        <v>25</v>
      </c>
      <c r="N729" s="17"/>
    </row>
    <row r="730" spans="1:14" ht="63.75" x14ac:dyDescent="0.25">
      <c r="A730" s="17">
        <v>729</v>
      </c>
      <c r="B730" s="16" t="s">
        <v>2744</v>
      </c>
      <c r="C730" s="17">
        <v>1</v>
      </c>
      <c r="D730" s="17">
        <v>17.100000000000001</v>
      </c>
      <c r="E730" s="17">
        <v>10.8</v>
      </c>
      <c r="F730" s="16" t="s">
        <v>126</v>
      </c>
      <c r="G730" s="17" t="s">
        <v>4895</v>
      </c>
      <c r="H730" s="17" t="s">
        <v>3780</v>
      </c>
      <c r="I730" s="17" t="s">
        <v>34</v>
      </c>
      <c r="J730" s="37" t="s">
        <v>4298</v>
      </c>
      <c r="K730" s="18">
        <v>46149</v>
      </c>
      <c r="L730" s="18" t="s">
        <v>24</v>
      </c>
      <c r="M730" s="7" t="s">
        <v>25</v>
      </c>
      <c r="N730" s="17"/>
    </row>
    <row r="731" spans="1:14" ht="51" x14ac:dyDescent="0.25">
      <c r="A731" s="17">
        <v>730</v>
      </c>
      <c r="B731" s="16" t="s">
        <v>2744</v>
      </c>
      <c r="C731" s="17">
        <v>2</v>
      </c>
      <c r="D731" s="17">
        <v>16</v>
      </c>
      <c r="E731" s="17"/>
      <c r="F731" s="16" t="s">
        <v>126</v>
      </c>
      <c r="G731" s="17" t="s">
        <v>4896</v>
      </c>
      <c r="H731" s="17" t="s">
        <v>4168</v>
      </c>
      <c r="I731" s="17" t="s">
        <v>51</v>
      </c>
      <c r="J731" s="37" t="s">
        <v>4299</v>
      </c>
      <c r="K731" s="18">
        <v>46149</v>
      </c>
      <c r="L731" s="18" t="s">
        <v>24</v>
      </c>
      <c r="M731" s="7" t="s">
        <v>25</v>
      </c>
      <c r="N731" s="17"/>
    </row>
    <row r="732" spans="1:14" ht="51" x14ac:dyDescent="0.25">
      <c r="A732" s="17">
        <v>731</v>
      </c>
      <c r="B732" s="16" t="s">
        <v>2744</v>
      </c>
      <c r="C732" s="17">
        <v>3</v>
      </c>
      <c r="D732" s="17">
        <v>12.9</v>
      </c>
      <c r="E732" s="17">
        <v>10.8</v>
      </c>
      <c r="F732" s="16" t="s">
        <v>126</v>
      </c>
      <c r="G732" s="17" t="s">
        <v>4896</v>
      </c>
      <c r="H732" s="17" t="s">
        <v>4168</v>
      </c>
      <c r="I732" s="17" t="s">
        <v>51</v>
      </c>
      <c r="J732" s="37" t="s">
        <v>4299</v>
      </c>
      <c r="K732" s="18">
        <v>46149</v>
      </c>
      <c r="L732" s="18" t="s">
        <v>24</v>
      </c>
      <c r="M732" s="7" t="s">
        <v>25</v>
      </c>
      <c r="N732" s="17"/>
    </row>
    <row r="733" spans="1:14" ht="25.5" x14ac:dyDescent="0.25">
      <c r="A733" s="17">
        <v>732</v>
      </c>
      <c r="B733" s="16" t="s">
        <v>2745</v>
      </c>
      <c r="C733" s="17">
        <v>1</v>
      </c>
      <c r="D733" s="17">
        <v>16.5</v>
      </c>
      <c r="E733" s="17">
        <v>10.8</v>
      </c>
      <c r="F733" s="16" t="s">
        <v>19</v>
      </c>
      <c r="G733" s="17" t="s">
        <v>2746</v>
      </c>
      <c r="H733" s="17" t="s">
        <v>3923</v>
      </c>
      <c r="I733" s="17" t="s">
        <v>22</v>
      </c>
      <c r="J733" s="37" t="s">
        <v>4392</v>
      </c>
      <c r="K733" s="18">
        <v>46133</v>
      </c>
      <c r="L733" s="18" t="s">
        <v>24</v>
      </c>
      <c r="M733" s="7" t="s">
        <v>25</v>
      </c>
      <c r="N733" s="17"/>
    </row>
    <row r="734" spans="1:14" ht="25.5" x14ac:dyDescent="0.25">
      <c r="A734" s="17">
        <v>733</v>
      </c>
      <c r="B734" s="16" t="s">
        <v>2745</v>
      </c>
      <c r="C734" s="17">
        <v>2</v>
      </c>
      <c r="D734" s="17">
        <v>16.5</v>
      </c>
      <c r="E734" s="17"/>
      <c r="F734" s="16" t="s">
        <v>48</v>
      </c>
      <c r="G734" s="17" t="s">
        <v>2747</v>
      </c>
      <c r="H734" s="17" t="s">
        <v>3781</v>
      </c>
      <c r="I734" s="17" t="s">
        <v>28</v>
      </c>
      <c r="J734" s="37" t="s">
        <v>4854</v>
      </c>
      <c r="K734" s="18">
        <v>46150</v>
      </c>
      <c r="L734" s="18" t="s">
        <v>24</v>
      </c>
      <c r="M734" s="7" t="s">
        <v>25</v>
      </c>
      <c r="N734" s="17"/>
    </row>
    <row r="735" spans="1:14" x14ac:dyDescent="0.25">
      <c r="A735" s="17">
        <v>734</v>
      </c>
      <c r="B735" s="16" t="s">
        <v>2745</v>
      </c>
      <c r="C735" s="17">
        <v>3</v>
      </c>
      <c r="D735" s="17">
        <v>13.9</v>
      </c>
      <c r="E735" s="17">
        <v>11</v>
      </c>
      <c r="F735" s="16" t="s">
        <v>48</v>
      </c>
      <c r="G735" s="17" t="s">
        <v>2748</v>
      </c>
      <c r="H735" s="17" t="s">
        <v>3924</v>
      </c>
      <c r="I735" s="17" t="s">
        <v>22</v>
      </c>
      <c r="J735" s="37" t="s">
        <v>4855</v>
      </c>
      <c r="K735" s="18">
        <v>46144</v>
      </c>
      <c r="L735" s="18" t="s">
        <v>24</v>
      </c>
      <c r="M735" s="7" t="s">
        <v>25</v>
      </c>
      <c r="N735" s="17"/>
    </row>
    <row r="736" spans="1:14" ht="63.75" x14ac:dyDescent="0.25">
      <c r="A736" s="17">
        <v>735</v>
      </c>
      <c r="B736" s="16" t="s">
        <v>2749</v>
      </c>
      <c r="C736" s="17">
        <v>1</v>
      </c>
      <c r="D736" s="17">
        <v>16.899999999999999</v>
      </c>
      <c r="E736" s="17">
        <v>11</v>
      </c>
      <c r="F736" s="16" t="s">
        <v>31</v>
      </c>
      <c r="G736" s="17" t="s">
        <v>2750</v>
      </c>
      <c r="H736" s="17" t="s">
        <v>4169</v>
      </c>
      <c r="I736" s="17" t="s">
        <v>34</v>
      </c>
      <c r="J736" s="37" t="s">
        <v>4747</v>
      </c>
      <c r="K736" s="18">
        <v>46156</v>
      </c>
      <c r="L736" s="18" t="s">
        <v>24</v>
      </c>
      <c r="M736" s="7" t="s">
        <v>25</v>
      </c>
      <c r="N736" s="17"/>
    </row>
    <row r="737" spans="1:14" ht="63.75" x14ac:dyDescent="0.25">
      <c r="A737" s="17">
        <v>736</v>
      </c>
      <c r="B737" s="16" t="s">
        <v>2749</v>
      </c>
      <c r="C737" s="17">
        <v>2</v>
      </c>
      <c r="D737" s="17">
        <v>16.8</v>
      </c>
      <c r="E737" s="17"/>
      <c r="F737" s="16" t="s">
        <v>31</v>
      </c>
      <c r="G737" s="17" t="s">
        <v>2750</v>
      </c>
      <c r="H737" s="17" t="s">
        <v>4169</v>
      </c>
      <c r="I737" s="17" t="s">
        <v>34</v>
      </c>
      <c r="J737" s="37" t="s">
        <v>4747</v>
      </c>
      <c r="K737" s="18">
        <v>46156</v>
      </c>
      <c r="L737" s="18" t="s">
        <v>24</v>
      </c>
      <c r="M737" s="7" t="s">
        <v>25</v>
      </c>
      <c r="N737" s="17"/>
    </row>
    <row r="738" spans="1:14" ht="51" x14ac:dyDescent="0.25">
      <c r="A738" s="17">
        <v>737</v>
      </c>
      <c r="B738" s="16" t="s">
        <v>2749</v>
      </c>
      <c r="C738" s="17">
        <v>3</v>
      </c>
      <c r="D738" s="17">
        <v>12.4</v>
      </c>
      <c r="E738" s="17">
        <v>10.8</v>
      </c>
      <c r="F738" s="16" t="s">
        <v>86</v>
      </c>
      <c r="G738" s="17" t="s">
        <v>2751</v>
      </c>
      <c r="H738" s="17" t="s">
        <v>3782</v>
      </c>
      <c r="I738" s="17" t="s">
        <v>34</v>
      </c>
      <c r="J738" s="37" t="s">
        <v>4682</v>
      </c>
      <c r="K738" s="18">
        <v>46144</v>
      </c>
      <c r="L738" s="18" t="s">
        <v>24</v>
      </c>
      <c r="M738" s="7" t="s">
        <v>25</v>
      </c>
      <c r="N738" s="17"/>
    </row>
    <row r="739" spans="1:14" ht="51" x14ac:dyDescent="0.25">
      <c r="A739" s="17">
        <v>738</v>
      </c>
      <c r="B739" s="16" t="s">
        <v>2752</v>
      </c>
      <c r="C739" s="17">
        <v>1</v>
      </c>
      <c r="D739" s="17">
        <v>15.1</v>
      </c>
      <c r="E739" s="17">
        <v>10.5</v>
      </c>
      <c r="F739" s="16" t="s">
        <v>106</v>
      </c>
      <c r="G739" s="17" t="s">
        <v>2753</v>
      </c>
      <c r="H739" s="17" t="s">
        <v>4912</v>
      </c>
      <c r="I739" s="17" t="s">
        <v>34</v>
      </c>
      <c r="J739" s="37" t="s">
        <v>4586</v>
      </c>
      <c r="K739" s="18">
        <v>46137</v>
      </c>
      <c r="L739" s="18" t="s">
        <v>24</v>
      </c>
      <c r="M739" s="7" t="s">
        <v>25</v>
      </c>
      <c r="N739" s="17"/>
    </row>
    <row r="740" spans="1:14" ht="51" x14ac:dyDescent="0.25">
      <c r="A740" s="17">
        <v>739</v>
      </c>
      <c r="B740" s="16" t="s">
        <v>2752</v>
      </c>
      <c r="C740" s="17">
        <v>2</v>
      </c>
      <c r="D740" s="17">
        <v>15.7</v>
      </c>
      <c r="E740" s="17"/>
      <c r="F740" s="16" t="s">
        <v>106</v>
      </c>
      <c r="G740" s="17" t="s">
        <v>2753</v>
      </c>
      <c r="H740" s="17" t="s">
        <v>4912</v>
      </c>
      <c r="I740" s="17" t="s">
        <v>34</v>
      </c>
      <c r="J740" s="37" t="s">
        <v>4586</v>
      </c>
      <c r="K740" s="18">
        <v>46137</v>
      </c>
      <c r="L740" s="18" t="s">
        <v>24</v>
      </c>
      <c r="M740" s="7" t="s">
        <v>25</v>
      </c>
      <c r="N740" s="17"/>
    </row>
    <row r="741" spans="1:14" ht="25.5" x14ac:dyDescent="0.25">
      <c r="A741" s="17">
        <v>740</v>
      </c>
      <c r="B741" s="16" t="s">
        <v>2752</v>
      </c>
      <c r="C741" s="17">
        <v>3</v>
      </c>
      <c r="D741" s="17">
        <v>12.6</v>
      </c>
      <c r="E741" s="17">
        <v>10.5</v>
      </c>
      <c r="F741" s="16" t="s">
        <v>343</v>
      </c>
      <c r="G741" s="17" t="s">
        <v>2754</v>
      </c>
      <c r="H741" s="17" t="s">
        <v>3584</v>
      </c>
      <c r="I741" s="17" t="s">
        <v>22</v>
      </c>
      <c r="J741" s="37" t="s">
        <v>4218</v>
      </c>
      <c r="K741" s="18">
        <v>46150</v>
      </c>
      <c r="L741" s="18" t="s">
        <v>24</v>
      </c>
      <c r="M741" s="7" t="s">
        <v>25</v>
      </c>
      <c r="N741" s="17"/>
    </row>
    <row r="742" spans="1:14" x14ac:dyDescent="0.25">
      <c r="A742" s="17">
        <v>741</v>
      </c>
      <c r="B742" s="16" t="s">
        <v>2755</v>
      </c>
      <c r="C742" s="17">
        <v>1</v>
      </c>
      <c r="D742" s="17">
        <v>16.399999999999999</v>
      </c>
      <c r="E742" s="17">
        <v>10.8</v>
      </c>
      <c r="F742" s="16" t="s">
        <v>126</v>
      </c>
      <c r="G742" s="17" t="s">
        <v>2756</v>
      </c>
      <c r="H742" s="17" t="s">
        <v>3783</v>
      </c>
      <c r="I742" s="17" t="s">
        <v>28</v>
      </c>
      <c r="J742" s="37" t="s">
        <v>4300</v>
      </c>
      <c r="K742" s="18">
        <v>46149</v>
      </c>
      <c r="L742" s="18" t="s">
        <v>24</v>
      </c>
      <c r="M742" s="7" t="s">
        <v>25</v>
      </c>
      <c r="N742" s="17"/>
    </row>
    <row r="743" spans="1:14" ht="25.5" x14ac:dyDescent="0.25">
      <c r="A743" s="17">
        <v>742</v>
      </c>
      <c r="B743" s="16" t="s">
        <v>2755</v>
      </c>
      <c r="C743" s="17">
        <v>2</v>
      </c>
      <c r="D743" s="17">
        <v>16.100000000000001</v>
      </c>
      <c r="E743" s="17"/>
      <c r="F743" s="16" t="s">
        <v>62</v>
      </c>
      <c r="G743" s="17" t="s">
        <v>2757</v>
      </c>
      <c r="H743" s="17" t="s">
        <v>4170</v>
      </c>
      <c r="I743" s="17" t="s">
        <v>22</v>
      </c>
      <c r="J743" s="37" t="s">
        <v>4537</v>
      </c>
      <c r="K743" s="18">
        <v>46156</v>
      </c>
      <c r="L743" s="18" t="s">
        <v>24</v>
      </c>
      <c r="M743" s="7" t="s">
        <v>25</v>
      </c>
      <c r="N743" s="17"/>
    </row>
    <row r="744" spans="1:14" ht="25.5" x14ac:dyDescent="0.25">
      <c r="A744" s="17">
        <v>743</v>
      </c>
      <c r="B744" s="16" t="s">
        <v>2755</v>
      </c>
      <c r="C744" s="17">
        <v>3</v>
      </c>
      <c r="D744" s="17">
        <v>13.4</v>
      </c>
      <c r="E744" s="17">
        <v>10.8</v>
      </c>
      <c r="F744" s="16" t="s">
        <v>62</v>
      </c>
      <c r="G744" s="17" t="s">
        <v>2757</v>
      </c>
      <c r="H744" s="17" t="s">
        <v>4171</v>
      </c>
      <c r="I744" s="17" t="s">
        <v>22</v>
      </c>
      <c r="J744" s="37" t="s">
        <v>93</v>
      </c>
      <c r="K744" s="18">
        <v>46137</v>
      </c>
      <c r="L744" s="18" t="s">
        <v>24</v>
      </c>
      <c r="M744" s="7" t="s">
        <v>25</v>
      </c>
      <c r="N744" s="17"/>
    </row>
    <row r="745" spans="1:14" ht="25.5" x14ac:dyDescent="0.25">
      <c r="A745" s="17">
        <v>744</v>
      </c>
      <c r="B745" s="16" t="s">
        <v>2758</v>
      </c>
      <c r="C745" s="17">
        <v>1</v>
      </c>
      <c r="D745" s="17">
        <v>16.899999999999999</v>
      </c>
      <c r="E745" s="17">
        <v>10.8</v>
      </c>
      <c r="F745" s="16" t="s">
        <v>162</v>
      </c>
      <c r="G745" s="17" t="s">
        <v>2759</v>
      </c>
      <c r="H745" s="17" t="s">
        <v>3784</v>
      </c>
      <c r="I745" s="17" t="s">
        <v>312</v>
      </c>
      <c r="J745" s="37" t="s">
        <v>4502</v>
      </c>
      <c r="K745" s="18">
        <v>46155</v>
      </c>
      <c r="L745" s="18" t="s">
        <v>24</v>
      </c>
      <c r="M745" s="7" t="s">
        <v>25</v>
      </c>
      <c r="N745" s="17"/>
    </row>
    <row r="746" spans="1:14" ht="25.5" x14ac:dyDescent="0.25">
      <c r="A746" s="17">
        <v>745</v>
      </c>
      <c r="B746" s="16" t="s">
        <v>2758</v>
      </c>
      <c r="C746" s="17">
        <v>2</v>
      </c>
      <c r="D746" s="17">
        <v>16</v>
      </c>
      <c r="E746" s="17"/>
      <c r="F746" s="16" t="s">
        <v>162</v>
      </c>
      <c r="G746" s="17" t="s">
        <v>2759</v>
      </c>
      <c r="H746" s="17" t="s">
        <v>3784</v>
      </c>
      <c r="I746" s="17" t="s">
        <v>312</v>
      </c>
      <c r="J746" s="37" t="s">
        <v>4502</v>
      </c>
      <c r="K746" s="18">
        <v>46155</v>
      </c>
      <c r="L746" s="18" t="s">
        <v>24</v>
      </c>
      <c r="M746" s="7" t="s">
        <v>25</v>
      </c>
      <c r="N746" s="17"/>
    </row>
    <row r="747" spans="1:14" ht="25.5" x14ac:dyDescent="0.25">
      <c r="A747" s="17">
        <v>746</v>
      </c>
      <c r="B747" s="16" t="s">
        <v>2758</v>
      </c>
      <c r="C747" s="17">
        <v>3</v>
      </c>
      <c r="D747" s="17">
        <v>13</v>
      </c>
      <c r="E747" s="17">
        <v>10.9</v>
      </c>
      <c r="F747" s="16" t="s">
        <v>162</v>
      </c>
      <c r="G747" s="17" t="s">
        <v>2759</v>
      </c>
      <c r="H747" s="17" t="s">
        <v>3784</v>
      </c>
      <c r="I747" s="17" t="s">
        <v>312</v>
      </c>
      <c r="J747" s="37" t="s">
        <v>4502</v>
      </c>
      <c r="K747" s="18">
        <v>46155</v>
      </c>
      <c r="L747" s="18" t="s">
        <v>24</v>
      </c>
      <c r="M747" s="7" t="s">
        <v>25</v>
      </c>
      <c r="N747" s="17"/>
    </row>
    <row r="748" spans="1:14" ht="63.75" x14ac:dyDescent="0.25">
      <c r="A748" s="17">
        <v>747</v>
      </c>
      <c r="B748" s="16" t="s">
        <v>2760</v>
      </c>
      <c r="C748" s="17">
        <v>1</v>
      </c>
      <c r="D748" s="17">
        <v>16.7</v>
      </c>
      <c r="E748" s="17">
        <v>10.5</v>
      </c>
      <c r="F748" s="16" t="s">
        <v>19</v>
      </c>
      <c r="G748" s="17" t="s">
        <v>2761</v>
      </c>
      <c r="H748" s="17" t="s">
        <v>4172</v>
      </c>
      <c r="I748" s="17" t="s">
        <v>34</v>
      </c>
      <c r="J748" s="37" t="s">
        <v>4393</v>
      </c>
      <c r="K748" s="18">
        <v>46135</v>
      </c>
      <c r="L748" s="18" t="s">
        <v>24</v>
      </c>
      <c r="M748" s="7" t="s">
        <v>25</v>
      </c>
      <c r="N748" s="17"/>
    </row>
    <row r="749" spans="1:14" ht="63.75" x14ac:dyDescent="0.25">
      <c r="A749" s="17">
        <v>748</v>
      </c>
      <c r="B749" s="16" t="s">
        <v>2760</v>
      </c>
      <c r="C749" s="17">
        <v>2</v>
      </c>
      <c r="D749" s="17">
        <v>16.600000000000001</v>
      </c>
      <c r="E749" s="17"/>
      <c r="F749" s="16" t="s">
        <v>19</v>
      </c>
      <c r="G749" s="17" t="s">
        <v>2762</v>
      </c>
      <c r="H749" s="17" t="s">
        <v>4173</v>
      </c>
      <c r="I749" s="17" t="s">
        <v>34</v>
      </c>
      <c r="J749" s="37" t="s">
        <v>4394</v>
      </c>
      <c r="K749" s="18">
        <v>46136</v>
      </c>
      <c r="L749" s="18" t="s">
        <v>24</v>
      </c>
      <c r="M749" s="7" t="s">
        <v>25</v>
      </c>
      <c r="N749" s="17"/>
    </row>
    <row r="750" spans="1:14" ht="51" x14ac:dyDescent="0.25">
      <c r="A750" s="17">
        <v>749</v>
      </c>
      <c r="B750" s="16" t="s">
        <v>2760</v>
      </c>
      <c r="C750" s="17">
        <v>3</v>
      </c>
      <c r="D750" s="17">
        <v>13.1</v>
      </c>
      <c r="E750" s="17">
        <v>10.7</v>
      </c>
      <c r="F750" s="16" t="s">
        <v>19</v>
      </c>
      <c r="G750" s="17" t="s">
        <v>2763</v>
      </c>
      <c r="H750" s="17" t="s">
        <v>3785</v>
      </c>
      <c r="I750" s="17" t="s">
        <v>34</v>
      </c>
      <c r="J750" s="37" t="s">
        <v>4395</v>
      </c>
      <c r="K750" s="18">
        <v>46135</v>
      </c>
      <c r="L750" s="18" t="s">
        <v>24</v>
      </c>
      <c r="M750" s="7" t="s">
        <v>25</v>
      </c>
      <c r="N750" s="17"/>
    </row>
    <row r="751" spans="1:14" ht="25.5" x14ac:dyDescent="0.25">
      <c r="A751" s="17">
        <v>750</v>
      </c>
      <c r="B751" s="16" t="s">
        <v>2764</v>
      </c>
      <c r="C751" s="17">
        <v>1</v>
      </c>
      <c r="D751" s="17">
        <v>18</v>
      </c>
      <c r="E751" s="17">
        <v>11</v>
      </c>
      <c r="F751" s="16" t="s">
        <v>126</v>
      </c>
      <c r="G751" s="17" t="s">
        <v>2765</v>
      </c>
      <c r="H751" s="17" t="s">
        <v>4174</v>
      </c>
      <c r="I751" s="17" t="s">
        <v>51</v>
      </c>
      <c r="J751" s="37" t="s">
        <v>4301</v>
      </c>
      <c r="K751" s="18">
        <v>46156</v>
      </c>
      <c r="L751" s="18" t="s">
        <v>24</v>
      </c>
      <c r="M751" s="7" t="s">
        <v>25</v>
      </c>
      <c r="N751" s="17"/>
    </row>
    <row r="752" spans="1:14" ht="51" x14ac:dyDescent="0.25">
      <c r="A752" s="17">
        <v>751</v>
      </c>
      <c r="B752" s="16" t="s">
        <v>2764</v>
      </c>
      <c r="C752" s="17">
        <v>2</v>
      </c>
      <c r="D752" s="17">
        <v>16.8</v>
      </c>
      <c r="E752" s="17"/>
      <c r="F752" s="16" t="s">
        <v>121</v>
      </c>
      <c r="G752" s="17" t="s">
        <v>2766</v>
      </c>
      <c r="H752" s="17" t="s">
        <v>3786</v>
      </c>
      <c r="I752" s="17" t="s">
        <v>34</v>
      </c>
      <c r="J752" s="37" t="s">
        <v>4657</v>
      </c>
      <c r="K752" s="18">
        <v>46140</v>
      </c>
      <c r="L752" s="18" t="s">
        <v>24</v>
      </c>
      <c r="M752" s="7" t="s">
        <v>25</v>
      </c>
      <c r="N752" s="17"/>
    </row>
    <row r="753" spans="1:14" ht="51" x14ac:dyDescent="0.25">
      <c r="A753" s="17">
        <v>752</v>
      </c>
      <c r="B753" s="16" t="s">
        <v>2764</v>
      </c>
      <c r="C753" s="17">
        <v>3</v>
      </c>
      <c r="D753" s="17">
        <v>13.2</v>
      </c>
      <c r="E753" s="17">
        <v>11.1</v>
      </c>
      <c r="F753" s="16" t="s">
        <v>121</v>
      </c>
      <c r="G753" s="17" t="s">
        <v>2767</v>
      </c>
      <c r="H753" s="17" t="s">
        <v>3787</v>
      </c>
      <c r="I753" s="17" t="s">
        <v>34</v>
      </c>
      <c r="J753" s="37" t="s">
        <v>4658</v>
      </c>
      <c r="K753" s="18">
        <v>46154</v>
      </c>
      <c r="L753" s="18" t="s">
        <v>24</v>
      </c>
      <c r="M753" s="7" t="s">
        <v>25</v>
      </c>
      <c r="N753" s="17"/>
    </row>
    <row r="754" spans="1:14" ht="25.5" x14ac:dyDescent="0.25">
      <c r="A754" s="17">
        <v>753</v>
      </c>
      <c r="B754" s="16" t="s">
        <v>2768</v>
      </c>
      <c r="C754" s="17">
        <v>1</v>
      </c>
      <c r="D754" s="17">
        <v>17.5</v>
      </c>
      <c r="E754" s="17">
        <v>11.4</v>
      </c>
      <c r="F754" s="16" t="s">
        <v>338</v>
      </c>
      <c r="G754" s="17" t="s">
        <v>2769</v>
      </c>
      <c r="H754" s="17" t="s">
        <v>3788</v>
      </c>
      <c r="I754" s="17" t="s">
        <v>22</v>
      </c>
      <c r="J754" s="37" t="s">
        <v>4438</v>
      </c>
      <c r="K754" s="18">
        <v>46156</v>
      </c>
      <c r="L754" s="18" t="s">
        <v>24</v>
      </c>
      <c r="M754" s="7" t="s">
        <v>25</v>
      </c>
      <c r="N754" s="17"/>
    </row>
    <row r="755" spans="1:14" ht="25.5" x14ac:dyDescent="0.25">
      <c r="A755" s="17">
        <v>754</v>
      </c>
      <c r="B755" s="16" t="s">
        <v>2768</v>
      </c>
      <c r="C755" s="17">
        <v>2</v>
      </c>
      <c r="D755" s="17">
        <v>17.399999999999999</v>
      </c>
      <c r="E755" s="17"/>
      <c r="F755" s="16" t="s">
        <v>338</v>
      </c>
      <c r="G755" s="17" t="s">
        <v>2770</v>
      </c>
      <c r="H755" s="17" t="s">
        <v>3925</v>
      </c>
      <c r="I755" s="17" t="s">
        <v>28</v>
      </c>
      <c r="J755" s="37" t="s">
        <v>4439</v>
      </c>
      <c r="K755" s="18">
        <v>46136</v>
      </c>
      <c r="L755" s="18" t="s">
        <v>82</v>
      </c>
      <c r="M755" s="7" t="s">
        <v>25</v>
      </c>
      <c r="N755" s="17"/>
    </row>
    <row r="756" spans="1:14" ht="51" x14ac:dyDescent="0.25">
      <c r="A756" s="17">
        <v>755</v>
      </c>
      <c r="B756" s="16" t="s">
        <v>2768</v>
      </c>
      <c r="C756" s="17">
        <v>3</v>
      </c>
      <c r="D756" s="17">
        <v>12.4</v>
      </c>
      <c r="E756" s="17">
        <v>10.7</v>
      </c>
      <c r="F756" s="16" t="s">
        <v>338</v>
      </c>
      <c r="G756" s="17" t="s">
        <v>4953</v>
      </c>
      <c r="H756" s="17" t="s">
        <v>3926</v>
      </c>
      <c r="I756" s="17" t="s">
        <v>293</v>
      </c>
      <c r="J756" s="37" t="s">
        <v>4440</v>
      </c>
      <c r="K756" s="18">
        <v>46133</v>
      </c>
      <c r="L756" s="18" t="s">
        <v>24</v>
      </c>
      <c r="M756" s="7" t="s">
        <v>25</v>
      </c>
      <c r="N756" s="17"/>
    </row>
    <row r="757" spans="1:14" x14ac:dyDescent="0.25">
      <c r="A757" s="17">
        <v>756</v>
      </c>
      <c r="B757" s="16" t="s">
        <v>2771</v>
      </c>
      <c r="C757" s="17">
        <v>1</v>
      </c>
      <c r="D757" s="17">
        <v>17.100000000000001</v>
      </c>
      <c r="E757" s="17">
        <v>10.8</v>
      </c>
      <c r="F757" s="16" t="s">
        <v>31</v>
      </c>
      <c r="G757" s="17" t="s">
        <v>2772</v>
      </c>
      <c r="H757" s="17" t="s">
        <v>4175</v>
      </c>
      <c r="I757" s="17" t="s">
        <v>51</v>
      </c>
      <c r="J757" s="37" t="s">
        <v>4748</v>
      </c>
      <c r="K757" s="18">
        <v>46147</v>
      </c>
      <c r="L757" s="18" t="s">
        <v>82</v>
      </c>
      <c r="M757" s="7" t="s">
        <v>25</v>
      </c>
      <c r="N757" s="17"/>
    </row>
    <row r="758" spans="1:14" ht="25.5" x14ac:dyDescent="0.25">
      <c r="A758" s="17">
        <v>757</v>
      </c>
      <c r="B758" s="16" t="s">
        <v>2771</v>
      </c>
      <c r="C758" s="17">
        <v>2</v>
      </c>
      <c r="D758" s="17">
        <v>16.7</v>
      </c>
      <c r="E758" s="17"/>
      <c r="F758" s="16" t="s">
        <v>19</v>
      </c>
      <c r="G758" s="17" t="s">
        <v>2773</v>
      </c>
      <c r="H758" s="17" t="s">
        <v>3927</v>
      </c>
      <c r="I758" s="17" t="s">
        <v>22</v>
      </c>
      <c r="J758" s="37" t="s">
        <v>4396</v>
      </c>
      <c r="K758" s="18">
        <v>46134</v>
      </c>
      <c r="L758" s="18" t="s">
        <v>24</v>
      </c>
      <c r="M758" s="7" t="s">
        <v>25</v>
      </c>
      <c r="N758" s="17"/>
    </row>
    <row r="759" spans="1:14" ht="63.75" x14ac:dyDescent="0.25">
      <c r="A759" s="17">
        <v>758</v>
      </c>
      <c r="B759" s="16" t="s">
        <v>2771</v>
      </c>
      <c r="C759" s="17">
        <v>3</v>
      </c>
      <c r="D759" s="17">
        <v>12.8</v>
      </c>
      <c r="E759" s="17">
        <v>10.9</v>
      </c>
      <c r="F759" s="16" t="s">
        <v>31</v>
      </c>
      <c r="G759" s="17" t="s">
        <v>2774</v>
      </c>
      <c r="H759" s="17" t="s">
        <v>4176</v>
      </c>
      <c r="I759" s="17" t="s">
        <v>34</v>
      </c>
      <c r="J759" s="37" t="s">
        <v>4749</v>
      </c>
      <c r="K759" s="18">
        <v>46148</v>
      </c>
      <c r="L759" s="18" t="s">
        <v>24</v>
      </c>
      <c r="M759" s="7" t="s">
        <v>25</v>
      </c>
      <c r="N759" s="17"/>
    </row>
    <row r="760" spans="1:14" ht="63.75" x14ac:dyDescent="0.25">
      <c r="A760" s="17">
        <v>759</v>
      </c>
      <c r="B760" s="16" t="s">
        <v>2775</v>
      </c>
      <c r="C760" s="17">
        <v>1</v>
      </c>
      <c r="D760" s="17">
        <v>17.7</v>
      </c>
      <c r="E760" s="17">
        <v>10.8</v>
      </c>
      <c r="F760" s="16" t="s">
        <v>121</v>
      </c>
      <c r="G760" s="17" t="s">
        <v>2776</v>
      </c>
      <c r="H760" s="17" t="s">
        <v>4177</v>
      </c>
      <c r="I760" s="17" t="s">
        <v>34</v>
      </c>
      <c r="J760" s="37" t="s">
        <v>4659</v>
      </c>
      <c r="K760" s="18">
        <v>46144</v>
      </c>
      <c r="L760" s="18" t="s">
        <v>24</v>
      </c>
      <c r="M760" s="7" t="s">
        <v>25</v>
      </c>
      <c r="N760" s="17"/>
    </row>
    <row r="761" spans="1:14" ht="25.5" x14ac:dyDescent="0.25">
      <c r="A761" s="17">
        <v>760</v>
      </c>
      <c r="B761" s="16" t="s">
        <v>2775</v>
      </c>
      <c r="C761" s="17">
        <v>2</v>
      </c>
      <c r="D761" s="17">
        <v>16.600000000000001</v>
      </c>
      <c r="E761" s="17"/>
      <c r="F761" s="16" t="s">
        <v>151</v>
      </c>
      <c r="G761" s="17" t="s">
        <v>2777</v>
      </c>
      <c r="H761" s="17" t="s">
        <v>3928</v>
      </c>
      <c r="I761" s="17" t="s">
        <v>28</v>
      </c>
      <c r="J761" s="37" t="s">
        <v>4814</v>
      </c>
      <c r="K761" s="18">
        <v>46144</v>
      </c>
      <c r="L761" s="18" t="s">
        <v>24</v>
      </c>
      <c r="M761" s="7" t="s">
        <v>25</v>
      </c>
      <c r="N761" s="17"/>
    </row>
    <row r="762" spans="1:14" ht="25.5" x14ac:dyDescent="0.25">
      <c r="A762" s="17">
        <v>761</v>
      </c>
      <c r="B762" s="16" t="s">
        <v>2775</v>
      </c>
      <c r="C762" s="17">
        <v>3</v>
      </c>
      <c r="D762" s="17">
        <v>12.6</v>
      </c>
      <c r="E762" s="17">
        <v>10.7</v>
      </c>
      <c r="F762" s="16" t="s">
        <v>31</v>
      </c>
      <c r="G762" s="17" t="s">
        <v>2778</v>
      </c>
      <c r="H762" s="17" t="s">
        <v>4178</v>
      </c>
      <c r="I762" s="17" t="s">
        <v>28</v>
      </c>
      <c r="J762" s="37" t="s">
        <v>4750</v>
      </c>
      <c r="K762" s="18">
        <v>46141</v>
      </c>
      <c r="L762" s="18" t="s">
        <v>24</v>
      </c>
      <c r="M762" s="7" t="s">
        <v>25</v>
      </c>
      <c r="N762" s="17"/>
    </row>
    <row r="763" spans="1:14" ht="51" x14ac:dyDescent="0.25">
      <c r="A763" s="17">
        <v>762</v>
      </c>
      <c r="B763" s="16" t="s">
        <v>2779</v>
      </c>
      <c r="C763" s="17">
        <v>1</v>
      </c>
      <c r="D763" s="17">
        <v>17.100000000000001</v>
      </c>
      <c r="E763" s="17">
        <v>10.8</v>
      </c>
      <c r="F763" s="16" t="s">
        <v>338</v>
      </c>
      <c r="G763" s="17" t="s">
        <v>2780</v>
      </c>
      <c r="H763" s="17" t="s">
        <v>3789</v>
      </c>
      <c r="I763" s="17" t="s">
        <v>34</v>
      </c>
      <c r="J763" s="37" t="s">
        <v>4441</v>
      </c>
      <c r="K763" s="18">
        <v>46155</v>
      </c>
      <c r="L763" s="18" t="s">
        <v>24</v>
      </c>
      <c r="M763" s="7" t="s">
        <v>25</v>
      </c>
      <c r="N763" s="17"/>
    </row>
    <row r="764" spans="1:14" ht="51" x14ac:dyDescent="0.25">
      <c r="A764" s="17">
        <v>763</v>
      </c>
      <c r="B764" s="16" t="s">
        <v>2779</v>
      </c>
      <c r="C764" s="17">
        <v>2</v>
      </c>
      <c r="D764" s="17">
        <v>16.399999999999999</v>
      </c>
      <c r="E764" s="17"/>
      <c r="F764" s="16" t="s">
        <v>126</v>
      </c>
      <c r="G764" s="17" t="s">
        <v>4897</v>
      </c>
      <c r="H764" s="17" t="s">
        <v>4179</v>
      </c>
      <c r="I764" s="17" t="s">
        <v>293</v>
      </c>
      <c r="J764" s="37" t="s">
        <v>4302</v>
      </c>
      <c r="K764" s="18">
        <v>46155</v>
      </c>
      <c r="L764" s="18" t="s">
        <v>24</v>
      </c>
      <c r="M764" s="7" t="s">
        <v>25</v>
      </c>
      <c r="N764" s="17"/>
    </row>
    <row r="765" spans="1:14" ht="25.5" x14ac:dyDescent="0.25">
      <c r="A765" s="17">
        <v>764</v>
      </c>
      <c r="B765" s="16" t="s">
        <v>2779</v>
      </c>
      <c r="C765" s="17">
        <v>3</v>
      </c>
      <c r="D765" s="17">
        <v>12.5</v>
      </c>
      <c r="E765" s="17">
        <v>10.9</v>
      </c>
      <c r="F765" s="16" t="s">
        <v>101</v>
      </c>
      <c r="G765" s="17" t="s">
        <v>2781</v>
      </c>
      <c r="H765" s="17" t="s">
        <v>4180</v>
      </c>
      <c r="I765" s="17" t="s">
        <v>51</v>
      </c>
      <c r="J765" s="37" t="s">
        <v>4244</v>
      </c>
      <c r="K765" s="18">
        <v>46133</v>
      </c>
      <c r="L765" s="18" t="s">
        <v>24</v>
      </c>
      <c r="M765" s="7" t="s">
        <v>25</v>
      </c>
      <c r="N765" s="17"/>
    </row>
    <row r="766" spans="1:14" ht="25.5" x14ac:dyDescent="0.25">
      <c r="A766" s="17">
        <v>765</v>
      </c>
      <c r="B766" s="16" t="s">
        <v>2782</v>
      </c>
      <c r="C766" s="17">
        <v>1</v>
      </c>
      <c r="D766" s="17">
        <v>16.600000000000001</v>
      </c>
      <c r="E766" s="17">
        <v>10.8</v>
      </c>
      <c r="F766" s="16" t="s">
        <v>62</v>
      </c>
      <c r="G766" s="17" t="s">
        <v>2783</v>
      </c>
      <c r="H766" s="17" t="s">
        <v>3790</v>
      </c>
      <c r="I766" s="17" t="s">
        <v>28</v>
      </c>
      <c r="J766" s="37" t="s">
        <v>4538</v>
      </c>
      <c r="K766" s="18">
        <v>46147</v>
      </c>
      <c r="L766" s="18" t="s">
        <v>24</v>
      </c>
      <c r="M766" s="7" t="s">
        <v>25</v>
      </c>
      <c r="N766" s="17"/>
    </row>
    <row r="767" spans="1:14" ht="25.5" x14ac:dyDescent="0.25">
      <c r="A767" s="17">
        <v>766</v>
      </c>
      <c r="B767" s="16" t="s">
        <v>2782</v>
      </c>
      <c r="C767" s="17">
        <v>2</v>
      </c>
      <c r="D767" s="17">
        <v>16.5</v>
      </c>
      <c r="E767" s="17"/>
      <c r="F767" s="16" t="s">
        <v>126</v>
      </c>
      <c r="G767" s="17" t="s">
        <v>2784</v>
      </c>
      <c r="H767" s="17" t="s">
        <v>3791</v>
      </c>
      <c r="I767" s="17" t="s">
        <v>28</v>
      </c>
      <c r="J767" s="37" t="s">
        <v>4303</v>
      </c>
      <c r="K767" s="18">
        <v>46149</v>
      </c>
      <c r="L767" s="18" t="s">
        <v>24</v>
      </c>
      <c r="M767" s="7" t="s">
        <v>25</v>
      </c>
      <c r="N767" s="17"/>
    </row>
    <row r="768" spans="1:14" ht="25.5" x14ac:dyDescent="0.25">
      <c r="A768" s="17">
        <v>767</v>
      </c>
      <c r="B768" s="16" t="s">
        <v>2782</v>
      </c>
      <c r="C768" s="17">
        <v>3</v>
      </c>
      <c r="D768" s="17">
        <v>12.9</v>
      </c>
      <c r="E768" s="17">
        <v>10.8</v>
      </c>
      <c r="F768" s="16" t="s">
        <v>151</v>
      </c>
      <c r="G768" s="17" t="s">
        <v>2785</v>
      </c>
      <c r="H768" s="17" t="s">
        <v>3929</v>
      </c>
      <c r="I768" s="17" t="s">
        <v>662</v>
      </c>
      <c r="J768" s="37" t="s">
        <v>4815</v>
      </c>
      <c r="K768" s="18">
        <v>46155</v>
      </c>
      <c r="L768" s="18" t="s">
        <v>24</v>
      </c>
      <c r="M768" s="7" t="s">
        <v>25</v>
      </c>
      <c r="N768" s="17"/>
    </row>
    <row r="769" spans="1:14" ht="25.5" x14ac:dyDescent="0.25">
      <c r="A769" s="17">
        <v>768</v>
      </c>
      <c r="B769" s="16" t="s">
        <v>2786</v>
      </c>
      <c r="C769" s="17">
        <v>1</v>
      </c>
      <c r="D769" s="17">
        <v>17</v>
      </c>
      <c r="E769" s="17">
        <v>10.7</v>
      </c>
      <c r="F769" s="16" t="s">
        <v>151</v>
      </c>
      <c r="G769" s="17" t="s">
        <v>2787</v>
      </c>
      <c r="H769" s="17" t="s">
        <v>3930</v>
      </c>
      <c r="I769" s="17" t="s">
        <v>22</v>
      </c>
      <c r="J769" s="37" t="s">
        <v>4816</v>
      </c>
      <c r="K769" s="18">
        <v>46144</v>
      </c>
      <c r="L769" s="18" t="s">
        <v>24</v>
      </c>
      <c r="M769" s="7" t="s">
        <v>25</v>
      </c>
      <c r="N769" s="17"/>
    </row>
    <row r="770" spans="1:14" ht="51" x14ac:dyDescent="0.25">
      <c r="A770" s="17">
        <v>769</v>
      </c>
      <c r="B770" s="16" t="s">
        <v>2786</v>
      </c>
      <c r="C770" s="17">
        <v>2</v>
      </c>
      <c r="D770" s="17">
        <v>16.399999999999999</v>
      </c>
      <c r="E770" s="17"/>
      <c r="F770" s="16" t="s">
        <v>31</v>
      </c>
      <c r="G770" s="17" t="s">
        <v>4926</v>
      </c>
      <c r="H770" s="17" t="s">
        <v>4181</v>
      </c>
      <c r="I770" s="17" t="s">
        <v>34</v>
      </c>
      <c r="J770" s="37" t="s">
        <v>4751</v>
      </c>
      <c r="K770" s="18">
        <v>46137</v>
      </c>
      <c r="L770" s="18" t="s">
        <v>24</v>
      </c>
      <c r="M770" s="7" t="s">
        <v>25</v>
      </c>
      <c r="N770" s="17"/>
    </row>
    <row r="771" spans="1:14" ht="25.5" x14ac:dyDescent="0.25">
      <c r="A771" s="17">
        <v>770</v>
      </c>
      <c r="B771" s="16" t="s">
        <v>2786</v>
      </c>
      <c r="C771" s="17">
        <v>3</v>
      </c>
      <c r="D771" s="17">
        <v>12.6</v>
      </c>
      <c r="E771" s="17">
        <v>10.7</v>
      </c>
      <c r="F771" s="16" t="s">
        <v>2788</v>
      </c>
      <c r="G771" s="17" t="s">
        <v>2789</v>
      </c>
      <c r="H771" s="17" t="s">
        <v>4182</v>
      </c>
      <c r="I771" s="17" t="s">
        <v>312</v>
      </c>
      <c r="J771" s="37" t="s">
        <v>4684</v>
      </c>
      <c r="K771" s="18">
        <v>46144</v>
      </c>
      <c r="L771" s="18" t="s">
        <v>24</v>
      </c>
      <c r="M771" s="7" t="s">
        <v>25</v>
      </c>
      <c r="N771" s="17"/>
    </row>
    <row r="772" spans="1:14" ht="63.75" x14ac:dyDescent="0.25">
      <c r="A772" s="17">
        <v>771</v>
      </c>
      <c r="B772" s="16" t="s">
        <v>2790</v>
      </c>
      <c r="C772" s="17">
        <v>1</v>
      </c>
      <c r="D772" s="17">
        <v>16.600000000000001</v>
      </c>
      <c r="E772" s="17">
        <v>10.5</v>
      </c>
      <c r="F772" s="16" t="s">
        <v>19</v>
      </c>
      <c r="G772" s="17" t="s">
        <v>2791</v>
      </c>
      <c r="H772" s="17" t="s">
        <v>4183</v>
      </c>
      <c r="I772" s="17" t="s">
        <v>34</v>
      </c>
      <c r="J772" s="37" t="s">
        <v>4397</v>
      </c>
      <c r="K772" s="18">
        <v>46134</v>
      </c>
      <c r="L772" s="18" t="s">
        <v>24</v>
      </c>
      <c r="M772" s="7" t="s">
        <v>25</v>
      </c>
      <c r="N772" s="17"/>
    </row>
    <row r="773" spans="1:14" ht="25.5" x14ac:dyDescent="0.25">
      <c r="A773" s="17">
        <v>772</v>
      </c>
      <c r="B773" s="16" t="s">
        <v>2790</v>
      </c>
      <c r="C773" s="17">
        <v>2</v>
      </c>
      <c r="D773" s="17">
        <v>16.8</v>
      </c>
      <c r="E773" s="17"/>
      <c r="F773" s="16" t="s">
        <v>31</v>
      </c>
      <c r="G773" s="17" t="s">
        <v>2792</v>
      </c>
      <c r="H773" s="17" t="s">
        <v>4184</v>
      </c>
      <c r="I773" s="17" t="s">
        <v>28</v>
      </c>
      <c r="J773" s="37" t="s">
        <v>4752</v>
      </c>
      <c r="K773" s="18">
        <v>46150</v>
      </c>
      <c r="L773" s="18" t="s">
        <v>24</v>
      </c>
      <c r="M773" s="7" t="s">
        <v>25</v>
      </c>
      <c r="N773" s="17"/>
    </row>
    <row r="774" spans="1:14" ht="63.75" x14ac:dyDescent="0.25">
      <c r="A774" s="17">
        <v>773</v>
      </c>
      <c r="B774" s="16" t="s">
        <v>2790</v>
      </c>
      <c r="C774" s="17">
        <v>3</v>
      </c>
      <c r="D774" s="17">
        <v>12.7</v>
      </c>
      <c r="E774" s="17">
        <v>10.5</v>
      </c>
      <c r="F774" s="16" t="s">
        <v>31</v>
      </c>
      <c r="G774" s="17" t="s">
        <v>2793</v>
      </c>
      <c r="H774" s="17" t="s">
        <v>4185</v>
      </c>
      <c r="I774" s="17" t="s">
        <v>34</v>
      </c>
      <c r="J774" s="37" t="s">
        <v>4753</v>
      </c>
      <c r="K774" s="18">
        <v>46148</v>
      </c>
      <c r="L774" s="18" t="s">
        <v>24</v>
      </c>
      <c r="M774" s="7" t="s">
        <v>25</v>
      </c>
      <c r="N774" s="17"/>
    </row>
    <row r="775" spans="1:14" ht="63.75" x14ac:dyDescent="0.25">
      <c r="A775" s="17">
        <v>774</v>
      </c>
      <c r="B775" s="16" t="s">
        <v>2794</v>
      </c>
      <c r="C775" s="17">
        <v>1</v>
      </c>
      <c r="D775" s="17">
        <v>16.8</v>
      </c>
      <c r="E775" s="17">
        <v>11.3</v>
      </c>
      <c r="F775" s="16" t="s">
        <v>19</v>
      </c>
      <c r="G775" s="17" t="s">
        <v>2795</v>
      </c>
      <c r="H775" s="17" t="s">
        <v>3931</v>
      </c>
      <c r="I775" s="17" t="s">
        <v>34</v>
      </c>
      <c r="J775" s="37" t="s">
        <v>4398</v>
      </c>
      <c r="K775" s="18">
        <v>46147</v>
      </c>
      <c r="L775" s="18" t="s">
        <v>24</v>
      </c>
      <c r="M775" s="7" t="s">
        <v>25</v>
      </c>
      <c r="N775" s="17"/>
    </row>
    <row r="776" spans="1:14" ht="25.5" x14ac:dyDescent="0.25">
      <c r="A776" s="17">
        <v>775</v>
      </c>
      <c r="B776" s="16" t="s">
        <v>2794</v>
      </c>
      <c r="C776" s="17">
        <v>2</v>
      </c>
      <c r="D776" s="17">
        <v>17.3</v>
      </c>
      <c r="E776" s="17"/>
      <c r="F776" s="16" t="s">
        <v>31</v>
      </c>
      <c r="G776" s="17" t="s">
        <v>2796</v>
      </c>
      <c r="H776" s="17" t="s">
        <v>4186</v>
      </c>
      <c r="I776" s="17" t="s">
        <v>51</v>
      </c>
      <c r="J776" s="37" t="s">
        <v>4754</v>
      </c>
      <c r="K776" s="18">
        <v>46133</v>
      </c>
      <c r="L776" s="18" t="s">
        <v>24</v>
      </c>
      <c r="M776" s="7" t="s">
        <v>25</v>
      </c>
      <c r="N776" s="17"/>
    </row>
    <row r="777" spans="1:14" ht="51" x14ac:dyDescent="0.25">
      <c r="A777" s="17">
        <v>776</v>
      </c>
      <c r="B777" s="16" t="s">
        <v>2794</v>
      </c>
      <c r="C777" s="17">
        <v>3</v>
      </c>
      <c r="D777" s="17">
        <v>13.7</v>
      </c>
      <c r="E777" s="17">
        <v>11.3</v>
      </c>
      <c r="F777" s="16" t="s">
        <v>343</v>
      </c>
      <c r="G777" s="17" t="s">
        <v>2797</v>
      </c>
      <c r="H777" s="17" t="s">
        <v>3585</v>
      </c>
      <c r="I777" s="17" t="s">
        <v>34</v>
      </c>
      <c r="J777" s="37" t="s">
        <v>4219</v>
      </c>
      <c r="K777" s="18">
        <v>46144</v>
      </c>
      <c r="L777" s="18" t="s">
        <v>24</v>
      </c>
      <c r="M777" s="7" t="s">
        <v>25</v>
      </c>
      <c r="N777" s="17"/>
    </row>
    <row r="778" spans="1:14" ht="25.5" x14ac:dyDescent="0.25">
      <c r="A778" s="17">
        <v>777</v>
      </c>
      <c r="B778" s="16" t="s">
        <v>2798</v>
      </c>
      <c r="C778" s="17">
        <v>1</v>
      </c>
      <c r="D778" s="17">
        <v>17.5</v>
      </c>
      <c r="E778" s="17">
        <v>11.3</v>
      </c>
      <c r="F778" s="16" t="s">
        <v>151</v>
      </c>
      <c r="G778" s="17" t="s">
        <v>2799</v>
      </c>
      <c r="H778" s="17" t="s">
        <v>3792</v>
      </c>
      <c r="I778" s="17" t="s">
        <v>22</v>
      </c>
      <c r="J778" s="37" t="s">
        <v>4817</v>
      </c>
      <c r="K778" s="18">
        <v>46155</v>
      </c>
      <c r="L778" s="18" t="s">
        <v>24</v>
      </c>
      <c r="M778" s="7" t="s">
        <v>25</v>
      </c>
      <c r="N778" s="17"/>
    </row>
    <row r="779" spans="1:14" ht="25.5" x14ac:dyDescent="0.25">
      <c r="A779" s="17">
        <v>778</v>
      </c>
      <c r="B779" s="16" t="s">
        <v>2798</v>
      </c>
      <c r="C779" s="17">
        <v>2</v>
      </c>
      <c r="D779" s="17">
        <v>17</v>
      </c>
      <c r="E779" s="17"/>
      <c r="F779" s="16" t="s">
        <v>151</v>
      </c>
      <c r="G779" s="17" t="s">
        <v>2799</v>
      </c>
      <c r="H779" s="17" t="s">
        <v>3792</v>
      </c>
      <c r="I779" s="17" t="s">
        <v>22</v>
      </c>
      <c r="J779" s="37" t="s">
        <v>4817</v>
      </c>
      <c r="K779" s="18">
        <v>46155</v>
      </c>
      <c r="L779" s="18" t="s">
        <v>24</v>
      </c>
      <c r="M779" s="7" t="s">
        <v>25</v>
      </c>
      <c r="N779" s="17"/>
    </row>
    <row r="780" spans="1:14" ht="63.75" x14ac:dyDescent="0.25">
      <c r="A780" s="17">
        <v>779</v>
      </c>
      <c r="B780" s="16" t="s">
        <v>2798</v>
      </c>
      <c r="C780" s="17">
        <v>3</v>
      </c>
      <c r="D780" s="17">
        <v>12.9</v>
      </c>
      <c r="E780" s="17">
        <v>11.1</v>
      </c>
      <c r="F780" s="16" t="s">
        <v>162</v>
      </c>
      <c r="G780" s="17" t="s">
        <v>2800</v>
      </c>
      <c r="H780" s="17" t="s">
        <v>4187</v>
      </c>
      <c r="I780" s="17" t="s">
        <v>34</v>
      </c>
      <c r="J780" s="37" t="s">
        <v>4503</v>
      </c>
      <c r="K780" s="18">
        <v>46154</v>
      </c>
      <c r="L780" s="18" t="s">
        <v>24</v>
      </c>
      <c r="M780" s="7" t="s">
        <v>25</v>
      </c>
      <c r="N780" s="17"/>
    </row>
    <row r="781" spans="1:14" ht="25.5" x14ac:dyDescent="0.25">
      <c r="A781" s="17">
        <v>780</v>
      </c>
      <c r="B781" s="16" t="s">
        <v>2801</v>
      </c>
      <c r="C781" s="17">
        <v>1</v>
      </c>
      <c r="D781" s="17">
        <v>17.100000000000001</v>
      </c>
      <c r="E781" s="17">
        <v>11</v>
      </c>
      <c r="F781" s="16" t="s">
        <v>106</v>
      </c>
      <c r="G781" s="17" t="s">
        <v>2802</v>
      </c>
      <c r="H781" s="17" t="s">
        <v>3793</v>
      </c>
      <c r="I781" s="17" t="s">
        <v>28</v>
      </c>
      <c r="J781" s="37" t="s">
        <v>4587</v>
      </c>
      <c r="K781" s="18">
        <v>46144</v>
      </c>
      <c r="L781" s="18" t="s">
        <v>24</v>
      </c>
      <c r="M781" s="7" t="s">
        <v>25</v>
      </c>
      <c r="N781" s="17"/>
    </row>
    <row r="782" spans="1:14" ht="25.5" x14ac:dyDescent="0.25">
      <c r="A782" s="34">
        <v>781</v>
      </c>
      <c r="B782" s="35" t="s">
        <v>2801</v>
      </c>
      <c r="C782" s="34">
        <v>2</v>
      </c>
      <c r="D782" s="34">
        <v>16.600000000000001</v>
      </c>
      <c r="E782" s="34"/>
      <c r="F782" s="35" t="s">
        <v>31</v>
      </c>
      <c r="G782" s="34" t="s">
        <v>2803</v>
      </c>
      <c r="H782" s="17" t="s">
        <v>4188</v>
      </c>
      <c r="I782" s="17" t="s">
        <v>2032</v>
      </c>
      <c r="J782" s="37" t="s">
        <v>4755</v>
      </c>
      <c r="K782" s="18">
        <v>46156</v>
      </c>
      <c r="L782" s="18" t="s">
        <v>82</v>
      </c>
      <c r="M782" s="7" t="s">
        <v>25</v>
      </c>
      <c r="N782" s="17"/>
    </row>
    <row r="783" spans="1:14" ht="25.5" x14ac:dyDescent="0.25">
      <c r="A783" s="17">
        <v>782</v>
      </c>
      <c r="B783" s="16" t="s">
        <v>2801</v>
      </c>
      <c r="C783" s="17">
        <v>3</v>
      </c>
      <c r="D783" s="17">
        <v>13</v>
      </c>
      <c r="E783" s="17">
        <v>11.2</v>
      </c>
      <c r="F783" s="16" t="s">
        <v>126</v>
      </c>
      <c r="G783" s="17" t="s">
        <v>2804</v>
      </c>
      <c r="H783" s="17" t="s">
        <v>3932</v>
      </c>
      <c r="I783" s="17" t="s">
        <v>267</v>
      </c>
      <c r="J783" s="37" t="s">
        <v>4304</v>
      </c>
      <c r="K783" s="18">
        <v>46149</v>
      </c>
      <c r="L783" s="18" t="s">
        <v>24</v>
      </c>
      <c r="M783" s="7" t="s">
        <v>25</v>
      </c>
      <c r="N783" s="17"/>
    </row>
    <row r="784" spans="1:14" ht="63.75" x14ac:dyDescent="0.25">
      <c r="A784" s="17">
        <v>783</v>
      </c>
      <c r="B784" s="16" t="s">
        <v>2805</v>
      </c>
      <c r="C784" s="17">
        <v>1</v>
      </c>
      <c r="D784" s="17">
        <v>17.399999999999999</v>
      </c>
      <c r="E784" s="17">
        <v>11.2</v>
      </c>
      <c r="F784" s="16" t="s">
        <v>62</v>
      </c>
      <c r="G784" s="17" t="s">
        <v>2806</v>
      </c>
      <c r="H784" s="17" t="s">
        <v>3794</v>
      </c>
      <c r="I784" s="17" t="s">
        <v>34</v>
      </c>
      <c r="J784" s="37" t="s">
        <v>4539</v>
      </c>
      <c r="K784" s="18">
        <v>46137</v>
      </c>
      <c r="L784" s="18" t="s">
        <v>24</v>
      </c>
      <c r="M784" s="7" t="s">
        <v>25</v>
      </c>
      <c r="N784" s="17"/>
    </row>
    <row r="785" spans="1:14" ht="63.75" x14ac:dyDescent="0.25">
      <c r="A785" s="17">
        <v>784</v>
      </c>
      <c r="B785" s="16" t="s">
        <v>2805</v>
      </c>
      <c r="C785" s="17">
        <v>2</v>
      </c>
      <c r="D785" s="17">
        <v>16.8</v>
      </c>
      <c r="E785" s="17"/>
      <c r="F785" s="16" t="s">
        <v>62</v>
      </c>
      <c r="G785" s="17" t="s">
        <v>2807</v>
      </c>
      <c r="H785" s="17" t="s">
        <v>3795</v>
      </c>
      <c r="I785" s="17" t="s">
        <v>34</v>
      </c>
      <c r="J785" s="37" t="s">
        <v>4540</v>
      </c>
      <c r="K785" s="18">
        <v>46156</v>
      </c>
      <c r="L785" s="18" t="s">
        <v>24</v>
      </c>
      <c r="M785" s="7" t="s">
        <v>25</v>
      </c>
      <c r="N785" s="17"/>
    </row>
    <row r="786" spans="1:14" ht="25.5" x14ac:dyDescent="0.25">
      <c r="A786" s="17">
        <v>785</v>
      </c>
      <c r="B786" s="16" t="s">
        <v>2805</v>
      </c>
      <c r="C786" s="17">
        <v>3</v>
      </c>
      <c r="D786" s="17">
        <v>13.4</v>
      </c>
      <c r="E786" s="17">
        <v>11.4</v>
      </c>
      <c r="F786" s="16" t="s">
        <v>106</v>
      </c>
      <c r="G786" s="17" t="s">
        <v>2808</v>
      </c>
      <c r="H786" s="17" t="s">
        <v>3796</v>
      </c>
      <c r="I786" s="17" t="s">
        <v>28</v>
      </c>
      <c r="J786" s="37" t="s">
        <v>4588</v>
      </c>
      <c r="K786" s="18">
        <v>46144</v>
      </c>
      <c r="L786" s="18" t="s">
        <v>24</v>
      </c>
      <c r="M786" s="7" t="s">
        <v>25</v>
      </c>
      <c r="N786" s="17"/>
    </row>
    <row r="787" spans="1:14" ht="63.75" x14ac:dyDescent="0.25">
      <c r="A787" s="17">
        <v>786</v>
      </c>
      <c r="B787" s="16" t="s">
        <v>2809</v>
      </c>
      <c r="C787" s="17">
        <v>1</v>
      </c>
      <c r="D787" s="17">
        <v>12.8</v>
      </c>
      <c r="E787" s="17">
        <v>10.9</v>
      </c>
      <c r="F787" s="16" t="s">
        <v>162</v>
      </c>
      <c r="G787" s="17" t="s">
        <v>2810</v>
      </c>
      <c r="H787" s="17" t="s">
        <v>4189</v>
      </c>
      <c r="I787" s="17" t="s">
        <v>34</v>
      </c>
      <c r="J787" s="37" t="s">
        <v>4504</v>
      </c>
      <c r="K787" s="18">
        <v>46150</v>
      </c>
      <c r="L787" s="18" t="s">
        <v>24</v>
      </c>
      <c r="M787" s="7" t="s">
        <v>25</v>
      </c>
      <c r="N787" s="17"/>
    </row>
    <row r="788" spans="1:14" ht="25.5" x14ac:dyDescent="0.25">
      <c r="A788" s="17">
        <v>787</v>
      </c>
      <c r="B788" s="16" t="s">
        <v>2809</v>
      </c>
      <c r="C788" s="17">
        <v>2</v>
      </c>
      <c r="D788" s="17">
        <v>16.8</v>
      </c>
      <c r="E788" s="17"/>
      <c r="F788" s="16" t="s">
        <v>101</v>
      </c>
      <c r="G788" s="17" t="s">
        <v>2811</v>
      </c>
      <c r="H788" s="17" t="s">
        <v>3933</v>
      </c>
      <c r="I788" s="17" t="s">
        <v>51</v>
      </c>
      <c r="J788" s="37" t="s">
        <v>4245</v>
      </c>
      <c r="K788" s="18">
        <v>46133</v>
      </c>
      <c r="L788" s="18" t="s">
        <v>24</v>
      </c>
      <c r="M788" s="7" t="s">
        <v>25</v>
      </c>
      <c r="N788" s="17"/>
    </row>
    <row r="789" spans="1:14" ht="51" x14ac:dyDescent="0.25">
      <c r="A789" s="17">
        <v>788</v>
      </c>
      <c r="B789" s="16" t="s">
        <v>2809</v>
      </c>
      <c r="C789" s="17">
        <v>3</v>
      </c>
      <c r="D789" s="17">
        <v>16.600000000000001</v>
      </c>
      <c r="E789" s="17">
        <v>11.3</v>
      </c>
      <c r="F789" s="16" t="s">
        <v>106</v>
      </c>
      <c r="G789" s="17" t="s">
        <v>2812</v>
      </c>
      <c r="H789" s="17" t="s">
        <v>3934</v>
      </c>
      <c r="I789" s="17" t="s">
        <v>34</v>
      </c>
      <c r="J789" s="37" t="s">
        <v>4589</v>
      </c>
      <c r="K789" s="18">
        <v>46137</v>
      </c>
      <c r="L789" s="18" t="s">
        <v>24</v>
      </c>
      <c r="M789" s="7" t="s">
        <v>25</v>
      </c>
      <c r="N789" s="17"/>
    </row>
    <row r="790" spans="1:14" ht="25.5" x14ac:dyDescent="0.25">
      <c r="A790" s="17">
        <v>789</v>
      </c>
      <c r="B790" s="16" t="s">
        <v>2813</v>
      </c>
      <c r="C790" s="17">
        <v>1</v>
      </c>
      <c r="D790" s="17">
        <v>17.100000000000001</v>
      </c>
      <c r="E790" s="17">
        <v>11</v>
      </c>
      <c r="F790" s="16" t="s">
        <v>86</v>
      </c>
      <c r="G790" s="17" t="s">
        <v>2814</v>
      </c>
      <c r="H790" s="17" t="s">
        <v>3935</v>
      </c>
      <c r="I790" s="17" t="s">
        <v>28</v>
      </c>
      <c r="J790" s="37" t="s">
        <v>4683</v>
      </c>
      <c r="K790" s="18">
        <v>46144</v>
      </c>
      <c r="L790" s="18" t="s">
        <v>24</v>
      </c>
      <c r="M790" s="7" t="s">
        <v>25</v>
      </c>
      <c r="N790" s="17"/>
    </row>
    <row r="791" spans="1:14" ht="25.5" x14ac:dyDescent="0.25">
      <c r="A791" s="17">
        <v>790</v>
      </c>
      <c r="B791" s="16" t="s">
        <v>2813</v>
      </c>
      <c r="C791" s="17">
        <v>2</v>
      </c>
      <c r="D791" s="17">
        <v>16.399999999999999</v>
      </c>
      <c r="E791" s="17"/>
      <c r="F791" s="16" t="s">
        <v>86</v>
      </c>
      <c r="G791" s="17" t="s">
        <v>2814</v>
      </c>
      <c r="H791" s="17" t="s">
        <v>3935</v>
      </c>
      <c r="I791" s="17" t="s">
        <v>28</v>
      </c>
      <c r="J791" s="37" t="s">
        <v>4683</v>
      </c>
      <c r="K791" s="18">
        <v>46144</v>
      </c>
      <c r="L791" s="18" t="s">
        <v>24</v>
      </c>
      <c r="M791" s="7" t="s">
        <v>25</v>
      </c>
      <c r="N791" s="17"/>
    </row>
    <row r="792" spans="1:14" ht="25.5" x14ac:dyDescent="0.25">
      <c r="A792" s="17">
        <v>791</v>
      </c>
      <c r="B792" s="16" t="s">
        <v>2813</v>
      </c>
      <c r="C792" s="17">
        <v>3</v>
      </c>
      <c r="D792" s="17">
        <v>13.1</v>
      </c>
      <c r="E792" s="17">
        <v>10.9</v>
      </c>
      <c r="F792" s="16" t="s">
        <v>86</v>
      </c>
      <c r="G792" s="17" t="s">
        <v>2814</v>
      </c>
      <c r="H792" s="17" t="s">
        <v>3935</v>
      </c>
      <c r="I792" s="17" t="s">
        <v>28</v>
      </c>
      <c r="J792" s="37" t="s">
        <v>4683</v>
      </c>
      <c r="K792" s="18">
        <v>46144</v>
      </c>
      <c r="L792" s="18" t="s">
        <v>24</v>
      </c>
      <c r="M792" s="7" t="s">
        <v>25</v>
      </c>
      <c r="N792" s="17"/>
    </row>
    <row r="793" spans="1:14" ht="51" x14ac:dyDescent="0.25">
      <c r="A793" s="17">
        <v>792</v>
      </c>
      <c r="B793" s="16" t="s">
        <v>2815</v>
      </c>
      <c r="C793" s="17">
        <v>1</v>
      </c>
      <c r="D793" s="17">
        <v>17</v>
      </c>
      <c r="E793" s="17">
        <v>11.1</v>
      </c>
      <c r="F793" s="16" t="s">
        <v>121</v>
      </c>
      <c r="G793" s="17" t="s">
        <v>2816</v>
      </c>
      <c r="H793" s="17" t="s">
        <v>3797</v>
      </c>
      <c r="I793" s="17" t="s">
        <v>34</v>
      </c>
      <c r="J793" s="37" t="s">
        <v>4660</v>
      </c>
      <c r="K793" s="18">
        <v>46140</v>
      </c>
      <c r="L793" s="18" t="s">
        <v>24</v>
      </c>
      <c r="M793" s="7" t="s">
        <v>25</v>
      </c>
      <c r="N793" s="17"/>
    </row>
    <row r="794" spans="1:14" ht="51" x14ac:dyDescent="0.25">
      <c r="A794" s="17">
        <v>793</v>
      </c>
      <c r="B794" s="16" t="s">
        <v>2815</v>
      </c>
      <c r="C794" s="17">
        <v>2</v>
      </c>
      <c r="D794" s="17">
        <v>17.399999999999999</v>
      </c>
      <c r="E794" s="17"/>
      <c r="F794" s="16" t="s">
        <v>121</v>
      </c>
      <c r="G794" s="17" t="s">
        <v>2816</v>
      </c>
      <c r="H794" s="17" t="s">
        <v>3797</v>
      </c>
      <c r="I794" s="17" t="s">
        <v>34</v>
      </c>
      <c r="J794" s="37" t="s">
        <v>4660</v>
      </c>
      <c r="K794" s="18">
        <v>46140</v>
      </c>
      <c r="L794" s="18" t="s">
        <v>24</v>
      </c>
      <c r="M794" s="7" t="s">
        <v>25</v>
      </c>
      <c r="N794" s="17"/>
    </row>
    <row r="795" spans="1:14" ht="63.75" x14ac:dyDescent="0.25">
      <c r="A795" s="17">
        <v>794</v>
      </c>
      <c r="B795" s="16" t="s">
        <v>2815</v>
      </c>
      <c r="C795" s="17">
        <v>3</v>
      </c>
      <c r="D795" s="17">
        <v>13.3</v>
      </c>
      <c r="E795" s="17">
        <v>10.9</v>
      </c>
      <c r="F795" s="16" t="s">
        <v>338</v>
      </c>
      <c r="G795" s="17" t="s">
        <v>4954</v>
      </c>
      <c r="H795" s="17" t="s">
        <v>4190</v>
      </c>
      <c r="I795" s="17" t="s">
        <v>34</v>
      </c>
      <c r="J795" s="37" t="s">
        <v>4442</v>
      </c>
      <c r="K795" s="18">
        <v>46156</v>
      </c>
      <c r="L795" s="18" t="s">
        <v>24</v>
      </c>
      <c r="M795" s="7" t="s">
        <v>25</v>
      </c>
      <c r="N795" s="17"/>
    </row>
    <row r="796" spans="1:14" ht="25.5" x14ac:dyDescent="0.25">
      <c r="A796" s="17">
        <v>795</v>
      </c>
      <c r="B796" s="16" t="s">
        <v>2817</v>
      </c>
      <c r="C796" s="17">
        <v>1</v>
      </c>
      <c r="D796" s="17">
        <v>12.6</v>
      </c>
      <c r="E796" s="17">
        <v>11</v>
      </c>
      <c r="F796" s="16" t="s">
        <v>126</v>
      </c>
      <c r="G796" s="17" t="s">
        <v>2818</v>
      </c>
      <c r="H796" s="17" t="s">
        <v>3936</v>
      </c>
      <c r="I796" s="17" t="s">
        <v>28</v>
      </c>
      <c r="J796" s="37" t="s">
        <v>4305</v>
      </c>
      <c r="K796" s="18">
        <v>46149</v>
      </c>
      <c r="L796" s="18" t="s">
        <v>24</v>
      </c>
      <c r="M796" s="7" t="s">
        <v>25</v>
      </c>
      <c r="N796" s="17"/>
    </row>
    <row r="797" spans="1:14" ht="25.5" x14ac:dyDescent="0.25">
      <c r="A797" s="17">
        <v>796</v>
      </c>
      <c r="B797" s="16" t="s">
        <v>2817</v>
      </c>
      <c r="C797" s="17">
        <v>2</v>
      </c>
      <c r="D797" s="17">
        <v>17.2</v>
      </c>
      <c r="E797" s="17"/>
      <c r="F797" s="16" t="s">
        <v>101</v>
      </c>
      <c r="G797" s="17" t="s">
        <v>2819</v>
      </c>
      <c r="H797" s="17" t="s">
        <v>3937</v>
      </c>
      <c r="I797" s="17" t="s">
        <v>28</v>
      </c>
      <c r="J797" s="37" t="s">
        <v>4246</v>
      </c>
      <c r="K797" s="18">
        <v>46133</v>
      </c>
      <c r="L797" s="18" t="s">
        <v>24</v>
      </c>
      <c r="M797" s="7" t="s">
        <v>25</v>
      </c>
      <c r="N797" s="17"/>
    </row>
    <row r="798" spans="1:14" ht="51" x14ac:dyDescent="0.25">
      <c r="A798" s="17">
        <v>797</v>
      </c>
      <c r="B798" s="16" t="s">
        <v>2817</v>
      </c>
      <c r="C798" s="17">
        <v>3</v>
      </c>
      <c r="D798" s="17">
        <v>17</v>
      </c>
      <c r="E798" s="17">
        <v>10.9</v>
      </c>
      <c r="F798" s="16" t="s">
        <v>31</v>
      </c>
      <c r="G798" s="17" t="s">
        <v>2820</v>
      </c>
      <c r="H798" s="17" t="s">
        <v>3798</v>
      </c>
      <c r="I798" s="17" t="s">
        <v>34</v>
      </c>
      <c r="J798" s="37" t="s">
        <v>4756</v>
      </c>
      <c r="K798" s="18">
        <v>46148</v>
      </c>
      <c r="L798" s="18" t="s">
        <v>24</v>
      </c>
      <c r="M798" s="7" t="s">
        <v>25</v>
      </c>
      <c r="N798" s="17"/>
    </row>
    <row r="799" spans="1:14" ht="25.5" x14ac:dyDescent="0.25">
      <c r="A799" s="17">
        <v>798</v>
      </c>
      <c r="B799" s="16" t="s">
        <v>2821</v>
      </c>
      <c r="C799" s="17">
        <v>1</v>
      </c>
      <c r="D799" s="17">
        <v>17</v>
      </c>
      <c r="E799" s="17">
        <v>11</v>
      </c>
      <c r="F799" s="16" t="s">
        <v>151</v>
      </c>
      <c r="G799" s="17" t="s">
        <v>2822</v>
      </c>
      <c r="H799" s="17" t="s">
        <v>3799</v>
      </c>
      <c r="I799" s="17" t="s">
        <v>28</v>
      </c>
      <c r="J799" s="37" t="s">
        <v>4818</v>
      </c>
      <c r="K799" s="18">
        <v>46155</v>
      </c>
      <c r="L799" s="18" t="s">
        <v>24</v>
      </c>
      <c r="M799" s="7" t="s">
        <v>25</v>
      </c>
      <c r="N799" s="17"/>
    </row>
    <row r="800" spans="1:14" ht="25.5" x14ac:dyDescent="0.25">
      <c r="A800" s="29">
        <v>799</v>
      </c>
      <c r="B800" s="30" t="s">
        <v>2821</v>
      </c>
      <c r="C800" s="29">
        <v>2</v>
      </c>
      <c r="D800" s="29">
        <v>16.399999999999999</v>
      </c>
      <c r="E800" s="29"/>
      <c r="F800" s="30" t="s">
        <v>62</v>
      </c>
      <c r="G800" s="29" t="s">
        <v>2823</v>
      </c>
      <c r="H800" s="29" t="s">
        <v>4191</v>
      </c>
      <c r="I800" s="17" t="s">
        <v>293</v>
      </c>
      <c r="J800" s="38" t="s">
        <v>4541</v>
      </c>
      <c r="K800" s="33">
        <v>46137</v>
      </c>
      <c r="L800" s="33" t="s">
        <v>24</v>
      </c>
      <c r="M800" s="7" t="s">
        <v>25</v>
      </c>
      <c r="N800" s="29"/>
    </row>
    <row r="801" spans="1:14" ht="63.75" x14ac:dyDescent="0.25">
      <c r="A801" s="17">
        <v>800</v>
      </c>
      <c r="B801" s="16" t="s">
        <v>2821</v>
      </c>
      <c r="C801" s="17">
        <v>3</v>
      </c>
      <c r="D801" s="17">
        <v>12.6</v>
      </c>
      <c r="E801" s="17">
        <v>10.8</v>
      </c>
      <c r="F801" s="16" t="s">
        <v>62</v>
      </c>
      <c r="G801" s="17" t="s">
        <v>2824</v>
      </c>
      <c r="H801" s="17" t="s">
        <v>3800</v>
      </c>
      <c r="I801" s="17" t="s">
        <v>34</v>
      </c>
      <c r="J801" s="37" t="s">
        <v>4542</v>
      </c>
      <c r="K801" s="18">
        <v>46137</v>
      </c>
      <c r="L801" s="18" t="s">
        <v>24</v>
      </c>
      <c r="M801" s="7" t="s">
        <v>25</v>
      </c>
      <c r="N801" s="17"/>
    </row>
    <row r="802" spans="1:14" x14ac:dyDescent="0.25">
      <c r="A802" s="22"/>
      <c r="B802" s="23"/>
      <c r="C802" s="22"/>
      <c r="D802" s="22"/>
      <c r="E802" s="22"/>
      <c r="F802" s="23"/>
      <c r="G802" s="4"/>
      <c r="H802" s="4"/>
      <c r="I802" s="4"/>
      <c r="J802" s="39"/>
      <c r="K802" s="4"/>
      <c r="L802" s="4"/>
      <c r="M802" s="4"/>
      <c r="N802" s="4"/>
    </row>
    <row r="803" spans="1:14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39"/>
      <c r="K803" s="4"/>
      <c r="L803" s="4"/>
      <c r="M803" s="4"/>
      <c r="N803" s="4"/>
    </row>
    <row r="804" spans="1:14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39"/>
      <c r="K804" s="4"/>
      <c r="L804" s="4"/>
      <c r="M804" s="4"/>
      <c r="N804" s="4"/>
    </row>
    <row r="805" spans="1:14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39"/>
      <c r="K805" s="4"/>
      <c r="L805" s="4"/>
      <c r="M805" s="4"/>
      <c r="N805" s="4"/>
    </row>
    <row r="806" spans="1:14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39"/>
      <c r="K806" s="4"/>
      <c r="L806" s="4"/>
      <c r="M806" s="4"/>
      <c r="N806" s="4"/>
    </row>
    <row r="807" spans="1:14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39"/>
      <c r="K807" s="4"/>
      <c r="L807" s="4"/>
      <c r="M807" s="4"/>
      <c r="N807" s="4"/>
    </row>
    <row r="808" spans="1:14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39"/>
      <c r="K808" s="4"/>
      <c r="L808" s="4"/>
      <c r="M808" s="4"/>
      <c r="N808" s="4"/>
    </row>
    <row r="809" spans="1:14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39"/>
      <c r="K809" s="4"/>
      <c r="L809" s="4"/>
      <c r="M809" s="4"/>
      <c r="N809" s="4"/>
    </row>
    <row r="810" spans="1:14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39"/>
      <c r="K810" s="4"/>
      <c r="L810" s="4"/>
      <c r="M810" s="4"/>
      <c r="N810" s="4"/>
    </row>
    <row r="811" spans="1:14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39"/>
      <c r="K811" s="4"/>
      <c r="L811" s="4"/>
      <c r="M811" s="4"/>
      <c r="N811" s="4"/>
    </row>
    <row r="812" spans="1:14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39"/>
      <c r="K812" s="4"/>
      <c r="L812" s="4"/>
      <c r="M812" s="4"/>
      <c r="N812" s="4"/>
    </row>
    <row r="813" spans="1:14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39"/>
      <c r="K813" s="4"/>
      <c r="L813" s="4"/>
      <c r="M813" s="4"/>
      <c r="N813" s="4"/>
    </row>
    <row r="814" spans="1:14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39"/>
      <c r="K814" s="4"/>
      <c r="L814" s="4"/>
      <c r="M814" s="4"/>
      <c r="N814" s="4"/>
    </row>
    <row r="815" spans="1:14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39"/>
      <c r="K815" s="4"/>
      <c r="L815" s="4"/>
      <c r="M815" s="4"/>
      <c r="N815" s="4"/>
    </row>
    <row r="816" spans="1:14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39"/>
      <c r="K816" s="4"/>
      <c r="L816" s="4"/>
      <c r="M816" s="4"/>
      <c r="N816" s="4"/>
    </row>
    <row r="817" spans="1:14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39"/>
      <c r="K817" s="4"/>
      <c r="L817" s="4"/>
      <c r="M817" s="4"/>
      <c r="N817" s="4"/>
    </row>
    <row r="818" spans="1:14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39"/>
      <c r="K818" s="4"/>
      <c r="L818" s="4"/>
      <c r="M818" s="4"/>
      <c r="N818" s="4"/>
    </row>
    <row r="819" spans="1:14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39"/>
      <c r="K819" s="4"/>
      <c r="L819" s="4"/>
      <c r="M819" s="4"/>
      <c r="N819" s="4"/>
    </row>
    <row r="820" spans="1:14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39"/>
      <c r="K820" s="4"/>
      <c r="L820" s="4"/>
      <c r="M820" s="4"/>
      <c r="N820" s="4"/>
    </row>
    <row r="821" spans="1:14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39"/>
      <c r="K821" s="4"/>
      <c r="L821" s="4"/>
      <c r="M821" s="4"/>
      <c r="N821" s="4"/>
    </row>
    <row r="822" spans="1:14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39"/>
      <c r="K822" s="4"/>
      <c r="L822" s="4"/>
      <c r="M822" s="4"/>
      <c r="N822" s="4"/>
    </row>
    <row r="823" spans="1:14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39"/>
      <c r="K823" s="4"/>
      <c r="L823" s="4"/>
      <c r="M823" s="4"/>
      <c r="N823" s="4"/>
    </row>
    <row r="824" spans="1:14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39"/>
      <c r="K824" s="4"/>
      <c r="L824" s="4"/>
      <c r="M824" s="4"/>
      <c r="N824" s="4"/>
    </row>
    <row r="825" spans="1:14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39"/>
      <c r="K825" s="4"/>
      <c r="L825" s="4"/>
      <c r="M825" s="4"/>
      <c r="N825" s="4"/>
    </row>
    <row r="826" spans="1:14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39"/>
      <c r="K826" s="4"/>
      <c r="L826" s="4"/>
      <c r="M826" s="4"/>
      <c r="N826" s="4"/>
    </row>
    <row r="827" spans="1:14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39"/>
      <c r="K827" s="4"/>
      <c r="L827" s="4"/>
      <c r="M827" s="4"/>
      <c r="N827" s="4"/>
    </row>
    <row r="828" spans="1:14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39"/>
      <c r="K828" s="4"/>
      <c r="L828" s="4"/>
      <c r="M828" s="4"/>
      <c r="N828" s="4"/>
    </row>
    <row r="829" spans="1:14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39"/>
      <c r="K829" s="4"/>
      <c r="L829" s="4"/>
      <c r="M829" s="4"/>
      <c r="N829" s="4"/>
    </row>
    <row r="830" spans="1:14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39"/>
      <c r="K830" s="4"/>
      <c r="L830" s="4"/>
      <c r="M830" s="4"/>
      <c r="N830" s="4"/>
    </row>
    <row r="831" spans="1:14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39"/>
      <c r="K831" s="4"/>
      <c r="L831" s="4"/>
      <c r="M831" s="4"/>
      <c r="N831" s="4"/>
    </row>
    <row r="832" spans="1:14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39"/>
      <c r="K832" s="4"/>
      <c r="L832" s="4"/>
      <c r="M832" s="4"/>
      <c r="N832" s="4"/>
    </row>
    <row r="833" spans="1:14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39"/>
      <c r="K833" s="4"/>
      <c r="L833" s="4"/>
      <c r="M833" s="4"/>
      <c r="N833" s="4"/>
    </row>
    <row r="834" spans="1:14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39"/>
      <c r="K834" s="4"/>
      <c r="L834" s="4"/>
      <c r="M834" s="4"/>
      <c r="N834" s="4"/>
    </row>
    <row r="835" spans="1:14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39"/>
      <c r="K835" s="4"/>
      <c r="L835" s="4"/>
      <c r="M835" s="4"/>
      <c r="N835" s="4"/>
    </row>
    <row r="836" spans="1:14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39"/>
      <c r="K836" s="4"/>
      <c r="L836" s="4"/>
      <c r="M836" s="4"/>
      <c r="N836" s="4"/>
    </row>
    <row r="837" spans="1:14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39"/>
      <c r="K837" s="4"/>
      <c r="L837" s="4"/>
      <c r="M837" s="4"/>
      <c r="N837" s="4"/>
    </row>
    <row r="838" spans="1:14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39"/>
      <c r="K838" s="4"/>
      <c r="L838" s="4"/>
      <c r="M838" s="4"/>
      <c r="N838" s="4"/>
    </row>
    <row r="839" spans="1:14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39"/>
      <c r="K839" s="4"/>
      <c r="L839" s="4"/>
      <c r="M839" s="4"/>
      <c r="N839" s="4"/>
    </row>
    <row r="840" spans="1:14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39"/>
      <c r="K840" s="4"/>
      <c r="L840" s="4"/>
      <c r="M840" s="4"/>
      <c r="N840" s="4"/>
    </row>
    <row r="841" spans="1:14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39"/>
      <c r="K841" s="4"/>
      <c r="L841" s="4"/>
      <c r="M841" s="4"/>
      <c r="N841" s="4"/>
    </row>
    <row r="842" spans="1:14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39"/>
      <c r="K842" s="4"/>
      <c r="L842" s="4"/>
      <c r="M842" s="4"/>
      <c r="N842" s="4"/>
    </row>
    <row r="843" spans="1:14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39"/>
      <c r="K843" s="4"/>
      <c r="L843" s="4"/>
      <c r="M843" s="4"/>
      <c r="N843" s="4"/>
    </row>
    <row r="844" spans="1:14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39"/>
      <c r="K844" s="4"/>
      <c r="L844" s="4"/>
      <c r="M844" s="4"/>
      <c r="N844" s="4"/>
    </row>
    <row r="845" spans="1:14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39"/>
      <c r="K845" s="4"/>
      <c r="L845" s="4"/>
      <c r="M845" s="4"/>
      <c r="N845" s="4"/>
    </row>
    <row r="846" spans="1:14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39"/>
      <c r="K846" s="4"/>
      <c r="L846" s="4"/>
      <c r="M846" s="4"/>
      <c r="N846" s="4"/>
    </row>
    <row r="847" spans="1:14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39"/>
      <c r="K847" s="4"/>
      <c r="L847" s="4"/>
      <c r="M847" s="4"/>
      <c r="N847" s="4"/>
    </row>
    <row r="848" spans="1:14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39"/>
      <c r="K848" s="4"/>
      <c r="L848" s="4"/>
      <c r="M848" s="4"/>
      <c r="N848" s="4"/>
    </row>
    <row r="849" spans="1:14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39"/>
      <c r="K849" s="4"/>
      <c r="L849" s="4"/>
      <c r="M849" s="4"/>
      <c r="N849" s="4"/>
    </row>
    <row r="850" spans="1:14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39"/>
      <c r="K850" s="4"/>
      <c r="L850" s="4"/>
      <c r="M850" s="4"/>
      <c r="N850" s="4"/>
    </row>
    <row r="851" spans="1:14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39"/>
      <c r="K851" s="4"/>
      <c r="L851" s="4"/>
      <c r="M851" s="4"/>
      <c r="N851" s="4"/>
    </row>
    <row r="852" spans="1:14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39"/>
      <c r="K852" s="4"/>
      <c r="L852" s="4"/>
      <c r="M852" s="4"/>
      <c r="N852" s="4"/>
    </row>
    <row r="853" spans="1:14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39"/>
      <c r="K853" s="4"/>
      <c r="L853" s="4"/>
      <c r="M853" s="4"/>
      <c r="N853" s="4"/>
    </row>
    <row r="854" spans="1:14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39"/>
      <c r="K854" s="4"/>
      <c r="L854" s="4"/>
      <c r="M854" s="4"/>
      <c r="N854" s="4"/>
    </row>
    <row r="855" spans="1:14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39"/>
      <c r="K855" s="4"/>
      <c r="L855" s="4"/>
      <c r="M855" s="4"/>
      <c r="N855" s="4"/>
    </row>
    <row r="856" spans="1:14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39"/>
      <c r="K856" s="4"/>
      <c r="L856" s="4"/>
      <c r="M856" s="4"/>
      <c r="N856" s="4"/>
    </row>
    <row r="857" spans="1:14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39"/>
      <c r="K857" s="4"/>
      <c r="L857" s="4"/>
      <c r="M857" s="4"/>
      <c r="N857" s="4"/>
    </row>
    <row r="858" spans="1:14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39"/>
      <c r="K858" s="4"/>
      <c r="L858" s="4"/>
      <c r="M858" s="4"/>
      <c r="N858" s="4"/>
    </row>
    <row r="859" spans="1:14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39"/>
      <c r="K859" s="4"/>
      <c r="L859" s="4"/>
      <c r="M859" s="4"/>
      <c r="N859" s="4"/>
    </row>
    <row r="860" spans="1:14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39"/>
      <c r="K860" s="4"/>
      <c r="L860" s="4"/>
      <c r="M860" s="4"/>
      <c r="N860" s="4"/>
    </row>
    <row r="861" spans="1:14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39"/>
      <c r="K861" s="4"/>
      <c r="L861" s="4"/>
      <c r="M861" s="4"/>
      <c r="N861" s="4"/>
    </row>
    <row r="862" spans="1:14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39"/>
      <c r="K862" s="4"/>
      <c r="L862" s="4"/>
      <c r="M862" s="4"/>
      <c r="N862" s="4"/>
    </row>
    <row r="863" spans="1:14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39"/>
      <c r="K863" s="4"/>
      <c r="L863" s="4"/>
      <c r="M863" s="4"/>
      <c r="N863" s="4"/>
    </row>
    <row r="864" spans="1:14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39"/>
      <c r="K864" s="4"/>
      <c r="L864" s="4"/>
      <c r="M864" s="4"/>
      <c r="N864" s="4"/>
    </row>
    <row r="865" spans="1:14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39"/>
      <c r="K865" s="4"/>
      <c r="L865" s="4"/>
      <c r="M865" s="4"/>
      <c r="N865" s="4"/>
    </row>
    <row r="866" spans="1:14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39"/>
      <c r="K866" s="4"/>
      <c r="L866" s="4"/>
      <c r="M866" s="4"/>
      <c r="N866" s="4"/>
    </row>
    <row r="867" spans="1:14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39"/>
      <c r="K867" s="4"/>
      <c r="L867" s="4"/>
      <c r="M867" s="4"/>
      <c r="N867" s="4"/>
    </row>
    <row r="868" spans="1:14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39"/>
      <c r="K868" s="4"/>
      <c r="L868" s="4"/>
      <c r="M868" s="4"/>
      <c r="N868" s="4"/>
    </row>
    <row r="869" spans="1:14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39"/>
      <c r="K869" s="4"/>
      <c r="L869" s="4"/>
      <c r="M869" s="4"/>
      <c r="N869" s="4"/>
    </row>
    <row r="870" spans="1:14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39"/>
      <c r="K870" s="4"/>
      <c r="L870" s="4"/>
      <c r="M870" s="4"/>
      <c r="N870" s="4"/>
    </row>
    <row r="871" spans="1:14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39"/>
      <c r="K871" s="4"/>
      <c r="L871" s="4"/>
      <c r="M871" s="4"/>
      <c r="N871" s="4"/>
    </row>
    <row r="872" spans="1:14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39"/>
      <c r="K872" s="4"/>
      <c r="L872" s="4"/>
      <c r="M872" s="4"/>
      <c r="N872" s="4"/>
    </row>
    <row r="873" spans="1:14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39"/>
      <c r="K873" s="4"/>
      <c r="L873" s="4"/>
      <c r="M873" s="4"/>
      <c r="N873" s="4"/>
    </row>
    <row r="874" spans="1:14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39"/>
      <c r="K874" s="4"/>
      <c r="L874" s="4"/>
      <c r="M874" s="4"/>
      <c r="N874" s="4"/>
    </row>
    <row r="875" spans="1:14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39"/>
      <c r="K875" s="4"/>
      <c r="L875" s="4"/>
      <c r="M875" s="4"/>
      <c r="N875" s="4"/>
    </row>
    <row r="876" spans="1:14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39"/>
      <c r="K876" s="4"/>
      <c r="L876" s="4"/>
      <c r="M876" s="4"/>
      <c r="N876" s="4"/>
    </row>
    <row r="877" spans="1:14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39"/>
      <c r="K877" s="4"/>
      <c r="L877" s="4"/>
      <c r="M877" s="4"/>
      <c r="N877" s="4"/>
    </row>
    <row r="878" spans="1:14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39"/>
      <c r="K878" s="4"/>
      <c r="L878" s="4"/>
      <c r="M878" s="4"/>
      <c r="N878" s="4"/>
    </row>
    <row r="879" spans="1:14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39"/>
      <c r="K879" s="4"/>
      <c r="L879" s="4"/>
      <c r="M879" s="4"/>
      <c r="N879" s="4"/>
    </row>
    <row r="880" spans="1:14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39"/>
      <c r="K880" s="4"/>
      <c r="L880" s="4"/>
      <c r="M880" s="4"/>
      <c r="N880" s="4"/>
    </row>
    <row r="881" spans="1:14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39"/>
      <c r="K881" s="4"/>
      <c r="L881" s="4"/>
      <c r="M881" s="4"/>
      <c r="N881" s="4"/>
    </row>
    <row r="882" spans="1:14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39"/>
      <c r="K882" s="4"/>
      <c r="L882" s="4"/>
      <c r="M882" s="4"/>
      <c r="N882" s="4"/>
    </row>
    <row r="883" spans="1:14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39"/>
      <c r="K883" s="4"/>
      <c r="L883" s="4"/>
      <c r="M883" s="4"/>
      <c r="N883" s="4"/>
    </row>
    <row r="884" spans="1:14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39"/>
      <c r="K884" s="4"/>
      <c r="L884" s="4"/>
      <c r="M884" s="4"/>
      <c r="N884" s="4"/>
    </row>
    <row r="885" spans="1:14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39"/>
      <c r="K885" s="4"/>
      <c r="L885" s="4"/>
      <c r="M885" s="4"/>
      <c r="N885" s="4"/>
    </row>
    <row r="886" spans="1:14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39"/>
      <c r="K886" s="4"/>
      <c r="L886" s="4"/>
      <c r="M886" s="4"/>
      <c r="N886" s="4"/>
    </row>
    <row r="887" spans="1:14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39"/>
      <c r="K887" s="4"/>
      <c r="L887" s="4"/>
      <c r="M887" s="4"/>
      <c r="N887" s="4"/>
    </row>
    <row r="888" spans="1:14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39"/>
      <c r="K888" s="4"/>
      <c r="L888" s="4"/>
      <c r="M888" s="4"/>
      <c r="N888" s="4"/>
    </row>
    <row r="889" spans="1:14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39"/>
      <c r="K889" s="4"/>
      <c r="L889" s="4"/>
      <c r="M889" s="4"/>
      <c r="N889" s="4"/>
    </row>
    <row r="890" spans="1:14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39"/>
      <c r="K890" s="4"/>
      <c r="L890" s="4"/>
      <c r="M890" s="4"/>
      <c r="N890" s="4"/>
    </row>
    <row r="891" spans="1:14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39"/>
      <c r="K891" s="4"/>
      <c r="L891" s="4"/>
      <c r="M891" s="4"/>
      <c r="N891" s="4"/>
    </row>
    <row r="892" spans="1:14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39"/>
      <c r="K892" s="4"/>
      <c r="L892" s="4"/>
      <c r="M892" s="4"/>
      <c r="N892" s="4"/>
    </row>
    <row r="893" spans="1:14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39"/>
      <c r="K893" s="4"/>
      <c r="L893" s="4"/>
      <c r="M893" s="4"/>
      <c r="N893" s="4"/>
    </row>
    <row r="894" spans="1:14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39"/>
      <c r="K894" s="4"/>
      <c r="L894" s="4"/>
      <c r="M894" s="4"/>
      <c r="N894" s="4"/>
    </row>
    <row r="895" spans="1:14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39"/>
      <c r="K895" s="4"/>
      <c r="L895" s="4"/>
      <c r="M895" s="4"/>
      <c r="N895" s="4"/>
    </row>
    <row r="896" spans="1:14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39"/>
      <c r="K896" s="4"/>
      <c r="L896" s="4"/>
      <c r="M896" s="4"/>
      <c r="N896" s="4"/>
    </row>
    <row r="897" spans="1:14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39"/>
      <c r="K897" s="4"/>
      <c r="L897" s="4"/>
      <c r="M897" s="4"/>
      <c r="N897" s="4"/>
    </row>
    <row r="898" spans="1:14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39"/>
      <c r="K898" s="4"/>
      <c r="L898" s="4"/>
      <c r="M898" s="4"/>
      <c r="N898" s="4"/>
    </row>
    <row r="899" spans="1:14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39"/>
      <c r="K899" s="4"/>
      <c r="L899" s="4"/>
      <c r="M899" s="4"/>
      <c r="N899" s="4"/>
    </row>
    <row r="900" spans="1:14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39"/>
      <c r="K900" s="4"/>
      <c r="L900" s="4"/>
      <c r="M900" s="4"/>
      <c r="N900" s="4"/>
    </row>
    <row r="901" spans="1:14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39"/>
      <c r="K901" s="4"/>
      <c r="L901" s="4"/>
      <c r="M901" s="4"/>
      <c r="N901" s="4"/>
    </row>
    <row r="902" spans="1:14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39"/>
      <c r="K902" s="4"/>
      <c r="L902" s="4"/>
      <c r="M902" s="4"/>
      <c r="N902" s="4"/>
    </row>
    <row r="903" spans="1:14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39"/>
      <c r="K903" s="4"/>
      <c r="L903" s="4"/>
      <c r="M903" s="4"/>
      <c r="N903" s="4"/>
    </row>
    <row r="904" spans="1:14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39"/>
      <c r="K904" s="4"/>
      <c r="L904" s="4"/>
      <c r="M904" s="4"/>
      <c r="N904" s="4"/>
    </row>
    <row r="905" spans="1:14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39"/>
      <c r="K905" s="4"/>
      <c r="L905" s="4"/>
      <c r="M905" s="4"/>
      <c r="N905" s="4"/>
    </row>
    <row r="906" spans="1:14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39"/>
      <c r="K906" s="4"/>
      <c r="L906" s="4"/>
      <c r="M906" s="4"/>
      <c r="N906" s="4"/>
    </row>
    <row r="907" spans="1:14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39"/>
      <c r="K907" s="4"/>
      <c r="L907" s="4"/>
      <c r="M907" s="4"/>
      <c r="N907" s="4"/>
    </row>
    <row r="908" spans="1:14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39"/>
      <c r="K908" s="4"/>
      <c r="L908" s="4"/>
      <c r="M908" s="4"/>
      <c r="N908" s="4"/>
    </row>
    <row r="909" spans="1:14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39"/>
      <c r="K909" s="4"/>
      <c r="L909" s="4"/>
      <c r="M909" s="4"/>
      <c r="N909" s="4"/>
    </row>
    <row r="910" spans="1:14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39"/>
      <c r="K910" s="4"/>
      <c r="L910" s="4"/>
      <c r="M910" s="4"/>
      <c r="N910" s="4"/>
    </row>
    <row r="911" spans="1:14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39"/>
      <c r="K911" s="4"/>
      <c r="L911" s="4"/>
      <c r="M911" s="4"/>
      <c r="N911" s="4"/>
    </row>
    <row r="912" spans="1:14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39"/>
      <c r="K912" s="4"/>
      <c r="L912" s="4"/>
      <c r="M912" s="4"/>
      <c r="N912" s="4"/>
    </row>
    <row r="913" spans="1:14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39"/>
      <c r="K913" s="4"/>
      <c r="L913" s="4"/>
      <c r="M913" s="4"/>
      <c r="N913" s="4"/>
    </row>
    <row r="914" spans="1:14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39"/>
      <c r="K914" s="4"/>
      <c r="L914" s="4"/>
      <c r="M914" s="4"/>
      <c r="N914" s="4"/>
    </row>
    <row r="915" spans="1:14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39"/>
      <c r="K915" s="4"/>
      <c r="L915" s="4"/>
      <c r="M915" s="4"/>
      <c r="N915" s="4"/>
    </row>
    <row r="916" spans="1:14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39"/>
      <c r="K916" s="4"/>
      <c r="L916" s="4"/>
      <c r="M916" s="4"/>
      <c r="N916" s="4"/>
    </row>
    <row r="917" spans="1:14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39"/>
      <c r="K917" s="4"/>
      <c r="L917" s="4"/>
      <c r="M917" s="4"/>
      <c r="N917" s="4"/>
    </row>
    <row r="918" spans="1:14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39"/>
      <c r="K918" s="4"/>
      <c r="L918" s="4"/>
      <c r="M918" s="4"/>
      <c r="N918" s="4"/>
    </row>
    <row r="919" spans="1:14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39"/>
      <c r="K919" s="4"/>
      <c r="L919" s="4"/>
      <c r="M919" s="4"/>
      <c r="N919" s="4"/>
    </row>
    <row r="920" spans="1:14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39"/>
      <c r="K920" s="4"/>
      <c r="L920" s="4"/>
      <c r="M920" s="4"/>
      <c r="N920" s="4"/>
    </row>
    <row r="921" spans="1:14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39"/>
      <c r="K921" s="4"/>
      <c r="L921" s="4"/>
      <c r="M921" s="4"/>
      <c r="N921" s="4"/>
    </row>
    <row r="922" spans="1:14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39"/>
      <c r="K922" s="4"/>
      <c r="L922" s="4"/>
      <c r="M922" s="4"/>
      <c r="N922" s="4"/>
    </row>
    <row r="923" spans="1:14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39"/>
      <c r="K923" s="4"/>
      <c r="L923" s="4"/>
      <c r="M923" s="4"/>
      <c r="N923" s="4"/>
    </row>
    <row r="924" spans="1:14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39"/>
      <c r="K924" s="4"/>
      <c r="L924" s="4"/>
      <c r="M924" s="4"/>
      <c r="N924" s="4"/>
    </row>
    <row r="925" spans="1:14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39"/>
      <c r="K925" s="4"/>
      <c r="L925" s="4"/>
      <c r="M925" s="4"/>
      <c r="N925" s="4"/>
    </row>
    <row r="926" spans="1:14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39"/>
      <c r="K926" s="4"/>
      <c r="L926" s="4"/>
      <c r="M926" s="4"/>
      <c r="N926" s="4"/>
    </row>
    <row r="927" spans="1:14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39"/>
      <c r="K927" s="4"/>
      <c r="L927" s="4"/>
      <c r="M927" s="4"/>
      <c r="N927" s="4"/>
    </row>
    <row r="928" spans="1:14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39"/>
      <c r="K928" s="4"/>
      <c r="L928" s="4"/>
      <c r="M928" s="4"/>
      <c r="N928" s="4"/>
    </row>
    <row r="929" spans="1:14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39"/>
      <c r="K929" s="4"/>
      <c r="L929" s="4"/>
      <c r="M929" s="4"/>
      <c r="N929" s="4"/>
    </row>
    <row r="930" spans="1:14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39"/>
      <c r="K930" s="4"/>
      <c r="L930" s="4"/>
      <c r="M930" s="4"/>
      <c r="N930" s="4"/>
    </row>
    <row r="931" spans="1:14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39"/>
      <c r="K931" s="4"/>
      <c r="L931" s="4"/>
      <c r="M931" s="4"/>
      <c r="N931" s="4"/>
    </row>
    <row r="932" spans="1:14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39"/>
      <c r="K932" s="4"/>
      <c r="L932" s="4"/>
      <c r="M932" s="4"/>
      <c r="N932" s="4"/>
    </row>
    <row r="933" spans="1:14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39"/>
      <c r="K933" s="4"/>
      <c r="L933" s="4"/>
      <c r="M933" s="4"/>
      <c r="N933" s="4"/>
    </row>
    <row r="934" spans="1:14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39"/>
      <c r="K934" s="4"/>
      <c r="L934" s="4"/>
      <c r="M934" s="4"/>
      <c r="N934" s="4"/>
    </row>
    <row r="935" spans="1:14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39"/>
      <c r="K935" s="4"/>
      <c r="L935" s="4"/>
      <c r="M935" s="4"/>
      <c r="N935" s="4"/>
    </row>
    <row r="936" spans="1:14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39"/>
      <c r="K936" s="4"/>
      <c r="L936" s="4"/>
      <c r="M936" s="4"/>
      <c r="N936" s="4"/>
    </row>
    <row r="937" spans="1:14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39"/>
      <c r="K937" s="4"/>
      <c r="L937" s="4"/>
      <c r="M937" s="4"/>
      <c r="N937" s="4"/>
    </row>
    <row r="938" spans="1:14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39"/>
      <c r="K938" s="4"/>
      <c r="L938" s="4"/>
      <c r="M938" s="4"/>
      <c r="N938" s="4"/>
    </row>
    <row r="939" spans="1:14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39"/>
      <c r="K939" s="4"/>
      <c r="L939" s="4"/>
      <c r="M939" s="4"/>
      <c r="N939" s="4"/>
    </row>
    <row r="940" spans="1:14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39"/>
      <c r="K940" s="4"/>
      <c r="L940" s="4"/>
      <c r="M940" s="4"/>
      <c r="N940" s="4"/>
    </row>
    <row r="941" spans="1:14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39"/>
      <c r="K941" s="4"/>
      <c r="L941" s="4"/>
      <c r="M941" s="4"/>
      <c r="N941" s="4"/>
    </row>
    <row r="942" spans="1:14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39"/>
      <c r="K942" s="4"/>
      <c r="L942" s="4"/>
      <c r="M942" s="4"/>
      <c r="N942" s="4"/>
    </row>
    <row r="943" spans="1:14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39"/>
      <c r="K943" s="4"/>
      <c r="L943" s="4"/>
      <c r="M943" s="4"/>
      <c r="N943" s="4"/>
    </row>
    <row r="944" spans="1:14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39"/>
      <c r="K944" s="4"/>
      <c r="L944" s="4"/>
      <c r="M944" s="4"/>
      <c r="N944" s="4"/>
    </row>
    <row r="945" spans="1:14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39"/>
      <c r="K945" s="4"/>
      <c r="L945" s="4"/>
      <c r="M945" s="4"/>
      <c r="N945" s="4"/>
    </row>
    <row r="946" spans="1:14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39"/>
      <c r="K946" s="4"/>
      <c r="L946" s="4"/>
      <c r="M946" s="4"/>
      <c r="N946" s="4"/>
    </row>
    <row r="947" spans="1:14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39"/>
      <c r="K947" s="4"/>
      <c r="L947" s="4"/>
      <c r="M947" s="4"/>
      <c r="N947" s="4"/>
    </row>
    <row r="948" spans="1:14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39"/>
      <c r="K948" s="4"/>
      <c r="L948" s="4"/>
      <c r="M948" s="4"/>
      <c r="N948" s="4"/>
    </row>
    <row r="949" spans="1:14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39"/>
      <c r="K949" s="4"/>
      <c r="L949" s="4"/>
      <c r="M949" s="4"/>
      <c r="N949" s="4"/>
    </row>
    <row r="950" spans="1:14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39"/>
      <c r="K950" s="4"/>
      <c r="L950" s="4"/>
      <c r="M950" s="4"/>
      <c r="N950" s="4"/>
    </row>
    <row r="951" spans="1:14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39"/>
      <c r="K951" s="4"/>
      <c r="L951" s="4"/>
      <c r="M951" s="4"/>
      <c r="N951" s="4"/>
    </row>
    <row r="952" spans="1:14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39"/>
      <c r="K952" s="4"/>
      <c r="L952" s="4"/>
      <c r="M952" s="4"/>
      <c r="N952" s="4"/>
    </row>
    <row r="953" spans="1:14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39"/>
      <c r="K953" s="4"/>
      <c r="L953" s="4"/>
      <c r="M953" s="4"/>
      <c r="N953" s="4"/>
    </row>
    <row r="954" spans="1:14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39"/>
      <c r="K954" s="4"/>
      <c r="L954" s="4"/>
      <c r="M954" s="4"/>
      <c r="N954" s="4"/>
    </row>
    <row r="955" spans="1:14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39"/>
      <c r="K955" s="4"/>
      <c r="L955" s="4"/>
      <c r="M955" s="4"/>
      <c r="N955" s="4"/>
    </row>
    <row r="956" spans="1:14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39"/>
      <c r="K956" s="4"/>
      <c r="L956" s="4"/>
      <c r="M956" s="4"/>
      <c r="N956" s="4"/>
    </row>
    <row r="957" spans="1:14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39"/>
      <c r="K957" s="4"/>
      <c r="L957" s="4"/>
      <c r="M957" s="4"/>
      <c r="N957" s="4"/>
    </row>
    <row r="958" spans="1:14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39"/>
      <c r="K958" s="4"/>
      <c r="L958" s="4"/>
      <c r="M958" s="4"/>
      <c r="N958" s="4"/>
    </row>
    <row r="959" spans="1:14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39"/>
      <c r="K959" s="4"/>
      <c r="L959" s="4"/>
      <c r="M959" s="4"/>
      <c r="N959" s="4"/>
    </row>
    <row r="960" spans="1:14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39"/>
      <c r="K960" s="4"/>
      <c r="L960" s="4"/>
      <c r="M960" s="4"/>
      <c r="N960" s="4"/>
    </row>
    <row r="961" spans="1:14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39"/>
      <c r="K961" s="4"/>
      <c r="L961" s="4"/>
      <c r="M961" s="4"/>
      <c r="N961" s="4"/>
    </row>
    <row r="962" spans="1:14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39"/>
      <c r="K962" s="4"/>
      <c r="L962" s="4"/>
      <c r="M962" s="4"/>
      <c r="N962" s="4"/>
    </row>
    <row r="963" spans="1:14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39"/>
      <c r="K963" s="4"/>
      <c r="L963" s="4"/>
      <c r="M963" s="4"/>
      <c r="N963" s="4"/>
    </row>
    <row r="964" spans="1:14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39"/>
      <c r="K964" s="4"/>
      <c r="L964" s="4"/>
      <c r="M964" s="4"/>
      <c r="N964" s="4"/>
    </row>
    <row r="965" spans="1:14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39"/>
      <c r="K965" s="4"/>
      <c r="L965" s="4"/>
      <c r="M965" s="4"/>
      <c r="N965" s="4"/>
    </row>
    <row r="966" spans="1:14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39"/>
      <c r="K966" s="4"/>
      <c r="L966" s="4"/>
      <c r="M966" s="4"/>
      <c r="N966" s="4"/>
    </row>
    <row r="967" spans="1:14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39"/>
      <c r="K967" s="4"/>
      <c r="L967" s="4"/>
      <c r="M967" s="4"/>
      <c r="N967" s="4"/>
    </row>
    <row r="968" spans="1:14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39"/>
      <c r="K968" s="4"/>
      <c r="L968" s="4"/>
      <c r="M968" s="4"/>
      <c r="N968" s="4"/>
    </row>
    <row r="969" spans="1:14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39"/>
      <c r="K969" s="4"/>
      <c r="L969" s="4"/>
      <c r="M969" s="4"/>
      <c r="N969" s="4"/>
    </row>
    <row r="970" spans="1:14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39"/>
      <c r="K970" s="4"/>
      <c r="L970" s="4"/>
      <c r="M970" s="4"/>
      <c r="N970" s="4"/>
    </row>
    <row r="971" spans="1:14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39"/>
      <c r="K971" s="4"/>
      <c r="L971" s="4"/>
      <c r="M971" s="4"/>
      <c r="N971" s="4"/>
    </row>
    <row r="972" spans="1:14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39"/>
      <c r="K972" s="4"/>
      <c r="L972" s="4"/>
      <c r="M972" s="4"/>
      <c r="N972" s="4"/>
    </row>
    <row r="973" spans="1:14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39"/>
      <c r="K973" s="4"/>
      <c r="L973" s="4"/>
      <c r="M973" s="4"/>
      <c r="N973" s="4"/>
    </row>
    <row r="974" spans="1:14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39"/>
      <c r="K974" s="4"/>
      <c r="L974" s="4"/>
      <c r="M974" s="4"/>
      <c r="N974" s="4"/>
    </row>
    <row r="975" spans="1:14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39"/>
      <c r="K975" s="4"/>
      <c r="L975" s="4"/>
      <c r="M975" s="4"/>
      <c r="N975" s="4"/>
    </row>
    <row r="976" spans="1:14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39"/>
      <c r="K976" s="4"/>
      <c r="L976" s="4"/>
      <c r="M976" s="4"/>
      <c r="N976" s="4"/>
    </row>
    <row r="977" spans="1:14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39"/>
      <c r="K977" s="4"/>
      <c r="L977" s="4"/>
      <c r="M977" s="4"/>
      <c r="N977" s="4"/>
    </row>
    <row r="978" spans="1:14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39"/>
      <c r="K978" s="4"/>
      <c r="L978" s="4"/>
      <c r="M978" s="4"/>
      <c r="N978" s="4"/>
    </row>
    <row r="979" spans="1:14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39"/>
      <c r="K979" s="4"/>
      <c r="L979" s="4"/>
      <c r="M979" s="4"/>
      <c r="N979" s="4"/>
    </row>
    <row r="980" spans="1:14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39"/>
      <c r="K980" s="4"/>
      <c r="L980" s="4"/>
      <c r="M980" s="4"/>
      <c r="N980" s="4"/>
    </row>
    <row r="981" spans="1:14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39"/>
      <c r="K981" s="4"/>
      <c r="L981" s="4"/>
      <c r="M981" s="4"/>
      <c r="N981" s="4"/>
    </row>
    <row r="982" spans="1:14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39"/>
      <c r="K982" s="4"/>
      <c r="L982" s="4"/>
      <c r="M982" s="4"/>
      <c r="N982" s="4"/>
    </row>
    <row r="983" spans="1:14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39"/>
      <c r="K983" s="4"/>
      <c r="L983" s="4"/>
      <c r="M983" s="4"/>
      <c r="N983" s="4"/>
    </row>
    <row r="984" spans="1:14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39"/>
      <c r="K984" s="4"/>
      <c r="L984" s="4"/>
      <c r="M984" s="4"/>
      <c r="N984" s="4"/>
    </row>
    <row r="985" spans="1:14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39"/>
      <c r="K985" s="4"/>
      <c r="L985" s="4"/>
      <c r="M985" s="4"/>
      <c r="N985" s="4"/>
    </row>
    <row r="986" spans="1:14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39"/>
      <c r="K986" s="4"/>
      <c r="L986" s="4"/>
      <c r="M986" s="4"/>
      <c r="N986" s="4"/>
    </row>
    <row r="987" spans="1:14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39"/>
      <c r="K987" s="4"/>
      <c r="L987" s="4"/>
      <c r="M987" s="4"/>
      <c r="N987" s="4"/>
    </row>
    <row r="988" spans="1:14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39"/>
      <c r="K988" s="4"/>
      <c r="L988" s="4"/>
      <c r="M988" s="4"/>
      <c r="N988" s="4"/>
    </row>
    <row r="989" spans="1:14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39"/>
      <c r="K989" s="4"/>
      <c r="L989" s="4"/>
      <c r="M989" s="4"/>
      <c r="N989" s="4"/>
    </row>
    <row r="990" spans="1:14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39"/>
      <c r="K990" s="4"/>
      <c r="L990" s="4"/>
      <c r="M990" s="4"/>
      <c r="N990" s="4"/>
    </row>
    <row r="991" spans="1:14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39"/>
      <c r="K991" s="4"/>
      <c r="L991" s="4"/>
      <c r="M991" s="4"/>
      <c r="N991" s="4"/>
    </row>
    <row r="992" spans="1:14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39"/>
      <c r="K992" s="4"/>
      <c r="L992" s="4"/>
      <c r="M992" s="4"/>
      <c r="N992" s="4"/>
    </row>
    <row r="993" spans="1:14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39"/>
      <c r="K993" s="4"/>
      <c r="L993" s="4"/>
      <c r="M993" s="4"/>
      <c r="N993" s="4"/>
    </row>
    <row r="994" spans="1:14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39"/>
      <c r="K994" s="4"/>
      <c r="L994" s="4"/>
      <c r="M994" s="4"/>
      <c r="N994" s="4"/>
    </row>
    <row r="995" spans="1:14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39"/>
      <c r="K995" s="4"/>
      <c r="L995" s="4"/>
      <c r="M995" s="4"/>
      <c r="N995" s="4"/>
    </row>
    <row r="996" spans="1:14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39"/>
      <c r="K996" s="4"/>
      <c r="L996" s="4"/>
      <c r="M996" s="4"/>
      <c r="N996" s="4"/>
    </row>
    <row r="997" spans="1:14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39"/>
      <c r="K997" s="4"/>
      <c r="L997" s="4"/>
      <c r="M997" s="4"/>
      <c r="N997" s="4"/>
    </row>
    <row r="998" spans="1:14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39"/>
      <c r="K998" s="4"/>
      <c r="L998" s="4"/>
      <c r="M998" s="4"/>
      <c r="N998" s="4"/>
    </row>
    <row r="999" spans="1:14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39"/>
      <c r="K999" s="4"/>
      <c r="L999" s="4"/>
      <c r="M999" s="4"/>
      <c r="N999" s="4"/>
    </row>
  </sheetData>
  <autoFilter ref="A1:N801"/>
  <conditionalFormatting sqref="M2:M801">
    <cfRule type="containsText" dxfId="11" priority="1" operator="containsText" text="☐">
      <formula>NOT(ISERROR(SEARCH("☐",M2)))</formula>
    </cfRule>
    <cfRule type="containsText" dxfId="10" priority="2" operator="containsText" text="☒">
      <formula>NOT(ISERROR(SEARCH("☒",M2)))</formula>
    </cfRule>
    <cfRule type="containsText" dxfId="9" priority="3" operator="containsText" text="☑">
      <formula>NOT(ISERROR(SEARCH("☑",M2)))</formula>
    </cfRule>
  </conditionalFormatting>
  <dataValidations count="4">
    <dataValidation type="list" allowBlank="1" showInputMessage="1" showErrorMessage="1" sqref="M2:M801">
      <formula1>"☑,☒,☐"</formula1>
    </dataValidation>
    <dataValidation type="list" allowBlank="1" showInputMessage="1" showErrorMessage="1" sqref="L2:L801">
      <formula1>"Летний,Летне-зимний"</formula1>
    </dataValidation>
    <dataValidation type="list" allowBlank="1" showInputMessage="1" showErrorMessage="1" sqref="I2:I801">
      <formula1>"ГСС,ГРФ,ГСТ,ВГСС,ВГРФ,Инвалид ВОВ,УОВ,ВБД,Реабил,ЖБЛ,ЧАЭС,Маяк,Семип,Узник,Семья с 2+ инв. I/II,Многодет. (5+ до 16),Одинокий ИД,Одинокая мать,Семья с РИ до 16 лет,Вдова погибшего воина,Родитель погибшего воина,Уход за РИ,"</formula1>
    </dataValidation>
    <dataValidation type="list" allowBlank="1" showInputMessage="1" showErrorMessage="1" sqref="F2:F801">
      <formula1>"Адмиралтейский,Василеостровский,Выборгский,Калининский,Кировский,Колпинский,Красногвардейский,Красносельский,Кронштадтский,Курортный,Московский,Невский,Петроградский,Петродворцовый,Приморский,Пушкинский,Фрунзенский,Центральный"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N999"/>
  <sheetViews>
    <sheetView zoomScale="85" zoomScaleNormal="85" workbookViewId="0">
      <pane ySplit="1" topLeftCell="A2" activePane="bottomLeft" state="frozen"/>
      <selection pane="bottomLeft" activeCell="S87" sqref="S87"/>
    </sheetView>
  </sheetViews>
  <sheetFormatPr defaultRowHeight="15" x14ac:dyDescent="0.25"/>
  <cols>
    <col min="1" max="1" width="3.85546875" style="5" customWidth="1"/>
    <col min="2" max="2" width="7.7109375" style="5" customWidth="1"/>
    <col min="3" max="3" width="10.42578125" style="5" customWidth="1"/>
    <col min="4" max="4" width="11.140625" style="5" customWidth="1"/>
    <col min="5" max="5" width="10.42578125" style="5" customWidth="1"/>
    <col min="6" max="6" width="16.7109375" style="5" customWidth="1"/>
    <col min="7" max="7" width="21.5703125" style="3" customWidth="1"/>
    <col min="8" max="8" width="25.140625" style="5" customWidth="1"/>
    <col min="9" max="9" width="16.140625" style="5" bestFit="1" customWidth="1"/>
    <col min="10" max="10" width="8.7109375" style="5" customWidth="1"/>
    <col min="11" max="11" width="10.7109375" style="5" customWidth="1"/>
    <col min="12" max="12" width="12.7109375" style="5" customWidth="1"/>
    <col min="13" max="13" width="10.28515625" style="5" customWidth="1"/>
    <col min="14" max="14" width="24.42578125" style="5" customWidth="1"/>
  </cols>
  <sheetData>
    <row r="1" spans="1:14" ht="51" customHeight="1" x14ac:dyDescent="0.25">
      <c r="A1" s="1" t="s">
        <v>14</v>
      </c>
      <c r="B1" s="1" t="s">
        <v>169</v>
      </c>
      <c r="C1" s="1" t="s">
        <v>2825</v>
      </c>
      <c r="D1" s="1" t="s">
        <v>3</v>
      </c>
      <c r="E1" s="1" t="s">
        <v>4</v>
      </c>
      <c r="F1" s="9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9" t="s">
        <v>12</v>
      </c>
      <c r="N1" s="1" t="s">
        <v>13</v>
      </c>
    </row>
    <row r="2" spans="1:14" ht="25.5" customHeight="1" x14ac:dyDescent="0.25">
      <c r="A2" s="17">
        <v>1</v>
      </c>
      <c r="B2" s="16" t="s">
        <v>2826</v>
      </c>
      <c r="C2" s="17">
        <v>1</v>
      </c>
      <c r="D2" s="17">
        <v>10.4</v>
      </c>
      <c r="E2" s="17"/>
      <c r="F2" s="16" t="s">
        <v>338</v>
      </c>
      <c r="G2" s="17" t="s">
        <v>2827</v>
      </c>
      <c r="H2" s="17" t="s">
        <v>2828</v>
      </c>
      <c r="I2" s="17" t="s">
        <v>28</v>
      </c>
      <c r="J2" s="24" t="s">
        <v>2829</v>
      </c>
      <c r="K2" s="18">
        <v>46136</v>
      </c>
      <c r="L2" s="17" t="s">
        <v>24</v>
      </c>
      <c r="M2" s="7" t="s">
        <v>25</v>
      </c>
      <c r="N2" s="17"/>
    </row>
    <row r="3" spans="1:14" ht="25.5" customHeight="1" x14ac:dyDescent="0.25">
      <c r="A3" s="17">
        <v>2</v>
      </c>
      <c r="B3" s="16" t="s">
        <v>2826</v>
      </c>
      <c r="C3" s="17">
        <v>2</v>
      </c>
      <c r="D3" s="17">
        <v>14.9</v>
      </c>
      <c r="E3" s="17">
        <v>8.6</v>
      </c>
      <c r="F3" s="16" t="s">
        <v>962</v>
      </c>
      <c r="G3" s="17" t="s">
        <v>2830</v>
      </c>
      <c r="H3" s="17" t="s">
        <v>2831</v>
      </c>
      <c r="I3" s="17" t="s">
        <v>2832</v>
      </c>
      <c r="J3" s="24" t="s">
        <v>2833</v>
      </c>
      <c r="K3" s="18">
        <v>46137</v>
      </c>
      <c r="L3" s="17" t="s">
        <v>24</v>
      </c>
      <c r="M3" s="7" t="s">
        <v>25</v>
      </c>
      <c r="N3" s="17"/>
    </row>
    <row r="4" spans="1:14" ht="25.5" customHeight="1" x14ac:dyDescent="0.25">
      <c r="A4" s="17">
        <v>3</v>
      </c>
      <c r="B4" s="16" t="s">
        <v>2826</v>
      </c>
      <c r="C4" s="17">
        <v>3</v>
      </c>
      <c r="D4" s="17">
        <v>11</v>
      </c>
      <c r="E4" s="17">
        <v>8.6</v>
      </c>
      <c r="F4" s="16" t="s">
        <v>962</v>
      </c>
      <c r="G4" s="17" t="s">
        <v>2834</v>
      </c>
      <c r="H4" s="17" t="s">
        <v>2835</v>
      </c>
      <c r="I4" s="17" t="s">
        <v>2832</v>
      </c>
      <c r="J4" s="24" t="s">
        <v>2836</v>
      </c>
      <c r="K4" s="18">
        <v>46141</v>
      </c>
      <c r="L4" s="17" t="s">
        <v>24</v>
      </c>
      <c r="M4" s="7" t="s">
        <v>25</v>
      </c>
      <c r="N4" s="17"/>
    </row>
    <row r="5" spans="1:14" ht="51" customHeight="1" x14ac:dyDescent="0.25">
      <c r="A5" s="17">
        <v>4</v>
      </c>
      <c r="B5" s="16" t="s">
        <v>2837</v>
      </c>
      <c r="C5" s="17">
        <v>1</v>
      </c>
      <c r="D5" s="17">
        <v>16.100000000000001</v>
      </c>
      <c r="E5" s="17">
        <v>10.7</v>
      </c>
      <c r="F5" s="16" t="s">
        <v>19</v>
      </c>
      <c r="G5" s="17" t="s">
        <v>2838</v>
      </c>
      <c r="H5" s="17" t="s">
        <v>2839</v>
      </c>
      <c r="I5" s="17" t="s">
        <v>34</v>
      </c>
      <c r="J5" s="17" t="s">
        <v>2840</v>
      </c>
      <c r="K5" s="18">
        <v>46140</v>
      </c>
      <c r="L5" s="17" t="s">
        <v>82</v>
      </c>
      <c r="M5" s="7" t="s">
        <v>25</v>
      </c>
      <c r="N5" s="17"/>
    </row>
    <row r="6" spans="1:14" ht="51" customHeight="1" x14ac:dyDescent="0.25">
      <c r="A6" s="17">
        <v>5</v>
      </c>
      <c r="B6" s="16" t="s">
        <v>2837</v>
      </c>
      <c r="C6" s="17">
        <v>2</v>
      </c>
      <c r="D6" s="17">
        <v>16.3</v>
      </c>
      <c r="E6" s="17"/>
      <c r="F6" s="16" t="s">
        <v>19</v>
      </c>
      <c r="G6" s="17" t="s">
        <v>2841</v>
      </c>
      <c r="H6" s="17" t="s">
        <v>2842</v>
      </c>
      <c r="I6" s="17" t="s">
        <v>34</v>
      </c>
      <c r="J6" s="17" t="s">
        <v>2843</v>
      </c>
      <c r="K6" s="18">
        <v>46142</v>
      </c>
      <c r="L6" s="17" t="s">
        <v>24</v>
      </c>
      <c r="M6" s="7" t="s">
        <v>25</v>
      </c>
      <c r="N6" s="17"/>
    </row>
    <row r="7" spans="1:14" ht="51" customHeight="1" x14ac:dyDescent="0.25">
      <c r="A7" s="17">
        <v>6</v>
      </c>
      <c r="B7" s="16" t="s">
        <v>2837</v>
      </c>
      <c r="C7" s="17">
        <v>3</v>
      </c>
      <c r="D7" s="17">
        <v>11.9</v>
      </c>
      <c r="E7" s="17">
        <v>10.7</v>
      </c>
      <c r="F7" s="16" t="s">
        <v>19</v>
      </c>
      <c r="G7" s="17" t="s">
        <v>2844</v>
      </c>
      <c r="H7" s="17" t="s">
        <v>2845</v>
      </c>
      <c r="I7" s="17" t="s">
        <v>34</v>
      </c>
      <c r="J7" s="17" t="s">
        <v>2846</v>
      </c>
      <c r="K7" s="18">
        <v>46137</v>
      </c>
      <c r="L7" s="17" t="s">
        <v>24</v>
      </c>
      <c r="M7" s="7" t="s">
        <v>25</v>
      </c>
      <c r="N7" s="17"/>
    </row>
    <row r="8" spans="1:14" ht="51" customHeight="1" x14ac:dyDescent="0.25">
      <c r="A8" s="17">
        <v>7</v>
      </c>
      <c r="B8" s="16" t="s">
        <v>2847</v>
      </c>
      <c r="C8" s="17">
        <v>1</v>
      </c>
      <c r="D8" s="17">
        <v>13.3</v>
      </c>
      <c r="E8" s="17">
        <v>8.6</v>
      </c>
      <c r="F8" s="16" t="s">
        <v>19</v>
      </c>
      <c r="G8" s="17" t="s">
        <v>2848</v>
      </c>
      <c r="H8" s="17" t="s">
        <v>2849</v>
      </c>
      <c r="I8" s="17" t="s">
        <v>34</v>
      </c>
      <c r="J8" s="17" t="s">
        <v>2850</v>
      </c>
      <c r="K8" s="18">
        <v>46144</v>
      </c>
      <c r="L8" s="17" t="s">
        <v>24</v>
      </c>
      <c r="M8" s="7" t="s">
        <v>25</v>
      </c>
      <c r="N8" s="17"/>
    </row>
    <row r="9" spans="1:14" ht="25.5" customHeight="1" x14ac:dyDescent="0.25">
      <c r="A9" s="17">
        <v>8</v>
      </c>
      <c r="B9" s="16" t="s">
        <v>2847</v>
      </c>
      <c r="C9" s="17">
        <v>2</v>
      </c>
      <c r="D9" s="17">
        <v>12.3</v>
      </c>
      <c r="E9" s="17">
        <v>8.9</v>
      </c>
      <c r="F9" s="16" t="s">
        <v>19</v>
      </c>
      <c r="G9" s="17" t="s">
        <v>2851</v>
      </c>
      <c r="H9" s="17" t="s">
        <v>2852</v>
      </c>
      <c r="I9" s="17" t="s">
        <v>28</v>
      </c>
      <c r="J9" s="17" t="s">
        <v>2853</v>
      </c>
      <c r="K9" s="18">
        <v>46144</v>
      </c>
      <c r="L9" s="17" t="s">
        <v>24</v>
      </c>
      <c r="M9" s="7" t="s">
        <v>25</v>
      </c>
      <c r="N9" s="17"/>
    </row>
    <row r="10" spans="1:14" ht="25.5" customHeight="1" x14ac:dyDescent="0.25">
      <c r="A10" s="17">
        <v>9</v>
      </c>
      <c r="B10" s="16" t="s">
        <v>2847</v>
      </c>
      <c r="C10" s="17">
        <v>3</v>
      </c>
      <c r="D10" s="17">
        <v>8.4</v>
      </c>
      <c r="E10" s="17"/>
      <c r="F10" s="16" t="s">
        <v>19</v>
      </c>
      <c r="G10" s="17" t="s">
        <v>2854</v>
      </c>
      <c r="H10" s="17" t="s">
        <v>2855</v>
      </c>
      <c r="I10" s="17" t="s">
        <v>28</v>
      </c>
      <c r="J10" s="18" t="s">
        <v>2856</v>
      </c>
      <c r="K10" s="18">
        <v>46147</v>
      </c>
      <c r="L10" s="17" t="s">
        <v>24</v>
      </c>
      <c r="M10" s="7" t="s">
        <v>25</v>
      </c>
      <c r="N10" s="17"/>
    </row>
    <row r="11" spans="1:14" x14ac:dyDescent="0.25">
      <c r="A11" s="14">
        <v>10</v>
      </c>
      <c r="B11" s="15" t="s">
        <v>2857</v>
      </c>
      <c r="C11" s="14">
        <v>1</v>
      </c>
      <c r="D11" s="14">
        <v>11.6</v>
      </c>
      <c r="E11" s="14"/>
      <c r="F11" s="15" t="s">
        <v>343</v>
      </c>
      <c r="G11" s="14"/>
      <c r="H11" s="14"/>
      <c r="I11" s="14"/>
      <c r="J11" s="14"/>
      <c r="K11" s="21"/>
      <c r="L11" s="14"/>
      <c r="M11" s="14" t="s">
        <v>286</v>
      </c>
      <c r="N11" s="14"/>
    </row>
    <row r="12" spans="1:14" ht="25.5" customHeight="1" x14ac:dyDescent="0.25">
      <c r="A12" s="17">
        <v>11</v>
      </c>
      <c r="B12" s="16" t="s">
        <v>2857</v>
      </c>
      <c r="C12" s="17">
        <v>2</v>
      </c>
      <c r="D12" s="17">
        <v>14.3</v>
      </c>
      <c r="E12" s="17">
        <v>10.9</v>
      </c>
      <c r="F12" s="16" t="s">
        <v>151</v>
      </c>
      <c r="G12" s="17" t="s">
        <v>2858</v>
      </c>
      <c r="H12" s="17" t="s">
        <v>2859</v>
      </c>
      <c r="I12" s="17" t="s">
        <v>662</v>
      </c>
      <c r="J12" s="17" t="s">
        <v>2860</v>
      </c>
      <c r="K12" s="18">
        <v>46134</v>
      </c>
      <c r="L12" s="17" t="s">
        <v>82</v>
      </c>
      <c r="M12" s="7" t="s">
        <v>25</v>
      </c>
      <c r="N12" s="17"/>
    </row>
    <row r="13" spans="1:14" ht="51" customHeight="1" x14ac:dyDescent="0.25">
      <c r="A13" s="17">
        <v>12</v>
      </c>
      <c r="B13" s="16" t="s">
        <v>2857</v>
      </c>
      <c r="C13" s="17">
        <v>3</v>
      </c>
      <c r="D13" s="17">
        <v>11.1</v>
      </c>
      <c r="E13" s="17">
        <v>11</v>
      </c>
      <c r="F13" s="16" t="s">
        <v>31</v>
      </c>
      <c r="G13" s="17" t="s">
        <v>2861</v>
      </c>
      <c r="H13" s="17" t="s">
        <v>2862</v>
      </c>
      <c r="I13" s="17" t="s">
        <v>293</v>
      </c>
      <c r="J13" s="17" t="s">
        <v>2863</v>
      </c>
      <c r="K13" s="18">
        <v>46157</v>
      </c>
      <c r="L13" s="17" t="s">
        <v>24</v>
      </c>
      <c r="M13" s="7" t="s">
        <v>25</v>
      </c>
      <c r="N13" s="17"/>
    </row>
    <row r="14" spans="1:14" ht="51" customHeight="1" x14ac:dyDescent="0.25">
      <c r="A14" s="17">
        <v>13</v>
      </c>
      <c r="B14" s="16" t="s">
        <v>2864</v>
      </c>
      <c r="C14" s="17">
        <v>1</v>
      </c>
      <c r="D14" s="17">
        <v>7.4</v>
      </c>
      <c r="E14" s="17"/>
      <c r="F14" s="16" t="s">
        <v>101</v>
      </c>
      <c r="G14" s="17" t="s">
        <v>2865</v>
      </c>
      <c r="H14" s="17" t="s">
        <v>2866</v>
      </c>
      <c r="I14" s="17" t="s">
        <v>34</v>
      </c>
      <c r="J14" s="17" t="s">
        <v>2867</v>
      </c>
      <c r="K14" s="18">
        <v>46156</v>
      </c>
      <c r="L14" s="17" t="s">
        <v>24</v>
      </c>
      <c r="M14" s="7" t="s">
        <v>25</v>
      </c>
      <c r="N14" s="17"/>
    </row>
    <row r="15" spans="1:14" ht="51" customHeight="1" x14ac:dyDescent="0.25">
      <c r="A15" s="17">
        <v>14</v>
      </c>
      <c r="B15" s="16" t="s">
        <v>2864</v>
      </c>
      <c r="C15" s="17">
        <v>2</v>
      </c>
      <c r="D15" s="17">
        <v>15.7</v>
      </c>
      <c r="E15" s="17">
        <v>7.9</v>
      </c>
      <c r="F15" s="16" t="s">
        <v>101</v>
      </c>
      <c r="G15" s="17" t="s">
        <v>2865</v>
      </c>
      <c r="H15" s="17" t="s">
        <v>2866</v>
      </c>
      <c r="I15" s="17" t="s">
        <v>34</v>
      </c>
      <c r="J15" s="17" t="s">
        <v>2867</v>
      </c>
      <c r="K15" s="18">
        <v>46156</v>
      </c>
      <c r="L15" s="17" t="s">
        <v>24</v>
      </c>
      <c r="M15" s="7" t="s">
        <v>25</v>
      </c>
      <c r="N15" s="17"/>
    </row>
    <row r="16" spans="1:14" ht="51" customHeight="1" x14ac:dyDescent="0.25">
      <c r="A16" s="17">
        <v>15</v>
      </c>
      <c r="B16" s="16" t="s">
        <v>2868</v>
      </c>
      <c r="C16" s="17">
        <v>1</v>
      </c>
      <c r="D16" s="17">
        <v>10.7</v>
      </c>
      <c r="E16" s="17">
        <v>24.7</v>
      </c>
      <c r="F16" s="16" t="s">
        <v>31</v>
      </c>
      <c r="G16" s="17" t="s">
        <v>2869</v>
      </c>
      <c r="H16" s="17" t="s">
        <v>2870</v>
      </c>
      <c r="I16" s="17" t="s">
        <v>34</v>
      </c>
      <c r="J16" s="17" t="s">
        <v>2871</v>
      </c>
      <c r="K16" s="18">
        <v>46147</v>
      </c>
      <c r="L16" s="17" t="s">
        <v>24</v>
      </c>
      <c r="M16" s="7" t="s">
        <v>25</v>
      </c>
      <c r="N16" s="17"/>
    </row>
    <row r="17" spans="1:14" ht="25.5" customHeight="1" x14ac:dyDescent="0.25">
      <c r="A17" s="17">
        <v>16</v>
      </c>
      <c r="B17" s="16" t="s">
        <v>2868</v>
      </c>
      <c r="C17" s="17">
        <v>2</v>
      </c>
      <c r="D17" s="17">
        <v>15.1</v>
      </c>
      <c r="E17" s="17"/>
      <c r="F17" s="16" t="s">
        <v>101</v>
      </c>
      <c r="G17" s="17" t="s">
        <v>2872</v>
      </c>
      <c r="H17" s="17" t="s">
        <v>2873</v>
      </c>
      <c r="I17" s="17" t="s">
        <v>22</v>
      </c>
      <c r="J17" s="17" t="s">
        <v>2874</v>
      </c>
      <c r="K17" s="18">
        <v>46155</v>
      </c>
      <c r="L17" s="17" t="s">
        <v>24</v>
      </c>
      <c r="M17" s="7" t="s">
        <v>25</v>
      </c>
      <c r="N17" s="17"/>
    </row>
    <row r="18" spans="1:14" ht="25.5" customHeight="1" x14ac:dyDescent="0.25">
      <c r="A18" s="17">
        <v>17</v>
      </c>
      <c r="B18" s="16" t="s">
        <v>2868</v>
      </c>
      <c r="C18" s="17">
        <v>3</v>
      </c>
      <c r="D18" s="17">
        <v>0</v>
      </c>
      <c r="E18" s="17"/>
      <c r="F18" s="16" t="s">
        <v>101</v>
      </c>
      <c r="G18" s="17" t="s">
        <v>2872</v>
      </c>
      <c r="H18" s="17" t="s">
        <v>2873</v>
      </c>
      <c r="I18" s="17" t="s">
        <v>22</v>
      </c>
      <c r="J18" s="17" t="s">
        <v>2874</v>
      </c>
      <c r="K18" s="18">
        <v>46155</v>
      </c>
      <c r="L18" s="17" t="s">
        <v>24</v>
      </c>
      <c r="M18" s="7" t="s">
        <v>25</v>
      </c>
      <c r="N18" s="17"/>
    </row>
    <row r="19" spans="1:14" ht="51" customHeight="1" x14ac:dyDescent="0.25">
      <c r="A19" s="17">
        <v>18</v>
      </c>
      <c r="B19" s="16" t="s">
        <v>2868</v>
      </c>
      <c r="C19" s="17">
        <v>4</v>
      </c>
      <c r="D19" s="17">
        <v>7</v>
      </c>
      <c r="E19" s="17"/>
      <c r="F19" s="16" t="s">
        <v>31</v>
      </c>
      <c r="G19" s="17" t="s">
        <v>2869</v>
      </c>
      <c r="H19" s="17" t="s">
        <v>2870</v>
      </c>
      <c r="I19" s="17" t="s">
        <v>34</v>
      </c>
      <c r="J19" s="17" t="s">
        <v>2871</v>
      </c>
      <c r="K19" s="18">
        <v>46147</v>
      </c>
      <c r="L19" s="17" t="s">
        <v>24</v>
      </c>
      <c r="M19" s="7" t="s">
        <v>25</v>
      </c>
      <c r="N19" s="17"/>
    </row>
    <row r="20" spans="1:14" x14ac:dyDescent="0.25">
      <c r="A20" s="14">
        <v>19</v>
      </c>
      <c r="B20" s="15" t="s">
        <v>2868</v>
      </c>
      <c r="C20" s="14">
        <v>5</v>
      </c>
      <c r="D20" s="14">
        <v>9.9</v>
      </c>
      <c r="E20" s="14"/>
      <c r="F20" s="15" t="s">
        <v>343</v>
      </c>
      <c r="G20" s="14"/>
      <c r="H20" s="14"/>
      <c r="I20" s="14"/>
      <c r="J20" s="14"/>
      <c r="K20" s="21"/>
      <c r="L20" s="14"/>
      <c r="M20" s="14" t="s">
        <v>286</v>
      </c>
      <c r="N20" s="14"/>
    </row>
    <row r="21" spans="1:14" x14ac:dyDescent="0.25">
      <c r="A21" s="14">
        <v>20</v>
      </c>
      <c r="B21" s="15" t="s">
        <v>2868</v>
      </c>
      <c r="C21" s="14">
        <v>6</v>
      </c>
      <c r="D21" s="14">
        <v>16.7</v>
      </c>
      <c r="E21" s="14"/>
      <c r="F21" s="15" t="s">
        <v>101</v>
      </c>
      <c r="G21" s="14"/>
      <c r="H21" s="14"/>
      <c r="I21" s="14"/>
      <c r="J21" s="14"/>
      <c r="K21" s="21"/>
      <c r="L21" s="14"/>
      <c r="M21" s="14" t="s">
        <v>286</v>
      </c>
      <c r="N21" s="14"/>
    </row>
    <row r="22" spans="1:14" x14ac:dyDescent="0.25">
      <c r="A22" s="14">
        <v>21</v>
      </c>
      <c r="B22" s="15" t="s">
        <v>2868</v>
      </c>
      <c r="C22" s="14">
        <v>7</v>
      </c>
      <c r="D22" s="14">
        <v>9.8000000000000007</v>
      </c>
      <c r="E22" s="14"/>
      <c r="F22" s="15" t="s">
        <v>343</v>
      </c>
      <c r="G22" s="14"/>
      <c r="H22" s="14"/>
      <c r="I22" s="14"/>
      <c r="J22" s="14"/>
      <c r="K22" s="21"/>
      <c r="L22" s="14"/>
      <c r="M22" s="14" t="s">
        <v>286</v>
      </c>
      <c r="N22" s="14"/>
    </row>
    <row r="23" spans="1:14" ht="25.5" customHeight="1" x14ac:dyDescent="0.25">
      <c r="A23" s="17">
        <v>22</v>
      </c>
      <c r="B23" s="16" t="s">
        <v>2875</v>
      </c>
      <c r="C23" s="17">
        <v>1</v>
      </c>
      <c r="D23" s="17">
        <v>11.4</v>
      </c>
      <c r="E23" s="17"/>
      <c r="F23" s="16" t="s">
        <v>62</v>
      </c>
      <c r="G23" s="17" t="s">
        <v>2876</v>
      </c>
      <c r="H23" s="17" t="s">
        <v>2877</v>
      </c>
      <c r="I23" s="17" t="s">
        <v>28</v>
      </c>
      <c r="J23" s="24" t="s">
        <v>2878</v>
      </c>
      <c r="K23" s="18">
        <v>46149</v>
      </c>
      <c r="L23" s="17" t="s">
        <v>24</v>
      </c>
      <c r="M23" s="7" t="s">
        <v>25</v>
      </c>
      <c r="N23" s="17"/>
    </row>
    <row r="24" spans="1:14" ht="25.5" customHeight="1" x14ac:dyDescent="0.25">
      <c r="A24" s="17">
        <v>23</v>
      </c>
      <c r="B24" s="16" t="s">
        <v>2875</v>
      </c>
      <c r="C24" s="17">
        <v>2</v>
      </c>
      <c r="D24" s="17">
        <v>14.8</v>
      </c>
      <c r="E24" s="17">
        <v>8.8000000000000007</v>
      </c>
      <c r="F24" s="16" t="s">
        <v>62</v>
      </c>
      <c r="G24" s="17" t="s">
        <v>2876</v>
      </c>
      <c r="H24" s="17" t="s">
        <v>2877</v>
      </c>
      <c r="I24" s="17" t="s">
        <v>28</v>
      </c>
      <c r="J24" s="24" t="s">
        <v>2878</v>
      </c>
      <c r="K24" s="18">
        <v>46149</v>
      </c>
      <c r="L24" s="17" t="s">
        <v>24</v>
      </c>
      <c r="M24" s="7" t="s">
        <v>25</v>
      </c>
      <c r="N24" s="17"/>
    </row>
    <row r="25" spans="1:14" ht="38.25" customHeight="1" x14ac:dyDescent="0.25">
      <c r="A25" s="17">
        <v>24</v>
      </c>
      <c r="B25" s="16" t="s">
        <v>2875</v>
      </c>
      <c r="C25" s="17">
        <v>3</v>
      </c>
      <c r="D25" s="17">
        <v>11</v>
      </c>
      <c r="E25" s="17">
        <v>8.5</v>
      </c>
      <c r="F25" s="16" t="s">
        <v>126</v>
      </c>
      <c r="G25" s="17" t="s">
        <v>2879</v>
      </c>
      <c r="H25" s="17" t="s">
        <v>2880</v>
      </c>
      <c r="I25" s="17" t="s">
        <v>34</v>
      </c>
      <c r="J25" s="17" t="s">
        <v>2881</v>
      </c>
      <c r="K25" s="18">
        <v>46157</v>
      </c>
      <c r="L25" s="17" t="s">
        <v>24</v>
      </c>
      <c r="M25" s="7" t="s">
        <v>25</v>
      </c>
      <c r="N25" s="17"/>
    </row>
    <row r="26" spans="1:14" ht="25.5" customHeight="1" x14ac:dyDescent="0.25">
      <c r="A26" s="17">
        <v>25</v>
      </c>
      <c r="B26" s="16" t="s">
        <v>2882</v>
      </c>
      <c r="C26" s="17">
        <v>1</v>
      </c>
      <c r="D26" s="17">
        <v>16.399999999999999</v>
      </c>
      <c r="E26" s="17">
        <v>8.4</v>
      </c>
      <c r="F26" s="16" t="s">
        <v>126</v>
      </c>
      <c r="G26" s="17" t="s">
        <v>2883</v>
      </c>
      <c r="H26" s="17" t="s">
        <v>2884</v>
      </c>
      <c r="I26" s="17" t="s">
        <v>28</v>
      </c>
      <c r="J26" s="17" t="s">
        <v>2885</v>
      </c>
      <c r="K26" s="18">
        <v>46137</v>
      </c>
      <c r="L26" s="17" t="s">
        <v>82</v>
      </c>
      <c r="M26" s="7" t="s">
        <v>25</v>
      </c>
      <c r="N26" s="17"/>
    </row>
    <row r="27" spans="1:14" ht="25.5" customHeight="1" x14ac:dyDescent="0.25">
      <c r="A27" s="17">
        <v>26</v>
      </c>
      <c r="B27" s="16" t="s">
        <v>2882</v>
      </c>
      <c r="C27" s="17">
        <v>2</v>
      </c>
      <c r="D27" s="17">
        <v>8.8000000000000007</v>
      </c>
      <c r="E27" s="17"/>
      <c r="F27" s="16" t="s">
        <v>126</v>
      </c>
      <c r="G27" s="17" t="s">
        <v>2883</v>
      </c>
      <c r="H27" s="17" t="s">
        <v>2884</v>
      </c>
      <c r="I27" s="17" t="s">
        <v>28</v>
      </c>
      <c r="J27" s="17" t="s">
        <v>2885</v>
      </c>
      <c r="K27" s="18">
        <v>46137</v>
      </c>
      <c r="L27" s="17" t="s">
        <v>82</v>
      </c>
      <c r="M27" s="7" t="s">
        <v>25</v>
      </c>
      <c r="N27" s="17"/>
    </row>
    <row r="28" spans="1:14" ht="25.5" customHeight="1" x14ac:dyDescent="0.25">
      <c r="A28" s="17">
        <v>27</v>
      </c>
      <c r="B28" s="16" t="s">
        <v>2886</v>
      </c>
      <c r="C28" s="17">
        <v>1</v>
      </c>
      <c r="D28" s="17">
        <v>8.6999999999999993</v>
      </c>
      <c r="E28" s="17"/>
      <c r="F28" s="16" t="s">
        <v>126</v>
      </c>
      <c r="G28" s="17" t="s">
        <v>2887</v>
      </c>
      <c r="H28" s="17" t="s">
        <v>2888</v>
      </c>
      <c r="I28" s="17" t="s">
        <v>312</v>
      </c>
      <c r="J28" s="17">
        <v>268</v>
      </c>
      <c r="K28" s="18" t="s">
        <v>2889</v>
      </c>
      <c r="L28" s="17" t="s">
        <v>24</v>
      </c>
      <c r="M28" s="7" t="s">
        <v>25</v>
      </c>
      <c r="N28" s="17"/>
    </row>
    <row r="29" spans="1:14" ht="25.5" customHeight="1" x14ac:dyDescent="0.25">
      <c r="A29" s="17">
        <v>28</v>
      </c>
      <c r="B29" s="16" t="s">
        <v>2886</v>
      </c>
      <c r="C29" s="17">
        <v>2</v>
      </c>
      <c r="D29" s="17">
        <v>16.2</v>
      </c>
      <c r="E29" s="17">
        <v>8.6999999999999993</v>
      </c>
      <c r="F29" s="16" t="s">
        <v>126</v>
      </c>
      <c r="G29" s="17" t="s">
        <v>2887</v>
      </c>
      <c r="H29" s="17" t="s">
        <v>2888</v>
      </c>
      <c r="I29" s="17" t="s">
        <v>312</v>
      </c>
      <c r="J29" s="17">
        <v>268</v>
      </c>
      <c r="K29" s="18" t="s">
        <v>2889</v>
      </c>
      <c r="L29" s="17" t="s">
        <v>24</v>
      </c>
      <c r="M29" s="7" t="s">
        <v>25</v>
      </c>
      <c r="N29" s="17"/>
    </row>
    <row r="30" spans="1:14" ht="63.75" customHeight="1" x14ac:dyDescent="0.25">
      <c r="A30" s="17">
        <v>29</v>
      </c>
      <c r="B30" s="16" t="s">
        <v>2890</v>
      </c>
      <c r="C30" s="17">
        <v>1</v>
      </c>
      <c r="D30" s="17">
        <v>11.3</v>
      </c>
      <c r="E30" s="17">
        <v>8.6</v>
      </c>
      <c r="F30" s="16" t="s">
        <v>19</v>
      </c>
      <c r="G30" s="17" t="s">
        <v>2891</v>
      </c>
      <c r="H30" s="17" t="s">
        <v>2892</v>
      </c>
      <c r="I30" s="17" t="s">
        <v>34</v>
      </c>
      <c r="J30" s="17" t="s">
        <v>2893</v>
      </c>
      <c r="K30" s="18">
        <v>46134</v>
      </c>
      <c r="L30" s="17" t="s">
        <v>24</v>
      </c>
      <c r="M30" s="7" t="s">
        <v>25</v>
      </c>
      <c r="N30" s="17"/>
    </row>
    <row r="31" spans="1:14" ht="51" customHeight="1" x14ac:dyDescent="0.25">
      <c r="A31" s="17">
        <v>30</v>
      </c>
      <c r="B31" s="16" t="s">
        <v>2890</v>
      </c>
      <c r="C31" s="17">
        <v>2</v>
      </c>
      <c r="D31" s="17">
        <v>14.7</v>
      </c>
      <c r="E31" s="17">
        <v>8.6999999999999993</v>
      </c>
      <c r="F31" s="16" t="s">
        <v>54</v>
      </c>
      <c r="G31" s="17" t="s">
        <v>2894</v>
      </c>
      <c r="H31" s="17" t="s">
        <v>2895</v>
      </c>
      <c r="I31" s="17" t="s">
        <v>34</v>
      </c>
      <c r="J31" s="18" t="s">
        <v>2896</v>
      </c>
      <c r="K31" s="18">
        <v>46144</v>
      </c>
      <c r="L31" s="17" t="s">
        <v>24</v>
      </c>
      <c r="M31" s="7" t="s">
        <v>25</v>
      </c>
      <c r="N31" s="17"/>
    </row>
    <row r="32" spans="1:14" ht="63.75" customHeight="1" x14ac:dyDescent="0.25">
      <c r="A32" s="17">
        <v>31</v>
      </c>
      <c r="B32" s="16" t="s">
        <v>2890</v>
      </c>
      <c r="C32" s="17">
        <v>3</v>
      </c>
      <c r="D32" s="17">
        <v>11.6</v>
      </c>
      <c r="E32" s="17"/>
      <c r="F32" s="16" t="s">
        <v>19</v>
      </c>
      <c r="G32" s="17" t="s">
        <v>2891</v>
      </c>
      <c r="H32" s="17" t="s">
        <v>2892</v>
      </c>
      <c r="I32" s="17" t="s">
        <v>34</v>
      </c>
      <c r="J32" s="17" t="s">
        <v>2893</v>
      </c>
      <c r="K32" s="18">
        <v>46134</v>
      </c>
      <c r="L32" s="17" t="s">
        <v>24</v>
      </c>
      <c r="M32" s="7" t="s">
        <v>25</v>
      </c>
      <c r="N32" s="17"/>
    </row>
    <row r="33" spans="1:14" ht="51" customHeight="1" x14ac:dyDescent="0.25">
      <c r="A33" s="17">
        <v>32</v>
      </c>
      <c r="B33" s="16" t="s">
        <v>2897</v>
      </c>
      <c r="C33" s="17">
        <v>1</v>
      </c>
      <c r="D33" s="17">
        <v>11.2</v>
      </c>
      <c r="E33" s="17">
        <v>9</v>
      </c>
      <c r="F33" s="16" t="s">
        <v>19</v>
      </c>
      <c r="G33" s="17" t="s">
        <v>2898</v>
      </c>
      <c r="H33" s="17" t="s">
        <v>2899</v>
      </c>
      <c r="I33" s="17" t="s">
        <v>34</v>
      </c>
      <c r="J33" s="17" t="s">
        <v>2900</v>
      </c>
      <c r="K33" s="18">
        <v>46147</v>
      </c>
      <c r="L33" s="17" t="s">
        <v>24</v>
      </c>
      <c r="M33" s="7" t="s">
        <v>25</v>
      </c>
      <c r="N33" s="17"/>
    </row>
    <row r="34" spans="1:14" ht="25.5" customHeight="1" x14ac:dyDescent="0.25">
      <c r="A34" s="17">
        <v>33</v>
      </c>
      <c r="B34" s="16" t="s">
        <v>2897</v>
      </c>
      <c r="C34" s="17">
        <v>2</v>
      </c>
      <c r="D34" s="17">
        <v>15.1</v>
      </c>
      <c r="E34" s="17">
        <v>8.9</v>
      </c>
      <c r="F34" s="16" t="s">
        <v>19</v>
      </c>
      <c r="G34" s="17" t="s">
        <v>2901</v>
      </c>
      <c r="H34" s="17" t="s">
        <v>4863</v>
      </c>
      <c r="I34" s="17" t="s">
        <v>28</v>
      </c>
      <c r="J34" s="17" t="s">
        <v>2902</v>
      </c>
      <c r="K34" s="18">
        <v>46144</v>
      </c>
      <c r="L34" s="17" t="s">
        <v>24</v>
      </c>
      <c r="M34" s="7" t="s">
        <v>25</v>
      </c>
      <c r="N34" s="17"/>
    </row>
    <row r="35" spans="1:14" ht="25.5" customHeight="1" x14ac:dyDescent="0.25">
      <c r="A35" s="17">
        <v>34</v>
      </c>
      <c r="B35" s="16" t="s">
        <v>2897</v>
      </c>
      <c r="C35" s="17">
        <v>3</v>
      </c>
      <c r="D35" s="17">
        <v>11.6</v>
      </c>
      <c r="E35" s="17"/>
      <c r="F35" s="16" t="s">
        <v>19</v>
      </c>
      <c r="G35" s="17" t="s">
        <v>2903</v>
      </c>
      <c r="H35" s="17" t="s">
        <v>4864</v>
      </c>
      <c r="I35" s="17" t="s">
        <v>28</v>
      </c>
      <c r="J35" s="17" t="s">
        <v>2904</v>
      </c>
      <c r="K35" s="18">
        <v>46135</v>
      </c>
      <c r="L35" s="17" t="s">
        <v>24</v>
      </c>
      <c r="M35" s="7" t="s">
        <v>25</v>
      </c>
      <c r="N35" s="17"/>
    </row>
    <row r="36" spans="1:14" ht="25.5" customHeight="1" x14ac:dyDescent="0.25">
      <c r="A36" s="17">
        <v>35</v>
      </c>
      <c r="B36" s="16" t="s">
        <v>2905</v>
      </c>
      <c r="C36" s="17">
        <v>1</v>
      </c>
      <c r="D36" s="17">
        <v>15.3</v>
      </c>
      <c r="E36" s="17">
        <v>8.5</v>
      </c>
      <c r="F36" s="16" t="s">
        <v>343</v>
      </c>
      <c r="G36" s="17" t="s">
        <v>2906</v>
      </c>
      <c r="H36" s="17" t="s">
        <v>2907</v>
      </c>
      <c r="I36" s="17" t="s">
        <v>22</v>
      </c>
      <c r="J36" s="17" t="s">
        <v>2908</v>
      </c>
      <c r="K36" s="18">
        <v>46137</v>
      </c>
      <c r="L36" s="17" t="s">
        <v>24</v>
      </c>
      <c r="M36" s="7" t="s">
        <v>25</v>
      </c>
      <c r="N36" s="17"/>
    </row>
    <row r="37" spans="1:14" ht="25.5" customHeight="1" x14ac:dyDescent="0.25">
      <c r="A37" s="17">
        <v>36</v>
      </c>
      <c r="B37" s="16" t="s">
        <v>2905</v>
      </c>
      <c r="C37" s="17">
        <v>2</v>
      </c>
      <c r="D37" s="17">
        <v>7.4</v>
      </c>
      <c r="E37" s="17"/>
      <c r="F37" s="16" t="s">
        <v>343</v>
      </c>
      <c r="G37" s="17" t="s">
        <v>2906</v>
      </c>
      <c r="H37" s="17" t="s">
        <v>2907</v>
      </c>
      <c r="I37" s="17" t="s">
        <v>22</v>
      </c>
      <c r="J37" s="17" t="s">
        <v>2908</v>
      </c>
      <c r="K37" s="18">
        <v>46137</v>
      </c>
      <c r="L37" s="17" t="s">
        <v>24</v>
      </c>
      <c r="M37" s="7" t="s">
        <v>25</v>
      </c>
      <c r="N37" s="17"/>
    </row>
    <row r="38" spans="1:14" ht="51" customHeight="1" x14ac:dyDescent="0.25">
      <c r="A38" s="17">
        <v>37</v>
      </c>
      <c r="B38" s="16" t="s">
        <v>2909</v>
      </c>
      <c r="C38" s="17">
        <v>1</v>
      </c>
      <c r="D38" s="17">
        <v>17</v>
      </c>
      <c r="E38" s="17">
        <v>11.2</v>
      </c>
      <c r="F38" s="16" t="s">
        <v>343</v>
      </c>
      <c r="G38" s="17" t="s">
        <v>2910</v>
      </c>
      <c r="H38" s="17" t="s">
        <v>2911</v>
      </c>
      <c r="I38" s="17" t="s">
        <v>34</v>
      </c>
      <c r="J38" s="17" t="s">
        <v>2912</v>
      </c>
      <c r="K38" s="18">
        <v>46141</v>
      </c>
      <c r="L38" s="17" t="s">
        <v>24</v>
      </c>
      <c r="M38" s="7" t="s">
        <v>25</v>
      </c>
      <c r="N38" s="17"/>
    </row>
    <row r="39" spans="1:14" ht="25.5" customHeight="1" x14ac:dyDescent="0.25">
      <c r="A39" s="17">
        <v>38</v>
      </c>
      <c r="B39" s="16" t="s">
        <v>2909</v>
      </c>
      <c r="C39" s="17">
        <v>2</v>
      </c>
      <c r="D39" s="17">
        <v>16.8</v>
      </c>
      <c r="E39" s="17"/>
      <c r="F39" s="16" t="s">
        <v>343</v>
      </c>
      <c r="G39" s="17" t="s">
        <v>2913</v>
      </c>
      <c r="H39" s="17" t="s">
        <v>2914</v>
      </c>
      <c r="I39" s="17" t="s">
        <v>388</v>
      </c>
      <c r="J39" s="17" t="s">
        <v>2915</v>
      </c>
      <c r="K39" s="18">
        <v>46157</v>
      </c>
      <c r="L39" s="17" t="s">
        <v>24</v>
      </c>
      <c r="M39" s="7" t="s">
        <v>25</v>
      </c>
      <c r="N39" s="17"/>
    </row>
    <row r="40" spans="1:14" x14ac:dyDescent="0.25">
      <c r="A40" s="17">
        <v>39</v>
      </c>
      <c r="B40" s="16" t="s">
        <v>2909</v>
      </c>
      <c r="C40" s="17">
        <v>3</v>
      </c>
      <c r="D40" s="17">
        <v>12.6</v>
      </c>
      <c r="E40" s="17">
        <v>10.3</v>
      </c>
      <c r="F40" s="16" t="s">
        <v>343</v>
      </c>
      <c r="G40" s="17" t="s">
        <v>2916</v>
      </c>
      <c r="H40" s="17" t="s">
        <v>2917</v>
      </c>
      <c r="I40" s="17" t="s">
        <v>267</v>
      </c>
      <c r="J40" s="17" t="s">
        <v>2918</v>
      </c>
      <c r="K40" s="18">
        <v>46148</v>
      </c>
      <c r="L40" s="17" t="s">
        <v>24</v>
      </c>
      <c r="M40" s="7" t="s">
        <v>25</v>
      </c>
      <c r="N40" s="17"/>
    </row>
    <row r="41" spans="1:14" ht="25.5" customHeight="1" x14ac:dyDescent="0.25">
      <c r="A41" s="17">
        <v>40</v>
      </c>
      <c r="B41" s="16" t="s">
        <v>2919</v>
      </c>
      <c r="C41" s="17">
        <v>1</v>
      </c>
      <c r="D41" s="17">
        <v>16.100000000000001</v>
      </c>
      <c r="E41" s="17">
        <v>10.8</v>
      </c>
      <c r="F41" s="16" t="s">
        <v>62</v>
      </c>
      <c r="G41" s="17" t="s">
        <v>2920</v>
      </c>
      <c r="H41" s="17" t="s">
        <v>2921</v>
      </c>
      <c r="I41" s="17" t="s">
        <v>51</v>
      </c>
      <c r="J41" s="24" t="s">
        <v>2922</v>
      </c>
      <c r="K41" s="18" t="s">
        <v>350</v>
      </c>
      <c r="L41" s="17" t="s">
        <v>24</v>
      </c>
      <c r="M41" s="7" t="s">
        <v>25</v>
      </c>
      <c r="N41" s="17"/>
    </row>
    <row r="42" spans="1:14" ht="51" customHeight="1" x14ac:dyDescent="0.25">
      <c r="A42" s="17">
        <v>41</v>
      </c>
      <c r="B42" s="16" t="s">
        <v>2919</v>
      </c>
      <c r="C42" s="17">
        <v>2</v>
      </c>
      <c r="D42" s="17">
        <v>16.7</v>
      </c>
      <c r="E42" s="17"/>
      <c r="F42" s="16" t="s">
        <v>62</v>
      </c>
      <c r="G42" s="17" t="s">
        <v>2923</v>
      </c>
      <c r="H42" s="17" t="s">
        <v>2924</v>
      </c>
      <c r="I42" s="17" t="s">
        <v>293</v>
      </c>
      <c r="J42" s="24" t="s">
        <v>2925</v>
      </c>
      <c r="K42" s="18">
        <v>46134</v>
      </c>
      <c r="L42" s="17" t="s">
        <v>24</v>
      </c>
      <c r="M42" s="7" t="s">
        <v>25</v>
      </c>
      <c r="N42" s="17"/>
    </row>
    <row r="43" spans="1:14" ht="51" customHeight="1" x14ac:dyDescent="0.25">
      <c r="A43" s="17">
        <v>42</v>
      </c>
      <c r="B43" s="16" t="s">
        <v>2919</v>
      </c>
      <c r="C43" s="17">
        <v>3</v>
      </c>
      <c r="D43" s="17">
        <v>12.5</v>
      </c>
      <c r="E43" s="17">
        <v>10.8</v>
      </c>
      <c r="F43" s="16" t="s">
        <v>121</v>
      </c>
      <c r="G43" s="17" t="s">
        <v>2926</v>
      </c>
      <c r="H43" s="17" t="s">
        <v>2927</v>
      </c>
      <c r="I43" s="17" t="s">
        <v>34</v>
      </c>
      <c r="J43" s="17" t="s">
        <v>2928</v>
      </c>
      <c r="K43" s="18">
        <v>46144</v>
      </c>
      <c r="L43" s="17" t="s">
        <v>24</v>
      </c>
      <c r="M43" s="7" t="s">
        <v>25</v>
      </c>
      <c r="N43" s="17"/>
    </row>
    <row r="44" spans="1:14" ht="51" customHeight="1" x14ac:dyDescent="0.25">
      <c r="A44" s="17">
        <v>43</v>
      </c>
      <c r="B44" s="16" t="s">
        <v>2929</v>
      </c>
      <c r="C44" s="17">
        <v>1</v>
      </c>
      <c r="D44" s="17">
        <v>17.100000000000001</v>
      </c>
      <c r="E44" s="17">
        <v>10.7</v>
      </c>
      <c r="F44" s="16" t="s">
        <v>31</v>
      </c>
      <c r="G44" s="17" t="s">
        <v>2930</v>
      </c>
      <c r="H44" s="17" t="s">
        <v>2931</v>
      </c>
      <c r="I44" s="17" t="s">
        <v>34</v>
      </c>
      <c r="J44" s="17" t="s">
        <v>2932</v>
      </c>
      <c r="K44" s="18">
        <v>46155</v>
      </c>
      <c r="L44" s="17" t="s">
        <v>82</v>
      </c>
      <c r="M44" s="7" t="s">
        <v>25</v>
      </c>
      <c r="N44" s="17"/>
    </row>
    <row r="45" spans="1:14" ht="51" customHeight="1" x14ac:dyDescent="0.25">
      <c r="A45" s="17">
        <v>44</v>
      </c>
      <c r="B45" s="16" t="s">
        <v>2929</v>
      </c>
      <c r="C45" s="17">
        <v>2</v>
      </c>
      <c r="D45" s="17">
        <v>16.899999999999999</v>
      </c>
      <c r="E45" s="17"/>
      <c r="F45" s="16" t="s">
        <v>31</v>
      </c>
      <c r="G45" s="17" t="s">
        <v>2930</v>
      </c>
      <c r="H45" s="17" t="s">
        <v>2931</v>
      </c>
      <c r="I45" s="17" t="s">
        <v>34</v>
      </c>
      <c r="J45" s="17" t="s">
        <v>2932</v>
      </c>
      <c r="K45" s="18">
        <v>46155</v>
      </c>
      <c r="L45" s="17" t="s">
        <v>82</v>
      </c>
      <c r="M45" s="7" t="s">
        <v>25</v>
      </c>
      <c r="N45" s="17"/>
    </row>
    <row r="46" spans="1:14" x14ac:dyDescent="0.25">
      <c r="A46" s="17">
        <v>45</v>
      </c>
      <c r="B46" s="16" t="s">
        <v>2929</v>
      </c>
      <c r="C46" s="17">
        <v>3</v>
      </c>
      <c r="D46" s="17">
        <v>13.8</v>
      </c>
      <c r="E46" s="17">
        <v>10.5</v>
      </c>
      <c r="F46" s="16" t="s">
        <v>31</v>
      </c>
      <c r="G46" s="17" t="s">
        <v>2933</v>
      </c>
      <c r="H46" s="17" t="s">
        <v>2934</v>
      </c>
      <c r="I46" s="17" t="s">
        <v>28</v>
      </c>
      <c r="J46" s="17" t="s">
        <v>2935</v>
      </c>
      <c r="K46" s="18">
        <v>46147</v>
      </c>
      <c r="L46" s="17" t="s">
        <v>24</v>
      </c>
      <c r="M46" s="7" t="s">
        <v>25</v>
      </c>
      <c r="N46" s="17"/>
    </row>
    <row r="47" spans="1:14" ht="25.5" customHeight="1" x14ac:dyDescent="0.25">
      <c r="A47" s="17">
        <v>46</v>
      </c>
      <c r="B47" s="16" t="s">
        <v>2936</v>
      </c>
      <c r="C47" s="17">
        <v>1</v>
      </c>
      <c r="D47" s="17">
        <v>16.7</v>
      </c>
      <c r="E47" s="17"/>
      <c r="F47" s="16" t="s">
        <v>962</v>
      </c>
      <c r="G47" s="17" t="s">
        <v>2937</v>
      </c>
      <c r="H47" s="17" t="s">
        <v>2938</v>
      </c>
      <c r="I47" s="17" t="s">
        <v>1973</v>
      </c>
      <c r="J47" s="24" t="s">
        <v>2939</v>
      </c>
      <c r="K47" s="18">
        <v>46137</v>
      </c>
      <c r="L47" s="17" t="s">
        <v>24</v>
      </c>
      <c r="M47" s="7" t="s">
        <v>25</v>
      </c>
      <c r="N47" s="17"/>
    </row>
    <row r="48" spans="1:14" ht="25.5" customHeight="1" x14ac:dyDescent="0.25">
      <c r="A48" s="17">
        <v>47</v>
      </c>
      <c r="B48" s="16" t="s">
        <v>2936</v>
      </c>
      <c r="C48" s="17">
        <v>2</v>
      </c>
      <c r="D48" s="17">
        <v>16.600000000000001</v>
      </c>
      <c r="E48" s="17">
        <v>10.8</v>
      </c>
      <c r="F48" s="16" t="s">
        <v>962</v>
      </c>
      <c r="G48" s="17" t="s">
        <v>2937</v>
      </c>
      <c r="H48" s="17" t="s">
        <v>2938</v>
      </c>
      <c r="I48" s="17" t="s">
        <v>1973</v>
      </c>
      <c r="J48" s="24" t="s">
        <v>2940</v>
      </c>
      <c r="K48" s="18">
        <v>46137</v>
      </c>
      <c r="L48" s="17" t="s">
        <v>24</v>
      </c>
      <c r="M48" s="7" t="s">
        <v>25</v>
      </c>
      <c r="N48" s="17"/>
    </row>
    <row r="49" spans="1:14" ht="25.5" customHeight="1" x14ac:dyDescent="0.25">
      <c r="A49" s="17">
        <v>48</v>
      </c>
      <c r="B49" s="16" t="s">
        <v>2936</v>
      </c>
      <c r="C49" s="17">
        <v>3</v>
      </c>
      <c r="D49" s="17">
        <v>12.5</v>
      </c>
      <c r="E49" s="17">
        <v>11.2</v>
      </c>
      <c r="F49" s="16" t="s">
        <v>962</v>
      </c>
      <c r="G49" s="17" t="s">
        <v>2937</v>
      </c>
      <c r="H49" s="17" t="s">
        <v>2938</v>
      </c>
      <c r="I49" s="17" t="s">
        <v>1973</v>
      </c>
      <c r="J49" s="24" t="s">
        <v>2940</v>
      </c>
      <c r="K49" s="18">
        <v>46137</v>
      </c>
      <c r="L49" s="17" t="s">
        <v>24</v>
      </c>
      <c r="M49" s="7" t="s">
        <v>25</v>
      </c>
      <c r="N49" s="17"/>
    </row>
    <row r="50" spans="1:14" ht="25.5" customHeight="1" x14ac:dyDescent="0.25">
      <c r="A50" s="17">
        <v>49</v>
      </c>
      <c r="B50" s="16" t="s">
        <v>2941</v>
      </c>
      <c r="C50" s="17">
        <v>1</v>
      </c>
      <c r="D50" s="17">
        <v>16.7</v>
      </c>
      <c r="E50" s="17">
        <v>11.5</v>
      </c>
      <c r="F50" s="16" t="s">
        <v>19</v>
      </c>
      <c r="G50" s="17" t="s">
        <v>2942</v>
      </c>
      <c r="H50" s="17" t="s">
        <v>2943</v>
      </c>
      <c r="I50" s="17" t="s">
        <v>28</v>
      </c>
      <c r="J50" s="17" t="s">
        <v>2944</v>
      </c>
      <c r="K50" s="18">
        <v>46148</v>
      </c>
      <c r="L50" s="17" t="s">
        <v>82</v>
      </c>
      <c r="M50" s="7" t="s">
        <v>25</v>
      </c>
      <c r="N50" s="17"/>
    </row>
    <row r="51" spans="1:14" ht="51" customHeight="1" x14ac:dyDescent="0.25">
      <c r="A51" s="17">
        <v>50</v>
      </c>
      <c r="B51" s="16" t="s">
        <v>2941</v>
      </c>
      <c r="C51" s="17">
        <v>2</v>
      </c>
      <c r="D51" s="17">
        <v>16.5</v>
      </c>
      <c r="E51" s="17"/>
      <c r="F51" s="16" t="s">
        <v>19</v>
      </c>
      <c r="G51" s="17" t="s">
        <v>2945</v>
      </c>
      <c r="H51" s="17" t="s">
        <v>2946</v>
      </c>
      <c r="I51" s="17" t="s">
        <v>34</v>
      </c>
      <c r="J51" s="17" t="s">
        <v>2947</v>
      </c>
      <c r="K51" s="18">
        <v>46133</v>
      </c>
      <c r="L51" s="17" t="s">
        <v>24</v>
      </c>
      <c r="M51" s="7" t="s">
        <v>25</v>
      </c>
      <c r="N51" s="17"/>
    </row>
    <row r="52" spans="1:14" ht="25.5" customHeight="1" x14ac:dyDescent="0.25">
      <c r="A52" s="17">
        <v>51</v>
      </c>
      <c r="B52" s="16" t="s">
        <v>2941</v>
      </c>
      <c r="C52" s="17">
        <v>3</v>
      </c>
      <c r="D52" s="17">
        <v>12.9</v>
      </c>
      <c r="E52" s="17">
        <v>11</v>
      </c>
      <c r="F52" s="16" t="s">
        <v>31</v>
      </c>
      <c r="G52" s="17" t="s">
        <v>2948</v>
      </c>
      <c r="H52" s="17" t="s">
        <v>2949</v>
      </c>
      <c r="I52" s="17" t="s">
        <v>112</v>
      </c>
      <c r="J52" s="17" t="s">
        <v>2950</v>
      </c>
      <c r="K52" s="18">
        <v>46147</v>
      </c>
      <c r="L52" s="17" t="s">
        <v>24</v>
      </c>
      <c r="M52" s="7" t="s">
        <v>25</v>
      </c>
      <c r="N52" s="17"/>
    </row>
    <row r="53" spans="1:14" x14ac:dyDescent="0.25">
      <c r="A53" s="34">
        <v>52</v>
      </c>
      <c r="B53" s="35" t="s">
        <v>2951</v>
      </c>
      <c r="C53" s="34">
        <v>1</v>
      </c>
      <c r="D53" s="34">
        <v>16.899999999999999</v>
      </c>
      <c r="E53" s="34">
        <v>10.6</v>
      </c>
      <c r="F53" s="35" t="s">
        <v>106</v>
      </c>
      <c r="G53" s="34" t="s">
        <v>2952</v>
      </c>
      <c r="H53" s="34" t="s">
        <v>2953</v>
      </c>
      <c r="I53" s="34" t="s">
        <v>921</v>
      </c>
      <c r="J53" s="34">
        <v>362</v>
      </c>
      <c r="K53" s="34" t="s">
        <v>2954</v>
      </c>
      <c r="L53" s="34" t="s">
        <v>24</v>
      </c>
      <c r="M53" s="13" t="s">
        <v>25</v>
      </c>
      <c r="N53" s="34"/>
    </row>
    <row r="54" spans="1:14" x14ac:dyDescent="0.25">
      <c r="A54" s="34">
        <v>53</v>
      </c>
      <c r="B54" s="35" t="s">
        <v>2951</v>
      </c>
      <c r="C54" s="34">
        <v>2</v>
      </c>
      <c r="D54" s="34">
        <v>16.7</v>
      </c>
      <c r="E54" s="34"/>
      <c r="F54" s="35" t="s">
        <v>106</v>
      </c>
      <c r="G54" s="34" t="s">
        <v>2952</v>
      </c>
      <c r="H54" s="34" t="s">
        <v>2953</v>
      </c>
      <c r="I54" s="34" t="s">
        <v>921</v>
      </c>
      <c r="J54" s="34">
        <v>362</v>
      </c>
      <c r="K54" s="34" t="s">
        <v>2954</v>
      </c>
      <c r="L54" s="34" t="s">
        <v>24</v>
      </c>
      <c r="M54" s="13" t="s">
        <v>25</v>
      </c>
      <c r="N54" s="34"/>
    </row>
    <row r="55" spans="1:14" x14ac:dyDescent="0.25">
      <c r="A55" s="34">
        <v>54</v>
      </c>
      <c r="B55" s="35" t="s">
        <v>2951</v>
      </c>
      <c r="C55" s="34">
        <v>3</v>
      </c>
      <c r="D55" s="34">
        <v>13.5</v>
      </c>
      <c r="E55" s="34">
        <v>10.4</v>
      </c>
      <c r="F55" s="35" t="s">
        <v>106</v>
      </c>
      <c r="G55" s="34" t="s">
        <v>2952</v>
      </c>
      <c r="H55" s="34" t="s">
        <v>2953</v>
      </c>
      <c r="I55" s="34" t="s">
        <v>921</v>
      </c>
      <c r="J55" s="34">
        <v>362</v>
      </c>
      <c r="K55" s="34" t="s">
        <v>2954</v>
      </c>
      <c r="L55" s="34" t="s">
        <v>24</v>
      </c>
      <c r="M55" s="13" t="s">
        <v>25</v>
      </c>
      <c r="N55" s="34"/>
    </row>
    <row r="56" spans="1:14" ht="25.5" customHeight="1" x14ac:dyDescent="0.25">
      <c r="A56" s="17">
        <v>55</v>
      </c>
      <c r="B56" s="16" t="s">
        <v>2955</v>
      </c>
      <c r="C56" s="17">
        <v>1</v>
      </c>
      <c r="D56" s="17">
        <v>17.2</v>
      </c>
      <c r="E56" s="17">
        <v>10.3</v>
      </c>
      <c r="F56" s="16" t="s">
        <v>121</v>
      </c>
      <c r="G56" s="17" t="s">
        <v>2956</v>
      </c>
      <c r="H56" s="17" t="s">
        <v>2957</v>
      </c>
      <c r="I56" s="17" t="s">
        <v>22</v>
      </c>
      <c r="J56" s="17" t="s">
        <v>2958</v>
      </c>
      <c r="K56" s="18">
        <v>46149</v>
      </c>
      <c r="L56" s="17" t="s">
        <v>24</v>
      </c>
      <c r="M56" s="7" t="s">
        <v>25</v>
      </c>
      <c r="N56" s="17"/>
    </row>
    <row r="57" spans="1:14" ht="25.5" customHeight="1" x14ac:dyDescent="0.25">
      <c r="A57" s="17">
        <v>56</v>
      </c>
      <c r="B57" s="16" t="s">
        <v>2955</v>
      </c>
      <c r="C57" s="17">
        <v>2</v>
      </c>
      <c r="D57" s="17">
        <v>16.600000000000001</v>
      </c>
      <c r="E57" s="17"/>
      <c r="F57" s="16" t="s">
        <v>31</v>
      </c>
      <c r="G57" s="17" t="s">
        <v>2959</v>
      </c>
      <c r="H57" s="17" t="s">
        <v>2960</v>
      </c>
      <c r="I57" s="17" t="s">
        <v>51</v>
      </c>
      <c r="J57" s="17" t="s">
        <v>2961</v>
      </c>
      <c r="K57" s="18">
        <v>45770</v>
      </c>
      <c r="L57" s="17" t="s">
        <v>24</v>
      </c>
      <c r="M57" s="7" t="s">
        <v>25</v>
      </c>
      <c r="N57" s="17"/>
    </row>
    <row r="58" spans="1:14" ht="51" customHeight="1" x14ac:dyDescent="0.25">
      <c r="A58" s="17">
        <v>57</v>
      </c>
      <c r="B58" s="16" t="s">
        <v>2955</v>
      </c>
      <c r="C58" s="17">
        <v>3</v>
      </c>
      <c r="D58" s="17">
        <v>13.8</v>
      </c>
      <c r="E58" s="17">
        <v>10.199999999999999</v>
      </c>
      <c r="F58" s="16" t="s">
        <v>31</v>
      </c>
      <c r="G58" s="17" t="s">
        <v>2962</v>
      </c>
      <c r="H58" s="17" t="s">
        <v>2963</v>
      </c>
      <c r="I58" s="17" t="s">
        <v>34</v>
      </c>
      <c r="J58" s="17" t="s">
        <v>2964</v>
      </c>
      <c r="K58" s="18">
        <v>46147</v>
      </c>
      <c r="L58" s="17" t="s">
        <v>24</v>
      </c>
      <c r="M58" s="7" t="s">
        <v>25</v>
      </c>
      <c r="N58" s="17"/>
    </row>
    <row r="59" spans="1:14" ht="25.5" customHeight="1" x14ac:dyDescent="0.25">
      <c r="A59" s="17">
        <v>58</v>
      </c>
      <c r="B59" s="16" t="s">
        <v>2965</v>
      </c>
      <c r="C59" s="17">
        <v>1</v>
      </c>
      <c r="D59" s="17">
        <v>17.7</v>
      </c>
      <c r="E59" s="17">
        <v>10.8</v>
      </c>
      <c r="F59" s="16" t="s">
        <v>48</v>
      </c>
      <c r="G59" s="17" t="s">
        <v>2966</v>
      </c>
      <c r="H59" s="17" t="s">
        <v>2967</v>
      </c>
      <c r="I59" s="17" t="s">
        <v>51</v>
      </c>
      <c r="J59" s="17" t="s">
        <v>2968</v>
      </c>
      <c r="K59" s="18">
        <v>46156</v>
      </c>
      <c r="L59" s="17" t="s">
        <v>24</v>
      </c>
      <c r="M59" s="7" t="s">
        <v>25</v>
      </c>
      <c r="N59" s="17"/>
    </row>
    <row r="60" spans="1:14" ht="25.5" customHeight="1" x14ac:dyDescent="0.25">
      <c r="A60" s="17">
        <v>59</v>
      </c>
      <c r="B60" s="16" t="s">
        <v>2965</v>
      </c>
      <c r="C60" s="17">
        <v>2</v>
      </c>
      <c r="D60" s="17">
        <v>16.100000000000001</v>
      </c>
      <c r="E60" s="17"/>
      <c r="F60" s="16" t="s">
        <v>48</v>
      </c>
      <c r="G60" s="17" t="s">
        <v>2966</v>
      </c>
      <c r="H60" s="17" t="s">
        <v>2967</v>
      </c>
      <c r="I60" s="17" t="s">
        <v>51</v>
      </c>
      <c r="J60" s="17" t="s">
        <v>2968</v>
      </c>
      <c r="K60" s="18">
        <v>46156</v>
      </c>
      <c r="L60" s="17" t="s">
        <v>24</v>
      </c>
      <c r="M60" s="7" t="s">
        <v>25</v>
      </c>
      <c r="N60" s="17"/>
    </row>
    <row r="61" spans="1:14" ht="51" customHeight="1" x14ac:dyDescent="0.25">
      <c r="A61" s="17">
        <v>60</v>
      </c>
      <c r="B61" s="16" t="s">
        <v>2965</v>
      </c>
      <c r="C61" s="17">
        <v>3</v>
      </c>
      <c r="D61" s="17">
        <v>11</v>
      </c>
      <c r="E61" s="17">
        <v>11.5</v>
      </c>
      <c r="F61" s="16" t="s">
        <v>338</v>
      </c>
      <c r="G61" s="17" t="s">
        <v>2969</v>
      </c>
      <c r="H61" s="17" t="s">
        <v>2970</v>
      </c>
      <c r="I61" s="17" t="s">
        <v>34</v>
      </c>
      <c r="J61" s="24" t="s">
        <v>2971</v>
      </c>
      <c r="K61" s="17" t="s">
        <v>2972</v>
      </c>
      <c r="L61" s="17" t="s">
        <v>24</v>
      </c>
      <c r="M61" s="7" t="s">
        <v>25</v>
      </c>
      <c r="N61" s="17"/>
    </row>
    <row r="62" spans="1:14" ht="51" customHeight="1" x14ac:dyDescent="0.25">
      <c r="A62" s="17">
        <v>61</v>
      </c>
      <c r="B62" s="16" t="s">
        <v>2973</v>
      </c>
      <c r="C62" s="17">
        <v>1</v>
      </c>
      <c r="D62" s="17">
        <v>16.5</v>
      </c>
      <c r="E62" s="17">
        <v>11</v>
      </c>
      <c r="F62" s="16" t="s">
        <v>101</v>
      </c>
      <c r="G62" s="17" t="s">
        <v>2974</v>
      </c>
      <c r="H62" s="17" t="s">
        <v>2975</v>
      </c>
      <c r="I62" s="17" t="s">
        <v>34</v>
      </c>
      <c r="J62" s="17" t="s">
        <v>2976</v>
      </c>
      <c r="K62" s="18">
        <v>46136</v>
      </c>
      <c r="L62" s="17" t="s">
        <v>82</v>
      </c>
      <c r="M62" s="7" t="s">
        <v>25</v>
      </c>
      <c r="N62" s="17"/>
    </row>
    <row r="63" spans="1:14" ht="51" customHeight="1" x14ac:dyDescent="0.25">
      <c r="A63" s="17">
        <v>62</v>
      </c>
      <c r="B63" s="16" t="s">
        <v>2973</v>
      </c>
      <c r="C63" s="17">
        <v>2</v>
      </c>
      <c r="D63" s="17">
        <v>16.899999999999999</v>
      </c>
      <c r="E63" s="17"/>
      <c r="F63" s="16" t="s">
        <v>101</v>
      </c>
      <c r="G63" s="17" t="s">
        <v>2974</v>
      </c>
      <c r="H63" s="17" t="s">
        <v>2975</v>
      </c>
      <c r="I63" s="17" t="s">
        <v>34</v>
      </c>
      <c r="J63" s="17" t="s">
        <v>2976</v>
      </c>
      <c r="K63" s="18">
        <v>46136</v>
      </c>
      <c r="L63" s="17" t="s">
        <v>82</v>
      </c>
      <c r="M63" s="7" t="s">
        <v>25</v>
      </c>
      <c r="N63" s="17"/>
    </row>
    <row r="64" spans="1:14" ht="25.5" customHeight="1" x14ac:dyDescent="0.25">
      <c r="A64" s="17">
        <v>63</v>
      </c>
      <c r="B64" s="16" t="s">
        <v>2973</v>
      </c>
      <c r="C64" s="17">
        <v>3</v>
      </c>
      <c r="D64" s="17">
        <v>13.1</v>
      </c>
      <c r="E64" s="17">
        <v>11</v>
      </c>
      <c r="F64" s="16" t="s">
        <v>19</v>
      </c>
      <c r="G64" s="17" t="s">
        <v>2977</v>
      </c>
      <c r="H64" s="17" t="s">
        <v>2978</v>
      </c>
      <c r="I64" s="17" t="s">
        <v>22</v>
      </c>
      <c r="J64" s="17" t="s">
        <v>2979</v>
      </c>
      <c r="K64" s="18">
        <v>46140</v>
      </c>
      <c r="L64" s="17" t="s">
        <v>24</v>
      </c>
      <c r="M64" s="7" t="s">
        <v>25</v>
      </c>
      <c r="N64" s="17"/>
    </row>
    <row r="65" spans="1:14" ht="25.5" customHeight="1" x14ac:dyDescent="0.25">
      <c r="A65" s="17">
        <v>64</v>
      </c>
      <c r="B65" s="16" t="s">
        <v>2980</v>
      </c>
      <c r="C65" s="17">
        <v>1</v>
      </c>
      <c r="D65" s="17">
        <v>16.7</v>
      </c>
      <c r="E65" s="17">
        <v>11.4</v>
      </c>
      <c r="F65" s="16" t="s">
        <v>151</v>
      </c>
      <c r="G65" s="17" t="s">
        <v>2981</v>
      </c>
      <c r="H65" s="17" t="s">
        <v>2982</v>
      </c>
      <c r="I65" s="17" t="s">
        <v>22</v>
      </c>
      <c r="J65" s="17" t="s">
        <v>2983</v>
      </c>
      <c r="K65" s="18">
        <v>46150</v>
      </c>
      <c r="L65" s="17" t="s">
        <v>24</v>
      </c>
      <c r="M65" s="7" t="s">
        <v>25</v>
      </c>
      <c r="N65" s="17"/>
    </row>
    <row r="66" spans="1:14" ht="25.5" customHeight="1" x14ac:dyDescent="0.25">
      <c r="A66" s="17">
        <v>65</v>
      </c>
      <c r="B66" s="16" t="s">
        <v>2980</v>
      </c>
      <c r="C66" s="17">
        <v>2</v>
      </c>
      <c r="D66" s="17">
        <v>17</v>
      </c>
      <c r="E66" s="17"/>
      <c r="F66" s="16" t="s">
        <v>151</v>
      </c>
      <c r="G66" s="17" t="s">
        <v>2981</v>
      </c>
      <c r="H66" s="17" t="s">
        <v>2982</v>
      </c>
      <c r="I66" s="17" t="s">
        <v>22</v>
      </c>
      <c r="J66" s="17" t="s">
        <v>2983</v>
      </c>
      <c r="K66" s="18">
        <v>46150</v>
      </c>
      <c r="L66" s="17" t="s">
        <v>24</v>
      </c>
      <c r="M66" s="7" t="s">
        <v>25</v>
      </c>
      <c r="N66" s="17"/>
    </row>
    <row r="67" spans="1:14" ht="25.5" customHeight="1" x14ac:dyDescent="0.25">
      <c r="A67" s="17">
        <v>66</v>
      </c>
      <c r="B67" s="16" t="s">
        <v>2980</v>
      </c>
      <c r="C67" s="17">
        <v>3</v>
      </c>
      <c r="D67" s="17">
        <v>13.1</v>
      </c>
      <c r="E67" s="17">
        <v>11</v>
      </c>
      <c r="F67" s="16" t="s">
        <v>151</v>
      </c>
      <c r="G67" s="17" t="s">
        <v>2984</v>
      </c>
      <c r="H67" s="17" t="s">
        <v>2985</v>
      </c>
      <c r="I67" s="17" t="s">
        <v>28</v>
      </c>
      <c r="J67" s="17" t="s">
        <v>2986</v>
      </c>
      <c r="K67" s="18">
        <v>46150</v>
      </c>
      <c r="L67" s="17" t="s">
        <v>24</v>
      </c>
      <c r="M67" s="7" t="s">
        <v>25</v>
      </c>
      <c r="N67" s="17"/>
    </row>
    <row r="68" spans="1:14" ht="25.5" customHeight="1" x14ac:dyDescent="0.25">
      <c r="A68" s="17">
        <v>67</v>
      </c>
      <c r="B68" s="16" t="s">
        <v>2987</v>
      </c>
      <c r="C68" s="17">
        <v>1</v>
      </c>
      <c r="D68" s="17">
        <v>16.600000000000001</v>
      </c>
      <c r="E68" s="17">
        <v>11.6</v>
      </c>
      <c r="F68" s="16" t="s">
        <v>121</v>
      </c>
      <c r="G68" s="17" t="s">
        <v>2988</v>
      </c>
      <c r="H68" s="17" t="s">
        <v>2989</v>
      </c>
      <c r="I68" s="17" t="s">
        <v>28</v>
      </c>
      <c r="J68" s="17" t="s">
        <v>2990</v>
      </c>
      <c r="K68" s="18">
        <v>46155</v>
      </c>
      <c r="L68" s="17" t="s">
        <v>24</v>
      </c>
      <c r="M68" s="7" t="s">
        <v>25</v>
      </c>
      <c r="N68" s="17"/>
    </row>
    <row r="69" spans="1:14" ht="25.5" customHeight="1" x14ac:dyDescent="0.25">
      <c r="A69" s="17">
        <v>68</v>
      </c>
      <c r="B69" s="16" t="s">
        <v>2987</v>
      </c>
      <c r="C69" s="17">
        <v>2</v>
      </c>
      <c r="D69" s="17">
        <v>17</v>
      </c>
      <c r="E69" s="17"/>
      <c r="F69" s="16" t="s">
        <v>121</v>
      </c>
      <c r="G69" s="17" t="s">
        <v>2988</v>
      </c>
      <c r="H69" s="17" t="s">
        <v>2989</v>
      </c>
      <c r="I69" s="17" t="s">
        <v>28</v>
      </c>
      <c r="J69" s="17" t="s">
        <v>2990</v>
      </c>
      <c r="K69" s="18">
        <v>46155</v>
      </c>
      <c r="L69" s="17" t="s">
        <v>24</v>
      </c>
      <c r="M69" s="7" t="s">
        <v>25</v>
      </c>
      <c r="N69" s="17"/>
    </row>
    <row r="70" spans="1:14" ht="51" customHeight="1" x14ac:dyDescent="0.25">
      <c r="A70" s="17">
        <v>69</v>
      </c>
      <c r="B70" s="16" t="s">
        <v>2987</v>
      </c>
      <c r="C70" s="17">
        <v>3</v>
      </c>
      <c r="D70" s="17">
        <v>13.2</v>
      </c>
      <c r="E70" s="17">
        <v>11.2</v>
      </c>
      <c r="F70" s="16" t="s">
        <v>121</v>
      </c>
      <c r="G70" s="17" t="s">
        <v>2991</v>
      </c>
      <c r="H70" s="17" t="s">
        <v>2992</v>
      </c>
      <c r="I70" s="17" t="s">
        <v>34</v>
      </c>
      <c r="J70" s="17" t="s">
        <v>2993</v>
      </c>
      <c r="K70" s="18">
        <v>46149</v>
      </c>
      <c r="L70" s="17" t="s">
        <v>24</v>
      </c>
      <c r="M70" s="7" t="s">
        <v>25</v>
      </c>
      <c r="N70" s="17"/>
    </row>
    <row r="71" spans="1:14" ht="51" customHeight="1" x14ac:dyDescent="0.25">
      <c r="A71" s="17">
        <v>70</v>
      </c>
      <c r="B71" s="16" t="s">
        <v>2994</v>
      </c>
      <c r="C71" s="17">
        <v>1</v>
      </c>
      <c r="D71" s="17">
        <v>14.3</v>
      </c>
      <c r="E71" s="17">
        <v>10.1</v>
      </c>
      <c r="F71" s="16" t="s">
        <v>54</v>
      </c>
      <c r="G71" s="17" t="s">
        <v>2995</v>
      </c>
      <c r="H71" s="17" t="s">
        <v>4945</v>
      </c>
      <c r="I71" s="17" t="s">
        <v>34</v>
      </c>
      <c r="J71" s="17" t="s">
        <v>2996</v>
      </c>
      <c r="K71" s="18">
        <v>46157</v>
      </c>
      <c r="L71" s="17" t="s">
        <v>82</v>
      </c>
      <c r="M71" s="7" t="s">
        <v>25</v>
      </c>
      <c r="N71" s="17"/>
    </row>
    <row r="72" spans="1:14" ht="51" customHeight="1" x14ac:dyDescent="0.25">
      <c r="A72" s="17">
        <v>71</v>
      </c>
      <c r="B72" s="16" t="s">
        <v>2994</v>
      </c>
      <c r="C72" s="17">
        <v>2</v>
      </c>
      <c r="D72" s="17">
        <v>15.7</v>
      </c>
      <c r="E72" s="17"/>
      <c r="F72" s="16" t="s">
        <v>54</v>
      </c>
      <c r="G72" s="17" t="s">
        <v>2995</v>
      </c>
      <c r="H72" s="17" t="s">
        <v>4945</v>
      </c>
      <c r="I72" s="17" t="s">
        <v>34</v>
      </c>
      <c r="J72" s="17" t="s">
        <v>2996</v>
      </c>
      <c r="K72" s="18">
        <v>46157</v>
      </c>
      <c r="L72" s="17" t="s">
        <v>82</v>
      </c>
      <c r="M72" s="7" t="s">
        <v>25</v>
      </c>
      <c r="N72" s="17"/>
    </row>
    <row r="73" spans="1:14" ht="25.5" customHeight="1" x14ac:dyDescent="0.25">
      <c r="A73" s="17">
        <v>72</v>
      </c>
      <c r="B73" s="16" t="s">
        <v>2994</v>
      </c>
      <c r="C73" s="17">
        <v>3</v>
      </c>
      <c r="D73" s="17">
        <v>11.5</v>
      </c>
      <c r="E73" s="17">
        <v>10.4</v>
      </c>
      <c r="F73" s="16" t="s">
        <v>101</v>
      </c>
      <c r="G73" s="17" t="s">
        <v>2997</v>
      </c>
      <c r="H73" s="17" t="s">
        <v>2998</v>
      </c>
      <c r="I73" s="17" t="s">
        <v>42</v>
      </c>
      <c r="J73" s="17" t="s">
        <v>2999</v>
      </c>
      <c r="K73" s="18">
        <v>46133</v>
      </c>
      <c r="L73" s="17" t="s">
        <v>24</v>
      </c>
      <c r="M73" s="7" t="s">
        <v>25</v>
      </c>
      <c r="N73" s="17"/>
    </row>
    <row r="74" spans="1:14" ht="38.25" customHeight="1" x14ac:dyDescent="0.25">
      <c r="A74" s="17">
        <v>73</v>
      </c>
      <c r="B74" s="16" t="s">
        <v>3000</v>
      </c>
      <c r="C74" s="17">
        <v>1</v>
      </c>
      <c r="D74" s="17">
        <v>12.9</v>
      </c>
      <c r="E74" s="17">
        <v>10.4</v>
      </c>
      <c r="F74" s="16" t="s">
        <v>126</v>
      </c>
      <c r="G74" s="17" t="s">
        <v>3001</v>
      </c>
      <c r="H74" s="17" t="s">
        <v>3002</v>
      </c>
      <c r="I74" s="17" t="s">
        <v>34</v>
      </c>
      <c r="J74" s="17" t="s">
        <v>3003</v>
      </c>
      <c r="K74" s="18">
        <v>46148</v>
      </c>
      <c r="L74" s="17" t="s">
        <v>24</v>
      </c>
      <c r="M74" s="7" t="s">
        <v>25</v>
      </c>
      <c r="N74" s="17"/>
    </row>
    <row r="75" spans="1:14" ht="25.5" customHeight="1" x14ac:dyDescent="0.25">
      <c r="A75" s="17">
        <v>74</v>
      </c>
      <c r="B75" s="16" t="s">
        <v>3000</v>
      </c>
      <c r="C75" s="17">
        <v>2</v>
      </c>
      <c r="D75" s="17">
        <v>15.7</v>
      </c>
      <c r="E75" s="17"/>
      <c r="F75" s="16" t="s">
        <v>106</v>
      </c>
      <c r="G75" s="17" t="s">
        <v>3004</v>
      </c>
      <c r="H75" s="17" t="s">
        <v>3005</v>
      </c>
      <c r="I75" s="17" t="s">
        <v>22</v>
      </c>
      <c r="J75" s="17" t="s">
        <v>3006</v>
      </c>
      <c r="K75" s="18">
        <v>46144</v>
      </c>
      <c r="L75" s="17" t="s">
        <v>24</v>
      </c>
      <c r="M75" s="7" t="s">
        <v>25</v>
      </c>
      <c r="N75" s="17"/>
    </row>
    <row r="76" spans="1:14" ht="51" customHeight="1" x14ac:dyDescent="0.25">
      <c r="A76" s="17">
        <v>75</v>
      </c>
      <c r="B76" s="16" t="s">
        <v>3000</v>
      </c>
      <c r="C76" s="17">
        <v>3</v>
      </c>
      <c r="D76" s="17">
        <v>15.9</v>
      </c>
      <c r="E76" s="17">
        <v>10.8</v>
      </c>
      <c r="F76" s="16" t="s">
        <v>126</v>
      </c>
      <c r="G76" s="17" t="s">
        <v>3007</v>
      </c>
      <c r="H76" s="17" t="s">
        <v>3008</v>
      </c>
      <c r="I76" s="17" t="s">
        <v>34</v>
      </c>
      <c r="J76" s="17" t="s">
        <v>3009</v>
      </c>
      <c r="K76" s="18">
        <v>46144</v>
      </c>
      <c r="L76" s="17" t="s">
        <v>24</v>
      </c>
      <c r="M76" s="7" t="s">
        <v>25</v>
      </c>
      <c r="N76" s="17"/>
    </row>
    <row r="77" spans="1:14" ht="38.25" customHeight="1" x14ac:dyDescent="0.25">
      <c r="A77" s="17">
        <v>76</v>
      </c>
      <c r="B77" s="16" t="s">
        <v>3010</v>
      </c>
      <c r="C77" s="17">
        <v>1</v>
      </c>
      <c r="D77" s="17">
        <v>16.5</v>
      </c>
      <c r="E77" s="17">
        <v>10.7</v>
      </c>
      <c r="F77" s="16" t="s">
        <v>62</v>
      </c>
      <c r="G77" s="17" t="s">
        <v>3011</v>
      </c>
      <c r="H77" s="17" t="s">
        <v>3012</v>
      </c>
      <c r="I77" s="17" t="s">
        <v>293</v>
      </c>
      <c r="J77" s="24" t="s">
        <v>3013</v>
      </c>
      <c r="K77" s="18">
        <v>46147</v>
      </c>
      <c r="L77" s="17" t="s">
        <v>24</v>
      </c>
      <c r="M77" s="7" t="s">
        <v>25</v>
      </c>
      <c r="N77" s="17"/>
    </row>
    <row r="78" spans="1:14" ht="38.25" customHeight="1" x14ac:dyDescent="0.25">
      <c r="A78" s="17">
        <v>77</v>
      </c>
      <c r="B78" s="16" t="s">
        <v>3010</v>
      </c>
      <c r="C78" s="17">
        <v>2</v>
      </c>
      <c r="D78" s="17">
        <v>15.8</v>
      </c>
      <c r="E78" s="17"/>
      <c r="F78" s="16" t="s">
        <v>62</v>
      </c>
      <c r="G78" s="17" t="s">
        <v>3011</v>
      </c>
      <c r="H78" s="17" t="s">
        <v>3012</v>
      </c>
      <c r="I78" s="17" t="s">
        <v>293</v>
      </c>
      <c r="J78" s="24" t="s">
        <v>3013</v>
      </c>
      <c r="K78" s="18">
        <v>46147</v>
      </c>
      <c r="L78" s="17" t="s">
        <v>24</v>
      </c>
      <c r="M78" s="7" t="s">
        <v>25</v>
      </c>
      <c r="N78" s="17"/>
    </row>
    <row r="79" spans="1:14" ht="38.25" customHeight="1" x14ac:dyDescent="0.25">
      <c r="A79" s="17">
        <v>78</v>
      </c>
      <c r="B79" s="16" t="s">
        <v>3010</v>
      </c>
      <c r="C79" s="17">
        <v>3</v>
      </c>
      <c r="D79" s="17">
        <v>12.6</v>
      </c>
      <c r="E79" s="17">
        <v>10.5</v>
      </c>
      <c r="F79" s="16" t="s">
        <v>62</v>
      </c>
      <c r="G79" s="17" t="s">
        <v>3011</v>
      </c>
      <c r="H79" s="17" t="s">
        <v>3012</v>
      </c>
      <c r="I79" s="17" t="s">
        <v>293</v>
      </c>
      <c r="J79" s="24" t="s">
        <v>3013</v>
      </c>
      <c r="K79" s="18">
        <v>46147</v>
      </c>
      <c r="L79" s="17" t="s">
        <v>24</v>
      </c>
      <c r="M79" s="7" t="s">
        <v>25</v>
      </c>
      <c r="N79" s="17"/>
    </row>
    <row r="80" spans="1:14" ht="25.5" customHeight="1" x14ac:dyDescent="0.25">
      <c r="A80" s="17">
        <v>79</v>
      </c>
      <c r="B80" s="16" t="s">
        <v>3014</v>
      </c>
      <c r="C80" s="17">
        <v>1</v>
      </c>
      <c r="D80" s="17">
        <v>15.2</v>
      </c>
      <c r="E80" s="17">
        <v>10.3</v>
      </c>
      <c r="F80" s="16" t="s">
        <v>121</v>
      </c>
      <c r="G80" s="17" t="s">
        <v>3015</v>
      </c>
      <c r="H80" s="17" t="s">
        <v>3016</v>
      </c>
      <c r="I80" s="17" t="s">
        <v>51</v>
      </c>
      <c r="J80" s="17" t="s">
        <v>3017</v>
      </c>
      <c r="K80" s="18">
        <v>46141</v>
      </c>
      <c r="L80" s="17" t="s">
        <v>24</v>
      </c>
      <c r="M80" s="7" t="s">
        <v>25</v>
      </c>
      <c r="N80" s="17"/>
    </row>
    <row r="81" spans="1:14" ht="51" customHeight="1" x14ac:dyDescent="0.25">
      <c r="A81" s="17">
        <v>80</v>
      </c>
      <c r="B81" s="16" t="s">
        <v>3014</v>
      </c>
      <c r="C81" s="17">
        <v>2</v>
      </c>
      <c r="D81" s="17">
        <v>16.399999999999999</v>
      </c>
      <c r="E81" s="17"/>
      <c r="F81" s="16" t="s">
        <v>106</v>
      </c>
      <c r="G81" s="17" t="s">
        <v>3018</v>
      </c>
      <c r="H81" s="17" t="s">
        <v>3019</v>
      </c>
      <c r="I81" s="17" t="s">
        <v>34</v>
      </c>
      <c r="J81" s="17" t="s">
        <v>3020</v>
      </c>
      <c r="K81" s="18">
        <v>46137</v>
      </c>
      <c r="L81" s="17" t="s">
        <v>24</v>
      </c>
      <c r="M81" s="7" t="s">
        <v>25</v>
      </c>
      <c r="N81" s="17"/>
    </row>
    <row r="82" spans="1:14" ht="51" customHeight="1" x14ac:dyDescent="0.25">
      <c r="A82" s="17">
        <v>81</v>
      </c>
      <c r="B82" s="16" t="s">
        <v>3014</v>
      </c>
      <c r="C82" s="17">
        <v>3</v>
      </c>
      <c r="D82" s="17">
        <v>14.4</v>
      </c>
      <c r="E82" s="17">
        <v>10.1</v>
      </c>
      <c r="F82" s="16" t="s">
        <v>106</v>
      </c>
      <c r="G82" s="17" t="s">
        <v>3018</v>
      </c>
      <c r="H82" s="17" t="s">
        <v>3019</v>
      </c>
      <c r="I82" s="17" t="s">
        <v>34</v>
      </c>
      <c r="J82" s="17" t="s">
        <v>3020</v>
      </c>
      <c r="K82" s="18">
        <v>46137</v>
      </c>
      <c r="L82" s="17" t="s">
        <v>24</v>
      </c>
      <c r="M82" s="7" t="s">
        <v>25</v>
      </c>
      <c r="N82" s="17"/>
    </row>
    <row r="83" spans="1:14" ht="63.75" customHeight="1" x14ac:dyDescent="0.25">
      <c r="A83" s="17">
        <v>82</v>
      </c>
      <c r="B83" s="16" t="s">
        <v>3021</v>
      </c>
      <c r="C83" s="17">
        <v>1</v>
      </c>
      <c r="D83" s="17">
        <v>16.8</v>
      </c>
      <c r="E83" s="17">
        <v>10.8</v>
      </c>
      <c r="F83" s="16" t="s">
        <v>151</v>
      </c>
      <c r="G83" s="17" t="s">
        <v>3022</v>
      </c>
      <c r="H83" s="17" t="s">
        <v>3023</v>
      </c>
      <c r="I83" s="17" t="s">
        <v>34</v>
      </c>
      <c r="J83" s="17" t="s">
        <v>3024</v>
      </c>
      <c r="K83" s="18">
        <v>46140</v>
      </c>
      <c r="L83" s="17" t="s">
        <v>24</v>
      </c>
      <c r="M83" s="7" t="s">
        <v>25</v>
      </c>
      <c r="N83" s="17"/>
    </row>
    <row r="84" spans="1:14" ht="63.75" customHeight="1" x14ac:dyDescent="0.25">
      <c r="A84" s="17">
        <v>83</v>
      </c>
      <c r="B84" s="16" t="s">
        <v>3021</v>
      </c>
      <c r="C84" s="17">
        <v>2</v>
      </c>
      <c r="D84" s="17">
        <v>16.3</v>
      </c>
      <c r="E84" s="17"/>
      <c r="F84" s="16" t="s">
        <v>151</v>
      </c>
      <c r="G84" s="17" t="s">
        <v>3022</v>
      </c>
      <c r="H84" s="17" t="s">
        <v>3023</v>
      </c>
      <c r="I84" s="17" t="s">
        <v>34</v>
      </c>
      <c r="J84" s="17" t="s">
        <v>3024</v>
      </c>
      <c r="K84" s="18">
        <v>46140</v>
      </c>
      <c r="L84" s="17" t="s">
        <v>24</v>
      </c>
      <c r="M84" s="7" t="s">
        <v>25</v>
      </c>
      <c r="N84" s="17"/>
    </row>
    <row r="85" spans="1:14" x14ac:dyDescent="0.25">
      <c r="A85" s="14">
        <v>84</v>
      </c>
      <c r="B85" s="15" t="s">
        <v>3021</v>
      </c>
      <c r="C85" s="14">
        <v>3</v>
      </c>
      <c r="D85" s="14">
        <v>12.5</v>
      </c>
      <c r="E85" s="14">
        <v>11.2</v>
      </c>
      <c r="F85" s="15" t="s">
        <v>101</v>
      </c>
      <c r="G85" s="14"/>
      <c r="H85" s="14"/>
      <c r="I85" s="14"/>
      <c r="J85" s="14"/>
      <c r="K85" s="14"/>
      <c r="L85" s="14"/>
      <c r="M85" s="14" t="s">
        <v>286</v>
      </c>
      <c r="N85" s="14"/>
    </row>
    <row r="86" spans="1:14" ht="25.5" customHeight="1" x14ac:dyDescent="0.25">
      <c r="A86" s="17">
        <v>85</v>
      </c>
      <c r="B86" s="16" t="s">
        <v>3025</v>
      </c>
      <c r="C86" s="17">
        <v>1</v>
      </c>
      <c r="D86" s="17">
        <v>16.3</v>
      </c>
      <c r="E86" s="17">
        <v>10.4</v>
      </c>
      <c r="F86" s="16" t="s">
        <v>31</v>
      </c>
      <c r="G86" s="17" t="s">
        <v>3026</v>
      </c>
      <c r="H86" s="17" t="s">
        <v>3027</v>
      </c>
      <c r="I86" s="17" t="s">
        <v>51</v>
      </c>
      <c r="J86" s="17" t="s">
        <v>3028</v>
      </c>
      <c r="K86" s="18">
        <v>46154</v>
      </c>
      <c r="L86" s="17" t="s">
        <v>24</v>
      </c>
      <c r="M86" s="7" t="s">
        <v>25</v>
      </c>
      <c r="N86" s="17"/>
    </row>
    <row r="87" spans="1:14" ht="25.5" customHeight="1" x14ac:dyDescent="0.25">
      <c r="A87" s="17">
        <v>86</v>
      </c>
      <c r="B87" s="16" t="s">
        <v>3025</v>
      </c>
      <c r="C87" s="17">
        <v>2</v>
      </c>
      <c r="D87" s="17">
        <v>16.2</v>
      </c>
      <c r="E87" s="17"/>
      <c r="F87" s="16" t="s">
        <v>31</v>
      </c>
      <c r="G87" s="17" t="s">
        <v>3026</v>
      </c>
      <c r="H87" s="17" t="s">
        <v>3027</v>
      </c>
      <c r="I87" s="17" t="s">
        <v>51</v>
      </c>
      <c r="J87" s="17" t="s">
        <v>3028</v>
      </c>
      <c r="K87" s="18">
        <v>46154</v>
      </c>
      <c r="L87" s="17" t="s">
        <v>24</v>
      </c>
      <c r="M87" s="7" t="s">
        <v>25</v>
      </c>
      <c r="N87" s="17"/>
    </row>
    <row r="88" spans="1:14" ht="25.5" customHeight="1" x14ac:dyDescent="0.25">
      <c r="A88" s="17">
        <v>87</v>
      </c>
      <c r="B88" s="16" t="s">
        <v>3025</v>
      </c>
      <c r="C88" s="17">
        <v>3</v>
      </c>
      <c r="D88" s="17">
        <v>13.6</v>
      </c>
      <c r="E88" s="17">
        <v>10.4</v>
      </c>
      <c r="F88" s="16" t="s">
        <v>162</v>
      </c>
      <c r="G88" s="17" t="s">
        <v>3029</v>
      </c>
      <c r="H88" s="17" t="s">
        <v>3030</v>
      </c>
      <c r="I88" s="17" t="s">
        <v>28</v>
      </c>
      <c r="J88" s="17" t="s">
        <v>3031</v>
      </c>
      <c r="K88" s="18">
        <v>46135</v>
      </c>
      <c r="L88" s="17" t="s">
        <v>24</v>
      </c>
      <c r="M88" s="7" t="s">
        <v>25</v>
      </c>
      <c r="N88" s="17"/>
    </row>
    <row r="89" spans="1:14" ht="25.5" customHeight="1" x14ac:dyDescent="0.25">
      <c r="A89" s="17">
        <v>88</v>
      </c>
      <c r="B89" s="16" t="s">
        <v>3032</v>
      </c>
      <c r="C89" s="17">
        <v>1</v>
      </c>
      <c r="D89" s="17">
        <v>17.3</v>
      </c>
      <c r="E89" s="17">
        <v>11.8</v>
      </c>
      <c r="F89" s="16" t="s">
        <v>151</v>
      </c>
      <c r="G89" s="17" t="s">
        <v>3033</v>
      </c>
      <c r="H89" s="17" t="s">
        <v>3034</v>
      </c>
      <c r="I89" s="17" t="s">
        <v>28</v>
      </c>
      <c r="J89" s="17" t="s">
        <v>3035</v>
      </c>
      <c r="K89" s="18">
        <v>46136</v>
      </c>
      <c r="L89" s="17" t="s">
        <v>82</v>
      </c>
      <c r="M89" s="7" t="s">
        <v>25</v>
      </c>
      <c r="N89" s="17"/>
    </row>
    <row r="90" spans="1:14" ht="25.5" customHeight="1" x14ac:dyDescent="0.25">
      <c r="A90" s="17">
        <v>89</v>
      </c>
      <c r="B90" s="16" t="s">
        <v>3032</v>
      </c>
      <c r="C90" s="17">
        <v>2</v>
      </c>
      <c r="D90" s="17">
        <v>17.2</v>
      </c>
      <c r="E90" s="17"/>
      <c r="F90" s="16" t="s">
        <v>151</v>
      </c>
      <c r="G90" s="17" t="s">
        <v>3036</v>
      </c>
      <c r="H90" s="17" t="s">
        <v>4963</v>
      </c>
      <c r="I90" s="17" t="s">
        <v>28</v>
      </c>
      <c r="J90" s="17" t="s">
        <v>3037</v>
      </c>
      <c r="K90" s="18">
        <v>46141</v>
      </c>
      <c r="L90" s="17" t="s">
        <v>24</v>
      </c>
      <c r="M90" s="7" t="s">
        <v>25</v>
      </c>
      <c r="N90" s="17"/>
    </row>
    <row r="91" spans="1:14" ht="25.5" customHeight="1" x14ac:dyDescent="0.25">
      <c r="A91" s="17">
        <v>90</v>
      </c>
      <c r="B91" s="16" t="s">
        <v>3032</v>
      </c>
      <c r="C91" s="17">
        <v>3</v>
      </c>
      <c r="D91" s="17">
        <v>13.3</v>
      </c>
      <c r="E91" s="17">
        <v>11.3</v>
      </c>
      <c r="F91" s="16" t="s">
        <v>151</v>
      </c>
      <c r="G91" s="17" t="s">
        <v>3036</v>
      </c>
      <c r="H91" s="17" t="s">
        <v>4963</v>
      </c>
      <c r="I91" s="17" t="s">
        <v>28</v>
      </c>
      <c r="J91" s="17" t="s">
        <v>3037</v>
      </c>
      <c r="K91" s="18">
        <v>46141</v>
      </c>
      <c r="L91" s="17" t="s">
        <v>24</v>
      </c>
      <c r="M91" s="7" t="s">
        <v>25</v>
      </c>
      <c r="N91" s="17"/>
    </row>
    <row r="92" spans="1:14" ht="25.5" customHeight="1" x14ac:dyDescent="0.25">
      <c r="A92" s="17">
        <v>91</v>
      </c>
      <c r="B92" s="16" t="s">
        <v>3038</v>
      </c>
      <c r="C92" s="17">
        <v>1</v>
      </c>
      <c r="D92" s="17">
        <v>16.3</v>
      </c>
      <c r="E92" s="17">
        <v>10.4</v>
      </c>
      <c r="F92" s="16" t="s">
        <v>31</v>
      </c>
      <c r="G92" s="17" t="s">
        <v>3039</v>
      </c>
      <c r="H92" s="17" t="s">
        <v>3040</v>
      </c>
      <c r="I92" s="17" t="s">
        <v>28</v>
      </c>
      <c r="J92" s="17" t="s">
        <v>3041</v>
      </c>
      <c r="K92" s="18">
        <v>46137</v>
      </c>
      <c r="L92" s="17" t="s">
        <v>24</v>
      </c>
      <c r="M92" s="7" t="s">
        <v>25</v>
      </c>
      <c r="N92" s="17"/>
    </row>
    <row r="93" spans="1:14" ht="51" customHeight="1" x14ac:dyDescent="0.25">
      <c r="A93" s="17">
        <v>92</v>
      </c>
      <c r="B93" s="16" t="s">
        <v>3038</v>
      </c>
      <c r="C93" s="17">
        <v>2</v>
      </c>
      <c r="D93" s="17">
        <v>16.5</v>
      </c>
      <c r="E93" s="17"/>
      <c r="F93" s="16" t="s">
        <v>31</v>
      </c>
      <c r="G93" s="17" t="s">
        <v>3042</v>
      </c>
      <c r="H93" s="17" t="s">
        <v>3043</v>
      </c>
      <c r="I93" s="17" t="s">
        <v>34</v>
      </c>
      <c r="J93" s="17" t="s">
        <v>3044</v>
      </c>
      <c r="K93" s="18">
        <v>46150</v>
      </c>
      <c r="L93" s="17" t="s">
        <v>24</v>
      </c>
      <c r="M93" s="7" t="s">
        <v>25</v>
      </c>
      <c r="N93" s="17"/>
    </row>
    <row r="94" spans="1:14" ht="51" customHeight="1" x14ac:dyDescent="0.25">
      <c r="A94" s="17">
        <v>93</v>
      </c>
      <c r="B94" s="16" t="s">
        <v>3038</v>
      </c>
      <c r="C94" s="17">
        <v>3</v>
      </c>
      <c r="D94" s="17">
        <v>13.1</v>
      </c>
      <c r="E94" s="17">
        <v>11</v>
      </c>
      <c r="F94" s="16" t="s">
        <v>31</v>
      </c>
      <c r="G94" s="17" t="s">
        <v>3042</v>
      </c>
      <c r="H94" s="17" t="s">
        <v>3043</v>
      </c>
      <c r="I94" s="17" t="s">
        <v>34</v>
      </c>
      <c r="J94" s="17" t="s">
        <v>3044</v>
      </c>
      <c r="K94" s="18">
        <v>46150</v>
      </c>
      <c r="L94" s="17" t="s">
        <v>24</v>
      </c>
      <c r="M94" s="7" t="s">
        <v>25</v>
      </c>
      <c r="N94" s="17"/>
    </row>
    <row r="95" spans="1:14" ht="25.5" customHeight="1" x14ac:dyDescent="0.25">
      <c r="A95" s="17">
        <v>94</v>
      </c>
      <c r="B95" s="16" t="s">
        <v>3045</v>
      </c>
      <c r="C95" s="17">
        <v>1</v>
      </c>
      <c r="D95" s="17">
        <v>16.399999999999999</v>
      </c>
      <c r="E95" s="17">
        <v>10.1</v>
      </c>
      <c r="F95" s="16" t="s">
        <v>151</v>
      </c>
      <c r="G95" s="17" t="s">
        <v>3046</v>
      </c>
      <c r="H95" s="17" t="s">
        <v>3047</v>
      </c>
      <c r="I95" s="17" t="s">
        <v>28</v>
      </c>
      <c r="J95" s="17" t="s">
        <v>3048</v>
      </c>
      <c r="K95" s="18">
        <v>46149</v>
      </c>
      <c r="L95" s="17" t="s">
        <v>24</v>
      </c>
      <c r="M95" s="7" t="s">
        <v>25</v>
      </c>
      <c r="N95" s="17"/>
    </row>
    <row r="96" spans="1:14" ht="51" customHeight="1" x14ac:dyDescent="0.25">
      <c r="A96" s="17">
        <v>95</v>
      </c>
      <c r="B96" s="16" t="s">
        <v>3045</v>
      </c>
      <c r="C96" s="17">
        <v>2</v>
      </c>
      <c r="D96" s="17">
        <v>17.399999999999999</v>
      </c>
      <c r="E96" s="17"/>
      <c r="F96" s="16" t="s">
        <v>162</v>
      </c>
      <c r="G96" s="17" t="s">
        <v>3049</v>
      </c>
      <c r="H96" s="17" t="s">
        <v>3050</v>
      </c>
      <c r="I96" s="17" t="s">
        <v>34</v>
      </c>
      <c r="J96" s="17" t="s">
        <v>3051</v>
      </c>
      <c r="K96" s="18">
        <v>46157</v>
      </c>
      <c r="L96" s="17" t="s">
        <v>24</v>
      </c>
      <c r="M96" s="7" t="s">
        <v>25</v>
      </c>
      <c r="N96" s="17"/>
    </row>
    <row r="97" spans="1:14" ht="51" customHeight="1" x14ac:dyDescent="0.25">
      <c r="A97" s="17">
        <v>96</v>
      </c>
      <c r="B97" s="16" t="s">
        <v>3045</v>
      </c>
      <c r="C97" s="17">
        <v>3</v>
      </c>
      <c r="D97" s="17">
        <v>12.7</v>
      </c>
      <c r="E97" s="17">
        <v>9.9</v>
      </c>
      <c r="F97" s="16" t="s">
        <v>126</v>
      </c>
      <c r="G97" s="17" t="s">
        <v>3052</v>
      </c>
      <c r="H97" s="17" t="s">
        <v>3053</v>
      </c>
      <c r="I97" s="17" t="s">
        <v>34</v>
      </c>
      <c r="J97" s="17" t="s">
        <v>3054</v>
      </c>
      <c r="K97" s="18">
        <v>46147</v>
      </c>
      <c r="L97" s="17" t="s">
        <v>24</v>
      </c>
      <c r="M97" s="7" t="s">
        <v>25</v>
      </c>
      <c r="N97" s="17"/>
    </row>
    <row r="98" spans="1:14" ht="25.5" customHeight="1" x14ac:dyDescent="0.25">
      <c r="A98" s="17">
        <v>97</v>
      </c>
      <c r="B98" s="16" t="s">
        <v>3055</v>
      </c>
      <c r="C98" s="17">
        <v>1</v>
      </c>
      <c r="D98" s="17">
        <v>16.5</v>
      </c>
      <c r="E98" s="17">
        <v>10.7</v>
      </c>
      <c r="F98" s="16" t="s">
        <v>151</v>
      </c>
      <c r="G98" s="17" t="s">
        <v>3056</v>
      </c>
      <c r="H98" s="17" t="s">
        <v>3057</v>
      </c>
      <c r="I98" s="17" t="s">
        <v>28</v>
      </c>
      <c r="J98" s="17" t="s">
        <v>3058</v>
      </c>
      <c r="K98" s="18">
        <v>46144</v>
      </c>
      <c r="L98" s="17" t="s">
        <v>82</v>
      </c>
      <c r="M98" s="7" t="s">
        <v>25</v>
      </c>
      <c r="N98" s="17"/>
    </row>
    <row r="99" spans="1:14" x14ac:dyDescent="0.25">
      <c r="A99" s="17">
        <v>98</v>
      </c>
      <c r="B99" s="16" t="s">
        <v>3055</v>
      </c>
      <c r="C99" s="17">
        <v>2</v>
      </c>
      <c r="D99" s="17">
        <v>16.100000000000001</v>
      </c>
      <c r="E99" s="17"/>
      <c r="F99" s="16" t="s">
        <v>151</v>
      </c>
      <c r="G99" s="17" t="s">
        <v>3059</v>
      </c>
      <c r="H99" s="17" t="s">
        <v>3060</v>
      </c>
      <c r="I99" s="17" t="s">
        <v>28</v>
      </c>
      <c r="J99" s="17" t="s">
        <v>3061</v>
      </c>
      <c r="K99" s="18">
        <v>46140</v>
      </c>
      <c r="L99" s="17" t="s">
        <v>82</v>
      </c>
      <c r="M99" s="7" t="s">
        <v>25</v>
      </c>
      <c r="N99" s="17"/>
    </row>
    <row r="100" spans="1:14" ht="25.5" customHeight="1" x14ac:dyDescent="0.25">
      <c r="A100" s="17">
        <v>99</v>
      </c>
      <c r="B100" s="16" t="s">
        <v>3055</v>
      </c>
      <c r="C100" s="17">
        <v>3</v>
      </c>
      <c r="D100" s="17">
        <v>13.2</v>
      </c>
      <c r="E100" s="17">
        <v>10.8</v>
      </c>
      <c r="F100" s="16" t="s">
        <v>151</v>
      </c>
      <c r="G100" s="17" t="s">
        <v>3062</v>
      </c>
      <c r="H100" s="17" t="s">
        <v>3063</v>
      </c>
      <c r="I100" s="17" t="s">
        <v>28</v>
      </c>
      <c r="J100" s="17" t="s">
        <v>3064</v>
      </c>
      <c r="K100" s="18">
        <v>46136</v>
      </c>
      <c r="L100" s="17" t="s">
        <v>82</v>
      </c>
      <c r="M100" s="7" t="s">
        <v>25</v>
      </c>
      <c r="N100" s="17"/>
    </row>
    <row r="101" spans="1:14" ht="25.5" customHeight="1" x14ac:dyDescent="0.25">
      <c r="A101" s="17">
        <v>100</v>
      </c>
      <c r="B101" s="16" t="s">
        <v>3065</v>
      </c>
      <c r="C101" s="17">
        <v>1</v>
      </c>
      <c r="D101" s="17">
        <v>15.9</v>
      </c>
      <c r="E101" s="17">
        <v>10.8</v>
      </c>
      <c r="F101" s="16" t="s">
        <v>121</v>
      </c>
      <c r="G101" s="17" t="s">
        <v>3066</v>
      </c>
      <c r="H101" s="17" t="s">
        <v>3067</v>
      </c>
      <c r="I101" s="17" t="s">
        <v>42</v>
      </c>
      <c r="J101" s="17" t="s">
        <v>3068</v>
      </c>
      <c r="K101" s="18">
        <v>46156</v>
      </c>
      <c r="L101" s="17" t="s">
        <v>24</v>
      </c>
      <c r="M101" s="7" t="s">
        <v>25</v>
      </c>
      <c r="N101" s="17"/>
    </row>
    <row r="102" spans="1:14" ht="25.5" customHeight="1" x14ac:dyDescent="0.25">
      <c r="A102" s="17">
        <v>101</v>
      </c>
      <c r="B102" s="16" t="s">
        <v>3065</v>
      </c>
      <c r="C102" s="17">
        <v>2</v>
      </c>
      <c r="D102" s="17">
        <v>16.100000000000001</v>
      </c>
      <c r="E102" s="17"/>
      <c r="F102" s="16" t="s">
        <v>121</v>
      </c>
      <c r="G102" s="17" t="s">
        <v>3069</v>
      </c>
      <c r="H102" s="17" t="s">
        <v>3070</v>
      </c>
      <c r="I102" s="17" t="s">
        <v>28</v>
      </c>
      <c r="J102" s="17" t="s">
        <v>3071</v>
      </c>
      <c r="K102" s="18">
        <v>46155</v>
      </c>
      <c r="L102" s="17" t="s">
        <v>24</v>
      </c>
      <c r="M102" s="7" t="s">
        <v>25</v>
      </c>
      <c r="N102" s="17"/>
    </row>
    <row r="103" spans="1:14" ht="25.5" customHeight="1" x14ac:dyDescent="0.25">
      <c r="A103" s="17">
        <v>102</v>
      </c>
      <c r="B103" s="16" t="s">
        <v>3065</v>
      </c>
      <c r="C103" s="17">
        <v>3</v>
      </c>
      <c r="D103" s="17">
        <v>12.5</v>
      </c>
      <c r="E103" s="17">
        <v>9.8000000000000007</v>
      </c>
      <c r="F103" s="16" t="s">
        <v>121</v>
      </c>
      <c r="G103" s="17" t="s">
        <v>3072</v>
      </c>
      <c r="H103" s="17" t="s">
        <v>3073</v>
      </c>
      <c r="I103" s="17" t="s">
        <v>28</v>
      </c>
      <c r="J103" s="17" t="s">
        <v>3074</v>
      </c>
      <c r="K103" s="18">
        <v>46155</v>
      </c>
      <c r="L103" s="17" t="s">
        <v>24</v>
      </c>
      <c r="M103" s="7" t="s">
        <v>25</v>
      </c>
      <c r="N103" s="17"/>
    </row>
    <row r="104" spans="1:14" ht="25.5" customHeight="1" x14ac:dyDescent="0.25">
      <c r="A104" s="17">
        <v>103</v>
      </c>
      <c r="B104" s="16" t="s">
        <v>3075</v>
      </c>
      <c r="C104" s="17">
        <v>1</v>
      </c>
      <c r="D104" s="17">
        <v>15.8</v>
      </c>
      <c r="E104" s="17">
        <v>10.9</v>
      </c>
      <c r="F104" s="16" t="s">
        <v>86</v>
      </c>
      <c r="G104" s="17" t="s">
        <v>4916</v>
      </c>
      <c r="H104" s="17" t="s">
        <v>4917</v>
      </c>
      <c r="I104" s="17" t="s">
        <v>51</v>
      </c>
      <c r="J104" s="17" t="s">
        <v>3077</v>
      </c>
      <c r="K104" s="18">
        <v>46144</v>
      </c>
      <c r="L104" s="17" t="s">
        <v>24</v>
      </c>
      <c r="M104" s="7" t="s">
        <v>25</v>
      </c>
      <c r="N104" s="17"/>
    </row>
    <row r="105" spans="1:14" ht="38.25" customHeight="1" x14ac:dyDescent="0.25">
      <c r="A105" s="17">
        <v>104</v>
      </c>
      <c r="B105" s="16" t="s">
        <v>3075</v>
      </c>
      <c r="C105" s="17">
        <v>2</v>
      </c>
      <c r="D105" s="17">
        <v>16.399999999999999</v>
      </c>
      <c r="E105" s="17"/>
      <c r="F105" s="16" t="s">
        <v>126</v>
      </c>
      <c r="G105" s="17" t="s">
        <v>3078</v>
      </c>
      <c r="H105" s="17" t="s">
        <v>3079</v>
      </c>
      <c r="I105" s="17" t="s">
        <v>34</v>
      </c>
      <c r="J105" s="17" t="s">
        <v>3080</v>
      </c>
      <c r="K105" s="18">
        <v>46157</v>
      </c>
      <c r="L105" s="17" t="s">
        <v>24</v>
      </c>
      <c r="M105" s="7" t="s">
        <v>25</v>
      </c>
      <c r="N105" s="17"/>
    </row>
    <row r="106" spans="1:14" ht="38.25" customHeight="1" x14ac:dyDescent="0.25">
      <c r="A106" s="17">
        <v>105</v>
      </c>
      <c r="B106" s="16" t="s">
        <v>3075</v>
      </c>
      <c r="C106" s="17">
        <v>3</v>
      </c>
      <c r="D106" s="17">
        <v>12.6</v>
      </c>
      <c r="E106" s="17">
        <v>11</v>
      </c>
      <c r="F106" s="16" t="s">
        <v>126</v>
      </c>
      <c r="G106" s="17" t="s">
        <v>3078</v>
      </c>
      <c r="H106" s="17" t="s">
        <v>3079</v>
      </c>
      <c r="I106" s="17" t="s">
        <v>34</v>
      </c>
      <c r="J106" s="17" t="s">
        <v>3080</v>
      </c>
      <c r="K106" s="18">
        <v>46157</v>
      </c>
      <c r="L106" s="17" t="s">
        <v>24</v>
      </c>
      <c r="M106" s="7" t="s">
        <v>25</v>
      </c>
      <c r="N106" s="17"/>
    </row>
    <row r="107" spans="1:14" ht="25.5" customHeight="1" x14ac:dyDescent="0.25">
      <c r="A107" s="34">
        <v>106</v>
      </c>
      <c r="B107" s="35" t="s">
        <v>3081</v>
      </c>
      <c r="C107" s="34">
        <v>1</v>
      </c>
      <c r="D107" s="34">
        <v>16.5</v>
      </c>
      <c r="E107" s="34">
        <v>10.8</v>
      </c>
      <c r="F107" s="35" t="s">
        <v>101</v>
      </c>
      <c r="G107" s="34" t="s">
        <v>3082</v>
      </c>
      <c r="H107" s="34" t="s">
        <v>3083</v>
      </c>
      <c r="I107" s="34" t="s">
        <v>267</v>
      </c>
      <c r="J107" s="34" t="s">
        <v>3084</v>
      </c>
      <c r="K107" s="36">
        <v>46137</v>
      </c>
      <c r="L107" s="34" t="s">
        <v>24</v>
      </c>
      <c r="M107" s="13" t="s">
        <v>25</v>
      </c>
      <c r="N107" s="34"/>
    </row>
    <row r="108" spans="1:14" ht="25.5" customHeight="1" x14ac:dyDescent="0.25">
      <c r="A108" s="34">
        <v>107</v>
      </c>
      <c r="B108" s="35" t="s">
        <v>3081</v>
      </c>
      <c r="C108" s="34">
        <v>2</v>
      </c>
      <c r="D108" s="34">
        <v>17.2</v>
      </c>
      <c r="E108" s="34"/>
      <c r="F108" s="35" t="s">
        <v>101</v>
      </c>
      <c r="G108" s="34" t="s">
        <v>3082</v>
      </c>
      <c r="H108" s="34" t="s">
        <v>3083</v>
      </c>
      <c r="I108" s="34" t="s">
        <v>267</v>
      </c>
      <c r="J108" s="34" t="s">
        <v>3084</v>
      </c>
      <c r="K108" s="36">
        <v>46137</v>
      </c>
      <c r="L108" s="34" t="s">
        <v>24</v>
      </c>
      <c r="M108" s="13" t="s">
        <v>25</v>
      </c>
      <c r="N108" s="34"/>
    </row>
    <row r="109" spans="1:14" ht="25.5" customHeight="1" x14ac:dyDescent="0.25">
      <c r="A109" s="17">
        <v>108</v>
      </c>
      <c r="B109" s="16" t="s">
        <v>3081</v>
      </c>
      <c r="C109" s="17">
        <v>3</v>
      </c>
      <c r="D109" s="17">
        <v>12.7</v>
      </c>
      <c r="E109" s="17">
        <v>11</v>
      </c>
      <c r="F109" s="16" t="s">
        <v>101</v>
      </c>
      <c r="G109" s="17" t="s">
        <v>3085</v>
      </c>
      <c r="H109" s="17" t="s">
        <v>3086</v>
      </c>
      <c r="I109" s="17" t="s">
        <v>28</v>
      </c>
      <c r="J109" s="17" t="s">
        <v>3087</v>
      </c>
      <c r="K109" s="18">
        <v>46140</v>
      </c>
      <c r="L109" s="17" t="s">
        <v>24</v>
      </c>
      <c r="M109" s="7" t="s">
        <v>25</v>
      </c>
      <c r="N109" s="17"/>
    </row>
    <row r="110" spans="1:14" ht="51" customHeight="1" x14ac:dyDescent="0.25">
      <c r="A110" s="17">
        <v>109</v>
      </c>
      <c r="B110" s="16" t="s">
        <v>3088</v>
      </c>
      <c r="C110" s="17">
        <v>1</v>
      </c>
      <c r="D110" s="17">
        <v>16.8</v>
      </c>
      <c r="E110" s="17">
        <v>10.8</v>
      </c>
      <c r="F110" s="16" t="s">
        <v>101</v>
      </c>
      <c r="G110" s="17" t="s">
        <v>3089</v>
      </c>
      <c r="H110" s="17" t="s">
        <v>3090</v>
      </c>
      <c r="I110" s="17" t="s">
        <v>34</v>
      </c>
      <c r="J110" s="17" t="s">
        <v>3091</v>
      </c>
      <c r="K110" s="18">
        <v>46136</v>
      </c>
      <c r="L110" s="17" t="s">
        <v>24</v>
      </c>
      <c r="M110" s="7" t="s">
        <v>25</v>
      </c>
      <c r="N110" s="17"/>
    </row>
    <row r="111" spans="1:14" x14ac:dyDescent="0.25">
      <c r="A111" s="14">
        <v>110</v>
      </c>
      <c r="B111" s="15" t="s">
        <v>3088</v>
      </c>
      <c r="C111" s="14">
        <v>2</v>
      </c>
      <c r="D111" s="14">
        <v>16.8</v>
      </c>
      <c r="E111" s="14"/>
      <c r="F111" s="15" t="s">
        <v>343</v>
      </c>
      <c r="G111" s="14"/>
      <c r="H111" s="14"/>
      <c r="I111" s="14"/>
      <c r="J111" s="14"/>
      <c r="K111" s="14"/>
      <c r="L111" s="14"/>
      <c r="M111" s="14" t="s">
        <v>286</v>
      </c>
      <c r="N111" s="14"/>
    </row>
    <row r="112" spans="1:14" ht="51" customHeight="1" x14ac:dyDescent="0.25">
      <c r="A112" s="17">
        <v>111</v>
      </c>
      <c r="B112" s="16" t="s">
        <v>3088</v>
      </c>
      <c r="C112" s="17">
        <v>3</v>
      </c>
      <c r="D112" s="17">
        <v>12.9</v>
      </c>
      <c r="E112" s="17">
        <v>10.3</v>
      </c>
      <c r="F112" s="16" t="s">
        <v>338</v>
      </c>
      <c r="G112" s="17" t="s">
        <v>3092</v>
      </c>
      <c r="H112" s="17" t="s">
        <v>4955</v>
      </c>
      <c r="I112" s="17" t="s">
        <v>293</v>
      </c>
      <c r="J112" s="24" t="s">
        <v>3093</v>
      </c>
      <c r="K112" s="18">
        <v>46140</v>
      </c>
      <c r="L112" s="17" t="s">
        <v>24</v>
      </c>
      <c r="M112" s="7" t="s">
        <v>25</v>
      </c>
      <c r="N112" s="17"/>
    </row>
    <row r="113" spans="1:14" ht="51" customHeight="1" x14ac:dyDescent="0.25">
      <c r="A113" s="17">
        <v>112</v>
      </c>
      <c r="B113" s="16" t="s">
        <v>3094</v>
      </c>
      <c r="C113" s="17">
        <v>1</v>
      </c>
      <c r="D113" s="17">
        <v>17</v>
      </c>
      <c r="E113" s="17">
        <v>10.4</v>
      </c>
      <c r="F113" s="16" t="s">
        <v>31</v>
      </c>
      <c r="G113" s="17" t="s">
        <v>3095</v>
      </c>
      <c r="H113" s="17" t="s">
        <v>3096</v>
      </c>
      <c r="I113" s="17" t="s">
        <v>34</v>
      </c>
      <c r="J113" s="17" t="s">
        <v>3097</v>
      </c>
      <c r="K113" s="18">
        <v>46144</v>
      </c>
      <c r="L113" s="17" t="s">
        <v>24</v>
      </c>
      <c r="M113" s="7" t="s">
        <v>25</v>
      </c>
      <c r="N113" s="17"/>
    </row>
    <row r="114" spans="1:14" ht="25.5" customHeight="1" x14ac:dyDescent="0.25">
      <c r="A114" s="17">
        <v>113</v>
      </c>
      <c r="B114" s="16" t="s">
        <v>3094</v>
      </c>
      <c r="C114" s="17">
        <v>2</v>
      </c>
      <c r="D114" s="17">
        <v>17.100000000000001</v>
      </c>
      <c r="E114" s="17"/>
      <c r="F114" s="16" t="s">
        <v>19</v>
      </c>
      <c r="G114" s="17" t="s">
        <v>3098</v>
      </c>
      <c r="H114" s="17" t="s">
        <v>3099</v>
      </c>
      <c r="I114" s="17" t="s">
        <v>28</v>
      </c>
      <c r="J114" s="17" t="s">
        <v>3100</v>
      </c>
      <c r="K114" s="18">
        <v>46136</v>
      </c>
      <c r="L114" s="17" t="s">
        <v>24</v>
      </c>
      <c r="M114" s="7" t="s">
        <v>25</v>
      </c>
      <c r="N114" s="17"/>
    </row>
    <row r="115" spans="1:14" ht="51" customHeight="1" x14ac:dyDescent="0.25">
      <c r="A115" s="17">
        <v>114</v>
      </c>
      <c r="B115" s="16" t="s">
        <v>3094</v>
      </c>
      <c r="C115" s="17">
        <v>3</v>
      </c>
      <c r="D115" s="17">
        <v>12.7</v>
      </c>
      <c r="E115" s="17">
        <v>10.7</v>
      </c>
      <c r="F115" s="16" t="s">
        <v>31</v>
      </c>
      <c r="G115" s="17" t="s">
        <v>3101</v>
      </c>
      <c r="H115" s="17" t="s">
        <v>3102</v>
      </c>
      <c r="I115" s="17" t="s">
        <v>34</v>
      </c>
      <c r="J115" s="17" t="s">
        <v>3103</v>
      </c>
      <c r="K115" s="18">
        <v>46140</v>
      </c>
      <c r="L115" s="17" t="s">
        <v>24</v>
      </c>
      <c r="M115" s="7" t="s">
        <v>25</v>
      </c>
      <c r="N115" s="17"/>
    </row>
    <row r="116" spans="1:14" ht="51" customHeight="1" x14ac:dyDescent="0.25">
      <c r="A116" s="17">
        <v>115</v>
      </c>
      <c r="B116" s="16" t="s">
        <v>3104</v>
      </c>
      <c r="C116" s="17">
        <v>1</v>
      </c>
      <c r="D116" s="17">
        <v>15.5</v>
      </c>
      <c r="E116" s="17">
        <v>10.7</v>
      </c>
      <c r="F116" s="16" t="s">
        <v>338</v>
      </c>
      <c r="G116" s="17" t="s">
        <v>3105</v>
      </c>
      <c r="H116" s="17" t="s">
        <v>3106</v>
      </c>
      <c r="I116" s="17" t="s">
        <v>34</v>
      </c>
      <c r="J116" s="24" t="s">
        <v>3107</v>
      </c>
      <c r="K116" s="18">
        <v>46136</v>
      </c>
      <c r="L116" s="17" t="s">
        <v>24</v>
      </c>
      <c r="M116" s="7" t="s">
        <v>25</v>
      </c>
      <c r="N116" s="17"/>
    </row>
    <row r="117" spans="1:14" ht="25.5" customHeight="1" x14ac:dyDescent="0.25">
      <c r="A117" s="17">
        <v>116</v>
      </c>
      <c r="B117" s="16" t="s">
        <v>3104</v>
      </c>
      <c r="C117" s="17">
        <v>2</v>
      </c>
      <c r="D117" s="17">
        <v>16.8</v>
      </c>
      <c r="E117" s="17"/>
      <c r="F117" s="16" t="s">
        <v>101</v>
      </c>
      <c r="G117" s="17" t="s">
        <v>3108</v>
      </c>
      <c r="H117" s="17" t="s">
        <v>3109</v>
      </c>
      <c r="I117" s="17" t="s">
        <v>51</v>
      </c>
      <c r="J117" s="17" t="s">
        <v>3110</v>
      </c>
      <c r="K117" s="18">
        <v>46144</v>
      </c>
      <c r="L117" s="17" t="s">
        <v>24</v>
      </c>
      <c r="M117" s="7" t="s">
        <v>25</v>
      </c>
      <c r="N117" s="17"/>
    </row>
    <row r="118" spans="1:14" ht="51" customHeight="1" x14ac:dyDescent="0.25">
      <c r="A118" s="17">
        <v>117</v>
      </c>
      <c r="B118" s="16" t="s">
        <v>3104</v>
      </c>
      <c r="C118" s="17">
        <v>3</v>
      </c>
      <c r="D118" s="17">
        <v>12.8</v>
      </c>
      <c r="E118" s="17">
        <v>10.8</v>
      </c>
      <c r="F118" s="16" t="s">
        <v>162</v>
      </c>
      <c r="G118" s="17" t="s">
        <v>3111</v>
      </c>
      <c r="H118" s="17" t="s">
        <v>3112</v>
      </c>
      <c r="I118" s="17" t="s">
        <v>34</v>
      </c>
      <c r="J118" s="17" t="s">
        <v>3113</v>
      </c>
      <c r="K118" s="18">
        <v>46154</v>
      </c>
      <c r="L118" s="17" t="s">
        <v>24</v>
      </c>
      <c r="M118" s="7" t="s">
        <v>25</v>
      </c>
      <c r="N118" s="17"/>
    </row>
    <row r="119" spans="1:14" ht="51" customHeight="1" x14ac:dyDescent="0.25">
      <c r="A119" s="17">
        <v>118</v>
      </c>
      <c r="B119" s="16" t="s">
        <v>3114</v>
      </c>
      <c r="C119" s="17">
        <v>1</v>
      </c>
      <c r="D119" s="17">
        <v>16.3</v>
      </c>
      <c r="E119" s="17">
        <v>10.3</v>
      </c>
      <c r="F119" s="16" t="s">
        <v>48</v>
      </c>
      <c r="G119" s="17" t="s">
        <v>3115</v>
      </c>
      <c r="H119" s="17" t="s">
        <v>3116</v>
      </c>
      <c r="I119" s="17" t="s">
        <v>34</v>
      </c>
      <c r="J119" s="17" t="s">
        <v>3117</v>
      </c>
      <c r="K119" s="18">
        <v>46144</v>
      </c>
      <c r="L119" s="17" t="s">
        <v>24</v>
      </c>
      <c r="M119" s="7" t="s">
        <v>25</v>
      </c>
      <c r="N119" s="17"/>
    </row>
    <row r="120" spans="1:14" ht="25.5" customHeight="1" x14ac:dyDescent="0.25">
      <c r="A120" s="17">
        <v>119</v>
      </c>
      <c r="B120" s="16" t="s">
        <v>3114</v>
      </c>
      <c r="C120" s="17">
        <v>2</v>
      </c>
      <c r="D120" s="17">
        <v>15.2</v>
      </c>
      <c r="E120" s="17"/>
      <c r="F120" s="16" t="s">
        <v>48</v>
      </c>
      <c r="G120" s="17" t="s">
        <v>3118</v>
      </c>
      <c r="H120" s="17" t="s">
        <v>3119</v>
      </c>
      <c r="I120" s="17" t="s">
        <v>51</v>
      </c>
      <c r="J120" s="17" t="s">
        <v>3120</v>
      </c>
      <c r="K120" s="18">
        <v>46144</v>
      </c>
      <c r="L120" s="17" t="s">
        <v>24</v>
      </c>
      <c r="M120" s="7" t="s">
        <v>25</v>
      </c>
      <c r="N120" s="17"/>
    </row>
    <row r="121" spans="1:14" ht="25.5" customHeight="1" x14ac:dyDescent="0.25">
      <c r="A121" s="17">
        <v>120</v>
      </c>
      <c r="B121" s="16" t="s">
        <v>3114</v>
      </c>
      <c r="C121" s="17">
        <v>3</v>
      </c>
      <c r="D121" s="17">
        <v>13.4</v>
      </c>
      <c r="E121" s="17">
        <v>10.5</v>
      </c>
      <c r="F121" s="16" t="s">
        <v>338</v>
      </c>
      <c r="G121" s="17" t="s">
        <v>3121</v>
      </c>
      <c r="H121" s="17" t="s">
        <v>3122</v>
      </c>
      <c r="I121" s="17" t="s">
        <v>22</v>
      </c>
      <c r="J121" s="24" t="s">
        <v>3123</v>
      </c>
      <c r="K121" s="18">
        <v>46140</v>
      </c>
      <c r="L121" s="17" t="s">
        <v>24</v>
      </c>
      <c r="M121" s="7" t="s">
        <v>25</v>
      </c>
      <c r="N121" s="17"/>
    </row>
    <row r="122" spans="1:14" ht="25.5" customHeight="1" x14ac:dyDescent="0.25">
      <c r="A122" s="17">
        <v>121</v>
      </c>
      <c r="B122" s="16" t="s">
        <v>3124</v>
      </c>
      <c r="C122" s="17">
        <v>1</v>
      </c>
      <c r="D122" s="17">
        <v>15.6</v>
      </c>
      <c r="E122" s="17">
        <v>10.7</v>
      </c>
      <c r="F122" s="16" t="s">
        <v>62</v>
      </c>
      <c r="G122" s="17" t="s">
        <v>3125</v>
      </c>
      <c r="H122" s="17" t="s">
        <v>3126</v>
      </c>
      <c r="I122" s="17" t="s">
        <v>28</v>
      </c>
      <c r="J122" s="24" t="s">
        <v>3127</v>
      </c>
      <c r="K122" s="18">
        <v>46137</v>
      </c>
      <c r="L122" s="17" t="s">
        <v>24</v>
      </c>
      <c r="M122" s="7" t="s">
        <v>25</v>
      </c>
      <c r="N122" s="17"/>
    </row>
    <row r="123" spans="1:14" ht="51" customHeight="1" x14ac:dyDescent="0.25">
      <c r="A123" s="17">
        <v>122</v>
      </c>
      <c r="B123" s="16" t="s">
        <v>3124</v>
      </c>
      <c r="C123" s="17">
        <v>2</v>
      </c>
      <c r="D123" s="17">
        <v>16.399999999999999</v>
      </c>
      <c r="E123" s="17"/>
      <c r="F123" s="16" t="s">
        <v>62</v>
      </c>
      <c r="G123" s="17" t="s">
        <v>3128</v>
      </c>
      <c r="H123" s="17" t="s">
        <v>3129</v>
      </c>
      <c r="I123" s="17" t="s">
        <v>34</v>
      </c>
      <c r="J123" s="24" t="s">
        <v>3130</v>
      </c>
      <c r="K123" s="18">
        <v>46159</v>
      </c>
      <c r="L123" s="17" t="s">
        <v>24</v>
      </c>
      <c r="M123" s="7" t="s">
        <v>25</v>
      </c>
      <c r="N123" s="17"/>
    </row>
    <row r="124" spans="1:14" ht="51" customHeight="1" x14ac:dyDescent="0.25">
      <c r="A124" s="17">
        <v>123</v>
      </c>
      <c r="B124" s="16" t="s">
        <v>3124</v>
      </c>
      <c r="C124" s="17">
        <v>3</v>
      </c>
      <c r="D124" s="17">
        <v>12.1</v>
      </c>
      <c r="E124" s="17">
        <v>10.7</v>
      </c>
      <c r="F124" s="16" t="s">
        <v>62</v>
      </c>
      <c r="G124" s="17" t="s">
        <v>3128</v>
      </c>
      <c r="H124" s="17" t="s">
        <v>3129</v>
      </c>
      <c r="I124" s="17" t="s">
        <v>34</v>
      </c>
      <c r="J124" s="24" t="s">
        <v>3130</v>
      </c>
      <c r="K124" s="18">
        <v>46159</v>
      </c>
      <c r="L124" s="17" t="s">
        <v>24</v>
      </c>
      <c r="M124" s="7" t="s">
        <v>25</v>
      </c>
      <c r="N124" s="17"/>
    </row>
    <row r="125" spans="1:14" ht="25.5" customHeight="1" x14ac:dyDescent="0.25">
      <c r="A125" s="17">
        <v>124</v>
      </c>
      <c r="B125" s="16" t="s">
        <v>3131</v>
      </c>
      <c r="C125" s="17">
        <v>1</v>
      </c>
      <c r="D125" s="17">
        <v>17.399999999999999</v>
      </c>
      <c r="E125" s="17">
        <v>11</v>
      </c>
      <c r="F125" s="16" t="s">
        <v>48</v>
      </c>
      <c r="G125" s="17" t="s">
        <v>3132</v>
      </c>
      <c r="H125" s="17" t="s">
        <v>3133</v>
      </c>
      <c r="I125" s="17" t="s">
        <v>28</v>
      </c>
      <c r="J125" s="17" t="s">
        <v>3134</v>
      </c>
      <c r="K125" s="18">
        <v>46140</v>
      </c>
      <c r="L125" s="17" t="s">
        <v>24</v>
      </c>
      <c r="M125" s="7" t="s">
        <v>25</v>
      </c>
      <c r="N125" s="17"/>
    </row>
    <row r="126" spans="1:14" ht="25.5" customHeight="1" x14ac:dyDescent="0.25">
      <c r="A126" s="17">
        <v>125</v>
      </c>
      <c r="B126" s="16" t="s">
        <v>3131</v>
      </c>
      <c r="C126" s="17">
        <v>2</v>
      </c>
      <c r="D126" s="17">
        <v>17.600000000000001</v>
      </c>
      <c r="E126" s="17"/>
      <c r="F126" s="16" t="s">
        <v>48</v>
      </c>
      <c r="G126" s="17" t="s">
        <v>3132</v>
      </c>
      <c r="H126" s="17" t="s">
        <v>3133</v>
      </c>
      <c r="I126" s="17" t="s">
        <v>28</v>
      </c>
      <c r="J126" s="17" t="s">
        <v>3134</v>
      </c>
      <c r="K126" s="18">
        <v>46140</v>
      </c>
      <c r="L126" s="17" t="s">
        <v>24</v>
      </c>
      <c r="M126" s="7" t="s">
        <v>25</v>
      </c>
      <c r="N126" s="17"/>
    </row>
    <row r="127" spans="1:14" ht="63.75" customHeight="1" x14ac:dyDescent="0.25">
      <c r="A127" s="17">
        <v>126</v>
      </c>
      <c r="B127" s="16" t="s">
        <v>3131</v>
      </c>
      <c r="C127" s="17">
        <v>3</v>
      </c>
      <c r="D127" s="17">
        <v>12.3</v>
      </c>
      <c r="E127" s="17">
        <v>10.8</v>
      </c>
      <c r="F127" s="16" t="s">
        <v>338</v>
      </c>
      <c r="G127" s="17" t="s">
        <v>3135</v>
      </c>
      <c r="H127" s="17" t="s">
        <v>4956</v>
      </c>
      <c r="I127" s="17" t="s">
        <v>34</v>
      </c>
      <c r="J127" s="24" t="s">
        <v>3136</v>
      </c>
      <c r="K127" s="18">
        <v>46156</v>
      </c>
      <c r="L127" s="17" t="s">
        <v>24</v>
      </c>
      <c r="M127" s="7" t="s">
        <v>25</v>
      </c>
      <c r="N127" s="17"/>
    </row>
    <row r="128" spans="1:14" ht="63.75" customHeight="1" x14ac:dyDescent="0.25">
      <c r="A128" s="17">
        <v>127</v>
      </c>
      <c r="B128" s="16" t="s">
        <v>3137</v>
      </c>
      <c r="C128" s="17">
        <v>1</v>
      </c>
      <c r="D128" s="17">
        <v>17.5</v>
      </c>
      <c r="E128" s="17">
        <v>11.4</v>
      </c>
      <c r="F128" s="16" t="s">
        <v>343</v>
      </c>
      <c r="G128" s="17" t="s">
        <v>3138</v>
      </c>
      <c r="H128" s="17" t="s">
        <v>3139</v>
      </c>
      <c r="I128" s="17" t="s">
        <v>34</v>
      </c>
      <c r="J128" s="17" t="s">
        <v>3140</v>
      </c>
      <c r="K128" s="18">
        <v>46147</v>
      </c>
      <c r="L128" s="17" t="s">
        <v>24</v>
      </c>
      <c r="M128" s="7" t="s">
        <v>25</v>
      </c>
      <c r="N128" s="17"/>
    </row>
    <row r="129" spans="1:14" ht="25.5" customHeight="1" x14ac:dyDescent="0.25">
      <c r="A129" s="17">
        <v>128</v>
      </c>
      <c r="B129" s="16" t="s">
        <v>3137</v>
      </c>
      <c r="C129" s="17">
        <v>2</v>
      </c>
      <c r="D129" s="17">
        <v>17.399999999999999</v>
      </c>
      <c r="E129" s="17"/>
      <c r="F129" s="16" t="s">
        <v>126</v>
      </c>
      <c r="G129" s="17" t="s">
        <v>3141</v>
      </c>
      <c r="H129" s="17" t="s">
        <v>3142</v>
      </c>
      <c r="I129" s="17" t="s">
        <v>28</v>
      </c>
      <c r="J129" s="17" t="s">
        <v>3143</v>
      </c>
      <c r="K129" s="18">
        <v>46144</v>
      </c>
      <c r="L129" s="17" t="s">
        <v>24</v>
      </c>
      <c r="M129" s="7" t="s">
        <v>25</v>
      </c>
      <c r="N129" s="17"/>
    </row>
    <row r="130" spans="1:14" ht="51" customHeight="1" x14ac:dyDescent="0.25">
      <c r="A130" s="17">
        <v>129</v>
      </c>
      <c r="B130" s="16" t="s">
        <v>3137</v>
      </c>
      <c r="C130" s="17">
        <v>3</v>
      </c>
      <c r="D130" s="17">
        <v>13</v>
      </c>
      <c r="E130" s="17">
        <v>11.1</v>
      </c>
      <c r="F130" s="16" t="s">
        <v>126</v>
      </c>
      <c r="G130" s="17" t="s">
        <v>3144</v>
      </c>
      <c r="H130" s="17" t="s">
        <v>3145</v>
      </c>
      <c r="I130" s="17" t="s">
        <v>34</v>
      </c>
      <c r="J130" s="17" t="s">
        <v>3146</v>
      </c>
      <c r="K130" s="18">
        <v>46154</v>
      </c>
      <c r="L130" s="17" t="s">
        <v>24</v>
      </c>
      <c r="M130" s="7" t="s">
        <v>25</v>
      </c>
      <c r="N130" s="17"/>
    </row>
    <row r="131" spans="1:14" ht="25.5" customHeight="1" x14ac:dyDescent="0.25">
      <c r="A131" s="17">
        <v>130</v>
      </c>
      <c r="B131" s="16" t="s">
        <v>3147</v>
      </c>
      <c r="C131" s="17">
        <v>1</v>
      </c>
      <c r="D131" s="17">
        <v>16.8</v>
      </c>
      <c r="E131" s="17">
        <v>10.7</v>
      </c>
      <c r="F131" s="16" t="s">
        <v>126</v>
      </c>
      <c r="G131" s="17" t="s">
        <v>3148</v>
      </c>
      <c r="H131" s="17" t="s">
        <v>3149</v>
      </c>
      <c r="I131" s="17" t="s">
        <v>28</v>
      </c>
      <c r="J131" s="17" t="s">
        <v>3150</v>
      </c>
      <c r="K131" s="18">
        <v>46135</v>
      </c>
      <c r="L131" s="17" t="s">
        <v>24</v>
      </c>
      <c r="M131" s="7" t="s">
        <v>25</v>
      </c>
      <c r="N131" s="17"/>
    </row>
    <row r="132" spans="1:14" ht="51" customHeight="1" x14ac:dyDescent="0.25">
      <c r="A132" s="17">
        <v>131</v>
      </c>
      <c r="B132" s="16" t="s">
        <v>3147</v>
      </c>
      <c r="C132" s="17">
        <v>2</v>
      </c>
      <c r="D132" s="17">
        <v>16.5</v>
      </c>
      <c r="E132" s="17"/>
      <c r="F132" s="16" t="s">
        <v>126</v>
      </c>
      <c r="G132" s="17" t="s">
        <v>3151</v>
      </c>
      <c r="H132" s="17" t="s">
        <v>3152</v>
      </c>
      <c r="I132" s="17" t="s">
        <v>34</v>
      </c>
      <c r="J132" s="17" t="s">
        <v>3153</v>
      </c>
      <c r="K132" s="18">
        <v>46133</v>
      </c>
      <c r="L132" s="17" t="s">
        <v>82</v>
      </c>
      <c r="M132" s="7" t="s">
        <v>25</v>
      </c>
      <c r="N132" s="17"/>
    </row>
    <row r="133" spans="1:14" ht="51" customHeight="1" x14ac:dyDescent="0.25">
      <c r="A133" s="17">
        <v>132</v>
      </c>
      <c r="B133" s="16" t="s">
        <v>3147</v>
      </c>
      <c r="C133" s="17">
        <v>3</v>
      </c>
      <c r="D133" s="17">
        <v>12.6</v>
      </c>
      <c r="E133" s="17">
        <v>10.6</v>
      </c>
      <c r="F133" s="16" t="s">
        <v>126</v>
      </c>
      <c r="G133" s="17" t="s">
        <v>3154</v>
      </c>
      <c r="H133" s="17" t="s">
        <v>3155</v>
      </c>
      <c r="I133" s="17" t="s">
        <v>34</v>
      </c>
      <c r="J133" s="17" t="s">
        <v>3156</v>
      </c>
      <c r="K133" s="18">
        <v>46154</v>
      </c>
      <c r="L133" s="17" t="s">
        <v>24</v>
      </c>
      <c r="M133" s="7" t="s">
        <v>25</v>
      </c>
      <c r="N133" s="17"/>
    </row>
    <row r="134" spans="1:14" ht="51" customHeight="1" x14ac:dyDescent="0.25">
      <c r="A134" s="17">
        <v>133</v>
      </c>
      <c r="B134" s="16" t="s">
        <v>3157</v>
      </c>
      <c r="C134" s="17">
        <v>1</v>
      </c>
      <c r="D134" s="17">
        <v>16.3</v>
      </c>
      <c r="E134" s="17">
        <v>10.3</v>
      </c>
      <c r="F134" s="16" t="s">
        <v>86</v>
      </c>
      <c r="G134" s="17" t="s">
        <v>3158</v>
      </c>
      <c r="H134" s="17" t="s">
        <v>3159</v>
      </c>
      <c r="I134" s="17" t="s">
        <v>34</v>
      </c>
      <c r="J134" s="17" t="s">
        <v>3160</v>
      </c>
      <c r="K134" s="18">
        <v>46137</v>
      </c>
      <c r="L134" s="17" t="s">
        <v>24</v>
      </c>
      <c r="M134" s="7" t="s">
        <v>25</v>
      </c>
      <c r="N134" s="17"/>
    </row>
    <row r="135" spans="1:14" ht="25.5" customHeight="1" x14ac:dyDescent="0.25">
      <c r="A135" s="17">
        <v>134</v>
      </c>
      <c r="B135" s="16" t="s">
        <v>3157</v>
      </c>
      <c r="C135" s="17">
        <v>2</v>
      </c>
      <c r="D135" s="17">
        <v>15.9</v>
      </c>
      <c r="E135" s="17"/>
      <c r="F135" s="16" t="s">
        <v>162</v>
      </c>
      <c r="G135" s="17" t="s">
        <v>3161</v>
      </c>
      <c r="H135" s="17" t="s">
        <v>3162</v>
      </c>
      <c r="I135" s="17" t="s">
        <v>28</v>
      </c>
      <c r="J135" s="17" t="s">
        <v>3163</v>
      </c>
      <c r="K135" s="18">
        <v>46137</v>
      </c>
      <c r="L135" s="17" t="s">
        <v>24</v>
      </c>
      <c r="M135" s="7" t="s">
        <v>25</v>
      </c>
      <c r="N135" s="17"/>
    </row>
    <row r="136" spans="1:14" ht="51" customHeight="1" x14ac:dyDescent="0.25">
      <c r="A136" s="17">
        <v>135</v>
      </c>
      <c r="B136" s="16" t="s">
        <v>3157</v>
      </c>
      <c r="C136" s="17">
        <v>3</v>
      </c>
      <c r="D136" s="17">
        <v>13.8</v>
      </c>
      <c r="E136" s="17">
        <v>10.6</v>
      </c>
      <c r="F136" s="16" t="s">
        <v>86</v>
      </c>
      <c r="G136" s="17" t="s">
        <v>3164</v>
      </c>
      <c r="H136" s="17" t="s">
        <v>3165</v>
      </c>
      <c r="I136" s="17" t="s">
        <v>34</v>
      </c>
      <c r="J136" s="17" t="s">
        <v>3166</v>
      </c>
      <c r="K136" s="18">
        <v>46157</v>
      </c>
      <c r="L136" s="17" t="s">
        <v>24</v>
      </c>
      <c r="M136" s="7" t="s">
        <v>25</v>
      </c>
      <c r="N136" s="17"/>
    </row>
    <row r="137" spans="1:14" ht="25.5" customHeight="1" x14ac:dyDescent="0.25">
      <c r="A137" s="17">
        <v>136</v>
      </c>
      <c r="B137" s="16" t="s">
        <v>3167</v>
      </c>
      <c r="C137" s="17">
        <v>1</v>
      </c>
      <c r="D137" s="17">
        <v>16.600000000000001</v>
      </c>
      <c r="E137" s="17">
        <v>10.7</v>
      </c>
      <c r="F137" s="16" t="s">
        <v>106</v>
      </c>
      <c r="G137" s="17" t="s">
        <v>3168</v>
      </c>
      <c r="H137" s="17" t="s">
        <v>3169</v>
      </c>
      <c r="I137" s="17" t="s">
        <v>28</v>
      </c>
      <c r="J137" s="17" t="s">
        <v>3170</v>
      </c>
      <c r="K137" s="18">
        <v>46144</v>
      </c>
      <c r="L137" s="17" t="s">
        <v>24</v>
      </c>
      <c r="M137" s="7" t="s">
        <v>25</v>
      </c>
      <c r="N137" s="17"/>
    </row>
    <row r="138" spans="1:14" ht="25.5" customHeight="1" x14ac:dyDescent="0.25">
      <c r="A138" s="17">
        <v>137</v>
      </c>
      <c r="B138" s="16" t="s">
        <v>3167</v>
      </c>
      <c r="C138" s="17">
        <v>2</v>
      </c>
      <c r="D138" s="17">
        <v>16.899999999999999</v>
      </c>
      <c r="E138" s="17"/>
      <c r="F138" s="16" t="s">
        <v>106</v>
      </c>
      <c r="G138" s="17" t="s">
        <v>3171</v>
      </c>
      <c r="H138" s="17" t="s">
        <v>3172</v>
      </c>
      <c r="I138" s="17" t="s">
        <v>22</v>
      </c>
      <c r="J138" s="17" t="s">
        <v>3173</v>
      </c>
      <c r="K138" s="18">
        <v>46157</v>
      </c>
      <c r="L138" s="17" t="s">
        <v>24</v>
      </c>
      <c r="M138" s="7" t="s">
        <v>25</v>
      </c>
      <c r="N138" s="17"/>
    </row>
    <row r="139" spans="1:14" ht="25.5" customHeight="1" x14ac:dyDescent="0.25">
      <c r="A139" s="17">
        <v>138</v>
      </c>
      <c r="B139" s="16" t="s">
        <v>3167</v>
      </c>
      <c r="C139" s="17">
        <v>3</v>
      </c>
      <c r="D139" s="17">
        <v>12.8</v>
      </c>
      <c r="E139" s="17">
        <v>10.7</v>
      </c>
      <c r="F139" s="16" t="s">
        <v>106</v>
      </c>
      <c r="G139" s="17" t="s">
        <v>3171</v>
      </c>
      <c r="H139" s="17" t="s">
        <v>3172</v>
      </c>
      <c r="I139" s="17" t="s">
        <v>22</v>
      </c>
      <c r="J139" s="17" t="s">
        <v>3173</v>
      </c>
      <c r="K139" s="18">
        <v>46157</v>
      </c>
      <c r="L139" s="17" t="s">
        <v>24</v>
      </c>
      <c r="M139" s="7" t="s">
        <v>25</v>
      </c>
      <c r="N139" s="17"/>
    </row>
    <row r="140" spans="1:14" ht="25.5" customHeight="1" x14ac:dyDescent="0.25">
      <c r="A140" s="17">
        <v>139</v>
      </c>
      <c r="B140" s="16" t="s">
        <v>3174</v>
      </c>
      <c r="C140" s="17">
        <v>1</v>
      </c>
      <c r="D140" s="17">
        <v>16.899999999999999</v>
      </c>
      <c r="E140" s="17">
        <v>10.8</v>
      </c>
      <c r="F140" s="16" t="s">
        <v>19</v>
      </c>
      <c r="G140" s="17" t="s">
        <v>3175</v>
      </c>
      <c r="H140" s="17" t="s">
        <v>3176</v>
      </c>
      <c r="I140" s="17" t="s">
        <v>2304</v>
      </c>
      <c r="J140" s="17" t="s">
        <v>3177</v>
      </c>
      <c r="K140" s="18">
        <v>46142</v>
      </c>
      <c r="L140" s="17" t="s">
        <v>24</v>
      </c>
      <c r="M140" s="7" t="s">
        <v>25</v>
      </c>
      <c r="N140" s="17"/>
    </row>
    <row r="141" spans="1:14" ht="25.5" customHeight="1" x14ac:dyDescent="0.25">
      <c r="A141" s="17">
        <v>140</v>
      </c>
      <c r="B141" s="16" t="s">
        <v>3174</v>
      </c>
      <c r="C141" s="17">
        <v>2</v>
      </c>
      <c r="D141" s="17">
        <v>17.100000000000001</v>
      </c>
      <c r="E141" s="17"/>
      <c r="F141" s="16" t="s">
        <v>48</v>
      </c>
      <c r="G141" s="17" t="s">
        <v>3178</v>
      </c>
      <c r="H141" s="17" t="s">
        <v>3179</v>
      </c>
      <c r="I141" s="17" t="s">
        <v>267</v>
      </c>
      <c r="J141" s="17" t="s">
        <v>3180</v>
      </c>
      <c r="K141" s="18">
        <v>46149</v>
      </c>
      <c r="L141" s="17" t="s">
        <v>24</v>
      </c>
      <c r="M141" s="7" t="s">
        <v>25</v>
      </c>
      <c r="N141" s="17"/>
    </row>
    <row r="142" spans="1:14" ht="25.5" customHeight="1" x14ac:dyDescent="0.25">
      <c r="A142" s="17">
        <v>141</v>
      </c>
      <c r="B142" s="16" t="s">
        <v>3174</v>
      </c>
      <c r="C142" s="17">
        <v>3</v>
      </c>
      <c r="D142" s="17">
        <v>13.3</v>
      </c>
      <c r="E142" s="17">
        <v>10.6</v>
      </c>
      <c r="F142" s="16" t="s">
        <v>48</v>
      </c>
      <c r="G142" s="17" t="s">
        <v>3178</v>
      </c>
      <c r="H142" s="17" t="s">
        <v>3179</v>
      </c>
      <c r="I142" s="17" t="s">
        <v>267</v>
      </c>
      <c r="J142" s="17" t="s">
        <v>3180</v>
      </c>
      <c r="K142" s="18">
        <v>46149</v>
      </c>
      <c r="L142" s="17" t="s">
        <v>24</v>
      </c>
      <c r="M142" s="7" t="s">
        <v>25</v>
      </c>
      <c r="N142" s="17"/>
    </row>
    <row r="143" spans="1:14" x14ac:dyDescent="0.25">
      <c r="A143" s="14">
        <v>142</v>
      </c>
      <c r="B143" s="15" t="s">
        <v>3181</v>
      </c>
      <c r="C143" s="14">
        <v>1</v>
      </c>
      <c r="D143" s="14">
        <v>16.3</v>
      </c>
      <c r="E143" s="14">
        <v>10.3</v>
      </c>
      <c r="F143" s="15" t="s">
        <v>48</v>
      </c>
      <c r="G143" s="14"/>
      <c r="H143" s="14"/>
      <c r="I143" s="14"/>
      <c r="J143" s="14"/>
      <c r="K143" s="14"/>
      <c r="L143" s="14"/>
      <c r="M143" s="14" t="s">
        <v>286</v>
      </c>
      <c r="N143" s="14"/>
    </row>
    <row r="144" spans="1:14" ht="51" customHeight="1" x14ac:dyDescent="0.25">
      <c r="A144" s="17">
        <v>143</v>
      </c>
      <c r="B144" s="16" t="s">
        <v>3181</v>
      </c>
      <c r="C144" s="17">
        <v>2</v>
      </c>
      <c r="D144" s="17">
        <v>15.9</v>
      </c>
      <c r="E144" s="17"/>
      <c r="F144" s="16" t="s">
        <v>19</v>
      </c>
      <c r="G144" s="17" t="s">
        <v>3182</v>
      </c>
      <c r="H144" s="17" t="s">
        <v>4865</v>
      </c>
      <c r="I144" s="17" t="s">
        <v>34</v>
      </c>
      <c r="J144" s="17" t="s">
        <v>3183</v>
      </c>
      <c r="K144" s="18">
        <v>46137</v>
      </c>
      <c r="L144" s="17" t="s">
        <v>24</v>
      </c>
      <c r="M144" s="7" t="s">
        <v>25</v>
      </c>
      <c r="N144" s="17"/>
    </row>
    <row r="145" spans="1:14" ht="51" customHeight="1" x14ac:dyDescent="0.25">
      <c r="A145" s="17">
        <v>144</v>
      </c>
      <c r="B145" s="16" t="s">
        <v>3181</v>
      </c>
      <c r="C145" s="17">
        <v>3</v>
      </c>
      <c r="D145" s="17">
        <v>14</v>
      </c>
      <c r="E145" s="17">
        <v>10.199999999999999</v>
      </c>
      <c r="F145" s="16" t="s">
        <v>19</v>
      </c>
      <c r="G145" s="17" t="s">
        <v>3182</v>
      </c>
      <c r="H145" s="17" t="s">
        <v>4865</v>
      </c>
      <c r="I145" s="17" t="s">
        <v>34</v>
      </c>
      <c r="J145" s="17" t="s">
        <v>3183</v>
      </c>
      <c r="K145" s="18">
        <v>46137</v>
      </c>
      <c r="L145" s="17" t="s">
        <v>24</v>
      </c>
      <c r="M145" s="7" t="s">
        <v>25</v>
      </c>
      <c r="N145" s="17"/>
    </row>
    <row r="146" spans="1:14" ht="25.5" customHeight="1" x14ac:dyDescent="0.25">
      <c r="A146" s="17">
        <v>145</v>
      </c>
      <c r="B146" s="16" t="s">
        <v>3184</v>
      </c>
      <c r="C146" s="17">
        <v>1</v>
      </c>
      <c r="D146" s="17">
        <v>16.899999999999999</v>
      </c>
      <c r="E146" s="17">
        <v>10.6</v>
      </c>
      <c r="F146" s="16" t="s">
        <v>31</v>
      </c>
      <c r="G146" s="17" t="s">
        <v>3185</v>
      </c>
      <c r="H146" s="17" t="s">
        <v>3186</v>
      </c>
      <c r="I146" s="17" t="s">
        <v>22</v>
      </c>
      <c r="J146" s="17" t="s">
        <v>3187</v>
      </c>
      <c r="K146" s="18">
        <v>46149</v>
      </c>
      <c r="L146" s="17" t="s">
        <v>82</v>
      </c>
      <c r="M146" s="7" t="s">
        <v>25</v>
      </c>
      <c r="N146" s="17"/>
    </row>
    <row r="147" spans="1:14" ht="63.75" customHeight="1" x14ac:dyDescent="0.25">
      <c r="A147" s="17">
        <v>146</v>
      </c>
      <c r="B147" s="16" t="s">
        <v>3184</v>
      </c>
      <c r="C147" s="17">
        <v>2</v>
      </c>
      <c r="D147" s="17">
        <v>17.100000000000001</v>
      </c>
      <c r="E147" s="17"/>
      <c r="F147" s="16" t="s">
        <v>151</v>
      </c>
      <c r="G147" s="17" t="s">
        <v>3188</v>
      </c>
      <c r="H147" s="17" t="s">
        <v>3189</v>
      </c>
      <c r="I147" s="17" t="s">
        <v>34</v>
      </c>
      <c r="J147" s="17" t="s">
        <v>3190</v>
      </c>
      <c r="K147" s="18">
        <v>46150</v>
      </c>
      <c r="L147" s="17" t="s">
        <v>24</v>
      </c>
      <c r="M147" s="7" t="s">
        <v>25</v>
      </c>
      <c r="N147" s="17"/>
    </row>
    <row r="148" spans="1:14" ht="63.75" customHeight="1" x14ac:dyDescent="0.25">
      <c r="A148" s="17">
        <v>147</v>
      </c>
      <c r="B148" s="16" t="s">
        <v>3184</v>
      </c>
      <c r="C148" s="17">
        <v>3</v>
      </c>
      <c r="D148" s="17">
        <v>12.8</v>
      </c>
      <c r="E148" s="17">
        <v>10.8</v>
      </c>
      <c r="F148" s="16" t="s">
        <v>151</v>
      </c>
      <c r="G148" s="17" t="s">
        <v>3188</v>
      </c>
      <c r="H148" s="17" t="s">
        <v>3189</v>
      </c>
      <c r="I148" s="17" t="s">
        <v>34</v>
      </c>
      <c r="J148" s="17" t="s">
        <v>3190</v>
      </c>
      <c r="K148" s="18">
        <v>46150</v>
      </c>
      <c r="L148" s="17" t="s">
        <v>24</v>
      </c>
      <c r="M148" s="7" t="s">
        <v>25</v>
      </c>
      <c r="N148" s="17"/>
    </row>
    <row r="149" spans="1:14" ht="25.5" customHeight="1" x14ac:dyDescent="0.25">
      <c r="A149" s="17">
        <v>148</v>
      </c>
      <c r="B149" s="16" t="s">
        <v>3191</v>
      </c>
      <c r="C149" s="17">
        <v>1</v>
      </c>
      <c r="D149" s="17">
        <v>16.600000000000001</v>
      </c>
      <c r="E149" s="17">
        <v>10.6</v>
      </c>
      <c r="F149" s="16" t="s">
        <v>86</v>
      </c>
      <c r="G149" s="17" t="s">
        <v>3192</v>
      </c>
      <c r="H149" s="17" t="s">
        <v>3193</v>
      </c>
      <c r="I149" s="17" t="s">
        <v>28</v>
      </c>
      <c r="J149" s="17" t="s">
        <v>3194</v>
      </c>
      <c r="K149" s="18">
        <v>46134</v>
      </c>
      <c r="L149" s="17" t="s">
        <v>24</v>
      </c>
      <c r="M149" s="7" t="s">
        <v>25</v>
      </c>
      <c r="N149" s="17"/>
    </row>
    <row r="150" spans="1:14" ht="25.5" customHeight="1" x14ac:dyDescent="0.25">
      <c r="A150" s="17">
        <v>149</v>
      </c>
      <c r="B150" s="16" t="s">
        <v>3191</v>
      </c>
      <c r="C150" s="17">
        <v>2</v>
      </c>
      <c r="D150" s="17">
        <v>17.100000000000001</v>
      </c>
      <c r="E150" s="17"/>
      <c r="F150" s="16" t="s">
        <v>86</v>
      </c>
      <c r="G150" s="17" t="s">
        <v>3195</v>
      </c>
      <c r="H150" s="17" t="s">
        <v>3196</v>
      </c>
      <c r="I150" s="17" t="s">
        <v>267</v>
      </c>
      <c r="J150" s="17" t="s">
        <v>3197</v>
      </c>
      <c r="K150" s="18">
        <v>46136</v>
      </c>
      <c r="L150" s="17" t="s">
        <v>24</v>
      </c>
      <c r="M150" s="7" t="s">
        <v>25</v>
      </c>
      <c r="N150" s="17"/>
    </row>
    <row r="151" spans="1:14" x14ac:dyDescent="0.25">
      <c r="A151" s="14">
        <v>150</v>
      </c>
      <c r="B151" s="15" t="s">
        <v>3191</v>
      </c>
      <c r="C151" s="14">
        <v>3</v>
      </c>
      <c r="D151" s="14">
        <v>13.3</v>
      </c>
      <c r="E151" s="14">
        <v>10.6</v>
      </c>
      <c r="F151" s="15" t="s">
        <v>19</v>
      </c>
      <c r="G151" s="14"/>
      <c r="H151" s="14"/>
      <c r="I151" s="14"/>
      <c r="J151" s="14"/>
      <c r="K151" s="14"/>
      <c r="L151" s="14"/>
      <c r="M151" s="14" t="s">
        <v>286</v>
      </c>
      <c r="N151" s="14"/>
    </row>
    <row r="152" spans="1:14" ht="51" customHeight="1" x14ac:dyDescent="0.25">
      <c r="A152" s="17">
        <v>151</v>
      </c>
      <c r="B152" s="16" t="s">
        <v>3198</v>
      </c>
      <c r="C152" s="17">
        <v>1</v>
      </c>
      <c r="D152" s="17">
        <v>16.8</v>
      </c>
      <c r="E152" s="17">
        <v>10.7</v>
      </c>
      <c r="F152" s="16" t="s">
        <v>62</v>
      </c>
      <c r="G152" s="17" t="s">
        <v>3199</v>
      </c>
      <c r="H152" s="17" t="s">
        <v>3200</v>
      </c>
      <c r="I152" s="17" t="s">
        <v>34</v>
      </c>
      <c r="J152" s="24" t="s">
        <v>3201</v>
      </c>
      <c r="K152" s="18">
        <v>46137</v>
      </c>
      <c r="L152" s="17" t="s">
        <v>24</v>
      </c>
      <c r="M152" s="7" t="s">
        <v>25</v>
      </c>
      <c r="N152" s="17"/>
    </row>
    <row r="153" spans="1:14" ht="25.5" customHeight="1" x14ac:dyDescent="0.25">
      <c r="A153" s="17">
        <v>152</v>
      </c>
      <c r="B153" s="16" t="s">
        <v>3198</v>
      </c>
      <c r="C153" s="17">
        <v>2</v>
      </c>
      <c r="D153" s="17">
        <v>16.2</v>
      </c>
      <c r="E153" s="17"/>
      <c r="F153" s="16" t="s">
        <v>121</v>
      </c>
      <c r="G153" s="17" t="s">
        <v>3202</v>
      </c>
      <c r="H153" s="17" t="s">
        <v>3203</v>
      </c>
      <c r="I153" s="17" t="s">
        <v>34</v>
      </c>
      <c r="J153" s="17" t="s">
        <v>3204</v>
      </c>
      <c r="K153" s="17" t="s">
        <v>3205</v>
      </c>
      <c r="L153" s="17" t="s">
        <v>24</v>
      </c>
      <c r="M153" s="7" t="s">
        <v>25</v>
      </c>
      <c r="N153" s="17"/>
    </row>
    <row r="154" spans="1:14" ht="63.75" customHeight="1" x14ac:dyDescent="0.25">
      <c r="A154" s="17">
        <v>153</v>
      </c>
      <c r="B154" s="16" t="s">
        <v>3198</v>
      </c>
      <c r="C154" s="17">
        <v>3</v>
      </c>
      <c r="D154" s="17">
        <v>13</v>
      </c>
      <c r="E154" s="17">
        <v>10.9</v>
      </c>
      <c r="F154" s="16" t="s">
        <v>162</v>
      </c>
      <c r="G154" s="17" t="s">
        <v>3206</v>
      </c>
      <c r="H154" s="17" t="s">
        <v>3207</v>
      </c>
      <c r="I154" s="17" t="s">
        <v>34</v>
      </c>
      <c r="J154" s="17" t="s">
        <v>3208</v>
      </c>
      <c r="K154" s="18">
        <v>46142</v>
      </c>
      <c r="L154" s="17" t="s">
        <v>24</v>
      </c>
      <c r="M154" s="7" t="s">
        <v>25</v>
      </c>
      <c r="N154" s="17"/>
    </row>
    <row r="155" spans="1:14" ht="25.5" customHeight="1" x14ac:dyDescent="0.25">
      <c r="A155" s="17">
        <v>154</v>
      </c>
      <c r="B155" s="16" t="s">
        <v>3209</v>
      </c>
      <c r="C155" s="17">
        <v>1</v>
      </c>
      <c r="D155" s="17">
        <v>16.3</v>
      </c>
      <c r="E155" s="17">
        <v>10.9</v>
      </c>
      <c r="F155" s="16" t="s">
        <v>126</v>
      </c>
      <c r="G155" s="17" t="s">
        <v>3210</v>
      </c>
      <c r="H155" s="17" t="s">
        <v>3211</v>
      </c>
      <c r="I155" s="17" t="s">
        <v>28</v>
      </c>
      <c r="J155" s="17" t="s">
        <v>3212</v>
      </c>
      <c r="K155" s="18">
        <v>46133</v>
      </c>
      <c r="L155" s="17" t="s">
        <v>24</v>
      </c>
      <c r="M155" s="7" t="s">
        <v>25</v>
      </c>
      <c r="N155" s="17"/>
    </row>
    <row r="156" spans="1:14" ht="25.5" customHeight="1" x14ac:dyDescent="0.25">
      <c r="A156" s="17">
        <v>155</v>
      </c>
      <c r="B156" s="16" t="s">
        <v>3209</v>
      </c>
      <c r="C156" s="17">
        <v>2</v>
      </c>
      <c r="D156" s="17">
        <v>16</v>
      </c>
      <c r="E156" s="17"/>
      <c r="F156" s="16" t="s">
        <v>126</v>
      </c>
      <c r="G156" s="17" t="s">
        <v>3213</v>
      </c>
      <c r="H156" s="17" t="s">
        <v>3214</v>
      </c>
      <c r="I156" s="17" t="s">
        <v>267</v>
      </c>
      <c r="J156" s="17" t="s">
        <v>3215</v>
      </c>
      <c r="K156" s="18">
        <v>46133</v>
      </c>
      <c r="L156" s="17" t="s">
        <v>24</v>
      </c>
      <c r="M156" s="7" t="s">
        <v>25</v>
      </c>
      <c r="N156" s="17"/>
    </row>
    <row r="157" spans="1:14" ht="25.5" customHeight="1" x14ac:dyDescent="0.25">
      <c r="A157" s="17">
        <v>156</v>
      </c>
      <c r="B157" s="16" t="s">
        <v>3209</v>
      </c>
      <c r="C157" s="17">
        <v>3</v>
      </c>
      <c r="D157" s="17">
        <v>12.6</v>
      </c>
      <c r="E157" s="17">
        <v>10.4</v>
      </c>
      <c r="F157" s="16" t="s">
        <v>73</v>
      </c>
      <c r="G157" s="17" t="s">
        <v>3216</v>
      </c>
      <c r="H157" s="17" t="s">
        <v>3217</v>
      </c>
      <c r="I157" s="17" t="s">
        <v>51</v>
      </c>
      <c r="J157" s="17" t="s">
        <v>3218</v>
      </c>
      <c r="K157" s="18">
        <v>46156</v>
      </c>
      <c r="L157" s="17" t="s">
        <v>24</v>
      </c>
      <c r="M157" s="7" t="s">
        <v>25</v>
      </c>
      <c r="N157" s="17"/>
    </row>
    <row r="158" spans="1:14" ht="25.5" customHeight="1" x14ac:dyDescent="0.25">
      <c r="A158" s="17">
        <v>157</v>
      </c>
      <c r="B158" s="16" t="s">
        <v>3219</v>
      </c>
      <c r="C158" s="17">
        <v>1</v>
      </c>
      <c r="D158" s="17">
        <v>16.5</v>
      </c>
      <c r="E158" s="17">
        <v>10.9</v>
      </c>
      <c r="F158" s="16" t="s">
        <v>1030</v>
      </c>
      <c r="G158" s="17" t="s">
        <v>3220</v>
      </c>
      <c r="H158" s="17" t="s">
        <v>3221</v>
      </c>
      <c r="I158" s="17" t="s">
        <v>662</v>
      </c>
      <c r="J158" s="17" t="s">
        <v>3222</v>
      </c>
      <c r="K158" s="18">
        <v>46154</v>
      </c>
      <c r="L158" s="17" t="s">
        <v>24</v>
      </c>
      <c r="M158" s="7" t="s">
        <v>25</v>
      </c>
      <c r="N158" s="17"/>
    </row>
    <row r="159" spans="1:14" ht="25.5" customHeight="1" x14ac:dyDescent="0.25">
      <c r="A159" s="17">
        <v>158</v>
      </c>
      <c r="B159" s="16" t="s">
        <v>3219</v>
      </c>
      <c r="C159" s="17">
        <v>2</v>
      </c>
      <c r="D159" s="17">
        <v>16.7</v>
      </c>
      <c r="E159" s="17"/>
      <c r="F159" s="16" t="s">
        <v>106</v>
      </c>
      <c r="G159" s="17" t="s">
        <v>3223</v>
      </c>
      <c r="H159" s="17" t="s">
        <v>3224</v>
      </c>
      <c r="I159" s="17" t="s">
        <v>51</v>
      </c>
      <c r="J159" s="17" t="s">
        <v>3225</v>
      </c>
      <c r="K159" s="18">
        <v>46142</v>
      </c>
      <c r="L159" s="17" t="s">
        <v>24</v>
      </c>
      <c r="M159" s="7" t="s">
        <v>25</v>
      </c>
      <c r="N159" s="17"/>
    </row>
    <row r="160" spans="1:14" ht="38.25" customHeight="1" x14ac:dyDescent="0.25">
      <c r="A160" s="17">
        <v>159</v>
      </c>
      <c r="B160" s="16" t="s">
        <v>3219</v>
      </c>
      <c r="C160" s="17">
        <v>3</v>
      </c>
      <c r="D160" s="17">
        <v>12.9</v>
      </c>
      <c r="E160" s="17">
        <v>10.8</v>
      </c>
      <c r="F160" s="16" t="s">
        <v>106</v>
      </c>
      <c r="G160" s="17" t="s">
        <v>3226</v>
      </c>
      <c r="H160" s="17" t="s">
        <v>3227</v>
      </c>
      <c r="I160" s="17" t="s">
        <v>34</v>
      </c>
      <c r="J160" s="17" t="s">
        <v>3228</v>
      </c>
      <c r="K160" s="18">
        <v>46136</v>
      </c>
      <c r="L160" s="17" t="s">
        <v>24</v>
      </c>
      <c r="M160" s="7" t="s">
        <v>25</v>
      </c>
      <c r="N160" s="17"/>
    </row>
    <row r="161" spans="1:14" ht="38.25" customHeight="1" x14ac:dyDescent="0.25">
      <c r="A161" s="17">
        <v>160</v>
      </c>
      <c r="B161" s="16" t="s">
        <v>3229</v>
      </c>
      <c r="C161" s="17">
        <v>1</v>
      </c>
      <c r="D161" s="17">
        <v>16</v>
      </c>
      <c r="E161" s="17">
        <v>10.7</v>
      </c>
      <c r="F161" s="16" t="s">
        <v>162</v>
      </c>
      <c r="G161" s="17" t="s">
        <v>4901</v>
      </c>
      <c r="H161" s="17" t="s">
        <v>3230</v>
      </c>
      <c r="I161" s="17" t="s">
        <v>34</v>
      </c>
      <c r="J161" s="17" t="s">
        <v>3231</v>
      </c>
      <c r="K161" s="18">
        <v>46154</v>
      </c>
      <c r="L161" s="17" t="s">
        <v>82</v>
      </c>
      <c r="M161" s="7" t="s">
        <v>25</v>
      </c>
      <c r="N161" s="17"/>
    </row>
    <row r="162" spans="1:14" ht="25.5" customHeight="1" x14ac:dyDescent="0.25">
      <c r="A162" s="17">
        <v>161</v>
      </c>
      <c r="B162" s="16" t="s">
        <v>3229</v>
      </c>
      <c r="C162" s="17">
        <v>2</v>
      </c>
      <c r="D162" s="17">
        <v>17</v>
      </c>
      <c r="E162" s="17"/>
      <c r="F162" s="16" t="s">
        <v>19</v>
      </c>
      <c r="G162" s="17" t="s">
        <v>3232</v>
      </c>
      <c r="H162" s="17" t="s">
        <v>3233</v>
      </c>
      <c r="I162" s="17" t="s">
        <v>28</v>
      </c>
      <c r="J162" s="17" t="s">
        <v>3234</v>
      </c>
      <c r="K162" s="18">
        <v>46136</v>
      </c>
      <c r="L162" s="17" t="s">
        <v>82</v>
      </c>
      <c r="M162" s="7" t="s">
        <v>25</v>
      </c>
      <c r="N162" s="17"/>
    </row>
    <row r="163" spans="1:14" ht="63.75" customHeight="1" x14ac:dyDescent="0.25">
      <c r="A163" s="17">
        <v>162</v>
      </c>
      <c r="B163" s="16" t="s">
        <v>3229</v>
      </c>
      <c r="C163" s="17">
        <v>3</v>
      </c>
      <c r="D163" s="17">
        <v>12.6</v>
      </c>
      <c r="E163" s="17">
        <v>10.8</v>
      </c>
      <c r="F163" s="16" t="s">
        <v>162</v>
      </c>
      <c r="G163" s="17" t="s">
        <v>3235</v>
      </c>
      <c r="H163" s="17" t="s">
        <v>3236</v>
      </c>
      <c r="I163" s="17" t="s">
        <v>34</v>
      </c>
      <c r="J163" s="17" t="s">
        <v>3237</v>
      </c>
      <c r="K163" s="18">
        <v>46155</v>
      </c>
      <c r="L163" s="17" t="s">
        <v>24</v>
      </c>
      <c r="M163" s="7" t="s">
        <v>25</v>
      </c>
      <c r="N163" s="17"/>
    </row>
    <row r="164" spans="1:14" ht="63.75" customHeight="1" x14ac:dyDescent="0.25">
      <c r="A164" s="17">
        <v>163</v>
      </c>
      <c r="B164" s="16" t="s">
        <v>3238</v>
      </c>
      <c r="C164" s="17">
        <v>1</v>
      </c>
      <c r="D164" s="17">
        <v>17.100000000000001</v>
      </c>
      <c r="E164" s="17">
        <v>10.7</v>
      </c>
      <c r="F164" s="16" t="s">
        <v>19</v>
      </c>
      <c r="G164" s="17" t="s">
        <v>3239</v>
      </c>
      <c r="H164" s="17" t="s">
        <v>3240</v>
      </c>
      <c r="I164" s="17" t="s">
        <v>34</v>
      </c>
      <c r="J164" s="17" t="s">
        <v>3241</v>
      </c>
      <c r="K164" s="18">
        <v>46154</v>
      </c>
      <c r="L164" s="17" t="s">
        <v>24</v>
      </c>
      <c r="M164" s="7" t="s">
        <v>25</v>
      </c>
      <c r="N164" s="17"/>
    </row>
    <row r="165" spans="1:14" ht="25.5" customHeight="1" x14ac:dyDescent="0.25">
      <c r="A165" s="17">
        <v>164</v>
      </c>
      <c r="B165" s="16" t="s">
        <v>3238</v>
      </c>
      <c r="C165" s="17">
        <v>2</v>
      </c>
      <c r="D165" s="17">
        <v>16.2</v>
      </c>
      <c r="E165" s="17"/>
      <c r="F165" s="16" t="s">
        <v>19</v>
      </c>
      <c r="G165" s="17" t="s">
        <v>3242</v>
      </c>
      <c r="H165" s="17" t="s">
        <v>3243</v>
      </c>
      <c r="I165" s="17" t="s">
        <v>267</v>
      </c>
      <c r="J165" s="17" t="s">
        <v>3244</v>
      </c>
      <c r="K165" s="18">
        <v>46134</v>
      </c>
      <c r="L165" s="17" t="s">
        <v>24</v>
      </c>
      <c r="M165" s="7" t="s">
        <v>25</v>
      </c>
      <c r="N165" s="17"/>
    </row>
    <row r="166" spans="1:14" ht="25.5" customHeight="1" x14ac:dyDescent="0.25">
      <c r="A166" s="17">
        <v>165</v>
      </c>
      <c r="B166" s="16" t="s">
        <v>3238</v>
      </c>
      <c r="C166" s="17">
        <v>3</v>
      </c>
      <c r="D166" s="17">
        <v>13</v>
      </c>
      <c r="E166" s="17">
        <v>11.2</v>
      </c>
      <c r="F166" s="16" t="s">
        <v>19</v>
      </c>
      <c r="G166" s="17" t="s">
        <v>3245</v>
      </c>
      <c r="H166" s="17" t="s">
        <v>3246</v>
      </c>
      <c r="I166" s="17" t="s">
        <v>28</v>
      </c>
      <c r="J166" s="17" t="s">
        <v>3247</v>
      </c>
      <c r="K166" s="18">
        <v>46136</v>
      </c>
      <c r="L166" s="17" t="s">
        <v>24</v>
      </c>
      <c r="M166" s="7" t="s">
        <v>25</v>
      </c>
      <c r="N166" s="17"/>
    </row>
    <row r="167" spans="1:14" ht="25.5" customHeight="1" x14ac:dyDescent="0.25">
      <c r="A167" s="17">
        <v>166</v>
      </c>
      <c r="B167" s="16" t="s">
        <v>3248</v>
      </c>
      <c r="C167" s="17">
        <v>1</v>
      </c>
      <c r="D167" s="17">
        <v>16.5</v>
      </c>
      <c r="E167" s="17">
        <v>10.3</v>
      </c>
      <c r="F167" s="16" t="s">
        <v>162</v>
      </c>
      <c r="G167" s="17" t="s">
        <v>3249</v>
      </c>
      <c r="H167" s="17" t="s">
        <v>3250</v>
      </c>
      <c r="I167" s="17" t="s">
        <v>38</v>
      </c>
      <c r="J167" s="17" t="s">
        <v>3251</v>
      </c>
      <c r="K167" s="17" t="s">
        <v>3252</v>
      </c>
      <c r="L167" s="17" t="s">
        <v>24</v>
      </c>
      <c r="M167" s="7" t="s">
        <v>25</v>
      </c>
      <c r="N167" s="17"/>
    </row>
    <row r="168" spans="1:14" ht="51" customHeight="1" x14ac:dyDescent="0.25">
      <c r="A168" s="17">
        <v>167</v>
      </c>
      <c r="B168" s="16" t="s">
        <v>3248</v>
      </c>
      <c r="C168" s="17">
        <v>2</v>
      </c>
      <c r="D168" s="17">
        <v>16.399999999999999</v>
      </c>
      <c r="E168" s="17"/>
      <c r="F168" s="16" t="s">
        <v>19</v>
      </c>
      <c r="G168" s="17" t="s">
        <v>3253</v>
      </c>
      <c r="H168" s="17" t="s">
        <v>3254</v>
      </c>
      <c r="I168" s="17" t="s">
        <v>293</v>
      </c>
      <c r="J168" s="17" t="s">
        <v>3255</v>
      </c>
      <c r="K168" s="18">
        <v>46156</v>
      </c>
      <c r="L168" s="17" t="s">
        <v>82</v>
      </c>
      <c r="M168" s="7" t="s">
        <v>25</v>
      </c>
      <c r="N168" s="17"/>
    </row>
    <row r="169" spans="1:14" ht="25.5" customHeight="1" x14ac:dyDescent="0.25">
      <c r="A169" s="17">
        <v>168</v>
      </c>
      <c r="B169" s="16" t="s">
        <v>3248</v>
      </c>
      <c r="C169" s="17">
        <v>3</v>
      </c>
      <c r="D169" s="17">
        <v>12.5</v>
      </c>
      <c r="E169" s="17">
        <v>10.4</v>
      </c>
      <c r="F169" s="16" t="s">
        <v>62</v>
      </c>
      <c r="G169" s="17" t="s">
        <v>3256</v>
      </c>
      <c r="H169" s="17" t="s">
        <v>3257</v>
      </c>
      <c r="I169" s="17" t="s">
        <v>112</v>
      </c>
      <c r="J169" s="24" t="s">
        <v>3258</v>
      </c>
      <c r="K169" s="18">
        <v>46141</v>
      </c>
      <c r="L169" s="17" t="s">
        <v>24</v>
      </c>
      <c r="M169" s="7" t="s">
        <v>25</v>
      </c>
      <c r="N169" s="17"/>
    </row>
    <row r="170" spans="1:14" ht="25.5" customHeight="1" x14ac:dyDescent="0.25">
      <c r="A170" s="17">
        <v>169</v>
      </c>
      <c r="B170" s="16" t="s">
        <v>3259</v>
      </c>
      <c r="C170" s="17">
        <v>1</v>
      </c>
      <c r="D170" s="17">
        <v>16.100000000000001</v>
      </c>
      <c r="E170" s="17">
        <v>10.3</v>
      </c>
      <c r="F170" s="16" t="s">
        <v>86</v>
      </c>
      <c r="G170" s="17" t="s">
        <v>3260</v>
      </c>
      <c r="H170" s="17" t="s">
        <v>3076</v>
      </c>
      <c r="I170" s="17" t="s">
        <v>28</v>
      </c>
      <c r="J170" s="17" t="s">
        <v>3261</v>
      </c>
      <c r="K170" s="18">
        <v>46154</v>
      </c>
      <c r="L170" s="17" t="s">
        <v>24</v>
      </c>
      <c r="M170" s="7" t="s">
        <v>25</v>
      </c>
      <c r="N170" s="17"/>
    </row>
    <row r="171" spans="1:14" ht="25.5" customHeight="1" x14ac:dyDescent="0.25">
      <c r="A171" s="17">
        <v>170</v>
      </c>
      <c r="B171" s="16" t="s">
        <v>3259</v>
      </c>
      <c r="C171" s="17">
        <v>2</v>
      </c>
      <c r="D171" s="17">
        <v>16.600000000000001</v>
      </c>
      <c r="E171" s="17"/>
      <c r="F171" s="16" t="s">
        <v>162</v>
      </c>
      <c r="G171" s="17" t="s">
        <v>3262</v>
      </c>
      <c r="H171" s="17" t="s">
        <v>3263</v>
      </c>
      <c r="I171" s="17" t="s">
        <v>51</v>
      </c>
      <c r="J171" s="17" t="s">
        <v>3264</v>
      </c>
      <c r="K171" s="18">
        <v>46135</v>
      </c>
      <c r="L171" s="17" t="s">
        <v>24</v>
      </c>
      <c r="M171" s="7" t="s">
        <v>25</v>
      </c>
      <c r="N171" s="17"/>
    </row>
    <row r="172" spans="1:14" ht="51" customHeight="1" x14ac:dyDescent="0.25">
      <c r="A172" s="17">
        <v>171</v>
      </c>
      <c r="B172" s="16" t="s">
        <v>3259</v>
      </c>
      <c r="C172" s="17">
        <v>3</v>
      </c>
      <c r="D172" s="17">
        <v>12.5</v>
      </c>
      <c r="E172" s="17">
        <v>10.1</v>
      </c>
      <c r="F172" s="16" t="s">
        <v>73</v>
      </c>
      <c r="G172" s="17" t="s">
        <v>4867</v>
      </c>
      <c r="H172" s="17" t="s">
        <v>3265</v>
      </c>
      <c r="I172" s="17" t="s">
        <v>34</v>
      </c>
      <c r="J172" s="17" t="s">
        <v>3266</v>
      </c>
      <c r="K172" s="18">
        <v>46144</v>
      </c>
      <c r="L172" s="17" t="s">
        <v>24</v>
      </c>
      <c r="M172" s="7" t="s">
        <v>25</v>
      </c>
      <c r="N172" s="17"/>
    </row>
    <row r="173" spans="1:14" ht="25.5" customHeight="1" x14ac:dyDescent="0.25">
      <c r="A173" s="17">
        <v>172</v>
      </c>
      <c r="B173" s="16" t="s">
        <v>3267</v>
      </c>
      <c r="C173" s="17">
        <v>1</v>
      </c>
      <c r="D173" s="17">
        <v>12</v>
      </c>
      <c r="E173" s="17">
        <v>10.5</v>
      </c>
      <c r="F173" s="16" t="s">
        <v>126</v>
      </c>
      <c r="G173" s="17" t="s">
        <v>3268</v>
      </c>
      <c r="H173" s="17" t="s">
        <v>3269</v>
      </c>
      <c r="I173" s="17" t="s">
        <v>28</v>
      </c>
      <c r="J173" s="17" t="s">
        <v>3270</v>
      </c>
      <c r="K173" s="18">
        <v>46136</v>
      </c>
      <c r="L173" s="17" t="s">
        <v>24</v>
      </c>
      <c r="M173" s="7" t="s">
        <v>25</v>
      </c>
      <c r="N173" s="17"/>
    </row>
    <row r="174" spans="1:14" ht="25.5" customHeight="1" x14ac:dyDescent="0.25">
      <c r="A174" s="17">
        <v>173</v>
      </c>
      <c r="B174" s="16" t="s">
        <v>3267</v>
      </c>
      <c r="C174" s="17">
        <v>2</v>
      </c>
      <c r="D174" s="17">
        <v>16.100000000000001</v>
      </c>
      <c r="E174" s="17"/>
      <c r="F174" s="16" t="s">
        <v>151</v>
      </c>
      <c r="G174" s="17" t="s">
        <v>3271</v>
      </c>
      <c r="H174" s="17" t="s">
        <v>3272</v>
      </c>
      <c r="I174" s="17" t="s">
        <v>51</v>
      </c>
      <c r="J174" s="17" t="s">
        <v>3273</v>
      </c>
      <c r="K174" s="18">
        <v>46155</v>
      </c>
      <c r="L174" s="17" t="s">
        <v>24</v>
      </c>
      <c r="M174" s="7" t="s">
        <v>25</v>
      </c>
      <c r="N174" s="17"/>
    </row>
    <row r="175" spans="1:14" ht="25.5" customHeight="1" x14ac:dyDescent="0.25">
      <c r="A175" s="17">
        <v>174</v>
      </c>
      <c r="B175" s="16" t="s">
        <v>3267</v>
      </c>
      <c r="C175" s="17">
        <v>3</v>
      </c>
      <c r="D175" s="17">
        <v>16.2</v>
      </c>
      <c r="E175" s="17">
        <v>10.4</v>
      </c>
      <c r="F175" s="16" t="s">
        <v>151</v>
      </c>
      <c r="G175" s="17" t="s">
        <v>3271</v>
      </c>
      <c r="H175" s="17" t="s">
        <v>3272</v>
      </c>
      <c r="I175" s="17" t="s">
        <v>51</v>
      </c>
      <c r="J175" s="17" t="s">
        <v>3273</v>
      </c>
      <c r="K175" s="18">
        <v>46155</v>
      </c>
      <c r="L175" s="17" t="s">
        <v>24</v>
      </c>
      <c r="M175" s="7" t="s">
        <v>25</v>
      </c>
      <c r="N175" s="17"/>
    </row>
    <row r="176" spans="1:14" x14ac:dyDescent="0.25">
      <c r="A176" s="22"/>
      <c r="B176" s="23"/>
      <c r="C176" s="22"/>
      <c r="D176" s="22"/>
      <c r="E176" s="22"/>
      <c r="F176" s="23"/>
      <c r="G176" s="22"/>
      <c r="H176" s="22"/>
      <c r="I176" s="22"/>
      <c r="J176" s="22"/>
      <c r="K176" s="22"/>
      <c r="L176" s="22"/>
      <c r="M176" s="22"/>
      <c r="N176" s="22"/>
    </row>
    <row r="177" spans="1:14" x14ac:dyDescent="0.25">
      <c r="A177" s="22"/>
      <c r="B177" s="23"/>
      <c r="C177" s="22"/>
      <c r="D177" s="22"/>
      <c r="E177" s="22"/>
      <c r="F177" s="23"/>
      <c r="G177" s="22"/>
      <c r="H177" s="22"/>
      <c r="I177" s="22"/>
      <c r="J177" s="22"/>
      <c r="K177" s="22"/>
      <c r="L177" s="22"/>
      <c r="M177" s="22"/>
      <c r="N177" s="22"/>
    </row>
    <row r="178" spans="1:14" x14ac:dyDescent="0.25">
      <c r="A178" s="22"/>
      <c r="B178" s="23"/>
      <c r="C178" s="22"/>
      <c r="D178" s="22"/>
      <c r="E178" s="22"/>
      <c r="F178" s="23"/>
      <c r="G178" s="22"/>
      <c r="H178" s="22"/>
      <c r="I178" s="22"/>
      <c r="J178" s="22"/>
      <c r="K178" s="22"/>
      <c r="L178" s="22"/>
      <c r="M178" s="22"/>
      <c r="N178" s="22"/>
    </row>
    <row r="179" spans="1:14" x14ac:dyDescent="0.25">
      <c r="A179" s="22"/>
      <c r="B179" s="23"/>
      <c r="C179" s="22"/>
      <c r="D179" s="22"/>
      <c r="E179" s="22"/>
      <c r="F179" s="23"/>
      <c r="G179" s="22"/>
      <c r="H179" s="22"/>
      <c r="I179" s="22"/>
      <c r="J179" s="22"/>
      <c r="K179" s="22"/>
      <c r="L179" s="22"/>
      <c r="M179" s="22"/>
      <c r="N179" s="22"/>
    </row>
    <row r="180" spans="1:14" x14ac:dyDescent="0.25">
      <c r="A180" s="22"/>
      <c r="B180" s="23"/>
      <c r="C180" s="22"/>
      <c r="D180" s="22"/>
      <c r="E180" s="22"/>
      <c r="F180" s="23"/>
      <c r="G180" s="22"/>
      <c r="H180" s="22"/>
      <c r="I180" s="22"/>
      <c r="J180" s="22"/>
      <c r="K180" s="22"/>
      <c r="L180" s="22"/>
      <c r="M180" s="22"/>
      <c r="N180" s="22"/>
    </row>
    <row r="181" spans="1:14" x14ac:dyDescent="0.25">
      <c r="A181" s="22"/>
      <c r="B181" s="23"/>
      <c r="C181" s="22"/>
      <c r="D181" s="22"/>
      <c r="E181" s="22"/>
      <c r="F181" s="23"/>
      <c r="G181" s="22"/>
      <c r="H181" s="22"/>
      <c r="I181" s="22"/>
      <c r="J181" s="22"/>
      <c r="K181" s="22"/>
      <c r="L181" s="22"/>
      <c r="M181" s="22"/>
      <c r="N181" s="22"/>
    </row>
    <row r="182" spans="1:14" x14ac:dyDescent="0.25">
      <c r="A182" s="22"/>
      <c r="B182" s="23"/>
      <c r="C182" s="22"/>
      <c r="D182" s="22"/>
      <c r="E182" s="22"/>
      <c r="F182" s="23"/>
      <c r="G182" s="22"/>
      <c r="H182" s="22"/>
      <c r="I182" s="22"/>
      <c r="J182" s="22"/>
      <c r="K182" s="22"/>
      <c r="L182" s="22"/>
      <c r="M182" s="22"/>
      <c r="N182" s="22"/>
    </row>
    <row r="183" spans="1:14" x14ac:dyDescent="0.25">
      <c r="A183" s="22"/>
      <c r="B183" s="23"/>
      <c r="C183" s="22"/>
      <c r="D183" s="22"/>
      <c r="E183" s="22"/>
      <c r="F183" s="23"/>
      <c r="G183" s="22"/>
      <c r="H183" s="22"/>
      <c r="I183" s="22"/>
      <c r="J183" s="22"/>
      <c r="K183" s="22"/>
      <c r="L183" s="22"/>
      <c r="M183" s="22"/>
      <c r="N183" s="22"/>
    </row>
    <row r="184" spans="1:14" x14ac:dyDescent="0.25">
      <c r="A184" s="22"/>
      <c r="B184" s="23"/>
      <c r="C184" s="22"/>
      <c r="D184" s="22"/>
      <c r="E184" s="22"/>
      <c r="F184" s="23"/>
      <c r="G184" s="22"/>
      <c r="H184" s="22"/>
      <c r="I184" s="22"/>
      <c r="J184" s="22"/>
      <c r="K184" s="22"/>
      <c r="L184" s="22"/>
      <c r="M184" s="22"/>
      <c r="N184" s="22"/>
    </row>
    <row r="185" spans="1:14" x14ac:dyDescent="0.25">
      <c r="A185" s="22"/>
      <c r="B185" s="23"/>
      <c r="C185" s="22"/>
      <c r="D185" s="22"/>
      <c r="E185" s="22"/>
      <c r="F185" s="23"/>
      <c r="G185" s="22"/>
      <c r="H185" s="22"/>
      <c r="I185" s="22"/>
      <c r="J185" s="22"/>
      <c r="K185" s="22"/>
      <c r="L185" s="22"/>
      <c r="M185" s="22"/>
      <c r="N185" s="22"/>
    </row>
    <row r="186" spans="1:14" x14ac:dyDescent="0.25">
      <c r="A186" s="22"/>
      <c r="B186" s="23"/>
      <c r="C186" s="22"/>
      <c r="D186" s="22"/>
      <c r="E186" s="22"/>
      <c r="F186" s="23"/>
      <c r="G186" s="22"/>
      <c r="H186" s="22"/>
      <c r="I186" s="22"/>
      <c r="J186" s="22"/>
      <c r="K186" s="22"/>
      <c r="L186" s="22"/>
      <c r="M186" s="22"/>
      <c r="N186" s="22"/>
    </row>
    <row r="187" spans="1:14" x14ac:dyDescent="0.25">
      <c r="A187" s="22"/>
      <c r="B187" s="23"/>
      <c r="C187" s="22"/>
      <c r="D187" s="22"/>
      <c r="E187" s="22"/>
      <c r="F187" s="23"/>
      <c r="G187" s="22"/>
      <c r="H187" s="22"/>
      <c r="I187" s="22"/>
      <c r="J187" s="22"/>
      <c r="K187" s="22"/>
      <c r="L187" s="22"/>
      <c r="M187" s="22"/>
      <c r="N187" s="22"/>
    </row>
    <row r="188" spans="1:14" x14ac:dyDescent="0.25">
      <c r="A188" s="22"/>
      <c r="B188" s="23"/>
      <c r="C188" s="22"/>
      <c r="D188" s="22"/>
      <c r="E188" s="22"/>
      <c r="F188" s="23"/>
      <c r="G188" s="22"/>
      <c r="H188" s="22"/>
      <c r="I188" s="22"/>
      <c r="J188" s="22"/>
      <c r="K188" s="22"/>
      <c r="L188" s="22"/>
      <c r="M188" s="22"/>
      <c r="N188" s="22"/>
    </row>
    <row r="189" spans="1:14" x14ac:dyDescent="0.25">
      <c r="A189" s="22"/>
      <c r="B189" s="23"/>
      <c r="C189" s="22"/>
      <c r="D189" s="22"/>
      <c r="E189" s="22"/>
      <c r="F189" s="23"/>
      <c r="G189" s="22"/>
      <c r="H189" s="22"/>
      <c r="I189" s="22"/>
      <c r="J189" s="22"/>
      <c r="K189" s="22"/>
      <c r="L189" s="22"/>
      <c r="M189" s="22"/>
      <c r="N189" s="22"/>
    </row>
    <row r="190" spans="1:14" x14ac:dyDescent="0.25">
      <c r="A190" s="22"/>
      <c r="B190" s="23"/>
      <c r="C190" s="22"/>
      <c r="D190" s="22"/>
      <c r="E190" s="22"/>
      <c r="F190" s="23"/>
      <c r="G190" s="22"/>
      <c r="H190" s="22"/>
      <c r="I190" s="22"/>
      <c r="J190" s="22"/>
      <c r="K190" s="22"/>
      <c r="L190" s="22"/>
      <c r="M190" s="22"/>
      <c r="N190" s="22"/>
    </row>
    <row r="191" spans="1:14" x14ac:dyDescent="0.25">
      <c r="A191" s="22"/>
      <c r="B191" s="23"/>
      <c r="C191" s="22"/>
      <c r="D191" s="22"/>
      <c r="E191" s="22"/>
      <c r="F191" s="23"/>
      <c r="G191" s="22"/>
      <c r="H191" s="22"/>
      <c r="I191" s="22"/>
      <c r="J191" s="22"/>
      <c r="K191" s="22"/>
      <c r="L191" s="22"/>
      <c r="M191" s="22"/>
      <c r="N191" s="22"/>
    </row>
    <row r="192" spans="1:14" x14ac:dyDescent="0.25">
      <c r="A192" s="22"/>
      <c r="B192" s="23"/>
      <c r="C192" s="22"/>
      <c r="D192" s="22"/>
      <c r="E192" s="22"/>
      <c r="F192" s="23"/>
      <c r="G192" s="22"/>
      <c r="H192" s="22"/>
      <c r="I192" s="22"/>
      <c r="J192" s="22"/>
      <c r="K192" s="22"/>
      <c r="L192" s="22"/>
      <c r="M192" s="22"/>
      <c r="N192" s="22"/>
    </row>
    <row r="193" spans="1:14" x14ac:dyDescent="0.25">
      <c r="A193" s="22"/>
      <c r="B193" s="23"/>
      <c r="C193" s="22"/>
      <c r="D193" s="22"/>
      <c r="E193" s="22"/>
      <c r="F193" s="23"/>
      <c r="G193" s="22"/>
      <c r="H193" s="22"/>
      <c r="I193" s="22"/>
      <c r="J193" s="22"/>
      <c r="K193" s="22"/>
      <c r="L193" s="22"/>
      <c r="M193" s="22"/>
      <c r="N193" s="22"/>
    </row>
    <row r="194" spans="1:14" x14ac:dyDescent="0.25">
      <c r="A194" s="22"/>
      <c r="B194" s="23"/>
      <c r="C194" s="22"/>
      <c r="D194" s="22"/>
      <c r="E194" s="22"/>
      <c r="F194" s="23"/>
      <c r="G194" s="22"/>
      <c r="H194" s="22"/>
      <c r="I194" s="22"/>
      <c r="J194" s="22"/>
      <c r="K194" s="22"/>
      <c r="L194" s="22"/>
      <c r="M194" s="22"/>
      <c r="N194" s="22"/>
    </row>
    <row r="195" spans="1:14" x14ac:dyDescent="0.25">
      <c r="A195" s="22"/>
      <c r="B195" s="23"/>
      <c r="C195" s="22"/>
      <c r="D195" s="22"/>
      <c r="E195" s="22"/>
      <c r="F195" s="23"/>
      <c r="G195" s="22"/>
      <c r="H195" s="22"/>
      <c r="I195" s="22"/>
      <c r="J195" s="22"/>
      <c r="K195" s="22"/>
      <c r="L195" s="22"/>
      <c r="M195" s="22"/>
      <c r="N195" s="22"/>
    </row>
    <row r="196" spans="1:14" x14ac:dyDescent="0.25">
      <c r="A196" s="22"/>
      <c r="B196" s="23"/>
      <c r="C196" s="22"/>
      <c r="D196" s="22"/>
      <c r="E196" s="22"/>
      <c r="F196" s="23"/>
      <c r="G196" s="22"/>
      <c r="H196" s="22"/>
      <c r="I196" s="22"/>
      <c r="J196" s="22"/>
      <c r="K196" s="22"/>
      <c r="L196" s="22"/>
      <c r="M196" s="22"/>
      <c r="N196" s="22"/>
    </row>
    <row r="197" spans="1:14" x14ac:dyDescent="0.25">
      <c r="A197" s="22"/>
      <c r="B197" s="23"/>
      <c r="C197" s="22"/>
      <c r="D197" s="22"/>
      <c r="E197" s="22"/>
      <c r="F197" s="23"/>
      <c r="G197" s="22"/>
      <c r="H197" s="22"/>
      <c r="I197" s="22"/>
      <c r="J197" s="22"/>
      <c r="K197" s="22"/>
      <c r="L197" s="22"/>
      <c r="M197" s="22"/>
      <c r="N197" s="22"/>
    </row>
    <row r="198" spans="1:14" x14ac:dyDescent="0.25">
      <c r="A198" s="22"/>
      <c r="B198" s="23"/>
      <c r="C198" s="22"/>
      <c r="D198" s="22"/>
      <c r="E198" s="22"/>
      <c r="F198" s="23"/>
      <c r="G198" s="22"/>
      <c r="H198" s="22"/>
      <c r="I198" s="22"/>
      <c r="J198" s="22"/>
      <c r="K198" s="22"/>
      <c r="L198" s="22"/>
      <c r="M198" s="22"/>
      <c r="N198" s="22"/>
    </row>
    <row r="199" spans="1:14" x14ac:dyDescent="0.25">
      <c r="A199" s="22"/>
      <c r="B199" s="23"/>
      <c r="C199" s="22"/>
      <c r="D199" s="22"/>
      <c r="E199" s="22"/>
      <c r="F199" s="23"/>
      <c r="G199" s="22"/>
      <c r="H199" s="22"/>
      <c r="I199" s="22"/>
      <c r="J199" s="22"/>
      <c r="K199" s="22"/>
      <c r="L199" s="22"/>
      <c r="M199" s="22"/>
      <c r="N199" s="22"/>
    </row>
    <row r="200" spans="1:14" x14ac:dyDescent="0.25">
      <c r="A200" s="22"/>
      <c r="B200" s="23"/>
      <c r="C200" s="22"/>
      <c r="D200" s="22"/>
      <c r="E200" s="22"/>
      <c r="F200" s="23"/>
      <c r="G200" s="22"/>
      <c r="H200" s="22"/>
      <c r="I200" s="22"/>
      <c r="J200" s="22"/>
      <c r="K200" s="22"/>
      <c r="L200" s="22"/>
      <c r="M200" s="22"/>
      <c r="N200" s="22"/>
    </row>
    <row r="201" spans="1:14" x14ac:dyDescent="0.25">
      <c r="A201" s="22"/>
      <c r="B201" s="23"/>
      <c r="C201" s="22"/>
      <c r="D201" s="22"/>
      <c r="E201" s="22"/>
      <c r="F201" s="23"/>
      <c r="G201" s="22"/>
      <c r="H201" s="22"/>
      <c r="I201" s="22"/>
      <c r="J201" s="22"/>
      <c r="K201" s="22"/>
      <c r="L201" s="22"/>
      <c r="M201" s="22"/>
      <c r="N201" s="22"/>
    </row>
    <row r="202" spans="1:14" x14ac:dyDescent="0.25">
      <c r="A202" s="22"/>
      <c r="B202" s="23"/>
      <c r="C202" s="22"/>
      <c r="D202" s="22"/>
      <c r="E202" s="22"/>
      <c r="F202" s="23"/>
      <c r="G202" s="22"/>
      <c r="H202" s="22"/>
      <c r="I202" s="22"/>
      <c r="J202" s="22"/>
      <c r="K202" s="22"/>
      <c r="L202" s="22"/>
      <c r="M202" s="22"/>
      <c r="N202" s="22"/>
    </row>
    <row r="203" spans="1:14" x14ac:dyDescent="0.25">
      <c r="A203" s="22"/>
      <c r="B203" s="23"/>
      <c r="C203" s="22"/>
      <c r="D203" s="22"/>
      <c r="E203" s="22"/>
      <c r="F203" s="23"/>
      <c r="G203" s="22"/>
      <c r="H203" s="22"/>
      <c r="I203" s="22"/>
      <c r="J203" s="22"/>
      <c r="K203" s="22"/>
      <c r="L203" s="22"/>
      <c r="M203" s="22"/>
      <c r="N203" s="22"/>
    </row>
    <row r="204" spans="1:14" x14ac:dyDescent="0.25">
      <c r="A204" s="22"/>
      <c r="B204" s="23"/>
      <c r="C204" s="22"/>
      <c r="D204" s="22"/>
      <c r="E204" s="22"/>
      <c r="F204" s="23"/>
      <c r="G204" s="22"/>
      <c r="H204" s="22"/>
      <c r="I204" s="22"/>
      <c r="J204" s="22"/>
      <c r="K204" s="22"/>
      <c r="L204" s="22"/>
      <c r="M204" s="22"/>
      <c r="N204" s="22"/>
    </row>
    <row r="205" spans="1:14" x14ac:dyDescent="0.25">
      <c r="A205" s="22"/>
      <c r="B205" s="23"/>
      <c r="C205" s="22"/>
      <c r="D205" s="22"/>
      <c r="E205" s="22"/>
      <c r="F205" s="23"/>
      <c r="G205" s="22"/>
      <c r="H205" s="22"/>
      <c r="I205" s="22"/>
      <c r="J205" s="22"/>
      <c r="K205" s="22"/>
      <c r="L205" s="22"/>
      <c r="M205" s="22"/>
      <c r="N205" s="22"/>
    </row>
    <row r="206" spans="1:14" x14ac:dyDescent="0.25">
      <c r="A206" s="22"/>
      <c r="B206" s="23"/>
      <c r="C206" s="22"/>
      <c r="D206" s="22"/>
      <c r="E206" s="22"/>
      <c r="F206" s="23"/>
      <c r="G206" s="22"/>
      <c r="H206" s="22"/>
      <c r="I206" s="22"/>
      <c r="J206" s="22"/>
      <c r="K206" s="22"/>
      <c r="L206" s="22"/>
      <c r="M206" s="22"/>
      <c r="N206" s="22"/>
    </row>
    <row r="207" spans="1:14" x14ac:dyDescent="0.25">
      <c r="A207" s="22"/>
      <c r="B207" s="23"/>
      <c r="C207" s="22"/>
      <c r="D207" s="22"/>
      <c r="E207" s="22"/>
      <c r="F207" s="23"/>
      <c r="G207" s="22"/>
      <c r="H207" s="22"/>
      <c r="I207" s="22"/>
      <c r="J207" s="22"/>
      <c r="K207" s="22"/>
      <c r="L207" s="22"/>
      <c r="M207" s="22"/>
      <c r="N207" s="22"/>
    </row>
    <row r="208" spans="1:14" x14ac:dyDescent="0.25">
      <c r="A208" s="22"/>
      <c r="B208" s="23"/>
      <c r="C208" s="22"/>
      <c r="D208" s="22"/>
      <c r="E208" s="22"/>
      <c r="F208" s="23"/>
      <c r="G208" s="22"/>
      <c r="H208" s="22"/>
      <c r="I208" s="22"/>
      <c r="J208" s="22"/>
      <c r="K208" s="22"/>
      <c r="L208" s="22"/>
      <c r="M208" s="22"/>
      <c r="N208" s="22"/>
    </row>
    <row r="209" spans="1:14" x14ac:dyDescent="0.25">
      <c r="A209" s="22"/>
      <c r="B209" s="23"/>
      <c r="C209" s="22"/>
      <c r="D209" s="22"/>
      <c r="E209" s="22"/>
      <c r="F209" s="23"/>
      <c r="G209" s="22"/>
      <c r="H209" s="22"/>
      <c r="I209" s="22"/>
      <c r="J209" s="22"/>
      <c r="K209" s="22"/>
      <c r="L209" s="22"/>
      <c r="M209" s="22"/>
      <c r="N209" s="22"/>
    </row>
    <row r="210" spans="1:14" x14ac:dyDescent="0.25">
      <c r="A210" s="22"/>
      <c r="B210" s="23"/>
      <c r="C210" s="22"/>
      <c r="D210" s="22"/>
      <c r="E210" s="22"/>
      <c r="F210" s="23"/>
      <c r="G210" s="22"/>
      <c r="H210" s="22"/>
      <c r="I210" s="22"/>
      <c r="J210" s="22"/>
      <c r="K210" s="22"/>
      <c r="L210" s="22"/>
      <c r="M210" s="22"/>
      <c r="N210" s="22"/>
    </row>
    <row r="211" spans="1:14" x14ac:dyDescent="0.25">
      <c r="A211" s="22"/>
      <c r="B211" s="23"/>
      <c r="C211" s="22"/>
      <c r="D211" s="22"/>
      <c r="E211" s="22"/>
      <c r="F211" s="23"/>
      <c r="G211" s="22"/>
      <c r="H211" s="22"/>
      <c r="I211" s="22"/>
      <c r="J211" s="22"/>
      <c r="K211" s="22"/>
      <c r="L211" s="22"/>
      <c r="M211" s="22"/>
      <c r="N211" s="22"/>
    </row>
    <row r="212" spans="1:14" x14ac:dyDescent="0.25">
      <c r="A212" s="22"/>
      <c r="B212" s="23"/>
      <c r="C212" s="22"/>
      <c r="D212" s="22"/>
      <c r="E212" s="22"/>
      <c r="F212" s="23"/>
      <c r="G212" s="22"/>
      <c r="H212" s="22"/>
      <c r="I212" s="22"/>
      <c r="J212" s="22"/>
      <c r="K212" s="22"/>
      <c r="L212" s="22"/>
      <c r="M212" s="22"/>
      <c r="N212" s="22"/>
    </row>
    <row r="213" spans="1:14" x14ac:dyDescent="0.25">
      <c r="A213" s="22"/>
      <c r="B213" s="23"/>
      <c r="C213" s="22"/>
      <c r="D213" s="22"/>
      <c r="E213" s="22"/>
      <c r="F213" s="23"/>
      <c r="G213" s="22"/>
      <c r="H213" s="22"/>
      <c r="I213" s="22"/>
      <c r="J213" s="22"/>
      <c r="K213" s="22"/>
      <c r="L213" s="22"/>
      <c r="M213" s="22"/>
      <c r="N213" s="22"/>
    </row>
    <row r="214" spans="1:14" x14ac:dyDescent="0.25">
      <c r="A214" s="22"/>
      <c r="B214" s="23"/>
      <c r="C214" s="22"/>
      <c r="D214" s="22"/>
      <c r="E214" s="22"/>
      <c r="F214" s="23"/>
      <c r="G214" s="22"/>
      <c r="H214" s="22"/>
      <c r="I214" s="22"/>
      <c r="J214" s="22"/>
      <c r="K214" s="22"/>
      <c r="L214" s="22"/>
      <c r="M214" s="22"/>
      <c r="N214" s="22"/>
    </row>
    <row r="215" spans="1:14" x14ac:dyDescent="0.25">
      <c r="A215" s="22"/>
      <c r="B215" s="23"/>
      <c r="C215" s="22"/>
      <c r="D215" s="22"/>
      <c r="E215" s="22"/>
      <c r="F215" s="23"/>
      <c r="G215" s="22"/>
      <c r="H215" s="22"/>
      <c r="I215" s="22"/>
      <c r="J215" s="22"/>
      <c r="K215" s="22"/>
      <c r="L215" s="22"/>
      <c r="M215" s="22"/>
      <c r="N215" s="22"/>
    </row>
    <row r="216" spans="1:14" x14ac:dyDescent="0.25">
      <c r="A216" s="22"/>
      <c r="B216" s="23"/>
      <c r="C216" s="22"/>
      <c r="D216" s="22"/>
      <c r="E216" s="22"/>
      <c r="F216" s="23"/>
      <c r="G216" s="22"/>
      <c r="H216" s="22"/>
      <c r="I216" s="22"/>
      <c r="J216" s="22"/>
      <c r="K216" s="22"/>
      <c r="L216" s="22"/>
      <c r="M216" s="22"/>
      <c r="N216" s="22"/>
    </row>
    <row r="217" spans="1:14" x14ac:dyDescent="0.25">
      <c r="A217" s="22"/>
      <c r="B217" s="23"/>
      <c r="C217" s="22"/>
      <c r="D217" s="22"/>
      <c r="E217" s="22"/>
      <c r="F217" s="23"/>
      <c r="G217" s="22"/>
      <c r="H217" s="22"/>
      <c r="I217" s="22"/>
      <c r="J217" s="22"/>
      <c r="K217" s="22"/>
      <c r="L217" s="22"/>
      <c r="M217" s="22"/>
      <c r="N217" s="22"/>
    </row>
    <row r="218" spans="1:14" x14ac:dyDescent="0.25">
      <c r="A218" s="22"/>
      <c r="B218" s="23"/>
      <c r="C218" s="22"/>
      <c r="D218" s="22"/>
      <c r="E218" s="22"/>
      <c r="F218" s="23"/>
      <c r="G218" s="22"/>
      <c r="H218" s="22"/>
      <c r="I218" s="22"/>
      <c r="J218" s="22"/>
      <c r="K218" s="22"/>
      <c r="L218" s="22"/>
      <c r="M218" s="22"/>
      <c r="N218" s="22"/>
    </row>
    <row r="219" spans="1:14" x14ac:dyDescent="0.25">
      <c r="A219" s="22"/>
      <c r="B219" s="23"/>
      <c r="C219" s="22"/>
      <c r="D219" s="22"/>
      <c r="E219" s="22"/>
      <c r="F219" s="23"/>
      <c r="G219" s="22"/>
      <c r="H219" s="22"/>
      <c r="I219" s="22"/>
      <c r="J219" s="22"/>
      <c r="K219" s="22"/>
      <c r="L219" s="22"/>
      <c r="M219" s="22"/>
      <c r="N219" s="22"/>
    </row>
    <row r="220" spans="1:14" x14ac:dyDescent="0.25">
      <c r="A220" s="22"/>
      <c r="B220" s="23"/>
      <c r="C220" s="22"/>
      <c r="D220" s="22"/>
      <c r="E220" s="22"/>
      <c r="F220" s="23"/>
      <c r="G220" s="22"/>
      <c r="H220" s="22"/>
      <c r="I220" s="22"/>
      <c r="J220" s="22"/>
      <c r="K220" s="22"/>
      <c r="L220" s="22"/>
      <c r="M220" s="22"/>
      <c r="N220" s="22"/>
    </row>
    <row r="221" spans="1:14" x14ac:dyDescent="0.25">
      <c r="A221" s="22"/>
      <c r="B221" s="23"/>
      <c r="C221" s="22"/>
      <c r="D221" s="22"/>
      <c r="E221" s="22"/>
      <c r="F221" s="23"/>
      <c r="G221" s="22"/>
      <c r="H221" s="22"/>
      <c r="I221" s="22"/>
      <c r="J221" s="22"/>
      <c r="K221" s="22"/>
      <c r="L221" s="22"/>
      <c r="M221" s="22"/>
      <c r="N221" s="22"/>
    </row>
    <row r="222" spans="1:14" x14ac:dyDescent="0.25">
      <c r="A222" s="22"/>
      <c r="B222" s="23"/>
      <c r="C222" s="22"/>
      <c r="D222" s="22"/>
      <c r="E222" s="22"/>
      <c r="F222" s="23"/>
      <c r="G222" s="22"/>
      <c r="H222" s="22"/>
      <c r="I222" s="22"/>
      <c r="J222" s="22"/>
      <c r="K222" s="22"/>
      <c r="L222" s="22"/>
      <c r="M222" s="22"/>
      <c r="N222" s="22"/>
    </row>
    <row r="223" spans="1:14" x14ac:dyDescent="0.25">
      <c r="A223" s="22"/>
      <c r="B223" s="23"/>
      <c r="C223" s="22"/>
      <c r="D223" s="22"/>
      <c r="E223" s="22"/>
      <c r="F223" s="23"/>
      <c r="G223" s="22"/>
      <c r="H223" s="22"/>
      <c r="I223" s="22"/>
      <c r="J223" s="22"/>
      <c r="K223" s="22"/>
      <c r="L223" s="22"/>
      <c r="M223" s="22"/>
      <c r="N223" s="22"/>
    </row>
    <row r="224" spans="1:14" x14ac:dyDescent="0.25">
      <c r="A224" s="22"/>
      <c r="B224" s="23"/>
      <c r="C224" s="22"/>
      <c r="D224" s="22"/>
      <c r="E224" s="22"/>
      <c r="F224" s="23"/>
      <c r="G224" s="22"/>
      <c r="H224" s="22"/>
      <c r="I224" s="22"/>
      <c r="J224" s="22"/>
      <c r="K224" s="22"/>
      <c r="L224" s="22"/>
      <c r="M224" s="22"/>
      <c r="N224" s="22"/>
    </row>
    <row r="225" spans="1:14" x14ac:dyDescent="0.25">
      <c r="A225" s="22"/>
      <c r="B225" s="23"/>
      <c r="C225" s="22"/>
      <c r="D225" s="22"/>
      <c r="E225" s="22"/>
      <c r="F225" s="23"/>
      <c r="G225" s="22"/>
      <c r="H225" s="22"/>
      <c r="I225" s="22"/>
      <c r="J225" s="22"/>
      <c r="K225" s="22"/>
      <c r="L225" s="22"/>
      <c r="M225" s="22"/>
      <c r="N225" s="22"/>
    </row>
    <row r="226" spans="1:14" x14ac:dyDescent="0.25">
      <c r="A226" s="22"/>
      <c r="B226" s="23"/>
      <c r="C226" s="22"/>
      <c r="D226" s="22"/>
      <c r="E226" s="22"/>
      <c r="F226" s="23"/>
      <c r="G226" s="22"/>
      <c r="H226" s="22"/>
      <c r="I226" s="22"/>
      <c r="J226" s="22"/>
      <c r="K226" s="22"/>
      <c r="L226" s="22"/>
      <c r="M226" s="22"/>
      <c r="N226" s="22"/>
    </row>
    <row r="227" spans="1:14" x14ac:dyDescent="0.25">
      <c r="A227" s="22"/>
      <c r="B227" s="23"/>
      <c r="C227" s="22"/>
      <c r="D227" s="22"/>
      <c r="E227" s="22"/>
      <c r="F227" s="23"/>
      <c r="G227" s="22"/>
      <c r="H227" s="22"/>
      <c r="I227" s="22"/>
      <c r="J227" s="22"/>
      <c r="K227" s="22"/>
      <c r="L227" s="22"/>
      <c r="M227" s="22"/>
      <c r="N227" s="22"/>
    </row>
    <row r="228" spans="1:14" x14ac:dyDescent="0.25">
      <c r="A228" s="22"/>
      <c r="B228" s="23"/>
      <c r="C228" s="22"/>
      <c r="D228" s="22"/>
      <c r="E228" s="22"/>
      <c r="F228" s="23"/>
      <c r="G228" s="22"/>
      <c r="H228" s="22"/>
      <c r="I228" s="22"/>
      <c r="J228" s="22"/>
      <c r="K228" s="22"/>
      <c r="L228" s="22"/>
      <c r="M228" s="22"/>
      <c r="N228" s="22"/>
    </row>
    <row r="229" spans="1:14" x14ac:dyDescent="0.25">
      <c r="A229" s="22"/>
      <c r="B229" s="23"/>
      <c r="C229" s="22"/>
      <c r="D229" s="22"/>
      <c r="E229" s="22"/>
      <c r="F229" s="23"/>
      <c r="G229" s="22"/>
      <c r="H229" s="22"/>
      <c r="I229" s="22"/>
      <c r="J229" s="22"/>
      <c r="K229" s="22"/>
      <c r="L229" s="22"/>
      <c r="M229" s="22"/>
      <c r="N229" s="22"/>
    </row>
    <row r="230" spans="1:14" x14ac:dyDescent="0.25">
      <c r="A230" s="22"/>
      <c r="B230" s="23"/>
      <c r="C230" s="22"/>
      <c r="D230" s="22"/>
      <c r="E230" s="22"/>
      <c r="F230" s="23"/>
      <c r="G230" s="22"/>
      <c r="H230" s="22"/>
      <c r="I230" s="22"/>
      <c r="J230" s="22"/>
      <c r="K230" s="22"/>
      <c r="L230" s="22"/>
      <c r="M230" s="22"/>
      <c r="N230" s="22"/>
    </row>
    <row r="231" spans="1:14" x14ac:dyDescent="0.25">
      <c r="A231" s="22"/>
      <c r="B231" s="23"/>
      <c r="C231" s="22"/>
      <c r="D231" s="22"/>
      <c r="E231" s="22"/>
      <c r="F231" s="23"/>
      <c r="G231" s="22"/>
      <c r="H231" s="22"/>
      <c r="I231" s="22"/>
      <c r="J231" s="22"/>
      <c r="K231" s="22"/>
      <c r="L231" s="22"/>
      <c r="M231" s="22"/>
      <c r="N231" s="22"/>
    </row>
    <row r="232" spans="1:14" x14ac:dyDescent="0.25">
      <c r="A232" s="22"/>
      <c r="B232" s="23"/>
      <c r="C232" s="22"/>
      <c r="D232" s="22"/>
      <c r="E232" s="22"/>
      <c r="F232" s="23"/>
      <c r="G232" s="22"/>
      <c r="H232" s="22"/>
      <c r="I232" s="22"/>
      <c r="J232" s="22"/>
      <c r="K232" s="22"/>
      <c r="L232" s="22"/>
      <c r="M232" s="22"/>
      <c r="N232" s="22"/>
    </row>
    <row r="233" spans="1:14" x14ac:dyDescent="0.25">
      <c r="A233" s="22"/>
      <c r="B233" s="23"/>
      <c r="C233" s="22"/>
      <c r="D233" s="22"/>
      <c r="E233" s="22"/>
      <c r="F233" s="23"/>
      <c r="G233" s="22"/>
      <c r="H233" s="22"/>
      <c r="I233" s="22"/>
      <c r="J233" s="22"/>
      <c r="K233" s="22"/>
      <c r="L233" s="22"/>
      <c r="M233" s="22"/>
      <c r="N233" s="22"/>
    </row>
    <row r="234" spans="1:14" x14ac:dyDescent="0.25">
      <c r="A234" s="22"/>
      <c r="B234" s="23"/>
      <c r="C234" s="22"/>
      <c r="D234" s="22"/>
      <c r="E234" s="22"/>
      <c r="F234" s="23"/>
      <c r="G234" s="22"/>
      <c r="H234" s="22"/>
      <c r="I234" s="22"/>
      <c r="J234" s="22"/>
      <c r="K234" s="22"/>
      <c r="L234" s="22"/>
      <c r="M234" s="22"/>
      <c r="N234" s="22"/>
    </row>
    <row r="235" spans="1:14" x14ac:dyDescent="0.25">
      <c r="A235" s="22"/>
      <c r="B235" s="23"/>
      <c r="C235" s="22"/>
      <c r="D235" s="22"/>
      <c r="E235" s="22"/>
      <c r="F235" s="23"/>
      <c r="G235" s="22"/>
      <c r="H235" s="22"/>
      <c r="I235" s="22"/>
      <c r="J235" s="22"/>
      <c r="K235" s="22"/>
      <c r="L235" s="22"/>
      <c r="M235" s="22"/>
      <c r="N235" s="22"/>
    </row>
    <row r="236" spans="1:14" x14ac:dyDescent="0.25">
      <c r="A236" s="22"/>
      <c r="B236" s="23"/>
      <c r="C236" s="22"/>
      <c r="D236" s="22"/>
      <c r="E236" s="22"/>
      <c r="F236" s="23"/>
      <c r="G236" s="22"/>
      <c r="H236" s="22"/>
      <c r="I236" s="22"/>
      <c r="J236" s="22"/>
      <c r="K236" s="22"/>
      <c r="L236" s="22"/>
      <c r="M236" s="22"/>
      <c r="N236" s="22"/>
    </row>
    <row r="237" spans="1:14" x14ac:dyDescent="0.25">
      <c r="A237" s="22"/>
      <c r="B237" s="23"/>
      <c r="C237" s="22"/>
      <c r="D237" s="22"/>
      <c r="E237" s="22"/>
      <c r="F237" s="23"/>
      <c r="G237" s="22"/>
      <c r="H237" s="22"/>
      <c r="I237" s="22"/>
      <c r="J237" s="22"/>
      <c r="K237" s="22"/>
      <c r="L237" s="22"/>
      <c r="M237" s="22"/>
      <c r="N237" s="22"/>
    </row>
    <row r="238" spans="1:14" x14ac:dyDescent="0.25">
      <c r="A238" s="22"/>
      <c r="B238" s="23"/>
      <c r="C238" s="22"/>
      <c r="D238" s="22"/>
      <c r="E238" s="22"/>
      <c r="F238" s="23"/>
      <c r="G238" s="22"/>
      <c r="H238" s="22"/>
      <c r="I238" s="22"/>
      <c r="J238" s="22"/>
      <c r="K238" s="22"/>
      <c r="L238" s="22"/>
      <c r="M238" s="22"/>
      <c r="N238" s="22"/>
    </row>
    <row r="239" spans="1:14" x14ac:dyDescent="0.25">
      <c r="A239" s="22"/>
      <c r="B239" s="23"/>
      <c r="C239" s="22"/>
      <c r="D239" s="22"/>
      <c r="E239" s="22"/>
      <c r="F239" s="23"/>
      <c r="G239" s="22"/>
      <c r="H239" s="22"/>
      <c r="I239" s="22"/>
      <c r="J239" s="22"/>
      <c r="K239" s="22"/>
      <c r="L239" s="22"/>
      <c r="M239" s="22"/>
      <c r="N239" s="22"/>
    </row>
    <row r="240" spans="1:14" x14ac:dyDescent="0.25">
      <c r="A240" s="22"/>
      <c r="B240" s="23"/>
      <c r="C240" s="22"/>
      <c r="D240" s="22"/>
      <c r="E240" s="22"/>
      <c r="F240" s="23"/>
      <c r="G240" s="22"/>
      <c r="H240" s="22"/>
      <c r="I240" s="22"/>
      <c r="J240" s="22"/>
      <c r="K240" s="22"/>
      <c r="L240" s="22"/>
      <c r="M240" s="22"/>
      <c r="N240" s="22"/>
    </row>
    <row r="241" spans="1:14" x14ac:dyDescent="0.25">
      <c r="A241" s="22"/>
      <c r="B241" s="23"/>
      <c r="C241" s="22"/>
      <c r="D241" s="22"/>
      <c r="E241" s="22"/>
      <c r="F241" s="23"/>
      <c r="G241" s="22"/>
      <c r="H241" s="22"/>
      <c r="I241" s="22"/>
      <c r="J241" s="22"/>
      <c r="K241" s="22"/>
      <c r="L241" s="22"/>
      <c r="M241" s="22"/>
      <c r="N241" s="22"/>
    </row>
    <row r="242" spans="1:14" x14ac:dyDescent="0.25">
      <c r="A242" s="22"/>
      <c r="B242" s="23"/>
      <c r="C242" s="22"/>
      <c r="D242" s="22"/>
      <c r="E242" s="22"/>
      <c r="F242" s="23"/>
      <c r="G242" s="22"/>
      <c r="H242" s="22"/>
      <c r="I242" s="22"/>
      <c r="J242" s="22"/>
      <c r="K242" s="22"/>
      <c r="L242" s="22"/>
      <c r="M242" s="22"/>
      <c r="N242" s="22"/>
    </row>
    <row r="243" spans="1:14" x14ac:dyDescent="0.25">
      <c r="A243" s="22"/>
      <c r="B243" s="23"/>
      <c r="C243" s="22"/>
      <c r="D243" s="22"/>
      <c r="E243" s="22"/>
      <c r="F243" s="23"/>
      <c r="G243" s="22"/>
      <c r="H243" s="22"/>
      <c r="I243" s="22"/>
      <c r="J243" s="22"/>
      <c r="K243" s="22"/>
      <c r="L243" s="22"/>
      <c r="M243" s="22"/>
      <c r="N243" s="22"/>
    </row>
    <row r="244" spans="1:14" x14ac:dyDescent="0.25">
      <c r="A244" s="22"/>
      <c r="B244" s="23"/>
      <c r="C244" s="22"/>
      <c r="D244" s="22"/>
      <c r="E244" s="22"/>
      <c r="F244" s="23"/>
      <c r="G244" s="22"/>
      <c r="H244" s="22"/>
      <c r="I244" s="22"/>
      <c r="J244" s="22"/>
      <c r="K244" s="22"/>
      <c r="L244" s="22"/>
      <c r="M244" s="22"/>
      <c r="N244" s="22"/>
    </row>
    <row r="245" spans="1:14" x14ac:dyDescent="0.25">
      <c r="A245" s="22"/>
      <c r="B245" s="23"/>
      <c r="C245" s="22"/>
      <c r="D245" s="22"/>
      <c r="E245" s="22"/>
      <c r="F245" s="23"/>
      <c r="G245" s="22"/>
      <c r="H245" s="22"/>
      <c r="I245" s="22"/>
      <c r="J245" s="22"/>
      <c r="K245" s="22"/>
      <c r="L245" s="22"/>
      <c r="M245" s="22"/>
      <c r="N245" s="22"/>
    </row>
    <row r="246" spans="1:14" x14ac:dyDescent="0.25">
      <c r="A246" s="22"/>
      <c r="B246" s="23"/>
      <c r="C246" s="22"/>
      <c r="D246" s="22"/>
      <c r="E246" s="22"/>
      <c r="F246" s="23"/>
      <c r="G246" s="22"/>
      <c r="H246" s="22"/>
      <c r="I246" s="22"/>
      <c r="J246" s="22"/>
      <c r="K246" s="22"/>
      <c r="L246" s="22"/>
      <c r="M246" s="22"/>
      <c r="N246" s="22"/>
    </row>
    <row r="247" spans="1:14" x14ac:dyDescent="0.25">
      <c r="A247" s="22"/>
      <c r="B247" s="23"/>
      <c r="C247" s="22"/>
      <c r="D247" s="22"/>
      <c r="E247" s="22"/>
      <c r="F247" s="23"/>
      <c r="G247" s="22"/>
      <c r="H247" s="22"/>
      <c r="I247" s="22"/>
      <c r="J247" s="22"/>
      <c r="K247" s="22"/>
      <c r="L247" s="22"/>
      <c r="M247" s="22"/>
      <c r="N247" s="22"/>
    </row>
    <row r="248" spans="1:14" x14ac:dyDescent="0.25">
      <c r="A248" s="22"/>
      <c r="B248" s="23"/>
      <c r="C248" s="22"/>
      <c r="D248" s="22"/>
      <c r="E248" s="22"/>
      <c r="F248" s="23"/>
      <c r="G248" s="22"/>
      <c r="H248" s="22"/>
      <c r="I248" s="22"/>
      <c r="J248" s="22"/>
      <c r="K248" s="22"/>
      <c r="L248" s="22"/>
      <c r="M248" s="22"/>
      <c r="N248" s="22"/>
    </row>
    <row r="249" spans="1:14" x14ac:dyDescent="0.25">
      <c r="A249" s="22"/>
      <c r="B249" s="23"/>
      <c r="C249" s="22"/>
      <c r="D249" s="22"/>
      <c r="E249" s="22"/>
      <c r="F249" s="23"/>
      <c r="G249" s="22"/>
      <c r="H249" s="22"/>
      <c r="I249" s="22"/>
      <c r="J249" s="22"/>
      <c r="K249" s="22"/>
      <c r="L249" s="22"/>
      <c r="M249" s="22"/>
      <c r="N249" s="22"/>
    </row>
    <row r="250" spans="1:14" x14ac:dyDescent="0.25">
      <c r="A250" s="22"/>
      <c r="B250" s="23"/>
      <c r="C250" s="22"/>
      <c r="D250" s="22"/>
      <c r="E250" s="22"/>
      <c r="F250" s="23"/>
      <c r="G250" s="22"/>
      <c r="H250" s="22"/>
      <c r="I250" s="22"/>
      <c r="J250" s="22"/>
      <c r="K250" s="22"/>
      <c r="L250" s="22"/>
      <c r="M250" s="22"/>
      <c r="N250" s="22"/>
    </row>
    <row r="251" spans="1:14" x14ac:dyDescent="0.25">
      <c r="A251" s="22"/>
      <c r="B251" s="23"/>
      <c r="C251" s="22"/>
      <c r="D251" s="22"/>
      <c r="E251" s="22"/>
      <c r="F251" s="23"/>
      <c r="G251" s="22"/>
      <c r="H251" s="22"/>
      <c r="I251" s="22"/>
      <c r="J251" s="22"/>
      <c r="K251" s="22"/>
      <c r="L251" s="22"/>
      <c r="M251" s="22"/>
      <c r="N251" s="22"/>
    </row>
    <row r="252" spans="1:14" x14ac:dyDescent="0.25">
      <c r="A252" s="22"/>
      <c r="B252" s="23"/>
      <c r="C252" s="22"/>
      <c r="D252" s="22"/>
      <c r="E252" s="22"/>
      <c r="F252" s="23"/>
      <c r="G252" s="22"/>
      <c r="H252" s="22"/>
      <c r="I252" s="22"/>
      <c r="J252" s="22"/>
      <c r="K252" s="22"/>
      <c r="L252" s="22"/>
      <c r="M252" s="22"/>
      <c r="N252" s="22"/>
    </row>
    <row r="253" spans="1:14" x14ac:dyDescent="0.25">
      <c r="A253" s="22"/>
      <c r="B253" s="23"/>
      <c r="C253" s="22"/>
      <c r="D253" s="22"/>
      <c r="E253" s="22"/>
      <c r="F253" s="23"/>
      <c r="G253" s="22"/>
      <c r="H253" s="22"/>
      <c r="I253" s="22"/>
      <c r="J253" s="22"/>
      <c r="K253" s="22"/>
      <c r="L253" s="22"/>
      <c r="M253" s="22"/>
      <c r="N253" s="22"/>
    </row>
    <row r="254" spans="1:14" x14ac:dyDescent="0.25">
      <c r="A254" s="22"/>
      <c r="B254" s="23"/>
      <c r="C254" s="22"/>
      <c r="D254" s="22"/>
      <c r="E254" s="22"/>
      <c r="F254" s="23"/>
      <c r="G254" s="22"/>
      <c r="H254" s="22"/>
      <c r="I254" s="22"/>
      <c r="J254" s="22"/>
      <c r="K254" s="22"/>
      <c r="L254" s="22"/>
      <c r="M254" s="22"/>
      <c r="N254" s="22"/>
    </row>
    <row r="255" spans="1:14" x14ac:dyDescent="0.25">
      <c r="A255" s="22"/>
      <c r="B255" s="23"/>
      <c r="C255" s="22"/>
      <c r="D255" s="22"/>
      <c r="E255" s="22"/>
      <c r="F255" s="23"/>
      <c r="G255" s="22"/>
      <c r="H255" s="22"/>
      <c r="I255" s="22"/>
      <c r="J255" s="22"/>
      <c r="K255" s="22"/>
      <c r="L255" s="22"/>
      <c r="M255" s="22"/>
      <c r="N255" s="22"/>
    </row>
    <row r="256" spans="1:14" x14ac:dyDescent="0.25">
      <c r="A256" s="22"/>
      <c r="B256" s="23"/>
      <c r="C256" s="22"/>
      <c r="D256" s="22"/>
      <c r="E256" s="22"/>
      <c r="F256" s="23"/>
      <c r="G256" s="22"/>
      <c r="H256" s="22"/>
      <c r="I256" s="22"/>
      <c r="J256" s="22"/>
      <c r="K256" s="22"/>
      <c r="L256" s="22"/>
      <c r="M256" s="22"/>
      <c r="N256" s="22"/>
    </row>
    <row r="257" spans="1:14" x14ac:dyDescent="0.25">
      <c r="A257" s="22"/>
      <c r="B257" s="23"/>
      <c r="C257" s="22"/>
      <c r="D257" s="22"/>
      <c r="E257" s="22"/>
      <c r="F257" s="23"/>
      <c r="G257" s="22"/>
      <c r="H257" s="22"/>
      <c r="I257" s="22"/>
      <c r="J257" s="22"/>
      <c r="K257" s="22"/>
      <c r="L257" s="22"/>
      <c r="M257" s="22"/>
      <c r="N257" s="22"/>
    </row>
    <row r="258" spans="1:14" x14ac:dyDescent="0.25">
      <c r="A258" s="22"/>
      <c r="B258" s="23"/>
      <c r="C258" s="22"/>
      <c r="D258" s="22"/>
      <c r="E258" s="22"/>
      <c r="F258" s="23"/>
      <c r="G258" s="22"/>
      <c r="H258" s="22"/>
      <c r="I258" s="22"/>
      <c r="J258" s="22"/>
      <c r="K258" s="22"/>
      <c r="L258" s="22"/>
      <c r="M258" s="22"/>
      <c r="N258" s="22"/>
    </row>
    <row r="259" spans="1:14" x14ac:dyDescent="0.25">
      <c r="A259" s="22"/>
      <c r="B259" s="23"/>
      <c r="C259" s="22"/>
      <c r="D259" s="22"/>
      <c r="E259" s="22"/>
      <c r="F259" s="23"/>
      <c r="G259" s="22"/>
      <c r="H259" s="22"/>
      <c r="I259" s="22"/>
      <c r="J259" s="22"/>
      <c r="K259" s="22"/>
      <c r="L259" s="22"/>
      <c r="M259" s="22"/>
      <c r="N259" s="22"/>
    </row>
    <row r="260" spans="1:14" x14ac:dyDescent="0.25">
      <c r="A260" s="22"/>
      <c r="B260" s="23"/>
      <c r="C260" s="22"/>
      <c r="D260" s="22"/>
      <c r="E260" s="22"/>
      <c r="F260" s="23"/>
      <c r="G260" s="22"/>
      <c r="H260" s="22"/>
      <c r="I260" s="22"/>
      <c r="J260" s="22"/>
      <c r="K260" s="22"/>
      <c r="L260" s="22"/>
      <c r="M260" s="22"/>
      <c r="N260" s="22"/>
    </row>
    <row r="261" spans="1:14" x14ac:dyDescent="0.25">
      <c r="A261" s="22"/>
      <c r="B261" s="23"/>
      <c r="C261" s="22"/>
      <c r="D261" s="22"/>
      <c r="E261" s="22"/>
      <c r="F261" s="23"/>
      <c r="G261" s="22"/>
      <c r="H261" s="22"/>
      <c r="I261" s="22"/>
      <c r="J261" s="22"/>
      <c r="K261" s="22"/>
      <c r="L261" s="22"/>
      <c r="M261" s="22"/>
      <c r="N261" s="22"/>
    </row>
    <row r="262" spans="1:14" x14ac:dyDescent="0.25">
      <c r="A262" s="22"/>
      <c r="B262" s="23"/>
      <c r="C262" s="22"/>
      <c r="D262" s="22"/>
      <c r="E262" s="22"/>
      <c r="F262" s="23"/>
      <c r="G262" s="22"/>
      <c r="H262" s="22"/>
      <c r="I262" s="22"/>
      <c r="J262" s="22"/>
      <c r="K262" s="22"/>
      <c r="L262" s="22"/>
      <c r="M262" s="22"/>
      <c r="N262" s="22"/>
    </row>
    <row r="263" spans="1:14" x14ac:dyDescent="0.25">
      <c r="A263" s="22"/>
      <c r="B263" s="23"/>
      <c r="C263" s="22"/>
      <c r="D263" s="22"/>
      <c r="E263" s="22"/>
      <c r="F263" s="23"/>
      <c r="G263" s="22"/>
      <c r="H263" s="22"/>
      <c r="I263" s="22"/>
      <c r="J263" s="22"/>
      <c r="K263" s="22"/>
      <c r="L263" s="22"/>
      <c r="M263" s="22"/>
      <c r="N263" s="22"/>
    </row>
    <row r="264" spans="1:14" x14ac:dyDescent="0.25">
      <c r="A264" s="22"/>
      <c r="B264" s="23"/>
      <c r="C264" s="22"/>
      <c r="D264" s="22"/>
      <c r="E264" s="22"/>
      <c r="F264" s="23"/>
      <c r="G264" s="22"/>
      <c r="H264" s="22"/>
      <c r="I264" s="22"/>
      <c r="J264" s="22"/>
      <c r="K264" s="22"/>
      <c r="L264" s="22"/>
      <c r="M264" s="22"/>
      <c r="N264" s="22"/>
    </row>
    <row r="265" spans="1:14" x14ac:dyDescent="0.25">
      <c r="A265" s="22"/>
      <c r="B265" s="23"/>
      <c r="C265" s="22"/>
      <c r="D265" s="22"/>
      <c r="E265" s="22"/>
      <c r="F265" s="23"/>
      <c r="G265" s="22"/>
      <c r="H265" s="22"/>
      <c r="I265" s="22"/>
      <c r="J265" s="22"/>
      <c r="K265" s="22"/>
      <c r="L265" s="22"/>
      <c r="M265" s="22"/>
      <c r="N265" s="22"/>
    </row>
    <row r="266" spans="1:14" x14ac:dyDescent="0.25">
      <c r="A266" s="22"/>
      <c r="B266" s="23"/>
      <c r="C266" s="22"/>
      <c r="D266" s="22"/>
      <c r="E266" s="22"/>
      <c r="F266" s="23"/>
      <c r="G266" s="22"/>
      <c r="H266" s="22"/>
      <c r="I266" s="22"/>
      <c r="J266" s="22"/>
      <c r="K266" s="22"/>
      <c r="L266" s="22"/>
      <c r="M266" s="22"/>
      <c r="N266" s="22"/>
    </row>
    <row r="267" spans="1:14" x14ac:dyDescent="0.25">
      <c r="A267" s="22"/>
      <c r="B267" s="23"/>
      <c r="C267" s="22"/>
      <c r="D267" s="22"/>
      <c r="E267" s="22"/>
      <c r="F267" s="23"/>
      <c r="G267" s="22"/>
      <c r="H267" s="22"/>
      <c r="I267" s="22"/>
      <c r="J267" s="22"/>
      <c r="K267" s="22"/>
      <c r="L267" s="22"/>
      <c r="M267" s="22"/>
      <c r="N267" s="22"/>
    </row>
    <row r="268" spans="1:14" x14ac:dyDescent="0.25">
      <c r="A268" s="22"/>
      <c r="B268" s="23"/>
      <c r="C268" s="22"/>
      <c r="D268" s="22"/>
      <c r="E268" s="22"/>
      <c r="F268" s="23"/>
      <c r="G268" s="22"/>
      <c r="H268" s="22"/>
      <c r="I268" s="22"/>
      <c r="J268" s="22"/>
      <c r="K268" s="22"/>
      <c r="L268" s="22"/>
      <c r="M268" s="22"/>
      <c r="N268" s="22"/>
    </row>
    <row r="269" spans="1:14" x14ac:dyDescent="0.25">
      <c r="A269" s="22"/>
      <c r="B269" s="23"/>
      <c r="C269" s="22"/>
      <c r="D269" s="22"/>
      <c r="E269" s="22"/>
      <c r="F269" s="23"/>
      <c r="G269" s="22"/>
      <c r="H269" s="22"/>
      <c r="I269" s="22"/>
      <c r="J269" s="22"/>
      <c r="K269" s="22"/>
      <c r="L269" s="22"/>
      <c r="M269" s="22"/>
      <c r="N269" s="22"/>
    </row>
    <row r="270" spans="1:14" x14ac:dyDescent="0.25">
      <c r="A270" s="22"/>
      <c r="B270" s="23"/>
      <c r="C270" s="22"/>
      <c r="D270" s="22"/>
      <c r="E270" s="22"/>
      <c r="F270" s="23"/>
      <c r="G270" s="22"/>
      <c r="H270" s="22"/>
      <c r="I270" s="22"/>
      <c r="J270" s="22"/>
      <c r="K270" s="22"/>
      <c r="L270" s="22"/>
      <c r="M270" s="22"/>
      <c r="N270" s="22"/>
    </row>
    <row r="271" spans="1:14" x14ac:dyDescent="0.25">
      <c r="A271" s="22"/>
      <c r="B271" s="23"/>
      <c r="C271" s="22"/>
      <c r="D271" s="22"/>
      <c r="E271" s="22"/>
      <c r="F271" s="23"/>
      <c r="G271" s="22"/>
      <c r="H271" s="22"/>
      <c r="I271" s="22"/>
      <c r="J271" s="22"/>
      <c r="K271" s="22"/>
      <c r="L271" s="22"/>
      <c r="M271" s="22"/>
      <c r="N271" s="22"/>
    </row>
    <row r="272" spans="1:14" x14ac:dyDescent="0.25">
      <c r="A272" s="22"/>
      <c r="B272" s="23"/>
      <c r="C272" s="22"/>
      <c r="D272" s="22"/>
      <c r="E272" s="22"/>
      <c r="F272" s="23"/>
      <c r="G272" s="22"/>
      <c r="H272" s="22"/>
      <c r="I272" s="22"/>
      <c r="J272" s="22"/>
      <c r="K272" s="22"/>
      <c r="L272" s="22"/>
      <c r="M272" s="22"/>
      <c r="N272" s="22"/>
    </row>
    <row r="273" spans="1:14" x14ac:dyDescent="0.25">
      <c r="A273" s="22"/>
      <c r="B273" s="23"/>
      <c r="C273" s="22"/>
      <c r="D273" s="22"/>
      <c r="E273" s="22"/>
      <c r="F273" s="23"/>
      <c r="G273" s="22"/>
      <c r="H273" s="22"/>
      <c r="I273" s="22"/>
      <c r="J273" s="22"/>
      <c r="K273" s="22"/>
      <c r="L273" s="22"/>
      <c r="M273" s="22"/>
      <c r="N273" s="22"/>
    </row>
    <row r="274" spans="1:14" x14ac:dyDescent="0.25">
      <c r="A274" s="22"/>
      <c r="B274" s="23"/>
      <c r="C274" s="22"/>
      <c r="D274" s="22"/>
      <c r="E274" s="22"/>
      <c r="F274" s="23"/>
      <c r="G274" s="22"/>
      <c r="H274" s="22"/>
      <c r="I274" s="22"/>
      <c r="J274" s="22"/>
      <c r="K274" s="22"/>
      <c r="L274" s="22"/>
      <c r="M274" s="22"/>
      <c r="N274" s="22"/>
    </row>
    <row r="275" spans="1:14" x14ac:dyDescent="0.25">
      <c r="A275" s="22"/>
      <c r="B275" s="23"/>
      <c r="C275" s="22"/>
      <c r="D275" s="22"/>
      <c r="E275" s="22"/>
      <c r="F275" s="23"/>
      <c r="G275" s="22"/>
      <c r="H275" s="22"/>
      <c r="I275" s="22"/>
      <c r="J275" s="22"/>
      <c r="K275" s="22"/>
      <c r="L275" s="22"/>
      <c r="M275" s="22"/>
      <c r="N275" s="22"/>
    </row>
    <row r="276" spans="1:14" x14ac:dyDescent="0.25">
      <c r="A276" s="22"/>
      <c r="B276" s="23"/>
      <c r="C276" s="22"/>
      <c r="D276" s="22"/>
      <c r="E276" s="22"/>
      <c r="F276" s="23"/>
      <c r="G276" s="22"/>
      <c r="H276" s="22"/>
      <c r="I276" s="22"/>
      <c r="J276" s="22"/>
      <c r="K276" s="22"/>
      <c r="L276" s="22"/>
      <c r="M276" s="22"/>
      <c r="N276" s="22"/>
    </row>
    <row r="277" spans="1:14" x14ac:dyDescent="0.25">
      <c r="A277" s="22"/>
      <c r="B277" s="23"/>
      <c r="C277" s="22"/>
      <c r="D277" s="22"/>
      <c r="E277" s="22"/>
      <c r="F277" s="23"/>
      <c r="G277" s="22"/>
      <c r="H277" s="22"/>
      <c r="I277" s="22"/>
      <c r="J277" s="22"/>
      <c r="K277" s="22"/>
      <c r="L277" s="22"/>
      <c r="M277" s="22"/>
      <c r="N277" s="22"/>
    </row>
    <row r="278" spans="1:14" x14ac:dyDescent="0.25">
      <c r="A278" s="22"/>
      <c r="B278" s="23"/>
      <c r="C278" s="22"/>
      <c r="D278" s="22"/>
      <c r="E278" s="22"/>
      <c r="F278" s="23"/>
      <c r="G278" s="22"/>
      <c r="H278" s="22"/>
      <c r="I278" s="22"/>
      <c r="J278" s="22"/>
      <c r="K278" s="22"/>
      <c r="L278" s="22"/>
      <c r="M278" s="22"/>
      <c r="N278" s="22"/>
    </row>
    <row r="279" spans="1:14" x14ac:dyDescent="0.25">
      <c r="A279" s="22"/>
      <c r="B279" s="23"/>
      <c r="C279" s="22"/>
      <c r="D279" s="22"/>
      <c r="E279" s="22"/>
      <c r="F279" s="23"/>
      <c r="G279" s="22"/>
      <c r="H279" s="22"/>
      <c r="I279" s="22"/>
      <c r="J279" s="22"/>
      <c r="K279" s="22"/>
      <c r="L279" s="22"/>
      <c r="M279" s="22"/>
      <c r="N279" s="22"/>
    </row>
    <row r="280" spans="1:14" x14ac:dyDescent="0.25">
      <c r="A280" s="22"/>
      <c r="B280" s="23"/>
      <c r="C280" s="22"/>
      <c r="D280" s="22"/>
      <c r="E280" s="22"/>
      <c r="F280" s="23"/>
      <c r="G280" s="22"/>
      <c r="H280" s="22"/>
      <c r="I280" s="22"/>
      <c r="J280" s="22"/>
      <c r="K280" s="22"/>
      <c r="L280" s="22"/>
      <c r="M280" s="22"/>
      <c r="N280" s="22"/>
    </row>
    <row r="281" spans="1:14" x14ac:dyDescent="0.25">
      <c r="A281" s="22"/>
      <c r="B281" s="23"/>
      <c r="C281" s="22"/>
      <c r="D281" s="22"/>
      <c r="E281" s="22"/>
      <c r="F281" s="23"/>
      <c r="G281" s="22"/>
      <c r="H281" s="22"/>
      <c r="I281" s="22"/>
      <c r="J281" s="22"/>
      <c r="K281" s="22"/>
      <c r="L281" s="22"/>
      <c r="M281" s="22"/>
      <c r="N281" s="22"/>
    </row>
    <row r="282" spans="1:14" x14ac:dyDescent="0.25">
      <c r="A282" s="22"/>
      <c r="B282" s="23"/>
      <c r="C282" s="22"/>
      <c r="D282" s="22"/>
      <c r="E282" s="22"/>
      <c r="F282" s="23"/>
      <c r="G282" s="22"/>
      <c r="H282" s="22"/>
      <c r="I282" s="22"/>
      <c r="J282" s="22"/>
      <c r="K282" s="22"/>
      <c r="L282" s="22"/>
      <c r="M282" s="22"/>
      <c r="N282" s="22"/>
    </row>
    <row r="283" spans="1:14" x14ac:dyDescent="0.25">
      <c r="A283" s="22"/>
      <c r="B283" s="23"/>
      <c r="C283" s="22"/>
      <c r="D283" s="22"/>
      <c r="E283" s="22"/>
      <c r="F283" s="23"/>
      <c r="G283" s="22"/>
      <c r="H283" s="22"/>
      <c r="I283" s="22"/>
      <c r="J283" s="22"/>
      <c r="K283" s="22"/>
      <c r="L283" s="22"/>
      <c r="M283" s="22"/>
      <c r="N283" s="22"/>
    </row>
    <row r="284" spans="1:14" x14ac:dyDescent="0.25">
      <c r="A284" s="22"/>
      <c r="B284" s="23"/>
      <c r="C284" s="22"/>
      <c r="D284" s="22"/>
      <c r="E284" s="22"/>
      <c r="F284" s="23"/>
      <c r="G284" s="22"/>
      <c r="H284" s="22"/>
      <c r="I284" s="22"/>
      <c r="J284" s="22"/>
      <c r="K284" s="22"/>
      <c r="L284" s="22"/>
      <c r="M284" s="22"/>
      <c r="N284" s="22"/>
    </row>
    <row r="285" spans="1:14" x14ac:dyDescent="0.25">
      <c r="A285" s="22"/>
      <c r="B285" s="23"/>
      <c r="C285" s="22"/>
      <c r="D285" s="22"/>
      <c r="E285" s="22"/>
      <c r="F285" s="23"/>
      <c r="G285" s="22"/>
      <c r="H285" s="22"/>
      <c r="I285" s="22"/>
      <c r="J285" s="22"/>
      <c r="K285" s="22"/>
      <c r="L285" s="22"/>
      <c r="M285" s="22"/>
      <c r="N285" s="22"/>
    </row>
    <row r="286" spans="1:14" x14ac:dyDescent="0.25">
      <c r="A286" s="22"/>
      <c r="B286" s="23"/>
      <c r="C286" s="22"/>
      <c r="D286" s="22"/>
      <c r="E286" s="22"/>
      <c r="F286" s="23"/>
      <c r="G286" s="22"/>
      <c r="H286" s="22"/>
      <c r="I286" s="22"/>
      <c r="J286" s="22"/>
      <c r="K286" s="22"/>
      <c r="L286" s="22"/>
      <c r="M286" s="22"/>
      <c r="N286" s="22"/>
    </row>
    <row r="287" spans="1:14" x14ac:dyDescent="0.25">
      <c r="A287" s="22"/>
      <c r="B287" s="23"/>
      <c r="C287" s="22"/>
      <c r="D287" s="22"/>
      <c r="E287" s="22"/>
      <c r="F287" s="23"/>
      <c r="G287" s="22"/>
      <c r="H287" s="22"/>
      <c r="I287" s="22"/>
      <c r="J287" s="22"/>
      <c r="K287" s="22"/>
      <c r="L287" s="22"/>
      <c r="M287" s="22"/>
      <c r="N287" s="22"/>
    </row>
    <row r="288" spans="1:14" x14ac:dyDescent="0.25">
      <c r="A288" s="22"/>
      <c r="B288" s="23"/>
      <c r="C288" s="22"/>
      <c r="D288" s="22"/>
      <c r="E288" s="22"/>
      <c r="F288" s="23"/>
      <c r="G288" s="22"/>
      <c r="H288" s="22"/>
      <c r="I288" s="22"/>
      <c r="J288" s="22"/>
      <c r="K288" s="22"/>
      <c r="L288" s="22"/>
      <c r="M288" s="22"/>
      <c r="N288" s="22"/>
    </row>
    <row r="289" spans="1:14" x14ac:dyDescent="0.25">
      <c r="A289" s="22"/>
      <c r="B289" s="23"/>
      <c r="C289" s="22"/>
      <c r="D289" s="22"/>
      <c r="E289" s="22"/>
      <c r="F289" s="23"/>
      <c r="G289" s="22"/>
      <c r="H289" s="22"/>
      <c r="I289" s="22"/>
      <c r="J289" s="22"/>
      <c r="K289" s="22"/>
      <c r="L289" s="22"/>
      <c r="M289" s="22"/>
      <c r="N289" s="22"/>
    </row>
    <row r="290" spans="1:14" x14ac:dyDescent="0.25">
      <c r="A290" s="22"/>
      <c r="B290" s="23"/>
      <c r="C290" s="22"/>
      <c r="D290" s="22"/>
      <c r="E290" s="22"/>
      <c r="F290" s="23"/>
      <c r="G290" s="22"/>
      <c r="H290" s="22"/>
      <c r="I290" s="22"/>
      <c r="J290" s="22"/>
      <c r="K290" s="22"/>
      <c r="L290" s="22"/>
      <c r="M290" s="22"/>
      <c r="N290" s="22"/>
    </row>
    <row r="291" spans="1:14" x14ac:dyDescent="0.25">
      <c r="A291" s="22"/>
      <c r="B291" s="23"/>
      <c r="C291" s="22"/>
      <c r="D291" s="22"/>
      <c r="E291" s="22"/>
      <c r="F291" s="23"/>
      <c r="G291" s="22"/>
      <c r="H291" s="22"/>
      <c r="I291" s="22"/>
      <c r="J291" s="22"/>
      <c r="K291" s="22"/>
      <c r="L291" s="22"/>
      <c r="M291" s="22"/>
      <c r="N291" s="22"/>
    </row>
    <row r="292" spans="1:14" x14ac:dyDescent="0.25">
      <c r="A292" s="22"/>
      <c r="B292" s="23"/>
      <c r="C292" s="22"/>
      <c r="D292" s="22"/>
      <c r="E292" s="22"/>
      <c r="F292" s="23"/>
      <c r="G292" s="22"/>
      <c r="H292" s="22"/>
      <c r="I292" s="22"/>
      <c r="J292" s="22"/>
      <c r="K292" s="22"/>
      <c r="L292" s="22"/>
      <c r="M292" s="22"/>
      <c r="N292" s="22"/>
    </row>
    <row r="293" spans="1:14" x14ac:dyDescent="0.25">
      <c r="A293" s="22"/>
      <c r="B293" s="23"/>
      <c r="C293" s="22"/>
      <c r="D293" s="22"/>
      <c r="E293" s="22"/>
      <c r="F293" s="23"/>
      <c r="G293" s="22"/>
      <c r="H293" s="22"/>
      <c r="I293" s="22"/>
      <c r="J293" s="22"/>
      <c r="K293" s="22"/>
      <c r="L293" s="22"/>
      <c r="M293" s="22"/>
      <c r="N293" s="22"/>
    </row>
    <row r="294" spans="1:14" x14ac:dyDescent="0.25">
      <c r="A294" s="22"/>
      <c r="B294" s="23"/>
      <c r="C294" s="22"/>
      <c r="D294" s="22"/>
      <c r="E294" s="22"/>
      <c r="F294" s="23"/>
      <c r="G294" s="22"/>
      <c r="H294" s="22"/>
      <c r="I294" s="22"/>
      <c r="J294" s="22"/>
      <c r="K294" s="22"/>
      <c r="L294" s="22"/>
      <c r="M294" s="22"/>
      <c r="N294" s="22"/>
    </row>
    <row r="295" spans="1:14" x14ac:dyDescent="0.25">
      <c r="A295" s="22"/>
      <c r="B295" s="23"/>
      <c r="C295" s="22"/>
      <c r="D295" s="22"/>
      <c r="E295" s="22"/>
      <c r="F295" s="23"/>
      <c r="G295" s="22"/>
      <c r="H295" s="22"/>
      <c r="I295" s="22"/>
      <c r="J295" s="22"/>
      <c r="K295" s="22"/>
      <c r="L295" s="22"/>
      <c r="M295" s="22"/>
      <c r="N295" s="22"/>
    </row>
    <row r="296" spans="1:14" x14ac:dyDescent="0.25">
      <c r="A296" s="22"/>
      <c r="B296" s="23"/>
      <c r="C296" s="22"/>
      <c r="D296" s="22"/>
      <c r="E296" s="22"/>
      <c r="F296" s="23"/>
      <c r="G296" s="22"/>
      <c r="H296" s="22"/>
      <c r="I296" s="22"/>
      <c r="J296" s="22"/>
      <c r="K296" s="22"/>
      <c r="L296" s="22"/>
      <c r="M296" s="22"/>
      <c r="N296" s="22"/>
    </row>
    <row r="297" spans="1:14" x14ac:dyDescent="0.25">
      <c r="A297" s="22"/>
      <c r="B297" s="23"/>
      <c r="C297" s="22"/>
      <c r="D297" s="22"/>
      <c r="E297" s="22"/>
      <c r="F297" s="23"/>
      <c r="G297" s="22"/>
      <c r="H297" s="22"/>
      <c r="I297" s="22"/>
      <c r="J297" s="22"/>
      <c r="K297" s="22"/>
      <c r="L297" s="22"/>
      <c r="M297" s="22"/>
      <c r="N297" s="22"/>
    </row>
    <row r="298" spans="1:14" x14ac:dyDescent="0.25">
      <c r="A298" s="22"/>
      <c r="B298" s="23"/>
      <c r="C298" s="22"/>
      <c r="D298" s="22"/>
      <c r="E298" s="22"/>
      <c r="F298" s="23"/>
      <c r="G298" s="22"/>
      <c r="H298" s="22"/>
      <c r="I298" s="22"/>
      <c r="J298" s="22"/>
      <c r="K298" s="22"/>
      <c r="L298" s="22"/>
      <c r="M298" s="22"/>
      <c r="N298" s="22"/>
    </row>
    <row r="299" spans="1:14" x14ac:dyDescent="0.25">
      <c r="A299" s="22"/>
      <c r="B299" s="23"/>
      <c r="C299" s="22"/>
      <c r="D299" s="22"/>
      <c r="E299" s="22"/>
      <c r="F299" s="23"/>
      <c r="G299" s="22"/>
      <c r="H299" s="22"/>
      <c r="I299" s="22"/>
      <c r="J299" s="22"/>
      <c r="K299" s="22"/>
      <c r="L299" s="22"/>
      <c r="M299" s="22"/>
      <c r="N299" s="22"/>
    </row>
    <row r="300" spans="1:14" x14ac:dyDescent="0.25">
      <c r="A300" s="22"/>
      <c r="B300" s="23"/>
      <c r="C300" s="22"/>
      <c r="D300" s="22"/>
      <c r="E300" s="22"/>
      <c r="F300" s="23"/>
      <c r="G300" s="22"/>
      <c r="H300" s="22"/>
      <c r="I300" s="22"/>
      <c r="J300" s="22"/>
      <c r="K300" s="22"/>
      <c r="L300" s="22"/>
      <c r="M300" s="22"/>
      <c r="N300" s="22"/>
    </row>
    <row r="301" spans="1:14" x14ac:dyDescent="0.25">
      <c r="A301" s="22"/>
      <c r="B301" s="23"/>
      <c r="C301" s="22"/>
      <c r="D301" s="22"/>
      <c r="E301" s="22"/>
      <c r="F301" s="23"/>
      <c r="G301" s="22"/>
      <c r="H301" s="22"/>
      <c r="I301" s="22"/>
      <c r="J301" s="22"/>
      <c r="K301" s="22"/>
      <c r="L301" s="22"/>
      <c r="M301" s="22"/>
      <c r="N301" s="22"/>
    </row>
    <row r="302" spans="1:14" x14ac:dyDescent="0.25">
      <c r="A302" s="22"/>
      <c r="B302" s="23"/>
      <c r="C302" s="22"/>
      <c r="D302" s="22"/>
      <c r="E302" s="22"/>
      <c r="F302" s="23"/>
      <c r="G302" s="22"/>
      <c r="H302" s="22"/>
      <c r="I302" s="22"/>
      <c r="J302" s="22"/>
      <c r="K302" s="22"/>
      <c r="L302" s="22"/>
      <c r="M302" s="22"/>
      <c r="N302" s="22"/>
    </row>
    <row r="303" spans="1:14" x14ac:dyDescent="0.25">
      <c r="A303" s="22"/>
      <c r="B303" s="23"/>
      <c r="C303" s="22"/>
      <c r="D303" s="22"/>
      <c r="E303" s="22"/>
      <c r="F303" s="23"/>
      <c r="G303" s="22"/>
      <c r="H303" s="22"/>
      <c r="I303" s="22"/>
      <c r="J303" s="22"/>
      <c r="K303" s="22"/>
      <c r="L303" s="22"/>
      <c r="M303" s="22"/>
      <c r="N303" s="22"/>
    </row>
    <row r="304" spans="1:14" x14ac:dyDescent="0.25">
      <c r="A304" s="22"/>
      <c r="B304" s="23"/>
      <c r="C304" s="22"/>
      <c r="D304" s="22"/>
      <c r="E304" s="22"/>
      <c r="F304" s="23"/>
      <c r="G304" s="22"/>
      <c r="H304" s="22"/>
      <c r="I304" s="22"/>
      <c r="J304" s="22"/>
      <c r="K304" s="22"/>
      <c r="L304" s="22"/>
      <c r="M304" s="22"/>
      <c r="N304" s="22"/>
    </row>
    <row r="305" spans="1:14" x14ac:dyDescent="0.25">
      <c r="A305" s="22"/>
      <c r="B305" s="23"/>
      <c r="C305" s="22"/>
      <c r="D305" s="22"/>
      <c r="E305" s="22"/>
      <c r="F305" s="23"/>
      <c r="G305" s="22"/>
      <c r="H305" s="22"/>
      <c r="I305" s="22"/>
      <c r="J305" s="22"/>
      <c r="K305" s="22"/>
      <c r="L305" s="22"/>
      <c r="M305" s="22"/>
      <c r="N305" s="22"/>
    </row>
    <row r="306" spans="1:14" x14ac:dyDescent="0.25">
      <c r="A306" s="22"/>
      <c r="B306" s="23"/>
      <c r="C306" s="22"/>
      <c r="D306" s="22"/>
      <c r="E306" s="22"/>
      <c r="F306" s="23"/>
      <c r="G306" s="22"/>
      <c r="H306" s="22"/>
      <c r="I306" s="22"/>
      <c r="J306" s="22"/>
      <c r="K306" s="22"/>
      <c r="L306" s="22"/>
      <c r="M306" s="22"/>
      <c r="N306" s="22"/>
    </row>
    <row r="307" spans="1:14" x14ac:dyDescent="0.25">
      <c r="A307" s="22"/>
      <c r="B307" s="23"/>
      <c r="C307" s="22"/>
      <c r="D307" s="22"/>
      <c r="E307" s="22"/>
      <c r="F307" s="23"/>
      <c r="G307" s="22"/>
      <c r="H307" s="22"/>
      <c r="I307" s="22"/>
      <c r="J307" s="22"/>
      <c r="K307" s="22"/>
      <c r="L307" s="22"/>
      <c r="M307" s="22"/>
      <c r="N307" s="22"/>
    </row>
    <row r="308" spans="1:14" x14ac:dyDescent="0.25">
      <c r="A308" s="22"/>
      <c r="B308" s="23"/>
      <c r="C308" s="22"/>
      <c r="D308" s="22"/>
      <c r="E308" s="22"/>
      <c r="F308" s="23"/>
      <c r="G308" s="22"/>
      <c r="H308" s="22"/>
      <c r="I308" s="22"/>
      <c r="J308" s="22"/>
      <c r="K308" s="22"/>
      <c r="L308" s="22"/>
      <c r="M308" s="22"/>
      <c r="N308" s="22"/>
    </row>
    <row r="309" spans="1:14" x14ac:dyDescent="0.25">
      <c r="A309" s="22"/>
      <c r="B309" s="23"/>
      <c r="C309" s="22"/>
      <c r="D309" s="22"/>
      <c r="E309" s="22"/>
      <c r="F309" s="23"/>
      <c r="G309" s="22"/>
      <c r="H309" s="22"/>
      <c r="I309" s="22"/>
      <c r="J309" s="22"/>
      <c r="K309" s="22"/>
      <c r="L309" s="22"/>
      <c r="M309" s="22"/>
      <c r="N309" s="22"/>
    </row>
    <row r="310" spans="1:14" x14ac:dyDescent="0.25">
      <c r="A310" s="22"/>
      <c r="B310" s="23"/>
      <c r="C310" s="22"/>
      <c r="D310" s="22"/>
      <c r="E310" s="22"/>
      <c r="F310" s="23"/>
      <c r="G310" s="22"/>
      <c r="H310" s="22"/>
      <c r="I310" s="22"/>
      <c r="J310" s="22"/>
      <c r="K310" s="22"/>
      <c r="L310" s="22"/>
      <c r="M310" s="22"/>
      <c r="N310" s="22"/>
    </row>
    <row r="311" spans="1:14" x14ac:dyDescent="0.25">
      <c r="A311" s="22"/>
      <c r="B311" s="23"/>
      <c r="C311" s="22"/>
      <c r="D311" s="22"/>
      <c r="E311" s="22"/>
      <c r="F311" s="23"/>
      <c r="G311" s="22"/>
      <c r="H311" s="22"/>
      <c r="I311" s="22"/>
      <c r="J311" s="22"/>
      <c r="K311" s="22"/>
      <c r="L311" s="22"/>
      <c r="M311" s="22"/>
      <c r="N311" s="22"/>
    </row>
    <row r="312" spans="1:14" x14ac:dyDescent="0.25">
      <c r="A312" s="22"/>
      <c r="B312" s="23"/>
      <c r="C312" s="22"/>
      <c r="D312" s="22"/>
      <c r="E312" s="22"/>
      <c r="F312" s="23"/>
      <c r="G312" s="22"/>
      <c r="H312" s="22"/>
      <c r="I312" s="22"/>
      <c r="J312" s="22"/>
      <c r="K312" s="22"/>
      <c r="L312" s="22"/>
      <c r="M312" s="22"/>
      <c r="N312" s="22"/>
    </row>
    <row r="313" spans="1:14" x14ac:dyDescent="0.25">
      <c r="A313" s="22"/>
      <c r="B313" s="23"/>
      <c r="C313" s="22"/>
      <c r="D313" s="22"/>
      <c r="E313" s="22"/>
      <c r="F313" s="23"/>
      <c r="G313" s="22"/>
      <c r="H313" s="22"/>
      <c r="I313" s="22"/>
      <c r="J313" s="22"/>
      <c r="K313" s="22"/>
      <c r="L313" s="22"/>
      <c r="M313" s="22"/>
      <c r="N313" s="22"/>
    </row>
    <row r="314" spans="1:14" x14ac:dyDescent="0.25">
      <c r="A314" s="22"/>
      <c r="B314" s="23"/>
      <c r="C314" s="22"/>
      <c r="D314" s="22"/>
      <c r="E314" s="22"/>
      <c r="F314" s="23"/>
      <c r="G314" s="22"/>
      <c r="H314" s="22"/>
      <c r="I314" s="22"/>
      <c r="J314" s="22"/>
      <c r="K314" s="22"/>
      <c r="L314" s="22"/>
      <c r="M314" s="22"/>
      <c r="N314" s="22"/>
    </row>
    <row r="315" spans="1:14" x14ac:dyDescent="0.25">
      <c r="A315" s="22"/>
      <c r="B315" s="23"/>
      <c r="C315" s="22"/>
      <c r="D315" s="22"/>
      <c r="E315" s="22"/>
      <c r="F315" s="23"/>
      <c r="G315" s="22"/>
      <c r="H315" s="22"/>
      <c r="I315" s="22"/>
      <c r="J315" s="22"/>
      <c r="K315" s="22"/>
      <c r="L315" s="22"/>
      <c r="M315" s="22"/>
      <c r="N315" s="22"/>
    </row>
    <row r="316" spans="1:14" x14ac:dyDescent="0.25">
      <c r="A316" s="22"/>
      <c r="B316" s="23"/>
      <c r="C316" s="22"/>
      <c r="D316" s="22"/>
      <c r="E316" s="22"/>
      <c r="F316" s="23"/>
      <c r="G316" s="22"/>
      <c r="H316" s="22"/>
      <c r="I316" s="22"/>
      <c r="J316" s="22"/>
      <c r="K316" s="22"/>
      <c r="L316" s="22"/>
      <c r="M316" s="22"/>
      <c r="N316" s="22"/>
    </row>
    <row r="317" spans="1:14" x14ac:dyDescent="0.25">
      <c r="A317" s="22"/>
      <c r="B317" s="23"/>
      <c r="C317" s="22"/>
      <c r="D317" s="22"/>
      <c r="E317" s="22"/>
      <c r="F317" s="23"/>
      <c r="G317" s="22"/>
      <c r="H317" s="22"/>
      <c r="I317" s="22"/>
      <c r="J317" s="22"/>
      <c r="K317" s="22"/>
      <c r="L317" s="22"/>
      <c r="M317" s="22"/>
      <c r="N317" s="22"/>
    </row>
    <row r="318" spans="1:14" x14ac:dyDescent="0.25">
      <c r="A318" s="22"/>
      <c r="B318" s="23"/>
      <c r="C318" s="22"/>
      <c r="D318" s="22"/>
      <c r="E318" s="22"/>
      <c r="F318" s="23"/>
      <c r="G318" s="22"/>
      <c r="H318" s="22"/>
      <c r="I318" s="22"/>
      <c r="J318" s="22"/>
      <c r="K318" s="22"/>
      <c r="L318" s="22"/>
      <c r="M318" s="22"/>
      <c r="N318" s="22"/>
    </row>
    <row r="319" spans="1:14" x14ac:dyDescent="0.25">
      <c r="A319" s="22"/>
      <c r="B319" s="23"/>
      <c r="C319" s="22"/>
      <c r="D319" s="22"/>
      <c r="E319" s="22"/>
      <c r="F319" s="23"/>
      <c r="G319" s="22"/>
      <c r="H319" s="22"/>
      <c r="I319" s="22"/>
      <c r="J319" s="22"/>
      <c r="K319" s="22"/>
      <c r="L319" s="22"/>
      <c r="M319" s="22"/>
      <c r="N319" s="22"/>
    </row>
    <row r="320" spans="1:14" x14ac:dyDescent="0.25">
      <c r="A320" s="22"/>
      <c r="B320" s="23"/>
      <c r="C320" s="22"/>
      <c r="D320" s="22"/>
      <c r="E320" s="22"/>
      <c r="F320" s="23"/>
      <c r="G320" s="22"/>
      <c r="H320" s="22"/>
      <c r="I320" s="22"/>
      <c r="J320" s="22"/>
      <c r="K320" s="22"/>
      <c r="L320" s="22"/>
      <c r="M320" s="22"/>
      <c r="N320" s="22"/>
    </row>
    <row r="321" spans="1:14" x14ac:dyDescent="0.25">
      <c r="A321" s="22"/>
      <c r="B321" s="23"/>
      <c r="C321" s="22"/>
      <c r="D321" s="22"/>
      <c r="E321" s="22"/>
      <c r="F321" s="23"/>
      <c r="G321" s="22"/>
      <c r="H321" s="22"/>
      <c r="I321" s="22"/>
      <c r="J321" s="22"/>
      <c r="K321" s="22"/>
      <c r="L321" s="22"/>
      <c r="M321" s="22"/>
      <c r="N321" s="22"/>
    </row>
    <row r="322" spans="1:14" x14ac:dyDescent="0.25">
      <c r="A322" s="22"/>
      <c r="B322" s="23"/>
      <c r="C322" s="22"/>
      <c r="D322" s="22"/>
      <c r="E322" s="22"/>
      <c r="F322" s="23"/>
      <c r="G322" s="22"/>
      <c r="H322" s="22"/>
      <c r="I322" s="22"/>
      <c r="J322" s="22"/>
      <c r="K322" s="22"/>
      <c r="L322" s="22"/>
      <c r="M322" s="22"/>
      <c r="N322" s="22"/>
    </row>
    <row r="323" spans="1:14" x14ac:dyDescent="0.25">
      <c r="A323" s="22"/>
      <c r="B323" s="23"/>
      <c r="C323" s="22"/>
      <c r="D323" s="22"/>
      <c r="E323" s="22"/>
      <c r="F323" s="23"/>
      <c r="G323" s="22"/>
      <c r="H323" s="22"/>
      <c r="I323" s="22"/>
      <c r="J323" s="22"/>
      <c r="K323" s="22"/>
      <c r="L323" s="22"/>
      <c r="M323" s="22"/>
      <c r="N323" s="22"/>
    </row>
    <row r="324" spans="1:14" x14ac:dyDescent="0.25">
      <c r="A324" s="22"/>
      <c r="B324" s="23"/>
      <c r="C324" s="22"/>
      <c r="D324" s="22"/>
      <c r="E324" s="22"/>
      <c r="F324" s="23"/>
      <c r="G324" s="22"/>
      <c r="H324" s="22"/>
      <c r="I324" s="22"/>
      <c r="J324" s="22"/>
      <c r="K324" s="22"/>
      <c r="L324" s="22"/>
      <c r="M324" s="22"/>
      <c r="N324" s="22"/>
    </row>
    <row r="325" spans="1:14" x14ac:dyDescent="0.25">
      <c r="A325" s="22"/>
      <c r="B325" s="23"/>
      <c r="C325" s="22"/>
      <c r="D325" s="22"/>
      <c r="E325" s="22"/>
      <c r="F325" s="23"/>
      <c r="G325" s="22"/>
      <c r="H325" s="22"/>
      <c r="I325" s="22"/>
      <c r="J325" s="22"/>
      <c r="K325" s="22"/>
      <c r="L325" s="22"/>
      <c r="M325" s="22"/>
      <c r="N325" s="22"/>
    </row>
    <row r="326" spans="1:14" x14ac:dyDescent="0.25">
      <c r="A326" s="22"/>
      <c r="B326" s="23"/>
      <c r="C326" s="22"/>
      <c r="D326" s="22"/>
      <c r="E326" s="22"/>
      <c r="F326" s="23"/>
      <c r="G326" s="22"/>
      <c r="H326" s="22"/>
      <c r="I326" s="22"/>
      <c r="J326" s="22"/>
      <c r="K326" s="22"/>
      <c r="L326" s="22"/>
      <c r="M326" s="22"/>
      <c r="N326" s="22"/>
    </row>
    <row r="327" spans="1:14" x14ac:dyDescent="0.25">
      <c r="A327" s="22"/>
      <c r="B327" s="23"/>
      <c r="C327" s="22"/>
      <c r="D327" s="22"/>
      <c r="E327" s="22"/>
      <c r="F327" s="23"/>
      <c r="G327" s="22"/>
      <c r="H327" s="22"/>
      <c r="I327" s="22"/>
      <c r="J327" s="22"/>
      <c r="K327" s="22"/>
      <c r="L327" s="22"/>
      <c r="M327" s="22"/>
      <c r="N327" s="22"/>
    </row>
    <row r="328" spans="1:14" x14ac:dyDescent="0.25">
      <c r="A328" s="22"/>
      <c r="B328" s="23"/>
      <c r="C328" s="22"/>
      <c r="D328" s="22"/>
      <c r="E328" s="22"/>
      <c r="F328" s="23"/>
      <c r="G328" s="22"/>
      <c r="H328" s="22"/>
      <c r="I328" s="22"/>
      <c r="J328" s="22"/>
      <c r="K328" s="22"/>
      <c r="L328" s="22"/>
      <c r="M328" s="22"/>
      <c r="N328" s="22"/>
    </row>
    <row r="329" spans="1:14" x14ac:dyDescent="0.25">
      <c r="A329" s="22"/>
      <c r="B329" s="23"/>
      <c r="C329" s="22"/>
      <c r="D329" s="22"/>
      <c r="E329" s="22"/>
      <c r="F329" s="23"/>
      <c r="G329" s="22"/>
      <c r="H329" s="22"/>
      <c r="I329" s="22"/>
      <c r="J329" s="22"/>
      <c r="K329" s="22"/>
      <c r="L329" s="22"/>
      <c r="M329" s="22"/>
      <c r="N329" s="22"/>
    </row>
    <row r="330" spans="1:14" x14ac:dyDescent="0.25">
      <c r="A330" s="22"/>
      <c r="B330" s="23"/>
      <c r="C330" s="22"/>
      <c r="D330" s="22"/>
      <c r="E330" s="22"/>
      <c r="F330" s="23"/>
      <c r="G330" s="22"/>
      <c r="H330" s="22"/>
      <c r="I330" s="22"/>
      <c r="J330" s="22"/>
      <c r="K330" s="22"/>
      <c r="L330" s="22"/>
      <c r="M330" s="22"/>
      <c r="N330" s="22"/>
    </row>
    <row r="331" spans="1:14" x14ac:dyDescent="0.25">
      <c r="A331" s="22"/>
      <c r="B331" s="23"/>
      <c r="C331" s="22"/>
      <c r="D331" s="22"/>
      <c r="E331" s="22"/>
      <c r="F331" s="23"/>
      <c r="G331" s="22"/>
      <c r="H331" s="22"/>
      <c r="I331" s="22"/>
      <c r="J331" s="22"/>
      <c r="K331" s="22"/>
      <c r="L331" s="22"/>
      <c r="M331" s="22"/>
      <c r="N331" s="22"/>
    </row>
    <row r="332" spans="1:14" x14ac:dyDescent="0.25">
      <c r="A332" s="22"/>
      <c r="B332" s="23"/>
      <c r="C332" s="22"/>
      <c r="D332" s="22"/>
      <c r="E332" s="22"/>
      <c r="F332" s="23"/>
      <c r="G332" s="22"/>
      <c r="H332" s="22"/>
      <c r="I332" s="22"/>
      <c r="J332" s="22"/>
      <c r="K332" s="22"/>
      <c r="L332" s="22"/>
      <c r="M332" s="22"/>
      <c r="N332" s="22"/>
    </row>
    <row r="333" spans="1:14" x14ac:dyDescent="0.25">
      <c r="A333" s="22"/>
      <c r="B333" s="23"/>
      <c r="C333" s="22"/>
      <c r="D333" s="22"/>
      <c r="E333" s="22"/>
      <c r="F333" s="23"/>
      <c r="G333" s="22"/>
      <c r="H333" s="22"/>
      <c r="I333" s="22"/>
      <c r="J333" s="22"/>
      <c r="K333" s="22"/>
      <c r="L333" s="22"/>
      <c r="M333" s="22"/>
      <c r="N333" s="22"/>
    </row>
    <row r="334" spans="1:14" x14ac:dyDescent="0.25">
      <c r="A334" s="22"/>
      <c r="B334" s="23"/>
      <c r="C334" s="22"/>
      <c r="D334" s="22"/>
      <c r="E334" s="22"/>
      <c r="F334" s="23"/>
      <c r="G334" s="22"/>
      <c r="H334" s="22"/>
      <c r="I334" s="22"/>
      <c r="J334" s="22"/>
      <c r="K334" s="22"/>
      <c r="L334" s="22"/>
      <c r="M334" s="22"/>
      <c r="N334" s="22"/>
    </row>
    <row r="335" spans="1:14" x14ac:dyDescent="0.25">
      <c r="A335" s="22"/>
      <c r="B335" s="23"/>
      <c r="C335" s="22"/>
      <c r="D335" s="22"/>
      <c r="E335" s="22"/>
      <c r="F335" s="23"/>
      <c r="G335" s="22"/>
      <c r="H335" s="22"/>
      <c r="I335" s="22"/>
      <c r="J335" s="22"/>
      <c r="K335" s="22"/>
      <c r="L335" s="22"/>
      <c r="M335" s="22"/>
      <c r="N335" s="22"/>
    </row>
    <row r="336" spans="1:14" x14ac:dyDescent="0.25">
      <c r="A336" s="22"/>
      <c r="B336" s="23"/>
      <c r="C336" s="22"/>
      <c r="D336" s="22"/>
      <c r="E336" s="22"/>
      <c r="F336" s="23"/>
      <c r="G336" s="22"/>
      <c r="H336" s="22"/>
      <c r="I336" s="22"/>
      <c r="J336" s="22"/>
      <c r="K336" s="22"/>
      <c r="L336" s="22"/>
      <c r="M336" s="22"/>
      <c r="N336" s="22"/>
    </row>
    <row r="337" spans="1:14" x14ac:dyDescent="0.25">
      <c r="A337" s="22"/>
      <c r="B337" s="23"/>
      <c r="C337" s="22"/>
      <c r="D337" s="22"/>
      <c r="E337" s="22"/>
      <c r="F337" s="23"/>
      <c r="G337" s="22"/>
      <c r="H337" s="22"/>
      <c r="I337" s="22"/>
      <c r="J337" s="22"/>
      <c r="K337" s="22"/>
      <c r="L337" s="22"/>
      <c r="M337" s="22"/>
      <c r="N337" s="22"/>
    </row>
    <row r="338" spans="1:14" x14ac:dyDescent="0.25">
      <c r="A338" s="22"/>
      <c r="B338" s="23"/>
      <c r="C338" s="22"/>
      <c r="D338" s="22"/>
      <c r="E338" s="22"/>
      <c r="F338" s="23"/>
      <c r="G338" s="22"/>
      <c r="H338" s="22"/>
      <c r="I338" s="22"/>
      <c r="J338" s="22"/>
      <c r="K338" s="22"/>
      <c r="L338" s="22"/>
      <c r="M338" s="22"/>
      <c r="N338" s="22"/>
    </row>
    <row r="339" spans="1:14" x14ac:dyDescent="0.25">
      <c r="A339" s="22"/>
      <c r="B339" s="23"/>
      <c r="C339" s="22"/>
      <c r="D339" s="22"/>
      <c r="E339" s="22"/>
      <c r="F339" s="23"/>
      <c r="G339" s="22"/>
      <c r="H339" s="22"/>
      <c r="I339" s="22"/>
      <c r="J339" s="22"/>
      <c r="K339" s="22"/>
      <c r="L339" s="22"/>
      <c r="M339" s="22"/>
      <c r="N339" s="22"/>
    </row>
    <row r="340" spans="1:14" x14ac:dyDescent="0.25">
      <c r="A340" s="22"/>
      <c r="B340" s="23"/>
      <c r="C340" s="22"/>
      <c r="D340" s="22"/>
      <c r="E340" s="22"/>
      <c r="F340" s="23"/>
      <c r="G340" s="22"/>
      <c r="H340" s="22"/>
      <c r="I340" s="22"/>
      <c r="J340" s="22"/>
      <c r="K340" s="22"/>
      <c r="L340" s="22"/>
      <c r="M340" s="22"/>
      <c r="N340" s="22"/>
    </row>
    <row r="341" spans="1:14" x14ac:dyDescent="0.25">
      <c r="A341" s="22"/>
      <c r="B341" s="23"/>
      <c r="C341" s="22"/>
      <c r="D341" s="22"/>
      <c r="E341" s="22"/>
      <c r="F341" s="23"/>
      <c r="G341" s="22"/>
      <c r="H341" s="22"/>
      <c r="I341" s="22"/>
      <c r="J341" s="22"/>
      <c r="K341" s="22"/>
      <c r="L341" s="22"/>
      <c r="M341" s="22"/>
      <c r="N341" s="22"/>
    </row>
    <row r="342" spans="1:14" x14ac:dyDescent="0.25">
      <c r="A342" s="22"/>
      <c r="B342" s="23"/>
      <c r="C342" s="22"/>
      <c r="D342" s="22"/>
      <c r="E342" s="22"/>
      <c r="F342" s="23"/>
      <c r="G342" s="22"/>
      <c r="H342" s="22"/>
      <c r="I342" s="22"/>
      <c r="J342" s="22"/>
      <c r="K342" s="22"/>
      <c r="L342" s="22"/>
      <c r="M342" s="22"/>
      <c r="N342" s="22"/>
    </row>
    <row r="343" spans="1:14" x14ac:dyDescent="0.25">
      <c r="A343" s="22"/>
      <c r="B343" s="23"/>
      <c r="C343" s="22"/>
      <c r="D343" s="22"/>
      <c r="E343" s="22"/>
      <c r="F343" s="23"/>
      <c r="G343" s="22"/>
      <c r="H343" s="22"/>
      <c r="I343" s="22"/>
      <c r="J343" s="22"/>
      <c r="K343" s="22"/>
      <c r="L343" s="22"/>
      <c r="M343" s="22"/>
      <c r="N343" s="22"/>
    </row>
    <row r="344" spans="1:14" x14ac:dyDescent="0.25">
      <c r="A344" s="22"/>
      <c r="B344" s="23"/>
      <c r="C344" s="22"/>
      <c r="D344" s="22"/>
      <c r="E344" s="22"/>
      <c r="F344" s="23"/>
      <c r="G344" s="22"/>
      <c r="H344" s="22"/>
      <c r="I344" s="22"/>
      <c r="J344" s="22"/>
      <c r="K344" s="22"/>
      <c r="L344" s="22"/>
      <c r="M344" s="22"/>
      <c r="N344" s="22"/>
    </row>
    <row r="345" spans="1:14" x14ac:dyDescent="0.25">
      <c r="A345" s="22"/>
      <c r="B345" s="23"/>
      <c r="C345" s="22"/>
      <c r="D345" s="22"/>
      <c r="E345" s="22"/>
      <c r="F345" s="23"/>
      <c r="G345" s="22"/>
      <c r="H345" s="22"/>
      <c r="I345" s="22"/>
      <c r="J345" s="22"/>
      <c r="K345" s="22"/>
      <c r="L345" s="22"/>
      <c r="M345" s="22"/>
      <c r="N345" s="22"/>
    </row>
    <row r="346" spans="1:14" x14ac:dyDescent="0.25">
      <c r="A346" s="22"/>
      <c r="B346" s="23"/>
      <c r="C346" s="22"/>
      <c r="D346" s="22"/>
      <c r="E346" s="22"/>
      <c r="F346" s="23"/>
      <c r="G346" s="22"/>
      <c r="H346" s="22"/>
      <c r="I346" s="22"/>
      <c r="J346" s="22"/>
      <c r="K346" s="22"/>
      <c r="L346" s="22"/>
      <c r="M346" s="22"/>
      <c r="N346" s="22"/>
    </row>
    <row r="347" spans="1:14" x14ac:dyDescent="0.25">
      <c r="A347" s="22"/>
      <c r="B347" s="23"/>
      <c r="C347" s="22"/>
      <c r="D347" s="22"/>
      <c r="E347" s="22"/>
      <c r="F347" s="23"/>
      <c r="G347" s="22"/>
      <c r="H347" s="22"/>
      <c r="I347" s="22"/>
      <c r="J347" s="22"/>
      <c r="K347" s="22"/>
      <c r="L347" s="22"/>
      <c r="M347" s="22"/>
      <c r="N347" s="22"/>
    </row>
    <row r="348" spans="1:14" x14ac:dyDescent="0.25">
      <c r="A348" s="22"/>
      <c r="B348" s="23"/>
      <c r="C348" s="22"/>
      <c r="D348" s="22"/>
      <c r="E348" s="22"/>
      <c r="F348" s="23"/>
      <c r="G348" s="22"/>
      <c r="H348" s="22"/>
      <c r="I348" s="22"/>
      <c r="J348" s="22"/>
      <c r="K348" s="22"/>
      <c r="L348" s="22"/>
      <c r="M348" s="22"/>
      <c r="N348" s="22"/>
    </row>
    <row r="349" spans="1:14" x14ac:dyDescent="0.25">
      <c r="A349" s="22"/>
      <c r="B349" s="23"/>
      <c r="C349" s="22"/>
      <c r="D349" s="22"/>
      <c r="E349" s="22"/>
      <c r="F349" s="23"/>
      <c r="G349" s="22"/>
      <c r="H349" s="22"/>
      <c r="I349" s="22"/>
      <c r="J349" s="22"/>
      <c r="K349" s="22"/>
      <c r="L349" s="22"/>
      <c r="M349" s="22"/>
      <c r="N349" s="22"/>
    </row>
    <row r="350" spans="1:14" x14ac:dyDescent="0.25">
      <c r="A350" s="22"/>
      <c r="B350" s="23"/>
      <c r="C350" s="22"/>
      <c r="D350" s="22"/>
      <c r="E350" s="22"/>
      <c r="F350" s="23"/>
      <c r="G350" s="22"/>
      <c r="H350" s="22"/>
      <c r="I350" s="22"/>
      <c r="J350" s="22"/>
      <c r="K350" s="22"/>
      <c r="L350" s="22"/>
      <c r="M350" s="22"/>
      <c r="N350" s="22"/>
    </row>
    <row r="351" spans="1:14" x14ac:dyDescent="0.25">
      <c r="A351" s="22"/>
      <c r="B351" s="23"/>
      <c r="C351" s="22"/>
      <c r="D351" s="22"/>
      <c r="E351" s="22"/>
      <c r="F351" s="23"/>
      <c r="G351" s="22"/>
      <c r="H351" s="22"/>
      <c r="I351" s="22"/>
      <c r="J351" s="22"/>
      <c r="K351" s="22"/>
      <c r="L351" s="22"/>
      <c r="M351" s="22"/>
      <c r="N351" s="22"/>
    </row>
    <row r="352" spans="1:14" x14ac:dyDescent="0.25">
      <c r="A352" s="22"/>
      <c r="B352" s="23"/>
      <c r="C352" s="22"/>
      <c r="D352" s="22"/>
      <c r="E352" s="22"/>
      <c r="F352" s="23"/>
      <c r="G352" s="22"/>
      <c r="H352" s="22"/>
      <c r="I352" s="22"/>
      <c r="J352" s="22"/>
      <c r="K352" s="22"/>
      <c r="L352" s="22"/>
      <c r="M352" s="22"/>
      <c r="N352" s="22"/>
    </row>
    <row r="353" spans="1:14" x14ac:dyDescent="0.25">
      <c r="A353" s="22"/>
      <c r="B353" s="23"/>
      <c r="C353" s="22"/>
      <c r="D353" s="22"/>
      <c r="E353" s="22"/>
      <c r="F353" s="23"/>
      <c r="G353" s="22"/>
      <c r="H353" s="22"/>
      <c r="I353" s="22"/>
      <c r="J353" s="22"/>
      <c r="K353" s="22"/>
      <c r="L353" s="22"/>
      <c r="M353" s="22"/>
      <c r="N353" s="22"/>
    </row>
    <row r="354" spans="1:14" x14ac:dyDescent="0.25">
      <c r="A354" s="22"/>
      <c r="B354" s="23"/>
      <c r="C354" s="22"/>
      <c r="D354" s="22"/>
      <c r="E354" s="22"/>
      <c r="F354" s="23"/>
      <c r="G354" s="22"/>
      <c r="H354" s="22"/>
      <c r="I354" s="22"/>
      <c r="J354" s="22"/>
      <c r="K354" s="22"/>
      <c r="L354" s="22"/>
      <c r="M354" s="22"/>
      <c r="N354" s="22"/>
    </row>
    <row r="355" spans="1:14" x14ac:dyDescent="0.25">
      <c r="A355" s="22"/>
      <c r="B355" s="23"/>
      <c r="C355" s="22"/>
      <c r="D355" s="22"/>
      <c r="E355" s="22"/>
      <c r="F355" s="23"/>
      <c r="G355" s="22"/>
      <c r="H355" s="22"/>
      <c r="I355" s="22"/>
      <c r="J355" s="22"/>
      <c r="K355" s="22"/>
      <c r="L355" s="22"/>
      <c r="M355" s="22"/>
      <c r="N355" s="22"/>
    </row>
    <row r="356" spans="1:14" x14ac:dyDescent="0.25">
      <c r="A356" s="22"/>
      <c r="B356" s="23"/>
      <c r="C356" s="22"/>
      <c r="D356" s="22"/>
      <c r="E356" s="22"/>
      <c r="F356" s="23"/>
      <c r="G356" s="22"/>
      <c r="H356" s="22"/>
      <c r="I356" s="22"/>
      <c r="J356" s="22"/>
      <c r="K356" s="22"/>
      <c r="L356" s="22"/>
      <c r="M356" s="22"/>
      <c r="N356" s="22"/>
    </row>
    <row r="357" spans="1:14" x14ac:dyDescent="0.25">
      <c r="A357" s="22"/>
      <c r="B357" s="23"/>
      <c r="C357" s="22"/>
      <c r="D357" s="22"/>
      <c r="E357" s="22"/>
      <c r="F357" s="23"/>
      <c r="G357" s="22"/>
      <c r="H357" s="22"/>
      <c r="I357" s="22"/>
      <c r="J357" s="22"/>
      <c r="K357" s="22"/>
      <c r="L357" s="22"/>
      <c r="M357" s="22"/>
      <c r="N357" s="22"/>
    </row>
    <row r="358" spans="1:14" x14ac:dyDescent="0.25">
      <c r="A358" s="22"/>
      <c r="B358" s="23"/>
      <c r="C358" s="22"/>
      <c r="D358" s="22"/>
      <c r="E358" s="22"/>
      <c r="F358" s="23"/>
      <c r="G358" s="22"/>
      <c r="H358" s="22"/>
      <c r="I358" s="22"/>
      <c r="J358" s="22"/>
      <c r="K358" s="22"/>
      <c r="L358" s="22"/>
      <c r="M358" s="22"/>
      <c r="N358" s="22"/>
    </row>
    <row r="359" spans="1:14" x14ac:dyDescent="0.25">
      <c r="A359" s="22"/>
      <c r="B359" s="23"/>
      <c r="C359" s="22"/>
      <c r="D359" s="22"/>
      <c r="E359" s="22"/>
      <c r="F359" s="23"/>
      <c r="G359" s="22"/>
      <c r="H359" s="22"/>
      <c r="I359" s="22"/>
      <c r="J359" s="22"/>
      <c r="K359" s="22"/>
      <c r="L359" s="22"/>
      <c r="M359" s="22"/>
      <c r="N359" s="22"/>
    </row>
    <row r="360" spans="1:14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</row>
  </sheetData>
  <autoFilter ref="A1:N359"/>
  <conditionalFormatting sqref="M2:M359">
    <cfRule type="containsText" dxfId="8" priority="1" operator="containsText" text="☐">
      <formula>NOT(ISERROR(SEARCH("☐",M2)))</formula>
    </cfRule>
    <cfRule type="containsText" dxfId="7" priority="2" operator="containsText" text="☒">
      <formula>NOT(ISERROR(SEARCH("☒",M2)))</formula>
    </cfRule>
    <cfRule type="containsText" dxfId="6" priority="3" operator="containsText" text="☑">
      <formula>NOT(ISERROR(SEARCH("☑",M2)))</formula>
    </cfRule>
  </conditionalFormatting>
  <dataValidations count="4">
    <dataValidation type="list" allowBlank="1" showInputMessage="1" showErrorMessage="1" sqref="L2:L175">
      <formula1>"Летний,Летне-зимний"</formula1>
    </dataValidation>
    <dataValidation type="list" allowBlank="1" showInputMessage="1" showErrorMessage="1" sqref="M2:M359">
      <formula1>"☑,☒,☐"</formula1>
    </dataValidation>
    <dataValidation type="list" allowBlank="1" showInputMessage="1" showErrorMessage="1" sqref="I2:I175">
      <formula1>"ГСС,ГРФ,ГСТ,ВГСС,ВГРФ,Инвалид ВОВ,УОВ,ВБД,Реабил,ЖБЛ,ЧАЭС,Маяк,Семип,Узник,Семья с 2+ инв. I/II,Многодет. (5+ до 16),Одинокий ИД,Одинокая мать,Семья с РИ до 16 лет,Вдова погибшего воина,Родитель погибшего воина,Уход за РИ,"</formula1>
    </dataValidation>
    <dataValidation type="list" allowBlank="1" showInputMessage="1" showErrorMessage="1" sqref="F2:F175">
      <formula1>"Адмиралтейский,Василеостровский,Выборгский,Калининский,Кировский,Колпинский,Красногвардейский,Красносельский,Кронштадтский,Курортный,Московский,Невский,Петроградский,Петродворцовый,Приморский,Пушкинский,Фрунзенский,Центральный"</formula1>
    </dataValidation>
  </dataValidations>
  <pageMargins left="0.7" right="0.7" top="0.75" bottom="0.75" header="0.3" footer="0.3"/>
  <pageSetup paperSize="9" orientation="portrait" horizontalDpi="4294967295" verticalDpi="429496729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N999"/>
  <sheetViews>
    <sheetView workbookViewId="0">
      <pane ySplit="1" topLeftCell="A55" activePane="bottomLeft" state="frozen"/>
      <selection pane="bottomLeft" activeCell="L63" sqref="L63"/>
    </sheetView>
  </sheetViews>
  <sheetFormatPr defaultRowHeight="15" x14ac:dyDescent="0.25"/>
  <cols>
    <col min="1" max="1" width="3.85546875" style="5" customWidth="1"/>
    <col min="2" max="2" width="7.7109375" style="5" customWidth="1"/>
    <col min="3" max="3" width="10.42578125" style="5" customWidth="1"/>
    <col min="4" max="4" width="11.140625" style="5" customWidth="1"/>
    <col min="5" max="5" width="10.42578125" style="5" customWidth="1"/>
    <col min="6" max="6" width="16.7109375" style="5" customWidth="1"/>
    <col min="7" max="7" width="21.5703125" style="3" customWidth="1"/>
    <col min="8" max="8" width="25.140625" style="5" customWidth="1"/>
    <col min="9" max="9" width="16.140625" style="5" bestFit="1" customWidth="1"/>
    <col min="10" max="10" width="8.7109375" style="26" customWidth="1"/>
    <col min="11" max="11" width="10.7109375" style="5" customWidth="1"/>
    <col min="12" max="12" width="12.7109375" style="5" customWidth="1"/>
    <col min="13" max="13" width="10.28515625" style="5" customWidth="1"/>
    <col min="14" max="14" width="24.42578125" style="5" customWidth="1"/>
  </cols>
  <sheetData>
    <row r="1" spans="1:14" ht="51" customHeight="1" x14ac:dyDescent="0.25">
      <c r="A1" s="1" t="s">
        <v>14</v>
      </c>
      <c r="B1" s="1" t="s">
        <v>169</v>
      </c>
      <c r="C1" s="1" t="s">
        <v>2825</v>
      </c>
      <c r="D1" s="1" t="s">
        <v>3</v>
      </c>
      <c r="E1" s="1" t="s">
        <v>4</v>
      </c>
      <c r="F1" s="9" t="s">
        <v>5</v>
      </c>
      <c r="G1" s="1" t="s">
        <v>6</v>
      </c>
      <c r="H1" s="1" t="s">
        <v>7</v>
      </c>
      <c r="I1" s="1" t="s">
        <v>8</v>
      </c>
      <c r="J1" s="25" t="s">
        <v>9</v>
      </c>
      <c r="K1" s="1" t="s">
        <v>10</v>
      </c>
      <c r="L1" s="1" t="s">
        <v>11</v>
      </c>
      <c r="M1" s="9" t="s">
        <v>12</v>
      </c>
      <c r="N1" s="1" t="s">
        <v>13</v>
      </c>
    </row>
    <row r="2" spans="1:14" ht="25.5" customHeight="1" x14ac:dyDescent="0.25">
      <c r="A2" s="17">
        <v>1</v>
      </c>
      <c r="B2" s="16" t="s">
        <v>3274</v>
      </c>
      <c r="C2" s="17">
        <v>1</v>
      </c>
      <c r="D2" s="17">
        <v>13.9</v>
      </c>
      <c r="E2" s="17">
        <v>21.4</v>
      </c>
      <c r="F2" s="16" t="s">
        <v>101</v>
      </c>
      <c r="G2" s="17" t="s">
        <v>3275</v>
      </c>
      <c r="H2" s="17" t="s">
        <v>3276</v>
      </c>
      <c r="I2" s="17" t="s">
        <v>28</v>
      </c>
      <c r="J2" s="24" t="s">
        <v>3277</v>
      </c>
      <c r="K2" s="18">
        <v>46136</v>
      </c>
      <c r="L2" s="17" t="s">
        <v>24</v>
      </c>
      <c r="M2" s="7" t="s">
        <v>25</v>
      </c>
      <c r="N2" s="17"/>
    </row>
    <row r="3" spans="1:14" ht="63.75" customHeight="1" x14ac:dyDescent="0.25">
      <c r="A3" s="17">
        <v>2</v>
      </c>
      <c r="B3" s="16" t="s">
        <v>3274</v>
      </c>
      <c r="C3" s="17">
        <v>2</v>
      </c>
      <c r="D3" s="17">
        <v>8.6999999999999993</v>
      </c>
      <c r="E3" s="17"/>
      <c r="F3" s="16" t="s">
        <v>151</v>
      </c>
      <c r="G3" s="17" t="s">
        <v>3278</v>
      </c>
      <c r="H3" s="17" t="s">
        <v>3279</v>
      </c>
      <c r="I3" s="17" t="s">
        <v>34</v>
      </c>
      <c r="J3" s="24" t="s">
        <v>3280</v>
      </c>
      <c r="K3" s="18">
        <v>46137</v>
      </c>
      <c r="L3" s="17" t="s">
        <v>24</v>
      </c>
      <c r="M3" s="7" t="s">
        <v>25</v>
      </c>
      <c r="N3" s="17"/>
    </row>
    <row r="4" spans="1:14" ht="63.75" customHeight="1" x14ac:dyDescent="0.25">
      <c r="A4" s="17">
        <v>3</v>
      </c>
      <c r="B4" s="16" t="s">
        <v>3274</v>
      </c>
      <c r="C4" s="17">
        <v>3</v>
      </c>
      <c r="D4" s="17">
        <v>9.6</v>
      </c>
      <c r="E4" s="17"/>
      <c r="F4" s="16" t="s">
        <v>151</v>
      </c>
      <c r="G4" s="17" t="s">
        <v>3278</v>
      </c>
      <c r="H4" s="17" t="s">
        <v>3279</v>
      </c>
      <c r="I4" s="17" t="s">
        <v>34</v>
      </c>
      <c r="J4" s="24" t="s">
        <v>3280</v>
      </c>
      <c r="K4" s="18">
        <v>46137</v>
      </c>
      <c r="L4" s="17" t="s">
        <v>24</v>
      </c>
      <c r="M4" s="7" t="s">
        <v>25</v>
      </c>
      <c r="N4" s="17"/>
    </row>
    <row r="5" spans="1:14" ht="25.5" customHeight="1" x14ac:dyDescent="0.25">
      <c r="A5" s="17">
        <v>4</v>
      </c>
      <c r="B5" s="16" t="s">
        <v>3274</v>
      </c>
      <c r="C5" s="17">
        <v>4</v>
      </c>
      <c r="D5" s="17">
        <v>13.8</v>
      </c>
      <c r="E5" s="17">
        <v>11.1</v>
      </c>
      <c r="F5" s="16" t="s">
        <v>48</v>
      </c>
      <c r="G5" s="17" t="s">
        <v>3281</v>
      </c>
      <c r="H5" s="17" t="s">
        <v>3282</v>
      </c>
      <c r="I5" s="17" t="s">
        <v>22</v>
      </c>
      <c r="J5" s="24" t="s">
        <v>3283</v>
      </c>
      <c r="K5" s="18">
        <v>46137</v>
      </c>
      <c r="L5" s="17" t="s">
        <v>24</v>
      </c>
      <c r="M5" s="7" t="s">
        <v>25</v>
      </c>
      <c r="N5" s="17"/>
    </row>
    <row r="6" spans="1:14" ht="25.5" customHeight="1" x14ac:dyDescent="0.25">
      <c r="A6" s="17">
        <v>5</v>
      </c>
      <c r="B6" s="16" t="s">
        <v>3274</v>
      </c>
      <c r="C6" s="17">
        <v>5</v>
      </c>
      <c r="D6" s="17">
        <v>9</v>
      </c>
      <c r="E6" s="17"/>
      <c r="F6" s="16" t="s">
        <v>101</v>
      </c>
      <c r="G6" s="17" t="s">
        <v>3284</v>
      </c>
      <c r="H6" s="17" t="s">
        <v>3285</v>
      </c>
      <c r="I6" s="17" t="s">
        <v>28</v>
      </c>
      <c r="J6" s="24" t="s">
        <v>3286</v>
      </c>
      <c r="K6" s="18" t="s">
        <v>3287</v>
      </c>
      <c r="L6" s="17" t="s">
        <v>24</v>
      </c>
      <c r="M6" s="7" t="s">
        <v>25</v>
      </c>
      <c r="N6" s="17"/>
    </row>
    <row r="7" spans="1:14" ht="25.5" customHeight="1" x14ac:dyDescent="0.25">
      <c r="A7" s="17">
        <v>6</v>
      </c>
      <c r="B7" s="16" t="s">
        <v>3274</v>
      </c>
      <c r="C7" s="17">
        <v>6</v>
      </c>
      <c r="D7" s="17">
        <v>8.9</v>
      </c>
      <c r="E7" s="17"/>
      <c r="F7" s="16" t="s">
        <v>101</v>
      </c>
      <c r="G7" s="17" t="s">
        <v>3284</v>
      </c>
      <c r="H7" s="17" t="s">
        <v>3285</v>
      </c>
      <c r="I7" s="17" t="s">
        <v>28</v>
      </c>
      <c r="J7" s="24" t="s">
        <v>3286</v>
      </c>
      <c r="K7" s="18" t="s">
        <v>3287</v>
      </c>
      <c r="L7" s="17" t="s">
        <v>24</v>
      </c>
      <c r="M7" s="7" t="s">
        <v>25</v>
      </c>
      <c r="N7" s="17"/>
    </row>
    <row r="8" spans="1:14" ht="25.5" customHeight="1" x14ac:dyDescent="0.25">
      <c r="A8" s="17">
        <v>7</v>
      </c>
      <c r="B8" s="16" t="s">
        <v>3288</v>
      </c>
      <c r="C8" s="17">
        <v>1</v>
      </c>
      <c r="D8" s="17">
        <v>10.4</v>
      </c>
      <c r="E8" s="17"/>
      <c r="F8" s="16" t="s">
        <v>31</v>
      </c>
      <c r="G8" s="17" t="s">
        <v>3289</v>
      </c>
      <c r="H8" s="17" t="s">
        <v>3290</v>
      </c>
      <c r="I8" s="17" t="s">
        <v>28</v>
      </c>
      <c r="J8" s="24" t="s">
        <v>3291</v>
      </c>
      <c r="K8" s="18">
        <v>46157</v>
      </c>
      <c r="L8" s="17" t="s">
        <v>24</v>
      </c>
      <c r="M8" s="7" t="s">
        <v>25</v>
      </c>
      <c r="N8" s="17"/>
    </row>
    <row r="9" spans="1:14" ht="25.5" customHeight="1" x14ac:dyDescent="0.25">
      <c r="A9" s="17">
        <v>8</v>
      </c>
      <c r="B9" s="16" t="s">
        <v>3288</v>
      </c>
      <c r="C9" s="17">
        <v>2</v>
      </c>
      <c r="D9" s="17">
        <v>10.6</v>
      </c>
      <c r="E9" s="17"/>
      <c r="F9" s="16" t="s">
        <v>31</v>
      </c>
      <c r="G9" s="17" t="s">
        <v>3289</v>
      </c>
      <c r="H9" s="17" t="s">
        <v>3290</v>
      </c>
      <c r="I9" s="17" t="s">
        <v>28</v>
      </c>
      <c r="J9" s="24" t="s">
        <v>3291</v>
      </c>
      <c r="K9" s="18">
        <v>46157</v>
      </c>
      <c r="L9" s="17" t="s">
        <v>24</v>
      </c>
      <c r="M9" s="7" t="s">
        <v>25</v>
      </c>
      <c r="N9" s="17"/>
    </row>
    <row r="10" spans="1:14" ht="25.5" customHeight="1" x14ac:dyDescent="0.25">
      <c r="A10" s="17">
        <v>9</v>
      </c>
      <c r="B10" s="16" t="s">
        <v>3288</v>
      </c>
      <c r="C10" s="17">
        <v>3</v>
      </c>
      <c r="D10" s="17">
        <v>8.9</v>
      </c>
      <c r="E10" s="17"/>
      <c r="F10" s="16" t="s">
        <v>31</v>
      </c>
      <c r="G10" s="17" t="s">
        <v>3292</v>
      </c>
      <c r="H10" s="17" t="s">
        <v>3293</v>
      </c>
      <c r="I10" s="17" t="s">
        <v>28</v>
      </c>
      <c r="J10" s="24" t="s">
        <v>3294</v>
      </c>
      <c r="K10" s="18">
        <v>46144</v>
      </c>
      <c r="L10" s="17" t="s">
        <v>24</v>
      </c>
      <c r="M10" s="7" t="s">
        <v>25</v>
      </c>
      <c r="N10" s="17"/>
    </row>
    <row r="11" spans="1:14" ht="25.5" customHeight="1" x14ac:dyDescent="0.25">
      <c r="A11" s="17">
        <v>10</v>
      </c>
      <c r="B11" s="16" t="s">
        <v>3288</v>
      </c>
      <c r="C11" s="17">
        <v>4</v>
      </c>
      <c r="D11" s="17">
        <v>8.6</v>
      </c>
      <c r="E11" s="17"/>
      <c r="F11" s="16" t="s">
        <v>31</v>
      </c>
      <c r="G11" s="17" t="s">
        <v>3292</v>
      </c>
      <c r="H11" s="17" t="s">
        <v>3293</v>
      </c>
      <c r="I11" s="17" t="s">
        <v>28</v>
      </c>
      <c r="J11" s="24" t="s">
        <v>3294</v>
      </c>
      <c r="K11" s="18">
        <v>46144</v>
      </c>
      <c r="L11" s="17" t="s">
        <v>24</v>
      </c>
      <c r="M11" s="7" t="s">
        <v>25</v>
      </c>
      <c r="N11" s="17"/>
    </row>
    <row r="12" spans="1:14" ht="25.5" customHeight="1" x14ac:dyDescent="0.25">
      <c r="A12" s="17">
        <v>11</v>
      </c>
      <c r="B12" s="16" t="s">
        <v>3288</v>
      </c>
      <c r="C12" s="17">
        <v>5</v>
      </c>
      <c r="D12" s="17">
        <v>6</v>
      </c>
      <c r="E12" s="17"/>
      <c r="F12" s="16" t="s">
        <v>62</v>
      </c>
      <c r="G12" s="17" t="s">
        <v>3295</v>
      </c>
      <c r="H12" s="17" t="s">
        <v>3296</v>
      </c>
      <c r="I12" s="17" t="s">
        <v>51</v>
      </c>
      <c r="J12" s="24" t="s">
        <v>3297</v>
      </c>
      <c r="K12" s="18">
        <v>46137</v>
      </c>
      <c r="L12" s="17" t="s">
        <v>82</v>
      </c>
      <c r="M12" s="7" t="s">
        <v>25</v>
      </c>
      <c r="N12" s="17"/>
    </row>
    <row r="13" spans="1:14" ht="25.5" customHeight="1" x14ac:dyDescent="0.25">
      <c r="A13" s="17">
        <v>12</v>
      </c>
      <c r="B13" s="16" t="s">
        <v>3288</v>
      </c>
      <c r="C13" s="17">
        <v>6</v>
      </c>
      <c r="D13" s="17">
        <v>9.9</v>
      </c>
      <c r="E13" s="17"/>
      <c r="F13" s="16" t="s">
        <v>62</v>
      </c>
      <c r="G13" s="17" t="s">
        <v>3295</v>
      </c>
      <c r="H13" s="17" t="s">
        <v>3296</v>
      </c>
      <c r="I13" s="17" t="s">
        <v>51</v>
      </c>
      <c r="J13" s="24" t="s">
        <v>3297</v>
      </c>
      <c r="K13" s="18">
        <v>46137</v>
      </c>
      <c r="L13" s="17" t="s">
        <v>82</v>
      </c>
      <c r="M13" s="7" t="s">
        <v>25</v>
      </c>
      <c r="N13" s="17"/>
    </row>
    <row r="14" spans="1:14" ht="25.5" customHeight="1" x14ac:dyDescent="0.25">
      <c r="A14" s="17">
        <v>13</v>
      </c>
      <c r="B14" s="16" t="s">
        <v>3288</v>
      </c>
      <c r="C14" s="17">
        <v>7</v>
      </c>
      <c r="D14" s="17">
        <v>10.3</v>
      </c>
      <c r="E14" s="17"/>
      <c r="F14" s="16" t="s">
        <v>62</v>
      </c>
      <c r="G14" s="17" t="s">
        <v>3295</v>
      </c>
      <c r="H14" s="17" t="s">
        <v>3296</v>
      </c>
      <c r="I14" s="17" t="s">
        <v>51</v>
      </c>
      <c r="J14" s="24" t="s">
        <v>3297</v>
      </c>
      <c r="K14" s="18">
        <v>46137</v>
      </c>
      <c r="L14" s="17" t="s">
        <v>82</v>
      </c>
      <c r="M14" s="7" t="s">
        <v>25</v>
      </c>
      <c r="N14" s="17"/>
    </row>
    <row r="15" spans="1:14" ht="63.75" customHeight="1" x14ac:dyDescent="0.25">
      <c r="A15" s="17">
        <v>14</v>
      </c>
      <c r="B15" s="16" t="s">
        <v>3298</v>
      </c>
      <c r="C15" s="17">
        <v>3</v>
      </c>
      <c r="D15" s="17">
        <v>11.7</v>
      </c>
      <c r="E15" s="17">
        <v>11.1</v>
      </c>
      <c r="F15" s="16" t="s">
        <v>19</v>
      </c>
      <c r="G15" s="17" t="s">
        <v>3299</v>
      </c>
      <c r="H15" s="17" t="s">
        <v>3300</v>
      </c>
      <c r="I15" s="17" t="s">
        <v>34</v>
      </c>
      <c r="J15" s="24" t="s">
        <v>3301</v>
      </c>
      <c r="K15" s="18">
        <v>46133</v>
      </c>
      <c r="L15" s="17" t="s">
        <v>24</v>
      </c>
      <c r="M15" s="7" t="s">
        <v>25</v>
      </c>
      <c r="N15" s="17"/>
    </row>
    <row r="16" spans="1:14" ht="25.5" customHeight="1" x14ac:dyDescent="0.25">
      <c r="A16" s="17">
        <v>15</v>
      </c>
      <c r="B16" s="16" t="s">
        <v>3302</v>
      </c>
      <c r="C16" s="17">
        <v>1</v>
      </c>
      <c r="D16" s="17">
        <v>7.2</v>
      </c>
      <c r="E16" s="17">
        <v>11.4</v>
      </c>
      <c r="F16" s="16" t="s">
        <v>106</v>
      </c>
      <c r="G16" s="17" t="s">
        <v>3303</v>
      </c>
      <c r="H16" s="17" t="s">
        <v>3304</v>
      </c>
      <c r="I16" s="17" t="s">
        <v>28</v>
      </c>
      <c r="J16" s="24" t="s">
        <v>3305</v>
      </c>
      <c r="K16" s="18">
        <v>46148</v>
      </c>
      <c r="L16" s="17" t="s">
        <v>24</v>
      </c>
      <c r="M16" s="7" t="s">
        <v>25</v>
      </c>
      <c r="N16" s="17"/>
    </row>
    <row r="17" spans="1:14" ht="25.5" customHeight="1" x14ac:dyDescent="0.25">
      <c r="A17" s="17">
        <v>16</v>
      </c>
      <c r="B17" s="16" t="s">
        <v>3302</v>
      </c>
      <c r="C17" s="17">
        <v>2</v>
      </c>
      <c r="D17" s="17">
        <v>8.6999999999999993</v>
      </c>
      <c r="E17" s="17"/>
      <c r="F17" s="16" t="s">
        <v>106</v>
      </c>
      <c r="G17" s="17" t="s">
        <v>3303</v>
      </c>
      <c r="H17" s="17" t="s">
        <v>3304</v>
      </c>
      <c r="I17" s="17" t="s">
        <v>28</v>
      </c>
      <c r="J17" s="24" t="s">
        <v>3305</v>
      </c>
      <c r="K17" s="18">
        <v>46148</v>
      </c>
      <c r="L17" s="17" t="s">
        <v>24</v>
      </c>
      <c r="M17" s="7" t="s">
        <v>25</v>
      </c>
      <c r="N17" s="17"/>
    </row>
    <row r="18" spans="1:14" ht="63.75" customHeight="1" x14ac:dyDescent="0.25">
      <c r="A18" s="17">
        <v>17</v>
      </c>
      <c r="B18" s="16" t="s">
        <v>3302</v>
      </c>
      <c r="C18" s="17">
        <v>3</v>
      </c>
      <c r="D18" s="17">
        <v>12.5</v>
      </c>
      <c r="E18" s="17">
        <v>12.8</v>
      </c>
      <c r="F18" s="16" t="s">
        <v>126</v>
      </c>
      <c r="G18" s="17" t="s">
        <v>3306</v>
      </c>
      <c r="H18" s="17" t="s">
        <v>3307</v>
      </c>
      <c r="I18" s="17" t="s">
        <v>34</v>
      </c>
      <c r="J18" s="24" t="s">
        <v>3308</v>
      </c>
      <c r="K18" s="18">
        <v>46140</v>
      </c>
      <c r="L18" s="17" t="s">
        <v>82</v>
      </c>
      <c r="M18" s="7" t="s">
        <v>25</v>
      </c>
      <c r="N18" s="17"/>
    </row>
    <row r="19" spans="1:14" ht="63.75" customHeight="1" x14ac:dyDescent="0.25">
      <c r="A19" s="17">
        <v>18</v>
      </c>
      <c r="B19" s="16" t="s">
        <v>3302</v>
      </c>
      <c r="C19" s="17">
        <v>4</v>
      </c>
      <c r="D19" s="17">
        <v>8</v>
      </c>
      <c r="E19" s="17"/>
      <c r="F19" s="16" t="s">
        <v>126</v>
      </c>
      <c r="G19" s="17" t="s">
        <v>3306</v>
      </c>
      <c r="H19" s="17" t="s">
        <v>3307</v>
      </c>
      <c r="I19" s="17" t="s">
        <v>34</v>
      </c>
      <c r="J19" s="24" t="s">
        <v>3308</v>
      </c>
      <c r="K19" s="18">
        <v>46140</v>
      </c>
      <c r="L19" s="17" t="s">
        <v>82</v>
      </c>
      <c r="M19" s="7" t="s">
        <v>25</v>
      </c>
      <c r="N19" s="17"/>
    </row>
    <row r="20" spans="1:14" ht="63.75" customHeight="1" x14ac:dyDescent="0.25">
      <c r="A20" s="17">
        <v>19</v>
      </c>
      <c r="B20" s="16" t="s">
        <v>3302</v>
      </c>
      <c r="C20" s="17">
        <v>5</v>
      </c>
      <c r="D20" s="17">
        <v>8.4</v>
      </c>
      <c r="E20" s="17"/>
      <c r="F20" s="16" t="s">
        <v>126</v>
      </c>
      <c r="G20" s="17" t="s">
        <v>3309</v>
      </c>
      <c r="H20" s="17" t="s">
        <v>3310</v>
      </c>
      <c r="I20" s="17" t="s">
        <v>34</v>
      </c>
      <c r="J20" s="24" t="s">
        <v>3311</v>
      </c>
      <c r="K20" s="18" t="s">
        <v>3312</v>
      </c>
      <c r="L20" s="17" t="s">
        <v>24</v>
      </c>
      <c r="M20" s="7" t="s">
        <v>25</v>
      </c>
      <c r="N20" s="17"/>
    </row>
    <row r="21" spans="1:14" ht="63.75" customHeight="1" x14ac:dyDescent="0.25">
      <c r="A21" s="17">
        <v>20</v>
      </c>
      <c r="B21" s="16" t="s">
        <v>3302</v>
      </c>
      <c r="C21" s="17">
        <v>6</v>
      </c>
      <c r="D21" s="17">
        <v>13.5</v>
      </c>
      <c r="E21" s="17">
        <v>6.3</v>
      </c>
      <c r="F21" s="16" t="s">
        <v>126</v>
      </c>
      <c r="G21" s="17" t="s">
        <v>3309</v>
      </c>
      <c r="H21" s="17" t="s">
        <v>3310</v>
      </c>
      <c r="I21" s="17" t="s">
        <v>34</v>
      </c>
      <c r="J21" s="24" t="s">
        <v>3311</v>
      </c>
      <c r="K21" s="18" t="s">
        <v>3312</v>
      </c>
      <c r="L21" s="17" t="s">
        <v>24</v>
      </c>
      <c r="M21" s="7" t="s">
        <v>25</v>
      </c>
      <c r="N21" s="17"/>
    </row>
    <row r="22" spans="1:14" ht="25.5" customHeight="1" x14ac:dyDescent="0.25">
      <c r="A22" s="17">
        <v>21</v>
      </c>
      <c r="B22" s="16" t="s">
        <v>3302</v>
      </c>
      <c r="C22" s="17">
        <v>7</v>
      </c>
      <c r="D22" s="17">
        <v>8.3000000000000007</v>
      </c>
      <c r="E22" s="17"/>
      <c r="F22" s="16" t="s">
        <v>19</v>
      </c>
      <c r="G22" s="17" t="s">
        <v>3313</v>
      </c>
      <c r="H22" s="17" t="s">
        <v>3314</v>
      </c>
      <c r="I22" s="17" t="s">
        <v>28</v>
      </c>
      <c r="J22" s="24" t="s">
        <v>3315</v>
      </c>
      <c r="K22" s="18">
        <v>46150</v>
      </c>
      <c r="L22" s="17" t="s">
        <v>24</v>
      </c>
      <c r="M22" s="7" t="s">
        <v>25</v>
      </c>
      <c r="N22" s="17"/>
    </row>
    <row r="23" spans="1:14" ht="63.75" customHeight="1" x14ac:dyDescent="0.25">
      <c r="A23" s="17">
        <v>22</v>
      </c>
      <c r="B23" s="16" t="s">
        <v>3316</v>
      </c>
      <c r="C23" s="17">
        <v>3</v>
      </c>
      <c r="D23" s="17">
        <v>15</v>
      </c>
      <c r="E23" s="17">
        <v>12.6</v>
      </c>
      <c r="F23" s="16" t="s">
        <v>54</v>
      </c>
      <c r="G23" s="17" t="s">
        <v>3317</v>
      </c>
      <c r="H23" s="17" t="s">
        <v>3318</v>
      </c>
      <c r="I23" s="17" t="s">
        <v>34</v>
      </c>
      <c r="J23" s="24" t="s">
        <v>3319</v>
      </c>
      <c r="K23" s="18">
        <v>46141</v>
      </c>
      <c r="L23" s="17" t="s">
        <v>24</v>
      </c>
      <c r="M23" s="7" t="s">
        <v>25</v>
      </c>
      <c r="N23" s="17"/>
    </row>
    <row r="24" spans="1:14" ht="63.75" customHeight="1" x14ac:dyDescent="0.25">
      <c r="A24" s="17">
        <v>23</v>
      </c>
      <c r="B24" s="16" t="s">
        <v>3320</v>
      </c>
      <c r="C24" s="17">
        <v>1</v>
      </c>
      <c r="D24" s="17">
        <v>11</v>
      </c>
      <c r="E24" s="17"/>
      <c r="F24" s="16" t="s">
        <v>86</v>
      </c>
      <c r="G24" s="17" t="s">
        <v>3321</v>
      </c>
      <c r="H24" s="17" t="s">
        <v>3322</v>
      </c>
      <c r="I24" s="17" t="s">
        <v>34</v>
      </c>
      <c r="J24" s="24" t="s">
        <v>3323</v>
      </c>
      <c r="K24" s="18">
        <v>46135</v>
      </c>
      <c r="L24" s="17" t="s">
        <v>24</v>
      </c>
      <c r="M24" s="7" t="s">
        <v>25</v>
      </c>
      <c r="N24" s="17"/>
    </row>
    <row r="25" spans="1:14" ht="51" customHeight="1" x14ac:dyDescent="0.25">
      <c r="A25" s="17">
        <v>24</v>
      </c>
      <c r="B25" s="16" t="s">
        <v>3320</v>
      </c>
      <c r="C25" s="17">
        <v>10</v>
      </c>
      <c r="D25" s="17">
        <v>10.3</v>
      </c>
      <c r="E25" s="17"/>
      <c r="F25" s="16" t="s">
        <v>151</v>
      </c>
      <c r="G25" s="17" t="s">
        <v>3324</v>
      </c>
      <c r="H25" s="17" t="s">
        <v>3325</v>
      </c>
      <c r="I25" s="17" t="s">
        <v>34</v>
      </c>
      <c r="J25" s="24" t="s">
        <v>3326</v>
      </c>
      <c r="K25" s="18">
        <v>46138</v>
      </c>
      <c r="L25" s="17" t="s">
        <v>82</v>
      </c>
      <c r="M25" s="7" t="s">
        <v>25</v>
      </c>
      <c r="N25" s="17"/>
    </row>
    <row r="26" spans="1:14" ht="51" customHeight="1" x14ac:dyDescent="0.25">
      <c r="A26" s="17">
        <v>25</v>
      </c>
      <c r="B26" s="16" t="s">
        <v>3320</v>
      </c>
      <c r="C26" s="17">
        <v>11</v>
      </c>
      <c r="D26" s="17">
        <v>11.3</v>
      </c>
      <c r="E26" s="17"/>
      <c r="F26" s="16" t="s">
        <v>151</v>
      </c>
      <c r="G26" s="17" t="s">
        <v>3324</v>
      </c>
      <c r="H26" s="17" t="s">
        <v>3325</v>
      </c>
      <c r="I26" s="17" t="s">
        <v>34</v>
      </c>
      <c r="J26" s="24" t="s">
        <v>3326</v>
      </c>
      <c r="K26" s="18">
        <v>46138</v>
      </c>
      <c r="L26" s="17" t="s">
        <v>82</v>
      </c>
      <c r="M26" s="7" t="s">
        <v>25</v>
      </c>
      <c r="N26" s="17"/>
    </row>
    <row r="27" spans="1:14" ht="25.5" customHeight="1" x14ac:dyDescent="0.25">
      <c r="A27" s="17">
        <v>26</v>
      </c>
      <c r="B27" s="16" t="s">
        <v>3320</v>
      </c>
      <c r="C27" s="17">
        <v>6</v>
      </c>
      <c r="D27" s="17">
        <v>10.6</v>
      </c>
      <c r="E27" s="17"/>
      <c r="F27" s="16" t="s">
        <v>151</v>
      </c>
      <c r="G27" s="17" t="s">
        <v>3327</v>
      </c>
      <c r="H27" s="17" t="s">
        <v>3328</v>
      </c>
      <c r="I27" s="17" t="s">
        <v>28</v>
      </c>
      <c r="J27" s="24" t="s">
        <v>3329</v>
      </c>
      <c r="K27" s="18">
        <v>46137</v>
      </c>
      <c r="L27" s="17" t="s">
        <v>24</v>
      </c>
      <c r="M27" s="7" t="s">
        <v>25</v>
      </c>
      <c r="N27" s="17"/>
    </row>
    <row r="28" spans="1:14" ht="25.5" customHeight="1" x14ac:dyDescent="0.25">
      <c r="A28" s="17">
        <v>27</v>
      </c>
      <c r="B28" s="16" t="s">
        <v>3320</v>
      </c>
      <c r="C28" s="17">
        <v>7</v>
      </c>
      <c r="D28" s="17">
        <v>11.1</v>
      </c>
      <c r="E28" s="17"/>
      <c r="F28" s="16" t="s">
        <v>101</v>
      </c>
      <c r="G28" s="17" t="s">
        <v>3330</v>
      </c>
      <c r="H28" s="17" t="s">
        <v>3331</v>
      </c>
      <c r="I28" s="17" t="s">
        <v>267</v>
      </c>
      <c r="J28" s="24" t="s">
        <v>3332</v>
      </c>
      <c r="K28" s="18">
        <v>46149</v>
      </c>
      <c r="L28" s="17" t="s">
        <v>24</v>
      </c>
      <c r="M28" s="7" t="s">
        <v>25</v>
      </c>
      <c r="N28" s="17"/>
    </row>
    <row r="29" spans="1:14" ht="25.5" customHeight="1" x14ac:dyDescent="0.25">
      <c r="A29" s="17">
        <v>28</v>
      </c>
      <c r="B29" s="16" t="s">
        <v>3320</v>
      </c>
      <c r="C29" s="17">
        <v>8</v>
      </c>
      <c r="D29" s="17">
        <v>10.5</v>
      </c>
      <c r="E29" s="17"/>
      <c r="F29" s="16" t="s">
        <v>101</v>
      </c>
      <c r="G29" s="17" t="s">
        <v>3330</v>
      </c>
      <c r="H29" s="17" t="s">
        <v>3331</v>
      </c>
      <c r="I29" s="17" t="s">
        <v>267</v>
      </c>
      <c r="J29" s="24" t="s">
        <v>3332</v>
      </c>
      <c r="K29" s="18">
        <v>46149</v>
      </c>
      <c r="L29" s="17" t="s">
        <v>24</v>
      </c>
      <c r="M29" s="7" t="s">
        <v>25</v>
      </c>
      <c r="N29" s="17"/>
    </row>
    <row r="30" spans="1:14" x14ac:dyDescent="0.25">
      <c r="A30" s="17">
        <v>29</v>
      </c>
      <c r="B30" s="16" t="s">
        <v>3320</v>
      </c>
      <c r="C30" s="17">
        <v>9</v>
      </c>
      <c r="D30" s="17">
        <v>12.4</v>
      </c>
      <c r="E30" s="17">
        <v>6.2</v>
      </c>
      <c r="F30" s="16" t="s">
        <v>48</v>
      </c>
      <c r="G30" s="17" t="s">
        <v>3333</v>
      </c>
      <c r="H30" s="17" t="s">
        <v>3334</v>
      </c>
      <c r="I30" s="17" t="s">
        <v>662</v>
      </c>
      <c r="J30" s="24" t="s">
        <v>3335</v>
      </c>
      <c r="K30" s="18">
        <v>46154</v>
      </c>
      <c r="L30" s="17" t="s">
        <v>24</v>
      </c>
      <c r="M30" s="7" t="s">
        <v>25</v>
      </c>
      <c r="N30" s="17"/>
    </row>
    <row r="31" spans="1:14" ht="25.5" customHeight="1" x14ac:dyDescent="0.25">
      <c r="A31" s="17">
        <v>30</v>
      </c>
      <c r="B31" s="16" t="s">
        <v>3336</v>
      </c>
      <c r="C31" s="17">
        <v>1</v>
      </c>
      <c r="D31" s="17">
        <v>12.5</v>
      </c>
      <c r="E31" s="17"/>
      <c r="F31" s="16" t="s">
        <v>19</v>
      </c>
      <c r="G31" s="17" t="s">
        <v>3337</v>
      </c>
      <c r="H31" s="17" t="s">
        <v>3338</v>
      </c>
      <c r="I31" s="17" t="s">
        <v>28</v>
      </c>
      <c r="J31" s="24" t="s">
        <v>3339</v>
      </c>
      <c r="K31" s="18">
        <v>46140</v>
      </c>
      <c r="L31" s="17" t="s">
        <v>24</v>
      </c>
      <c r="M31" s="7" t="s">
        <v>25</v>
      </c>
      <c r="N31" s="17"/>
    </row>
    <row r="32" spans="1:14" ht="25.5" customHeight="1" x14ac:dyDescent="0.25">
      <c r="A32" s="17">
        <v>31</v>
      </c>
      <c r="B32" s="16" t="s">
        <v>3336</v>
      </c>
      <c r="C32" s="17">
        <v>10</v>
      </c>
      <c r="D32" s="17">
        <v>11.3</v>
      </c>
      <c r="E32" s="17"/>
      <c r="F32" s="16" t="s">
        <v>162</v>
      </c>
      <c r="G32" s="17" t="s">
        <v>3340</v>
      </c>
      <c r="H32" s="17" t="s">
        <v>3341</v>
      </c>
      <c r="I32" s="17" t="s">
        <v>28</v>
      </c>
      <c r="J32" s="24" t="s">
        <v>3342</v>
      </c>
      <c r="K32" s="18">
        <v>46137</v>
      </c>
      <c r="L32" s="17" t="s">
        <v>24</v>
      </c>
      <c r="M32" s="7" t="s">
        <v>25</v>
      </c>
      <c r="N32" s="17"/>
    </row>
    <row r="33" spans="1:14" ht="25.5" customHeight="1" x14ac:dyDescent="0.25">
      <c r="A33" s="17">
        <v>32</v>
      </c>
      <c r="B33" s="16" t="s">
        <v>3336</v>
      </c>
      <c r="C33" s="17">
        <v>11</v>
      </c>
      <c r="D33" s="17">
        <v>11.8</v>
      </c>
      <c r="E33" s="17"/>
      <c r="F33" s="16" t="s">
        <v>106</v>
      </c>
      <c r="G33" s="17" t="s">
        <v>3343</v>
      </c>
      <c r="H33" s="17" t="s">
        <v>3344</v>
      </c>
      <c r="I33" s="17" t="s">
        <v>2304</v>
      </c>
      <c r="J33" s="24" t="s">
        <v>3345</v>
      </c>
      <c r="K33" s="18">
        <v>46165</v>
      </c>
      <c r="L33" s="17" t="s">
        <v>24</v>
      </c>
      <c r="M33" s="7" t="s">
        <v>25</v>
      </c>
      <c r="N33" s="17"/>
    </row>
    <row r="34" spans="1:14" ht="25.5" customHeight="1" x14ac:dyDescent="0.25">
      <c r="A34" s="17">
        <v>33</v>
      </c>
      <c r="B34" s="16" t="s">
        <v>3336</v>
      </c>
      <c r="C34" s="17">
        <v>2</v>
      </c>
      <c r="D34" s="17">
        <v>8.6</v>
      </c>
      <c r="E34" s="17"/>
      <c r="F34" s="16" t="s">
        <v>126</v>
      </c>
      <c r="G34" s="17" t="s">
        <v>3346</v>
      </c>
      <c r="H34" s="17" t="s">
        <v>3347</v>
      </c>
      <c r="I34" s="17" t="s">
        <v>28</v>
      </c>
      <c r="J34" s="24" t="s">
        <v>3348</v>
      </c>
      <c r="K34" s="18">
        <v>46133</v>
      </c>
      <c r="L34" s="17" t="s">
        <v>24</v>
      </c>
      <c r="M34" s="7" t="s">
        <v>25</v>
      </c>
      <c r="N34" s="17"/>
    </row>
    <row r="35" spans="1:14" ht="25.5" customHeight="1" x14ac:dyDescent="0.25">
      <c r="A35" s="17">
        <v>34</v>
      </c>
      <c r="B35" s="16" t="s">
        <v>3336</v>
      </c>
      <c r="C35" s="17">
        <v>3</v>
      </c>
      <c r="D35" s="17">
        <v>10.9</v>
      </c>
      <c r="E35" s="17">
        <v>7.5</v>
      </c>
      <c r="F35" s="16" t="s">
        <v>126</v>
      </c>
      <c r="G35" s="17" t="s">
        <v>3346</v>
      </c>
      <c r="H35" s="17" t="s">
        <v>3347</v>
      </c>
      <c r="I35" s="17" t="s">
        <v>28</v>
      </c>
      <c r="J35" s="24" t="s">
        <v>3348</v>
      </c>
      <c r="K35" s="18">
        <v>46133</v>
      </c>
      <c r="L35" s="17" t="s">
        <v>24</v>
      </c>
      <c r="M35" s="7" t="s">
        <v>25</v>
      </c>
      <c r="N35" s="17"/>
    </row>
    <row r="36" spans="1:14" ht="25.5" customHeight="1" x14ac:dyDescent="0.25">
      <c r="A36" s="17">
        <v>35</v>
      </c>
      <c r="B36" s="16" t="s">
        <v>3336</v>
      </c>
      <c r="C36" s="17">
        <v>4</v>
      </c>
      <c r="D36" s="17">
        <v>18.3</v>
      </c>
      <c r="E36" s="17">
        <v>7.5</v>
      </c>
      <c r="F36" s="16" t="s">
        <v>106</v>
      </c>
      <c r="G36" s="17" t="s">
        <v>3349</v>
      </c>
      <c r="H36" s="17" t="s">
        <v>3350</v>
      </c>
      <c r="I36" s="17" t="s">
        <v>28</v>
      </c>
      <c r="J36" s="24" t="s">
        <v>3351</v>
      </c>
      <c r="K36" s="18">
        <v>46147</v>
      </c>
      <c r="L36" s="17" t="s">
        <v>24</v>
      </c>
      <c r="M36" s="7" t="s">
        <v>25</v>
      </c>
      <c r="N36" s="17"/>
    </row>
    <row r="37" spans="1:14" ht="25.5" customHeight="1" x14ac:dyDescent="0.25">
      <c r="A37" s="17">
        <v>36</v>
      </c>
      <c r="B37" s="16" t="s">
        <v>3336</v>
      </c>
      <c r="C37" s="17">
        <v>5</v>
      </c>
      <c r="D37" s="17">
        <v>11.5</v>
      </c>
      <c r="E37" s="17"/>
      <c r="F37" s="16" t="s">
        <v>151</v>
      </c>
      <c r="G37" s="17" t="s">
        <v>3352</v>
      </c>
      <c r="H37" s="17" t="s">
        <v>3353</v>
      </c>
      <c r="I37" s="17" t="s">
        <v>28</v>
      </c>
      <c r="J37" s="24" t="s">
        <v>3354</v>
      </c>
      <c r="K37" s="18">
        <v>46157</v>
      </c>
      <c r="L37" s="17" t="s">
        <v>24</v>
      </c>
      <c r="M37" s="7" t="s">
        <v>25</v>
      </c>
      <c r="N37" s="17"/>
    </row>
    <row r="38" spans="1:14" ht="25.5" customHeight="1" x14ac:dyDescent="0.25">
      <c r="A38" s="17">
        <v>37</v>
      </c>
      <c r="B38" s="16" t="s">
        <v>3336</v>
      </c>
      <c r="C38" s="17">
        <v>6</v>
      </c>
      <c r="D38" s="17">
        <v>10.4</v>
      </c>
      <c r="E38" s="17"/>
      <c r="F38" s="16" t="s">
        <v>62</v>
      </c>
      <c r="G38" s="17" t="s">
        <v>3355</v>
      </c>
      <c r="H38" s="17" t="s">
        <v>3356</v>
      </c>
      <c r="I38" s="17" t="s">
        <v>22</v>
      </c>
      <c r="J38" s="24" t="s">
        <v>3357</v>
      </c>
      <c r="K38" s="18">
        <v>46134</v>
      </c>
      <c r="L38" s="17" t="s">
        <v>24</v>
      </c>
      <c r="M38" s="7" t="s">
        <v>25</v>
      </c>
      <c r="N38" s="17"/>
    </row>
    <row r="39" spans="1:14" ht="38.25" customHeight="1" x14ac:dyDescent="0.25">
      <c r="A39" s="17">
        <v>38</v>
      </c>
      <c r="B39" s="16" t="s">
        <v>3336</v>
      </c>
      <c r="C39" s="17">
        <v>7</v>
      </c>
      <c r="D39" s="17">
        <v>18.3</v>
      </c>
      <c r="E39" s="17"/>
      <c r="F39" s="16" t="s">
        <v>338</v>
      </c>
      <c r="G39" s="17" t="s">
        <v>3358</v>
      </c>
      <c r="H39" s="17" t="s">
        <v>3359</v>
      </c>
      <c r="I39" s="17" t="s">
        <v>34</v>
      </c>
      <c r="J39" s="24" t="s">
        <v>3360</v>
      </c>
      <c r="K39" s="18" t="s">
        <v>3287</v>
      </c>
      <c r="L39" s="17" t="s">
        <v>82</v>
      </c>
      <c r="M39" s="7" t="s">
        <v>25</v>
      </c>
      <c r="N39" s="17"/>
    </row>
    <row r="40" spans="1:14" ht="25.5" customHeight="1" x14ac:dyDescent="0.25">
      <c r="A40" s="17">
        <v>39</v>
      </c>
      <c r="B40" s="16" t="s">
        <v>3336</v>
      </c>
      <c r="C40" s="17">
        <v>8</v>
      </c>
      <c r="D40" s="17">
        <v>8</v>
      </c>
      <c r="E40" s="17"/>
      <c r="F40" s="16" t="s">
        <v>162</v>
      </c>
      <c r="G40" s="17" t="s">
        <v>3340</v>
      </c>
      <c r="H40" s="17" t="s">
        <v>3341</v>
      </c>
      <c r="I40" s="17" t="s">
        <v>28</v>
      </c>
      <c r="J40" s="24" t="s">
        <v>3342</v>
      </c>
      <c r="K40" s="18">
        <v>46137</v>
      </c>
      <c r="L40" s="17" t="s">
        <v>24</v>
      </c>
      <c r="M40" s="7" t="s">
        <v>25</v>
      </c>
      <c r="N40" s="17"/>
    </row>
    <row r="41" spans="1:14" ht="63.75" customHeight="1" x14ac:dyDescent="0.25">
      <c r="A41" s="17">
        <v>40</v>
      </c>
      <c r="B41" s="16" t="s">
        <v>3336</v>
      </c>
      <c r="C41" s="17">
        <v>9</v>
      </c>
      <c r="D41" s="17">
        <v>17.600000000000001</v>
      </c>
      <c r="E41" s="17">
        <v>6.5</v>
      </c>
      <c r="F41" s="16" t="s">
        <v>162</v>
      </c>
      <c r="G41" s="17" t="s">
        <v>3361</v>
      </c>
      <c r="H41" s="17" t="s">
        <v>3362</v>
      </c>
      <c r="I41" s="17" t="s">
        <v>34</v>
      </c>
      <c r="J41" s="24" t="s">
        <v>3363</v>
      </c>
      <c r="K41" s="18">
        <v>46137</v>
      </c>
      <c r="L41" s="17" t="s">
        <v>24</v>
      </c>
      <c r="M41" s="7" t="s">
        <v>25</v>
      </c>
      <c r="N41" s="17"/>
    </row>
    <row r="42" spans="1:14" ht="25.5" customHeight="1" x14ac:dyDescent="0.25">
      <c r="A42" s="17">
        <v>41</v>
      </c>
      <c r="B42" s="16" t="s">
        <v>3364</v>
      </c>
      <c r="C42" s="17">
        <v>1</v>
      </c>
      <c r="D42" s="17">
        <v>15.5</v>
      </c>
      <c r="E42" s="17"/>
      <c r="F42" s="16" t="s">
        <v>31</v>
      </c>
      <c r="G42" s="17" t="s">
        <v>3365</v>
      </c>
      <c r="H42" s="17" t="s">
        <v>3366</v>
      </c>
      <c r="I42" s="17" t="s">
        <v>28</v>
      </c>
      <c r="J42" s="24" t="s">
        <v>3367</v>
      </c>
      <c r="K42" s="18">
        <v>46133</v>
      </c>
      <c r="L42" s="17" t="s">
        <v>82</v>
      </c>
      <c r="M42" s="7" t="s">
        <v>25</v>
      </c>
      <c r="N42" s="17"/>
    </row>
    <row r="43" spans="1:14" ht="63.75" customHeight="1" x14ac:dyDescent="0.25">
      <c r="A43" s="17">
        <v>42</v>
      </c>
      <c r="B43" s="16" t="s">
        <v>3364</v>
      </c>
      <c r="C43" s="17">
        <v>10</v>
      </c>
      <c r="D43" s="17">
        <v>10.199999999999999</v>
      </c>
      <c r="E43" s="17"/>
      <c r="F43" s="16" t="s">
        <v>101</v>
      </c>
      <c r="G43" s="17" t="s">
        <v>3368</v>
      </c>
      <c r="H43" s="17" t="s">
        <v>3369</v>
      </c>
      <c r="I43" s="17" t="s">
        <v>34</v>
      </c>
      <c r="J43" s="24" t="s">
        <v>3370</v>
      </c>
      <c r="K43" s="18">
        <v>46149</v>
      </c>
      <c r="L43" s="17" t="s">
        <v>82</v>
      </c>
      <c r="M43" s="7" t="s">
        <v>25</v>
      </c>
      <c r="N43" s="17"/>
    </row>
    <row r="44" spans="1:14" ht="63.75" customHeight="1" x14ac:dyDescent="0.25">
      <c r="A44" s="17">
        <v>43</v>
      </c>
      <c r="B44" s="16" t="s">
        <v>3364</v>
      </c>
      <c r="C44" s="17">
        <v>11</v>
      </c>
      <c r="D44" s="17">
        <v>9.1</v>
      </c>
      <c r="E44" s="17"/>
      <c r="F44" s="16" t="s">
        <v>101</v>
      </c>
      <c r="G44" s="17" t="s">
        <v>3368</v>
      </c>
      <c r="H44" s="17" t="s">
        <v>3369</v>
      </c>
      <c r="I44" s="17" t="s">
        <v>34</v>
      </c>
      <c r="J44" s="24" t="s">
        <v>3370</v>
      </c>
      <c r="K44" s="18">
        <v>46149</v>
      </c>
      <c r="L44" s="17" t="s">
        <v>82</v>
      </c>
      <c r="M44" s="7" t="s">
        <v>25</v>
      </c>
      <c r="N44" s="17"/>
    </row>
    <row r="45" spans="1:14" ht="63.75" customHeight="1" x14ac:dyDescent="0.25">
      <c r="A45" s="17">
        <v>44</v>
      </c>
      <c r="B45" s="16" t="s">
        <v>3364</v>
      </c>
      <c r="C45" s="17">
        <v>12</v>
      </c>
      <c r="D45" s="17">
        <v>11.9</v>
      </c>
      <c r="E45" s="17"/>
      <c r="F45" s="16" t="s">
        <v>151</v>
      </c>
      <c r="G45" s="17" t="s">
        <v>3371</v>
      </c>
      <c r="H45" s="17" t="s">
        <v>3372</v>
      </c>
      <c r="I45" s="17" t="s">
        <v>34</v>
      </c>
      <c r="J45" s="24" t="s">
        <v>3373</v>
      </c>
      <c r="K45" s="18">
        <v>46144</v>
      </c>
      <c r="L45" s="17" t="s">
        <v>82</v>
      </c>
      <c r="M45" s="7" t="s">
        <v>25</v>
      </c>
      <c r="N45" s="17"/>
    </row>
    <row r="46" spans="1:14" ht="51" customHeight="1" x14ac:dyDescent="0.25">
      <c r="A46" s="17">
        <v>45</v>
      </c>
      <c r="B46" s="16" t="s">
        <v>3364</v>
      </c>
      <c r="C46" s="17">
        <v>13</v>
      </c>
      <c r="D46" s="17">
        <v>15.1</v>
      </c>
      <c r="E46" s="17"/>
      <c r="F46" s="16" t="s">
        <v>101</v>
      </c>
      <c r="G46" s="17" t="s">
        <v>3374</v>
      </c>
      <c r="H46" s="17" t="s">
        <v>3375</v>
      </c>
      <c r="I46" s="17" t="s">
        <v>34</v>
      </c>
      <c r="J46" s="24" t="s">
        <v>3376</v>
      </c>
      <c r="K46" s="18">
        <v>46133</v>
      </c>
      <c r="L46" s="17" t="s">
        <v>82</v>
      </c>
      <c r="M46" s="7" t="s">
        <v>25</v>
      </c>
      <c r="N46" s="17"/>
    </row>
    <row r="47" spans="1:14" ht="25.5" customHeight="1" x14ac:dyDescent="0.25">
      <c r="A47" s="17">
        <v>46</v>
      </c>
      <c r="B47" s="16" t="s">
        <v>3364</v>
      </c>
      <c r="C47" s="17">
        <v>14</v>
      </c>
      <c r="D47" s="17">
        <v>10.7</v>
      </c>
      <c r="E47" s="17"/>
      <c r="F47" s="16" t="s">
        <v>48</v>
      </c>
      <c r="G47" s="17" t="s">
        <v>3377</v>
      </c>
      <c r="H47" s="17" t="s">
        <v>3378</v>
      </c>
      <c r="I47" s="17" t="s">
        <v>28</v>
      </c>
      <c r="J47" s="24" t="s">
        <v>3379</v>
      </c>
      <c r="K47" s="18">
        <v>46134</v>
      </c>
      <c r="L47" s="17" t="s">
        <v>82</v>
      </c>
      <c r="M47" s="7" t="s">
        <v>25</v>
      </c>
      <c r="N47" s="17"/>
    </row>
    <row r="48" spans="1:14" ht="25.5" customHeight="1" x14ac:dyDescent="0.25">
      <c r="A48" s="17">
        <v>47</v>
      </c>
      <c r="B48" s="16" t="s">
        <v>3364</v>
      </c>
      <c r="C48" s="17">
        <v>15</v>
      </c>
      <c r="D48" s="17">
        <v>10.1</v>
      </c>
      <c r="E48" s="17"/>
      <c r="F48" s="16" t="s">
        <v>48</v>
      </c>
      <c r="G48" s="17" t="s">
        <v>3377</v>
      </c>
      <c r="H48" s="17" t="s">
        <v>3378</v>
      </c>
      <c r="I48" s="17" t="s">
        <v>28</v>
      </c>
      <c r="J48" s="24" t="s">
        <v>3379</v>
      </c>
      <c r="K48" s="18">
        <v>46134</v>
      </c>
      <c r="L48" s="17" t="s">
        <v>82</v>
      </c>
      <c r="M48" s="7" t="s">
        <v>25</v>
      </c>
      <c r="N48" s="17"/>
    </row>
    <row r="49" spans="1:14" ht="25.5" customHeight="1" x14ac:dyDescent="0.25">
      <c r="A49" s="17">
        <v>48</v>
      </c>
      <c r="B49" s="16" t="s">
        <v>3364</v>
      </c>
      <c r="C49" s="17">
        <v>2</v>
      </c>
      <c r="D49" s="17">
        <v>7.9</v>
      </c>
      <c r="E49" s="17"/>
      <c r="F49" s="16" t="s">
        <v>31</v>
      </c>
      <c r="G49" s="17" t="s">
        <v>3365</v>
      </c>
      <c r="H49" s="17" t="s">
        <v>3366</v>
      </c>
      <c r="I49" s="17" t="s">
        <v>28</v>
      </c>
      <c r="J49" s="24" t="s">
        <v>3367</v>
      </c>
      <c r="K49" s="18">
        <v>46133</v>
      </c>
      <c r="L49" s="17" t="s">
        <v>82</v>
      </c>
      <c r="M49" s="7" t="s">
        <v>25</v>
      </c>
      <c r="N49" s="17"/>
    </row>
    <row r="50" spans="1:14" ht="25.5" customHeight="1" x14ac:dyDescent="0.25">
      <c r="A50" s="17">
        <v>49</v>
      </c>
      <c r="B50" s="16" t="s">
        <v>3364</v>
      </c>
      <c r="C50" s="17">
        <v>3</v>
      </c>
      <c r="D50" s="16">
        <v>9.4</v>
      </c>
      <c r="E50" s="16"/>
      <c r="F50" s="16" t="s">
        <v>338</v>
      </c>
      <c r="G50" s="17" t="s">
        <v>3380</v>
      </c>
      <c r="H50" s="17" t="s">
        <v>3381</v>
      </c>
      <c r="I50" s="17" t="s">
        <v>22</v>
      </c>
      <c r="J50" s="24" t="s">
        <v>3382</v>
      </c>
      <c r="K50" s="17" t="s">
        <v>3383</v>
      </c>
      <c r="L50" s="17" t="s">
        <v>82</v>
      </c>
      <c r="M50" s="7" t="s">
        <v>25</v>
      </c>
      <c r="N50" s="17"/>
    </row>
    <row r="51" spans="1:14" ht="25.5" customHeight="1" x14ac:dyDescent="0.25">
      <c r="A51" s="17">
        <v>50</v>
      </c>
      <c r="B51" s="16" t="s">
        <v>3364</v>
      </c>
      <c r="C51" s="17">
        <v>4</v>
      </c>
      <c r="D51" s="17">
        <v>10.3</v>
      </c>
      <c r="E51" s="17"/>
      <c r="F51" s="16" t="s">
        <v>338</v>
      </c>
      <c r="G51" s="17" t="s">
        <v>3384</v>
      </c>
      <c r="H51" s="17" t="s">
        <v>3385</v>
      </c>
      <c r="I51" s="17" t="s">
        <v>28</v>
      </c>
      <c r="J51" s="24" t="s">
        <v>3386</v>
      </c>
      <c r="K51" s="18">
        <v>46140</v>
      </c>
      <c r="L51" s="17" t="s">
        <v>82</v>
      </c>
      <c r="M51" s="7" t="s">
        <v>25</v>
      </c>
      <c r="N51" s="17"/>
    </row>
    <row r="52" spans="1:14" ht="51" customHeight="1" x14ac:dyDescent="0.25">
      <c r="A52" s="17">
        <v>51</v>
      </c>
      <c r="B52" s="16" t="s">
        <v>3364</v>
      </c>
      <c r="C52" s="17">
        <v>5</v>
      </c>
      <c r="D52" s="17">
        <v>14.8</v>
      </c>
      <c r="E52" s="17">
        <v>11.8</v>
      </c>
      <c r="F52" s="16" t="s">
        <v>101</v>
      </c>
      <c r="G52" s="17" t="s">
        <v>3387</v>
      </c>
      <c r="H52" s="17" t="s">
        <v>3388</v>
      </c>
      <c r="I52" s="17" t="s">
        <v>34</v>
      </c>
      <c r="J52" s="24" t="s">
        <v>3389</v>
      </c>
      <c r="K52" s="18">
        <v>46142</v>
      </c>
      <c r="L52" s="17" t="s">
        <v>82</v>
      </c>
      <c r="M52" s="7" t="s">
        <v>25</v>
      </c>
      <c r="N52" s="17"/>
    </row>
    <row r="53" spans="1:14" ht="51" customHeight="1" x14ac:dyDescent="0.25">
      <c r="A53" s="17">
        <v>52</v>
      </c>
      <c r="B53" s="16" t="s">
        <v>3364</v>
      </c>
      <c r="C53" s="17">
        <v>6</v>
      </c>
      <c r="D53" s="17">
        <v>24.6</v>
      </c>
      <c r="E53" s="17">
        <v>21.9</v>
      </c>
      <c r="F53" s="16" t="s">
        <v>126</v>
      </c>
      <c r="G53" s="17" t="s">
        <v>3390</v>
      </c>
      <c r="H53" s="17" t="s">
        <v>3391</v>
      </c>
      <c r="I53" s="17" t="s">
        <v>34</v>
      </c>
      <c r="J53" s="24" t="s">
        <v>3392</v>
      </c>
      <c r="K53" s="18">
        <v>46134</v>
      </c>
      <c r="L53" s="17" t="s">
        <v>82</v>
      </c>
      <c r="M53" s="7" t="s">
        <v>25</v>
      </c>
      <c r="N53" s="17"/>
    </row>
    <row r="54" spans="1:14" ht="25.5" customHeight="1" x14ac:dyDescent="0.25">
      <c r="A54" s="17">
        <v>53</v>
      </c>
      <c r="B54" s="16" t="s">
        <v>3364</v>
      </c>
      <c r="C54" s="17">
        <v>7</v>
      </c>
      <c r="D54" s="17">
        <v>14.1</v>
      </c>
      <c r="E54" s="17">
        <v>8.1999999999999993</v>
      </c>
      <c r="F54" s="16" t="s">
        <v>151</v>
      </c>
      <c r="G54" s="17" t="s">
        <v>3393</v>
      </c>
      <c r="H54" s="17" t="s">
        <v>3394</v>
      </c>
      <c r="I54" s="17" t="s">
        <v>28</v>
      </c>
      <c r="J54" s="24" t="s">
        <v>3395</v>
      </c>
      <c r="K54" s="18">
        <v>46137</v>
      </c>
      <c r="L54" s="17" t="s">
        <v>82</v>
      </c>
      <c r="M54" s="7" t="s">
        <v>25</v>
      </c>
      <c r="N54" s="17"/>
    </row>
    <row r="55" spans="1:14" ht="51" customHeight="1" x14ac:dyDescent="0.25">
      <c r="A55" s="17">
        <v>54</v>
      </c>
      <c r="B55" s="16" t="s">
        <v>3364</v>
      </c>
      <c r="C55" s="17">
        <v>8</v>
      </c>
      <c r="D55" s="17">
        <v>9.6</v>
      </c>
      <c r="E55" s="17"/>
      <c r="F55" s="16" t="s">
        <v>31</v>
      </c>
      <c r="G55" s="17" t="s">
        <v>3396</v>
      </c>
      <c r="H55" s="17" t="s">
        <v>3397</v>
      </c>
      <c r="I55" s="17" t="s">
        <v>34</v>
      </c>
      <c r="J55" s="24" t="s">
        <v>3398</v>
      </c>
      <c r="K55" s="18">
        <v>46134</v>
      </c>
      <c r="L55" s="17" t="s">
        <v>82</v>
      </c>
      <c r="M55" s="7" t="s">
        <v>25</v>
      </c>
      <c r="N55" s="17"/>
    </row>
    <row r="56" spans="1:14" ht="51" customHeight="1" x14ac:dyDescent="0.25">
      <c r="A56" s="17">
        <v>55</v>
      </c>
      <c r="B56" s="16" t="s">
        <v>3364</v>
      </c>
      <c r="C56" s="17">
        <v>9</v>
      </c>
      <c r="D56" s="17">
        <v>12.7</v>
      </c>
      <c r="E56" s="17"/>
      <c r="F56" s="16" t="s">
        <v>31</v>
      </c>
      <c r="G56" s="17" t="s">
        <v>3396</v>
      </c>
      <c r="H56" s="17" t="s">
        <v>3397</v>
      </c>
      <c r="I56" s="17" t="s">
        <v>34</v>
      </c>
      <c r="J56" s="24" t="s">
        <v>3398</v>
      </c>
      <c r="K56" s="18">
        <v>46134</v>
      </c>
      <c r="L56" s="17" t="s">
        <v>82</v>
      </c>
      <c r="M56" s="7" t="s">
        <v>25</v>
      </c>
      <c r="N56" s="17"/>
    </row>
    <row r="57" spans="1:14" ht="25.5" customHeight="1" x14ac:dyDescent="0.25">
      <c r="A57" s="17">
        <v>56</v>
      </c>
      <c r="B57" s="16" t="s">
        <v>3399</v>
      </c>
      <c r="C57" s="17">
        <v>1</v>
      </c>
      <c r="D57" s="17">
        <v>8.9</v>
      </c>
      <c r="E57" s="17"/>
      <c r="F57" s="16" t="s">
        <v>19</v>
      </c>
      <c r="G57" s="17" t="s">
        <v>3400</v>
      </c>
      <c r="H57" s="17" t="s">
        <v>3401</v>
      </c>
      <c r="I57" s="17" t="s">
        <v>28</v>
      </c>
      <c r="J57" s="24" t="s">
        <v>3402</v>
      </c>
      <c r="K57" s="18">
        <v>46135</v>
      </c>
      <c r="L57" s="17" t="s">
        <v>82</v>
      </c>
      <c r="M57" s="7" t="s">
        <v>25</v>
      </c>
      <c r="N57" s="17"/>
    </row>
    <row r="58" spans="1:14" x14ac:dyDescent="0.25">
      <c r="A58" s="17">
        <v>57</v>
      </c>
      <c r="B58" s="16" t="s">
        <v>3399</v>
      </c>
      <c r="C58" s="17">
        <v>2</v>
      </c>
      <c r="D58" s="17">
        <v>12.5</v>
      </c>
      <c r="E58" s="17"/>
      <c r="F58" s="16" t="s">
        <v>31</v>
      </c>
      <c r="G58" s="17" t="s">
        <v>3403</v>
      </c>
      <c r="H58" s="17" t="s">
        <v>3404</v>
      </c>
      <c r="I58" s="17" t="s">
        <v>42</v>
      </c>
      <c r="J58" s="24" t="s">
        <v>3405</v>
      </c>
      <c r="K58" s="18">
        <v>46140</v>
      </c>
      <c r="L58" s="17" t="s">
        <v>82</v>
      </c>
      <c r="M58" s="7" t="s">
        <v>25</v>
      </c>
      <c r="N58" s="17"/>
    </row>
    <row r="59" spans="1:14" ht="25.5" customHeight="1" x14ac:dyDescent="0.25">
      <c r="A59" s="17">
        <v>58</v>
      </c>
      <c r="B59" s="16" t="s">
        <v>3399</v>
      </c>
      <c r="C59" s="17">
        <v>3</v>
      </c>
      <c r="D59" s="17">
        <v>14.4</v>
      </c>
      <c r="E59" s="17"/>
      <c r="F59" s="16" t="s">
        <v>126</v>
      </c>
      <c r="G59" s="17" t="s">
        <v>3406</v>
      </c>
      <c r="H59" s="17" t="s">
        <v>3407</v>
      </c>
      <c r="I59" s="17" t="s">
        <v>38</v>
      </c>
      <c r="J59" s="24" t="s">
        <v>3408</v>
      </c>
      <c r="K59" s="18">
        <v>46134</v>
      </c>
      <c r="L59" s="17" t="s">
        <v>82</v>
      </c>
      <c r="M59" s="7" t="s">
        <v>25</v>
      </c>
      <c r="N59" s="17"/>
    </row>
    <row r="60" spans="1:14" ht="25.5" customHeight="1" x14ac:dyDescent="0.25">
      <c r="A60" s="17">
        <v>59</v>
      </c>
      <c r="B60" s="16" t="s">
        <v>3399</v>
      </c>
      <c r="C60" s="17">
        <v>4</v>
      </c>
      <c r="D60" s="17">
        <v>12.7</v>
      </c>
      <c r="E60" s="17">
        <v>12.2</v>
      </c>
      <c r="F60" s="16" t="s">
        <v>106</v>
      </c>
      <c r="G60" s="17" t="s">
        <v>3409</v>
      </c>
      <c r="H60" s="17" t="s">
        <v>3410</v>
      </c>
      <c r="I60" s="17" t="s">
        <v>28</v>
      </c>
      <c r="J60" s="24" t="s">
        <v>3411</v>
      </c>
      <c r="K60" s="18">
        <v>46135</v>
      </c>
      <c r="L60" s="17" t="s">
        <v>82</v>
      </c>
      <c r="M60" s="7" t="s">
        <v>25</v>
      </c>
      <c r="N60" s="17"/>
    </row>
    <row r="61" spans="1:14" ht="63.75" customHeight="1" x14ac:dyDescent="0.25">
      <c r="A61" s="17">
        <v>60</v>
      </c>
      <c r="B61" s="16" t="s">
        <v>3399</v>
      </c>
      <c r="C61" s="17">
        <v>5</v>
      </c>
      <c r="D61" s="17">
        <v>9.8000000000000007</v>
      </c>
      <c r="E61" s="17"/>
      <c r="F61" s="16" t="s">
        <v>62</v>
      </c>
      <c r="G61" s="17" t="s">
        <v>3412</v>
      </c>
      <c r="H61" s="17" t="s">
        <v>3413</v>
      </c>
      <c r="I61" s="17" t="s">
        <v>34</v>
      </c>
      <c r="J61" s="24" t="s">
        <v>3414</v>
      </c>
      <c r="K61" s="18">
        <v>46156</v>
      </c>
      <c r="L61" s="17" t="s">
        <v>82</v>
      </c>
      <c r="M61" s="7" t="s">
        <v>25</v>
      </c>
      <c r="N61" s="17"/>
    </row>
    <row r="62" spans="1:14" ht="25.5" customHeight="1" x14ac:dyDescent="0.25">
      <c r="A62" s="17">
        <v>61</v>
      </c>
      <c r="B62" s="16" t="s">
        <v>3399</v>
      </c>
      <c r="C62" s="17">
        <v>6</v>
      </c>
      <c r="D62" s="17">
        <v>18.5</v>
      </c>
      <c r="E62" s="17"/>
      <c r="F62" s="16" t="s">
        <v>48</v>
      </c>
      <c r="G62" s="17" t="s">
        <v>3415</v>
      </c>
      <c r="H62" s="17" t="s">
        <v>3416</v>
      </c>
      <c r="I62" s="17" t="s">
        <v>267</v>
      </c>
      <c r="J62" s="24" t="s">
        <v>3417</v>
      </c>
      <c r="K62" s="18">
        <v>46137</v>
      </c>
      <c r="L62" s="17" t="s">
        <v>82</v>
      </c>
      <c r="M62" s="7" t="s">
        <v>25</v>
      </c>
      <c r="N62" s="17"/>
    </row>
    <row r="63" spans="1:14" ht="25.5" customHeight="1" x14ac:dyDescent="0.25">
      <c r="A63" s="17">
        <v>62</v>
      </c>
      <c r="B63" s="16" t="s">
        <v>3399</v>
      </c>
      <c r="C63" s="17">
        <v>7</v>
      </c>
      <c r="D63" s="17">
        <v>9.3000000000000007</v>
      </c>
      <c r="E63" s="17"/>
      <c r="F63" s="16" t="s">
        <v>48</v>
      </c>
      <c r="G63" s="17" t="s">
        <v>3415</v>
      </c>
      <c r="H63" s="17" t="s">
        <v>3416</v>
      </c>
      <c r="I63" s="17" t="s">
        <v>267</v>
      </c>
      <c r="J63" s="24" t="s">
        <v>3417</v>
      </c>
      <c r="K63" s="18">
        <v>46137</v>
      </c>
      <c r="L63" s="17" t="s">
        <v>82</v>
      </c>
      <c r="M63" s="7" t="s">
        <v>25</v>
      </c>
      <c r="N63" s="17"/>
    </row>
    <row r="64" spans="1:14" ht="25.5" customHeight="1" x14ac:dyDescent="0.25">
      <c r="A64" s="17">
        <v>63</v>
      </c>
      <c r="B64" s="16" t="s">
        <v>3399</v>
      </c>
      <c r="C64" s="17">
        <v>8</v>
      </c>
      <c r="D64" s="17">
        <v>13.2</v>
      </c>
      <c r="E64" s="17"/>
      <c r="F64" s="16" t="s">
        <v>338</v>
      </c>
      <c r="G64" s="17" t="s">
        <v>3418</v>
      </c>
      <c r="H64" s="17" t="s">
        <v>3419</v>
      </c>
      <c r="I64" s="17" t="s">
        <v>28</v>
      </c>
      <c r="J64" s="24" t="s">
        <v>3420</v>
      </c>
      <c r="K64" s="18">
        <v>46134</v>
      </c>
      <c r="L64" s="17" t="s">
        <v>82</v>
      </c>
      <c r="M64" s="7" t="s">
        <v>25</v>
      </c>
      <c r="N64" s="17"/>
    </row>
    <row r="65" spans="1:14" ht="51" customHeight="1" x14ac:dyDescent="0.25">
      <c r="A65" s="17">
        <v>64</v>
      </c>
      <c r="B65" s="16" t="s">
        <v>3399</v>
      </c>
      <c r="C65" s="17">
        <v>9</v>
      </c>
      <c r="D65" s="17">
        <v>18.8</v>
      </c>
      <c r="E65" s="17"/>
      <c r="F65" s="16" t="s">
        <v>121</v>
      </c>
      <c r="G65" s="17" t="s">
        <v>3421</v>
      </c>
      <c r="H65" s="17" t="s">
        <v>3422</v>
      </c>
      <c r="I65" s="17" t="s">
        <v>34</v>
      </c>
      <c r="J65" s="24" t="s">
        <v>3423</v>
      </c>
      <c r="K65" s="18">
        <v>46137</v>
      </c>
      <c r="L65" s="17" t="s">
        <v>82</v>
      </c>
      <c r="M65" s="7" t="s">
        <v>25</v>
      </c>
      <c r="N65" s="17"/>
    </row>
    <row r="66" spans="1:14" ht="25.5" customHeight="1" x14ac:dyDescent="0.25">
      <c r="A66" s="17">
        <v>65</v>
      </c>
      <c r="B66" s="16" t="s">
        <v>3424</v>
      </c>
      <c r="C66" s="17">
        <v>1</v>
      </c>
      <c r="D66" s="17">
        <v>7.8</v>
      </c>
      <c r="E66" s="17"/>
      <c r="F66" s="16" t="s">
        <v>106</v>
      </c>
      <c r="G66" s="17" t="s">
        <v>3425</v>
      </c>
      <c r="H66" s="17" t="s">
        <v>3426</v>
      </c>
      <c r="I66" s="17" t="s">
        <v>267</v>
      </c>
      <c r="J66" s="24" t="s">
        <v>3427</v>
      </c>
      <c r="K66" s="18">
        <v>46134</v>
      </c>
      <c r="L66" s="17" t="s">
        <v>24</v>
      </c>
      <c r="M66" s="7" t="s">
        <v>25</v>
      </c>
      <c r="N66" s="17"/>
    </row>
    <row r="67" spans="1:14" ht="25.5" customHeight="1" x14ac:dyDescent="0.25">
      <c r="A67" s="17">
        <v>66</v>
      </c>
      <c r="B67" s="16" t="s">
        <v>3424</v>
      </c>
      <c r="C67" s="17">
        <v>2</v>
      </c>
      <c r="D67" s="17">
        <v>10.199999999999999</v>
      </c>
      <c r="E67" s="17">
        <v>9.3000000000000007</v>
      </c>
      <c r="F67" s="16" t="s">
        <v>106</v>
      </c>
      <c r="G67" s="17" t="s">
        <v>3425</v>
      </c>
      <c r="H67" s="17" t="s">
        <v>3426</v>
      </c>
      <c r="I67" s="17" t="s">
        <v>267</v>
      </c>
      <c r="J67" s="24" t="s">
        <v>3427</v>
      </c>
      <c r="K67" s="18">
        <v>46134</v>
      </c>
      <c r="L67" s="17" t="s">
        <v>24</v>
      </c>
      <c r="M67" s="7" t="s">
        <v>25</v>
      </c>
      <c r="N67" s="17"/>
    </row>
    <row r="68" spans="1:14" ht="51" customHeight="1" x14ac:dyDescent="0.25">
      <c r="A68" s="17">
        <v>67</v>
      </c>
      <c r="B68" s="16" t="s">
        <v>3424</v>
      </c>
      <c r="C68" s="17">
        <v>3</v>
      </c>
      <c r="D68" s="17">
        <v>11.8</v>
      </c>
      <c r="E68" s="17"/>
      <c r="F68" s="16" t="s">
        <v>343</v>
      </c>
      <c r="G68" s="17" t="s">
        <v>3428</v>
      </c>
      <c r="H68" s="17" t="s">
        <v>3429</v>
      </c>
      <c r="I68" s="17" t="s">
        <v>34</v>
      </c>
      <c r="J68" s="24" t="s">
        <v>3430</v>
      </c>
      <c r="K68" s="18">
        <v>46141</v>
      </c>
      <c r="L68" s="17" t="s">
        <v>24</v>
      </c>
      <c r="M68" s="7" t="s">
        <v>25</v>
      </c>
      <c r="N68" s="17"/>
    </row>
    <row r="69" spans="1:14" ht="51" customHeight="1" x14ac:dyDescent="0.25">
      <c r="A69" s="17">
        <v>68</v>
      </c>
      <c r="B69" s="16" t="s">
        <v>3424</v>
      </c>
      <c r="C69" s="17">
        <v>4</v>
      </c>
      <c r="D69" s="17">
        <v>9.6999999999999993</v>
      </c>
      <c r="E69" s="17"/>
      <c r="F69" s="16" t="s">
        <v>343</v>
      </c>
      <c r="G69" s="17" t="s">
        <v>3428</v>
      </c>
      <c r="H69" s="17" t="s">
        <v>3429</v>
      </c>
      <c r="I69" s="17" t="s">
        <v>34</v>
      </c>
      <c r="J69" s="24" t="s">
        <v>3430</v>
      </c>
      <c r="K69" s="18">
        <v>46141</v>
      </c>
      <c r="L69" s="17" t="s">
        <v>24</v>
      </c>
      <c r="M69" s="7" t="s">
        <v>25</v>
      </c>
      <c r="N69" s="17"/>
    </row>
    <row r="70" spans="1:14" ht="51" customHeight="1" x14ac:dyDescent="0.25">
      <c r="A70" s="17">
        <v>69</v>
      </c>
      <c r="B70" s="16" t="s">
        <v>3424</v>
      </c>
      <c r="C70" s="17">
        <v>5</v>
      </c>
      <c r="D70" s="17">
        <v>6.6</v>
      </c>
      <c r="E70" s="17"/>
      <c r="F70" s="16" t="s">
        <v>343</v>
      </c>
      <c r="G70" s="17" t="s">
        <v>3428</v>
      </c>
      <c r="H70" s="17" t="s">
        <v>3429</v>
      </c>
      <c r="I70" s="17" t="s">
        <v>34</v>
      </c>
      <c r="J70" s="24" t="s">
        <v>3430</v>
      </c>
      <c r="K70" s="18">
        <v>46141</v>
      </c>
      <c r="L70" s="17" t="s">
        <v>24</v>
      </c>
      <c r="M70" s="7" t="s">
        <v>25</v>
      </c>
      <c r="N70" s="17"/>
    </row>
    <row r="71" spans="1:14" ht="25.5" customHeight="1" x14ac:dyDescent="0.25">
      <c r="A71" s="17">
        <v>70</v>
      </c>
      <c r="B71" s="16" t="s">
        <v>3431</v>
      </c>
      <c r="C71" s="17">
        <v>1</v>
      </c>
      <c r="D71" s="17">
        <v>10.1</v>
      </c>
      <c r="E71" s="17"/>
      <c r="F71" s="16" t="s">
        <v>62</v>
      </c>
      <c r="G71" s="17" t="s">
        <v>3432</v>
      </c>
      <c r="H71" s="17" t="s">
        <v>3433</v>
      </c>
      <c r="I71" s="17" t="s">
        <v>22</v>
      </c>
      <c r="J71" s="24" t="s">
        <v>3434</v>
      </c>
      <c r="K71" s="18">
        <v>46137</v>
      </c>
      <c r="L71" s="17" t="s">
        <v>24</v>
      </c>
      <c r="M71" s="7" t="s">
        <v>25</v>
      </c>
      <c r="N71" s="17"/>
    </row>
    <row r="72" spans="1:14" ht="51" customHeight="1" x14ac:dyDescent="0.25">
      <c r="A72" s="17">
        <v>71</v>
      </c>
      <c r="B72" s="16" t="s">
        <v>3431</v>
      </c>
      <c r="C72" s="17">
        <v>2</v>
      </c>
      <c r="D72" s="17">
        <v>9.4</v>
      </c>
      <c r="E72" s="17"/>
      <c r="F72" s="16" t="s">
        <v>343</v>
      </c>
      <c r="G72" s="17" t="s">
        <v>3435</v>
      </c>
      <c r="H72" s="17" t="s">
        <v>3436</v>
      </c>
      <c r="I72" s="17" t="s">
        <v>34</v>
      </c>
      <c r="J72" s="24" t="s">
        <v>3437</v>
      </c>
      <c r="K72" s="17" t="s">
        <v>3438</v>
      </c>
      <c r="L72" s="17" t="s">
        <v>24</v>
      </c>
      <c r="M72" s="7" t="s">
        <v>25</v>
      </c>
      <c r="N72" s="17"/>
    </row>
    <row r="73" spans="1:14" ht="25.5" customHeight="1" x14ac:dyDescent="0.25">
      <c r="A73" s="17">
        <v>72</v>
      </c>
      <c r="B73" s="16" t="s">
        <v>3439</v>
      </c>
      <c r="C73" s="17">
        <v>1</v>
      </c>
      <c r="D73" s="17">
        <v>16.2</v>
      </c>
      <c r="E73" s="17"/>
      <c r="F73" s="16" t="s">
        <v>343</v>
      </c>
      <c r="G73" s="17" t="s">
        <v>3440</v>
      </c>
      <c r="H73" s="17" t="s">
        <v>3441</v>
      </c>
      <c r="I73" s="17" t="s">
        <v>28</v>
      </c>
      <c r="J73" s="24" t="s">
        <v>3442</v>
      </c>
      <c r="K73" s="18">
        <v>46155</v>
      </c>
      <c r="L73" s="17" t="s">
        <v>24</v>
      </c>
      <c r="M73" s="7" t="s">
        <v>25</v>
      </c>
      <c r="N73" s="17"/>
    </row>
    <row r="74" spans="1:14" ht="51" customHeight="1" x14ac:dyDescent="0.25">
      <c r="A74" s="17">
        <v>73</v>
      </c>
      <c r="B74" s="16" t="s">
        <v>3439</v>
      </c>
      <c r="C74" s="17">
        <v>2</v>
      </c>
      <c r="D74" s="17">
        <v>6.7</v>
      </c>
      <c r="E74" s="17"/>
      <c r="F74" s="16" t="s">
        <v>31</v>
      </c>
      <c r="G74" s="17" t="s">
        <v>3443</v>
      </c>
      <c r="H74" s="17" t="s">
        <v>3444</v>
      </c>
      <c r="I74" s="17" t="s">
        <v>34</v>
      </c>
      <c r="J74" s="24" t="s">
        <v>3445</v>
      </c>
      <c r="K74" s="18">
        <v>46144</v>
      </c>
      <c r="L74" s="17" t="s">
        <v>24</v>
      </c>
      <c r="M74" s="7" t="s">
        <v>25</v>
      </c>
      <c r="N74" s="17"/>
    </row>
    <row r="75" spans="1:14" ht="51" customHeight="1" x14ac:dyDescent="0.25">
      <c r="A75" s="17">
        <v>74</v>
      </c>
      <c r="B75" s="16" t="s">
        <v>3439</v>
      </c>
      <c r="C75" s="17">
        <v>3</v>
      </c>
      <c r="D75" s="17">
        <v>10.5</v>
      </c>
      <c r="E75" s="17"/>
      <c r="F75" s="16" t="s">
        <v>31</v>
      </c>
      <c r="G75" s="17" t="s">
        <v>3443</v>
      </c>
      <c r="H75" s="17" t="s">
        <v>3444</v>
      </c>
      <c r="I75" s="17" t="s">
        <v>34</v>
      </c>
      <c r="J75" s="24" t="s">
        <v>3445</v>
      </c>
      <c r="K75" s="18">
        <v>46144</v>
      </c>
      <c r="L75" s="17" t="s">
        <v>24</v>
      </c>
      <c r="M75" s="7" t="s">
        <v>25</v>
      </c>
      <c r="N75" s="17"/>
    </row>
    <row r="76" spans="1:14" ht="63.75" customHeight="1" x14ac:dyDescent="0.25">
      <c r="A76" s="17">
        <v>75</v>
      </c>
      <c r="B76" s="16" t="s">
        <v>3446</v>
      </c>
      <c r="C76" s="17">
        <v>1</v>
      </c>
      <c r="D76" s="17">
        <v>13.1</v>
      </c>
      <c r="E76" s="17">
        <v>8.4</v>
      </c>
      <c r="F76" s="16" t="s">
        <v>151</v>
      </c>
      <c r="G76" s="17" t="s">
        <v>3447</v>
      </c>
      <c r="H76" s="17" t="s">
        <v>3448</v>
      </c>
      <c r="I76" s="17" t="s">
        <v>34</v>
      </c>
      <c r="J76" s="24" t="s">
        <v>3449</v>
      </c>
      <c r="K76" s="18">
        <v>46144</v>
      </c>
      <c r="L76" s="17" t="s">
        <v>24</v>
      </c>
      <c r="M76" s="7" t="s">
        <v>25</v>
      </c>
      <c r="N76" s="17"/>
    </row>
    <row r="77" spans="1:14" ht="63.75" customHeight="1" x14ac:dyDescent="0.25">
      <c r="A77" s="17">
        <v>76</v>
      </c>
      <c r="B77" s="16" t="s">
        <v>3446</v>
      </c>
      <c r="C77" s="17">
        <v>2</v>
      </c>
      <c r="D77" s="17">
        <v>12.4</v>
      </c>
      <c r="E77" s="17"/>
      <c r="F77" s="16" t="s">
        <v>151</v>
      </c>
      <c r="G77" s="17" t="s">
        <v>3447</v>
      </c>
      <c r="H77" s="17" t="s">
        <v>3448</v>
      </c>
      <c r="I77" s="17" t="s">
        <v>34</v>
      </c>
      <c r="J77" s="24" t="s">
        <v>3449</v>
      </c>
      <c r="K77" s="18">
        <v>46144</v>
      </c>
      <c r="L77" s="17" t="s">
        <v>24</v>
      </c>
      <c r="M77" s="7" t="s">
        <v>25</v>
      </c>
      <c r="N77" s="17"/>
    </row>
    <row r="78" spans="1:14" ht="63.75" customHeight="1" x14ac:dyDescent="0.25">
      <c r="A78" s="17">
        <v>77</v>
      </c>
      <c r="B78" s="16" t="s">
        <v>3450</v>
      </c>
      <c r="C78" s="17">
        <v>1</v>
      </c>
      <c r="D78" s="17">
        <v>14.9</v>
      </c>
      <c r="E78" s="17">
        <v>10.8</v>
      </c>
      <c r="F78" s="16" t="s">
        <v>101</v>
      </c>
      <c r="G78" s="17" t="s">
        <v>3451</v>
      </c>
      <c r="H78" s="17" t="s">
        <v>3452</v>
      </c>
      <c r="I78" s="17" t="s">
        <v>34</v>
      </c>
      <c r="J78" s="24" t="s">
        <v>3453</v>
      </c>
      <c r="K78" s="18">
        <v>46135</v>
      </c>
      <c r="L78" s="17" t="s">
        <v>24</v>
      </c>
      <c r="M78" s="7" t="s">
        <v>25</v>
      </c>
      <c r="N78" s="17"/>
    </row>
    <row r="79" spans="1:14" ht="25.5" customHeight="1" x14ac:dyDescent="0.25">
      <c r="A79" s="17">
        <v>78</v>
      </c>
      <c r="B79" s="16" t="s">
        <v>3450</v>
      </c>
      <c r="C79" s="17">
        <v>2</v>
      </c>
      <c r="D79" s="17">
        <v>15.4</v>
      </c>
      <c r="E79" s="17"/>
      <c r="F79" s="16" t="s">
        <v>48</v>
      </c>
      <c r="G79" s="17" t="s">
        <v>3454</v>
      </c>
      <c r="H79" s="17" t="s">
        <v>3455</v>
      </c>
      <c r="I79" s="17" t="s">
        <v>28</v>
      </c>
      <c r="J79" s="24" t="s">
        <v>3456</v>
      </c>
      <c r="K79" s="18">
        <v>46148</v>
      </c>
      <c r="L79" s="17" t="s">
        <v>24</v>
      </c>
      <c r="M79" s="7" t="s">
        <v>25</v>
      </c>
      <c r="N79" s="17"/>
    </row>
    <row r="80" spans="1:14" ht="51" customHeight="1" x14ac:dyDescent="0.25">
      <c r="A80" s="17">
        <v>79</v>
      </c>
      <c r="B80" s="16" t="s">
        <v>3450</v>
      </c>
      <c r="C80" s="17">
        <v>3</v>
      </c>
      <c r="D80" s="17">
        <v>13.4</v>
      </c>
      <c r="E80" s="17">
        <v>10.8</v>
      </c>
      <c r="F80" s="16" t="s">
        <v>121</v>
      </c>
      <c r="G80" s="17" t="s">
        <v>3457</v>
      </c>
      <c r="H80" s="17" t="s">
        <v>3458</v>
      </c>
      <c r="I80" s="17" t="s">
        <v>34</v>
      </c>
      <c r="J80" s="24" t="s">
        <v>3459</v>
      </c>
      <c r="K80" s="18">
        <v>46137</v>
      </c>
      <c r="L80" s="17" t="s">
        <v>24</v>
      </c>
      <c r="M80" s="7" t="s">
        <v>25</v>
      </c>
      <c r="N80" s="17"/>
    </row>
    <row r="81" spans="1:14" ht="25.5" customHeight="1" x14ac:dyDescent="0.25">
      <c r="A81" s="17">
        <v>80</v>
      </c>
      <c r="B81" s="16" t="s">
        <v>3460</v>
      </c>
      <c r="C81" s="17">
        <v>1</v>
      </c>
      <c r="D81" s="17">
        <v>16</v>
      </c>
      <c r="E81" s="17">
        <v>10.8</v>
      </c>
      <c r="F81" s="16" t="s">
        <v>19</v>
      </c>
      <c r="G81" s="17" t="s">
        <v>3461</v>
      </c>
      <c r="H81" s="17" t="s">
        <v>3462</v>
      </c>
      <c r="I81" s="17" t="s">
        <v>28</v>
      </c>
      <c r="J81" s="24" t="s">
        <v>3463</v>
      </c>
      <c r="K81" s="18">
        <v>46134</v>
      </c>
      <c r="L81" s="17" t="s">
        <v>24</v>
      </c>
      <c r="M81" s="7" t="s">
        <v>25</v>
      </c>
      <c r="N81" s="17"/>
    </row>
    <row r="82" spans="1:14" ht="25.5" customHeight="1" x14ac:dyDescent="0.25">
      <c r="A82" s="17">
        <v>81</v>
      </c>
      <c r="B82" s="16" t="s">
        <v>3460</v>
      </c>
      <c r="C82" s="17">
        <v>2</v>
      </c>
      <c r="D82" s="17">
        <v>11.4</v>
      </c>
      <c r="E82" s="17">
        <v>10.7</v>
      </c>
      <c r="F82" s="16" t="s">
        <v>19</v>
      </c>
      <c r="G82" s="17" t="s">
        <v>3464</v>
      </c>
      <c r="H82" s="17" t="s">
        <v>3465</v>
      </c>
      <c r="I82" s="17" t="s">
        <v>2304</v>
      </c>
      <c r="J82" s="24" t="s">
        <v>3466</v>
      </c>
      <c r="K82" s="18">
        <v>46134</v>
      </c>
      <c r="L82" s="17" t="s">
        <v>24</v>
      </c>
      <c r="M82" s="7" t="s">
        <v>25</v>
      </c>
      <c r="N82" s="17"/>
    </row>
    <row r="83" spans="1:14" ht="25.5" customHeight="1" x14ac:dyDescent="0.25">
      <c r="A83" s="17">
        <v>82</v>
      </c>
      <c r="B83" s="16" t="s">
        <v>3460</v>
      </c>
      <c r="C83" s="17">
        <v>3</v>
      </c>
      <c r="D83" s="17">
        <v>14.9</v>
      </c>
      <c r="E83" s="17"/>
      <c r="F83" s="16" t="s">
        <v>162</v>
      </c>
      <c r="G83" s="17" t="s">
        <v>3467</v>
      </c>
      <c r="H83" s="17" t="s">
        <v>3468</v>
      </c>
      <c r="I83" s="17" t="s">
        <v>22</v>
      </c>
      <c r="J83" s="24" t="s">
        <v>3469</v>
      </c>
      <c r="K83" s="18">
        <v>46137</v>
      </c>
      <c r="L83" s="17" t="s">
        <v>24</v>
      </c>
      <c r="M83" s="7" t="s">
        <v>25</v>
      </c>
      <c r="N83" s="17"/>
    </row>
    <row r="84" spans="1:14" ht="25.5" customHeight="1" x14ac:dyDescent="0.25">
      <c r="A84" s="17">
        <v>83</v>
      </c>
      <c r="B84" s="16" t="s">
        <v>3470</v>
      </c>
      <c r="C84" s="17">
        <v>1</v>
      </c>
      <c r="D84" s="17">
        <v>16.899999999999999</v>
      </c>
      <c r="E84" s="17">
        <v>10.9</v>
      </c>
      <c r="F84" s="16" t="s">
        <v>86</v>
      </c>
      <c r="G84" s="17" t="s">
        <v>3471</v>
      </c>
      <c r="H84" s="17" t="s">
        <v>3472</v>
      </c>
      <c r="I84" s="17" t="s">
        <v>42</v>
      </c>
      <c r="J84" s="24" t="s">
        <v>3473</v>
      </c>
      <c r="K84" s="18">
        <v>46134</v>
      </c>
      <c r="L84" s="17" t="s">
        <v>24</v>
      </c>
      <c r="M84" s="7" t="s">
        <v>25</v>
      </c>
      <c r="N84" s="17"/>
    </row>
    <row r="85" spans="1:14" ht="63.75" customHeight="1" x14ac:dyDescent="0.25">
      <c r="A85" s="17">
        <v>84</v>
      </c>
      <c r="B85" s="16" t="s">
        <v>3470</v>
      </c>
      <c r="C85" s="17">
        <v>2</v>
      </c>
      <c r="D85" s="17">
        <v>12.6</v>
      </c>
      <c r="E85" s="17">
        <v>11</v>
      </c>
      <c r="F85" s="16" t="s">
        <v>338</v>
      </c>
      <c r="G85" s="17" t="s">
        <v>3474</v>
      </c>
      <c r="H85" s="17" t="s">
        <v>3475</v>
      </c>
      <c r="I85" s="17" t="s">
        <v>34</v>
      </c>
      <c r="J85" s="24" t="s">
        <v>3476</v>
      </c>
      <c r="K85" s="18">
        <v>46135</v>
      </c>
      <c r="L85" s="17" t="s">
        <v>24</v>
      </c>
      <c r="M85" s="7" t="s">
        <v>25</v>
      </c>
      <c r="N85" s="17"/>
    </row>
    <row r="86" spans="1:14" ht="25.5" customHeight="1" x14ac:dyDescent="0.25">
      <c r="A86" s="17">
        <v>85</v>
      </c>
      <c r="B86" s="16" t="s">
        <v>3470</v>
      </c>
      <c r="C86" s="17">
        <v>3</v>
      </c>
      <c r="D86" s="17">
        <v>16.899999999999999</v>
      </c>
      <c r="E86" s="17"/>
      <c r="F86" s="16" t="s">
        <v>338</v>
      </c>
      <c r="G86" s="17" t="s">
        <v>3477</v>
      </c>
      <c r="H86" s="17" t="s">
        <v>3478</v>
      </c>
      <c r="I86" s="17" t="s">
        <v>28</v>
      </c>
      <c r="J86" s="24" t="s">
        <v>3479</v>
      </c>
      <c r="K86" s="18">
        <v>46137</v>
      </c>
      <c r="L86" s="17" t="s">
        <v>24</v>
      </c>
      <c r="M86" s="7" t="s">
        <v>25</v>
      </c>
      <c r="N86" s="17"/>
    </row>
    <row r="87" spans="1:14" ht="25.5" customHeight="1" x14ac:dyDescent="0.25">
      <c r="A87" s="17">
        <v>86</v>
      </c>
      <c r="B87" s="16" t="s">
        <v>3480</v>
      </c>
      <c r="C87" s="17">
        <v>1</v>
      </c>
      <c r="D87" s="17">
        <v>17.2</v>
      </c>
      <c r="E87" s="17">
        <v>13.8</v>
      </c>
      <c r="F87" s="16" t="s">
        <v>31</v>
      </c>
      <c r="G87" s="17" t="s">
        <v>3481</v>
      </c>
      <c r="H87" s="17" t="s">
        <v>3482</v>
      </c>
      <c r="I87" s="17" t="s">
        <v>28</v>
      </c>
      <c r="J87" s="24" t="s">
        <v>3483</v>
      </c>
      <c r="K87" s="18">
        <v>46155</v>
      </c>
      <c r="L87" s="17" t="s">
        <v>82</v>
      </c>
      <c r="M87" s="7" t="s">
        <v>25</v>
      </c>
      <c r="N87" s="17"/>
    </row>
    <row r="88" spans="1:14" ht="25.5" customHeight="1" x14ac:dyDescent="0.25">
      <c r="A88" s="17">
        <v>87</v>
      </c>
      <c r="B88" s="16" t="s">
        <v>3480</v>
      </c>
      <c r="C88" s="17">
        <v>2</v>
      </c>
      <c r="D88" s="17">
        <v>12.7</v>
      </c>
      <c r="E88" s="17">
        <v>10.8</v>
      </c>
      <c r="F88" s="16" t="s">
        <v>31</v>
      </c>
      <c r="G88" s="17" t="s">
        <v>3481</v>
      </c>
      <c r="H88" s="17" t="s">
        <v>3482</v>
      </c>
      <c r="I88" s="17" t="s">
        <v>28</v>
      </c>
      <c r="J88" s="24" t="s">
        <v>3483</v>
      </c>
      <c r="K88" s="18">
        <v>46155</v>
      </c>
      <c r="L88" s="17" t="s">
        <v>82</v>
      </c>
      <c r="M88" s="7" t="s">
        <v>25</v>
      </c>
      <c r="N88" s="17"/>
    </row>
    <row r="89" spans="1:14" ht="25.5" customHeight="1" x14ac:dyDescent="0.25">
      <c r="A89" s="17">
        <v>88</v>
      </c>
      <c r="B89" s="16" t="s">
        <v>3480</v>
      </c>
      <c r="C89" s="17">
        <v>3</v>
      </c>
      <c r="D89" s="17">
        <v>16.7</v>
      </c>
      <c r="E89" s="17"/>
      <c r="F89" s="16" t="s">
        <v>31</v>
      </c>
      <c r="G89" s="17" t="s">
        <v>3484</v>
      </c>
      <c r="H89" s="17" t="s">
        <v>3485</v>
      </c>
      <c r="I89" s="17" t="s">
        <v>28</v>
      </c>
      <c r="J89" s="24" t="s">
        <v>3486</v>
      </c>
      <c r="K89" s="18">
        <v>46157</v>
      </c>
      <c r="L89" s="17" t="s">
        <v>24</v>
      </c>
      <c r="M89" s="7" t="s">
        <v>25</v>
      </c>
      <c r="N89" s="17"/>
    </row>
    <row r="90" spans="1:14" ht="63.75" customHeight="1" x14ac:dyDescent="0.25">
      <c r="A90" s="17">
        <v>89</v>
      </c>
      <c r="B90" s="16" t="s">
        <v>3487</v>
      </c>
      <c r="C90" s="17">
        <v>1</v>
      </c>
      <c r="D90" s="17">
        <v>16.899999999999999</v>
      </c>
      <c r="E90" s="17"/>
      <c r="F90" s="16" t="s">
        <v>126</v>
      </c>
      <c r="G90" s="17" t="s">
        <v>3488</v>
      </c>
      <c r="H90" s="17" t="s">
        <v>3489</v>
      </c>
      <c r="I90" s="17" t="s">
        <v>293</v>
      </c>
      <c r="J90" s="24" t="s">
        <v>3490</v>
      </c>
      <c r="K90" s="18">
        <v>46135</v>
      </c>
      <c r="L90" s="17" t="s">
        <v>82</v>
      </c>
      <c r="M90" s="7" t="s">
        <v>25</v>
      </c>
      <c r="N90" s="17"/>
    </row>
    <row r="91" spans="1:14" ht="51" customHeight="1" x14ac:dyDescent="0.25">
      <c r="A91" s="17">
        <v>90</v>
      </c>
      <c r="B91" s="16" t="s">
        <v>3487</v>
      </c>
      <c r="C91" s="17">
        <v>2</v>
      </c>
      <c r="D91" s="17">
        <v>12.7</v>
      </c>
      <c r="E91" s="17">
        <v>10.6</v>
      </c>
      <c r="F91" s="16" t="s">
        <v>121</v>
      </c>
      <c r="G91" s="17" t="s">
        <v>3491</v>
      </c>
      <c r="H91" s="17" t="s">
        <v>3492</v>
      </c>
      <c r="I91" s="17" t="s">
        <v>34</v>
      </c>
      <c r="J91" s="24" t="s">
        <v>3493</v>
      </c>
      <c r="K91" s="18">
        <v>46137</v>
      </c>
      <c r="L91" s="17" t="s">
        <v>24</v>
      </c>
      <c r="M91" s="7" t="s">
        <v>25</v>
      </c>
      <c r="N91" s="17"/>
    </row>
    <row r="92" spans="1:14" ht="51" customHeight="1" x14ac:dyDescent="0.25">
      <c r="A92" s="17">
        <v>91</v>
      </c>
      <c r="B92" s="16" t="s">
        <v>3487</v>
      </c>
      <c r="C92" s="17">
        <v>3</v>
      </c>
      <c r="D92" s="17">
        <v>17</v>
      </c>
      <c r="E92" s="17">
        <v>10.9</v>
      </c>
      <c r="F92" s="16" t="s">
        <v>121</v>
      </c>
      <c r="G92" s="17" t="s">
        <v>3491</v>
      </c>
      <c r="H92" s="17" t="s">
        <v>3492</v>
      </c>
      <c r="I92" s="17" t="s">
        <v>34</v>
      </c>
      <c r="J92" s="24" t="s">
        <v>3493</v>
      </c>
      <c r="K92" s="18">
        <v>46137</v>
      </c>
      <c r="L92" s="17" t="s">
        <v>24</v>
      </c>
      <c r="M92" s="7" t="s">
        <v>25</v>
      </c>
      <c r="N92" s="17"/>
    </row>
    <row r="93" spans="1:14" x14ac:dyDescent="0.25">
      <c r="A93" s="14">
        <v>92</v>
      </c>
      <c r="B93" s="15" t="s">
        <v>3494</v>
      </c>
      <c r="C93" s="14">
        <v>1</v>
      </c>
      <c r="D93" s="14">
        <v>17</v>
      </c>
      <c r="E93" s="14"/>
      <c r="F93" s="15" t="s">
        <v>126</v>
      </c>
      <c r="G93" s="14"/>
      <c r="H93" s="14"/>
      <c r="I93" s="14"/>
      <c r="J93" s="28"/>
      <c r="K93" s="14"/>
      <c r="L93" s="14"/>
      <c r="M93" s="14" t="s">
        <v>286</v>
      </c>
      <c r="N93" s="17"/>
    </row>
    <row r="94" spans="1:14" ht="25.5" customHeight="1" x14ac:dyDescent="0.25">
      <c r="A94" s="17">
        <v>93</v>
      </c>
      <c r="B94" s="16" t="s">
        <v>3494</v>
      </c>
      <c r="C94" s="17">
        <v>2</v>
      </c>
      <c r="D94" s="17">
        <v>12.9</v>
      </c>
      <c r="E94" s="17">
        <v>10.8</v>
      </c>
      <c r="F94" s="16" t="s">
        <v>19</v>
      </c>
      <c r="G94" s="17" t="s">
        <v>3495</v>
      </c>
      <c r="H94" s="17" t="s">
        <v>3496</v>
      </c>
      <c r="I94" s="17" t="s">
        <v>22</v>
      </c>
      <c r="J94" s="24" t="s">
        <v>3497</v>
      </c>
      <c r="K94" s="18">
        <v>46137</v>
      </c>
      <c r="L94" s="17" t="s">
        <v>82</v>
      </c>
      <c r="M94" s="7" t="s">
        <v>25</v>
      </c>
      <c r="N94" s="17"/>
    </row>
    <row r="95" spans="1:14" ht="25.5" customHeight="1" x14ac:dyDescent="0.25">
      <c r="A95" s="17">
        <v>94</v>
      </c>
      <c r="B95" s="16" t="s">
        <v>3494</v>
      </c>
      <c r="C95" s="17">
        <v>3</v>
      </c>
      <c r="D95" s="17">
        <v>17.399999999999999</v>
      </c>
      <c r="E95" s="17">
        <v>10.7</v>
      </c>
      <c r="F95" s="16" t="s">
        <v>31</v>
      </c>
      <c r="G95" s="17" t="s">
        <v>3498</v>
      </c>
      <c r="H95" s="17" t="s">
        <v>3499</v>
      </c>
      <c r="I95" s="17" t="s">
        <v>28</v>
      </c>
      <c r="J95" s="24" t="s">
        <v>3500</v>
      </c>
      <c r="K95" s="18">
        <v>46144</v>
      </c>
      <c r="L95" s="17" t="s">
        <v>24</v>
      </c>
      <c r="M95" s="7" t="s">
        <v>25</v>
      </c>
      <c r="N95" s="17"/>
    </row>
    <row r="96" spans="1:14" ht="63.75" customHeight="1" x14ac:dyDescent="0.25">
      <c r="A96" s="17">
        <v>95</v>
      </c>
      <c r="B96" s="16" t="s">
        <v>3501</v>
      </c>
      <c r="C96" s="17">
        <v>1</v>
      </c>
      <c r="D96" s="17">
        <v>12.6</v>
      </c>
      <c r="E96" s="17">
        <v>10.5</v>
      </c>
      <c r="F96" s="16" t="s">
        <v>19</v>
      </c>
      <c r="G96" s="17" t="s">
        <v>3502</v>
      </c>
      <c r="H96" s="17" t="s">
        <v>3503</v>
      </c>
      <c r="I96" s="17" t="s">
        <v>34</v>
      </c>
      <c r="J96" s="24" t="s">
        <v>3504</v>
      </c>
      <c r="K96" s="18">
        <v>46144</v>
      </c>
      <c r="L96" s="17" t="s">
        <v>24</v>
      </c>
      <c r="M96" s="7" t="s">
        <v>25</v>
      </c>
      <c r="N96" s="17"/>
    </row>
    <row r="97" spans="1:14" ht="25.5" customHeight="1" x14ac:dyDescent="0.25">
      <c r="A97" s="17">
        <v>96</v>
      </c>
      <c r="B97" s="16" t="s">
        <v>3501</v>
      </c>
      <c r="C97" s="17">
        <v>2</v>
      </c>
      <c r="D97" s="17">
        <v>16.5</v>
      </c>
      <c r="E97" s="17"/>
      <c r="F97" s="16" t="s">
        <v>86</v>
      </c>
      <c r="G97" s="17" t="s">
        <v>3505</v>
      </c>
      <c r="H97" s="17" t="s">
        <v>3506</v>
      </c>
      <c r="I97" s="17" t="s">
        <v>28</v>
      </c>
      <c r="J97" s="24" t="s">
        <v>3507</v>
      </c>
      <c r="K97" s="17" t="s">
        <v>3383</v>
      </c>
      <c r="L97" s="17" t="s">
        <v>24</v>
      </c>
      <c r="M97" s="7" t="s">
        <v>25</v>
      </c>
      <c r="N97" s="17"/>
    </row>
    <row r="98" spans="1:14" ht="25.5" customHeight="1" x14ac:dyDescent="0.25">
      <c r="A98" s="17">
        <v>97</v>
      </c>
      <c r="B98" s="16" t="s">
        <v>3501</v>
      </c>
      <c r="C98" s="17">
        <v>3</v>
      </c>
      <c r="D98" s="17">
        <v>16.5</v>
      </c>
      <c r="E98" s="17">
        <v>10.7</v>
      </c>
      <c r="F98" s="16" t="s">
        <v>151</v>
      </c>
      <c r="G98" s="17" t="s">
        <v>3508</v>
      </c>
      <c r="H98" s="17" t="s">
        <v>3509</v>
      </c>
      <c r="I98" s="17" t="s">
        <v>51</v>
      </c>
      <c r="J98" s="24" t="s">
        <v>3510</v>
      </c>
      <c r="K98" s="18">
        <v>46155</v>
      </c>
      <c r="L98" s="17" t="s">
        <v>82</v>
      </c>
      <c r="M98" s="7" t="s">
        <v>25</v>
      </c>
      <c r="N98" s="17"/>
    </row>
    <row r="99" spans="1:14" ht="25.5" customHeight="1" x14ac:dyDescent="0.25">
      <c r="A99" s="34">
        <v>98</v>
      </c>
      <c r="B99" s="35" t="s">
        <v>3511</v>
      </c>
      <c r="C99" s="34">
        <v>1</v>
      </c>
      <c r="D99" s="34">
        <v>13</v>
      </c>
      <c r="E99" s="34">
        <v>10.9</v>
      </c>
      <c r="F99" s="35" t="s">
        <v>48</v>
      </c>
      <c r="G99" s="34" t="s">
        <v>3512</v>
      </c>
      <c r="H99" s="34" t="s">
        <v>3513</v>
      </c>
      <c r="I99" s="34" t="s">
        <v>921</v>
      </c>
      <c r="J99" s="37" t="s">
        <v>3514</v>
      </c>
      <c r="K99" s="36">
        <v>46155</v>
      </c>
      <c r="L99" s="34" t="s">
        <v>82</v>
      </c>
      <c r="M99" s="13" t="s">
        <v>25</v>
      </c>
      <c r="N99" s="34"/>
    </row>
    <row r="100" spans="1:14" ht="25.5" customHeight="1" x14ac:dyDescent="0.25">
      <c r="A100" s="34">
        <v>98</v>
      </c>
      <c r="B100" s="35" t="s">
        <v>3511</v>
      </c>
      <c r="C100" s="34">
        <v>1</v>
      </c>
      <c r="D100" s="34">
        <v>13</v>
      </c>
      <c r="E100" s="34">
        <v>10.9</v>
      </c>
      <c r="F100" s="35" t="s">
        <v>48</v>
      </c>
      <c r="G100" s="34" t="s">
        <v>3512</v>
      </c>
      <c r="H100" s="34" t="s">
        <v>3513</v>
      </c>
      <c r="I100" s="34" t="s">
        <v>921</v>
      </c>
      <c r="J100" s="37" t="s">
        <v>3514</v>
      </c>
      <c r="K100" s="36">
        <v>46155</v>
      </c>
      <c r="L100" s="34" t="s">
        <v>82</v>
      </c>
      <c r="M100" s="13" t="s">
        <v>25</v>
      </c>
      <c r="N100" s="34"/>
    </row>
    <row r="101" spans="1:14" ht="63.75" customHeight="1" x14ac:dyDescent="0.25">
      <c r="A101" s="17">
        <v>100</v>
      </c>
      <c r="B101" s="16" t="s">
        <v>3515</v>
      </c>
      <c r="C101" s="17">
        <v>1</v>
      </c>
      <c r="D101" s="17">
        <v>12.1</v>
      </c>
      <c r="E101" s="17"/>
      <c r="F101" s="16" t="s">
        <v>62</v>
      </c>
      <c r="G101" s="17" t="s">
        <v>3516</v>
      </c>
      <c r="H101" s="17" t="s">
        <v>3517</v>
      </c>
      <c r="I101" s="17" t="s">
        <v>34</v>
      </c>
      <c r="J101" s="24" t="s">
        <v>3518</v>
      </c>
      <c r="K101" s="18">
        <v>46141</v>
      </c>
      <c r="L101" s="17" t="s">
        <v>24</v>
      </c>
      <c r="M101" s="7" t="s">
        <v>25</v>
      </c>
      <c r="N101" s="17"/>
    </row>
    <row r="102" spans="1:14" ht="63.75" customHeight="1" x14ac:dyDescent="0.25">
      <c r="A102" s="17">
        <v>101</v>
      </c>
      <c r="B102" s="16" t="s">
        <v>3515</v>
      </c>
      <c r="C102" s="17">
        <v>2</v>
      </c>
      <c r="D102" s="17">
        <v>16.100000000000001</v>
      </c>
      <c r="E102" s="17">
        <v>12.1</v>
      </c>
      <c r="F102" s="16" t="s">
        <v>121</v>
      </c>
      <c r="G102" s="17" t="s">
        <v>3519</v>
      </c>
      <c r="H102" s="17" t="s">
        <v>3520</v>
      </c>
      <c r="I102" s="17" t="s">
        <v>34</v>
      </c>
      <c r="J102" s="24" t="s">
        <v>3521</v>
      </c>
      <c r="K102" s="18">
        <v>46137</v>
      </c>
      <c r="L102" s="17" t="s">
        <v>24</v>
      </c>
      <c r="M102" s="7" t="s">
        <v>25</v>
      </c>
      <c r="N102" s="17"/>
    </row>
    <row r="103" spans="1:14" ht="25.5" customHeight="1" x14ac:dyDescent="0.25">
      <c r="A103" s="17">
        <v>102</v>
      </c>
      <c r="B103" s="16" t="s">
        <v>3515</v>
      </c>
      <c r="C103" s="17">
        <v>3</v>
      </c>
      <c r="D103" s="17">
        <v>12.9</v>
      </c>
      <c r="E103" s="17">
        <v>12.1</v>
      </c>
      <c r="F103" s="16" t="s">
        <v>151</v>
      </c>
      <c r="G103" s="17" t="s">
        <v>3522</v>
      </c>
      <c r="H103" s="17" t="s">
        <v>3523</v>
      </c>
      <c r="I103" s="17" t="s">
        <v>28</v>
      </c>
      <c r="J103" s="24" t="s">
        <v>3524</v>
      </c>
      <c r="K103" s="18">
        <v>46140</v>
      </c>
      <c r="L103" s="17" t="s">
        <v>24</v>
      </c>
      <c r="M103" s="7" t="s">
        <v>25</v>
      </c>
      <c r="N103" s="17"/>
    </row>
    <row r="104" spans="1:14" x14ac:dyDescent="0.25">
      <c r="A104" s="22"/>
      <c r="B104" s="23"/>
      <c r="C104" s="22"/>
      <c r="D104" s="22"/>
      <c r="E104" s="22"/>
      <c r="F104" s="23"/>
      <c r="G104" s="22"/>
      <c r="H104" s="22"/>
      <c r="I104" s="22"/>
      <c r="J104" s="31"/>
      <c r="K104" s="22"/>
      <c r="L104" s="22"/>
      <c r="M104" s="22"/>
      <c r="N104" s="22"/>
    </row>
    <row r="105" spans="1:14" x14ac:dyDescent="0.25">
      <c r="A105" s="22"/>
      <c r="B105" s="23"/>
      <c r="C105" s="22"/>
      <c r="D105" s="22"/>
      <c r="E105" s="22"/>
      <c r="F105" s="23"/>
      <c r="G105" s="22"/>
      <c r="H105" s="22"/>
      <c r="I105" s="22"/>
      <c r="J105" s="31"/>
      <c r="K105" s="22"/>
      <c r="L105" s="22"/>
      <c r="M105" s="22"/>
      <c r="N105" s="22"/>
    </row>
    <row r="106" spans="1:14" x14ac:dyDescent="0.25">
      <c r="A106" s="22"/>
      <c r="B106" s="23"/>
      <c r="C106" s="22"/>
      <c r="D106" s="22"/>
      <c r="E106" s="22"/>
      <c r="F106" s="23"/>
      <c r="G106" s="22"/>
      <c r="H106" s="22"/>
      <c r="I106" s="22"/>
      <c r="J106" s="31"/>
      <c r="K106" s="22"/>
      <c r="L106" s="22"/>
      <c r="M106" s="22"/>
      <c r="N106" s="22"/>
    </row>
    <row r="107" spans="1:14" x14ac:dyDescent="0.25">
      <c r="A107" s="22"/>
      <c r="B107" s="23"/>
      <c r="C107" s="22"/>
      <c r="D107" s="22"/>
      <c r="E107" s="22"/>
      <c r="F107" s="23"/>
      <c r="G107" s="22"/>
      <c r="H107" s="22"/>
      <c r="I107" s="22"/>
      <c r="J107" s="31"/>
      <c r="K107" s="22"/>
      <c r="L107" s="22"/>
      <c r="M107" s="22"/>
      <c r="N107" s="22"/>
    </row>
    <row r="108" spans="1:14" x14ac:dyDescent="0.25">
      <c r="A108" s="22"/>
      <c r="B108" s="23"/>
      <c r="C108" s="22"/>
      <c r="D108" s="22"/>
      <c r="E108" s="22"/>
      <c r="F108" s="23"/>
      <c r="G108" s="22"/>
      <c r="H108" s="22"/>
      <c r="I108" s="22"/>
      <c r="J108" s="31"/>
      <c r="K108" s="22"/>
      <c r="L108" s="22"/>
      <c r="M108" s="22"/>
      <c r="N108" s="22"/>
    </row>
    <row r="109" spans="1:14" x14ac:dyDescent="0.25">
      <c r="A109" s="22"/>
      <c r="B109" s="23"/>
      <c r="C109" s="22"/>
      <c r="D109" s="22"/>
      <c r="E109" s="22"/>
      <c r="F109" s="23"/>
      <c r="G109" s="22"/>
      <c r="H109" s="22"/>
      <c r="I109" s="22"/>
      <c r="J109" s="31"/>
      <c r="K109" s="22"/>
      <c r="L109" s="22"/>
      <c r="M109" s="22"/>
      <c r="N109" s="22"/>
    </row>
    <row r="110" spans="1:14" x14ac:dyDescent="0.25">
      <c r="A110" s="22"/>
      <c r="B110" s="23"/>
      <c r="C110" s="22"/>
      <c r="D110" s="22"/>
      <c r="E110" s="22"/>
      <c r="F110" s="23"/>
      <c r="G110" s="22"/>
      <c r="H110" s="22"/>
      <c r="I110" s="22"/>
      <c r="J110" s="31"/>
      <c r="K110" s="22"/>
      <c r="L110" s="22"/>
      <c r="M110" s="22"/>
      <c r="N110" s="22"/>
    </row>
    <row r="111" spans="1:14" x14ac:dyDescent="0.25">
      <c r="A111" s="22"/>
      <c r="B111" s="23"/>
      <c r="C111" s="22"/>
      <c r="D111" s="22"/>
      <c r="E111" s="22"/>
      <c r="F111" s="23"/>
      <c r="G111" s="22"/>
      <c r="H111" s="22"/>
      <c r="I111" s="22"/>
      <c r="J111" s="31"/>
      <c r="K111" s="22"/>
      <c r="L111" s="22"/>
      <c r="M111" s="22"/>
      <c r="N111" s="22"/>
    </row>
    <row r="112" spans="1:14" x14ac:dyDescent="0.25">
      <c r="A112" s="22"/>
      <c r="B112" s="23"/>
      <c r="C112" s="22"/>
      <c r="D112" s="22"/>
      <c r="E112" s="22"/>
      <c r="F112" s="23"/>
      <c r="G112" s="22"/>
      <c r="H112" s="22"/>
      <c r="I112" s="22"/>
      <c r="J112" s="31"/>
      <c r="K112" s="22"/>
      <c r="L112" s="22"/>
      <c r="M112" s="22"/>
      <c r="N112" s="22"/>
    </row>
    <row r="113" spans="1:14" x14ac:dyDescent="0.25">
      <c r="A113" s="22"/>
      <c r="B113" s="23"/>
      <c r="C113" s="22"/>
      <c r="D113" s="22"/>
      <c r="E113" s="22"/>
      <c r="F113" s="23"/>
      <c r="G113" s="22"/>
      <c r="H113" s="22"/>
      <c r="I113" s="22"/>
      <c r="J113" s="31"/>
      <c r="K113" s="22"/>
      <c r="L113" s="22"/>
      <c r="M113" s="22"/>
      <c r="N113" s="22"/>
    </row>
    <row r="114" spans="1:14" x14ac:dyDescent="0.25">
      <c r="A114" s="22"/>
      <c r="B114" s="23"/>
      <c r="C114" s="22"/>
      <c r="D114" s="22"/>
      <c r="E114" s="22"/>
      <c r="F114" s="23"/>
      <c r="G114" s="22"/>
      <c r="H114" s="22"/>
      <c r="I114" s="22"/>
      <c r="J114" s="31"/>
      <c r="K114" s="22"/>
      <c r="L114" s="22"/>
      <c r="M114" s="22"/>
      <c r="N114" s="22"/>
    </row>
    <row r="115" spans="1:14" x14ac:dyDescent="0.25">
      <c r="A115" s="22"/>
      <c r="B115" s="23"/>
      <c r="C115" s="22"/>
      <c r="D115" s="22"/>
      <c r="E115" s="22"/>
      <c r="F115" s="23"/>
      <c r="G115" s="22"/>
      <c r="H115" s="22"/>
      <c r="I115" s="22"/>
      <c r="J115" s="31"/>
      <c r="K115" s="22"/>
      <c r="L115" s="22"/>
      <c r="M115" s="22"/>
      <c r="N115" s="22"/>
    </row>
    <row r="116" spans="1:14" x14ac:dyDescent="0.25">
      <c r="A116" s="22"/>
      <c r="B116" s="23"/>
      <c r="C116" s="22"/>
      <c r="D116" s="22"/>
      <c r="E116" s="22"/>
      <c r="F116" s="23"/>
      <c r="G116" s="22"/>
      <c r="H116" s="22"/>
      <c r="I116" s="22"/>
      <c r="J116" s="31"/>
      <c r="K116" s="22"/>
      <c r="L116" s="22"/>
      <c r="M116" s="22"/>
      <c r="N116" s="22"/>
    </row>
    <row r="117" spans="1:14" x14ac:dyDescent="0.25">
      <c r="A117" s="22"/>
      <c r="B117" s="23"/>
      <c r="C117" s="22"/>
      <c r="D117" s="22"/>
      <c r="E117" s="22"/>
      <c r="F117" s="23"/>
      <c r="G117" s="22"/>
      <c r="H117" s="22"/>
      <c r="I117" s="22"/>
      <c r="J117" s="31"/>
      <c r="K117" s="22"/>
      <c r="L117" s="22"/>
      <c r="M117" s="22"/>
      <c r="N117" s="22"/>
    </row>
    <row r="118" spans="1:14" x14ac:dyDescent="0.25">
      <c r="A118" s="22"/>
      <c r="B118" s="23"/>
      <c r="C118" s="22"/>
      <c r="D118" s="22"/>
      <c r="E118" s="22"/>
      <c r="F118" s="23"/>
      <c r="G118" s="22"/>
      <c r="H118" s="22"/>
      <c r="I118" s="22"/>
      <c r="J118" s="31"/>
      <c r="K118" s="22"/>
      <c r="L118" s="22"/>
      <c r="M118" s="22"/>
      <c r="N118" s="22"/>
    </row>
    <row r="119" spans="1:14" x14ac:dyDescent="0.25">
      <c r="A119" s="22"/>
      <c r="B119" s="23"/>
      <c r="C119" s="22"/>
      <c r="D119" s="22"/>
      <c r="E119" s="22"/>
      <c r="F119" s="23"/>
      <c r="G119" s="22"/>
      <c r="H119" s="22"/>
      <c r="I119" s="22"/>
      <c r="J119" s="31"/>
      <c r="K119" s="22"/>
      <c r="L119" s="22"/>
      <c r="M119" s="22"/>
      <c r="N119" s="22"/>
    </row>
    <row r="120" spans="1:14" x14ac:dyDescent="0.25">
      <c r="A120" s="22"/>
      <c r="B120" s="23"/>
      <c r="C120" s="22"/>
      <c r="D120" s="22"/>
      <c r="E120" s="22"/>
      <c r="F120" s="23"/>
      <c r="G120" s="22"/>
      <c r="H120" s="22"/>
      <c r="I120" s="22"/>
      <c r="J120" s="31"/>
      <c r="K120" s="22"/>
      <c r="L120" s="22"/>
      <c r="M120" s="22"/>
      <c r="N120" s="22"/>
    </row>
    <row r="121" spans="1:14" x14ac:dyDescent="0.25">
      <c r="A121" s="22"/>
      <c r="B121" s="23"/>
      <c r="C121" s="22"/>
      <c r="D121" s="22"/>
      <c r="E121" s="22"/>
      <c r="F121" s="23"/>
      <c r="G121" s="22"/>
      <c r="H121" s="22"/>
      <c r="I121" s="22"/>
      <c r="J121" s="31"/>
      <c r="K121" s="22"/>
      <c r="L121" s="22"/>
      <c r="M121" s="22"/>
      <c r="N121" s="22"/>
    </row>
    <row r="122" spans="1:14" x14ac:dyDescent="0.25">
      <c r="A122" s="22"/>
      <c r="B122" s="23"/>
      <c r="C122" s="22"/>
      <c r="D122" s="22"/>
      <c r="E122" s="22"/>
      <c r="F122" s="23"/>
      <c r="G122" s="22"/>
      <c r="H122" s="22"/>
      <c r="I122" s="22"/>
      <c r="J122" s="31"/>
      <c r="K122" s="22"/>
      <c r="L122" s="22"/>
      <c r="M122" s="22"/>
      <c r="N122" s="22"/>
    </row>
    <row r="123" spans="1:14" x14ac:dyDescent="0.25">
      <c r="A123" s="22"/>
      <c r="B123" s="23"/>
      <c r="C123" s="22"/>
      <c r="D123" s="22"/>
      <c r="E123" s="22"/>
      <c r="F123" s="23"/>
      <c r="G123" s="22"/>
      <c r="H123" s="22"/>
      <c r="I123" s="22"/>
      <c r="J123" s="31"/>
      <c r="K123" s="22"/>
      <c r="L123" s="22"/>
      <c r="M123" s="22"/>
      <c r="N123" s="22"/>
    </row>
    <row r="124" spans="1:14" x14ac:dyDescent="0.25">
      <c r="A124" s="22"/>
      <c r="B124" s="23"/>
      <c r="C124" s="22"/>
      <c r="D124" s="22"/>
      <c r="E124" s="22"/>
      <c r="F124" s="23"/>
      <c r="G124" s="22"/>
      <c r="H124" s="22"/>
      <c r="I124" s="22"/>
      <c r="J124" s="31"/>
      <c r="K124" s="22"/>
      <c r="L124" s="22"/>
      <c r="M124" s="22"/>
      <c r="N124" s="22"/>
    </row>
    <row r="125" spans="1:14" x14ac:dyDescent="0.25">
      <c r="A125" s="22"/>
      <c r="B125" s="23"/>
      <c r="C125" s="22"/>
      <c r="D125" s="22"/>
      <c r="E125" s="22"/>
      <c r="F125" s="23"/>
      <c r="G125" s="22"/>
      <c r="H125" s="22"/>
      <c r="I125" s="22"/>
      <c r="J125" s="31"/>
      <c r="K125" s="22"/>
      <c r="L125" s="22"/>
      <c r="M125" s="22"/>
      <c r="N125" s="22"/>
    </row>
    <row r="126" spans="1:14" x14ac:dyDescent="0.25">
      <c r="A126" s="22"/>
      <c r="B126" s="23"/>
      <c r="C126" s="22"/>
      <c r="D126" s="22"/>
      <c r="E126" s="22"/>
      <c r="F126" s="23"/>
      <c r="G126" s="22"/>
      <c r="H126" s="22"/>
      <c r="I126" s="22"/>
      <c r="J126" s="31"/>
      <c r="K126" s="22"/>
      <c r="L126" s="22"/>
      <c r="M126" s="22"/>
      <c r="N126" s="22"/>
    </row>
    <row r="127" spans="1:14" x14ac:dyDescent="0.25">
      <c r="A127" s="22"/>
      <c r="B127" s="23"/>
      <c r="C127" s="22"/>
      <c r="D127" s="22"/>
      <c r="E127" s="22"/>
      <c r="F127" s="23"/>
      <c r="G127" s="22"/>
      <c r="H127" s="22"/>
      <c r="I127" s="22"/>
      <c r="J127" s="31"/>
      <c r="K127" s="22"/>
      <c r="L127" s="22"/>
      <c r="M127" s="22"/>
      <c r="N127" s="22"/>
    </row>
    <row r="128" spans="1:14" x14ac:dyDescent="0.25">
      <c r="A128" s="22"/>
      <c r="B128" s="23"/>
      <c r="C128" s="22"/>
      <c r="D128" s="22"/>
      <c r="E128" s="22"/>
      <c r="F128" s="23"/>
      <c r="G128" s="22"/>
      <c r="H128" s="22"/>
      <c r="I128" s="22"/>
      <c r="J128" s="31"/>
      <c r="K128" s="22"/>
      <c r="L128" s="22"/>
      <c r="M128" s="22"/>
      <c r="N128" s="22"/>
    </row>
    <row r="129" spans="1:14" x14ac:dyDescent="0.25">
      <c r="A129" s="22"/>
      <c r="B129" s="23"/>
      <c r="C129" s="22"/>
      <c r="D129" s="22"/>
      <c r="E129" s="22"/>
      <c r="F129" s="23"/>
      <c r="G129" s="22"/>
      <c r="H129" s="22"/>
      <c r="I129" s="22"/>
      <c r="J129" s="31"/>
      <c r="K129" s="22"/>
      <c r="L129" s="22"/>
      <c r="M129" s="22"/>
      <c r="N129" s="22"/>
    </row>
    <row r="130" spans="1:14" x14ac:dyDescent="0.25">
      <c r="A130" s="22"/>
      <c r="B130" s="23"/>
      <c r="C130" s="22"/>
      <c r="D130" s="22"/>
      <c r="E130" s="22"/>
      <c r="F130" s="23"/>
      <c r="G130" s="22"/>
      <c r="H130" s="22"/>
      <c r="I130" s="22"/>
      <c r="J130" s="31"/>
      <c r="K130" s="22"/>
      <c r="L130" s="22"/>
      <c r="M130" s="22"/>
      <c r="N130" s="22"/>
    </row>
    <row r="131" spans="1:14" x14ac:dyDescent="0.25">
      <c r="A131" s="22"/>
      <c r="B131" s="23"/>
      <c r="C131" s="22"/>
      <c r="D131" s="22"/>
      <c r="E131" s="22"/>
      <c r="F131" s="23"/>
      <c r="G131" s="22"/>
      <c r="H131" s="22"/>
      <c r="I131" s="22"/>
      <c r="J131" s="31"/>
      <c r="K131" s="22"/>
      <c r="L131" s="22"/>
      <c r="M131" s="22"/>
      <c r="N131" s="22"/>
    </row>
    <row r="132" spans="1:14" x14ac:dyDescent="0.25">
      <c r="A132" s="22"/>
      <c r="B132" s="23"/>
      <c r="C132" s="22"/>
      <c r="D132" s="22"/>
      <c r="E132" s="22"/>
      <c r="F132" s="23"/>
      <c r="G132" s="22"/>
      <c r="H132" s="22"/>
      <c r="I132" s="22"/>
      <c r="J132" s="31"/>
      <c r="K132" s="22"/>
      <c r="L132" s="22"/>
      <c r="M132" s="22"/>
      <c r="N132" s="22"/>
    </row>
    <row r="133" spans="1:14" x14ac:dyDescent="0.25">
      <c r="A133" s="22"/>
      <c r="B133" s="23"/>
      <c r="C133" s="22"/>
      <c r="D133" s="22"/>
      <c r="E133" s="22"/>
      <c r="F133" s="23"/>
      <c r="G133" s="22"/>
      <c r="H133" s="22"/>
      <c r="I133" s="22"/>
      <c r="J133" s="31"/>
      <c r="K133" s="22"/>
      <c r="L133" s="22"/>
      <c r="M133" s="22"/>
      <c r="N133" s="22"/>
    </row>
    <row r="134" spans="1:14" x14ac:dyDescent="0.25">
      <c r="A134" s="22"/>
      <c r="B134" s="23"/>
      <c r="C134" s="22"/>
      <c r="D134" s="22"/>
      <c r="E134" s="22"/>
      <c r="F134" s="23"/>
      <c r="G134" s="22"/>
      <c r="H134" s="22"/>
      <c r="I134" s="22"/>
      <c r="J134" s="31"/>
      <c r="K134" s="22"/>
      <c r="L134" s="22"/>
      <c r="M134" s="22"/>
      <c r="N134" s="22"/>
    </row>
    <row r="135" spans="1:14" x14ac:dyDescent="0.25">
      <c r="A135" s="22"/>
      <c r="B135" s="23"/>
      <c r="C135" s="22"/>
      <c r="D135" s="22"/>
      <c r="E135" s="22"/>
      <c r="F135" s="23"/>
      <c r="G135" s="22"/>
      <c r="H135" s="22"/>
      <c r="I135" s="22"/>
      <c r="J135" s="31"/>
      <c r="K135" s="22"/>
      <c r="L135" s="22"/>
      <c r="M135" s="22"/>
      <c r="N135" s="22"/>
    </row>
    <row r="136" spans="1:14" x14ac:dyDescent="0.25">
      <c r="A136" s="22"/>
      <c r="B136" s="23"/>
      <c r="C136" s="22"/>
      <c r="D136" s="22"/>
      <c r="E136" s="22"/>
      <c r="F136" s="23"/>
      <c r="G136" s="22"/>
      <c r="H136" s="22"/>
      <c r="I136" s="22"/>
      <c r="J136" s="31"/>
      <c r="K136" s="22"/>
      <c r="L136" s="22"/>
      <c r="M136" s="22"/>
      <c r="N136" s="22"/>
    </row>
    <row r="137" spans="1:14" x14ac:dyDescent="0.25">
      <c r="A137" s="22"/>
      <c r="B137" s="23"/>
      <c r="C137" s="22"/>
      <c r="D137" s="22"/>
      <c r="E137" s="22"/>
      <c r="F137" s="23"/>
      <c r="G137" s="22"/>
      <c r="H137" s="22"/>
      <c r="I137" s="22"/>
      <c r="J137" s="31"/>
      <c r="K137" s="22"/>
      <c r="L137" s="22"/>
      <c r="M137" s="22"/>
      <c r="N137" s="22"/>
    </row>
    <row r="138" spans="1:14" x14ac:dyDescent="0.25">
      <c r="A138" s="22"/>
      <c r="B138" s="23"/>
      <c r="C138" s="22"/>
      <c r="D138" s="22"/>
      <c r="E138" s="22"/>
      <c r="F138" s="23"/>
      <c r="G138" s="22"/>
      <c r="H138" s="22"/>
      <c r="I138" s="22"/>
      <c r="J138" s="31"/>
      <c r="K138" s="22"/>
      <c r="L138" s="22"/>
      <c r="M138" s="22"/>
      <c r="N138" s="22"/>
    </row>
    <row r="139" spans="1:14" x14ac:dyDescent="0.25">
      <c r="A139" s="22"/>
      <c r="B139" s="23"/>
      <c r="C139" s="22"/>
      <c r="D139" s="22"/>
      <c r="E139" s="22"/>
      <c r="F139" s="23"/>
      <c r="G139" s="22"/>
      <c r="H139" s="22"/>
      <c r="I139" s="22"/>
      <c r="J139" s="31"/>
      <c r="K139" s="22"/>
      <c r="L139" s="22"/>
      <c r="M139" s="22"/>
      <c r="N139" s="22"/>
    </row>
    <row r="140" spans="1:14" x14ac:dyDescent="0.25">
      <c r="A140" s="22"/>
      <c r="B140" s="23"/>
      <c r="C140" s="22"/>
      <c r="D140" s="22"/>
      <c r="E140" s="22"/>
      <c r="F140" s="23"/>
      <c r="G140" s="22"/>
      <c r="H140" s="22"/>
      <c r="I140" s="22"/>
      <c r="J140" s="31"/>
      <c r="K140" s="22"/>
      <c r="L140" s="22"/>
      <c r="M140" s="22"/>
      <c r="N140" s="22"/>
    </row>
    <row r="141" spans="1:14" x14ac:dyDescent="0.25">
      <c r="A141" s="22"/>
      <c r="B141" s="23"/>
      <c r="C141" s="22"/>
      <c r="D141" s="22"/>
      <c r="E141" s="22"/>
      <c r="F141" s="23"/>
      <c r="G141" s="22"/>
      <c r="H141" s="22"/>
      <c r="I141" s="22"/>
      <c r="J141" s="31"/>
      <c r="K141" s="22"/>
      <c r="L141" s="22"/>
      <c r="M141" s="22"/>
      <c r="N141" s="22"/>
    </row>
    <row r="142" spans="1:14" x14ac:dyDescent="0.25">
      <c r="A142" s="22"/>
      <c r="B142" s="23"/>
      <c r="C142" s="22"/>
      <c r="D142" s="22"/>
      <c r="E142" s="22"/>
      <c r="F142" s="23"/>
      <c r="G142" s="22"/>
      <c r="H142" s="22"/>
      <c r="I142" s="22"/>
      <c r="J142" s="31"/>
      <c r="K142" s="22"/>
      <c r="L142" s="22"/>
      <c r="M142" s="22"/>
      <c r="N142" s="22"/>
    </row>
    <row r="143" spans="1:14" x14ac:dyDescent="0.25">
      <c r="A143" s="22"/>
      <c r="B143" s="23"/>
      <c r="C143" s="22"/>
      <c r="D143" s="22"/>
      <c r="E143" s="22"/>
      <c r="F143" s="23"/>
      <c r="G143" s="22"/>
      <c r="H143" s="22"/>
      <c r="I143" s="22"/>
      <c r="J143" s="31"/>
      <c r="K143" s="22"/>
      <c r="L143" s="22"/>
      <c r="M143" s="22"/>
      <c r="N143" s="22"/>
    </row>
    <row r="144" spans="1:14" x14ac:dyDescent="0.25">
      <c r="A144" s="22"/>
      <c r="B144" s="23"/>
      <c r="C144" s="22"/>
      <c r="D144" s="22"/>
      <c r="E144" s="22"/>
      <c r="F144" s="23"/>
      <c r="G144" s="22"/>
      <c r="H144" s="22"/>
      <c r="I144" s="22"/>
      <c r="J144" s="31"/>
      <c r="K144" s="22"/>
      <c r="L144" s="22"/>
      <c r="M144" s="22"/>
      <c r="N144" s="22"/>
    </row>
    <row r="145" spans="1:14" x14ac:dyDescent="0.25">
      <c r="A145" s="22"/>
      <c r="B145" s="23"/>
      <c r="C145" s="22"/>
      <c r="D145" s="22"/>
      <c r="E145" s="22"/>
      <c r="F145" s="23"/>
      <c r="G145" s="22"/>
      <c r="H145" s="22"/>
      <c r="I145" s="22"/>
      <c r="J145" s="31"/>
      <c r="K145" s="22"/>
      <c r="L145" s="22"/>
      <c r="M145" s="22"/>
      <c r="N145" s="22"/>
    </row>
    <row r="146" spans="1:14" x14ac:dyDescent="0.25">
      <c r="A146" s="22"/>
      <c r="B146" s="23"/>
      <c r="C146" s="22"/>
      <c r="D146" s="22"/>
      <c r="E146" s="22"/>
      <c r="F146" s="23"/>
      <c r="G146" s="22"/>
      <c r="H146" s="22"/>
      <c r="I146" s="22"/>
      <c r="J146" s="31"/>
      <c r="K146" s="22"/>
      <c r="L146" s="22"/>
      <c r="M146" s="22"/>
      <c r="N146" s="22"/>
    </row>
    <row r="147" spans="1:14" x14ac:dyDescent="0.25">
      <c r="A147" s="22"/>
      <c r="B147" s="23"/>
      <c r="C147" s="22"/>
      <c r="D147" s="22"/>
      <c r="E147" s="22"/>
      <c r="F147" s="23"/>
      <c r="G147" s="22"/>
      <c r="H147" s="22"/>
      <c r="I147" s="22"/>
      <c r="J147" s="31"/>
      <c r="K147" s="22"/>
      <c r="L147" s="22"/>
      <c r="M147" s="22"/>
      <c r="N147" s="22"/>
    </row>
    <row r="148" spans="1:14" x14ac:dyDescent="0.25">
      <c r="A148" s="22"/>
      <c r="B148" s="23"/>
      <c r="C148" s="22"/>
      <c r="D148" s="22"/>
      <c r="E148" s="22"/>
      <c r="F148" s="23"/>
      <c r="G148" s="22"/>
      <c r="H148" s="22"/>
      <c r="I148" s="22"/>
      <c r="J148" s="31"/>
      <c r="K148" s="22"/>
      <c r="L148" s="22"/>
      <c r="M148" s="22"/>
      <c r="N148" s="22"/>
    </row>
    <row r="149" spans="1:14" x14ac:dyDescent="0.25">
      <c r="A149" s="22"/>
      <c r="B149" s="23"/>
      <c r="C149" s="22"/>
      <c r="D149" s="22"/>
      <c r="E149" s="22"/>
      <c r="F149" s="23"/>
      <c r="G149" s="22"/>
      <c r="H149" s="22"/>
      <c r="I149" s="22"/>
      <c r="J149" s="31"/>
      <c r="K149" s="22"/>
      <c r="L149" s="22"/>
      <c r="M149" s="22"/>
      <c r="N149" s="22"/>
    </row>
    <row r="150" spans="1:14" x14ac:dyDescent="0.25">
      <c r="A150" s="22"/>
      <c r="B150" s="23"/>
      <c r="C150" s="22"/>
      <c r="D150" s="22"/>
      <c r="E150" s="22"/>
      <c r="F150" s="23"/>
      <c r="G150" s="22"/>
      <c r="H150" s="22"/>
      <c r="I150" s="22"/>
      <c r="J150" s="31"/>
      <c r="K150" s="22"/>
      <c r="L150" s="22"/>
      <c r="M150" s="22"/>
      <c r="N150" s="22"/>
    </row>
    <row r="151" spans="1:14" x14ac:dyDescent="0.25">
      <c r="A151" s="22"/>
      <c r="B151" s="23"/>
      <c r="C151" s="22"/>
      <c r="D151" s="22"/>
      <c r="E151" s="22"/>
      <c r="F151" s="23"/>
      <c r="G151" s="22"/>
      <c r="H151" s="22"/>
      <c r="I151" s="22"/>
      <c r="J151" s="31"/>
      <c r="K151" s="22"/>
      <c r="L151" s="22"/>
      <c r="M151" s="22"/>
      <c r="N151" s="22"/>
    </row>
    <row r="152" spans="1:14" x14ac:dyDescent="0.25">
      <c r="A152" s="22"/>
      <c r="B152" s="23"/>
      <c r="C152" s="22"/>
      <c r="D152" s="22"/>
      <c r="E152" s="22"/>
      <c r="F152" s="23"/>
      <c r="G152" s="22"/>
      <c r="H152" s="22"/>
      <c r="I152" s="22"/>
      <c r="J152" s="31"/>
      <c r="K152" s="22"/>
      <c r="L152" s="22"/>
      <c r="M152" s="22"/>
      <c r="N152" s="22"/>
    </row>
    <row r="153" spans="1:14" x14ac:dyDescent="0.25">
      <c r="A153" s="22"/>
      <c r="B153" s="23"/>
      <c r="C153" s="22"/>
      <c r="D153" s="22"/>
      <c r="E153" s="22"/>
      <c r="F153" s="23"/>
      <c r="G153" s="22"/>
      <c r="H153" s="22"/>
      <c r="I153" s="22"/>
      <c r="J153" s="31"/>
      <c r="K153" s="22"/>
      <c r="L153" s="22"/>
      <c r="M153" s="22"/>
      <c r="N153" s="22"/>
    </row>
    <row r="154" spans="1:14" x14ac:dyDescent="0.25">
      <c r="A154" s="22"/>
      <c r="B154" s="23"/>
      <c r="C154" s="22"/>
      <c r="D154" s="22"/>
      <c r="E154" s="22"/>
      <c r="F154" s="23"/>
      <c r="G154" s="22"/>
      <c r="H154" s="22"/>
      <c r="I154" s="22"/>
      <c r="J154" s="31"/>
      <c r="K154" s="22"/>
      <c r="L154" s="22"/>
      <c r="M154" s="22"/>
      <c r="N154" s="22"/>
    </row>
    <row r="155" spans="1:14" x14ac:dyDescent="0.25">
      <c r="A155" s="22"/>
      <c r="B155" s="23"/>
      <c r="C155" s="22"/>
      <c r="D155" s="22"/>
      <c r="E155" s="22"/>
      <c r="F155" s="23"/>
      <c r="G155" s="22"/>
      <c r="H155" s="22"/>
      <c r="I155" s="22"/>
      <c r="J155" s="31"/>
      <c r="K155" s="22"/>
      <c r="L155" s="22"/>
      <c r="M155" s="22"/>
      <c r="N155" s="22"/>
    </row>
    <row r="156" spans="1:14" x14ac:dyDescent="0.25">
      <c r="A156" s="22"/>
      <c r="B156" s="23"/>
      <c r="C156" s="22"/>
      <c r="D156" s="22"/>
      <c r="E156" s="22"/>
      <c r="F156" s="23"/>
      <c r="G156" s="22"/>
      <c r="H156" s="22"/>
      <c r="I156" s="22"/>
      <c r="J156" s="31"/>
      <c r="K156" s="22"/>
      <c r="L156" s="22"/>
      <c r="M156" s="22"/>
      <c r="N156" s="22"/>
    </row>
    <row r="157" spans="1:14" x14ac:dyDescent="0.25">
      <c r="A157" s="22"/>
      <c r="B157" s="23"/>
      <c r="C157" s="22"/>
      <c r="D157" s="22"/>
      <c r="E157" s="22"/>
      <c r="F157" s="23"/>
      <c r="G157" s="22"/>
      <c r="H157" s="22"/>
      <c r="I157" s="22"/>
      <c r="J157" s="31"/>
      <c r="K157" s="22"/>
      <c r="L157" s="22"/>
      <c r="M157" s="22"/>
      <c r="N157" s="22"/>
    </row>
    <row r="158" spans="1:14" x14ac:dyDescent="0.25">
      <c r="A158" s="22"/>
      <c r="B158" s="23"/>
      <c r="C158" s="22"/>
      <c r="D158" s="22"/>
      <c r="E158" s="22"/>
      <c r="F158" s="23"/>
      <c r="G158" s="22"/>
      <c r="H158" s="22"/>
      <c r="I158" s="22"/>
      <c r="J158" s="31"/>
      <c r="K158" s="22"/>
      <c r="L158" s="22"/>
      <c r="M158" s="22"/>
      <c r="N158" s="22"/>
    </row>
    <row r="159" spans="1:14" x14ac:dyDescent="0.25">
      <c r="A159" s="22"/>
      <c r="B159" s="23"/>
      <c r="C159" s="22"/>
      <c r="D159" s="22"/>
      <c r="E159" s="22"/>
      <c r="F159" s="23"/>
      <c r="G159" s="22"/>
      <c r="H159" s="22"/>
      <c r="I159" s="22"/>
      <c r="J159" s="31"/>
      <c r="K159" s="22"/>
      <c r="L159" s="22"/>
      <c r="M159" s="22"/>
      <c r="N159" s="22"/>
    </row>
    <row r="160" spans="1:14" x14ac:dyDescent="0.25">
      <c r="A160" s="22"/>
      <c r="B160" s="23"/>
      <c r="C160" s="22"/>
      <c r="D160" s="22"/>
      <c r="E160" s="22"/>
      <c r="F160" s="23"/>
      <c r="G160" s="22"/>
      <c r="H160" s="22"/>
      <c r="I160" s="22"/>
      <c r="J160" s="31"/>
      <c r="K160" s="22"/>
      <c r="L160" s="22"/>
      <c r="M160" s="22"/>
      <c r="N160" s="22"/>
    </row>
    <row r="161" spans="1:14" x14ac:dyDescent="0.25">
      <c r="A161" s="22"/>
      <c r="B161" s="23"/>
      <c r="C161" s="22"/>
      <c r="D161" s="22"/>
      <c r="E161" s="22"/>
      <c r="F161" s="23"/>
      <c r="G161" s="22"/>
      <c r="H161" s="22"/>
      <c r="I161" s="22"/>
      <c r="J161" s="31"/>
      <c r="K161" s="22"/>
      <c r="L161" s="22"/>
      <c r="M161" s="22"/>
      <c r="N161" s="22"/>
    </row>
    <row r="162" spans="1:14" x14ac:dyDescent="0.25">
      <c r="A162" s="22"/>
      <c r="B162" s="23"/>
      <c r="C162" s="22"/>
      <c r="D162" s="22"/>
      <c r="E162" s="22"/>
      <c r="F162" s="23"/>
      <c r="G162" s="22"/>
      <c r="H162" s="22"/>
      <c r="I162" s="22"/>
      <c r="J162" s="31"/>
      <c r="K162" s="22"/>
      <c r="L162" s="22"/>
      <c r="M162" s="22"/>
      <c r="N162" s="22"/>
    </row>
    <row r="163" spans="1:14" x14ac:dyDescent="0.25">
      <c r="A163" s="22"/>
      <c r="B163" s="23"/>
      <c r="C163" s="22"/>
      <c r="D163" s="22"/>
      <c r="E163" s="22"/>
      <c r="F163" s="23"/>
      <c r="G163" s="22"/>
      <c r="H163" s="22"/>
      <c r="I163" s="22"/>
      <c r="J163" s="31"/>
      <c r="K163" s="22"/>
      <c r="L163" s="22"/>
      <c r="M163" s="22"/>
      <c r="N163" s="22"/>
    </row>
    <row r="164" spans="1:14" x14ac:dyDescent="0.25">
      <c r="A164" s="22"/>
      <c r="B164" s="23"/>
      <c r="C164" s="22"/>
      <c r="D164" s="22"/>
      <c r="E164" s="22"/>
      <c r="F164" s="23"/>
      <c r="G164" s="22"/>
      <c r="H164" s="22"/>
      <c r="I164" s="22"/>
      <c r="J164" s="31"/>
      <c r="K164" s="22"/>
      <c r="L164" s="22"/>
      <c r="M164" s="22"/>
      <c r="N164" s="22"/>
    </row>
    <row r="165" spans="1:14" x14ac:dyDescent="0.25">
      <c r="A165" s="22"/>
      <c r="B165" s="23"/>
      <c r="C165" s="22"/>
      <c r="D165" s="22"/>
      <c r="E165" s="22"/>
      <c r="F165" s="23"/>
      <c r="G165" s="22"/>
      <c r="H165" s="22"/>
      <c r="I165" s="22"/>
      <c r="J165" s="31"/>
      <c r="K165" s="22"/>
      <c r="L165" s="22"/>
      <c r="M165" s="22"/>
      <c r="N165" s="22"/>
    </row>
    <row r="166" spans="1:14" x14ac:dyDescent="0.25">
      <c r="A166" s="22"/>
      <c r="B166" s="23"/>
      <c r="C166" s="22"/>
      <c r="D166" s="22"/>
      <c r="E166" s="22"/>
      <c r="F166" s="23"/>
      <c r="G166" s="22"/>
      <c r="H166" s="22"/>
      <c r="I166" s="22"/>
      <c r="J166" s="31"/>
      <c r="K166" s="22"/>
      <c r="L166" s="22"/>
      <c r="M166" s="22"/>
      <c r="N166" s="22"/>
    </row>
    <row r="167" spans="1:14" x14ac:dyDescent="0.25">
      <c r="A167" s="22"/>
      <c r="B167" s="23"/>
      <c r="C167" s="22"/>
      <c r="D167" s="22"/>
      <c r="E167" s="22"/>
      <c r="F167" s="23"/>
      <c r="G167" s="22"/>
      <c r="H167" s="22"/>
      <c r="I167" s="22"/>
      <c r="J167" s="31"/>
      <c r="K167" s="22"/>
      <c r="L167" s="22"/>
      <c r="M167" s="22"/>
      <c r="N167" s="22"/>
    </row>
    <row r="168" spans="1:14" x14ac:dyDescent="0.25">
      <c r="A168" s="22"/>
      <c r="B168" s="23"/>
      <c r="C168" s="22"/>
      <c r="D168" s="22"/>
      <c r="E168" s="22"/>
      <c r="F168" s="23"/>
      <c r="G168" s="22"/>
      <c r="H168" s="22"/>
      <c r="I168" s="22"/>
      <c r="J168" s="31"/>
      <c r="K168" s="22"/>
      <c r="L168" s="22"/>
      <c r="M168" s="22"/>
      <c r="N168" s="22"/>
    </row>
    <row r="169" spans="1:14" x14ac:dyDescent="0.25">
      <c r="A169" s="22"/>
      <c r="B169" s="23"/>
      <c r="C169" s="22"/>
      <c r="D169" s="22"/>
      <c r="E169" s="22"/>
      <c r="F169" s="23"/>
      <c r="G169" s="22"/>
      <c r="H169" s="22"/>
      <c r="I169" s="22"/>
      <c r="J169" s="31"/>
      <c r="K169" s="22"/>
      <c r="L169" s="22"/>
      <c r="M169" s="22"/>
      <c r="N169" s="22"/>
    </row>
    <row r="170" spans="1:14" x14ac:dyDescent="0.25">
      <c r="A170" s="22"/>
      <c r="B170" s="23"/>
      <c r="C170" s="22"/>
      <c r="D170" s="22"/>
      <c r="E170" s="22"/>
      <c r="F170" s="23"/>
      <c r="G170" s="22"/>
      <c r="H170" s="22"/>
      <c r="I170" s="22"/>
      <c r="J170" s="31"/>
      <c r="K170" s="22"/>
      <c r="L170" s="22"/>
      <c r="M170" s="22"/>
      <c r="N170" s="22"/>
    </row>
    <row r="171" spans="1:14" x14ac:dyDescent="0.25">
      <c r="A171" s="22"/>
      <c r="B171" s="23"/>
      <c r="C171" s="22"/>
      <c r="D171" s="22"/>
      <c r="E171" s="22"/>
      <c r="F171" s="23"/>
      <c r="G171" s="22"/>
      <c r="H171" s="22"/>
      <c r="I171" s="22"/>
      <c r="J171" s="31"/>
      <c r="K171" s="22"/>
      <c r="L171" s="22"/>
      <c r="M171" s="22"/>
      <c r="N171" s="22"/>
    </row>
    <row r="172" spans="1:14" x14ac:dyDescent="0.25">
      <c r="A172" s="22"/>
      <c r="B172" s="23"/>
      <c r="C172" s="22"/>
      <c r="D172" s="22"/>
      <c r="E172" s="22"/>
      <c r="F172" s="23"/>
      <c r="G172" s="22"/>
      <c r="H172" s="22"/>
      <c r="I172" s="22"/>
      <c r="J172" s="31"/>
      <c r="K172" s="22"/>
      <c r="L172" s="22"/>
      <c r="M172" s="22"/>
      <c r="N172" s="22"/>
    </row>
    <row r="173" spans="1:14" x14ac:dyDescent="0.25">
      <c r="A173" s="22"/>
      <c r="B173" s="23"/>
      <c r="C173" s="22"/>
      <c r="D173" s="22"/>
      <c r="E173" s="22"/>
      <c r="F173" s="23"/>
      <c r="G173" s="22"/>
      <c r="H173" s="22"/>
      <c r="I173" s="22"/>
      <c r="J173" s="31"/>
      <c r="K173" s="22"/>
      <c r="L173" s="22"/>
      <c r="M173" s="22"/>
      <c r="N173" s="22"/>
    </row>
    <row r="174" spans="1:14" x14ac:dyDescent="0.25">
      <c r="A174" s="22"/>
      <c r="B174" s="23"/>
      <c r="C174" s="22"/>
      <c r="D174" s="22"/>
      <c r="E174" s="22"/>
      <c r="F174" s="23"/>
      <c r="G174" s="22"/>
      <c r="H174" s="22"/>
      <c r="I174" s="22"/>
      <c r="J174" s="31"/>
      <c r="K174" s="22"/>
      <c r="L174" s="22"/>
      <c r="M174" s="22"/>
      <c r="N174" s="22"/>
    </row>
    <row r="175" spans="1:14" x14ac:dyDescent="0.25">
      <c r="A175" s="22"/>
      <c r="B175" s="23"/>
      <c r="C175" s="22"/>
      <c r="D175" s="22"/>
      <c r="E175" s="22"/>
      <c r="F175" s="23"/>
      <c r="G175" s="22"/>
      <c r="H175" s="22"/>
      <c r="I175" s="22"/>
      <c r="J175" s="31"/>
      <c r="K175" s="22"/>
      <c r="L175" s="22"/>
      <c r="M175" s="22"/>
      <c r="N175" s="22"/>
    </row>
    <row r="176" spans="1:14" x14ac:dyDescent="0.25">
      <c r="A176" s="22"/>
      <c r="B176" s="23"/>
      <c r="C176" s="22"/>
      <c r="D176" s="22"/>
      <c r="E176" s="22"/>
      <c r="F176" s="23"/>
      <c r="G176" s="22"/>
      <c r="H176" s="22"/>
      <c r="I176" s="22"/>
      <c r="J176" s="31"/>
      <c r="K176" s="22"/>
      <c r="L176" s="22"/>
      <c r="M176" s="22"/>
      <c r="N176" s="22"/>
    </row>
    <row r="177" spans="1:14" x14ac:dyDescent="0.25">
      <c r="A177" s="22"/>
      <c r="B177" s="23"/>
      <c r="C177" s="22"/>
      <c r="D177" s="22"/>
      <c r="E177" s="22"/>
      <c r="F177" s="23"/>
      <c r="G177" s="22"/>
      <c r="H177" s="22"/>
      <c r="I177" s="22"/>
      <c r="J177" s="31"/>
      <c r="K177" s="22"/>
      <c r="L177" s="22"/>
      <c r="M177" s="22"/>
      <c r="N177" s="22"/>
    </row>
    <row r="178" spans="1:14" x14ac:dyDescent="0.25">
      <c r="A178" s="22"/>
      <c r="B178" s="23"/>
      <c r="C178" s="22"/>
      <c r="D178" s="22"/>
      <c r="E178" s="22"/>
      <c r="F178" s="23"/>
      <c r="G178" s="22"/>
      <c r="H178" s="22"/>
      <c r="I178" s="22"/>
      <c r="J178" s="31"/>
      <c r="K178" s="22"/>
      <c r="L178" s="22"/>
      <c r="M178" s="22"/>
      <c r="N178" s="22"/>
    </row>
    <row r="179" spans="1:14" x14ac:dyDescent="0.25">
      <c r="A179" s="22"/>
      <c r="B179" s="23"/>
      <c r="C179" s="22"/>
      <c r="D179" s="22"/>
      <c r="E179" s="22"/>
      <c r="F179" s="23"/>
      <c r="G179" s="22"/>
      <c r="H179" s="22"/>
      <c r="I179" s="22"/>
      <c r="J179" s="31"/>
      <c r="K179" s="22"/>
      <c r="L179" s="22"/>
      <c r="M179" s="22"/>
      <c r="N179" s="22"/>
    </row>
    <row r="180" spans="1:14" x14ac:dyDescent="0.25">
      <c r="A180" s="22"/>
      <c r="B180" s="23"/>
      <c r="C180" s="22"/>
      <c r="D180" s="22"/>
      <c r="E180" s="22"/>
      <c r="F180" s="23"/>
      <c r="G180" s="22"/>
      <c r="H180" s="22"/>
      <c r="I180" s="22"/>
      <c r="J180" s="31"/>
      <c r="K180" s="22"/>
      <c r="L180" s="22"/>
      <c r="M180" s="22"/>
      <c r="N180" s="22"/>
    </row>
    <row r="181" spans="1:14" x14ac:dyDescent="0.25">
      <c r="A181" s="22"/>
      <c r="B181" s="23"/>
      <c r="C181" s="22"/>
      <c r="D181" s="22"/>
      <c r="E181" s="22"/>
      <c r="F181" s="23"/>
      <c r="G181" s="22"/>
      <c r="H181" s="22"/>
      <c r="I181" s="22"/>
      <c r="J181" s="31"/>
      <c r="K181" s="22"/>
      <c r="L181" s="22"/>
      <c r="M181" s="22"/>
      <c r="N181" s="22"/>
    </row>
    <row r="182" spans="1:14" x14ac:dyDescent="0.25">
      <c r="A182" s="22"/>
      <c r="B182" s="23"/>
      <c r="C182" s="22"/>
      <c r="D182" s="22"/>
      <c r="E182" s="22"/>
      <c r="F182" s="23"/>
      <c r="G182" s="22"/>
      <c r="H182" s="22"/>
      <c r="I182" s="22"/>
      <c r="J182" s="31"/>
      <c r="K182" s="22"/>
      <c r="L182" s="22"/>
      <c r="M182" s="22"/>
      <c r="N182" s="22"/>
    </row>
    <row r="183" spans="1:14" x14ac:dyDescent="0.25">
      <c r="A183" s="22"/>
      <c r="B183" s="23"/>
      <c r="C183" s="22"/>
      <c r="D183" s="22"/>
      <c r="E183" s="22"/>
      <c r="F183" s="23"/>
      <c r="G183" s="22"/>
      <c r="H183" s="22"/>
      <c r="I183" s="22"/>
      <c r="J183" s="31"/>
      <c r="K183" s="22"/>
      <c r="L183" s="22"/>
      <c r="M183" s="22"/>
      <c r="N183" s="22"/>
    </row>
    <row r="184" spans="1:14" x14ac:dyDescent="0.25">
      <c r="A184" s="22"/>
      <c r="B184" s="23"/>
      <c r="C184" s="22"/>
      <c r="D184" s="22"/>
      <c r="E184" s="22"/>
      <c r="F184" s="23"/>
      <c r="G184" s="22"/>
      <c r="H184" s="22"/>
      <c r="I184" s="22"/>
      <c r="J184" s="31"/>
      <c r="K184" s="22"/>
      <c r="L184" s="22"/>
      <c r="M184" s="22"/>
      <c r="N184" s="22"/>
    </row>
    <row r="185" spans="1:14" x14ac:dyDescent="0.25">
      <c r="A185" s="22"/>
      <c r="B185" s="23"/>
      <c r="C185" s="22"/>
      <c r="D185" s="22"/>
      <c r="E185" s="22"/>
      <c r="F185" s="23"/>
      <c r="G185" s="22"/>
      <c r="H185" s="22"/>
      <c r="I185" s="22"/>
      <c r="J185" s="31"/>
      <c r="K185" s="22"/>
      <c r="L185" s="22"/>
      <c r="M185" s="22"/>
      <c r="N185" s="22"/>
    </row>
    <row r="186" spans="1:14" x14ac:dyDescent="0.25">
      <c r="A186" s="22"/>
      <c r="B186" s="23"/>
      <c r="C186" s="22"/>
      <c r="D186" s="22"/>
      <c r="E186" s="22"/>
      <c r="F186" s="23"/>
      <c r="G186" s="22"/>
      <c r="H186" s="22"/>
      <c r="I186" s="22"/>
      <c r="J186" s="31"/>
      <c r="K186" s="22"/>
      <c r="L186" s="22"/>
      <c r="M186" s="22"/>
      <c r="N186" s="22"/>
    </row>
    <row r="187" spans="1:14" x14ac:dyDescent="0.25">
      <c r="A187" s="22"/>
      <c r="B187" s="23"/>
      <c r="C187" s="22"/>
      <c r="D187" s="22"/>
      <c r="E187" s="22"/>
      <c r="F187" s="23"/>
      <c r="G187" s="22"/>
      <c r="H187" s="22"/>
      <c r="I187" s="22"/>
      <c r="J187" s="31"/>
      <c r="K187" s="22"/>
      <c r="L187" s="22"/>
      <c r="M187" s="22"/>
      <c r="N187" s="22"/>
    </row>
    <row r="188" spans="1:14" x14ac:dyDescent="0.25">
      <c r="A188" s="22"/>
      <c r="B188" s="23"/>
      <c r="C188" s="22"/>
      <c r="D188" s="22"/>
      <c r="E188" s="22"/>
      <c r="F188" s="23"/>
      <c r="G188" s="22"/>
      <c r="H188" s="22"/>
      <c r="I188" s="22"/>
      <c r="J188" s="31"/>
      <c r="K188" s="22"/>
      <c r="L188" s="22"/>
      <c r="M188" s="22"/>
      <c r="N188" s="22"/>
    </row>
    <row r="189" spans="1:14" x14ac:dyDescent="0.25">
      <c r="A189" s="22"/>
      <c r="B189" s="23"/>
      <c r="C189" s="22"/>
      <c r="D189" s="22"/>
      <c r="E189" s="22"/>
      <c r="F189" s="23"/>
      <c r="G189" s="22"/>
      <c r="H189" s="22"/>
      <c r="I189" s="22"/>
      <c r="J189" s="31"/>
      <c r="K189" s="22"/>
      <c r="L189" s="22"/>
      <c r="M189" s="22"/>
      <c r="N189" s="22"/>
    </row>
    <row r="190" spans="1:14" x14ac:dyDescent="0.25">
      <c r="A190" s="22"/>
      <c r="B190" s="23"/>
      <c r="C190" s="22"/>
      <c r="D190" s="22"/>
      <c r="E190" s="22"/>
      <c r="F190" s="23"/>
      <c r="G190" s="22"/>
      <c r="H190" s="22"/>
      <c r="I190" s="22"/>
      <c r="J190" s="31"/>
      <c r="K190" s="22"/>
      <c r="L190" s="22"/>
      <c r="M190" s="22"/>
      <c r="N190" s="22"/>
    </row>
    <row r="191" spans="1:14" x14ac:dyDescent="0.25">
      <c r="A191" s="22"/>
      <c r="B191" s="23"/>
      <c r="C191" s="22"/>
      <c r="D191" s="22"/>
      <c r="E191" s="22"/>
      <c r="F191" s="23"/>
      <c r="G191" s="22"/>
      <c r="H191" s="22"/>
      <c r="I191" s="22"/>
      <c r="J191" s="31"/>
      <c r="K191" s="22"/>
      <c r="L191" s="22"/>
      <c r="M191" s="22"/>
      <c r="N191" s="22"/>
    </row>
    <row r="192" spans="1:14" x14ac:dyDescent="0.25">
      <c r="A192" s="22"/>
      <c r="B192" s="23"/>
      <c r="C192" s="22"/>
      <c r="D192" s="22"/>
      <c r="E192" s="22"/>
      <c r="F192" s="23"/>
      <c r="G192" s="22"/>
      <c r="H192" s="22"/>
      <c r="I192" s="22"/>
      <c r="J192" s="31"/>
      <c r="K192" s="22"/>
      <c r="L192" s="22"/>
      <c r="M192" s="22"/>
      <c r="N192" s="22"/>
    </row>
    <row r="193" spans="1:14" x14ac:dyDescent="0.25">
      <c r="A193" s="22"/>
      <c r="B193" s="23"/>
      <c r="C193" s="22"/>
      <c r="D193" s="22"/>
      <c r="E193" s="22"/>
      <c r="F193" s="23"/>
      <c r="G193" s="22"/>
      <c r="H193" s="22"/>
      <c r="I193" s="22"/>
      <c r="J193" s="31"/>
      <c r="K193" s="22"/>
      <c r="L193" s="22"/>
      <c r="M193" s="22"/>
      <c r="N193" s="22"/>
    </row>
    <row r="194" spans="1:14" x14ac:dyDescent="0.25">
      <c r="A194" s="22"/>
      <c r="B194" s="23"/>
      <c r="C194" s="22"/>
      <c r="D194" s="22"/>
      <c r="E194" s="22"/>
      <c r="F194" s="23"/>
      <c r="G194" s="22"/>
      <c r="H194" s="22"/>
      <c r="I194" s="22"/>
      <c r="J194" s="31"/>
      <c r="K194" s="22"/>
      <c r="L194" s="22"/>
      <c r="M194" s="22"/>
      <c r="N194" s="22"/>
    </row>
    <row r="195" spans="1:14" x14ac:dyDescent="0.25">
      <c r="A195" s="22"/>
      <c r="B195" s="23"/>
      <c r="C195" s="22"/>
      <c r="D195" s="22"/>
      <c r="E195" s="22"/>
      <c r="F195" s="23"/>
      <c r="G195" s="22"/>
      <c r="H195" s="22"/>
      <c r="I195" s="22"/>
      <c r="J195" s="31"/>
      <c r="K195" s="22"/>
      <c r="L195" s="22"/>
      <c r="M195" s="22"/>
      <c r="N195" s="22"/>
    </row>
    <row r="196" spans="1:14" x14ac:dyDescent="0.25">
      <c r="A196" s="22"/>
      <c r="B196" s="23"/>
      <c r="C196" s="22"/>
      <c r="D196" s="22"/>
      <c r="E196" s="22"/>
      <c r="F196" s="23"/>
      <c r="G196" s="22"/>
      <c r="H196" s="22"/>
      <c r="I196" s="22"/>
      <c r="J196" s="31"/>
      <c r="K196" s="22"/>
      <c r="L196" s="22"/>
      <c r="M196" s="22"/>
      <c r="N196" s="22"/>
    </row>
    <row r="197" spans="1:14" x14ac:dyDescent="0.25">
      <c r="A197" s="22"/>
      <c r="B197" s="23"/>
      <c r="C197" s="22"/>
      <c r="D197" s="22"/>
      <c r="E197" s="22"/>
      <c r="F197" s="23"/>
      <c r="G197" s="22"/>
      <c r="H197" s="22"/>
      <c r="I197" s="22"/>
      <c r="J197" s="31"/>
      <c r="K197" s="22"/>
      <c r="L197" s="22"/>
      <c r="M197" s="22"/>
      <c r="N197" s="22"/>
    </row>
    <row r="198" spans="1:14" x14ac:dyDescent="0.25">
      <c r="A198" s="22"/>
      <c r="B198" s="23"/>
      <c r="C198" s="22"/>
      <c r="D198" s="22"/>
      <c r="E198" s="22"/>
      <c r="F198" s="23"/>
      <c r="G198" s="22"/>
      <c r="H198" s="22"/>
      <c r="I198" s="22"/>
      <c r="J198" s="31"/>
      <c r="K198" s="22"/>
      <c r="L198" s="22"/>
      <c r="M198" s="22"/>
      <c r="N198" s="22"/>
    </row>
    <row r="199" spans="1:14" x14ac:dyDescent="0.25">
      <c r="A199" s="22"/>
      <c r="B199" s="23"/>
      <c r="C199" s="22"/>
      <c r="D199" s="22"/>
      <c r="E199" s="22"/>
      <c r="F199" s="23"/>
      <c r="G199" s="22"/>
      <c r="H199" s="22"/>
      <c r="I199" s="22"/>
      <c r="J199" s="31"/>
      <c r="K199" s="22"/>
      <c r="L199" s="22"/>
      <c r="M199" s="22"/>
      <c r="N199" s="22"/>
    </row>
    <row r="200" spans="1:14" x14ac:dyDescent="0.25">
      <c r="A200" s="22"/>
      <c r="B200" s="23"/>
      <c r="C200" s="22"/>
      <c r="D200" s="22"/>
      <c r="E200" s="22"/>
      <c r="F200" s="23"/>
      <c r="G200" s="22"/>
      <c r="H200" s="22"/>
      <c r="I200" s="22"/>
      <c r="J200" s="31"/>
      <c r="K200" s="22"/>
      <c r="L200" s="22"/>
      <c r="M200" s="22"/>
      <c r="N200" s="22"/>
    </row>
    <row r="201" spans="1:14" x14ac:dyDescent="0.25">
      <c r="A201" s="22"/>
      <c r="B201" s="23"/>
      <c r="C201" s="22"/>
      <c r="D201" s="22"/>
      <c r="E201" s="22"/>
      <c r="F201" s="23"/>
      <c r="G201" s="22"/>
      <c r="H201" s="22"/>
      <c r="I201" s="22"/>
      <c r="J201" s="31"/>
      <c r="K201" s="22"/>
      <c r="L201" s="22"/>
      <c r="M201" s="22"/>
      <c r="N201" s="22"/>
    </row>
    <row r="202" spans="1:14" x14ac:dyDescent="0.25">
      <c r="A202" s="22"/>
      <c r="B202" s="23"/>
      <c r="C202" s="22"/>
      <c r="D202" s="22"/>
      <c r="E202" s="22"/>
      <c r="F202" s="23"/>
      <c r="G202" s="22"/>
      <c r="H202" s="22"/>
      <c r="I202" s="22"/>
      <c r="J202" s="31"/>
      <c r="K202" s="22"/>
      <c r="L202" s="22"/>
      <c r="M202" s="22"/>
      <c r="N202" s="22"/>
    </row>
    <row r="203" spans="1:14" x14ac:dyDescent="0.25">
      <c r="A203" s="22"/>
      <c r="B203" s="23"/>
      <c r="C203" s="22"/>
      <c r="D203" s="22"/>
      <c r="E203" s="22"/>
      <c r="F203" s="23"/>
      <c r="G203" s="22"/>
      <c r="H203" s="22"/>
      <c r="I203" s="22"/>
      <c r="J203" s="31"/>
      <c r="K203" s="22"/>
      <c r="L203" s="22"/>
      <c r="M203" s="22"/>
      <c r="N203" s="22"/>
    </row>
    <row r="204" spans="1:14" x14ac:dyDescent="0.25">
      <c r="A204" s="22"/>
      <c r="B204" s="23"/>
      <c r="C204" s="22"/>
      <c r="D204" s="22"/>
      <c r="E204" s="22"/>
      <c r="F204" s="23"/>
      <c r="G204" s="22"/>
      <c r="H204" s="22"/>
      <c r="I204" s="22"/>
      <c r="J204" s="31"/>
      <c r="K204" s="22"/>
      <c r="L204" s="22"/>
      <c r="M204" s="22"/>
      <c r="N204" s="22"/>
    </row>
    <row r="205" spans="1:14" x14ac:dyDescent="0.25">
      <c r="A205" s="22"/>
      <c r="B205" s="23"/>
      <c r="C205" s="22"/>
      <c r="D205" s="22"/>
      <c r="E205" s="22"/>
      <c r="F205" s="23"/>
      <c r="G205" s="22"/>
      <c r="H205" s="22"/>
      <c r="I205" s="22"/>
      <c r="J205" s="31"/>
      <c r="K205" s="22"/>
      <c r="L205" s="22"/>
      <c r="M205" s="22"/>
      <c r="N205" s="22"/>
    </row>
    <row r="206" spans="1:14" x14ac:dyDescent="0.25">
      <c r="A206" s="22"/>
      <c r="B206" s="23"/>
      <c r="C206" s="22"/>
      <c r="D206" s="22"/>
      <c r="E206" s="22"/>
      <c r="F206" s="23"/>
      <c r="G206" s="22"/>
      <c r="H206" s="22"/>
      <c r="I206" s="22"/>
      <c r="J206" s="31"/>
      <c r="K206" s="22"/>
      <c r="L206" s="22"/>
      <c r="M206" s="22"/>
      <c r="N206" s="22"/>
    </row>
    <row r="207" spans="1:14" x14ac:dyDescent="0.25">
      <c r="A207" s="22"/>
      <c r="B207" s="23"/>
      <c r="C207" s="22"/>
      <c r="D207" s="22"/>
      <c r="E207" s="22"/>
      <c r="F207" s="23"/>
      <c r="G207" s="22"/>
      <c r="H207" s="22"/>
      <c r="I207" s="22"/>
      <c r="J207" s="31"/>
      <c r="K207" s="22"/>
      <c r="L207" s="22"/>
      <c r="M207" s="22"/>
      <c r="N207" s="22"/>
    </row>
    <row r="208" spans="1:14" x14ac:dyDescent="0.25">
      <c r="A208" s="22"/>
      <c r="B208" s="23"/>
      <c r="C208" s="22"/>
      <c r="D208" s="22"/>
      <c r="E208" s="22"/>
      <c r="F208" s="23"/>
      <c r="G208" s="22"/>
      <c r="H208" s="22"/>
      <c r="I208" s="22"/>
      <c r="J208" s="31"/>
      <c r="K208" s="22"/>
      <c r="L208" s="22"/>
      <c r="M208" s="22"/>
      <c r="N208" s="22"/>
    </row>
    <row r="209" spans="1:14" x14ac:dyDescent="0.25">
      <c r="A209" s="22"/>
      <c r="B209" s="23"/>
      <c r="C209" s="22"/>
      <c r="D209" s="22"/>
      <c r="E209" s="22"/>
      <c r="F209" s="23"/>
      <c r="G209" s="22"/>
      <c r="H209" s="22"/>
      <c r="I209" s="22"/>
      <c r="J209" s="31"/>
      <c r="K209" s="22"/>
      <c r="L209" s="22"/>
      <c r="M209" s="22"/>
      <c r="N209" s="22"/>
    </row>
    <row r="210" spans="1:14" x14ac:dyDescent="0.25">
      <c r="A210" s="22"/>
      <c r="B210" s="23"/>
      <c r="C210" s="22"/>
      <c r="D210" s="22"/>
      <c r="E210" s="22"/>
      <c r="F210" s="23"/>
      <c r="G210" s="22"/>
      <c r="H210" s="22"/>
      <c r="I210" s="22"/>
      <c r="J210" s="31"/>
      <c r="K210" s="22"/>
      <c r="L210" s="22"/>
      <c r="M210" s="22"/>
      <c r="N210" s="22"/>
    </row>
    <row r="211" spans="1:14" x14ac:dyDescent="0.25">
      <c r="A211" s="22"/>
      <c r="B211" s="23"/>
      <c r="C211" s="22"/>
      <c r="D211" s="22"/>
      <c r="E211" s="22"/>
      <c r="F211" s="23"/>
      <c r="G211" s="22"/>
      <c r="H211" s="22"/>
      <c r="I211" s="22"/>
      <c r="J211" s="31"/>
      <c r="K211" s="22"/>
      <c r="L211" s="22"/>
      <c r="M211" s="22"/>
      <c r="N211" s="22"/>
    </row>
    <row r="212" spans="1:14" x14ac:dyDescent="0.25">
      <c r="A212" s="22"/>
      <c r="B212" s="23"/>
      <c r="C212" s="22"/>
      <c r="D212" s="22"/>
      <c r="E212" s="22"/>
      <c r="F212" s="23"/>
      <c r="G212" s="22"/>
      <c r="H212" s="22"/>
      <c r="I212" s="22"/>
      <c r="J212" s="31"/>
      <c r="K212" s="22"/>
      <c r="L212" s="22"/>
      <c r="M212" s="22"/>
      <c r="N212" s="22"/>
    </row>
    <row r="213" spans="1:14" x14ac:dyDescent="0.25">
      <c r="A213" s="22"/>
      <c r="B213" s="23"/>
      <c r="C213" s="22"/>
      <c r="D213" s="22"/>
      <c r="E213" s="22"/>
      <c r="F213" s="23"/>
      <c r="G213" s="22"/>
      <c r="H213" s="22"/>
      <c r="I213" s="22"/>
      <c r="J213" s="31"/>
      <c r="K213" s="22"/>
      <c r="L213" s="22"/>
      <c r="M213" s="22"/>
      <c r="N213" s="22"/>
    </row>
    <row r="214" spans="1:14" x14ac:dyDescent="0.25">
      <c r="A214" s="22"/>
      <c r="B214" s="23"/>
      <c r="C214" s="22"/>
      <c r="D214" s="22"/>
      <c r="E214" s="22"/>
      <c r="F214" s="23"/>
      <c r="G214" s="22"/>
      <c r="H214" s="22"/>
      <c r="I214" s="22"/>
      <c r="J214" s="31"/>
      <c r="K214" s="22"/>
      <c r="L214" s="22"/>
      <c r="M214" s="22"/>
      <c r="N214" s="22"/>
    </row>
    <row r="215" spans="1:14" x14ac:dyDescent="0.25">
      <c r="A215" s="22"/>
      <c r="B215" s="23"/>
      <c r="C215" s="22"/>
      <c r="D215" s="22"/>
      <c r="E215" s="22"/>
      <c r="F215" s="23"/>
      <c r="G215" s="22"/>
      <c r="H215" s="22"/>
      <c r="I215" s="22"/>
      <c r="J215" s="31"/>
      <c r="K215" s="22"/>
      <c r="L215" s="22"/>
      <c r="M215" s="22"/>
      <c r="N215" s="22"/>
    </row>
    <row r="216" spans="1:14" x14ac:dyDescent="0.25">
      <c r="A216" s="22"/>
      <c r="B216" s="23"/>
      <c r="C216" s="22"/>
      <c r="D216" s="22"/>
      <c r="E216" s="22"/>
      <c r="F216" s="23"/>
      <c r="G216" s="22"/>
      <c r="H216" s="22"/>
      <c r="I216" s="22"/>
      <c r="J216" s="31"/>
      <c r="K216" s="22"/>
      <c r="L216" s="22"/>
      <c r="M216" s="22"/>
      <c r="N216" s="22"/>
    </row>
    <row r="217" spans="1:14" x14ac:dyDescent="0.25">
      <c r="A217" s="22"/>
      <c r="B217" s="23"/>
      <c r="C217" s="22"/>
      <c r="D217" s="22"/>
      <c r="E217" s="22"/>
      <c r="F217" s="23"/>
      <c r="G217" s="22"/>
      <c r="H217" s="22"/>
      <c r="I217" s="22"/>
      <c r="J217" s="31"/>
      <c r="K217" s="22"/>
      <c r="L217" s="22"/>
      <c r="M217" s="22"/>
      <c r="N217" s="22"/>
    </row>
    <row r="218" spans="1:14" x14ac:dyDescent="0.25">
      <c r="A218" s="22"/>
      <c r="B218" s="23"/>
      <c r="C218" s="22"/>
      <c r="D218" s="22"/>
      <c r="E218" s="22"/>
      <c r="F218" s="23"/>
      <c r="G218" s="22"/>
      <c r="H218" s="22"/>
      <c r="I218" s="22"/>
      <c r="J218" s="31"/>
      <c r="K218" s="22"/>
      <c r="L218" s="22"/>
      <c r="M218" s="22"/>
      <c r="N218" s="22"/>
    </row>
    <row r="219" spans="1:14" x14ac:dyDescent="0.25">
      <c r="A219" s="22"/>
      <c r="B219" s="23"/>
      <c r="C219" s="22"/>
      <c r="D219" s="22"/>
      <c r="E219" s="22"/>
      <c r="F219" s="23"/>
      <c r="G219" s="22"/>
      <c r="H219" s="22"/>
      <c r="I219" s="22"/>
      <c r="J219" s="31"/>
      <c r="K219" s="22"/>
      <c r="L219" s="22"/>
      <c r="M219" s="22"/>
      <c r="N219" s="22"/>
    </row>
    <row r="220" spans="1:14" x14ac:dyDescent="0.25">
      <c r="A220" s="22"/>
      <c r="B220" s="23"/>
      <c r="C220" s="22"/>
      <c r="D220" s="22"/>
      <c r="E220" s="22"/>
      <c r="F220" s="23"/>
      <c r="G220" s="22"/>
      <c r="H220" s="22"/>
      <c r="I220" s="22"/>
      <c r="J220" s="31"/>
      <c r="K220" s="22"/>
      <c r="L220" s="22"/>
      <c r="M220" s="22"/>
      <c r="N220" s="22"/>
    </row>
    <row r="221" spans="1:14" x14ac:dyDescent="0.25">
      <c r="A221" s="22"/>
      <c r="B221" s="23"/>
      <c r="C221" s="22"/>
      <c r="D221" s="22"/>
      <c r="E221" s="22"/>
      <c r="F221" s="23"/>
      <c r="G221" s="22"/>
      <c r="H221" s="22"/>
      <c r="I221" s="22"/>
      <c r="J221" s="31"/>
      <c r="K221" s="22"/>
      <c r="L221" s="22"/>
      <c r="M221" s="22"/>
      <c r="N221" s="22"/>
    </row>
    <row r="222" spans="1:14" x14ac:dyDescent="0.25">
      <c r="A222" s="22"/>
      <c r="B222" s="23"/>
      <c r="C222" s="22"/>
      <c r="D222" s="22"/>
      <c r="E222" s="22"/>
      <c r="F222" s="23"/>
      <c r="G222" s="22"/>
      <c r="H222" s="22"/>
      <c r="I222" s="22"/>
      <c r="J222" s="31"/>
      <c r="K222" s="22"/>
      <c r="L222" s="22"/>
      <c r="M222" s="22"/>
      <c r="N222" s="22"/>
    </row>
    <row r="223" spans="1:14" x14ac:dyDescent="0.25">
      <c r="A223" s="22"/>
      <c r="B223" s="23"/>
      <c r="C223" s="22"/>
      <c r="D223" s="22"/>
      <c r="E223" s="22"/>
      <c r="F223" s="23"/>
      <c r="G223" s="22"/>
      <c r="H223" s="22"/>
      <c r="I223" s="22"/>
      <c r="J223" s="31"/>
      <c r="K223" s="22"/>
      <c r="L223" s="22"/>
      <c r="M223" s="22"/>
      <c r="N223" s="22"/>
    </row>
    <row r="224" spans="1:14" x14ac:dyDescent="0.25">
      <c r="A224" s="22"/>
      <c r="B224" s="23"/>
      <c r="C224" s="22"/>
      <c r="D224" s="22"/>
      <c r="E224" s="22"/>
      <c r="F224" s="23"/>
      <c r="G224" s="22"/>
      <c r="H224" s="22"/>
      <c r="I224" s="22"/>
      <c r="J224" s="31"/>
      <c r="K224" s="22"/>
      <c r="L224" s="22"/>
      <c r="M224" s="22"/>
      <c r="N224" s="22"/>
    </row>
    <row r="225" spans="1:14" x14ac:dyDescent="0.25">
      <c r="A225" s="22"/>
      <c r="B225" s="23"/>
      <c r="C225" s="22"/>
      <c r="D225" s="22"/>
      <c r="E225" s="22"/>
      <c r="F225" s="23"/>
      <c r="G225" s="22"/>
      <c r="H225" s="22"/>
      <c r="I225" s="22"/>
      <c r="J225" s="31"/>
      <c r="K225" s="22"/>
      <c r="L225" s="22"/>
      <c r="M225" s="22"/>
      <c r="N225" s="22"/>
    </row>
    <row r="226" spans="1:14" x14ac:dyDescent="0.25">
      <c r="A226" s="22"/>
      <c r="B226" s="23"/>
      <c r="C226" s="22"/>
      <c r="D226" s="22"/>
      <c r="E226" s="22"/>
      <c r="F226" s="23"/>
      <c r="G226" s="22"/>
      <c r="H226" s="22"/>
      <c r="I226" s="22"/>
      <c r="J226" s="31"/>
      <c r="K226" s="22"/>
      <c r="L226" s="22"/>
      <c r="M226" s="22"/>
      <c r="N226" s="22"/>
    </row>
    <row r="227" spans="1:14" x14ac:dyDescent="0.25">
      <c r="A227" s="22"/>
      <c r="B227" s="23"/>
      <c r="C227" s="22"/>
      <c r="D227" s="22"/>
      <c r="E227" s="22"/>
      <c r="F227" s="23"/>
      <c r="G227" s="22"/>
      <c r="H227" s="22"/>
      <c r="I227" s="22"/>
      <c r="J227" s="31"/>
      <c r="K227" s="22"/>
      <c r="L227" s="22"/>
      <c r="M227" s="22"/>
      <c r="N227" s="22"/>
    </row>
    <row r="228" spans="1:14" x14ac:dyDescent="0.25">
      <c r="A228" s="22"/>
      <c r="B228" s="23"/>
      <c r="C228" s="22"/>
      <c r="D228" s="22"/>
      <c r="E228" s="22"/>
      <c r="F228" s="23"/>
      <c r="G228" s="22"/>
      <c r="H228" s="22"/>
      <c r="I228" s="22"/>
      <c r="J228" s="31"/>
      <c r="K228" s="22"/>
      <c r="L228" s="22"/>
      <c r="M228" s="22"/>
      <c r="N228" s="22"/>
    </row>
    <row r="229" spans="1:14" x14ac:dyDescent="0.25">
      <c r="A229" s="22"/>
      <c r="B229" s="23"/>
      <c r="C229" s="22"/>
      <c r="D229" s="22"/>
      <c r="E229" s="22"/>
      <c r="F229" s="23"/>
      <c r="G229" s="22"/>
      <c r="H229" s="22"/>
      <c r="I229" s="22"/>
      <c r="J229" s="31"/>
      <c r="K229" s="22"/>
      <c r="L229" s="22"/>
      <c r="M229" s="22"/>
      <c r="N229" s="22"/>
    </row>
    <row r="230" spans="1:14" x14ac:dyDescent="0.25">
      <c r="A230" s="22"/>
      <c r="B230" s="23"/>
      <c r="C230" s="22"/>
      <c r="D230" s="22"/>
      <c r="E230" s="22"/>
      <c r="F230" s="23"/>
      <c r="G230" s="22"/>
      <c r="H230" s="22"/>
      <c r="I230" s="22"/>
      <c r="J230" s="31"/>
      <c r="K230" s="22"/>
      <c r="L230" s="22"/>
      <c r="M230" s="22"/>
      <c r="N230" s="22"/>
    </row>
    <row r="231" spans="1:14" x14ac:dyDescent="0.25">
      <c r="A231" s="22"/>
      <c r="B231" s="23"/>
      <c r="C231" s="22"/>
      <c r="D231" s="22"/>
      <c r="E231" s="22"/>
      <c r="F231" s="23"/>
      <c r="G231" s="22"/>
      <c r="H231" s="22"/>
      <c r="I231" s="22"/>
      <c r="J231" s="31"/>
      <c r="K231" s="22"/>
      <c r="L231" s="22"/>
      <c r="M231" s="22"/>
      <c r="N231" s="22"/>
    </row>
    <row r="232" spans="1:14" x14ac:dyDescent="0.25">
      <c r="A232" s="22"/>
      <c r="B232" s="23"/>
      <c r="C232" s="22"/>
      <c r="D232" s="22"/>
      <c r="E232" s="22"/>
      <c r="F232" s="23"/>
      <c r="G232" s="22"/>
      <c r="H232" s="22"/>
      <c r="I232" s="22"/>
      <c r="J232" s="31"/>
      <c r="K232" s="22"/>
      <c r="L232" s="22"/>
      <c r="M232" s="22"/>
      <c r="N232" s="22"/>
    </row>
    <row r="233" spans="1:14" x14ac:dyDescent="0.25">
      <c r="A233" s="22"/>
      <c r="B233" s="23"/>
      <c r="C233" s="22"/>
      <c r="D233" s="22"/>
      <c r="E233" s="22"/>
      <c r="F233" s="23"/>
      <c r="G233" s="22"/>
      <c r="H233" s="22"/>
      <c r="I233" s="22"/>
      <c r="J233" s="31"/>
      <c r="K233" s="22"/>
      <c r="L233" s="22"/>
      <c r="M233" s="22"/>
      <c r="N233" s="22"/>
    </row>
    <row r="234" spans="1:14" x14ac:dyDescent="0.25">
      <c r="A234" s="22"/>
      <c r="B234" s="23"/>
      <c r="C234" s="22"/>
      <c r="D234" s="22"/>
      <c r="E234" s="22"/>
      <c r="F234" s="23"/>
      <c r="G234" s="22"/>
      <c r="H234" s="22"/>
      <c r="I234" s="22"/>
      <c r="J234" s="31"/>
      <c r="K234" s="22"/>
      <c r="L234" s="22"/>
      <c r="M234" s="22"/>
      <c r="N234" s="22"/>
    </row>
    <row r="235" spans="1:14" x14ac:dyDescent="0.25">
      <c r="A235" s="22"/>
      <c r="B235" s="23"/>
      <c r="C235" s="22"/>
      <c r="D235" s="22"/>
      <c r="E235" s="22"/>
      <c r="F235" s="23"/>
      <c r="G235" s="22"/>
      <c r="H235" s="22"/>
      <c r="I235" s="22"/>
      <c r="J235" s="31"/>
      <c r="K235" s="22"/>
      <c r="L235" s="22"/>
      <c r="M235" s="22"/>
      <c r="N235" s="22"/>
    </row>
    <row r="236" spans="1:14" x14ac:dyDescent="0.25">
      <c r="A236" s="22"/>
      <c r="B236" s="23"/>
      <c r="C236" s="22"/>
      <c r="D236" s="22"/>
      <c r="E236" s="22"/>
      <c r="F236" s="23"/>
      <c r="G236" s="22"/>
      <c r="H236" s="22"/>
      <c r="I236" s="22"/>
      <c r="J236" s="31"/>
      <c r="K236" s="22"/>
      <c r="L236" s="22"/>
      <c r="M236" s="22"/>
      <c r="N236" s="22"/>
    </row>
    <row r="237" spans="1:14" x14ac:dyDescent="0.25">
      <c r="A237" s="22"/>
      <c r="B237" s="23"/>
      <c r="C237" s="22"/>
      <c r="D237" s="22"/>
      <c r="E237" s="22"/>
      <c r="F237" s="23"/>
      <c r="G237" s="22"/>
      <c r="H237" s="22"/>
      <c r="I237" s="22"/>
      <c r="J237" s="31"/>
      <c r="K237" s="22"/>
      <c r="L237" s="22"/>
      <c r="M237" s="22"/>
      <c r="N237" s="22"/>
    </row>
    <row r="238" spans="1:14" x14ac:dyDescent="0.25">
      <c r="A238" s="22"/>
      <c r="B238" s="23"/>
      <c r="C238" s="22"/>
      <c r="D238" s="22"/>
      <c r="E238" s="22"/>
      <c r="F238" s="23"/>
      <c r="G238" s="22"/>
      <c r="H238" s="22"/>
      <c r="I238" s="22"/>
      <c r="J238" s="31"/>
      <c r="K238" s="22"/>
      <c r="L238" s="22"/>
      <c r="M238" s="22"/>
      <c r="N238" s="22"/>
    </row>
    <row r="239" spans="1:14" x14ac:dyDescent="0.25">
      <c r="A239" s="22"/>
      <c r="B239" s="23"/>
      <c r="C239" s="22"/>
      <c r="D239" s="22"/>
      <c r="E239" s="22"/>
      <c r="F239" s="23"/>
      <c r="G239" s="22"/>
      <c r="H239" s="22"/>
      <c r="I239" s="22"/>
      <c r="J239" s="31"/>
      <c r="K239" s="22"/>
      <c r="L239" s="22"/>
      <c r="M239" s="22"/>
      <c r="N239" s="22"/>
    </row>
    <row r="240" spans="1:14" x14ac:dyDescent="0.25">
      <c r="A240" s="22"/>
      <c r="B240" s="23"/>
      <c r="C240" s="22"/>
      <c r="D240" s="22"/>
      <c r="E240" s="22"/>
      <c r="F240" s="23"/>
      <c r="G240" s="22"/>
      <c r="H240" s="22"/>
      <c r="I240" s="22"/>
      <c r="J240" s="31"/>
      <c r="K240" s="22"/>
      <c r="L240" s="22"/>
      <c r="M240" s="22"/>
      <c r="N240" s="22"/>
    </row>
    <row r="241" spans="1:14" x14ac:dyDescent="0.25">
      <c r="A241" s="22"/>
      <c r="B241" s="23"/>
      <c r="C241" s="22"/>
      <c r="D241" s="22"/>
      <c r="E241" s="22"/>
      <c r="F241" s="23"/>
      <c r="G241" s="22"/>
      <c r="H241" s="22"/>
      <c r="I241" s="22"/>
      <c r="J241" s="31"/>
      <c r="K241" s="22"/>
      <c r="L241" s="22"/>
      <c r="M241" s="22"/>
      <c r="N241" s="22"/>
    </row>
    <row r="242" spans="1:14" x14ac:dyDescent="0.25">
      <c r="A242" s="22"/>
      <c r="B242" s="23"/>
      <c r="C242" s="22"/>
      <c r="D242" s="22"/>
      <c r="E242" s="22"/>
      <c r="F242" s="23"/>
      <c r="G242" s="22"/>
      <c r="H242" s="22"/>
      <c r="I242" s="22"/>
      <c r="J242" s="31"/>
      <c r="K242" s="22"/>
      <c r="L242" s="22"/>
      <c r="M242" s="22"/>
      <c r="N242" s="22"/>
    </row>
    <row r="243" spans="1:14" x14ac:dyDescent="0.25">
      <c r="A243" s="22"/>
      <c r="B243" s="23"/>
      <c r="C243" s="22"/>
      <c r="D243" s="22"/>
      <c r="E243" s="22"/>
      <c r="F243" s="23"/>
      <c r="G243" s="22"/>
      <c r="H243" s="22"/>
      <c r="I243" s="22"/>
      <c r="J243" s="31"/>
      <c r="K243" s="22"/>
      <c r="L243" s="22"/>
      <c r="M243" s="22"/>
      <c r="N243" s="22"/>
    </row>
    <row r="244" spans="1:14" x14ac:dyDescent="0.25">
      <c r="A244" s="22"/>
      <c r="B244" s="23"/>
      <c r="C244" s="22"/>
      <c r="D244" s="22"/>
      <c r="E244" s="22"/>
      <c r="F244" s="23"/>
      <c r="G244" s="22"/>
      <c r="H244" s="22"/>
      <c r="I244" s="22"/>
      <c r="J244" s="31"/>
      <c r="K244" s="22"/>
      <c r="L244" s="22"/>
      <c r="M244" s="22"/>
      <c r="N244" s="22"/>
    </row>
    <row r="245" spans="1:14" x14ac:dyDescent="0.25">
      <c r="A245" s="22"/>
      <c r="B245" s="23"/>
      <c r="C245" s="22"/>
      <c r="D245" s="22"/>
      <c r="E245" s="22"/>
      <c r="F245" s="23"/>
      <c r="G245" s="22"/>
      <c r="H245" s="22"/>
      <c r="I245" s="22"/>
      <c r="J245" s="31"/>
      <c r="K245" s="22"/>
      <c r="L245" s="22"/>
      <c r="M245" s="22"/>
      <c r="N245" s="22"/>
    </row>
    <row r="246" spans="1:14" x14ac:dyDescent="0.25">
      <c r="A246" s="22"/>
      <c r="B246" s="23"/>
      <c r="C246" s="22"/>
      <c r="D246" s="22"/>
      <c r="E246" s="22"/>
      <c r="F246" s="23"/>
      <c r="G246" s="22"/>
      <c r="H246" s="22"/>
      <c r="I246" s="22"/>
      <c r="J246" s="31"/>
      <c r="K246" s="22"/>
      <c r="L246" s="22"/>
      <c r="M246" s="22"/>
      <c r="N246" s="22"/>
    </row>
    <row r="247" spans="1:14" x14ac:dyDescent="0.25">
      <c r="A247" s="22"/>
      <c r="B247" s="23"/>
      <c r="C247" s="22"/>
      <c r="D247" s="22"/>
      <c r="E247" s="22"/>
      <c r="F247" s="23"/>
      <c r="G247" s="22"/>
      <c r="H247" s="22"/>
      <c r="I247" s="22"/>
      <c r="J247" s="31"/>
      <c r="K247" s="22"/>
      <c r="L247" s="22"/>
      <c r="M247" s="22"/>
      <c r="N247" s="22"/>
    </row>
    <row r="248" spans="1:14" x14ac:dyDescent="0.25">
      <c r="A248" s="22"/>
      <c r="B248" s="23"/>
      <c r="C248" s="22"/>
      <c r="D248" s="22"/>
      <c r="E248" s="22"/>
      <c r="F248" s="23"/>
      <c r="G248" s="22"/>
      <c r="H248" s="22"/>
      <c r="I248" s="22"/>
      <c r="J248" s="31"/>
      <c r="K248" s="22"/>
      <c r="L248" s="22"/>
      <c r="M248" s="22"/>
      <c r="N248" s="22"/>
    </row>
    <row r="249" spans="1:14" x14ac:dyDescent="0.25">
      <c r="A249" s="22"/>
      <c r="B249" s="23"/>
      <c r="C249" s="22"/>
      <c r="D249" s="22"/>
      <c r="E249" s="22"/>
      <c r="F249" s="23"/>
      <c r="G249" s="22"/>
      <c r="H249" s="22"/>
      <c r="I249" s="22"/>
      <c r="J249" s="31"/>
      <c r="K249" s="22"/>
      <c r="L249" s="22"/>
      <c r="M249" s="22"/>
      <c r="N249" s="22"/>
    </row>
    <row r="250" spans="1:14" x14ac:dyDescent="0.25">
      <c r="A250" s="22"/>
      <c r="B250" s="23"/>
      <c r="C250" s="22"/>
      <c r="D250" s="22"/>
      <c r="E250" s="22"/>
      <c r="F250" s="23"/>
      <c r="G250" s="22"/>
      <c r="H250" s="22"/>
      <c r="I250" s="22"/>
      <c r="J250" s="31"/>
      <c r="K250" s="22"/>
      <c r="L250" s="22"/>
      <c r="M250" s="22"/>
      <c r="N250" s="22"/>
    </row>
    <row r="251" spans="1:14" x14ac:dyDescent="0.25">
      <c r="A251" s="22"/>
      <c r="B251" s="23"/>
      <c r="C251" s="22"/>
      <c r="D251" s="22"/>
      <c r="E251" s="22"/>
      <c r="F251" s="23"/>
      <c r="G251" s="22"/>
      <c r="H251" s="22"/>
      <c r="I251" s="22"/>
      <c r="J251" s="31"/>
      <c r="K251" s="22"/>
      <c r="L251" s="22"/>
      <c r="M251" s="22"/>
      <c r="N251" s="22"/>
    </row>
    <row r="252" spans="1:14" x14ac:dyDescent="0.25">
      <c r="A252" s="22"/>
      <c r="B252" s="23"/>
      <c r="C252" s="22"/>
      <c r="D252" s="22"/>
      <c r="E252" s="22"/>
      <c r="F252" s="23"/>
      <c r="G252" s="22"/>
      <c r="H252" s="22"/>
      <c r="I252" s="22"/>
      <c r="J252" s="31"/>
      <c r="K252" s="22"/>
      <c r="L252" s="22"/>
      <c r="M252" s="22"/>
      <c r="N252" s="22"/>
    </row>
    <row r="253" spans="1:14" x14ac:dyDescent="0.25">
      <c r="A253" s="22"/>
      <c r="B253" s="23"/>
      <c r="C253" s="22"/>
      <c r="D253" s="22"/>
      <c r="E253" s="22"/>
      <c r="F253" s="23"/>
      <c r="G253" s="22"/>
      <c r="H253" s="22"/>
      <c r="I253" s="22"/>
      <c r="J253" s="31"/>
      <c r="K253" s="22"/>
      <c r="L253" s="22"/>
      <c r="M253" s="22"/>
      <c r="N253" s="22"/>
    </row>
    <row r="254" spans="1:14" x14ac:dyDescent="0.25">
      <c r="A254" s="22"/>
      <c r="B254" s="23"/>
      <c r="C254" s="22"/>
      <c r="D254" s="22"/>
      <c r="E254" s="22"/>
      <c r="F254" s="23"/>
      <c r="G254" s="22"/>
      <c r="H254" s="22"/>
      <c r="I254" s="22"/>
      <c r="J254" s="31"/>
      <c r="K254" s="22"/>
      <c r="L254" s="22"/>
      <c r="M254" s="22"/>
      <c r="N254" s="22"/>
    </row>
    <row r="255" spans="1:14" x14ac:dyDescent="0.25">
      <c r="A255" s="22"/>
      <c r="B255" s="23"/>
      <c r="C255" s="22"/>
      <c r="D255" s="22"/>
      <c r="E255" s="22"/>
      <c r="F255" s="23"/>
      <c r="G255" s="22"/>
      <c r="H255" s="22"/>
      <c r="I255" s="22"/>
      <c r="J255" s="31"/>
      <c r="K255" s="22"/>
      <c r="L255" s="22"/>
      <c r="M255" s="22"/>
      <c r="N255" s="22"/>
    </row>
    <row r="256" spans="1:14" x14ac:dyDescent="0.25">
      <c r="A256" s="22"/>
      <c r="B256" s="23"/>
      <c r="C256" s="22"/>
      <c r="D256" s="22"/>
      <c r="E256" s="22"/>
      <c r="F256" s="23"/>
      <c r="G256" s="22"/>
      <c r="H256" s="22"/>
      <c r="I256" s="22"/>
      <c r="J256" s="31"/>
      <c r="K256" s="22"/>
      <c r="L256" s="22"/>
      <c r="M256" s="22"/>
      <c r="N256" s="22"/>
    </row>
    <row r="257" spans="1:14" x14ac:dyDescent="0.25">
      <c r="A257" s="22"/>
      <c r="B257" s="23"/>
      <c r="C257" s="22"/>
      <c r="D257" s="22"/>
      <c r="E257" s="22"/>
      <c r="F257" s="23"/>
      <c r="G257" s="22"/>
      <c r="H257" s="22"/>
      <c r="I257" s="22"/>
      <c r="J257" s="31"/>
      <c r="K257" s="22"/>
      <c r="L257" s="22"/>
      <c r="M257" s="22"/>
      <c r="N257" s="22"/>
    </row>
    <row r="258" spans="1:14" x14ac:dyDescent="0.25">
      <c r="A258" s="22"/>
      <c r="B258" s="23"/>
      <c r="C258" s="22"/>
      <c r="D258" s="22"/>
      <c r="E258" s="22"/>
      <c r="F258" s="23"/>
      <c r="G258" s="22"/>
      <c r="H258" s="22"/>
      <c r="I258" s="22"/>
      <c r="J258" s="31"/>
      <c r="K258" s="22"/>
      <c r="L258" s="22"/>
      <c r="M258" s="22"/>
      <c r="N258" s="22"/>
    </row>
    <row r="259" spans="1:14" x14ac:dyDescent="0.25">
      <c r="A259" s="22"/>
      <c r="B259" s="23"/>
      <c r="C259" s="22"/>
      <c r="D259" s="22"/>
      <c r="E259" s="22"/>
      <c r="F259" s="23"/>
      <c r="G259" s="22"/>
      <c r="H259" s="22"/>
      <c r="I259" s="22"/>
      <c r="J259" s="31"/>
      <c r="K259" s="22"/>
      <c r="L259" s="22"/>
      <c r="M259" s="22"/>
      <c r="N259" s="22"/>
    </row>
    <row r="260" spans="1:14" x14ac:dyDescent="0.25">
      <c r="A260" s="22"/>
      <c r="B260" s="23"/>
      <c r="C260" s="22"/>
      <c r="D260" s="22"/>
      <c r="E260" s="22"/>
      <c r="F260" s="23"/>
      <c r="G260" s="22"/>
      <c r="H260" s="22"/>
      <c r="I260" s="22"/>
      <c r="J260" s="31"/>
      <c r="K260" s="22"/>
      <c r="L260" s="22"/>
      <c r="M260" s="22"/>
      <c r="N260" s="22"/>
    </row>
    <row r="261" spans="1:14" x14ac:dyDescent="0.25">
      <c r="A261" s="22"/>
      <c r="B261" s="23"/>
      <c r="C261" s="22"/>
      <c r="D261" s="22"/>
      <c r="E261" s="22"/>
      <c r="F261" s="23"/>
      <c r="G261" s="22"/>
      <c r="H261" s="22"/>
      <c r="I261" s="22"/>
      <c r="J261" s="31"/>
      <c r="K261" s="22"/>
      <c r="L261" s="22"/>
      <c r="M261" s="22"/>
      <c r="N261" s="22"/>
    </row>
    <row r="262" spans="1:14" x14ac:dyDescent="0.25">
      <c r="A262" s="22"/>
      <c r="B262" s="23"/>
      <c r="C262" s="22"/>
      <c r="D262" s="22"/>
      <c r="E262" s="22"/>
      <c r="F262" s="23"/>
      <c r="G262" s="22"/>
      <c r="H262" s="22"/>
      <c r="I262" s="22"/>
      <c r="J262" s="31"/>
      <c r="K262" s="22"/>
      <c r="L262" s="22"/>
      <c r="M262" s="22"/>
      <c r="N262" s="22"/>
    </row>
    <row r="263" spans="1:14" x14ac:dyDescent="0.25">
      <c r="A263" s="22"/>
      <c r="B263" s="23"/>
      <c r="C263" s="22"/>
      <c r="D263" s="22"/>
      <c r="E263" s="22"/>
      <c r="F263" s="23"/>
      <c r="G263" s="22"/>
      <c r="H263" s="22"/>
      <c r="I263" s="22"/>
      <c r="J263" s="31"/>
      <c r="K263" s="22"/>
      <c r="L263" s="22"/>
      <c r="M263" s="22"/>
      <c r="N263" s="22"/>
    </row>
    <row r="264" spans="1:14" x14ac:dyDescent="0.25">
      <c r="A264" s="22"/>
      <c r="B264" s="23"/>
      <c r="C264" s="22"/>
      <c r="D264" s="22"/>
      <c r="E264" s="22"/>
      <c r="F264" s="23"/>
      <c r="G264" s="22"/>
      <c r="H264" s="22"/>
      <c r="I264" s="22"/>
      <c r="J264" s="31"/>
      <c r="K264" s="22"/>
      <c r="L264" s="22"/>
      <c r="M264" s="22"/>
      <c r="N264" s="22"/>
    </row>
    <row r="265" spans="1:14" x14ac:dyDescent="0.25">
      <c r="A265" s="22"/>
      <c r="B265" s="23"/>
      <c r="C265" s="22"/>
      <c r="D265" s="22"/>
      <c r="E265" s="22"/>
      <c r="F265" s="23"/>
      <c r="G265" s="22"/>
      <c r="H265" s="22"/>
      <c r="I265" s="22"/>
      <c r="J265" s="31"/>
      <c r="K265" s="22"/>
      <c r="L265" s="22"/>
      <c r="M265" s="22"/>
      <c r="N265" s="22"/>
    </row>
    <row r="266" spans="1:14" x14ac:dyDescent="0.25">
      <c r="A266" s="22"/>
      <c r="B266" s="23"/>
      <c r="C266" s="22"/>
      <c r="D266" s="22"/>
      <c r="E266" s="22"/>
      <c r="F266" s="23"/>
      <c r="G266" s="22"/>
      <c r="H266" s="22"/>
      <c r="I266" s="22"/>
      <c r="J266" s="31"/>
      <c r="K266" s="22"/>
      <c r="L266" s="22"/>
      <c r="M266" s="22"/>
      <c r="N266" s="22"/>
    </row>
    <row r="267" spans="1:14" x14ac:dyDescent="0.25">
      <c r="A267" s="22"/>
      <c r="B267" s="23"/>
      <c r="C267" s="22"/>
      <c r="D267" s="22"/>
      <c r="E267" s="22"/>
      <c r="F267" s="23"/>
      <c r="G267" s="22"/>
      <c r="H267" s="22"/>
      <c r="I267" s="22"/>
      <c r="J267" s="31"/>
      <c r="K267" s="22"/>
      <c r="L267" s="22"/>
      <c r="M267" s="22"/>
      <c r="N267" s="22"/>
    </row>
    <row r="268" spans="1:14" x14ac:dyDescent="0.25">
      <c r="A268" s="22"/>
      <c r="B268" s="23"/>
      <c r="C268" s="22"/>
      <c r="D268" s="22"/>
      <c r="E268" s="22"/>
      <c r="F268" s="23"/>
      <c r="G268" s="22"/>
      <c r="H268" s="22"/>
      <c r="I268" s="22"/>
      <c r="J268" s="31"/>
      <c r="K268" s="22"/>
      <c r="L268" s="22"/>
      <c r="M268" s="22"/>
      <c r="N268" s="22"/>
    </row>
    <row r="269" spans="1:14" x14ac:dyDescent="0.25">
      <c r="A269" s="22"/>
      <c r="B269" s="23"/>
      <c r="C269" s="22"/>
      <c r="D269" s="22"/>
      <c r="E269" s="22"/>
      <c r="F269" s="23"/>
      <c r="G269" s="22"/>
      <c r="H269" s="22"/>
      <c r="I269" s="22"/>
      <c r="J269" s="31"/>
      <c r="K269" s="22"/>
      <c r="L269" s="22"/>
      <c r="M269" s="22"/>
      <c r="N269" s="22"/>
    </row>
    <row r="270" spans="1:14" x14ac:dyDescent="0.25">
      <c r="A270" s="22"/>
      <c r="B270" s="23"/>
      <c r="C270" s="22"/>
      <c r="D270" s="22"/>
      <c r="E270" s="22"/>
      <c r="F270" s="23"/>
      <c r="G270" s="22"/>
      <c r="H270" s="22"/>
      <c r="I270" s="22"/>
      <c r="J270" s="31"/>
      <c r="K270" s="22"/>
      <c r="L270" s="22"/>
      <c r="M270" s="22"/>
      <c r="N270" s="22"/>
    </row>
    <row r="271" spans="1:14" x14ac:dyDescent="0.25">
      <c r="A271" s="22"/>
      <c r="B271" s="23"/>
      <c r="C271" s="22"/>
      <c r="D271" s="22"/>
      <c r="E271" s="22"/>
      <c r="F271" s="23"/>
      <c r="G271" s="22"/>
      <c r="H271" s="22"/>
      <c r="I271" s="22"/>
      <c r="J271" s="31"/>
      <c r="K271" s="22"/>
      <c r="L271" s="22"/>
      <c r="M271" s="22"/>
      <c r="N271" s="22"/>
    </row>
    <row r="272" spans="1:14" x14ac:dyDescent="0.25">
      <c r="A272" s="22"/>
      <c r="B272" s="23"/>
      <c r="C272" s="22"/>
      <c r="D272" s="22"/>
      <c r="E272" s="22"/>
      <c r="F272" s="23"/>
      <c r="G272" s="22"/>
      <c r="H272" s="22"/>
      <c r="I272" s="22"/>
      <c r="J272" s="31"/>
      <c r="K272" s="22"/>
      <c r="L272" s="22"/>
      <c r="M272" s="22"/>
      <c r="N272" s="22"/>
    </row>
    <row r="273" spans="1:14" x14ac:dyDescent="0.25">
      <c r="A273" s="22"/>
      <c r="B273" s="23"/>
      <c r="C273" s="22"/>
      <c r="D273" s="22"/>
      <c r="E273" s="22"/>
      <c r="F273" s="23"/>
      <c r="G273" s="22"/>
      <c r="H273" s="22"/>
      <c r="I273" s="22"/>
      <c r="J273" s="31"/>
      <c r="K273" s="22"/>
      <c r="L273" s="22"/>
      <c r="M273" s="22"/>
      <c r="N273" s="22"/>
    </row>
    <row r="274" spans="1:14" x14ac:dyDescent="0.25">
      <c r="A274" s="22"/>
      <c r="B274" s="23"/>
      <c r="C274" s="22"/>
      <c r="D274" s="22"/>
      <c r="E274" s="22"/>
      <c r="F274" s="23"/>
      <c r="G274" s="22"/>
      <c r="H274" s="22"/>
      <c r="I274" s="22"/>
      <c r="J274" s="31"/>
      <c r="K274" s="22"/>
      <c r="L274" s="22"/>
      <c r="M274" s="22"/>
      <c r="N274" s="22"/>
    </row>
    <row r="275" spans="1:14" x14ac:dyDescent="0.25">
      <c r="A275" s="22"/>
      <c r="B275" s="23"/>
      <c r="C275" s="22"/>
      <c r="D275" s="22"/>
      <c r="E275" s="22"/>
      <c r="F275" s="23"/>
      <c r="G275" s="22"/>
      <c r="H275" s="22"/>
      <c r="I275" s="22"/>
      <c r="J275" s="31"/>
      <c r="K275" s="22"/>
      <c r="L275" s="22"/>
      <c r="M275" s="22"/>
      <c r="N275" s="22"/>
    </row>
    <row r="276" spans="1:14" x14ac:dyDescent="0.25">
      <c r="A276" s="22"/>
      <c r="B276" s="23"/>
      <c r="C276" s="22"/>
      <c r="D276" s="22"/>
      <c r="E276" s="22"/>
      <c r="F276" s="23"/>
      <c r="G276" s="22"/>
      <c r="H276" s="22"/>
      <c r="I276" s="22"/>
      <c r="J276" s="31"/>
      <c r="K276" s="22"/>
      <c r="L276" s="22"/>
      <c r="M276" s="22"/>
      <c r="N276" s="22"/>
    </row>
    <row r="277" spans="1:14" x14ac:dyDescent="0.25">
      <c r="A277" s="22"/>
      <c r="B277" s="23"/>
      <c r="C277" s="22"/>
      <c r="D277" s="22"/>
      <c r="E277" s="22"/>
      <c r="F277" s="23"/>
      <c r="G277" s="22"/>
      <c r="H277" s="22"/>
      <c r="I277" s="22"/>
      <c r="J277" s="31"/>
      <c r="K277" s="22"/>
      <c r="L277" s="22"/>
      <c r="M277" s="22"/>
      <c r="N277" s="22"/>
    </row>
    <row r="278" spans="1:14" x14ac:dyDescent="0.25">
      <c r="A278" s="22"/>
      <c r="B278" s="23"/>
      <c r="C278" s="22"/>
      <c r="D278" s="22"/>
      <c r="E278" s="22"/>
      <c r="F278" s="23"/>
      <c r="G278" s="22"/>
      <c r="H278" s="22"/>
      <c r="I278" s="22"/>
      <c r="J278" s="31"/>
      <c r="K278" s="22"/>
      <c r="L278" s="22"/>
      <c r="M278" s="22"/>
      <c r="N278" s="22"/>
    </row>
    <row r="279" spans="1:14" x14ac:dyDescent="0.25">
      <c r="A279" s="22"/>
      <c r="B279" s="23"/>
      <c r="C279" s="22"/>
      <c r="D279" s="22"/>
      <c r="E279" s="22"/>
      <c r="F279" s="23"/>
      <c r="G279" s="22"/>
      <c r="H279" s="22"/>
      <c r="I279" s="22"/>
      <c r="J279" s="31"/>
      <c r="K279" s="22"/>
      <c r="L279" s="22"/>
      <c r="M279" s="22"/>
      <c r="N279" s="22"/>
    </row>
    <row r="280" spans="1:14" x14ac:dyDescent="0.25">
      <c r="A280" s="22"/>
      <c r="B280" s="23"/>
      <c r="C280" s="22"/>
      <c r="D280" s="22"/>
      <c r="E280" s="22"/>
      <c r="F280" s="23"/>
      <c r="G280" s="22"/>
      <c r="H280" s="22"/>
      <c r="I280" s="22"/>
      <c r="J280" s="31"/>
      <c r="K280" s="22"/>
      <c r="L280" s="22"/>
      <c r="M280" s="22"/>
      <c r="N280" s="22"/>
    </row>
    <row r="281" spans="1:14" x14ac:dyDescent="0.25">
      <c r="A281" s="22"/>
      <c r="B281" s="23"/>
      <c r="C281" s="22"/>
      <c r="D281" s="22"/>
      <c r="E281" s="22"/>
      <c r="F281" s="23"/>
      <c r="G281" s="22"/>
      <c r="H281" s="22"/>
      <c r="I281" s="22"/>
      <c r="J281" s="31"/>
      <c r="K281" s="22"/>
      <c r="L281" s="22"/>
      <c r="M281" s="22"/>
      <c r="N281" s="22"/>
    </row>
    <row r="282" spans="1:14" x14ac:dyDescent="0.25">
      <c r="A282" s="22"/>
      <c r="B282" s="23"/>
      <c r="C282" s="22"/>
      <c r="D282" s="22"/>
      <c r="E282" s="22"/>
      <c r="F282" s="23"/>
      <c r="G282" s="22"/>
      <c r="H282" s="22"/>
      <c r="I282" s="22"/>
      <c r="J282" s="31"/>
      <c r="K282" s="22"/>
      <c r="L282" s="22"/>
      <c r="M282" s="22"/>
      <c r="N282" s="22"/>
    </row>
    <row r="283" spans="1:14" x14ac:dyDescent="0.25">
      <c r="A283" s="22"/>
      <c r="B283" s="23"/>
      <c r="C283" s="22"/>
      <c r="D283" s="22"/>
      <c r="E283" s="22"/>
      <c r="F283" s="23"/>
      <c r="G283" s="22"/>
      <c r="H283" s="22"/>
      <c r="I283" s="22"/>
      <c r="J283" s="31"/>
      <c r="K283" s="22"/>
      <c r="L283" s="22"/>
      <c r="M283" s="22"/>
      <c r="N283" s="22"/>
    </row>
    <row r="284" spans="1:14" x14ac:dyDescent="0.25">
      <c r="A284" s="22"/>
      <c r="B284" s="23"/>
      <c r="C284" s="22"/>
      <c r="D284" s="22"/>
      <c r="E284" s="22"/>
      <c r="F284" s="23"/>
      <c r="G284" s="22"/>
      <c r="H284" s="22"/>
      <c r="I284" s="22"/>
      <c r="J284" s="31"/>
      <c r="K284" s="22"/>
      <c r="L284" s="22"/>
      <c r="M284" s="22"/>
      <c r="N284" s="22"/>
    </row>
    <row r="285" spans="1:14" x14ac:dyDescent="0.25">
      <c r="A285" s="22"/>
      <c r="B285" s="23"/>
      <c r="C285" s="22"/>
      <c r="D285" s="22"/>
      <c r="E285" s="22"/>
      <c r="F285" s="23"/>
      <c r="G285" s="22"/>
      <c r="H285" s="22"/>
      <c r="I285" s="22"/>
      <c r="J285" s="31"/>
      <c r="K285" s="22"/>
      <c r="L285" s="22"/>
      <c r="M285" s="22"/>
      <c r="N285" s="22"/>
    </row>
    <row r="286" spans="1:14" x14ac:dyDescent="0.25">
      <c r="A286" s="22"/>
      <c r="B286" s="23"/>
      <c r="C286" s="22"/>
      <c r="D286" s="22"/>
      <c r="E286" s="22"/>
      <c r="F286" s="23"/>
      <c r="G286" s="22"/>
      <c r="H286" s="22"/>
      <c r="I286" s="22"/>
      <c r="J286" s="31"/>
      <c r="K286" s="22"/>
      <c r="L286" s="22"/>
      <c r="M286" s="22"/>
      <c r="N286" s="22"/>
    </row>
    <row r="287" spans="1:14" x14ac:dyDescent="0.25">
      <c r="A287" s="22"/>
      <c r="B287" s="23"/>
      <c r="C287" s="22"/>
      <c r="D287" s="22"/>
      <c r="E287" s="22"/>
      <c r="F287" s="23"/>
      <c r="G287" s="22"/>
      <c r="H287" s="22"/>
      <c r="I287" s="22"/>
      <c r="J287" s="31"/>
      <c r="K287" s="22"/>
      <c r="L287" s="22"/>
      <c r="M287" s="22"/>
      <c r="N287" s="22"/>
    </row>
    <row r="288" spans="1:14" x14ac:dyDescent="0.25">
      <c r="A288" s="22"/>
      <c r="B288" s="23"/>
      <c r="C288" s="22"/>
      <c r="D288" s="22"/>
      <c r="E288" s="22"/>
      <c r="F288" s="23"/>
      <c r="G288" s="22"/>
      <c r="H288" s="22"/>
      <c r="I288" s="22"/>
      <c r="J288" s="31"/>
      <c r="K288" s="22"/>
      <c r="L288" s="22"/>
      <c r="M288" s="22"/>
      <c r="N288" s="22"/>
    </row>
    <row r="289" spans="1:14" x14ac:dyDescent="0.25">
      <c r="A289" s="22"/>
      <c r="B289" s="23"/>
      <c r="C289" s="22"/>
      <c r="D289" s="22"/>
      <c r="E289" s="22"/>
      <c r="F289" s="23"/>
      <c r="G289" s="22"/>
      <c r="H289" s="22"/>
      <c r="I289" s="22"/>
      <c r="J289" s="31"/>
      <c r="K289" s="22"/>
      <c r="L289" s="22"/>
      <c r="M289" s="22"/>
      <c r="N289" s="22"/>
    </row>
    <row r="290" spans="1:14" x14ac:dyDescent="0.25">
      <c r="A290" s="22"/>
      <c r="B290" s="23"/>
      <c r="C290" s="22"/>
      <c r="D290" s="22"/>
      <c r="E290" s="22"/>
      <c r="F290" s="23"/>
      <c r="G290" s="22"/>
      <c r="H290" s="22"/>
      <c r="I290" s="22"/>
      <c r="J290" s="31"/>
      <c r="K290" s="22"/>
      <c r="L290" s="22"/>
      <c r="M290" s="22"/>
      <c r="N290" s="22"/>
    </row>
    <row r="291" spans="1:14" x14ac:dyDescent="0.25">
      <c r="A291" s="22"/>
      <c r="B291" s="23"/>
      <c r="C291" s="22"/>
      <c r="D291" s="22"/>
      <c r="E291" s="22"/>
      <c r="F291" s="23"/>
      <c r="G291" s="22"/>
      <c r="H291" s="22"/>
      <c r="I291" s="22"/>
      <c r="J291" s="31"/>
      <c r="K291" s="22"/>
      <c r="L291" s="22"/>
      <c r="M291" s="22"/>
      <c r="N291" s="22"/>
    </row>
    <row r="292" spans="1:14" x14ac:dyDescent="0.25">
      <c r="A292" s="22"/>
      <c r="B292" s="23"/>
      <c r="C292" s="22"/>
      <c r="D292" s="22"/>
      <c r="E292" s="22"/>
      <c r="F292" s="23"/>
      <c r="G292" s="22"/>
      <c r="H292" s="22"/>
      <c r="I292" s="22"/>
      <c r="J292" s="31"/>
      <c r="K292" s="22"/>
      <c r="L292" s="22"/>
      <c r="M292" s="22"/>
      <c r="N292" s="22"/>
    </row>
    <row r="293" spans="1:14" x14ac:dyDescent="0.25">
      <c r="A293" s="22"/>
      <c r="B293" s="23"/>
      <c r="C293" s="22"/>
      <c r="D293" s="22"/>
      <c r="E293" s="22"/>
      <c r="F293" s="23"/>
      <c r="G293" s="22"/>
      <c r="H293" s="22"/>
      <c r="I293" s="22"/>
      <c r="J293" s="31"/>
      <c r="K293" s="22"/>
      <c r="L293" s="22"/>
      <c r="M293" s="22"/>
      <c r="N293" s="22"/>
    </row>
    <row r="294" spans="1:14" x14ac:dyDescent="0.25">
      <c r="A294" s="22"/>
      <c r="B294" s="23"/>
      <c r="C294" s="22"/>
      <c r="D294" s="22"/>
      <c r="E294" s="22"/>
      <c r="F294" s="23"/>
      <c r="G294" s="22"/>
      <c r="H294" s="22"/>
      <c r="I294" s="22"/>
      <c r="J294" s="31"/>
      <c r="K294" s="22"/>
      <c r="L294" s="22"/>
      <c r="M294" s="22"/>
      <c r="N294" s="22"/>
    </row>
    <row r="295" spans="1:14" x14ac:dyDescent="0.25">
      <c r="A295" s="22"/>
      <c r="B295" s="23"/>
      <c r="C295" s="22"/>
      <c r="D295" s="22"/>
      <c r="E295" s="22"/>
      <c r="F295" s="23"/>
      <c r="G295" s="22"/>
      <c r="H295" s="22"/>
      <c r="I295" s="22"/>
      <c r="J295" s="31"/>
      <c r="K295" s="22"/>
      <c r="L295" s="22"/>
      <c r="M295" s="22"/>
      <c r="N295" s="22"/>
    </row>
    <row r="296" spans="1:14" x14ac:dyDescent="0.25">
      <c r="A296" s="22"/>
      <c r="B296" s="23"/>
      <c r="C296" s="22"/>
      <c r="D296" s="22"/>
      <c r="E296" s="22"/>
      <c r="F296" s="23"/>
      <c r="G296" s="22"/>
      <c r="H296" s="22"/>
      <c r="I296" s="22"/>
      <c r="J296" s="31"/>
      <c r="K296" s="22"/>
      <c r="L296" s="22"/>
      <c r="M296" s="22"/>
      <c r="N296" s="22"/>
    </row>
    <row r="297" spans="1:14" x14ac:dyDescent="0.25">
      <c r="A297" s="22"/>
      <c r="B297" s="23"/>
      <c r="C297" s="22"/>
      <c r="D297" s="22"/>
      <c r="E297" s="22"/>
      <c r="F297" s="23"/>
      <c r="G297" s="22"/>
      <c r="H297" s="22"/>
      <c r="I297" s="22"/>
      <c r="J297" s="31"/>
      <c r="K297" s="22"/>
      <c r="L297" s="22"/>
      <c r="M297" s="22"/>
      <c r="N297" s="22"/>
    </row>
    <row r="298" spans="1:14" x14ac:dyDescent="0.25">
      <c r="A298" s="22"/>
      <c r="B298" s="23"/>
      <c r="C298" s="22"/>
      <c r="D298" s="22"/>
      <c r="E298" s="22"/>
      <c r="F298" s="23"/>
      <c r="G298" s="22"/>
      <c r="H298" s="22"/>
      <c r="I298" s="22"/>
      <c r="J298" s="31"/>
      <c r="K298" s="22"/>
      <c r="L298" s="22"/>
      <c r="M298" s="22"/>
      <c r="N298" s="22"/>
    </row>
    <row r="299" spans="1:14" x14ac:dyDescent="0.25">
      <c r="A299" s="22"/>
      <c r="B299" s="23"/>
      <c r="C299" s="22"/>
      <c r="D299" s="22"/>
      <c r="E299" s="22"/>
      <c r="F299" s="23"/>
      <c r="G299" s="22"/>
      <c r="H299" s="22"/>
      <c r="I299" s="22"/>
      <c r="J299" s="31"/>
      <c r="K299" s="22"/>
      <c r="L299" s="22"/>
      <c r="M299" s="22"/>
      <c r="N299" s="22"/>
    </row>
    <row r="300" spans="1:14" x14ac:dyDescent="0.25">
      <c r="A300" s="22"/>
      <c r="B300" s="23"/>
      <c r="C300" s="22"/>
      <c r="D300" s="22"/>
      <c r="E300" s="22"/>
      <c r="F300" s="23"/>
      <c r="G300" s="22"/>
      <c r="H300" s="22"/>
      <c r="I300" s="22"/>
      <c r="J300" s="31"/>
      <c r="K300" s="22"/>
      <c r="L300" s="22"/>
      <c r="M300" s="22"/>
      <c r="N300" s="22"/>
    </row>
    <row r="301" spans="1:14" x14ac:dyDescent="0.25">
      <c r="A301" s="22"/>
      <c r="B301" s="23"/>
      <c r="C301" s="22"/>
      <c r="D301" s="22"/>
      <c r="E301" s="22"/>
      <c r="F301" s="23"/>
      <c r="G301" s="22"/>
      <c r="H301" s="22"/>
      <c r="I301" s="22"/>
      <c r="J301" s="31"/>
      <c r="K301" s="22"/>
      <c r="L301" s="22"/>
      <c r="M301" s="22"/>
      <c r="N301" s="22"/>
    </row>
    <row r="302" spans="1:14" x14ac:dyDescent="0.25">
      <c r="A302" s="22"/>
      <c r="B302" s="23"/>
      <c r="C302" s="22"/>
      <c r="D302" s="22"/>
      <c r="E302" s="22"/>
      <c r="F302" s="23"/>
      <c r="G302" s="22"/>
      <c r="H302" s="22"/>
      <c r="I302" s="22"/>
      <c r="J302" s="31"/>
      <c r="K302" s="22"/>
      <c r="L302" s="22"/>
      <c r="M302" s="22"/>
      <c r="N302" s="22"/>
    </row>
    <row r="303" spans="1:14" x14ac:dyDescent="0.25">
      <c r="A303" s="22"/>
      <c r="B303" s="23"/>
      <c r="C303" s="22"/>
      <c r="D303" s="22"/>
      <c r="E303" s="22"/>
      <c r="F303" s="23"/>
      <c r="G303" s="22"/>
      <c r="H303" s="22"/>
      <c r="I303" s="22"/>
      <c r="J303" s="31"/>
      <c r="K303" s="22"/>
      <c r="L303" s="22"/>
      <c r="M303" s="22"/>
      <c r="N303" s="22"/>
    </row>
    <row r="304" spans="1:14" x14ac:dyDescent="0.25">
      <c r="A304" s="22"/>
      <c r="B304" s="23"/>
      <c r="C304" s="22"/>
      <c r="D304" s="22"/>
      <c r="E304" s="22"/>
      <c r="F304" s="23"/>
      <c r="G304" s="22"/>
      <c r="H304" s="22"/>
      <c r="I304" s="22"/>
      <c r="J304" s="31"/>
      <c r="K304" s="22"/>
      <c r="L304" s="22"/>
      <c r="M304" s="22"/>
      <c r="N304" s="22"/>
    </row>
    <row r="305" spans="1:14" x14ac:dyDescent="0.25">
      <c r="A305" s="22"/>
      <c r="B305" s="23"/>
      <c r="C305" s="22"/>
      <c r="D305" s="22"/>
      <c r="E305" s="22"/>
      <c r="F305" s="23"/>
      <c r="G305" s="22"/>
      <c r="H305" s="22"/>
      <c r="I305" s="22"/>
      <c r="J305" s="31"/>
      <c r="K305" s="22"/>
      <c r="L305" s="22"/>
      <c r="M305" s="22"/>
      <c r="N305" s="22"/>
    </row>
    <row r="306" spans="1:14" x14ac:dyDescent="0.25">
      <c r="A306" s="22"/>
      <c r="B306" s="23"/>
      <c r="C306" s="22"/>
      <c r="D306" s="22"/>
      <c r="E306" s="22"/>
      <c r="F306" s="23"/>
      <c r="G306" s="22"/>
      <c r="H306" s="22"/>
      <c r="I306" s="22"/>
      <c r="J306" s="31"/>
      <c r="K306" s="22"/>
      <c r="L306" s="22"/>
      <c r="M306" s="22"/>
      <c r="N306" s="22"/>
    </row>
    <row r="307" spans="1:14" x14ac:dyDescent="0.25">
      <c r="A307" s="22"/>
      <c r="B307" s="23"/>
      <c r="C307" s="22"/>
      <c r="D307" s="22"/>
      <c r="E307" s="22"/>
      <c r="F307" s="23"/>
      <c r="G307" s="22"/>
      <c r="H307" s="22"/>
      <c r="I307" s="22"/>
      <c r="J307" s="31"/>
      <c r="K307" s="22"/>
      <c r="L307" s="22"/>
      <c r="M307" s="22"/>
      <c r="N307" s="22"/>
    </row>
    <row r="308" spans="1:14" x14ac:dyDescent="0.25">
      <c r="A308" s="22"/>
      <c r="B308" s="23"/>
      <c r="C308" s="22"/>
      <c r="D308" s="22"/>
      <c r="E308" s="22"/>
      <c r="F308" s="23"/>
      <c r="G308" s="22"/>
      <c r="H308" s="22"/>
      <c r="I308" s="22"/>
      <c r="J308" s="31"/>
      <c r="K308" s="22"/>
      <c r="L308" s="22"/>
      <c r="M308" s="22"/>
      <c r="N308" s="22"/>
    </row>
    <row r="309" spans="1:14" x14ac:dyDescent="0.25">
      <c r="A309" s="22"/>
      <c r="B309" s="23"/>
      <c r="C309" s="22"/>
      <c r="D309" s="22"/>
      <c r="E309" s="22"/>
      <c r="F309" s="23"/>
      <c r="G309" s="22"/>
      <c r="H309" s="22"/>
      <c r="I309" s="22"/>
      <c r="J309" s="31"/>
      <c r="K309" s="22"/>
      <c r="L309" s="22"/>
      <c r="M309" s="22"/>
      <c r="N309" s="22"/>
    </row>
    <row r="310" spans="1:14" x14ac:dyDescent="0.25">
      <c r="A310" s="22"/>
      <c r="B310" s="23"/>
      <c r="C310" s="22"/>
      <c r="D310" s="22"/>
      <c r="E310" s="22"/>
      <c r="F310" s="23"/>
      <c r="G310" s="22"/>
      <c r="H310" s="22"/>
      <c r="I310" s="22"/>
      <c r="J310" s="31"/>
      <c r="K310" s="22"/>
      <c r="L310" s="22"/>
      <c r="M310" s="22"/>
      <c r="N310" s="22"/>
    </row>
    <row r="311" spans="1:14" x14ac:dyDescent="0.25">
      <c r="A311" s="22"/>
      <c r="B311" s="23"/>
      <c r="C311" s="22"/>
      <c r="D311" s="22"/>
      <c r="E311" s="22"/>
      <c r="F311" s="23"/>
      <c r="G311" s="22"/>
      <c r="H311" s="22"/>
      <c r="I311" s="22"/>
      <c r="J311" s="31"/>
      <c r="K311" s="22"/>
      <c r="L311" s="22"/>
      <c r="M311" s="22"/>
      <c r="N311" s="22"/>
    </row>
    <row r="312" spans="1:14" x14ac:dyDescent="0.25">
      <c r="A312" s="22"/>
      <c r="B312" s="23"/>
      <c r="C312" s="22"/>
      <c r="D312" s="22"/>
      <c r="E312" s="22"/>
      <c r="F312" s="23"/>
      <c r="G312" s="22"/>
      <c r="H312" s="22"/>
      <c r="I312" s="22"/>
      <c r="J312" s="31"/>
      <c r="K312" s="22"/>
      <c r="L312" s="22"/>
      <c r="M312" s="22"/>
      <c r="N312" s="22"/>
    </row>
    <row r="313" spans="1:14" x14ac:dyDescent="0.25">
      <c r="A313" s="22"/>
      <c r="B313" s="23"/>
      <c r="C313" s="22"/>
      <c r="D313" s="22"/>
      <c r="E313" s="22"/>
      <c r="F313" s="23"/>
      <c r="G313" s="22"/>
      <c r="H313" s="22"/>
      <c r="I313" s="22"/>
      <c r="J313" s="31"/>
      <c r="K313" s="22"/>
      <c r="L313" s="22"/>
      <c r="M313" s="22"/>
      <c r="N313" s="22"/>
    </row>
    <row r="314" spans="1:14" x14ac:dyDescent="0.25">
      <c r="A314" s="22"/>
      <c r="B314" s="23"/>
      <c r="C314" s="22"/>
      <c r="D314" s="22"/>
      <c r="E314" s="22"/>
      <c r="F314" s="23"/>
      <c r="G314" s="22"/>
      <c r="H314" s="22"/>
      <c r="I314" s="22"/>
      <c r="J314" s="31"/>
      <c r="K314" s="22"/>
      <c r="L314" s="22"/>
      <c r="M314" s="22"/>
      <c r="N314" s="22"/>
    </row>
    <row r="315" spans="1:14" x14ac:dyDescent="0.25">
      <c r="A315" s="22"/>
      <c r="B315" s="23"/>
      <c r="C315" s="22"/>
      <c r="D315" s="22"/>
      <c r="E315" s="22"/>
      <c r="F315" s="23"/>
      <c r="G315" s="22"/>
      <c r="H315" s="22"/>
      <c r="I315" s="22"/>
      <c r="J315" s="31"/>
      <c r="K315" s="22"/>
      <c r="L315" s="22"/>
      <c r="M315" s="22"/>
      <c r="N315" s="22"/>
    </row>
    <row r="316" spans="1:14" x14ac:dyDescent="0.25">
      <c r="A316" s="22"/>
      <c r="B316" s="23"/>
      <c r="C316" s="22"/>
      <c r="D316" s="22"/>
      <c r="E316" s="22"/>
      <c r="F316" s="23"/>
      <c r="G316" s="22"/>
      <c r="H316" s="22"/>
      <c r="I316" s="22"/>
      <c r="J316" s="31"/>
      <c r="K316" s="22"/>
      <c r="L316" s="22"/>
      <c r="M316" s="22"/>
      <c r="N316" s="22"/>
    </row>
    <row r="317" spans="1:14" x14ac:dyDescent="0.25">
      <c r="A317" s="22"/>
      <c r="B317" s="23"/>
      <c r="C317" s="22"/>
      <c r="D317" s="22"/>
      <c r="E317" s="22"/>
      <c r="F317" s="23"/>
      <c r="G317" s="22"/>
      <c r="H317" s="22"/>
      <c r="I317" s="22"/>
      <c r="J317" s="31"/>
      <c r="K317" s="22"/>
      <c r="L317" s="22"/>
      <c r="M317" s="22"/>
      <c r="N317" s="22"/>
    </row>
    <row r="318" spans="1:14" x14ac:dyDescent="0.25">
      <c r="A318" s="22"/>
      <c r="B318" s="23"/>
      <c r="C318" s="22"/>
      <c r="D318" s="22"/>
      <c r="E318" s="22"/>
      <c r="F318" s="23"/>
      <c r="G318" s="22"/>
      <c r="H318" s="22"/>
      <c r="I318" s="22"/>
      <c r="J318" s="31"/>
      <c r="K318" s="22"/>
      <c r="L318" s="22"/>
      <c r="M318" s="22"/>
      <c r="N318" s="22"/>
    </row>
    <row r="319" spans="1:14" x14ac:dyDescent="0.25">
      <c r="A319" s="22"/>
      <c r="B319" s="23"/>
      <c r="C319" s="22"/>
      <c r="D319" s="22"/>
      <c r="E319" s="22"/>
      <c r="F319" s="23"/>
      <c r="G319" s="22"/>
      <c r="H319" s="22"/>
      <c r="I319" s="22"/>
      <c r="J319" s="31"/>
      <c r="K319" s="22"/>
      <c r="L319" s="22"/>
      <c r="M319" s="22"/>
      <c r="N319" s="22"/>
    </row>
    <row r="320" spans="1:14" x14ac:dyDescent="0.25">
      <c r="A320" s="22"/>
      <c r="B320" s="23"/>
      <c r="C320" s="22"/>
      <c r="D320" s="22"/>
      <c r="E320" s="22"/>
      <c r="F320" s="23"/>
      <c r="G320" s="22"/>
      <c r="H320" s="22"/>
      <c r="I320" s="22"/>
      <c r="J320" s="31"/>
      <c r="K320" s="22"/>
      <c r="L320" s="22"/>
      <c r="M320" s="22"/>
      <c r="N320" s="22"/>
    </row>
    <row r="321" spans="1:14" x14ac:dyDescent="0.25">
      <c r="A321" s="22"/>
      <c r="B321" s="23"/>
      <c r="C321" s="22"/>
      <c r="D321" s="22"/>
      <c r="E321" s="22"/>
      <c r="F321" s="23"/>
      <c r="G321" s="22"/>
      <c r="H321" s="22"/>
      <c r="I321" s="22"/>
      <c r="J321" s="31"/>
      <c r="K321" s="22"/>
      <c r="L321" s="22"/>
      <c r="M321" s="22"/>
      <c r="N321" s="22"/>
    </row>
    <row r="322" spans="1:14" x14ac:dyDescent="0.25">
      <c r="A322" s="22"/>
      <c r="B322" s="23"/>
      <c r="C322" s="22"/>
      <c r="D322" s="22"/>
      <c r="E322" s="22"/>
      <c r="F322" s="23"/>
      <c r="G322" s="22"/>
      <c r="H322" s="22"/>
      <c r="I322" s="22"/>
      <c r="J322" s="31"/>
      <c r="K322" s="22"/>
      <c r="L322" s="22"/>
      <c r="M322" s="22"/>
      <c r="N322" s="22"/>
    </row>
    <row r="323" spans="1:14" x14ac:dyDescent="0.25">
      <c r="A323" s="22"/>
      <c r="B323" s="23"/>
      <c r="C323" s="22"/>
      <c r="D323" s="22"/>
      <c r="E323" s="22"/>
      <c r="F323" s="23"/>
      <c r="G323" s="22"/>
      <c r="H323" s="22"/>
      <c r="I323" s="22"/>
      <c r="J323" s="31"/>
      <c r="K323" s="22"/>
      <c r="L323" s="22"/>
      <c r="M323" s="22"/>
      <c r="N323" s="22"/>
    </row>
    <row r="324" spans="1:14" x14ac:dyDescent="0.25">
      <c r="A324" s="22"/>
      <c r="B324" s="23"/>
      <c r="C324" s="22"/>
      <c r="D324" s="22"/>
      <c r="E324" s="22"/>
      <c r="F324" s="23"/>
      <c r="G324" s="22"/>
      <c r="H324" s="22"/>
      <c r="I324" s="22"/>
      <c r="J324" s="31"/>
      <c r="K324" s="22"/>
      <c r="L324" s="22"/>
      <c r="M324" s="22"/>
      <c r="N324" s="22"/>
    </row>
    <row r="325" spans="1:14" x14ac:dyDescent="0.25">
      <c r="A325" s="22"/>
      <c r="B325" s="23"/>
      <c r="C325" s="22"/>
      <c r="D325" s="22"/>
      <c r="E325" s="22"/>
      <c r="F325" s="23"/>
      <c r="G325" s="22"/>
      <c r="H325" s="22"/>
      <c r="I325" s="22"/>
      <c r="J325" s="31"/>
      <c r="K325" s="22"/>
      <c r="L325" s="22"/>
      <c r="M325" s="22"/>
      <c r="N325" s="22"/>
    </row>
    <row r="326" spans="1:14" x14ac:dyDescent="0.25">
      <c r="A326" s="22"/>
      <c r="B326" s="23"/>
      <c r="C326" s="22"/>
      <c r="D326" s="22"/>
      <c r="E326" s="22"/>
      <c r="F326" s="23"/>
      <c r="G326" s="22"/>
      <c r="H326" s="22"/>
      <c r="I326" s="22"/>
      <c r="J326" s="31"/>
      <c r="K326" s="22"/>
      <c r="L326" s="22"/>
      <c r="M326" s="22"/>
      <c r="N326" s="22"/>
    </row>
    <row r="327" spans="1:14" x14ac:dyDescent="0.25">
      <c r="A327" s="22"/>
      <c r="B327" s="23"/>
      <c r="C327" s="22"/>
      <c r="D327" s="22"/>
      <c r="E327" s="22"/>
      <c r="F327" s="23"/>
      <c r="G327" s="22"/>
      <c r="H327" s="22"/>
      <c r="I327" s="22"/>
      <c r="J327" s="31"/>
      <c r="K327" s="22"/>
      <c r="L327" s="22"/>
      <c r="M327" s="22"/>
      <c r="N327" s="22"/>
    </row>
    <row r="328" spans="1:14" x14ac:dyDescent="0.25">
      <c r="A328" s="22"/>
      <c r="B328" s="23"/>
      <c r="C328" s="22"/>
      <c r="D328" s="22"/>
      <c r="E328" s="22"/>
      <c r="F328" s="23"/>
      <c r="G328" s="22"/>
      <c r="H328" s="22"/>
      <c r="I328" s="22"/>
      <c r="J328" s="31"/>
      <c r="K328" s="22"/>
      <c r="L328" s="22"/>
      <c r="M328" s="22"/>
      <c r="N328" s="22"/>
    </row>
    <row r="329" spans="1:14" x14ac:dyDescent="0.25">
      <c r="A329" s="22"/>
      <c r="B329" s="23"/>
      <c r="C329" s="22"/>
      <c r="D329" s="22"/>
      <c r="E329" s="22"/>
      <c r="F329" s="23"/>
      <c r="G329" s="22"/>
      <c r="H329" s="22"/>
      <c r="I329" s="22"/>
      <c r="J329" s="31"/>
      <c r="K329" s="22"/>
      <c r="L329" s="22"/>
      <c r="M329" s="22"/>
      <c r="N329" s="22"/>
    </row>
    <row r="330" spans="1:14" x14ac:dyDescent="0.25">
      <c r="A330" s="22"/>
      <c r="B330" s="23"/>
      <c r="C330" s="22"/>
      <c r="D330" s="22"/>
      <c r="E330" s="22"/>
      <c r="F330" s="23"/>
      <c r="G330" s="22"/>
      <c r="H330" s="22"/>
      <c r="I330" s="22"/>
      <c r="J330" s="31"/>
      <c r="K330" s="22"/>
      <c r="L330" s="22"/>
      <c r="M330" s="22"/>
      <c r="N330" s="22"/>
    </row>
    <row r="331" spans="1:14" x14ac:dyDescent="0.25">
      <c r="A331" s="22"/>
      <c r="B331" s="23"/>
      <c r="C331" s="22"/>
      <c r="D331" s="22"/>
      <c r="E331" s="22"/>
      <c r="F331" s="23"/>
      <c r="G331" s="22"/>
      <c r="H331" s="22"/>
      <c r="I331" s="22"/>
      <c r="J331" s="31"/>
      <c r="K331" s="22"/>
      <c r="L331" s="22"/>
      <c r="M331" s="22"/>
      <c r="N331" s="22"/>
    </row>
    <row r="332" spans="1:14" x14ac:dyDescent="0.25">
      <c r="A332" s="22"/>
      <c r="B332" s="23"/>
      <c r="C332" s="22"/>
      <c r="D332" s="22"/>
      <c r="E332" s="22"/>
      <c r="F332" s="23"/>
      <c r="G332" s="22"/>
      <c r="H332" s="22"/>
      <c r="I332" s="22"/>
      <c r="J332" s="31"/>
      <c r="K332" s="22"/>
      <c r="L332" s="22"/>
      <c r="M332" s="22"/>
      <c r="N332" s="22"/>
    </row>
    <row r="333" spans="1:14" x14ac:dyDescent="0.25">
      <c r="A333" s="22"/>
      <c r="B333" s="23"/>
      <c r="C333" s="22"/>
      <c r="D333" s="22"/>
      <c r="E333" s="22"/>
      <c r="F333" s="23"/>
      <c r="G333" s="22"/>
      <c r="H333" s="22"/>
      <c r="I333" s="22"/>
      <c r="J333" s="31"/>
      <c r="K333" s="22"/>
      <c r="L333" s="22"/>
      <c r="M333" s="22"/>
      <c r="N333" s="22"/>
    </row>
    <row r="334" spans="1:14" x14ac:dyDescent="0.25">
      <c r="A334" s="22"/>
      <c r="B334" s="23"/>
      <c r="C334" s="22"/>
      <c r="D334" s="22"/>
      <c r="E334" s="22"/>
      <c r="F334" s="23"/>
      <c r="G334" s="22"/>
      <c r="H334" s="22"/>
      <c r="I334" s="22"/>
      <c r="J334" s="31"/>
      <c r="K334" s="22"/>
      <c r="L334" s="22"/>
      <c r="M334" s="22"/>
      <c r="N334" s="22"/>
    </row>
    <row r="335" spans="1:14" x14ac:dyDescent="0.25">
      <c r="A335" s="22"/>
      <c r="B335" s="23"/>
      <c r="C335" s="22"/>
      <c r="D335" s="22"/>
      <c r="E335" s="22"/>
      <c r="F335" s="23"/>
      <c r="G335" s="22"/>
      <c r="H335" s="22"/>
      <c r="I335" s="22"/>
      <c r="J335" s="31"/>
      <c r="K335" s="22"/>
      <c r="L335" s="22"/>
      <c r="M335" s="22"/>
      <c r="N335" s="22"/>
    </row>
    <row r="336" spans="1:14" x14ac:dyDescent="0.25">
      <c r="A336" s="22"/>
      <c r="B336" s="23"/>
      <c r="C336" s="22"/>
      <c r="D336" s="22"/>
      <c r="E336" s="22"/>
      <c r="F336" s="23"/>
      <c r="G336" s="22"/>
      <c r="H336" s="22"/>
      <c r="I336" s="22"/>
      <c r="J336" s="31"/>
      <c r="K336" s="22"/>
      <c r="L336" s="22"/>
      <c r="M336" s="22"/>
      <c r="N336" s="22"/>
    </row>
    <row r="337" spans="1:14" x14ac:dyDescent="0.25">
      <c r="A337" s="22"/>
      <c r="B337" s="23"/>
      <c r="C337" s="22"/>
      <c r="D337" s="22"/>
      <c r="E337" s="22"/>
      <c r="F337" s="23"/>
      <c r="G337" s="22"/>
      <c r="H337" s="22"/>
      <c r="I337" s="22"/>
      <c r="J337" s="31"/>
      <c r="K337" s="22"/>
      <c r="L337" s="22"/>
      <c r="M337" s="22"/>
      <c r="N337" s="22"/>
    </row>
    <row r="338" spans="1:14" x14ac:dyDescent="0.25">
      <c r="A338" s="22"/>
      <c r="B338" s="23"/>
      <c r="C338" s="22"/>
      <c r="D338" s="22"/>
      <c r="E338" s="22"/>
      <c r="F338" s="23"/>
      <c r="G338" s="22"/>
      <c r="H338" s="22"/>
      <c r="I338" s="22"/>
      <c r="J338" s="31"/>
      <c r="K338" s="22"/>
      <c r="L338" s="22"/>
      <c r="M338" s="22"/>
      <c r="N338" s="22"/>
    </row>
    <row r="339" spans="1:14" x14ac:dyDescent="0.25">
      <c r="A339" s="22"/>
      <c r="B339" s="23"/>
      <c r="C339" s="22"/>
      <c r="D339" s="22"/>
      <c r="E339" s="22"/>
      <c r="F339" s="23"/>
      <c r="G339" s="22"/>
      <c r="H339" s="22"/>
      <c r="I339" s="22"/>
      <c r="J339" s="31"/>
      <c r="K339" s="22"/>
      <c r="L339" s="22"/>
      <c r="M339" s="22"/>
      <c r="N339" s="22"/>
    </row>
    <row r="340" spans="1:14" x14ac:dyDescent="0.25">
      <c r="A340" s="22"/>
      <c r="B340" s="23"/>
      <c r="C340" s="22"/>
      <c r="D340" s="22"/>
      <c r="E340" s="22"/>
      <c r="F340" s="23"/>
      <c r="G340" s="22"/>
      <c r="H340" s="22"/>
      <c r="I340" s="22"/>
      <c r="J340" s="31"/>
      <c r="K340" s="22"/>
      <c r="L340" s="22"/>
      <c r="M340" s="22"/>
      <c r="N340" s="22"/>
    </row>
    <row r="341" spans="1:14" x14ac:dyDescent="0.25">
      <c r="A341" s="22"/>
      <c r="B341" s="23"/>
      <c r="C341" s="22"/>
      <c r="D341" s="22"/>
      <c r="E341" s="22"/>
      <c r="F341" s="23"/>
      <c r="G341" s="22"/>
      <c r="H341" s="22"/>
      <c r="I341" s="22"/>
      <c r="J341" s="31"/>
      <c r="K341" s="22"/>
      <c r="L341" s="22"/>
      <c r="M341" s="22"/>
      <c r="N341" s="22"/>
    </row>
    <row r="342" spans="1:14" x14ac:dyDescent="0.25">
      <c r="A342" s="22"/>
      <c r="B342" s="23"/>
      <c r="C342" s="22"/>
      <c r="D342" s="22"/>
      <c r="E342" s="22"/>
      <c r="F342" s="23"/>
      <c r="G342" s="22"/>
      <c r="H342" s="22"/>
      <c r="I342" s="22"/>
      <c r="J342" s="31"/>
      <c r="K342" s="22"/>
      <c r="L342" s="22"/>
      <c r="M342" s="22"/>
      <c r="N342" s="22"/>
    </row>
    <row r="343" spans="1:14" x14ac:dyDescent="0.25">
      <c r="A343" s="22"/>
      <c r="B343" s="23"/>
      <c r="C343" s="22"/>
      <c r="D343" s="22"/>
      <c r="E343" s="22"/>
      <c r="F343" s="23"/>
      <c r="G343" s="22"/>
      <c r="H343" s="22"/>
      <c r="I343" s="22"/>
      <c r="J343" s="31"/>
      <c r="K343" s="22"/>
      <c r="L343" s="22"/>
      <c r="M343" s="22"/>
      <c r="N343" s="22"/>
    </row>
    <row r="344" spans="1:14" x14ac:dyDescent="0.25">
      <c r="A344" s="22"/>
      <c r="B344" s="23"/>
      <c r="C344" s="22"/>
      <c r="D344" s="22"/>
      <c r="E344" s="22"/>
      <c r="F344" s="23"/>
      <c r="G344" s="22"/>
      <c r="H344" s="22"/>
      <c r="I344" s="22"/>
      <c r="J344" s="31"/>
      <c r="K344" s="22"/>
      <c r="L344" s="22"/>
      <c r="M344" s="22"/>
      <c r="N344" s="22"/>
    </row>
    <row r="345" spans="1:14" x14ac:dyDescent="0.25">
      <c r="A345" s="22"/>
      <c r="B345" s="23"/>
      <c r="C345" s="22"/>
      <c r="D345" s="22"/>
      <c r="E345" s="22"/>
      <c r="F345" s="23"/>
      <c r="G345" s="22"/>
      <c r="H345" s="22"/>
      <c r="I345" s="22"/>
      <c r="J345" s="31"/>
      <c r="K345" s="22"/>
      <c r="L345" s="22"/>
      <c r="M345" s="22"/>
      <c r="N345" s="22"/>
    </row>
    <row r="346" spans="1:14" x14ac:dyDescent="0.25">
      <c r="A346" s="22"/>
      <c r="B346" s="23"/>
      <c r="C346" s="22"/>
      <c r="D346" s="22"/>
      <c r="E346" s="22"/>
      <c r="F346" s="23"/>
      <c r="G346" s="22"/>
      <c r="H346" s="22"/>
      <c r="I346" s="22"/>
      <c r="J346" s="31"/>
      <c r="K346" s="22"/>
      <c r="L346" s="22"/>
      <c r="M346" s="22"/>
      <c r="N346" s="22"/>
    </row>
    <row r="347" spans="1:14" x14ac:dyDescent="0.25">
      <c r="A347" s="22"/>
      <c r="B347" s="23"/>
      <c r="C347" s="22"/>
      <c r="D347" s="22"/>
      <c r="E347" s="22"/>
      <c r="F347" s="23"/>
      <c r="G347" s="22"/>
      <c r="H347" s="22"/>
      <c r="I347" s="22"/>
      <c r="J347" s="31"/>
      <c r="K347" s="22"/>
      <c r="L347" s="22"/>
      <c r="M347" s="22"/>
      <c r="N347" s="22"/>
    </row>
    <row r="348" spans="1:14" x14ac:dyDescent="0.25">
      <c r="A348" s="22"/>
      <c r="B348" s="23"/>
      <c r="C348" s="22"/>
      <c r="D348" s="22"/>
      <c r="E348" s="22"/>
      <c r="F348" s="23"/>
      <c r="G348" s="22"/>
      <c r="H348" s="22"/>
      <c r="I348" s="22"/>
      <c r="J348" s="31"/>
      <c r="K348" s="22"/>
      <c r="L348" s="22"/>
      <c r="M348" s="22"/>
      <c r="N348" s="22"/>
    </row>
    <row r="349" spans="1:14" x14ac:dyDescent="0.25">
      <c r="A349" s="22"/>
      <c r="B349" s="23"/>
      <c r="C349" s="22"/>
      <c r="D349" s="22"/>
      <c r="E349" s="22"/>
      <c r="F349" s="23"/>
      <c r="G349" s="22"/>
      <c r="H349" s="22"/>
      <c r="I349" s="22"/>
      <c r="J349" s="31"/>
      <c r="K349" s="22"/>
      <c r="L349" s="22"/>
      <c r="M349" s="22"/>
      <c r="N349" s="22"/>
    </row>
    <row r="350" spans="1:14" x14ac:dyDescent="0.25">
      <c r="A350" s="22"/>
      <c r="B350" s="23"/>
      <c r="C350" s="22"/>
      <c r="D350" s="22"/>
      <c r="E350" s="22"/>
      <c r="F350" s="23"/>
      <c r="G350" s="22"/>
      <c r="H350" s="22"/>
      <c r="I350" s="22"/>
      <c r="J350" s="31"/>
      <c r="K350" s="22"/>
      <c r="L350" s="22"/>
      <c r="M350" s="22"/>
      <c r="N350" s="22"/>
    </row>
    <row r="351" spans="1:14" x14ac:dyDescent="0.25">
      <c r="A351" s="22"/>
      <c r="B351" s="23"/>
      <c r="C351" s="22"/>
      <c r="D351" s="22"/>
      <c r="E351" s="22"/>
      <c r="F351" s="23"/>
      <c r="G351" s="22"/>
      <c r="H351" s="22"/>
      <c r="I351" s="22"/>
      <c r="J351" s="31"/>
      <c r="K351" s="22"/>
      <c r="L351" s="22"/>
      <c r="M351" s="22"/>
      <c r="N351" s="22"/>
    </row>
    <row r="352" spans="1:14" x14ac:dyDescent="0.25">
      <c r="A352" s="22"/>
      <c r="B352" s="23"/>
      <c r="C352" s="22"/>
      <c r="D352" s="22"/>
      <c r="E352" s="22"/>
      <c r="F352" s="23"/>
      <c r="G352" s="22"/>
      <c r="H352" s="22"/>
      <c r="I352" s="22"/>
      <c r="J352" s="31"/>
      <c r="K352" s="22"/>
      <c r="L352" s="22"/>
      <c r="M352" s="22"/>
      <c r="N352" s="22"/>
    </row>
    <row r="353" spans="1:14" x14ac:dyDescent="0.25">
      <c r="A353" s="22"/>
      <c r="B353" s="23"/>
      <c r="C353" s="22"/>
      <c r="D353" s="22"/>
      <c r="E353" s="22"/>
      <c r="F353" s="23"/>
      <c r="G353" s="22"/>
      <c r="H353" s="22"/>
      <c r="I353" s="22"/>
      <c r="J353" s="31"/>
      <c r="K353" s="22"/>
      <c r="L353" s="22"/>
      <c r="M353" s="22"/>
      <c r="N353" s="22"/>
    </row>
    <row r="354" spans="1:14" x14ac:dyDescent="0.25">
      <c r="A354" s="22"/>
      <c r="B354" s="23"/>
      <c r="C354" s="22"/>
      <c r="D354" s="22"/>
      <c r="E354" s="22"/>
      <c r="F354" s="23"/>
      <c r="G354" s="22"/>
      <c r="H354" s="22"/>
      <c r="I354" s="22"/>
      <c r="J354" s="31"/>
      <c r="K354" s="22"/>
      <c r="L354" s="22"/>
      <c r="M354" s="22"/>
      <c r="N354" s="22"/>
    </row>
    <row r="355" spans="1:14" x14ac:dyDescent="0.25">
      <c r="A355" s="22"/>
      <c r="B355" s="23"/>
      <c r="C355" s="22"/>
      <c r="D355" s="22"/>
      <c r="E355" s="22"/>
      <c r="F355" s="23"/>
      <c r="G355" s="22"/>
      <c r="H355" s="22"/>
      <c r="I355" s="22"/>
      <c r="J355" s="31"/>
      <c r="K355" s="22"/>
      <c r="L355" s="22"/>
      <c r="M355" s="22"/>
      <c r="N355" s="22"/>
    </row>
    <row r="356" spans="1:14" x14ac:dyDescent="0.25">
      <c r="A356" s="22"/>
      <c r="B356" s="23"/>
      <c r="C356" s="22"/>
      <c r="D356" s="22"/>
      <c r="E356" s="22"/>
      <c r="F356" s="23"/>
      <c r="G356" s="22"/>
      <c r="H356" s="22"/>
      <c r="I356" s="22"/>
      <c r="J356" s="31"/>
      <c r="K356" s="22"/>
      <c r="L356" s="22"/>
      <c r="M356" s="22"/>
      <c r="N356" s="22"/>
    </row>
    <row r="357" spans="1:14" x14ac:dyDescent="0.25">
      <c r="A357" s="22"/>
      <c r="B357" s="23"/>
      <c r="C357" s="22"/>
      <c r="D357" s="22"/>
      <c r="E357" s="22"/>
      <c r="F357" s="23"/>
      <c r="G357" s="22"/>
      <c r="H357" s="22"/>
      <c r="I357" s="22"/>
      <c r="J357" s="31"/>
      <c r="K357" s="22"/>
      <c r="L357" s="22"/>
      <c r="M357" s="22"/>
      <c r="N357" s="22"/>
    </row>
    <row r="358" spans="1:14" x14ac:dyDescent="0.25">
      <c r="A358" s="22"/>
      <c r="B358" s="23"/>
      <c r="C358" s="22"/>
      <c r="D358" s="22"/>
      <c r="E358" s="22"/>
      <c r="F358" s="23"/>
      <c r="G358" s="22"/>
      <c r="H358" s="22"/>
      <c r="I358" s="22"/>
      <c r="J358" s="31"/>
      <c r="K358" s="22"/>
      <c r="L358" s="22"/>
      <c r="M358" s="22"/>
      <c r="N358" s="22"/>
    </row>
    <row r="359" spans="1:14" x14ac:dyDescent="0.25">
      <c r="A359" s="22"/>
      <c r="B359" s="23"/>
      <c r="C359" s="22"/>
      <c r="D359" s="22"/>
      <c r="E359" s="22"/>
      <c r="F359" s="23"/>
      <c r="G359" s="22"/>
      <c r="H359" s="22"/>
      <c r="I359" s="22"/>
      <c r="J359" s="31"/>
      <c r="K359" s="22"/>
      <c r="L359" s="22"/>
      <c r="M359" s="22"/>
      <c r="N359" s="22"/>
    </row>
    <row r="360" spans="1:14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32"/>
      <c r="K360" s="4"/>
      <c r="L360" s="4"/>
      <c r="M360" s="4"/>
      <c r="N360" s="4"/>
    </row>
    <row r="361" spans="1:14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32"/>
      <c r="K361" s="4"/>
      <c r="L361" s="4"/>
      <c r="M361" s="4"/>
      <c r="N361" s="4"/>
    </row>
    <row r="362" spans="1:14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32"/>
      <c r="K362" s="4"/>
      <c r="L362" s="4"/>
      <c r="M362" s="4"/>
      <c r="N362" s="4"/>
    </row>
    <row r="363" spans="1:14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32"/>
      <c r="K363" s="4"/>
      <c r="L363" s="4"/>
      <c r="M363" s="4"/>
      <c r="N363" s="4"/>
    </row>
    <row r="364" spans="1:14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32"/>
      <c r="K364" s="4"/>
      <c r="L364" s="4"/>
      <c r="M364" s="4"/>
      <c r="N364" s="4"/>
    </row>
    <row r="365" spans="1:14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32"/>
      <c r="K365" s="4"/>
      <c r="L365" s="4"/>
      <c r="M365" s="4"/>
      <c r="N365" s="4"/>
    </row>
    <row r="366" spans="1:14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32"/>
      <c r="K366" s="4"/>
      <c r="L366" s="4"/>
      <c r="M366" s="4"/>
      <c r="N366" s="4"/>
    </row>
    <row r="367" spans="1:14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32"/>
      <c r="K367" s="4"/>
      <c r="L367" s="4"/>
      <c r="M367" s="4"/>
      <c r="N367" s="4"/>
    </row>
    <row r="368" spans="1:14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32"/>
      <c r="K368" s="4"/>
      <c r="L368" s="4"/>
      <c r="M368" s="4"/>
      <c r="N368" s="4"/>
    </row>
    <row r="369" spans="1:14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32"/>
      <c r="K369" s="4"/>
      <c r="L369" s="4"/>
      <c r="M369" s="4"/>
      <c r="N369" s="4"/>
    </row>
    <row r="370" spans="1:14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32"/>
      <c r="K370" s="4"/>
      <c r="L370" s="4"/>
      <c r="M370" s="4"/>
      <c r="N370" s="4"/>
    </row>
    <row r="371" spans="1:14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32"/>
      <c r="K371" s="4"/>
      <c r="L371" s="4"/>
      <c r="M371" s="4"/>
      <c r="N371" s="4"/>
    </row>
    <row r="372" spans="1:14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32"/>
      <c r="K372" s="4"/>
      <c r="L372" s="4"/>
      <c r="M372" s="4"/>
      <c r="N372" s="4"/>
    </row>
    <row r="373" spans="1:14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32"/>
      <c r="K373" s="4"/>
      <c r="L373" s="4"/>
      <c r="M373" s="4"/>
      <c r="N373" s="4"/>
    </row>
    <row r="374" spans="1:14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32"/>
      <c r="K374" s="4"/>
      <c r="L374" s="4"/>
      <c r="M374" s="4"/>
      <c r="N374" s="4"/>
    </row>
    <row r="375" spans="1:14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32"/>
      <c r="K375" s="4"/>
      <c r="L375" s="4"/>
      <c r="M375" s="4"/>
      <c r="N375" s="4"/>
    </row>
    <row r="376" spans="1:14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32"/>
      <c r="K376" s="4"/>
      <c r="L376" s="4"/>
      <c r="M376" s="4"/>
      <c r="N376" s="4"/>
    </row>
    <row r="377" spans="1:14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32"/>
      <c r="K377" s="4"/>
      <c r="L377" s="4"/>
      <c r="M377" s="4"/>
      <c r="N377" s="4"/>
    </row>
    <row r="378" spans="1:14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32"/>
      <c r="K378" s="4"/>
      <c r="L378" s="4"/>
      <c r="M378" s="4"/>
      <c r="N378" s="4"/>
    </row>
    <row r="379" spans="1:14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32"/>
      <c r="K379" s="4"/>
      <c r="L379" s="4"/>
      <c r="M379" s="4"/>
      <c r="N379" s="4"/>
    </row>
    <row r="380" spans="1:14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32"/>
      <c r="K380" s="4"/>
      <c r="L380" s="4"/>
      <c r="M380" s="4"/>
      <c r="N380" s="4"/>
    </row>
    <row r="381" spans="1:14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32"/>
      <c r="K381" s="4"/>
      <c r="L381" s="4"/>
      <c r="M381" s="4"/>
      <c r="N381" s="4"/>
    </row>
    <row r="382" spans="1:14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32"/>
      <c r="K382" s="4"/>
      <c r="L382" s="4"/>
      <c r="M382" s="4"/>
      <c r="N382" s="4"/>
    </row>
    <row r="383" spans="1:14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32"/>
      <c r="K383" s="4"/>
      <c r="L383" s="4"/>
      <c r="M383" s="4"/>
      <c r="N383" s="4"/>
    </row>
    <row r="384" spans="1:14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32"/>
      <c r="K384" s="4"/>
      <c r="L384" s="4"/>
      <c r="M384" s="4"/>
      <c r="N384" s="4"/>
    </row>
    <row r="385" spans="1:14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32"/>
      <c r="K385" s="4"/>
      <c r="L385" s="4"/>
      <c r="M385" s="4"/>
      <c r="N385" s="4"/>
    </row>
    <row r="386" spans="1:14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32"/>
      <c r="K386" s="4"/>
      <c r="L386" s="4"/>
      <c r="M386" s="4"/>
      <c r="N386" s="4"/>
    </row>
    <row r="387" spans="1:14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32"/>
      <c r="K387" s="4"/>
      <c r="L387" s="4"/>
      <c r="M387" s="4"/>
      <c r="N387" s="4"/>
    </row>
    <row r="388" spans="1:14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32"/>
      <c r="K388" s="4"/>
      <c r="L388" s="4"/>
      <c r="M388" s="4"/>
      <c r="N388" s="4"/>
    </row>
    <row r="389" spans="1:14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32"/>
      <c r="K389" s="4"/>
      <c r="L389" s="4"/>
      <c r="M389" s="4"/>
      <c r="N389" s="4"/>
    </row>
    <row r="390" spans="1:14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32"/>
      <c r="K390" s="4"/>
      <c r="L390" s="4"/>
      <c r="M390" s="4"/>
      <c r="N390" s="4"/>
    </row>
    <row r="391" spans="1:14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32"/>
      <c r="K391" s="4"/>
      <c r="L391" s="4"/>
      <c r="M391" s="4"/>
      <c r="N391" s="4"/>
    </row>
    <row r="392" spans="1:14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32"/>
      <c r="K392" s="4"/>
      <c r="L392" s="4"/>
      <c r="M392" s="4"/>
      <c r="N392" s="4"/>
    </row>
    <row r="393" spans="1:14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32"/>
      <c r="K393" s="4"/>
      <c r="L393" s="4"/>
      <c r="M393" s="4"/>
      <c r="N393" s="4"/>
    </row>
    <row r="394" spans="1:14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32"/>
      <c r="K394" s="4"/>
      <c r="L394" s="4"/>
      <c r="M394" s="4"/>
      <c r="N394" s="4"/>
    </row>
    <row r="395" spans="1:14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32"/>
      <c r="K395" s="4"/>
      <c r="L395" s="4"/>
      <c r="M395" s="4"/>
      <c r="N395" s="4"/>
    </row>
    <row r="396" spans="1:14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32"/>
      <c r="K396" s="4"/>
      <c r="L396" s="4"/>
      <c r="M396" s="4"/>
      <c r="N396" s="4"/>
    </row>
    <row r="397" spans="1:14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32"/>
      <c r="K397" s="4"/>
      <c r="L397" s="4"/>
      <c r="M397" s="4"/>
      <c r="N397" s="4"/>
    </row>
    <row r="398" spans="1:14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32"/>
      <c r="K398" s="4"/>
      <c r="L398" s="4"/>
      <c r="M398" s="4"/>
      <c r="N398" s="4"/>
    </row>
    <row r="399" spans="1:14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32"/>
      <c r="K399" s="4"/>
      <c r="L399" s="4"/>
      <c r="M399" s="4"/>
      <c r="N399" s="4"/>
    </row>
    <row r="400" spans="1:14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32"/>
      <c r="K400" s="4"/>
      <c r="L400" s="4"/>
      <c r="M400" s="4"/>
      <c r="N400" s="4"/>
    </row>
    <row r="401" spans="1:14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32"/>
      <c r="K401" s="4"/>
      <c r="L401" s="4"/>
      <c r="M401" s="4"/>
      <c r="N401" s="4"/>
    </row>
    <row r="402" spans="1:14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32"/>
      <c r="K402" s="4"/>
      <c r="L402" s="4"/>
      <c r="M402" s="4"/>
      <c r="N402" s="4"/>
    </row>
    <row r="403" spans="1:14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32"/>
      <c r="K403" s="4"/>
      <c r="L403" s="4"/>
      <c r="M403" s="4"/>
      <c r="N403" s="4"/>
    </row>
    <row r="404" spans="1:14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32"/>
      <c r="K404" s="4"/>
      <c r="L404" s="4"/>
      <c r="M404" s="4"/>
      <c r="N404" s="4"/>
    </row>
    <row r="405" spans="1:14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32"/>
      <c r="K405" s="4"/>
      <c r="L405" s="4"/>
      <c r="M405" s="4"/>
      <c r="N405" s="4"/>
    </row>
    <row r="406" spans="1:14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32"/>
      <c r="K406" s="4"/>
      <c r="L406" s="4"/>
      <c r="M406" s="4"/>
      <c r="N406" s="4"/>
    </row>
    <row r="407" spans="1:14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32"/>
      <c r="K407" s="4"/>
      <c r="L407" s="4"/>
      <c r="M407" s="4"/>
      <c r="N407" s="4"/>
    </row>
    <row r="408" spans="1:14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32"/>
      <c r="K408" s="4"/>
      <c r="L408" s="4"/>
      <c r="M408" s="4"/>
      <c r="N408" s="4"/>
    </row>
    <row r="409" spans="1:14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32"/>
      <c r="K409" s="4"/>
      <c r="L409" s="4"/>
      <c r="M409" s="4"/>
      <c r="N409" s="4"/>
    </row>
    <row r="410" spans="1:14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32"/>
      <c r="K410" s="4"/>
      <c r="L410" s="4"/>
      <c r="M410" s="4"/>
      <c r="N410" s="4"/>
    </row>
    <row r="411" spans="1:14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32"/>
      <c r="K411" s="4"/>
      <c r="L411" s="4"/>
      <c r="M411" s="4"/>
      <c r="N411" s="4"/>
    </row>
    <row r="412" spans="1:14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32"/>
      <c r="K412" s="4"/>
      <c r="L412" s="4"/>
      <c r="M412" s="4"/>
      <c r="N412" s="4"/>
    </row>
    <row r="413" spans="1:14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32"/>
      <c r="K413" s="4"/>
      <c r="L413" s="4"/>
      <c r="M413" s="4"/>
      <c r="N413" s="4"/>
    </row>
    <row r="414" spans="1:14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32"/>
      <c r="K414" s="4"/>
      <c r="L414" s="4"/>
      <c r="M414" s="4"/>
      <c r="N414" s="4"/>
    </row>
    <row r="415" spans="1:14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32"/>
      <c r="K415" s="4"/>
      <c r="L415" s="4"/>
      <c r="M415" s="4"/>
      <c r="N415" s="4"/>
    </row>
    <row r="416" spans="1:14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32"/>
      <c r="K416" s="4"/>
      <c r="L416" s="4"/>
      <c r="M416" s="4"/>
      <c r="N416" s="4"/>
    </row>
    <row r="417" spans="1:14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32"/>
      <c r="K417" s="4"/>
      <c r="L417" s="4"/>
      <c r="M417" s="4"/>
      <c r="N417" s="4"/>
    </row>
    <row r="418" spans="1:14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32"/>
      <c r="K418" s="4"/>
      <c r="L418" s="4"/>
      <c r="M418" s="4"/>
      <c r="N418" s="4"/>
    </row>
    <row r="419" spans="1:14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32"/>
      <c r="K419" s="4"/>
      <c r="L419" s="4"/>
      <c r="M419" s="4"/>
      <c r="N419" s="4"/>
    </row>
    <row r="420" spans="1:14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32"/>
      <c r="K420" s="4"/>
      <c r="L420" s="4"/>
      <c r="M420" s="4"/>
      <c r="N420" s="4"/>
    </row>
    <row r="421" spans="1:14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32"/>
      <c r="K421" s="4"/>
      <c r="L421" s="4"/>
      <c r="M421" s="4"/>
      <c r="N421" s="4"/>
    </row>
    <row r="422" spans="1:14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32"/>
      <c r="K422" s="4"/>
      <c r="L422" s="4"/>
      <c r="M422" s="4"/>
      <c r="N422" s="4"/>
    </row>
    <row r="423" spans="1:14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32"/>
      <c r="K423" s="4"/>
      <c r="L423" s="4"/>
      <c r="M423" s="4"/>
      <c r="N423" s="4"/>
    </row>
    <row r="424" spans="1:14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32"/>
      <c r="K424" s="4"/>
      <c r="L424" s="4"/>
      <c r="M424" s="4"/>
      <c r="N424" s="4"/>
    </row>
    <row r="425" spans="1:14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32"/>
      <c r="K425" s="4"/>
      <c r="L425" s="4"/>
      <c r="M425" s="4"/>
      <c r="N425" s="4"/>
    </row>
    <row r="426" spans="1:14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32"/>
      <c r="K426" s="4"/>
      <c r="L426" s="4"/>
      <c r="M426" s="4"/>
      <c r="N426" s="4"/>
    </row>
    <row r="427" spans="1:14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32"/>
      <c r="K427" s="4"/>
      <c r="L427" s="4"/>
      <c r="M427" s="4"/>
      <c r="N427" s="4"/>
    </row>
    <row r="428" spans="1:14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32"/>
      <c r="K428" s="4"/>
      <c r="L428" s="4"/>
      <c r="M428" s="4"/>
      <c r="N428" s="4"/>
    </row>
    <row r="429" spans="1:14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32"/>
      <c r="K429" s="4"/>
      <c r="L429" s="4"/>
      <c r="M429" s="4"/>
      <c r="N429" s="4"/>
    </row>
    <row r="430" spans="1:14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32"/>
      <c r="K430" s="4"/>
      <c r="L430" s="4"/>
      <c r="M430" s="4"/>
      <c r="N430" s="4"/>
    </row>
    <row r="431" spans="1:14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32"/>
      <c r="K431" s="4"/>
      <c r="L431" s="4"/>
      <c r="M431" s="4"/>
      <c r="N431" s="4"/>
    </row>
    <row r="432" spans="1:14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32"/>
      <c r="K432" s="4"/>
      <c r="L432" s="4"/>
      <c r="M432" s="4"/>
      <c r="N432" s="4"/>
    </row>
    <row r="433" spans="1:14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32"/>
      <c r="K433" s="4"/>
      <c r="L433" s="4"/>
      <c r="M433" s="4"/>
      <c r="N433" s="4"/>
    </row>
    <row r="434" spans="1:14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32"/>
      <c r="K434" s="4"/>
      <c r="L434" s="4"/>
      <c r="M434" s="4"/>
      <c r="N434" s="4"/>
    </row>
    <row r="435" spans="1:14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32"/>
      <c r="K435" s="4"/>
      <c r="L435" s="4"/>
      <c r="M435" s="4"/>
      <c r="N435" s="4"/>
    </row>
    <row r="436" spans="1:14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32"/>
      <c r="K436" s="4"/>
      <c r="L436" s="4"/>
      <c r="M436" s="4"/>
      <c r="N436" s="4"/>
    </row>
    <row r="437" spans="1:14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32"/>
      <c r="K437" s="4"/>
      <c r="L437" s="4"/>
      <c r="M437" s="4"/>
      <c r="N437" s="4"/>
    </row>
    <row r="438" spans="1:14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32"/>
      <c r="K438" s="4"/>
      <c r="L438" s="4"/>
      <c r="M438" s="4"/>
      <c r="N438" s="4"/>
    </row>
    <row r="439" spans="1:14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32"/>
      <c r="K439" s="4"/>
      <c r="L439" s="4"/>
      <c r="M439" s="4"/>
      <c r="N439" s="4"/>
    </row>
    <row r="440" spans="1:14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32"/>
      <c r="K440" s="4"/>
      <c r="L440" s="4"/>
      <c r="M440" s="4"/>
      <c r="N440" s="4"/>
    </row>
    <row r="441" spans="1:14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32"/>
      <c r="K441" s="4"/>
      <c r="L441" s="4"/>
      <c r="M441" s="4"/>
      <c r="N441" s="4"/>
    </row>
    <row r="442" spans="1:14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32"/>
      <c r="K442" s="4"/>
      <c r="L442" s="4"/>
      <c r="M442" s="4"/>
      <c r="N442" s="4"/>
    </row>
    <row r="443" spans="1:14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32"/>
      <c r="K443" s="4"/>
      <c r="L443" s="4"/>
      <c r="M443" s="4"/>
      <c r="N443" s="4"/>
    </row>
    <row r="444" spans="1:14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32"/>
      <c r="K444" s="4"/>
      <c r="L444" s="4"/>
      <c r="M444" s="4"/>
      <c r="N444" s="4"/>
    </row>
    <row r="445" spans="1:14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32"/>
      <c r="K445" s="4"/>
      <c r="L445" s="4"/>
      <c r="M445" s="4"/>
      <c r="N445" s="4"/>
    </row>
    <row r="446" spans="1:14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32"/>
      <c r="K446" s="4"/>
      <c r="L446" s="4"/>
      <c r="M446" s="4"/>
      <c r="N446" s="4"/>
    </row>
    <row r="447" spans="1:14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32"/>
      <c r="K447" s="4"/>
      <c r="L447" s="4"/>
      <c r="M447" s="4"/>
      <c r="N447" s="4"/>
    </row>
    <row r="448" spans="1:14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32"/>
      <c r="K448" s="4"/>
      <c r="L448" s="4"/>
      <c r="M448" s="4"/>
      <c r="N448" s="4"/>
    </row>
    <row r="449" spans="1:14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32"/>
      <c r="K449" s="4"/>
      <c r="L449" s="4"/>
      <c r="M449" s="4"/>
      <c r="N449" s="4"/>
    </row>
    <row r="450" spans="1:14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32"/>
      <c r="K450" s="4"/>
      <c r="L450" s="4"/>
      <c r="M450" s="4"/>
      <c r="N450" s="4"/>
    </row>
    <row r="451" spans="1:14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32"/>
      <c r="K451" s="4"/>
      <c r="L451" s="4"/>
      <c r="M451" s="4"/>
      <c r="N451" s="4"/>
    </row>
    <row r="452" spans="1:14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32"/>
      <c r="K452" s="4"/>
      <c r="L452" s="4"/>
      <c r="M452" s="4"/>
      <c r="N452" s="4"/>
    </row>
    <row r="453" spans="1:14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32"/>
      <c r="K453" s="4"/>
      <c r="L453" s="4"/>
      <c r="M453" s="4"/>
      <c r="N453" s="4"/>
    </row>
    <row r="454" spans="1:14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32"/>
      <c r="K454" s="4"/>
      <c r="L454" s="4"/>
      <c r="M454" s="4"/>
      <c r="N454" s="4"/>
    </row>
    <row r="455" spans="1:14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32"/>
      <c r="K455" s="4"/>
      <c r="L455" s="4"/>
      <c r="M455" s="4"/>
      <c r="N455" s="4"/>
    </row>
    <row r="456" spans="1:14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32"/>
      <c r="K456" s="4"/>
      <c r="L456" s="4"/>
      <c r="M456" s="4"/>
      <c r="N456" s="4"/>
    </row>
    <row r="457" spans="1:14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32"/>
      <c r="K457" s="4"/>
      <c r="L457" s="4"/>
      <c r="M457" s="4"/>
      <c r="N457" s="4"/>
    </row>
    <row r="458" spans="1:14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32"/>
      <c r="K458" s="4"/>
      <c r="L458" s="4"/>
      <c r="M458" s="4"/>
      <c r="N458" s="4"/>
    </row>
    <row r="459" spans="1:14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32"/>
      <c r="K459" s="4"/>
      <c r="L459" s="4"/>
      <c r="M459" s="4"/>
      <c r="N459" s="4"/>
    </row>
    <row r="460" spans="1:14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32"/>
      <c r="K460" s="4"/>
      <c r="L460" s="4"/>
      <c r="M460" s="4"/>
      <c r="N460" s="4"/>
    </row>
    <row r="461" spans="1:14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32"/>
      <c r="K461" s="4"/>
      <c r="L461" s="4"/>
      <c r="M461" s="4"/>
      <c r="N461" s="4"/>
    </row>
    <row r="462" spans="1:14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32"/>
      <c r="K462" s="4"/>
      <c r="L462" s="4"/>
      <c r="M462" s="4"/>
      <c r="N462" s="4"/>
    </row>
    <row r="463" spans="1:14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32"/>
      <c r="K463" s="4"/>
      <c r="L463" s="4"/>
      <c r="M463" s="4"/>
      <c r="N463" s="4"/>
    </row>
    <row r="464" spans="1:14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32"/>
      <c r="K464" s="4"/>
      <c r="L464" s="4"/>
      <c r="M464" s="4"/>
      <c r="N464" s="4"/>
    </row>
    <row r="465" spans="1:14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32"/>
      <c r="K465" s="4"/>
      <c r="L465" s="4"/>
      <c r="M465" s="4"/>
      <c r="N465" s="4"/>
    </row>
    <row r="466" spans="1:14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32"/>
      <c r="K466" s="4"/>
      <c r="L466" s="4"/>
      <c r="M466" s="4"/>
      <c r="N466" s="4"/>
    </row>
    <row r="467" spans="1:14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32"/>
      <c r="K467" s="4"/>
      <c r="L467" s="4"/>
      <c r="M467" s="4"/>
      <c r="N467" s="4"/>
    </row>
    <row r="468" spans="1:14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32"/>
      <c r="K468" s="4"/>
      <c r="L468" s="4"/>
      <c r="M468" s="4"/>
      <c r="N468" s="4"/>
    </row>
    <row r="469" spans="1:14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32"/>
      <c r="K469" s="4"/>
      <c r="L469" s="4"/>
      <c r="M469" s="4"/>
      <c r="N469" s="4"/>
    </row>
    <row r="470" spans="1:14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32"/>
      <c r="K470" s="4"/>
      <c r="L470" s="4"/>
      <c r="M470" s="4"/>
      <c r="N470" s="4"/>
    </row>
    <row r="471" spans="1:14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32"/>
      <c r="K471" s="4"/>
      <c r="L471" s="4"/>
      <c r="M471" s="4"/>
      <c r="N471" s="4"/>
    </row>
    <row r="472" spans="1:14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32"/>
      <c r="K472" s="4"/>
      <c r="L472" s="4"/>
      <c r="M472" s="4"/>
      <c r="N472" s="4"/>
    </row>
    <row r="473" spans="1:14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32"/>
      <c r="K473" s="4"/>
      <c r="L473" s="4"/>
      <c r="M473" s="4"/>
      <c r="N473" s="4"/>
    </row>
    <row r="474" spans="1:14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32"/>
      <c r="K474" s="4"/>
      <c r="L474" s="4"/>
      <c r="M474" s="4"/>
      <c r="N474" s="4"/>
    </row>
    <row r="475" spans="1:14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32"/>
      <c r="K475" s="4"/>
      <c r="L475" s="4"/>
      <c r="M475" s="4"/>
      <c r="N475" s="4"/>
    </row>
    <row r="476" spans="1:14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32"/>
      <c r="K476" s="4"/>
      <c r="L476" s="4"/>
      <c r="M476" s="4"/>
      <c r="N476" s="4"/>
    </row>
    <row r="477" spans="1:14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32"/>
      <c r="K477" s="4"/>
      <c r="L477" s="4"/>
      <c r="M477" s="4"/>
      <c r="N477" s="4"/>
    </row>
    <row r="478" spans="1:14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32"/>
      <c r="K478" s="4"/>
      <c r="L478" s="4"/>
      <c r="M478" s="4"/>
      <c r="N478" s="4"/>
    </row>
    <row r="479" spans="1:14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32"/>
      <c r="K479" s="4"/>
      <c r="L479" s="4"/>
      <c r="M479" s="4"/>
      <c r="N479" s="4"/>
    </row>
    <row r="480" spans="1:14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32"/>
      <c r="K480" s="4"/>
      <c r="L480" s="4"/>
      <c r="M480" s="4"/>
      <c r="N480" s="4"/>
    </row>
    <row r="481" spans="1:14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32"/>
      <c r="K481" s="4"/>
      <c r="L481" s="4"/>
      <c r="M481" s="4"/>
      <c r="N481" s="4"/>
    </row>
    <row r="482" spans="1:14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32"/>
      <c r="K482" s="4"/>
      <c r="L482" s="4"/>
      <c r="M482" s="4"/>
      <c r="N482" s="4"/>
    </row>
    <row r="483" spans="1:14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32"/>
      <c r="K483" s="4"/>
      <c r="L483" s="4"/>
      <c r="M483" s="4"/>
      <c r="N483" s="4"/>
    </row>
    <row r="484" spans="1:14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32"/>
      <c r="K484" s="4"/>
      <c r="L484" s="4"/>
      <c r="M484" s="4"/>
      <c r="N484" s="4"/>
    </row>
    <row r="485" spans="1:14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32"/>
      <c r="K485" s="4"/>
      <c r="L485" s="4"/>
      <c r="M485" s="4"/>
      <c r="N485" s="4"/>
    </row>
    <row r="486" spans="1:14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32"/>
      <c r="K486" s="4"/>
      <c r="L486" s="4"/>
      <c r="M486" s="4"/>
      <c r="N486" s="4"/>
    </row>
    <row r="487" spans="1:14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32"/>
      <c r="K487" s="4"/>
      <c r="L487" s="4"/>
      <c r="M487" s="4"/>
      <c r="N487" s="4"/>
    </row>
    <row r="488" spans="1:14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32"/>
      <c r="K488" s="4"/>
      <c r="L488" s="4"/>
      <c r="M488" s="4"/>
      <c r="N488" s="4"/>
    </row>
    <row r="489" spans="1:14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32"/>
      <c r="K489" s="4"/>
      <c r="L489" s="4"/>
      <c r="M489" s="4"/>
      <c r="N489" s="4"/>
    </row>
    <row r="490" spans="1:14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32"/>
      <c r="K490" s="4"/>
      <c r="L490" s="4"/>
      <c r="M490" s="4"/>
      <c r="N490" s="4"/>
    </row>
    <row r="491" spans="1:14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32"/>
      <c r="K491" s="4"/>
      <c r="L491" s="4"/>
      <c r="M491" s="4"/>
      <c r="N491" s="4"/>
    </row>
    <row r="492" spans="1:14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32"/>
      <c r="K492" s="4"/>
      <c r="L492" s="4"/>
      <c r="M492" s="4"/>
      <c r="N492" s="4"/>
    </row>
    <row r="493" spans="1:14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32"/>
      <c r="K493" s="4"/>
      <c r="L493" s="4"/>
      <c r="M493" s="4"/>
      <c r="N493" s="4"/>
    </row>
    <row r="494" spans="1:14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32"/>
      <c r="K494" s="4"/>
      <c r="L494" s="4"/>
      <c r="M494" s="4"/>
      <c r="N494" s="4"/>
    </row>
    <row r="495" spans="1:14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32"/>
      <c r="K495" s="4"/>
      <c r="L495" s="4"/>
      <c r="M495" s="4"/>
      <c r="N495" s="4"/>
    </row>
    <row r="496" spans="1:14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32"/>
      <c r="K496" s="4"/>
      <c r="L496" s="4"/>
      <c r="M496" s="4"/>
      <c r="N496" s="4"/>
    </row>
    <row r="497" spans="1:14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32"/>
      <c r="K497" s="4"/>
      <c r="L497" s="4"/>
      <c r="M497" s="4"/>
      <c r="N497" s="4"/>
    </row>
    <row r="498" spans="1:14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32"/>
      <c r="K498" s="4"/>
      <c r="L498" s="4"/>
      <c r="M498" s="4"/>
      <c r="N498" s="4"/>
    </row>
    <row r="499" spans="1:14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32"/>
      <c r="K499" s="4"/>
      <c r="L499" s="4"/>
      <c r="M499" s="4"/>
      <c r="N499" s="4"/>
    </row>
    <row r="500" spans="1:14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32"/>
      <c r="K500" s="4"/>
      <c r="L500" s="4"/>
      <c r="M500" s="4"/>
      <c r="N500" s="4"/>
    </row>
    <row r="501" spans="1:14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32"/>
      <c r="K501" s="4"/>
      <c r="L501" s="4"/>
      <c r="M501" s="4"/>
      <c r="N501" s="4"/>
    </row>
    <row r="502" spans="1:14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32"/>
      <c r="K502" s="4"/>
      <c r="L502" s="4"/>
      <c r="M502" s="4"/>
      <c r="N502" s="4"/>
    </row>
    <row r="503" spans="1:14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32"/>
      <c r="K503" s="4"/>
      <c r="L503" s="4"/>
      <c r="M503" s="4"/>
      <c r="N503" s="4"/>
    </row>
    <row r="504" spans="1:14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32"/>
      <c r="K504" s="4"/>
      <c r="L504" s="4"/>
      <c r="M504" s="4"/>
      <c r="N504" s="4"/>
    </row>
    <row r="505" spans="1:14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32"/>
      <c r="K505" s="4"/>
      <c r="L505" s="4"/>
      <c r="M505" s="4"/>
      <c r="N505" s="4"/>
    </row>
    <row r="506" spans="1:14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32"/>
      <c r="K506" s="4"/>
      <c r="L506" s="4"/>
      <c r="M506" s="4"/>
      <c r="N506" s="4"/>
    </row>
    <row r="507" spans="1:14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32"/>
      <c r="K507" s="4"/>
      <c r="L507" s="4"/>
      <c r="M507" s="4"/>
      <c r="N507" s="4"/>
    </row>
    <row r="508" spans="1:14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32"/>
      <c r="K508" s="4"/>
      <c r="L508" s="4"/>
      <c r="M508" s="4"/>
      <c r="N508" s="4"/>
    </row>
    <row r="509" spans="1:14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32"/>
      <c r="K509" s="4"/>
      <c r="L509" s="4"/>
      <c r="M509" s="4"/>
      <c r="N509" s="4"/>
    </row>
    <row r="510" spans="1:14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32"/>
      <c r="K510" s="4"/>
      <c r="L510" s="4"/>
      <c r="M510" s="4"/>
      <c r="N510" s="4"/>
    </row>
    <row r="511" spans="1:14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32"/>
      <c r="K511" s="4"/>
      <c r="L511" s="4"/>
      <c r="M511" s="4"/>
      <c r="N511" s="4"/>
    </row>
    <row r="512" spans="1:14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32"/>
      <c r="K512" s="4"/>
      <c r="L512" s="4"/>
      <c r="M512" s="4"/>
      <c r="N512" s="4"/>
    </row>
    <row r="513" spans="1:14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32"/>
      <c r="K513" s="4"/>
      <c r="L513" s="4"/>
      <c r="M513" s="4"/>
      <c r="N513" s="4"/>
    </row>
    <row r="514" spans="1:14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32"/>
      <c r="K514" s="4"/>
      <c r="L514" s="4"/>
      <c r="M514" s="4"/>
      <c r="N514" s="4"/>
    </row>
    <row r="515" spans="1:14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32"/>
      <c r="K515" s="4"/>
      <c r="L515" s="4"/>
      <c r="M515" s="4"/>
      <c r="N515" s="4"/>
    </row>
    <row r="516" spans="1:14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32"/>
      <c r="K516" s="4"/>
      <c r="L516" s="4"/>
      <c r="M516" s="4"/>
      <c r="N516" s="4"/>
    </row>
    <row r="517" spans="1:14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32"/>
      <c r="K517" s="4"/>
      <c r="L517" s="4"/>
      <c r="M517" s="4"/>
      <c r="N517" s="4"/>
    </row>
    <row r="518" spans="1:14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32"/>
      <c r="K518" s="4"/>
      <c r="L518" s="4"/>
      <c r="M518" s="4"/>
      <c r="N518" s="4"/>
    </row>
    <row r="519" spans="1:14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32"/>
      <c r="K519" s="4"/>
      <c r="L519" s="4"/>
      <c r="M519" s="4"/>
      <c r="N519" s="4"/>
    </row>
    <row r="520" spans="1:14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32"/>
      <c r="K520" s="4"/>
      <c r="L520" s="4"/>
      <c r="M520" s="4"/>
      <c r="N520" s="4"/>
    </row>
    <row r="521" spans="1:14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32"/>
      <c r="K521" s="4"/>
      <c r="L521" s="4"/>
      <c r="M521" s="4"/>
      <c r="N521" s="4"/>
    </row>
    <row r="522" spans="1:14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32"/>
      <c r="K522" s="4"/>
      <c r="L522" s="4"/>
      <c r="M522" s="4"/>
      <c r="N522" s="4"/>
    </row>
    <row r="523" spans="1:14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32"/>
      <c r="K523" s="4"/>
      <c r="L523" s="4"/>
      <c r="M523" s="4"/>
      <c r="N523" s="4"/>
    </row>
    <row r="524" spans="1:14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32"/>
      <c r="K524" s="4"/>
      <c r="L524" s="4"/>
      <c r="M524" s="4"/>
      <c r="N524" s="4"/>
    </row>
    <row r="525" spans="1:14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32"/>
      <c r="K525" s="4"/>
      <c r="L525" s="4"/>
      <c r="M525" s="4"/>
      <c r="N525" s="4"/>
    </row>
    <row r="526" spans="1:14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32"/>
      <c r="K526" s="4"/>
      <c r="L526" s="4"/>
      <c r="M526" s="4"/>
      <c r="N526" s="4"/>
    </row>
    <row r="527" spans="1:14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32"/>
      <c r="K527" s="4"/>
      <c r="L527" s="4"/>
      <c r="M527" s="4"/>
      <c r="N527" s="4"/>
    </row>
    <row r="528" spans="1:14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32"/>
      <c r="K528" s="4"/>
      <c r="L528" s="4"/>
      <c r="M528" s="4"/>
      <c r="N528" s="4"/>
    </row>
    <row r="529" spans="1:14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32"/>
      <c r="K529" s="4"/>
      <c r="L529" s="4"/>
      <c r="M529" s="4"/>
      <c r="N529" s="4"/>
    </row>
    <row r="530" spans="1:14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32"/>
      <c r="K530" s="4"/>
      <c r="L530" s="4"/>
      <c r="M530" s="4"/>
      <c r="N530" s="4"/>
    </row>
    <row r="531" spans="1:14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32"/>
      <c r="K531" s="4"/>
      <c r="L531" s="4"/>
      <c r="M531" s="4"/>
      <c r="N531" s="4"/>
    </row>
    <row r="532" spans="1:14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32"/>
      <c r="K532" s="4"/>
      <c r="L532" s="4"/>
      <c r="M532" s="4"/>
      <c r="N532" s="4"/>
    </row>
    <row r="533" spans="1:14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32"/>
      <c r="K533" s="4"/>
      <c r="L533" s="4"/>
      <c r="M533" s="4"/>
      <c r="N533" s="4"/>
    </row>
    <row r="534" spans="1:14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32"/>
      <c r="K534" s="4"/>
      <c r="L534" s="4"/>
      <c r="M534" s="4"/>
      <c r="N534" s="4"/>
    </row>
    <row r="535" spans="1:14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32"/>
      <c r="K535" s="4"/>
      <c r="L535" s="4"/>
      <c r="M535" s="4"/>
      <c r="N535" s="4"/>
    </row>
    <row r="536" spans="1:14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32"/>
      <c r="K536" s="4"/>
      <c r="L536" s="4"/>
      <c r="M536" s="4"/>
      <c r="N536" s="4"/>
    </row>
    <row r="537" spans="1:14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32"/>
      <c r="K537" s="4"/>
      <c r="L537" s="4"/>
      <c r="M537" s="4"/>
      <c r="N537" s="4"/>
    </row>
    <row r="538" spans="1:14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32"/>
      <c r="K538" s="4"/>
      <c r="L538" s="4"/>
      <c r="M538" s="4"/>
      <c r="N538" s="4"/>
    </row>
    <row r="539" spans="1:14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32"/>
      <c r="K539" s="4"/>
      <c r="L539" s="4"/>
      <c r="M539" s="4"/>
      <c r="N539" s="4"/>
    </row>
    <row r="540" spans="1:14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32"/>
      <c r="K540" s="4"/>
      <c r="L540" s="4"/>
      <c r="M540" s="4"/>
      <c r="N540" s="4"/>
    </row>
    <row r="541" spans="1:14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32"/>
      <c r="K541" s="4"/>
      <c r="L541" s="4"/>
      <c r="M541" s="4"/>
      <c r="N541" s="4"/>
    </row>
    <row r="542" spans="1:14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32"/>
      <c r="K542" s="4"/>
      <c r="L542" s="4"/>
      <c r="M542" s="4"/>
      <c r="N542" s="4"/>
    </row>
    <row r="543" spans="1:14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32"/>
      <c r="K543" s="4"/>
      <c r="L543" s="4"/>
      <c r="M543" s="4"/>
      <c r="N543" s="4"/>
    </row>
    <row r="544" spans="1:14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32"/>
      <c r="K544" s="4"/>
      <c r="L544" s="4"/>
      <c r="M544" s="4"/>
      <c r="N544" s="4"/>
    </row>
    <row r="545" spans="1:14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32"/>
      <c r="K545" s="4"/>
      <c r="L545" s="4"/>
      <c r="M545" s="4"/>
      <c r="N545" s="4"/>
    </row>
    <row r="546" spans="1:14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32"/>
      <c r="K546" s="4"/>
      <c r="L546" s="4"/>
      <c r="M546" s="4"/>
      <c r="N546" s="4"/>
    </row>
    <row r="547" spans="1:14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32"/>
      <c r="K547" s="4"/>
      <c r="L547" s="4"/>
      <c r="M547" s="4"/>
      <c r="N547" s="4"/>
    </row>
    <row r="548" spans="1:14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32"/>
      <c r="K548" s="4"/>
      <c r="L548" s="4"/>
      <c r="M548" s="4"/>
      <c r="N548" s="4"/>
    </row>
    <row r="549" spans="1:14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32"/>
      <c r="K549" s="4"/>
      <c r="L549" s="4"/>
      <c r="M549" s="4"/>
      <c r="N549" s="4"/>
    </row>
    <row r="550" spans="1:14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32"/>
      <c r="K550" s="4"/>
      <c r="L550" s="4"/>
      <c r="M550" s="4"/>
      <c r="N550" s="4"/>
    </row>
    <row r="551" spans="1:14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32"/>
      <c r="K551" s="4"/>
      <c r="L551" s="4"/>
      <c r="M551" s="4"/>
      <c r="N551" s="4"/>
    </row>
    <row r="552" spans="1:14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32"/>
      <c r="K552" s="4"/>
      <c r="L552" s="4"/>
      <c r="M552" s="4"/>
      <c r="N552" s="4"/>
    </row>
    <row r="553" spans="1:14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32"/>
      <c r="K553" s="4"/>
      <c r="L553" s="4"/>
      <c r="M553" s="4"/>
      <c r="N553" s="4"/>
    </row>
    <row r="554" spans="1:14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32"/>
      <c r="K554" s="4"/>
      <c r="L554" s="4"/>
      <c r="M554" s="4"/>
      <c r="N554" s="4"/>
    </row>
    <row r="555" spans="1:14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32"/>
      <c r="K555" s="4"/>
      <c r="L555" s="4"/>
      <c r="M555" s="4"/>
      <c r="N555" s="4"/>
    </row>
    <row r="556" spans="1:14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32"/>
      <c r="K556" s="4"/>
      <c r="L556" s="4"/>
      <c r="M556" s="4"/>
      <c r="N556" s="4"/>
    </row>
    <row r="557" spans="1:14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32"/>
      <c r="K557" s="4"/>
      <c r="L557" s="4"/>
      <c r="M557" s="4"/>
      <c r="N557" s="4"/>
    </row>
    <row r="558" spans="1:14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32"/>
      <c r="K558" s="4"/>
      <c r="L558" s="4"/>
      <c r="M558" s="4"/>
      <c r="N558" s="4"/>
    </row>
    <row r="559" spans="1:14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32"/>
      <c r="K559" s="4"/>
      <c r="L559" s="4"/>
      <c r="M559" s="4"/>
      <c r="N559" s="4"/>
    </row>
    <row r="560" spans="1:14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32"/>
      <c r="K560" s="4"/>
      <c r="L560" s="4"/>
      <c r="M560" s="4"/>
      <c r="N560" s="4"/>
    </row>
    <row r="561" spans="1:14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32"/>
      <c r="K561" s="4"/>
      <c r="L561" s="4"/>
      <c r="M561" s="4"/>
      <c r="N561" s="4"/>
    </row>
    <row r="562" spans="1:14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32"/>
      <c r="K562" s="4"/>
      <c r="L562" s="4"/>
      <c r="M562" s="4"/>
      <c r="N562" s="4"/>
    </row>
    <row r="563" spans="1:14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32"/>
      <c r="K563" s="4"/>
      <c r="L563" s="4"/>
      <c r="M563" s="4"/>
      <c r="N563" s="4"/>
    </row>
    <row r="564" spans="1:14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32"/>
      <c r="K564" s="4"/>
      <c r="L564" s="4"/>
      <c r="M564" s="4"/>
      <c r="N564" s="4"/>
    </row>
    <row r="565" spans="1:14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32"/>
      <c r="K565" s="4"/>
      <c r="L565" s="4"/>
      <c r="M565" s="4"/>
      <c r="N565" s="4"/>
    </row>
    <row r="566" spans="1:14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32"/>
      <c r="K566" s="4"/>
      <c r="L566" s="4"/>
      <c r="M566" s="4"/>
      <c r="N566" s="4"/>
    </row>
    <row r="567" spans="1:14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32"/>
      <c r="K567" s="4"/>
      <c r="L567" s="4"/>
      <c r="M567" s="4"/>
      <c r="N567" s="4"/>
    </row>
    <row r="568" spans="1:14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32"/>
      <c r="K568" s="4"/>
      <c r="L568" s="4"/>
      <c r="M568" s="4"/>
      <c r="N568" s="4"/>
    </row>
    <row r="569" spans="1:14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32"/>
      <c r="K569" s="4"/>
      <c r="L569" s="4"/>
      <c r="M569" s="4"/>
      <c r="N569" s="4"/>
    </row>
    <row r="570" spans="1:14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32"/>
      <c r="K570" s="4"/>
      <c r="L570" s="4"/>
      <c r="M570" s="4"/>
      <c r="N570" s="4"/>
    </row>
    <row r="571" spans="1:14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32"/>
      <c r="K571" s="4"/>
      <c r="L571" s="4"/>
      <c r="M571" s="4"/>
      <c r="N571" s="4"/>
    </row>
    <row r="572" spans="1:14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32"/>
      <c r="K572" s="4"/>
      <c r="L572" s="4"/>
      <c r="M572" s="4"/>
      <c r="N572" s="4"/>
    </row>
    <row r="573" spans="1:14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32"/>
      <c r="K573" s="4"/>
      <c r="L573" s="4"/>
      <c r="M573" s="4"/>
      <c r="N573" s="4"/>
    </row>
    <row r="574" spans="1:14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32"/>
      <c r="K574" s="4"/>
      <c r="L574" s="4"/>
      <c r="M574" s="4"/>
      <c r="N574" s="4"/>
    </row>
    <row r="575" spans="1:14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32"/>
      <c r="K575" s="4"/>
      <c r="L575" s="4"/>
      <c r="M575" s="4"/>
      <c r="N575" s="4"/>
    </row>
    <row r="576" spans="1:14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32"/>
      <c r="K576" s="4"/>
      <c r="L576" s="4"/>
      <c r="M576" s="4"/>
      <c r="N576" s="4"/>
    </row>
    <row r="577" spans="1:14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32"/>
      <c r="K577" s="4"/>
      <c r="L577" s="4"/>
      <c r="M577" s="4"/>
      <c r="N577" s="4"/>
    </row>
    <row r="578" spans="1:14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32"/>
      <c r="K578" s="4"/>
      <c r="L578" s="4"/>
      <c r="M578" s="4"/>
      <c r="N578" s="4"/>
    </row>
    <row r="579" spans="1:14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32"/>
      <c r="K579" s="4"/>
      <c r="L579" s="4"/>
      <c r="M579" s="4"/>
      <c r="N579" s="4"/>
    </row>
    <row r="580" spans="1:14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32"/>
      <c r="K580" s="4"/>
      <c r="L580" s="4"/>
      <c r="M580" s="4"/>
      <c r="N580" s="4"/>
    </row>
    <row r="581" spans="1:14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32"/>
      <c r="K581" s="4"/>
      <c r="L581" s="4"/>
      <c r="M581" s="4"/>
      <c r="N581" s="4"/>
    </row>
    <row r="582" spans="1:14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32"/>
      <c r="K582" s="4"/>
      <c r="L582" s="4"/>
      <c r="M582" s="4"/>
      <c r="N582" s="4"/>
    </row>
    <row r="583" spans="1:14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32"/>
      <c r="K583" s="4"/>
      <c r="L583" s="4"/>
      <c r="M583" s="4"/>
      <c r="N583" s="4"/>
    </row>
    <row r="584" spans="1:14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32"/>
      <c r="K584" s="4"/>
      <c r="L584" s="4"/>
      <c r="M584" s="4"/>
      <c r="N584" s="4"/>
    </row>
    <row r="585" spans="1:14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32"/>
      <c r="K585" s="4"/>
      <c r="L585" s="4"/>
      <c r="M585" s="4"/>
      <c r="N585" s="4"/>
    </row>
    <row r="586" spans="1:14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32"/>
      <c r="K586" s="4"/>
      <c r="L586" s="4"/>
      <c r="M586" s="4"/>
      <c r="N586" s="4"/>
    </row>
    <row r="587" spans="1:14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32"/>
      <c r="K587" s="4"/>
      <c r="L587" s="4"/>
      <c r="M587" s="4"/>
      <c r="N587" s="4"/>
    </row>
    <row r="588" spans="1:14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32"/>
      <c r="K588" s="4"/>
      <c r="L588" s="4"/>
      <c r="M588" s="4"/>
      <c r="N588" s="4"/>
    </row>
    <row r="589" spans="1:14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32"/>
      <c r="K589" s="4"/>
      <c r="L589" s="4"/>
      <c r="M589" s="4"/>
      <c r="N589" s="4"/>
    </row>
    <row r="590" spans="1:14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32"/>
      <c r="K590" s="4"/>
      <c r="L590" s="4"/>
      <c r="M590" s="4"/>
      <c r="N590" s="4"/>
    </row>
    <row r="591" spans="1:14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32"/>
      <c r="K591" s="4"/>
      <c r="L591" s="4"/>
      <c r="M591" s="4"/>
      <c r="N591" s="4"/>
    </row>
    <row r="592" spans="1:14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32"/>
      <c r="K592" s="4"/>
      <c r="L592" s="4"/>
      <c r="M592" s="4"/>
      <c r="N592" s="4"/>
    </row>
    <row r="593" spans="1:14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32"/>
      <c r="K593" s="4"/>
      <c r="L593" s="4"/>
      <c r="M593" s="4"/>
      <c r="N593" s="4"/>
    </row>
    <row r="594" spans="1:14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32"/>
      <c r="K594" s="4"/>
      <c r="L594" s="4"/>
      <c r="M594" s="4"/>
      <c r="N594" s="4"/>
    </row>
    <row r="595" spans="1:14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32"/>
      <c r="K595" s="4"/>
      <c r="L595" s="4"/>
      <c r="M595" s="4"/>
      <c r="N595" s="4"/>
    </row>
    <row r="596" spans="1:14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32"/>
      <c r="K596" s="4"/>
      <c r="L596" s="4"/>
      <c r="M596" s="4"/>
      <c r="N596" s="4"/>
    </row>
    <row r="597" spans="1:14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32"/>
      <c r="K597" s="4"/>
      <c r="L597" s="4"/>
      <c r="M597" s="4"/>
      <c r="N597" s="4"/>
    </row>
    <row r="598" spans="1:14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32"/>
      <c r="K598" s="4"/>
      <c r="L598" s="4"/>
      <c r="M598" s="4"/>
      <c r="N598" s="4"/>
    </row>
    <row r="599" spans="1:14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32"/>
      <c r="K599" s="4"/>
      <c r="L599" s="4"/>
      <c r="M599" s="4"/>
      <c r="N599" s="4"/>
    </row>
    <row r="600" spans="1:14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32"/>
      <c r="K600" s="4"/>
      <c r="L600" s="4"/>
      <c r="M600" s="4"/>
      <c r="N600" s="4"/>
    </row>
    <row r="601" spans="1:14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32"/>
      <c r="K601" s="4"/>
      <c r="L601" s="4"/>
      <c r="M601" s="4"/>
      <c r="N601" s="4"/>
    </row>
    <row r="602" spans="1:14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32"/>
      <c r="K602" s="4"/>
      <c r="L602" s="4"/>
      <c r="M602" s="4"/>
      <c r="N602" s="4"/>
    </row>
    <row r="603" spans="1:14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32"/>
      <c r="K603" s="4"/>
      <c r="L603" s="4"/>
      <c r="M603" s="4"/>
      <c r="N603" s="4"/>
    </row>
    <row r="604" spans="1:14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32"/>
      <c r="K604" s="4"/>
      <c r="L604" s="4"/>
      <c r="M604" s="4"/>
      <c r="N604" s="4"/>
    </row>
    <row r="605" spans="1:14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32"/>
      <c r="K605" s="4"/>
      <c r="L605" s="4"/>
      <c r="M605" s="4"/>
      <c r="N605" s="4"/>
    </row>
    <row r="606" spans="1:14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32"/>
      <c r="K606" s="4"/>
      <c r="L606" s="4"/>
      <c r="M606" s="4"/>
      <c r="N606" s="4"/>
    </row>
    <row r="607" spans="1:14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32"/>
      <c r="K607" s="4"/>
      <c r="L607" s="4"/>
      <c r="M607" s="4"/>
      <c r="N607" s="4"/>
    </row>
    <row r="608" spans="1:14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32"/>
      <c r="K608" s="4"/>
      <c r="L608" s="4"/>
      <c r="M608" s="4"/>
      <c r="N608" s="4"/>
    </row>
    <row r="609" spans="1:14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32"/>
      <c r="K609" s="4"/>
      <c r="L609" s="4"/>
      <c r="M609" s="4"/>
      <c r="N609" s="4"/>
    </row>
    <row r="610" spans="1:14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32"/>
      <c r="K610" s="4"/>
      <c r="L610" s="4"/>
      <c r="M610" s="4"/>
      <c r="N610" s="4"/>
    </row>
    <row r="611" spans="1:14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32"/>
      <c r="K611" s="4"/>
      <c r="L611" s="4"/>
      <c r="M611" s="4"/>
      <c r="N611" s="4"/>
    </row>
    <row r="612" spans="1:14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32"/>
      <c r="K612" s="4"/>
      <c r="L612" s="4"/>
      <c r="M612" s="4"/>
      <c r="N612" s="4"/>
    </row>
    <row r="613" spans="1:14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32"/>
      <c r="K613" s="4"/>
      <c r="L613" s="4"/>
      <c r="M613" s="4"/>
      <c r="N613" s="4"/>
    </row>
    <row r="614" spans="1:14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32"/>
      <c r="K614" s="4"/>
      <c r="L614" s="4"/>
      <c r="M614" s="4"/>
      <c r="N614" s="4"/>
    </row>
    <row r="615" spans="1:14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32"/>
      <c r="K615" s="4"/>
      <c r="L615" s="4"/>
      <c r="M615" s="4"/>
      <c r="N615" s="4"/>
    </row>
    <row r="616" spans="1:14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32"/>
      <c r="K616" s="4"/>
      <c r="L616" s="4"/>
      <c r="M616" s="4"/>
      <c r="N616" s="4"/>
    </row>
    <row r="617" spans="1:14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32"/>
      <c r="K617" s="4"/>
      <c r="L617" s="4"/>
      <c r="M617" s="4"/>
      <c r="N617" s="4"/>
    </row>
    <row r="618" spans="1:14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32"/>
      <c r="K618" s="4"/>
      <c r="L618" s="4"/>
      <c r="M618" s="4"/>
      <c r="N618" s="4"/>
    </row>
    <row r="619" spans="1:14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32"/>
      <c r="K619" s="4"/>
      <c r="L619" s="4"/>
      <c r="M619" s="4"/>
      <c r="N619" s="4"/>
    </row>
    <row r="620" spans="1:14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32"/>
      <c r="K620" s="4"/>
      <c r="L620" s="4"/>
      <c r="M620" s="4"/>
      <c r="N620" s="4"/>
    </row>
    <row r="621" spans="1:14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32"/>
      <c r="K621" s="4"/>
      <c r="L621" s="4"/>
      <c r="M621" s="4"/>
      <c r="N621" s="4"/>
    </row>
    <row r="622" spans="1:14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32"/>
      <c r="K622" s="4"/>
      <c r="L622" s="4"/>
      <c r="M622" s="4"/>
      <c r="N622" s="4"/>
    </row>
    <row r="623" spans="1:14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32"/>
      <c r="K623" s="4"/>
      <c r="L623" s="4"/>
      <c r="M623" s="4"/>
      <c r="N623" s="4"/>
    </row>
    <row r="624" spans="1:14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32"/>
      <c r="K624" s="4"/>
      <c r="L624" s="4"/>
      <c r="M624" s="4"/>
      <c r="N624" s="4"/>
    </row>
    <row r="625" spans="1:14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32"/>
      <c r="K625" s="4"/>
      <c r="L625" s="4"/>
      <c r="M625" s="4"/>
      <c r="N625" s="4"/>
    </row>
    <row r="626" spans="1:14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32"/>
      <c r="K626" s="4"/>
      <c r="L626" s="4"/>
      <c r="M626" s="4"/>
      <c r="N626" s="4"/>
    </row>
    <row r="627" spans="1:14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32"/>
      <c r="K627" s="4"/>
      <c r="L627" s="4"/>
      <c r="M627" s="4"/>
      <c r="N627" s="4"/>
    </row>
    <row r="628" spans="1:14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32"/>
      <c r="K628" s="4"/>
      <c r="L628" s="4"/>
      <c r="M628" s="4"/>
      <c r="N628" s="4"/>
    </row>
    <row r="629" spans="1:14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32"/>
      <c r="K629" s="4"/>
      <c r="L629" s="4"/>
      <c r="M629" s="4"/>
      <c r="N629" s="4"/>
    </row>
    <row r="630" spans="1:14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32"/>
      <c r="K630" s="4"/>
      <c r="L630" s="4"/>
      <c r="M630" s="4"/>
      <c r="N630" s="4"/>
    </row>
    <row r="631" spans="1:14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32"/>
      <c r="K631" s="4"/>
      <c r="L631" s="4"/>
      <c r="M631" s="4"/>
      <c r="N631" s="4"/>
    </row>
    <row r="632" spans="1:14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32"/>
      <c r="K632" s="4"/>
      <c r="L632" s="4"/>
      <c r="M632" s="4"/>
      <c r="N632" s="4"/>
    </row>
    <row r="633" spans="1:14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32"/>
      <c r="K633" s="4"/>
      <c r="L633" s="4"/>
      <c r="M633" s="4"/>
      <c r="N633" s="4"/>
    </row>
    <row r="634" spans="1:14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32"/>
      <c r="K634" s="4"/>
      <c r="L634" s="4"/>
      <c r="M634" s="4"/>
      <c r="N634" s="4"/>
    </row>
    <row r="635" spans="1:14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32"/>
      <c r="K635" s="4"/>
      <c r="L635" s="4"/>
      <c r="M635" s="4"/>
      <c r="N635" s="4"/>
    </row>
    <row r="636" spans="1:14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32"/>
      <c r="K636" s="4"/>
      <c r="L636" s="4"/>
      <c r="M636" s="4"/>
      <c r="N636" s="4"/>
    </row>
    <row r="637" spans="1:14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32"/>
      <c r="K637" s="4"/>
      <c r="L637" s="4"/>
      <c r="M637" s="4"/>
      <c r="N637" s="4"/>
    </row>
    <row r="638" spans="1:14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32"/>
      <c r="K638" s="4"/>
      <c r="L638" s="4"/>
      <c r="M638" s="4"/>
      <c r="N638" s="4"/>
    </row>
    <row r="639" spans="1:14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32"/>
      <c r="K639" s="4"/>
      <c r="L639" s="4"/>
      <c r="M639" s="4"/>
      <c r="N639" s="4"/>
    </row>
    <row r="640" spans="1:14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32"/>
      <c r="K640" s="4"/>
      <c r="L640" s="4"/>
      <c r="M640" s="4"/>
      <c r="N640" s="4"/>
    </row>
    <row r="641" spans="1:14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32"/>
      <c r="K641" s="4"/>
      <c r="L641" s="4"/>
      <c r="M641" s="4"/>
      <c r="N641" s="4"/>
    </row>
    <row r="642" spans="1:14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32"/>
      <c r="K642" s="4"/>
      <c r="L642" s="4"/>
      <c r="M642" s="4"/>
      <c r="N642" s="4"/>
    </row>
    <row r="643" spans="1:14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32"/>
      <c r="K643" s="4"/>
      <c r="L643" s="4"/>
      <c r="M643" s="4"/>
      <c r="N643" s="4"/>
    </row>
    <row r="644" spans="1:14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32"/>
      <c r="K644" s="4"/>
      <c r="L644" s="4"/>
      <c r="M644" s="4"/>
      <c r="N644" s="4"/>
    </row>
    <row r="645" spans="1:14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32"/>
      <c r="K645" s="4"/>
      <c r="L645" s="4"/>
      <c r="M645" s="4"/>
      <c r="N645" s="4"/>
    </row>
    <row r="646" spans="1:14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32"/>
      <c r="K646" s="4"/>
      <c r="L646" s="4"/>
      <c r="M646" s="4"/>
      <c r="N646" s="4"/>
    </row>
    <row r="647" spans="1:14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32"/>
      <c r="K647" s="4"/>
      <c r="L647" s="4"/>
      <c r="M647" s="4"/>
      <c r="N647" s="4"/>
    </row>
    <row r="648" spans="1:14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32"/>
      <c r="K648" s="4"/>
      <c r="L648" s="4"/>
      <c r="M648" s="4"/>
      <c r="N648" s="4"/>
    </row>
    <row r="649" spans="1:14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32"/>
      <c r="K649" s="4"/>
      <c r="L649" s="4"/>
      <c r="M649" s="4"/>
      <c r="N649" s="4"/>
    </row>
    <row r="650" spans="1:14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32"/>
      <c r="K650" s="4"/>
      <c r="L650" s="4"/>
      <c r="M650" s="4"/>
      <c r="N650" s="4"/>
    </row>
    <row r="651" spans="1:14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32"/>
      <c r="K651" s="4"/>
      <c r="L651" s="4"/>
      <c r="M651" s="4"/>
      <c r="N651" s="4"/>
    </row>
    <row r="652" spans="1:14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32"/>
      <c r="K652" s="4"/>
      <c r="L652" s="4"/>
      <c r="M652" s="4"/>
      <c r="N652" s="4"/>
    </row>
    <row r="653" spans="1:14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32"/>
      <c r="K653" s="4"/>
      <c r="L653" s="4"/>
      <c r="M653" s="4"/>
      <c r="N653" s="4"/>
    </row>
    <row r="654" spans="1:14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32"/>
      <c r="K654" s="4"/>
      <c r="L654" s="4"/>
      <c r="M654" s="4"/>
      <c r="N654" s="4"/>
    </row>
    <row r="655" spans="1:14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32"/>
      <c r="K655" s="4"/>
      <c r="L655" s="4"/>
      <c r="M655" s="4"/>
      <c r="N655" s="4"/>
    </row>
    <row r="656" spans="1:14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32"/>
      <c r="K656" s="4"/>
      <c r="L656" s="4"/>
      <c r="M656" s="4"/>
      <c r="N656" s="4"/>
    </row>
    <row r="657" spans="1:14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32"/>
      <c r="K657" s="4"/>
      <c r="L657" s="4"/>
      <c r="M657" s="4"/>
      <c r="N657" s="4"/>
    </row>
    <row r="658" spans="1:14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32"/>
      <c r="K658" s="4"/>
      <c r="L658" s="4"/>
      <c r="M658" s="4"/>
      <c r="N658" s="4"/>
    </row>
    <row r="659" spans="1:14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32"/>
      <c r="K659" s="4"/>
      <c r="L659" s="4"/>
      <c r="M659" s="4"/>
      <c r="N659" s="4"/>
    </row>
    <row r="660" spans="1:14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32"/>
      <c r="K660" s="4"/>
      <c r="L660" s="4"/>
      <c r="M660" s="4"/>
      <c r="N660" s="4"/>
    </row>
    <row r="661" spans="1:14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32"/>
      <c r="K661" s="4"/>
      <c r="L661" s="4"/>
      <c r="M661" s="4"/>
      <c r="N661" s="4"/>
    </row>
    <row r="662" spans="1:14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32"/>
      <c r="K662" s="4"/>
      <c r="L662" s="4"/>
      <c r="M662" s="4"/>
      <c r="N662" s="4"/>
    </row>
    <row r="663" spans="1:14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32"/>
      <c r="K663" s="4"/>
      <c r="L663" s="4"/>
      <c r="M663" s="4"/>
      <c r="N663" s="4"/>
    </row>
    <row r="664" spans="1:14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32"/>
      <c r="K664" s="4"/>
      <c r="L664" s="4"/>
      <c r="M664" s="4"/>
      <c r="N664" s="4"/>
    </row>
    <row r="665" spans="1:14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32"/>
      <c r="K665" s="4"/>
      <c r="L665" s="4"/>
      <c r="M665" s="4"/>
      <c r="N665" s="4"/>
    </row>
    <row r="666" spans="1:14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32"/>
      <c r="K666" s="4"/>
      <c r="L666" s="4"/>
      <c r="M666" s="4"/>
      <c r="N666" s="4"/>
    </row>
    <row r="667" spans="1:14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32"/>
      <c r="K667" s="4"/>
      <c r="L667" s="4"/>
      <c r="M667" s="4"/>
      <c r="N667" s="4"/>
    </row>
    <row r="668" spans="1:14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32"/>
      <c r="K668" s="4"/>
      <c r="L668" s="4"/>
      <c r="M668" s="4"/>
      <c r="N668" s="4"/>
    </row>
    <row r="669" spans="1:14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32"/>
      <c r="K669" s="4"/>
      <c r="L669" s="4"/>
      <c r="M669" s="4"/>
      <c r="N669" s="4"/>
    </row>
    <row r="670" spans="1:14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32"/>
      <c r="K670" s="4"/>
      <c r="L670" s="4"/>
      <c r="M670" s="4"/>
      <c r="N670" s="4"/>
    </row>
    <row r="671" spans="1:14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32"/>
      <c r="K671" s="4"/>
      <c r="L671" s="4"/>
      <c r="M671" s="4"/>
      <c r="N671" s="4"/>
    </row>
    <row r="672" spans="1:14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32"/>
      <c r="K672" s="4"/>
      <c r="L672" s="4"/>
      <c r="M672" s="4"/>
      <c r="N672" s="4"/>
    </row>
    <row r="673" spans="1:14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32"/>
      <c r="K673" s="4"/>
      <c r="L673" s="4"/>
      <c r="M673" s="4"/>
      <c r="N673" s="4"/>
    </row>
    <row r="674" spans="1:14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32"/>
      <c r="K674" s="4"/>
      <c r="L674" s="4"/>
      <c r="M674" s="4"/>
      <c r="N674" s="4"/>
    </row>
    <row r="675" spans="1:14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32"/>
      <c r="K675" s="4"/>
      <c r="L675" s="4"/>
      <c r="M675" s="4"/>
      <c r="N675" s="4"/>
    </row>
    <row r="676" spans="1:14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32"/>
      <c r="K676" s="4"/>
      <c r="L676" s="4"/>
      <c r="M676" s="4"/>
      <c r="N676" s="4"/>
    </row>
    <row r="677" spans="1:14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32"/>
      <c r="K677" s="4"/>
      <c r="L677" s="4"/>
      <c r="M677" s="4"/>
      <c r="N677" s="4"/>
    </row>
    <row r="678" spans="1:14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32"/>
      <c r="K678" s="4"/>
      <c r="L678" s="4"/>
      <c r="M678" s="4"/>
      <c r="N678" s="4"/>
    </row>
    <row r="679" spans="1:14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32"/>
      <c r="K679" s="4"/>
      <c r="L679" s="4"/>
      <c r="M679" s="4"/>
      <c r="N679" s="4"/>
    </row>
    <row r="680" spans="1:14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32"/>
      <c r="K680" s="4"/>
      <c r="L680" s="4"/>
      <c r="M680" s="4"/>
      <c r="N680" s="4"/>
    </row>
    <row r="681" spans="1:14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32"/>
      <c r="K681" s="4"/>
      <c r="L681" s="4"/>
      <c r="M681" s="4"/>
      <c r="N681" s="4"/>
    </row>
    <row r="682" spans="1:14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32"/>
      <c r="K682" s="4"/>
      <c r="L682" s="4"/>
      <c r="M682" s="4"/>
      <c r="N682" s="4"/>
    </row>
    <row r="683" spans="1:14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32"/>
      <c r="K683" s="4"/>
      <c r="L683" s="4"/>
      <c r="M683" s="4"/>
      <c r="N683" s="4"/>
    </row>
    <row r="684" spans="1:14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32"/>
      <c r="K684" s="4"/>
      <c r="L684" s="4"/>
      <c r="M684" s="4"/>
      <c r="N684" s="4"/>
    </row>
    <row r="685" spans="1:14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32"/>
      <c r="K685" s="4"/>
      <c r="L685" s="4"/>
      <c r="M685" s="4"/>
      <c r="N685" s="4"/>
    </row>
    <row r="686" spans="1:14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32"/>
      <c r="K686" s="4"/>
      <c r="L686" s="4"/>
      <c r="M686" s="4"/>
      <c r="N686" s="4"/>
    </row>
    <row r="687" spans="1:14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32"/>
      <c r="K687" s="4"/>
      <c r="L687" s="4"/>
      <c r="M687" s="4"/>
      <c r="N687" s="4"/>
    </row>
    <row r="688" spans="1:14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32"/>
      <c r="K688" s="4"/>
      <c r="L688" s="4"/>
      <c r="M688" s="4"/>
      <c r="N688" s="4"/>
    </row>
    <row r="689" spans="1:14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32"/>
      <c r="K689" s="4"/>
      <c r="L689" s="4"/>
      <c r="M689" s="4"/>
      <c r="N689" s="4"/>
    </row>
    <row r="690" spans="1:14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32"/>
      <c r="K690" s="4"/>
      <c r="L690" s="4"/>
      <c r="M690" s="4"/>
      <c r="N690" s="4"/>
    </row>
    <row r="691" spans="1:14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32"/>
      <c r="K691" s="4"/>
      <c r="L691" s="4"/>
      <c r="M691" s="4"/>
      <c r="N691" s="4"/>
    </row>
    <row r="692" spans="1:14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32"/>
      <c r="K692" s="4"/>
      <c r="L692" s="4"/>
      <c r="M692" s="4"/>
      <c r="N692" s="4"/>
    </row>
    <row r="693" spans="1:14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32"/>
      <c r="K693" s="4"/>
      <c r="L693" s="4"/>
      <c r="M693" s="4"/>
      <c r="N693" s="4"/>
    </row>
    <row r="694" spans="1:14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32"/>
      <c r="K694" s="4"/>
      <c r="L694" s="4"/>
      <c r="M694" s="4"/>
      <c r="N694" s="4"/>
    </row>
    <row r="695" spans="1:14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32"/>
      <c r="K695" s="4"/>
      <c r="L695" s="4"/>
      <c r="M695" s="4"/>
      <c r="N695" s="4"/>
    </row>
    <row r="696" spans="1:14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32"/>
      <c r="K696" s="4"/>
      <c r="L696" s="4"/>
      <c r="M696" s="4"/>
      <c r="N696" s="4"/>
    </row>
    <row r="697" spans="1:14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32"/>
      <c r="K697" s="4"/>
      <c r="L697" s="4"/>
      <c r="M697" s="4"/>
      <c r="N697" s="4"/>
    </row>
    <row r="698" spans="1:14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32"/>
      <c r="K698" s="4"/>
      <c r="L698" s="4"/>
      <c r="M698" s="4"/>
      <c r="N698" s="4"/>
    </row>
    <row r="699" spans="1:14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32"/>
      <c r="K699" s="4"/>
      <c r="L699" s="4"/>
      <c r="M699" s="4"/>
      <c r="N699" s="4"/>
    </row>
    <row r="700" spans="1:14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32"/>
      <c r="K700" s="4"/>
      <c r="L700" s="4"/>
      <c r="M700" s="4"/>
      <c r="N700" s="4"/>
    </row>
    <row r="701" spans="1:14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32"/>
      <c r="K701" s="4"/>
      <c r="L701" s="4"/>
      <c r="M701" s="4"/>
      <c r="N701" s="4"/>
    </row>
    <row r="702" spans="1:14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32"/>
      <c r="K702" s="4"/>
      <c r="L702" s="4"/>
      <c r="M702" s="4"/>
      <c r="N702" s="4"/>
    </row>
    <row r="703" spans="1:14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32"/>
      <c r="K703" s="4"/>
      <c r="L703" s="4"/>
      <c r="M703" s="4"/>
      <c r="N703" s="4"/>
    </row>
    <row r="704" spans="1:14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32"/>
      <c r="K704" s="4"/>
      <c r="L704" s="4"/>
      <c r="M704" s="4"/>
      <c r="N704" s="4"/>
    </row>
    <row r="705" spans="1:14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32"/>
      <c r="K705" s="4"/>
      <c r="L705" s="4"/>
      <c r="M705" s="4"/>
      <c r="N705" s="4"/>
    </row>
    <row r="706" spans="1:14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32"/>
      <c r="K706" s="4"/>
      <c r="L706" s="4"/>
      <c r="M706" s="4"/>
      <c r="N706" s="4"/>
    </row>
    <row r="707" spans="1:14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32"/>
      <c r="K707" s="4"/>
      <c r="L707" s="4"/>
      <c r="M707" s="4"/>
      <c r="N707" s="4"/>
    </row>
    <row r="708" spans="1:14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32"/>
      <c r="K708" s="4"/>
      <c r="L708" s="4"/>
      <c r="M708" s="4"/>
      <c r="N708" s="4"/>
    </row>
    <row r="709" spans="1:14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32"/>
      <c r="K709" s="4"/>
      <c r="L709" s="4"/>
      <c r="M709" s="4"/>
      <c r="N709" s="4"/>
    </row>
    <row r="710" spans="1:14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32"/>
      <c r="K710" s="4"/>
      <c r="L710" s="4"/>
      <c r="M710" s="4"/>
      <c r="N710" s="4"/>
    </row>
    <row r="711" spans="1:14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32"/>
      <c r="K711" s="4"/>
      <c r="L711" s="4"/>
      <c r="M711" s="4"/>
      <c r="N711" s="4"/>
    </row>
    <row r="712" spans="1:14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32"/>
      <c r="K712" s="4"/>
      <c r="L712" s="4"/>
      <c r="M712" s="4"/>
      <c r="N712" s="4"/>
    </row>
    <row r="713" spans="1:14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32"/>
      <c r="K713" s="4"/>
      <c r="L713" s="4"/>
      <c r="M713" s="4"/>
      <c r="N713" s="4"/>
    </row>
    <row r="714" spans="1:14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32"/>
      <c r="K714" s="4"/>
      <c r="L714" s="4"/>
      <c r="M714" s="4"/>
      <c r="N714" s="4"/>
    </row>
    <row r="715" spans="1:14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32"/>
      <c r="K715" s="4"/>
      <c r="L715" s="4"/>
      <c r="M715" s="4"/>
      <c r="N715" s="4"/>
    </row>
    <row r="716" spans="1:14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32"/>
      <c r="K716" s="4"/>
      <c r="L716" s="4"/>
      <c r="M716" s="4"/>
      <c r="N716" s="4"/>
    </row>
    <row r="717" spans="1:14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32"/>
      <c r="K717" s="4"/>
      <c r="L717" s="4"/>
      <c r="M717" s="4"/>
      <c r="N717" s="4"/>
    </row>
    <row r="718" spans="1:14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32"/>
      <c r="K718" s="4"/>
      <c r="L718" s="4"/>
      <c r="M718" s="4"/>
      <c r="N718" s="4"/>
    </row>
    <row r="719" spans="1:14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32"/>
      <c r="K719" s="4"/>
      <c r="L719" s="4"/>
      <c r="M719" s="4"/>
      <c r="N719" s="4"/>
    </row>
    <row r="720" spans="1:14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32"/>
      <c r="K720" s="4"/>
      <c r="L720" s="4"/>
      <c r="M720" s="4"/>
      <c r="N720" s="4"/>
    </row>
    <row r="721" spans="1:14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32"/>
      <c r="K721" s="4"/>
      <c r="L721" s="4"/>
      <c r="M721" s="4"/>
      <c r="N721" s="4"/>
    </row>
    <row r="722" spans="1:14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32"/>
      <c r="K722" s="4"/>
      <c r="L722" s="4"/>
      <c r="M722" s="4"/>
      <c r="N722" s="4"/>
    </row>
    <row r="723" spans="1:14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32"/>
      <c r="K723" s="4"/>
      <c r="L723" s="4"/>
      <c r="M723" s="4"/>
      <c r="N723" s="4"/>
    </row>
    <row r="724" spans="1:14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32"/>
      <c r="K724" s="4"/>
      <c r="L724" s="4"/>
      <c r="M724" s="4"/>
      <c r="N724" s="4"/>
    </row>
    <row r="725" spans="1:14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32"/>
      <c r="K725" s="4"/>
      <c r="L725" s="4"/>
      <c r="M725" s="4"/>
      <c r="N725" s="4"/>
    </row>
    <row r="726" spans="1:14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32"/>
      <c r="K726" s="4"/>
      <c r="L726" s="4"/>
      <c r="M726" s="4"/>
      <c r="N726" s="4"/>
    </row>
    <row r="727" spans="1:14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32"/>
      <c r="K727" s="4"/>
      <c r="L727" s="4"/>
      <c r="M727" s="4"/>
      <c r="N727" s="4"/>
    </row>
    <row r="728" spans="1:14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32"/>
      <c r="K728" s="4"/>
      <c r="L728" s="4"/>
      <c r="M728" s="4"/>
      <c r="N728" s="4"/>
    </row>
    <row r="729" spans="1:14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32"/>
      <c r="K729" s="4"/>
      <c r="L729" s="4"/>
      <c r="M729" s="4"/>
      <c r="N729" s="4"/>
    </row>
    <row r="730" spans="1:14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32"/>
      <c r="K730" s="4"/>
      <c r="L730" s="4"/>
      <c r="M730" s="4"/>
      <c r="N730" s="4"/>
    </row>
    <row r="731" spans="1:14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32"/>
      <c r="K731" s="4"/>
      <c r="L731" s="4"/>
      <c r="M731" s="4"/>
      <c r="N731" s="4"/>
    </row>
    <row r="732" spans="1:14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32"/>
      <c r="K732" s="4"/>
      <c r="L732" s="4"/>
      <c r="M732" s="4"/>
      <c r="N732" s="4"/>
    </row>
    <row r="733" spans="1:14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32"/>
      <c r="K733" s="4"/>
      <c r="L733" s="4"/>
      <c r="M733" s="4"/>
      <c r="N733" s="4"/>
    </row>
    <row r="734" spans="1:14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32"/>
      <c r="K734" s="4"/>
      <c r="L734" s="4"/>
      <c r="M734" s="4"/>
      <c r="N734" s="4"/>
    </row>
    <row r="735" spans="1:14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32"/>
      <c r="K735" s="4"/>
      <c r="L735" s="4"/>
      <c r="M735" s="4"/>
      <c r="N735" s="4"/>
    </row>
    <row r="736" spans="1:14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32"/>
      <c r="K736" s="4"/>
      <c r="L736" s="4"/>
      <c r="M736" s="4"/>
      <c r="N736" s="4"/>
    </row>
    <row r="737" spans="1:14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32"/>
      <c r="K737" s="4"/>
      <c r="L737" s="4"/>
      <c r="M737" s="4"/>
      <c r="N737" s="4"/>
    </row>
    <row r="738" spans="1:14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32"/>
      <c r="K738" s="4"/>
      <c r="L738" s="4"/>
      <c r="M738" s="4"/>
      <c r="N738" s="4"/>
    </row>
    <row r="739" spans="1:14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32"/>
      <c r="K739" s="4"/>
      <c r="L739" s="4"/>
      <c r="M739" s="4"/>
      <c r="N739" s="4"/>
    </row>
    <row r="740" spans="1:14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32"/>
      <c r="K740" s="4"/>
      <c r="L740" s="4"/>
      <c r="M740" s="4"/>
      <c r="N740" s="4"/>
    </row>
    <row r="741" spans="1:14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32"/>
      <c r="K741" s="4"/>
      <c r="L741" s="4"/>
      <c r="M741" s="4"/>
      <c r="N741" s="4"/>
    </row>
    <row r="742" spans="1:14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32"/>
      <c r="K742" s="4"/>
      <c r="L742" s="4"/>
      <c r="M742" s="4"/>
      <c r="N742" s="4"/>
    </row>
    <row r="743" spans="1:14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32"/>
      <c r="K743" s="4"/>
      <c r="L743" s="4"/>
      <c r="M743" s="4"/>
      <c r="N743" s="4"/>
    </row>
    <row r="744" spans="1:14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32"/>
      <c r="K744" s="4"/>
      <c r="L744" s="4"/>
      <c r="M744" s="4"/>
      <c r="N744" s="4"/>
    </row>
    <row r="745" spans="1:14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32"/>
      <c r="K745" s="4"/>
      <c r="L745" s="4"/>
      <c r="M745" s="4"/>
      <c r="N745" s="4"/>
    </row>
    <row r="746" spans="1:14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32"/>
      <c r="K746" s="4"/>
      <c r="L746" s="4"/>
      <c r="M746" s="4"/>
      <c r="N746" s="4"/>
    </row>
    <row r="747" spans="1:14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32"/>
      <c r="K747" s="4"/>
      <c r="L747" s="4"/>
      <c r="M747" s="4"/>
      <c r="N747" s="4"/>
    </row>
    <row r="748" spans="1:14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32"/>
      <c r="K748" s="4"/>
      <c r="L748" s="4"/>
      <c r="M748" s="4"/>
      <c r="N748" s="4"/>
    </row>
    <row r="749" spans="1:14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32"/>
      <c r="K749" s="4"/>
      <c r="L749" s="4"/>
      <c r="M749" s="4"/>
      <c r="N749" s="4"/>
    </row>
    <row r="750" spans="1:14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32"/>
      <c r="K750" s="4"/>
      <c r="L750" s="4"/>
      <c r="M750" s="4"/>
      <c r="N750" s="4"/>
    </row>
    <row r="751" spans="1:14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32"/>
      <c r="K751" s="4"/>
      <c r="L751" s="4"/>
      <c r="M751" s="4"/>
      <c r="N751" s="4"/>
    </row>
    <row r="752" spans="1:14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32"/>
      <c r="K752" s="4"/>
      <c r="L752" s="4"/>
      <c r="M752" s="4"/>
      <c r="N752" s="4"/>
    </row>
    <row r="753" spans="1:14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32"/>
      <c r="K753" s="4"/>
      <c r="L753" s="4"/>
      <c r="M753" s="4"/>
      <c r="N753" s="4"/>
    </row>
    <row r="754" spans="1:14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32"/>
      <c r="K754" s="4"/>
      <c r="L754" s="4"/>
      <c r="M754" s="4"/>
      <c r="N754" s="4"/>
    </row>
    <row r="755" spans="1:14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32"/>
      <c r="K755" s="4"/>
      <c r="L755" s="4"/>
      <c r="M755" s="4"/>
      <c r="N755" s="4"/>
    </row>
    <row r="756" spans="1:14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32"/>
      <c r="K756" s="4"/>
      <c r="L756" s="4"/>
      <c r="M756" s="4"/>
      <c r="N756" s="4"/>
    </row>
    <row r="757" spans="1:14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32"/>
      <c r="K757" s="4"/>
      <c r="L757" s="4"/>
      <c r="M757" s="4"/>
      <c r="N757" s="4"/>
    </row>
    <row r="758" spans="1:14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32"/>
      <c r="K758" s="4"/>
      <c r="L758" s="4"/>
      <c r="M758" s="4"/>
      <c r="N758" s="4"/>
    </row>
    <row r="759" spans="1:14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32"/>
      <c r="K759" s="4"/>
      <c r="L759" s="4"/>
      <c r="M759" s="4"/>
      <c r="N759" s="4"/>
    </row>
    <row r="760" spans="1:14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32"/>
      <c r="K760" s="4"/>
      <c r="L760" s="4"/>
      <c r="M760" s="4"/>
      <c r="N760" s="4"/>
    </row>
    <row r="761" spans="1:14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32"/>
      <c r="K761" s="4"/>
      <c r="L761" s="4"/>
      <c r="M761" s="4"/>
      <c r="N761" s="4"/>
    </row>
    <row r="762" spans="1:14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32"/>
      <c r="K762" s="4"/>
      <c r="L762" s="4"/>
      <c r="M762" s="4"/>
      <c r="N762" s="4"/>
    </row>
    <row r="763" spans="1:14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32"/>
      <c r="K763" s="4"/>
      <c r="L763" s="4"/>
      <c r="M763" s="4"/>
      <c r="N763" s="4"/>
    </row>
    <row r="764" spans="1:14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32"/>
      <c r="K764" s="4"/>
      <c r="L764" s="4"/>
      <c r="M764" s="4"/>
      <c r="N764" s="4"/>
    </row>
    <row r="765" spans="1:14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32"/>
      <c r="K765" s="4"/>
      <c r="L765" s="4"/>
      <c r="M765" s="4"/>
      <c r="N765" s="4"/>
    </row>
    <row r="766" spans="1:14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32"/>
      <c r="K766" s="4"/>
      <c r="L766" s="4"/>
      <c r="M766" s="4"/>
      <c r="N766" s="4"/>
    </row>
    <row r="767" spans="1:14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32"/>
      <c r="K767" s="4"/>
      <c r="L767" s="4"/>
      <c r="M767" s="4"/>
      <c r="N767" s="4"/>
    </row>
    <row r="768" spans="1:14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32"/>
      <c r="K768" s="4"/>
      <c r="L768" s="4"/>
      <c r="M768" s="4"/>
      <c r="N768" s="4"/>
    </row>
    <row r="769" spans="1:14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32"/>
      <c r="K769" s="4"/>
      <c r="L769" s="4"/>
      <c r="M769" s="4"/>
      <c r="N769" s="4"/>
    </row>
    <row r="770" spans="1:14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32"/>
      <c r="K770" s="4"/>
      <c r="L770" s="4"/>
      <c r="M770" s="4"/>
      <c r="N770" s="4"/>
    </row>
    <row r="771" spans="1:14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32"/>
      <c r="K771" s="4"/>
      <c r="L771" s="4"/>
      <c r="M771" s="4"/>
      <c r="N771" s="4"/>
    </row>
    <row r="772" spans="1:14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32"/>
      <c r="K772" s="4"/>
      <c r="L772" s="4"/>
      <c r="M772" s="4"/>
      <c r="N772" s="4"/>
    </row>
    <row r="773" spans="1:14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32"/>
      <c r="K773" s="4"/>
      <c r="L773" s="4"/>
      <c r="M773" s="4"/>
      <c r="N773" s="4"/>
    </row>
    <row r="774" spans="1:14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32"/>
      <c r="K774" s="4"/>
      <c r="L774" s="4"/>
      <c r="M774" s="4"/>
      <c r="N774" s="4"/>
    </row>
    <row r="775" spans="1:14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32"/>
      <c r="K775" s="4"/>
      <c r="L775" s="4"/>
      <c r="M775" s="4"/>
      <c r="N775" s="4"/>
    </row>
    <row r="776" spans="1:14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32"/>
      <c r="K776" s="4"/>
      <c r="L776" s="4"/>
      <c r="M776" s="4"/>
      <c r="N776" s="4"/>
    </row>
    <row r="777" spans="1:14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32"/>
      <c r="K777" s="4"/>
      <c r="L777" s="4"/>
      <c r="M777" s="4"/>
      <c r="N777" s="4"/>
    </row>
    <row r="778" spans="1:14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32"/>
      <c r="K778" s="4"/>
      <c r="L778" s="4"/>
      <c r="M778" s="4"/>
      <c r="N778" s="4"/>
    </row>
    <row r="779" spans="1:14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32"/>
      <c r="K779" s="4"/>
      <c r="L779" s="4"/>
      <c r="M779" s="4"/>
      <c r="N779" s="4"/>
    </row>
    <row r="780" spans="1:14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32"/>
      <c r="K780" s="4"/>
      <c r="L780" s="4"/>
      <c r="M780" s="4"/>
      <c r="N780" s="4"/>
    </row>
    <row r="781" spans="1:14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32"/>
      <c r="K781" s="4"/>
      <c r="L781" s="4"/>
      <c r="M781" s="4"/>
      <c r="N781" s="4"/>
    </row>
    <row r="782" spans="1:14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32"/>
      <c r="K782" s="4"/>
      <c r="L782" s="4"/>
      <c r="M782" s="4"/>
      <c r="N782" s="4"/>
    </row>
    <row r="783" spans="1:14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32"/>
      <c r="K783" s="4"/>
      <c r="L783" s="4"/>
      <c r="M783" s="4"/>
      <c r="N783" s="4"/>
    </row>
    <row r="784" spans="1:14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32"/>
      <c r="K784" s="4"/>
      <c r="L784" s="4"/>
      <c r="M784" s="4"/>
      <c r="N784" s="4"/>
    </row>
    <row r="785" spans="1:14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32"/>
      <c r="K785" s="4"/>
      <c r="L785" s="4"/>
      <c r="M785" s="4"/>
      <c r="N785" s="4"/>
    </row>
    <row r="786" spans="1:14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32"/>
      <c r="K786" s="4"/>
      <c r="L786" s="4"/>
      <c r="M786" s="4"/>
      <c r="N786" s="4"/>
    </row>
    <row r="787" spans="1:14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32"/>
      <c r="K787" s="4"/>
      <c r="L787" s="4"/>
      <c r="M787" s="4"/>
      <c r="N787" s="4"/>
    </row>
    <row r="788" spans="1:14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32"/>
      <c r="K788" s="4"/>
      <c r="L788" s="4"/>
      <c r="M788" s="4"/>
      <c r="N788" s="4"/>
    </row>
    <row r="789" spans="1:14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32"/>
      <c r="K789" s="4"/>
      <c r="L789" s="4"/>
      <c r="M789" s="4"/>
      <c r="N789" s="4"/>
    </row>
    <row r="790" spans="1:14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32"/>
      <c r="K790" s="4"/>
      <c r="L790" s="4"/>
      <c r="M790" s="4"/>
      <c r="N790" s="4"/>
    </row>
    <row r="791" spans="1:14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32"/>
      <c r="K791" s="4"/>
      <c r="L791" s="4"/>
      <c r="M791" s="4"/>
      <c r="N791" s="4"/>
    </row>
    <row r="792" spans="1:14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32"/>
      <c r="K792" s="4"/>
      <c r="L792" s="4"/>
      <c r="M792" s="4"/>
      <c r="N792" s="4"/>
    </row>
    <row r="793" spans="1:14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32"/>
      <c r="K793" s="4"/>
      <c r="L793" s="4"/>
      <c r="M793" s="4"/>
      <c r="N793" s="4"/>
    </row>
    <row r="794" spans="1:14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32"/>
      <c r="K794" s="4"/>
      <c r="L794" s="4"/>
      <c r="M794" s="4"/>
      <c r="N794" s="4"/>
    </row>
    <row r="795" spans="1:14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32"/>
      <c r="K795" s="4"/>
      <c r="L795" s="4"/>
      <c r="M795" s="4"/>
      <c r="N795" s="4"/>
    </row>
    <row r="796" spans="1:14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32"/>
      <c r="K796" s="4"/>
      <c r="L796" s="4"/>
      <c r="M796" s="4"/>
      <c r="N796" s="4"/>
    </row>
    <row r="797" spans="1:14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32"/>
      <c r="K797" s="4"/>
      <c r="L797" s="4"/>
      <c r="M797" s="4"/>
      <c r="N797" s="4"/>
    </row>
    <row r="798" spans="1:14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32"/>
      <c r="K798" s="4"/>
      <c r="L798" s="4"/>
      <c r="M798" s="4"/>
      <c r="N798" s="4"/>
    </row>
    <row r="799" spans="1:14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32"/>
      <c r="K799" s="4"/>
      <c r="L799" s="4"/>
      <c r="M799" s="4"/>
      <c r="N799" s="4"/>
    </row>
    <row r="800" spans="1:14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32"/>
      <c r="K800" s="4"/>
      <c r="L800" s="4"/>
      <c r="M800" s="4"/>
      <c r="N800" s="4"/>
    </row>
    <row r="801" spans="1:14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32"/>
      <c r="K801" s="4"/>
      <c r="L801" s="4"/>
      <c r="M801" s="4"/>
      <c r="N801" s="4"/>
    </row>
    <row r="802" spans="1:14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32"/>
      <c r="K802" s="4"/>
      <c r="L802" s="4"/>
      <c r="M802" s="4"/>
      <c r="N802" s="4"/>
    </row>
    <row r="803" spans="1:14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32"/>
      <c r="K803" s="4"/>
      <c r="L803" s="4"/>
      <c r="M803" s="4"/>
      <c r="N803" s="4"/>
    </row>
    <row r="804" spans="1:14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32"/>
      <c r="K804" s="4"/>
      <c r="L804" s="4"/>
      <c r="M804" s="4"/>
      <c r="N804" s="4"/>
    </row>
    <row r="805" spans="1:14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32"/>
      <c r="K805" s="4"/>
      <c r="L805" s="4"/>
      <c r="M805" s="4"/>
      <c r="N805" s="4"/>
    </row>
    <row r="806" spans="1:14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32"/>
      <c r="K806" s="4"/>
      <c r="L806" s="4"/>
      <c r="M806" s="4"/>
      <c r="N806" s="4"/>
    </row>
    <row r="807" spans="1:14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32"/>
      <c r="K807" s="4"/>
      <c r="L807" s="4"/>
      <c r="M807" s="4"/>
      <c r="N807" s="4"/>
    </row>
    <row r="808" spans="1:14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32"/>
      <c r="K808" s="4"/>
      <c r="L808" s="4"/>
      <c r="M808" s="4"/>
      <c r="N808" s="4"/>
    </row>
    <row r="809" spans="1:14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32"/>
      <c r="K809" s="4"/>
      <c r="L809" s="4"/>
      <c r="M809" s="4"/>
      <c r="N809" s="4"/>
    </row>
    <row r="810" spans="1:14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32"/>
      <c r="K810" s="4"/>
      <c r="L810" s="4"/>
      <c r="M810" s="4"/>
      <c r="N810" s="4"/>
    </row>
    <row r="811" spans="1:14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32"/>
      <c r="K811" s="4"/>
      <c r="L811" s="4"/>
      <c r="M811" s="4"/>
      <c r="N811" s="4"/>
    </row>
    <row r="812" spans="1:14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32"/>
      <c r="K812" s="4"/>
      <c r="L812" s="4"/>
      <c r="M812" s="4"/>
      <c r="N812" s="4"/>
    </row>
    <row r="813" spans="1:14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32"/>
      <c r="K813" s="4"/>
      <c r="L813" s="4"/>
      <c r="M813" s="4"/>
      <c r="N813" s="4"/>
    </row>
    <row r="814" spans="1:14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32"/>
      <c r="K814" s="4"/>
      <c r="L814" s="4"/>
      <c r="M814" s="4"/>
      <c r="N814" s="4"/>
    </row>
    <row r="815" spans="1:14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32"/>
      <c r="K815" s="4"/>
      <c r="L815" s="4"/>
      <c r="M815" s="4"/>
      <c r="N815" s="4"/>
    </row>
    <row r="816" spans="1:14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32"/>
      <c r="K816" s="4"/>
      <c r="L816" s="4"/>
      <c r="M816" s="4"/>
      <c r="N816" s="4"/>
    </row>
    <row r="817" spans="1:14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32"/>
      <c r="K817" s="4"/>
      <c r="L817" s="4"/>
      <c r="M817" s="4"/>
      <c r="N817" s="4"/>
    </row>
    <row r="818" spans="1:14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32"/>
      <c r="K818" s="4"/>
      <c r="L818" s="4"/>
      <c r="M818" s="4"/>
      <c r="N818" s="4"/>
    </row>
    <row r="819" spans="1:14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32"/>
      <c r="K819" s="4"/>
      <c r="L819" s="4"/>
      <c r="M819" s="4"/>
      <c r="N819" s="4"/>
    </row>
    <row r="820" spans="1:14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32"/>
      <c r="K820" s="4"/>
      <c r="L820" s="4"/>
      <c r="M820" s="4"/>
      <c r="N820" s="4"/>
    </row>
    <row r="821" spans="1:14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32"/>
      <c r="K821" s="4"/>
      <c r="L821" s="4"/>
      <c r="M821" s="4"/>
      <c r="N821" s="4"/>
    </row>
    <row r="822" spans="1:14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32"/>
      <c r="K822" s="4"/>
      <c r="L822" s="4"/>
      <c r="M822" s="4"/>
      <c r="N822" s="4"/>
    </row>
    <row r="823" spans="1:14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32"/>
      <c r="K823" s="4"/>
      <c r="L823" s="4"/>
      <c r="M823" s="4"/>
      <c r="N823" s="4"/>
    </row>
    <row r="824" spans="1:14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32"/>
      <c r="K824" s="4"/>
      <c r="L824" s="4"/>
      <c r="M824" s="4"/>
      <c r="N824" s="4"/>
    </row>
    <row r="825" spans="1:14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32"/>
      <c r="K825" s="4"/>
      <c r="L825" s="4"/>
      <c r="M825" s="4"/>
      <c r="N825" s="4"/>
    </row>
    <row r="826" spans="1:14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32"/>
      <c r="K826" s="4"/>
      <c r="L826" s="4"/>
      <c r="M826" s="4"/>
      <c r="N826" s="4"/>
    </row>
    <row r="827" spans="1:14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32"/>
      <c r="K827" s="4"/>
      <c r="L827" s="4"/>
      <c r="M827" s="4"/>
      <c r="N827" s="4"/>
    </row>
    <row r="828" spans="1:14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32"/>
      <c r="K828" s="4"/>
      <c r="L828" s="4"/>
      <c r="M828" s="4"/>
      <c r="N828" s="4"/>
    </row>
    <row r="829" spans="1:14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32"/>
      <c r="K829" s="4"/>
      <c r="L829" s="4"/>
      <c r="M829" s="4"/>
      <c r="N829" s="4"/>
    </row>
    <row r="830" spans="1:14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32"/>
      <c r="K830" s="4"/>
      <c r="L830" s="4"/>
      <c r="M830" s="4"/>
      <c r="N830" s="4"/>
    </row>
    <row r="831" spans="1:14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32"/>
      <c r="K831" s="4"/>
      <c r="L831" s="4"/>
      <c r="M831" s="4"/>
      <c r="N831" s="4"/>
    </row>
    <row r="832" spans="1:14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32"/>
      <c r="K832" s="4"/>
      <c r="L832" s="4"/>
      <c r="M832" s="4"/>
      <c r="N832" s="4"/>
    </row>
    <row r="833" spans="1:14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32"/>
      <c r="K833" s="4"/>
      <c r="L833" s="4"/>
      <c r="M833" s="4"/>
      <c r="N833" s="4"/>
    </row>
    <row r="834" spans="1:14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32"/>
      <c r="K834" s="4"/>
      <c r="L834" s="4"/>
      <c r="M834" s="4"/>
      <c r="N834" s="4"/>
    </row>
    <row r="835" spans="1:14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32"/>
      <c r="K835" s="4"/>
      <c r="L835" s="4"/>
      <c r="M835" s="4"/>
      <c r="N835" s="4"/>
    </row>
    <row r="836" spans="1:14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32"/>
      <c r="K836" s="4"/>
      <c r="L836" s="4"/>
      <c r="M836" s="4"/>
      <c r="N836" s="4"/>
    </row>
    <row r="837" spans="1:14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32"/>
      <c r="K837" s="4"/>
      <c r="L837" s="4"/>
      <c r="M837" s="4"/>
      <c r="N837" s="4"/>
    </row>
    <row r="838" spans="1:14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32"/>
      <c r="K838" s="4"/>
      <c r="L838" s="4"/>
      <c r="M838" s="4"/>
      <c r="N838" s="4"/>
    </row>
    <row r="839" spans="1:14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32"/>
      <c r="K839" s="4"/>
      <c r="L839" s="4"/>
      <c r="M839" s="4"/>
      <c r="N839" s="4"/>
    </row>
    <row r="840" spans="1:14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32"/>
      <c r="K840" s="4"/>
      <c r="L840" s="4"/>
      <c r="M840" s="4"/>
      <c r="N840" s="4"/>
    </row>
    <row r="841" spans="1:14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32"/>
      <c r="K841" s="4"/>
      <c r="L841" s="4"/>
      <c r="M841" s="4"/>
      <c r="N841" s="4"/>
    </row>
    <row r="842" spans="1:14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32"/>
      <c r="K842" s="4"/>
      <c r="L842" s="4"/>
      <c r="M842" s="4"/>
      <c r="N842" s="4"/>
    </row>
    <row r="843" spans="1:14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32"/>
      <c r="K843" s="4"/>
      <c r="L843" s="4"/>
      <c r="M843" s="4"/>
      <c r="N843" s="4"/>
    </row>
    <row r="844" spans="1:14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32"/>
      <c r="K844" s="4"/>
      <c r="L844" s="4"/>
      <c r="M844" s="4"/>
      <c r="N844" s="4"/>
    </row>
    <row r="845" spans="1:14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32"/>
      <c r="K845" s="4"/>
      <c r="L845" s="4"/>
      <c r="M845" s="4"/>
      <c r="N845" s="4"/>
    </row>
    <row r="846" spans="1:14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32"/>
      <c r="K846" s="4"/>
      <c r="L846" s="4"/>
      <c r="M846" s="4"/>
      <c r="N846" s="4"/>
    </row>
    <row r="847" spans="1:14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32"/>
      <c r="K847" s="4"/>
      <c r="L847" s="4"/>
      <c r="M847" s="4"/>
      <c r="N847" s="4"/>
    </row>
    <row r="848" spans="1:14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32"/>
      <c r="K848" s="4"/>
      <c r="L848" s="4"/>
      <c r="M848" s="4"/>
      <c r="N848" s="4"/>
    </row>
    <row r="849" spans="1:14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32"/>
      <c r="K849" s="4"/>
      <c r="L849" s="4"/>
      <c r="M849" s="4"/>
      <c r="N849" s="4"/>
    </row>
    <row r="850" spans="1:14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32"/>
      <c r="K850" s="4"/>
      <c r="L850" s="4"/>
      <c r="M850" s="4"/>
      <c r="N850" s="4"/>
    </row>
    <row r="851" spans="1:14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32"/>
      <c r="K851" s="4"/>
      <c r="L851" s="4"/>
      <c r="M851" s="4"/>
      <c r="N851" s="4"/>
    </row>
    <row r="852" spans="1:14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32"/>
      <c r="K852" s="4"/>
      <c r="L852" s="4"/>
      <c r="M852" s="4"/>
      <c r="N852" s="4"/>
    </row>
    <row r="853" spans="1:14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32"/>
      <c r="K853" s="4"/>
      <c r="L853" s="4"/>
      <c r="M853" s="4"/>
      <c r="N853" s="4"/>
    </row>
    <row r="854" spans="1:14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32"/>
      <c r="K854" s="4"/>
      <c r="L854" s="4"/>
      <c r="M854" s="4"/>
      <c r="N854" s="4"/>
    </row>
    <row r="855" spans="1:14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32"/>
      <c r="K855" s="4"/>
      <c r="L855" s="4"/>
      <c r="M855" s="4"/>
      <c r="N855" s="4"/>
    </row>
    <row r="856" spans="1:14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32"/>
      <c r="K856" s="4"/>
      <c r="L856" s="4"/>
      <c r="M856" s="4"/>
      <c r="N856" s="4"/>
    </row>
    <row r="857" spans="1:14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32"/>
      <c r="K857" s="4"/>
      <c r="L857" s="4"/>
      <c r="M857" s="4"/>
      <c r="N857" s="4"/>
    </row>
    <row r="858" spans="1:14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32"/>
      <c r="K858" s="4"/>
      <c r="L858" s="4"/>
      <c r="M858" s="4"/>
      <c r="N858" s="4"/>
    </row>
    <row r="859" spans="1:14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32"/>
      <c r="K859" s="4"/>
      <c r="L859" s="4"/>
      <c r="M859" s="4"/>
      <c r="N859" s="4"/>
    </row>
    <row r="860" spans="1:14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32"/>
      <c r="K860" s="4"/>
      <c r="L860" s="4"/>
      <c r="M860" s="4"/>
      <c r="N860" s="4"/>
    </row>
    <row r="861" spans="1:14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32"/>
      <c r="K861" s="4"/>
      <c r="L861" s="4"/>
      <c r="M861" s="4"/>
      <c r="N861" s="4"/>
    </row>
    <row r="862" spans="1:14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32"/>
      <c r="K862" s="4"/>
      <c r="L862" s="4"/>
      <c r="M862" s="4"/>
      <c r="N862" s="4"/>
    </row>
    <row r="863" spans="1:14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32"/>
      <c r="K863" s="4"/>
      <c r="L863" s="4"/>
      <c r="M863" s="4"/>
      <c r="N863" s="4"/>
    </row>
    <row r="864" spans="1:14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32"/>
      <c r="K864" s="4"/>
      <c r="L864" s="4"/>
      <c r="M864" s="4"/>
      <c r="N864" s="4"/>
    </row>
    <row r="865" spans="1:14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32"/>
      <c r="K865" s="4"/>
      <c r="L865" s="4"/>
      <c r="M865" s="4"/>
      <c r="N865" s="4"/>
    </row>
    <row r="866" spans="1:14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32"/>
      <c r="K866" s="4"/>
      <c r="L866" s="4"/>
      <c r="M866" s="4"/>
      <c r="N866" s="4"/>
    </row>
    <row r="867" spans="1:14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32"/>
      <c r="K867" s="4"/>
      <c r="L867" s="4"/>
      <c r="M867" s="4"/>
      <c r="N867" s="4"/>
    </row>
    <row r="868" spans="1:14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32"/>
      <c r="K868" s="4"/>
      <c r="L868" s="4"/>
      <c r="M868" s="4"/>
      <c r="N868" s="4"/>
    </row>
    <row r="869" spans="1:14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32"/>
      <c r="K869" s="4"/>
      <c r="L869" s="4"/>
      <c r="M869" s="4"/>
      <c r="N869" s="4"/>
    </row>
    <row r="870" spans="1:14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32"/>
      <c r="K870" s="4"/>
      <c r="L870" s="4"/>
      <c r="M870" s="4"/>
      <c r="N870" s="4"/>
    </row>
    <row r="871" spans="1:14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32"/>
      <c r="K871" s="4"/>
      <c r="L871" s="4"/>
      <c r="M871" s="4"/>
      <c r="N871" s="4"/>
    </row>
    <row r="872" spans="1:14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32"/>
      <c r="K872" s="4"/>
      <c r="L872" s="4"/>
      <c r="M872" s="4"/>
      <c r="N872" s="4"/>
    </row>
    <row r="873" spans="1:14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32"/>
      <c r="K873" s="4"/>
      <c r="L873" s="4"/>
      <c r="M873" s="4"/>
      <c r="N873" s="4"/>
    </row>
    <row r="874" spans="1:14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32"/>
      <c r="K874" s="4"/>
      <c r="L874" s="4"/>
      <c r="M874" s="4"/>
      <c r="N874" s="4"/>
    </row>
    <row r="875" spans="1:14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32"/>
      <c r="K875" s="4"/>
      <c r="L875" s="4"/>
      <c r="M875" s="4"/>
      <c r="N875" s="4"/>
    </row>
    <row r="876" spans="1:14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32"/>
      <c r="K876" s="4"/>
      <c r="L876" s="4"/>
      <c r="M876" s="4"/>
      <c r="N876" s="4"/>
    </row>
    <row r="877" spans="1:14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32"/>
      <c r="K877" s="4"/>
      <c r="L877" s="4"/>
      <c r="M877" s="4"/>
      <c r="N877" s="4"/>
    </row>
    <row r="878" spans="1:14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32"/>
      <c r="K878" s="4"/>
      <c r="L878" s="4"/>
      <c r="M878" s="4"/>
      <c r="N878" s="4"/>
    </row>
    <row r="879" spans="1:14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32"/>
      <c r="K879" s="4"/>
      <c r="L879" s="4"/>
      <c r="M879" s="4"/>
      <c r="N879" s="4"/>
    </row>
    <row r="880" spans="1:14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32"/>
      <c r="K880" s="4"/>
      <c r="L880" s="4"/>
      <c r="M880" s="4"/>
      <c r="N880" s="4"/>
    </row>
    <row r="881" spans="1:14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32"/>
      <c r="K881" s="4"/>
      <c r="L881" s="4"/>
      <c r="M881" s="4"/>
      <c r="N881" s="4"/>
    </row>
    <row r="882" spans="1:14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32"/>
      <c r="K882" s="4"/>
      <c r="L882" s="4"/>
      <c r="M882" s="4"/>
      <c r="N882" s="4"/>
    </row>
    <row r="883" spans="1:14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32"/>
      <c r="K883" s="4"/>
      <c r="L883" s="4"/>
      <c r="M883" s="4"/>
      <c r="N883" s="4"/>
    </row>
    <row r="884" spans="1:14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32"/>
      <c r="K884" s="4"/>
      <c r="L884" s="4"/>
      <c r="M884" s="4"/>
      <c r="N884" s="4"/>
    </row>
    <row r="885" spans="1:14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32"/>
      <c r="K885" s="4"/>
      <c r="L885" s="4"/>
      <c r="M885" s="4"/>
      <c r="N885" s="4"/>
    </row>
    <row r="886" spans="1:14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32"/>
      <c r="K886" s="4"/>
      <c r="L886" s="4"/>
      <c r="M886" s="4"/>
      <c r="N886" s="4"/>
    </row>
    <row r="887" spans="1:14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32"/>
      <c r="K887" s="4"/>
      <c r="L887" s="4"/>
      <c r="M887" s="4"/>
      <c r="N887" s="4"/>
    </row>
    <row r="888" spans="1:14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32"/>
      <c r="K888" s="4"/>
      <c r="L888" s="4"/>
      <c r="M888" s="4"/>
      <c r="N888" s="4"/>
    </row>
    <row r="889" spans="1:14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32"/>
      <c r="K889" s="4"/>
      <c r="L889" s="4"/>
      <c r="M889" s="4"/>
      <c r="N889" s="4"/>
    </row>
    <row r="890" spans="1:14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32"/>
      <c r="K890" s="4"/>
      <c r="L890" s="4"/>
      <c r="M890" s="4"/>
      <c r="N890" s="4"/>
    </row>
    <row r="891" spans="1:14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32"/>
      <c r="K891" s="4"/>
      <c r="L891" s="4"/>
      <c r="M891" s="4"/>
      <c r="N891" s="4"/>
    </row>
    <row r="892" spans="1:14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32"/>
      <c r="K892" s="4"/>
      <c r="L892" s="4"/>
      <c r="M892" s="4"/>
      <c r="N892" s="4"/>
    </row>
    <row r="893" spans="1:14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32"/>
      <c r="K893" s="4"/>
      <c r="L893" s="4"/>
      <c r="M893" s="4"/>
      <c r="N893" s="4"/>
    </row>
    <row r="894" spans="1:14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32"/>
      <c r="K894" s="4"/>
      <c r="L894" s="4"/>
      <c r="M894" s="4"/>
      <c r="N894" s="4"/>
    </row>
    <row r="895" spans="1:14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32"/>
      <c r="K895" s="4"/>
      <c r="L895" s="4"/>
      <c r="M895" s="4"/>
      <c r="N895" s="4"/>
    </row>
    <row r="896" spans="1:14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32"/>
      <c r="K896" s="4"/>
      <c r="L896" s="4"/>
      <c r="M896" s="4"/>
      <c r="N896" s="4"/>
    </row>
    <row r="897" spans="1:14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32"/>
      <c r="K897" s="4"/>
      <c r="L897" s="4"/>
      <c r="M897" s="4"/>
      <c r="N897" s="4"/>
    </row>
    <row r="898" spans="1:14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32"/>
      <c r="K898" s="4"/>
      <c r="L898" s="4"/>
      <c r="M898" s="4"/>
      <c r="N898" s="4"/>
    </row>
    <row r="899" spans="1:14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32"/>
      <c r="K899" s="4"/>
      <c r="L899" s="4"/>
      <c r="M899" s="4"/>
      <c r="N899" s="4"/>
    </row>
    <row r="900" spans="1:14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32"/>
      <c r="K900" s="4"/>
      <c r="L900" s="4"/>
      <c r="M900" s="4"/>
      <c r="N900" s="4"/>
    </row>
    <row r="901" spans="1:14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32"/>
      <c r="K901" s="4"/>
      <c r="L901" s="4"/>
      <c r="M901" s="4"/>
      <c r="N901" s="4"/>
    </row>
    <row r="902" spans="1:14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32"/>
      <c r="K902" s="4"/>
      <c r="L902" s="4"/>
      <c r="M902" s="4"/>
      <c r="N902" s="4"/>
    </row>
    <row r="903" spans="1:14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32"/>
      <c r="K903" s="4"/>
      <c r="L903" s="4"/>
      <c r="M903" s="4"/>
      <c r="N903" s="4"/>
    </row>
    <row r="904" spans="1:14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32"/>
      <c r="K904" s="4"/>
      <c r="L904" s="4"/>
      <c r="M904" s="4"/>
      <c r="N904" s="4"/>
    </row>
    <row r="905" spans="1:14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32"/>
      <c r="K905" s="4"/>
      <c r="L905" s="4"/>
      <c r="M905" s="4"/>
      <c r="N905" s="4"/>
    </row>
    <row r="906" spans="1:14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32"/>
      <c r="K906" s="4"/>
      <c r="L906" s="4"/>
      <c r="M906" s="4"/>
      <c r="N906" s="4"/>
    </row>
    <row r="907" spans="1:14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32"/>
      <c r="K907" s="4"/>
      <c r="L907" s="4"/>
      <c r="M907" s="4"/>
      <c r="N907" s="4"/>
    </row>
    <row r="908" spans="1:14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32"/>
      <c r="K908" s="4"/>
      <c r="L908" s="4"/>
      <c r="M908" s="4"/>
      <c r="N908" s="4"/>
    </row>
    <row r="909" spans="1:14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32"/>
      <c r="K909" s="4"/>
      <c r="L909" s="4"/>
      <c r="M909" s="4"/>
      <c r="N909" s="4"/>
    </row>
    <row r="910" spans="1:14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32"/>
      <c r="K910" s="4"/>
      <c r="L910" s="4"/>
      <c r="M910" s="4"/>
      <c r="N910" s="4"/>
    </row>
    <row r="911" spans="1:14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32"/>
      <c r="K911" s="4"/>
      <c r="L911" s="4"/>
      <c r="M911" s="4"/>
      <c r="N911" s="4"/>
    </row>
    <row r="912" spans="1:14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32"/>
      <c r="K912" s="4"/>
      <c r="L912" s="4"/>
      <c r="M912" s="4"/>
      <c r="N912" s="4"/>
    </row>
    <row r="913" spans="1:14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32"/>
      <c r="K913" s="4"/>
      <c r="L913" s="4"/>
      <c r="M913" s="4"/>
      <c r="N913" s="4"/>
    </row>
    <row r="914" spans="1:14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32"/>
      <c r="K914" s="4"/>
      <c r="L914" s="4"/>
      <c r="M914" s="4"/>
      <c r="N914" s="4"/>
    </row>
    <row r="915" spans="1:14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32"/>
      <c r="K915" s="4"/>
      <c r="L915" s="4"/>
      <c r="M915" s="4"/>
      <c r="N915" s="4"/>
    </row>
    <row r="916" spans="1:14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32"/>
      <c r="K916" s="4"/>
      <c r="L916" s="4"/>
      <c r="M916" s="4"/>
      <c r="N916" s="4"/>
    </row>
    <row r="917" spans="1:14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32"/>
      <c r="K917" s="4"/>
      <c r="L917" s="4"/>
      <c r="M917" s="4"/>
      <c r="N917" s="4"/>
    </row>
    <row r="918" spans="1:14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32"/>
      <c r="K918" s="4"/>
      <c r="L918" s="4"/>
      <c r="M918" s="4"/>
      <c r="N918" s="4"/>
    </row>
    <row r="919" spans="1:14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32"/>
      <c r="K919" s="4"/>
      <c r="L919" s="4"/>
      <c r="M919" s="4"/>
      <c r="N919" s="4"/>
    </row>
    <row r="920" spans="1:14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32"/>
      <c r="K920" s="4"/>
      <c r="L920" s="4"/>
      <c r="M920" s="4"/>
      <c r="N920" s="4"/>
    </row>
    <row r="921" spans="1:14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32"/>
      <c r="K921" s="4"/>
      <c r="L921" s="4"/>
      <c r="M921" s="4"/>
      <c r="N921" s="4"/>
    </row>
    <row r="922" spans="1:14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32"/>
      <c r="K922" s="4"/>
      <c r="L922" s="4"/>
      <c r="M922" s="4"/>
      <c r="N922" s="4"/>
    </row>
    <row r="923" spans="1:14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32"/>
      <c r="K923" s="4"/>
      <c r="L923" s="4"/>
      <c r="M923" s="4"/>
      <c r="N923" s="4"/>
    </row>
    <row r="924" spans="1:14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32"/>
      <c r="K924" s="4"/>
      <c r="L924" s="4"/>
      <c r="M924" s="4"/>
      <c r="N924" s="4"/>
    </row>
    <row r="925" spans="1:14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32"/>
      <c r="K925" s="4"/>
      <c r="L925" s="4"/>
      <c r="M925" s="4"/>
      <c r="N925" s="4"/>
    </row>
    <row r="926" spans="1:14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32"/>
      <c r="K926" s="4"/>
      <c r="L926" s="4"/>
      <c r="M926" s="4"/>
      <c r="N926" s="4"/>
    </row>
    <row r="927" spans="1:14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32"/>
      <c r="K927" s="4"/>
      <c r="L927" s="4"/>
      <c r="M927" s="4"/>
      <c r="N927" s="4"/>
    </row>
    <row r="928" spans="1:14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32"/>
      <c r="K928" s="4"/>
      <c r="L928" s="4"/>
      <c r="M928" s="4"/>
      <c r="N928" s="4"/>
    </row>
    <row r="929" spans="1:14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32"/>
      <c r="K929" s="4"/>
      <c r="L929" s="4"/>
      <c r="M929" s="4"/>
      <c r="N929" s="4"/>
    </row>
    <row r="930" spans="1:14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32"/>
      <c r="K930" s="4"/>
      <c r="L930" s="4"/>
      <c r="M930" s="4"/>
      <c r="N930" s="4"/>
    </row>
    <row r="931" spans="1:14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32"/>
      <c r="K931" s="4"/>
      <c r="L931" s="4"/>
      <c r="M931" s="4"/>
      <c r="N931" s="4"/>
    </row>
    <row r="932" spans="1:14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32"/>
      <c r="K932" s="4"/>
      <c r="L932" s="4"/>
      <c r="M932" s="4"/>
      <c r="N932" s="4"/>
    </row>
    <row r="933" spans="1:14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32"/>
      <c r="K933" s="4"/>
      <c r="L933" s="4"/>
      <c r="M933" s="4"/>
      <c r="N933" s="4"/>
    </row>
    <row r="934" spans="1:14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32"/>
      <c r="K934" s="4"/>
      <c r="L934" s="4"/>
      <c r="M934" s="4"/>
      <c r="N934" s="4"/>
    </row>
    <row r="935" spans="1:14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32"/>
      <c r="K935" s="4"/>
      <c r="L935" s="4"/>
      <c r="M935" s="4"/>
      <c r="N935" s="4"/>
    </row>
    <row r="936" spans="1:14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32"/>
      <c r="K936" s="4"/>
      <c r="L936" s="4"/>
      <c r="M936" s="4"/>
      <c r="N936" s="4"/>
    </row>
    <row r="937" spans="1:14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32"/>
      <c r="K937" s="4"/>
      <c r="L937" s="4"/>
      <c r="M937" s="4"/>
      <c r="N937" s="4"/>
    </row>
    <row r="938" spans="1:14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32"/>
      <c r="K938" s="4"/>
      <c r="L938" s="4"/>
      <c r="M938" s="4"/>
      <c r="N938" s="4"/>
    </row>
    <row r="939" spans="1:14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32"/>
      <c r="K939" s="4"/>
      <c r="L939" s="4"/>
      <c r="M939" s="4"/>
      <c r="N939" s="4"/>
    </row>
    <row r="940" spans="1:14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32"/>
      <c r="K940" s="4"/>
      <c r="L940" s="4"/>
      <c r="M940" s="4"/>
      <c r="N940" s="4"/>
    </row>
    <row r="941" spans="1:14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32"/>
      <c r="K941" s="4"/>
      <c r="L941" s="4"/>
      <c r="M941" s="4"/>
      <c r="N941" s="4"/>
    </row>
    <row r="942" spans="1:14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32"/>
      <c r="K942" s="4"/>
      <c r="L942" s="4"/>
      <c r="M942" s="4"/>
      <c r="N942" s="4"/>
    </row>
    <row r="943" spans="1:14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32"/>
      <c r="K943" s="4"/>
      <c r="L943" s="4"/>
      <c r="M943" s="4"/>
      <c r="N943" s="4"/>
    </row>
    <row r="944" spans="1:14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32"/>
      <c r="K944" s="4"/>
      <c r="L944" s="4"/>
      <c r="M944" s="4"/>
      <c r="N944" s="4"/>
    </row>
    <row r="945" spans="1:14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32"/>
      <c r="K945" s="4"/>
      <c r="L945" s="4"/>
      <c r="M945" s="4"/>
      <c r="N945" s="4"/>
    </row>
    <row r="946" spans="1:14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32"/>
      <c r="K946" s="4"/>
      <c r="L946" s="4"/>
      <c r="M946" s="4"/>
      <c r="N946" s="4"/>
    </row>
    <row r="947" spans="1:14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32"/>
      <c r="K947" s="4"/>
      <c r="L947" s="4"/>
      <c r="M947" s="4"/>
      <c r="N947" s="4"/>
    </row>
    <row r="948" spans="1:14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32"/>
      <c r="K948" s="4"/>
      <c r="L948" s="4"/>
      <c r="M948" s="4"/>
      <c r="N948" s="4"/>
    </row>
    <row r="949" spans="1:14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32"/>
      <c r="K949" s="4"/>
      <c r="L949" s="4"/>
      <c r="M949" s="4"/>
      <c r="N949" s="4"/>
    </row>
    <row r="950" spans="1:14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32"/>
      <c r="K950" s="4"/>
      <c r="L950" s="4"/>
      <c r="M950" s="4"/>
      <c r="N950" s="4"/>
    </row>
    <row r="951" spans="1:14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32"/>
      <c r="K951" s="4"/>
      <c r="L951" s="4"/>
      <c r="M951" s="4"/>
      <c r="N951" s="4"/>
    </row>
    <row r="952" spans="1:14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32"/>
      <c r="K952" s="4"/>
      <c r="L952" s="4"/>
      <c r="M952" s="4"/>
      <c r="N952" s="4"/>
    </row>
    <row r="953" spans="1:14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32"/>
      <c r="K953" s="4"/>
      <c r="L953" s="4"/>
      <c r="M953" s="4"/>
      <c r="N953" s="4"/>
    </row>
    <row r="954" spans="1:14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32"/>
      <c r="K954" s="4"/>
      <c r="L954" s="4"/>
      <c r="M954" s="4"/>
      <c r="N954" s="4"/>
    </row>
    <row r="955" spans="1:14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32"/>
      <c r="K955" s="4"/>
      <c r="L955" s="4"/>
      <c r="M955" s="4"/>
      <c r="N955" s="4"/>
    </row>
    <row r="956" spans="1:14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32"/>
      <c r="K956" s="4"/>
      <c r="L956" s="4"/>
      <c r="M956" s="4"/>
      <c r="N956" s="4"/>
    </row>
    <row r="957" spans="1:14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32"/>
      <c r="K957" s="4"/>
      <c r="L957" s="4"/>
      <c r="M957" s="4"/>
      <c r="N957" s="4"/>
    </row>
    <row r="958" spans="1:14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32"/>
      <c r="K958" s="4"/>
      <c r="L958" s="4"/>
      <c r="M958" s="4"/>
      <c r="N958" s="4"/>
    </row>
    <row r="959" spans="1:14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32"/>
      <c r="K959" s="4"/>
      <c r="L959" s="4"/>
      <c r="M959" s="4"/>
      <c r="N959" s="4"/>
    </row>
    <row r="960" spans="1:14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32"/>
      <c r="K960" s="4"/>
      <c r="L960" s="4"/>
      <c r="M960" s="4"/>
      <c r="N960" s="4"/>
    </row>
    <row r="961" spans="1:14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32"/>
      <c r="K961" s="4"/>
      <c r="L961" s="4"/>
      <c r="M961" s="4"/>
      <c r="N961" s="4"/>
    </row>
    <row r="962" spans="1:14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32"/>
      <c r="K962" s="4"/>
      <c r="L962" s="4"/>
      <c r="M962" s="4"/>
      <c r="N962" s="4"/>
    </row>
    <row r="963" spans="1:14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32"/>
      <c r="K963" s="4"/>
      <c r="L963" s="4"/>
      <c r="M963" s="4"/>
      <c r="N963" s="4"/>
    </row>
    <row r="964" spans="1:14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32"/>
      <c r="K964" s="4"/>
      <c r="L964" s="4"/>
      <c r="M964" s="4"/>
      <c r="N964" s="4"/>
    </row>
    <row r="965" spans="1:14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32"/>
      <c r="K965" s="4"/>
      <c r="L965" s="4"/>
      <c r="M965" s="4"/>
      <c r="N965" s="4"/>
    </row>
    <row r="966" spans="1:14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32"/>
      <c r="K966" s="4"/>
      <c r="L966" s="4"/>
      <c r="M966" s="4"/>
      <c r="N966" s="4"/>
    </row>
    <row r="967" spans="1:14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32"/>
      <c r="K967" s="4"/>
      <c r="L967" s="4"/>
      <c r="M967" s="4"/>
      <c r="N967" s="4"/>
    </row>
    <row r="968" spans="1:14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32"/>
      <c r="K968" s="4"/>
      <c r="L968" s="4"/>
      <c r="M968" s="4"/>
      <c r="N968" s="4"/>
    </row>
    <row r="969" spans="1:14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32"/>
      <c r="K969" s="4"/>
      <c r="L969" s="4"/>
      <c r="M969" s="4"/>
      <c r="N969" s="4"/>
    </row>
    <row r="970" spans="1:14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32"/>
      <c r="K970" s="4"/>
      <c r="L970" s="4"/>
      <c r="M970" s="4"/>
      <c r="N970" s="4"/>
    </row>
    <row r="971" spans="1:14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32"/>
      <c r="K971" s="4"/>
      <c r="L971" s="4"/>
      <c r="M971" s="4"/>
      <c r="N971" s="4"/>
    </row>
    <row r="972" spans="1:14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32"/>
      <c r="K972" s="4"/>
      <c r="L972" s="4"/>
      <c r="M972" s="4"/>
      <c r="N972" s="4"/>
    </row>
    <row r="973" spans="1:14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32"/>
      <c r="K973" s="4"/>
      <c r="L973" s="4"/>
      <c r="M973" s="4"/>
      <c r="N973" s="4"/>
    </row>
    <row r="974" spans="1:14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32"/>
      <c r="K974" s="4"/>
      <c r="L974" s="4"/>
      <c r="M974" s="4"/>
      <c r="N974" s="4"/>
    </row>
    <row r="975" spans="1:14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32"/>
      <c r="K975" s="4"/>
      <c r="L975" s="4"/>
      <c r="M975" s="4"/>
      <c r="N975" s="4"/>
    </row>
    <row r="976" spans="1:14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32"/>
      <c r="K976" s="4"/>
      <c r="L976" s="4"/>
      <c r="M976" s="4"/>
      <c r="N976" s="4"/>
    </row>
    <row r="977" spans="1:14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32"/>
      <c r="K977" s="4"/>
      <c r="L977" s="4"/>
      <c r="M977" s="4"/>
      <c r="N977" s="4"/>
    </row>
    <row r="978" spans="1:14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32"/>
      <c r="K978" s="4"/>
      <c r="L978" s="4"/>
      <c r="M978" s="4"/>
      <c r="N978" s="4"/>
    </row>
    <row r="979" spans="1:14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32"/>
      <c r="K979" s="4"/>
      <c r="L979" s="4"/>
      <c r="M979" s="4"/>
      <c r="N979" s="4"/>
    </row>
    <row r="980" spans="1:14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32"/>
      <c r="K980" s="4"/>
      <c r="L980" s="4"/>
      <c r="M980" s="4"/>
      <c r="N980" s="4"/>
    </row>
    <row r="981" spans="1:14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32"/>
      <c r="K981" s="4"/>
      <c r="L981" s="4"/>
      <c r="M981" s="4"/>
      <c r="N981" s="4"/>
    </row>
    <row r="982" spans="1:14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32"/>
      <c r="K982" s="4"/>
      <c r="L982" s="4"/>
      <c r="M982" s="4"/>
      <c r="N982" s="4"/>
    </row>
    <row r="983" spans="1:14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32"/>
      <c r="K983" s="4"/>
      <c r="L983" s="4"/>
      <c r="M983" s="4"/>
      <c r="N983" s="4"/>
    </row>
    <row r="984" spans="1:14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32"/>
      <c r="K984" s="4"/>
      <c r="L984" s="4"/>
      <c r="M984" s="4"/>
      <c r="N984" s="4"/>
    </row>
    <row r="985" spans="1:14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32"/>
      <c r="K985" s="4"/>
      <c r="L985" s="4"/>
      <c r="M985" s="4"/>
      <c r="N985" s="4"/>
    </row>
    <row r="986" spans="1:14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32"/>
      <c r="K986" s="4"/>
      <c r="L986" s="4"/>
      <c r="M986" s="4"/>
      <c r="N986" s="4"/>
    </row>
    <row r="987" spans="1:14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32"/>
      <c r="K987" s="4"/>
      <c r="L987" s="4"/>
      <c r="M987" s="4"/>
      <c r="N987" s="4"/>
    </row>
    <row r="988" spans="1:14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32"/>
      <c r="K988" s="4"/>
      <c r="L988" s="4"/>
      <c r="M988" s="4"/>
      <c r="N988" s="4"/>
    </row>
    <row r="989" spans="1:14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32"/>
      <c r="K989" s="4"/>
      <c r="L989" s="4"/>
      <c r="M989" s="4"/>
      <c r="N989" s="4"/>
    </row>
    <row r="990" spans="1:14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32"/>
      <c r="K990" s="4"/>
      <c r="L990" s="4"/>
      <c r="M990" s="4"/>
      <c r="N990" s="4"/>
    </row>
    <row r="991" spans="1:14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32"/>
      <c r="K991" s="4"/>
      <c r="L991" s="4"/>
      <c r="M991" s="4"/>
      <c r="N991" s="4"/>
    </row>
    <row r="992" spans="1:14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32"/>
      <c r="K992" s="4"/>
      <c r="L992" s="4"/>
      <c r="M992" s="4"/>
      <c r="N992" s="4"/>
    </row>
    <row r="993" spans="1:14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32"/>
      <c r="K993" s="4"/>
      <c r="L993" s="4"/>
      <c r="M993" s="4"/>
      <c r="N993" s="4"/>
    </row>
    <row r="994" spans="1:14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32"/>
      <c r="K994" s="4"/>
      <c r="L994" s="4"/>
      <c r="M994" s="4"/>
      <c r="N994" s="4"/>
    </row>
    <row r="995" spans="1:14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32"/>
      <c r="K995" s="4"/>
      <c r="L995" s="4"/>
      <c r="M995" s="4"/>
      <c r="N995" s="4"/>
    </row>
    <row r="996" spans="1:14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32"/>
      <c r="K996" s="4"/>
      <c r="L996" s="4"/>
      <c r="M996" s="4"/>
      <c r="N996" s="4"/>
    </row>
    <row r="997" spans="1:14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32"/>
      <c r="K997" s="4"/>
      <c r="L997" s="4"/>
      <c r="M997" s="4"/>
      <c r="N997" s="4"/>
    </row>
    <row r="998" spans="1:14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32"/>
      <c r="K998" s="4"/>
      <c r="L998" s="4"/>
      <c r="M998" s="4"/>
      <c r="N998" s="4"/>
    </row>
    <row r="999" spans="1:14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32"/>
      <c r="K999" s="4"/>
      <c r="L999" s="4"/>
      <c r="M999" s="4"/>
      <c r="N999" s="4"/>
    </row>
  </sheetData>
  <autoFilter ref="A1:N359"/>
  <conditionalFormatting sqref="M2:M359">
    <cfRule type="containsText" dxfId="5" priority="1" operator="containsText" text="☐">
      <formula>NOT(ISERROR(SEARCH("☐",M2)))</formula>
    </cfRule>
    <cfRule type="containsText" dxfId="4" priority="2" operator="containsText" text="☒">
      <formula>NOT(ISERROR(SEARCH("☒",M2)))</formula>
    </cfRule>
    <cfRule type="containsText" dxfId="3" priority="3" operator="containsText" text="☑">
      <formula>NOT(ISERROR(SEARCH("☑",M2)))</formula>
    </cfRule>
  </conditionalFormatting>
  <dataValidations count="4">
    <dataValidation type="list" allowBlank="1" showInputMessage="1" showErrorMessage="1" sqref="M2:M359">
      <formula1>"☑,☒,☐"</formula1>
    </dataValidation>
    <dataValidation type="list" allowBlank="1" showInputMessage="1" showErrorMessage="1" sqref="L2:L359">
      <formula1>"Летний,Летне-зимний"</formula1>
    </dataValidation>
    <dataValidation type="list" allowBlank="1" showInputMessage="1" showErrorMessage="1" sqref="I2:I103">
      <formula1>"ГСС,ГРФ,ГСТ,ВГСС,ВГРФ,Инвалид ВОВ,УОВ,ВБД,Реабил,ЖБЛ,ЧАЭС,Маяк,Семип,Узник,Семья с 2+ инв. I/II,Многодет. (5+ до 16),Одинокий ИД,Одинокая мать,Семья с РИ до 16 лет,Вдова погибшего воина,Родитель погибшего воина,Уход за РИ,"</formula1>
    </dataValidation>
    <dataValidation type="list" allowBlank="1" showInputMessage="1" showErrorMessage="1" sqref="F2:F103">
      <formula1>"Адмиралтейский,Василеостровский,Выборгский,Калининский,Кировский,Колпинский,Красногвардейский,Красносельский,Кронштадтский,Курортный,Московский,Невский,Петроградский,Петродворцовый,Приморский,Пушкинский,Фрунзенский,Центральный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 filterMode="1"/>
  <dimension ref="A1:N999"/>
  <sheetViews>
    <sheetView workbookViewId="0">
      <pane ySplit="1" topLeftCell="A2" activePane="bottomLeft" state="frozen"/>
      <selection pane="bottomLeft" activeCell="O8" sqref="O8"/>
    </sheetView>
  </sheetViews>
  <sheetFormatPr defaultRowHeight="15" x14ac:dyDescent="0.25"/>
  <cols>
    <col min="1" max="1" width="3.85546875" style="5" customWidth="1"/>
    <col min="2" max="2" width="7.7109375" style="5" customWidth="1"/>
    <col min="3" max="3" width="10.42578125" style="5" customWidth="1"/>
    <col min="4" max="4" width="11.140625" style="5" customWidth="1"/>
    <col min="5" max="5" width="10.42578125" style="5" customWidth="1"/>
    <col min="6" max="6" width="16.7109375" style="5" customWidth="1"/>
    <col min="7" max="7" width="21.5703125" style="3" customWidth="1"/>
    <col min="8" max="8" width="25.140625" style="5" customWidth="1"/>
    <col min="9" max="9" width="16.140625" style="5" bestFit="1" customWidth="1"/>
    <col min="10" max="10" width="8.7109375" style="26" customWidth="1"/>
    <col min="11" max="11" width="10.7109375" style="5" customWidth="1"/>
    <col min="12" max="12" width="12.7109375" style="5" customWidth="1"/>
    <col min="13" max="13" width="10.28515625" style="5" customWidth="1"/>
    <col min="14" max="14" width="24.42578125" style="5" customWidth="1"/>
  </cols>
  <sheetData>
    <row r="1" spans="1:14" ht="51" customHeight="1" x14ac:dyDescent="0.25">
      <c r="A1" s="1" t="s">
        <v>4199</v>
      </c>
      <c r="B1" s="1" t="s">
        <v>169</v>
      </c>
      <c r="C1" s="1" t="s">
        <v>2825</v>
      </c>
      <c r="D1" s="1" t="s">
        <v>3</v>
      </c>
      <c r="E1" s="1" t="s">
        <v>4</v>
      </c>
      <c r="F1" s="9" t="s">
        <v>5</v>
      </c>
      <c r="G1" s="1" t="s">
        <v>6</v>
      </c>
      <c r="H1" s="1" t="s">
        <v>7</v>
      </c>
      <c r="I1" s="1" t="s">
        <v>8</v>
      </c>
      <c r="J1" s="25" t="s">
        <v>9</v>
      </c>
      <c r="K1" s="1" t="s">
        <v>10</v>
      </c>
      <c r="L1" s="1" t="s">
        <v>11</v>
      </c>
      <c r="M1" s="9" t="s">
        <v>12</v>
      </c>
      <c r="N1" s="1" t="s">
        <v>13</v>
      </c>
    </row>
    <row r="2" spans="1:14" ht="25.5" hidden="1" customHeight="1" x14ac:dyDescent="0.25">
      <c r="A2" s="17">
        <v>1</v>
      </c>
      <c r="B2" s="16" t="s">
        <v>3525</v>
      </c>
      <c r="C2" s="17">
        <v>1</v>
      </c>
      <c r="D2" s="17">
        <v>10.9</v>
      </c>
      <c r="E2" s="17">
        <v>12.3</v>
      </c>
      <c r="F2" s="16" t="s">
        <v>151</v>
      </c>
      <c r="G2" s="17" t="s">
        <v>3526</v>
      </c>
      <c r="H2" s="17" t="s">
        <v>3527</v>
      </c>
      <c r="I2" s="17" t="s">
        <v>28</v>
      </c>
      <c r="J2" s="24" t="s">
        <v>3528</v>
      </c>
      <c r="K2" s="18">
        <v>46147</v>
      </c>
      <c r="L2" s="17" t="s">
        <v>82</v>
      </c>
      <c r="M2" s="7" t="s">
        <v>25</v>
      </c>
      <c r="N2" s="17"/>
    </row>
    <row r="3" spans="1:14" ht="25.5" hidden="1" customHeight="1" x14ac:dyDescent="0.25">
      <c r="A3" s="17">
        <v>2</v>
      </c>
      <c r="B3" s="16" t="s">
        <v>3525</v>
      </c>
      <c r="C3" s="17">
        <v>2</v>
      </c>
      <c r="D3" s="17">
        <v>7.1</v>
      </c>
      <c r="E3" s="17"/>
      <c r="F3" s="16" t="s">
        <v>151</v>
      </c>
      <c r="G3" s="17" t="s">
        <v>3526</v>
      </c>
      <c r="H3" s="17" t="s">
        <v>3527</v>
      </c>
      <c r="I3" s="17" t="s">
        <v>28</v>
      </c>
      <c r="J3" s="24" t="s">
        <v>3528</v>
      </c>
      <c r="K3" s="18">
        <v>46147</v>
      </c>
      <c r="L3" s="17" t="s">
        <v>82</v>
      </c>
      <c r="M3" s="7" t="s">
        <v>25</v>
      </c>
      <c r="N3" s="17"/>
    </row>
    <row r="4" spans="1:14" hidden="1" x14ac:dyDescent="0.25">
      <c r="A4" s="17">
        <v>3</v>
      </c>
      <c r="B4" s="16" t="s">
        <v>3525</v>
      </c>
      <c r="C4" s="17">
        <v>3</v>
      </c>
      <c r="D4" s="17">
        <v>13.2</v>
      </c>
      <c r="E4" s="17"/>
      <c r="F4" s="16" t="s">
        <v>151</v>
      </c>
      <c r="G4" s="17" t="s">
        <v>3529</v>
      </c>
      <c r="H4" s="17" t="s">
        <v>3530</v>
      </c>
      <c r="I4" s="17" t="s">
        <v>662</v>
      </c>
      <c r="J4" s="24" t="s">
        <v>3531</v>
      </c>
      <c r="K4" s="18">
        <v>46137</v>
      </c>
      <c r="L4" s="17" t="s">
        <v>82</v>
      </c>
      <c r="M4" s="7" t="s">
        <v>25</v>
      </c>
      <c r="N4" s="17"/>
    </row>
    <row r="5" spans="1:14" ht="63.75" customHeight="1" x14ac:dyDescent="0.25">
      <c r="A5" s="17">
        <v>4</v>
      </c>
      <c r="B5" s="16" t="s">
        <v>3525</v>
      </c>
      <c r="C5" s="17">
        <v>4</v>
      </c>
      <c r="D5" s="17">
        <v>13</v>
      </c>
      <c r="E5" s="17">
        <v>9.1999999999999993</v>
      </c>
      <c r="F5" s="16" t="s">
        <v>151</v>
      </c>
      <c r="G5" s="17" t="s">
        <v>3532</v>
      </c>
      <c r="H5" s="17" t="s">
        <v>3533</v>
      </c>
      <c r="I5" s="17" t="s">
        <v>34</v>
      </c>
      <c r="J5" s="24" t="s">
        <v>3534</v>
      </c>
      <c r="K5" s="18">
        <v>46140</v>
      </c>
      <c r="L5" s="17" t="s">
        <v>24</v>
      </c>
      <c r="M5" s="7" t="s">
        <v>25</v>
      </c>
      <c r="N5" s="17"/>
    </row>
    <row r="6" spans="1:14" ht="25.5" hidden="1" customHeight="1" x14ac:dyDescent="0.25">
      <c r="A6" s="17">
        <v>5</v>
      </c>
      <c r="B6" s="16" t="s">
        <v>3525</v>
      </c>
      <c r="C6" s="17">
        <v>5</v>
      </c>
      <c r="D6" s="17">
        <v>12.3</v>
      </c>
      <c r="E6" s="17"/>
      <c r="F6" s="16" t="s">
        <v>151</v>
      </c>
      <c r="G6" s="17" t="s">
        <v>3535</v>
      </c>
      <c r="H6" s="17" t="s">
        <v>3536</v>
      </c>
      <c r="I6" s="17" t="s">
        <v>28</v>
      </c>
      <c r="J6" s="24" t="s">
        <v>3537</v>
      </c>
      <c r="K6" s="18">
        <v>46137</v>
      </c>
      <c r="L6" s="17" t="s">
        <v>82</v>
      </c>
      <c r="M6" s="7" t="s">
        <v>25</v>
      </c>
      <c r="N6" s="17"/>
    </row>
    <row r="7" spans="1:14" ht="63.75" customHeight="1" x14ac:dyDescent="0.25">
      <c r="A7" s="17">
        <v>6</v>
      </c>
      <c r="B7" s="16" t="s">
        <v>3525</v>
      </c>
      <c r="C7" s="17">
        <v>6</v>
      </c>
      <c r="D7" s="17">
        <v>17</v>
      </c>
      <c r="E7" s="17"/>
      <c r="F7" s="16" t="s">
        <v>151</v>
      </c>
      <c r="G7" s="17" t="s">
        <v>3538</v>
      </c>
      <c r="H7" s="17" t="s">
        <v>3539</v>
      </c>
      <c r="I7" s="17" t="s">
        <v>34</v>
      </c>
      <c r="J7" s="24" t="s">
        <v>3540</v>
      </c>
      <c r="K7" s="18">
        <v>46150</v>
      </c>
      <c r="L7" s="17" t="s">
        <v>82</v>
      </c>
      <c r="M7" s="7" t="s">
        <v>25</v>
      </c>
      <c r="N7" s="17"/>
    </row>
    <row r="8" spans="1:14" ht="63.75" customHeight="1" x14ac:dyDescent="0.25">
      <c r="A8" s="17">
        <v>7</v>
      </c>
      <c r="B8" s="16" t="s">
        <v>3525</v>
      </c>
      <c r="C8" s="17">
        <v>7</v>
      </c>
      <c r="D8" s="17">
        <v>9.9</v>
      </c>
      <c r="E8" s="17"/>
      <c r="F8" s="16" t="s">
        <v>151</v>
      </c>
      <c r="G8" s="17" t="s">
        <v>3538</v>
      </c>
      <c r="H8" s="17" t="s">
        <v>3539</v>
      </c>
      <c r="I8" s="17" t="s">
        <v>34</v>
      </c>
      <c r="J8" s="24" t="s">
        <v>3540</v>
      </c>
      <c r="K8" s="18">
        <v>46150</v>
      </c>
      <c r="L8" s="17" t="s">
        <v>82</v>
      </c>
      <c r="M8" s="7" t="s">
        <v>25</v>
      </c>
      <c r="N8" s="17"/>
    </row>
    <row r="9" spans="1:14" ht="25.5" hidden="1" customHeight="1" x14ac:dyDescent="0.25">
      <c r="A9" s="17">
        <v>8</v>
      </c>
      <c r="B9" s="16" t="s">
        <v>3541</v>
      </c>
      <c r="C9" s="17">
        <v>3</v>
      </c>
      <c r="D9" s="17">
        <v>17.8</v>
      </c>
      <c r="E9" s="17">
        <v>11.5</v>
      </c>
      <c r="F9" s="16" t="s">
        <v>19</v>
      </c>
      <c r="G9" s="17" t="s">
        <v>3542</v>
      </c>
      <c r="H9" s="17" t="s">
        <v>3543</v>
      </c>
      <c r="I9" s="17" t="s">
        <v>22</v>
      </c>
      <c r="J9" s="24" t="s">
        <v>3544</v>
      </c>
      <c r="K9" s="18">
        <v>46137</v>
      </c>
      <c r="L9" s="17" t="s">
        <v>24</v>
      </c>
      <c r="M9" s="7" t="s">
        <v>25</v>
      </c>
      <c r="N9" s="17"/>
    </row>
    <row r="10" spans="1:14" ht="38.25" customHeight="1" x14ac:dyDescent="0.25">
      <c r="A10" s="17">
        <v>9</v>
      </c>
      <c r="B10" s="16" t="s">
        <v>3545</v>
      </c>
      <c r="C10" s="17">
        <v>1</v>
      </c>
      <c r="D10" s="17">
        <v>16.8</v>
      </c>
      <c r="E10" s="17">
        <v>10.7</v>
      </c>
      <c r="F10" s="16" t="s">
        <v>101</v>
      </c>
      <c r="G10" s="17" t="s">
        <v>3546</v>
      </c>
      <c r="H10" s="17" t="s">
        <v>3547</v>
      </c>
      <c r="I10" s="17" t="s">
        <v>34</v>
      </c>
      <c r="J10" s="24" t="s">
        <v>3548</v>
      </c>
      <c r="K10" s="18">
        <v>46137</v>
      </c>
      <c r="L10" s="17" t="s">
        <v>24</v>
      </c>
      <c r="M10" s="7" t="s">
        <v>25</v>
      </c>
      <c r="N10" s="17"/>
    </row>
    <row r="11" spans="1:14" ht="25.5" hidden="1" customHeight="1" x14ac:dyDescent="0.25">
      <c r="A11" s="17">
        <v>10</v>
      </c>
      <c r="B11" s="16" t="s">
        <v>3545</v>
      </c>
      <c r="C11" s="17">
        <v>2</v>
      </c>
      <c r="D11" s="17">
        <v>12.5</v>
      </c>
      <c r="E11" s="17">
        <v>10.6</v>
      </c>
      <c r="F11" s="16" t="s">
        <v>86</v>
      </c>
      <c r="G11" s="17" t="s">
        <v>3549</v>
      </c>
      <c r="H11" s="17" t="s">
        <v>3550</v>
      </c>
      <c r="I11" s="17" t="s">
        <v>267</v>
      </c>
      <c r="J11" s="24" t="s">
        <v>3551</v>
      </c>
      <c r="K11" s="18">
        <v>46150</v>
      </c>
      <c r="L11" s="17" t="s">
        <v>24</v>
      </c>
      <c r="M11" s="7" t="s">
        <v>25</v>
      </c>
      <c r="N11" s="17"/>
    </row>
    <row r="12" spans="1:14" ht="25.5" hidden="1" customHeight="1" x14ac:dyDescent="0.25">
      <c r="A12" s="17">
        <v>11</v>
      </c>
      <c r="B12" s="16" t="s">
        <v>3545</v>
      </c>
      <c r="C12" s="17">
        <v>3</v>
      </c>
      <c r="D12" s="17">
        <v>16.7</v>
      </c>
      <c r="E12" s="17"/>
      <c r="F12" s="16" t="s">
        <v>48</v>
      </c>
      <c r="G12" s="17" t="s">
        <v>3552</v>
      </c>
      <c r="H12" s="17" t="s">
        <v>3553</v>
      </c>
      <c r="I12" s="17" t="s">
        <v>51</v>
      </c>
      <c r="J12" s="24" t="s">
        <v>3554</v>
      </c>
      <c r="K12" s="18">
        <v>46137</v>
      </c>
      <c r="L12" s="17" t="s">
        <v>24</v>
      </c>
      <c r="M12" s="7" t="s">
        <v>25</v>
      </c>
      <c r="N12" s="17"/>
    </row>
    <row r="13" spans="1:14" ht="63.75" hidden="1" customHeight="1" x14ac:dyDescent="0.25">
      <c r="A13" s="17">
        <v>12</v>
      </c>
      <c r="B13" s="16" t="s">
        <v>3555</v>
      </c>
      <c r="C13" s="17">
        <v>2</v>
      </c>
      <c r="D13" s="17">
        <v>12.4</v>
      </c>
      <c r="E13" s="17">
        <v>10.6</v>
      </c>
      <c r="F13" s="16" t="s">
        <v>101</v>
      </c>
      <c r="G13" s="17" t="s">
        <v>3556</v>
      </c>
      <c r="H13" s="17" t="s">
        <v>3557</v>
      </c>
      <c r="I13" s="17" t="s">
        <v>293</v>
      </c>
      <c r="J13" s="24" t="s">
        <v>3558</v>
      </c>
      <c r="K13" s="18">
        <v>46137</v>
      </c>
      <c r="L13" s="17" t="s">
        <v>24</v>
      </c>
      <c r="M13" s="7" t="s">
        <v>25</v>
      </c>
      <c r="N13" s="17"/>
    </row>
    <row r="14" spans="1:14" ht="51" customHeight="1" x14ac:dyDescent="0.25">
      <c r="A14" s="17">
        <v>13</v>
      </c>
      <c r="B14" s="16" t="s">
        <v>3555</v>
      </c>
      <c r="C14" s="17">
        <v>3</v>
      </c>
      <c r="D14" s="17">
        <v>17.8</v>
      </c>
      <c r="E14" s="17">
        <v>10.9</v>
      </c>
      <c r="F14" s="16" t="s">
        <v>31</v>
      </c>
      <c r="G14" s="17" t="s">
        <v>3559</v>
      </c>
      <c r="H14" s="17" t="s">
        <v>3560</v>
      </c>
      <c r="I14" s="17" t="s">
        <v>34</v>
      </c>
      <c r="J14" s="24" t="s">
        <v>3561</v>
      </c>
      <c r="K14" s="18">
        <v>46148</v>
      </c>
      <c r="L14" s="17" t="s">
        <v>24</v>
      </c>
      <c r="M14" s="7" t="s">
        <v>25</v>
      </c>
      <c r="N14" s="17"/>
    </row>
    <row r="15" spans="1:14" ht="63.75" customHeight="1" x14ac:dyDescent="0.25">
      <c r="A15" s="17">
        <v>14</v>
      </c>
      <c r="B15" s="16" t="s">
        <v>3562</v>
      </c>
      <c r="C15" s="17">
        <v>1</v>
      </c>
      <c r="D15" s="17">
        <v>17.5</v>
      </c>
      <c r="E15" s="17"/>
      <c r="F15" s="16" t="s">
        <v>19</v>
      </c>
      <c r="G15" s="17" t="s">
        <v>3563</v>
      </c>
      <c r="H15" s="17" t="s">
        <v>3564</v>
      </c>
      <c r="I15" s="17" t="s">
        <v>34</v>
      </c>
      <c r="J15" s="24" t="s">
        <v>3565</v>
      </c>
      <c r="K15" s="18">
        <v>46144</v>
      </c>
      <c r="L15" s="17" t="s">
        <v>24</v>
      </c>
      <c r="M15" s="7" t="s">
        <v>25</v>
      </c>
      <c r="N15" s="17"/>
    </row>
    <row r="16" spans="1:14" ht="25.5" hidden="1" customHeight="1" x14ac:dyDescent="0.25">
      <c r="A16" s="17">
        <v>15</v>
      </c>
      <c r="B16" s="16" t="s">
        <v>3562</v>
      </c>
      <c r="C16" s="17">
        <v>2</v>
      </c>
      <c r="D16" s="17">
        <v>12.7</v>
      </c>
      <c r="E16" s="17">
        <v>11</v>
      </c>
      <c r="F16" s="16" t="s">
        <v>62</v>
      </c>
      <c r="G16" s="17" t="s">
        <v>3566</v>
      </c>
      <c r="H16" s="17" t="s">
        <v>3567</v>
      </c>
      <c r="I16" s="17" t="s">
        <v>28</v>
      </c>
      <c r="J16" s="24" t="s">
        <v>3568</v>
      </c>
      <c r="K16" s="18">
        <v>46135</v>
      </c>
      <c r="L16" s="17" t="s">
        <v>24</v>
      </c>
      <c r="M16" s="7" t="s">
        <v>25</v>
      </c>
      <c r="N16" s="17"/>
    </row>
    <row r="17" spans="1:14" ht="63.75" customHeight="1" x14ac:dyDescent="0.25">
      <c r="A17" s="17">
        <v>16</v>
      </c>
      <c r="B17" s="16" t="s">
        <v>3562</v>
      </c>
      <c r="C17" s="17">
        <v>3</v>
      </c>
      <c r="D17" s="17">
        <v>13.3</v>
      </c>
      <c r="E17" s="17">
        <v>10.8</v>
      </c>
      <c r="F17" s="16" t="s">
        <v>19</v>
      </c>
      <c r="G17" s="17" t="s">
        <v>3563</v>
      </c>
      <c r="H17" s="17" t="s">
        <v>3564</v>
      </c>
      <c r="I17" s="17" t="s">
        <v>34</v>
      </c>
      <c r="J17" s="24" t="s">
        <v>3565</v>
      </c>
      <c r="K17" s="18">
        <v>46144</v>
      </c>
      <c r="L17" s="17" t="s">
        <v>24</v>
      </c>
      <c r="M17" s="7" t="s">
        <v>25</v>
      </c>
      <c r="N17" s="17"/>
    </row>
    <row r="18" spans="1:14" ht="25.5" hidden="1" customHeight="1" x14ac:dyDescent="0.25">
      <c r="A18" s="17">
        <v>17</v>
      </c>
      <c r="B18" s="16" t="s">
        <v>3569</v>
      </c>
      <c r="C18" s="17">
        <v>1</v>
      </c>
      <c r="D18" s="17">
        <v>10.7</v>
      </c>
      <c r="E18" s="17"/>
      <c r="F18" s="16" t="s">
        <v>19</v>
      </c>
      <c r="G18" s="17" t="s">
        <v>3570</v>
      </c>
      <c r="H18" s="17" t="s">
        <v>3571</v>
      </c>
      <c r="I18" s="17" t="s">
        <v>28</v>
      </c>
      <c r="J18" s="24" t="s">
        <v>3572</v>
      </c>
      <c r="K18" s="18">
        <v>46135</v>
      </c>
      <c r="L18" s="17" t="s">
        <v>24</v>
      </c>
      <c r="M18" s="7" t="s">
        <v>25</v>
      </c>
      <c r="N18" s="17"/>
    </row>
    <row r="19" spans="1:14" ht="25.5" hidden="1" customHeight="1" x14ac:dyDescent="0.25">
      <c r="A19" s="17">
        <v>18</v>
      </c>
      <c r="B19" s="16" t="s">
        <v>3569</v>
      </c>
      <c r="C19" s="17">
        <v>2</v>
      </c>
      <c r="D19" s="17">
        <v>16.399999999999999</v>
      </c>
      <c r="E19" s="17"/>
      <c r="F19" s="16" t="s">
        <v>19</v>
      </c>
      <c r="G19" s="17" t="s">
        <v>3570</v>
      </c>
      <c r="H19" s="17" t="s">
        <v>3571</v>
      </c>
      <c r="I19" s="17" t="s">
        <v>28</v>
      </c>
      <c r="J19" s="24" t="s">
        <v>3572</v>
      </c>
      <c r="K19" s="18">
        <v>46135</v>
      </c>
      <c r="L19" s="17" t="s">
        <v>24</v>
      </c>
      <c r="M19" s="7" t="s">
        <v>25</v>
      </c>
      <c r="N19" s="17"/>
    </row>
    <row r="20" spans="1:14" ht="25.5" hidden="1" customHeight="1" x14ac:dyDescent="0.25">
      <c r="A20" s="17">
        <v>19</v>
      </c>
      <c r="B20" s="16" t="s">
        <v>3569</v>
      </c>
      <c r="C20" s="17">
        <v>3</v>
      </c>
      <c r="D20" s="17">
        <v>9.6</v>
      </c>
      <c r="E20" s="17">
        <v>12.9</v>
      </c>
      <c r="F20" s="16" t="s">
        <v>19</v>
      </c>
      <c r="G20" s="17" t="s">
        <v>3570</v>
      </c>
      <c r="H20" s="17" t="s">
        <v>3571</v>
      </c>
      <c r="I20" s="17" t="s">
        <v>28</v>
      </c>
      <c r="J20" s="24" t="s">
        <v>3572</v>
      </c>
      <c r="K20" s="18">
        <v>46135</v>
      </c>
      <c r="L20" s="17" t="s">
        <v>24</v>
      </c>
      <c r="M20" s="7" t="s">
        <v>25</v>
      </c>
      <c r="N20" s="17"/>
    </row>
    <row r="21" spans="1:14" hidden="1" x14ac:dyDescent="0.25">
      <c r="A21" s="22"/>
      <c r="B21" s="23"/>
      <c r="C21" s="22"/>
      <c r="D21" s="22"/>
      <c r="E21" s="22"/>
      <c r="F21" s="23"/>
      <c r="G21" s="22"/>
      <c r="H21" s="22"/>
      <c r="I21" s="22"/>
      <c r="J21" s="31"/>
      <c r="K21" s="27"/>
      <c r="L21" s="22"/>
      <c r="M21" s="22"/>
      <c r="N21" s="22"/>
    </row>
    <row r="22" spans="1:14" hidden="1" x14ac:dyDescent="0.25">
      <c r="A22" s="22"/>
      <c r="B22" s="23"/>
      <c r="C22" s="22"/>
      <c r="D22" s="22"/>
      <c r="E22" s="22"/>
      <c r="F22" s="23"/>
      <c r="G22" s="22"/>
      <c r="H22" s="22"/>
      <c r="I22" s="22"/>
      <c r="J22" s="31"/>
      <c r="K22" s="27"/>
      <c r="L22" s="22"/>
      <c r="M22" s="22"/>
      <c r="N22" s="22"/>
    </row>
    <row r="23" spans="1:14" hidden="1" x14ac:dyDescent="0.25">
      <c r="A23" s="22"/>
      <c r="B23" s="23"/>
      <c r="C23" s="22"/>
      <c r="D23" s="22"/>
      <c r="E23" s="22"/>
      <c r="F23" s="23"/>
      <c r="G23" s="22"/>
      <c r="H23" s="22"/>
      <c r="I23" s="22"/>
      <c r="J23" s="31"/>
      <c r="K23" s="27"/>
      <c r="L23" s="22"/>
      <c r="M23" s="22"/>
      <c r="N23" s="22"/>
    </row>
    <row r="24" spans="1:14" hidden="1" x14ac:dyDescent="0.25">
      <c r="A24" s="22"/>
      <c r="B24" s="23"/>
      <c r="C24" s="22"/>
      <c r="D24" s="22"/>
      <c r="E24" s="22"/>
      <c r="F24" s="23"/>
      <c r="G24" s="22"/>
      <c r="H24" s="22"/>
      <c r="I24" s="22"/>
      <c r="J24" s="31"/>
      <c r="K24" s="27"/>
      <c r="L24" s="22"/>
      <c r="M24" s="22"/>
      <c r="N24" s="22"/>
    </row>
    <row r="25" spans="1:14" hidden="1" x14ac:dyDescent="0.25">
      <c r="A25" s="22"/>
      <c r="B25" s="23"/>
      <c r="C25" s="22"/>
      <c r="D25" s="22"/>
      <c r="E25" s="22"/>
      <c r="F25" s="23"/>
      <c r="G25" s="22"/>
      <c r="H25" s="22"/>
      <c r="I25" s="22"/>
      <c r="J25" s="31"/>
      <c r="K25" s="27"/>
      <c r="L25" s="22"/>
      <c r="M25" s="22"/>
      <c r="N25" s="22"/>
    </row>
    <row r="26" spans="1:14" hidden="1" x14ac:dyDescent="0.25">
      <c r="A26" s="22"/>
      <c r="B26" s="23"/>
      <c r="C26" s="22"/>
      <c r="D26" s="22"/>
      <c r="E26" s="22"/>
      <c r="F26" s="23"/>
      <c r="G26" s="22"/>
      <c r="H26" s="22"/>
      <c r="I26" s="22"/>
      <c r="J26" s="31"/>
      <c r="K26" s="27"/>
      <c r="L26" s="22"/>
      <c r="M26" s="22"/>
      <c r="N26" s="22"/>
    </row>
    <row r="27" spans="1:14" hidden="1" x14ac:dyDescent="0.25">
      <c r="A27" s="22"/>
      <c r="B27" s="23"/>
      <c r="C27" s="22"/>
      <c r="D27" s="22"/>
      <c r="E27" s="22"/>
      <c r="F27" s="23"/>
      <c r="G27" s="22"/>
      <c r="H27" s="22"/>
      <c r="I27" s="22"/>
      <c r="J27" s="31"/>
      <c r="K27" s="27"/>
      <c r="L27" s="22"/>
      <c r="M27" s="22"/>
      <c r="N27" s="22"/>
    </row>
    <row r="28" spans="1:14" hidden="1" x14ac:dyDescent="0.25">
      <c r="A28" s="22"/>
      <c r="B28" s="23"/>
      <c r="C28" s="22"/>
      <c r="D28" s="22"/>
      <c r="E28" s="22"/>
      <c r="F28" s="23"/>
      <c r="G28" s="22"/>
      <c r="H28" s="22"/>
      <c r="I28" s="22"/>
      <c r="J28" s="31"/>
      <c r="K28" s="27"/>
      <c r="L28" s="22"/>
      <c r="M28" s="22"/>
      <c r="N28" s="22"/>
    </row>
    <row r="29" spans="1:14" hidden="1" x14ac:dyDescent="0.25">
      <c r="A29" s="22"/>
      <c r="B29" s="23"/>
      <c r="C29" s="22"/>
      <c r="D29" s="22"/>
      <c r="E29" s="22"/>
      <c r="F29" s="23"/>
      <c r="G29" s="22"/>
      <c r="H29" s="22"/>
      <c r="I29" s="22"/>
      <c r="J29" s="31"/>
      <c r="K29" s="27"/>
      <c r="L29" s="22"/>
      <c r="M29" s="22"/>
      <c r="N29" s="22"/>
    </row>
    <row r="30" spans="1:14" hidden="1" x14ac:dyDescent="0.25">
      <c r="A30" s="22"/>
      <c r="B30" s="23"/>
      <c r="C30" s="22"/>
      <c r="D30" s="22"/>
      <c r="E30" s="22"/>
      <c r="F30" s="23"/>
      <c r="G30" s="22"/>
      <c r="H30" s="22"/>
      <c r="I30" s="22"/>
      <c r="J30" s="31"/>
      <c r="K30" s="27"/>
      <c r="L30" s="22"/>
      <c r="M30" s="22"/>
      <c r="N30" s="22"/>
    </row>
    <row r="31" spans="1:14" hidden="1" x14ac:dyDescent="0.25">
      <c r="A31" s="22"/>
      <c r="B31" s="23"/>
      <c r="C31" s="22"/>
      <c r="D31" s="22"/>
      <c r="E31" s="22"/>
      <c r="F31" s="23"/>
      <c r="G31" s="22"/>
      <c r="H31" s="22"/>
      <c r="I31" s="22"/>
      <c r="J31" s="31"/>
      <c r="K31" s="27"/>
      <c r="L31" s="22"/>
      <c r="M31" s="22"/>
      <c r="N31" s="22"/>
    </row>
    <row r="32" spans="1:14" hidden="1" x14ac:dyDescent="0.25">
      <c r="A32" s="22"/>
      <c r="B32" s="23"/>
      <c r="C32" s="22"/>
      <c r="D32" s="22"/>
      <c r="E32" s="22"/>
      <c r="F32" s="23"/>
      <c r="G32" s="22"/>
      <c r="H32" s="22"/>
      <c r="I32" s="22"/>
      <c r="J32" s="31"/>
      <c r="K32" s="27"/>
      <c r="L32" s="22"/>
      <c r="M32" s="22"/>
      <c r="N32" s="22"/>
    </row>
    <row r="33" spans="1:14" hidden="1" x14ac:dyDescent="0.25">
      <c r="A33" s="22"/>
      <c r="B33" s="23"/>
      <c r="C33" s="22"/>
      <c r="D33" s="22"/>
      <c r="E33" s="22"/>
      <c r="F33" s="23"/>
      <c r="G33" s="22"/>
      <c r="H33" s="22"/>
      <c r="I33" s="22"/>
      <c r="J33" s="31"/>
      <c r="K33" s="27"/>
      <c r="L33" s="22"/>
      <c r="M33" s="22"/>
      <c r="N33" s="22"/>
    </row>
    <row r="34" spans="1:14" hidden="1" x14ac:dyDescent="0.25">
      <c r="A34" s="22"/>
      <c r="B34" s="23"/>
      <c r="C34" s="22"/>
      <c r="D34" s="22"/>
      <c r="E34" s="22"/>
      <c r="F34" s="23"/>
      <c r="G34" s="22"/>
      <c r="H34" s="22"/>
      <c r="I34" s="22"/>
      <c r="J34" s="31"/>
      <c r="K34" s="27"/>
      <c r="L34" s="22"/>
      <c r="M34" s="22"/>
      <c r="N34" s="22"/>
    </row>
    <row r="35" spans="1:14" hidden="1" x14ac:dyDescent="0.25">
      <c r="A35" s="22"/>
      <c r="B35" s="23"/>
      <c r="C35" s="22"/>
      <c r="D35" s="22"/>
      <c r="E35" s="22"/>
      <c r="F35" s="23"/>
      <c r="G35" s="22"/>
      <c r="H35" s="22"/>
      <c r="I35" s="22"/>
      <c r="J35" s="31"/>
      <c r="K35" s="27"/>
      <c r="L35" s="22"/>
      <c r="M35" s="22"/>
      <c r="N35" s="22"/>
    </row>
    <row r="36" spans="1:14" hidden="1" x14ac:dyDescent="0.25">
      <c r="A36" s="22"/>
      <c r="B36" s="23"/>
      <c r="C36" s="22"/>
      <c r="D36" s="22"/>
      <c r="E36" s="22"/>
      <c r="F36" s="23"/>
      <c r="G36" s="22"/>
      <c r="H36" s="22"/>
      <c r="I36" s="22"/>
      <c r="J36" s="31"/>
      <c r="K36" s="27"/>
      <c r="L36" s="22"/>
      <c r="M36" s="22"/>
      <c r="N36" s="22"/>
    </row>
    <row r="37" spans="1:14" hidden="1" x14ac:dyDescent="0.25">
      <c r="A37" s="22"/>
      <c r="B37" s="23"/>
      <c r="C37" s="22"/>
      <c r="D37" s="22"/>
      <c r="E37" s="22"/>
      <c r="F37" s="23"/>
      <c r="G37" s="22"/>
      <c r="H37" s="22"/>
      <c r="I37" s="22"/>
      <c r="J37" s="31"/>
      <c r="K37" s="27"/>
      <c r="L37" s="22"/>
      <c r="M37" s="22"/>
      <c r="N37" s="22"/>
    </row>
    <row r="38" spans="1:14" hidden="1" x14ac:dyDescent="0.25">
      <c r="A38" s="22"/>
      <c r="B38" s="23"/>
      <c r="C38" s="22"/>
      <c r="D38" s="22"/>
      <c r="E38" s="22"/>
      <c r="F38" s="23"/>
      <c r="G38" s="22"/>
      <c r="H38" s="22"/>
      <c r="I38" s="22"/>
      <c r="J38" s="31"/>
      <c r="K38" s="27"/>
      <c r="L38" s="22"/>
      <c r="M38" s="22"/>
      <c r="N38" s="22"/>
    </row>
    <row r="39" spans="1:14" hidden="1" x14ac:dyDescent="0.25">
      <c r="A39" s="22"/>
      <c r="B39" s="23"/>
      <c r="C39" s="22"/>
      <c r="D39" s="22"/>
      <c r="E39" s="22"/>
      <c r="F39" s="23"/>
      <c r="G39" s="22"/>
      <c r="H39" s="22"/>
      <c r="I39" s="22"/>
      <c r="J39" s="31"/>
      <c r="K39" s="27"/>
      <c r="L39" s="22"/>
      <c r="M39" s="22"/>
      <c r="N39" s="22"/>
    </row>
    <row r="40" spans="1:14" hidden="1" x14ac:dyDescent="0.25">
      <c r="A40" s="22"/>
      <c r="B40" s="23"/>
      <c r="C40" s="22"/>
      <c r="D40" s="22"/>
      <c r="E40" s="22"/>
      <c r="F40" s="23"/>
      <c r="G40" s="22"/>
      <c r="H40" s="22"/>
      <c r="I40" s="22"/>
      <c r="J40" s="31"/>
      <c r="K40" s="27"/>
      <c r="L40" s="22"/>
      <c r="M40" s="22"/>
      <c r="N40" s="22"/>
    </row>
    <row r="41" spans="1:14" hidden="1" x14ac:dyDescent="0.25">
      <c r="A41" s="22"/>
      <c r="B41" s="23"/>
      <c r="C41" s="22"/>
      <c r="D41" s="22"/>
      <c r="E41" s="22"/>
      <c r="F41" s="23"/>
      <c r="G41" s="22"/>
      <c r="H41" s="22"/>
      <c r="I41" s="22"/>
      <c r="J41" s="31"/>
      <c r="K41" s="27"/>
      <c r="L41" s="22"/>
      <c r="M41" s="22"/>
      <c r="N41" s="22"/>
    </row>
    <row r="42" spans="1:14" hidden="1" x14ac:dyDescent="0.25">
      <c r="A42" s="22"/>
      <c r="B42" s="23"/>
      <c r="C42" s="22"/>
      <c r="D42" s="22"/>
      <c r="E42" s="22"/>
      <c r="F42" s="23"/>
      <c r="G42" s="22"/>
      <c r="H42" s="22"/>
      <c r="I42" s="22"/>
      <c r="J42" s="31"/>
      <c r="K42" s="27"/>
      <c r="L42" s="22"/>
      <c r="M42" s="22"/>
      <c r="N42" s="22"/>
    </row>
    <row r="43" spans="1:14" hidden="1" x14ac:dyDescent="0.25">
      <c r="A43" s="22"/>
      <c r="B43" s="23"/>
      <c r="C43" s="22"/>
      <c r="D43" s="22"/>
      <c r="E43" s="22"/>
      <c r="F43" s="23"/>
      <c r="G43" s="22"/>
      <c r="H43" s="22"/>
      <c r="I43" s="22"/>
      <c r="J43" s="31"/>
      <c r="K43" s="27"/>
      <c r="L43" s="22"/>
      <c r="M43" s="22"/>
      <c r="N43" s="22"/>
    </row>
    <row r="44" spans="1:14" hidden="1" x14ac:dyDescent="0.25">
      <c r="A44" s="22"/>
      <c r="B44" s="23"/>
      <c r="C44" s="22"/>
      <c r="D44" s="22"/>
      <c r="E44" s="22"/>
      <c r="F44" s="23"/>
      <c r="G44" s="22"/>
      <c r="H44" s="22"/>
      <c r="I44" s="22"/>
      <c r="J44" s="31"/>
      <c r="K44" s="27"/>
      <c r="L44" s="22"/>
      <c r="M44" s="22"/>
      <c r="N44" s="22"/>
    </row>
    <row r="45" spans="1:14" hidden="1" x14ac:dyDescent="0.25">
      <c r="A45" s="22"/>
      <c r="B45" s="23"/>
      <c r="C45" s="22"/>
      <c r="D45" s="22"/>
      <c r="E45" s="22"/>
      <c r="F45" s="23"/>
      <c r="G45" s="22"/>
      <c r="H45" s="22"/>
      <c r="I45" s="22"/>
      <c r="J45" s="31"/>
      <c r="K45" s="27"/>
      <c r="L45" s="22"/>
      <c r="M45" s="22"/>
      <c r="N45" s="22"/>
    </row>
    <row r="46" spans="1:14" hidden="1" x14ac:dyDescent="0.25">
      <c r="A46" s="22"/>
      <c r="B46" s="23"/>
      <c r="C46" s="22"/>
      <c r="D46" s="22"/>
      <c r="E46" s="22"/>
      <c r="F46" s="23"/>
      <c r="G46" s="22"/>
      <c r="H46" s="22"/>
      <c r="I46" s="22"/>
      <c r="J46" s="31"/>
      <c r="K46" s="27"/>
      <c r="L46" s="22"/>
      <c r="M46" s="22"/>
      <c r="N46" s="22"/>
    </row>
    <row r="47" spans="1:14" hidden="1" x14ac:dyDescent="0.25">
      <c r="A47" s="22"/>
      <c r="B47" s="23"/>
      <c r="C47" s="22"/>
      <c r="D47" s="22"/>
      <c r="E47" s="22"/>
      <c r="F47" s="23"/>
      <c r="G47" s="22"/>
      <c r="H47" s="22"/>
      <c r="I47" s="22"/>
      <c r="J47" s="31"/>
      <c r="K47" s="27"/>
      <c r="L47" s="22"/>
      <c r="M47" s="22"/>
      <c r="N47" s="22"/>
    </row>
    <row r="48" spans="1:14" hidden="1" x14ac:dyDescent="0.25">
      <c r="A48" s="22"/>
      <c r="B48" s="23"/>
      <c r="C48" s="22"/>
      <c r="D48" s="22"/>
      <c r="E48" s="22"/>
      <c r="F48" s="23"/>
      <c r="G48" s="22"/>
      <c r="H48" s="22"/>
      <c r="I48" s="22"/>
      <c r="J48" s="31"/>
      <c r="K48" s="27"/>
      <c r="L48" s="22"/>
      <c r="M48" s="22"/>
      <c r="N48" s="22"/>
    </row>
    <row r="49" spans="1:14" hidden="1" x14ac:dyDescent="0.25">
      <c r="A49" s="22"/>
      <c r="B49" s="23"/>
      <c r="C49" s="22"/>
      <c r="D49" s="22"/>
      <c r="E49" s="22"/>
      <c r="F49" s="23"/>
      <c r="G49" s="22"/>
      <c r="H49" s="22"/>
      <c r="I49" s="22"/>
      <c r="J49" s="31"/>
      <c r="K49" s="27"/>
      <c r="L49" s="22"/>
      <c r="M49" s="22"/>
      <c r="N49" s="22"/>
    </row>
    <row r="50" spans="1:14" hidden="1" x14ac:dyDescent="0.25">
      <c r="A50" s="22"/>
      <c r="B50" s="23"/>
      <c r="C50" s="22"/>
      <c r="D50" s="23"/>
      <c r="E50" s="23"/>
      <c r="F50" s="23"/>
      <c r="G50" s="22"/>
      <c r="H50" s="22"/>
      <c r="I50" s="22"/>
      <c r="J50" s="31"/>
      <c r="K50" s="22"/>
      <c r="L50" s="22"/>
      <c r="M50" s="22"/>
      <c r="N50" s="22"/>
    </row>
    <row r="51" spans="1:14" hidden="1" x14ac:dyDescent="0.25">
      <c r="A51" s="22"/>
      <c r="B51" s="23"/>
      <c r="C51" s="22"/>
      <c r="D51" s="22"/>
      <c r="E51" s="22"/>
      <c r="F51" s="23"/>
      <c r="G51" s="22"/>
      <c r="H51" s="22"/>
      <c r="I51" s="22"/>
      <c r="J51" s="31"/>
      <c r="K51" s="22"/>
      <c r="L51" s="22"/>
      <c r="M51" s="22"/>
      <c r="N51" s="22"/>
    </row>
    <row r="52" spans="1:14" hidden="1" x14ac:dyDescent="0.25">
      <c r="A52" s="22"/>
      <c r="B52" s="23"/>
      <c r="C52" s="22"/>
      <c r="D52" s="22"/>
      <c r="E52" s="22"/>
      <c r="F52" s="23"/>
      <c r="G52" s="22"/>
      <c r="H52" s="22"/>
      <c r="I52" s="22"/>
      <c r="J52" s="31"/>
      <c r="K52" s="22"/>
      <c r="L52" s="22"/>
      <c r="M52" s="22"/>
      <c r="N52" s="22"/>
    </row>
    <row r="53" spans="1:14" hidden="1" x14ac:dyDescent="0.25">
      <c r="A53" s="22"/>
      <c r="B53" s="23"/>
      <c r="C53" s="22"/>
      <c r="D53" s="22"/>
      <c r="E53" s="22"/>
      <c r="F53" s="23"/>
      <c r="G53" s="22"/>
      <c r="H53" s="22"/>
      <c r="I53" s="22"/>
      <c r="J53" s="31"/>
      <c r="K53" s="22"/>
      <c r="L53" s="22"/>
      <c r="M53" s="22"/>
      <c r="N53" s="22"/>
    </row>
    <row r="54" spans="1:14" hidden="1" x14ac:dyDescent="0.25">
      <c r="A54" s="22"/>
      <c r="B54" s="23"/>
      <c r="C54" s="22"/>
      <c r="D54" s="22"/>
      <c r="E54" s="22"/>
      <c r="F54" s="23"/>
      <c r="G54" s="22"/>
      <c r="H54" s="22"/>
      <c r="I54" s="22"/>
      <c r="J54" s="31"/>
      <c r="K54" s="22"/>
      <c r="L54" s="22"/>
      <c r="M54" s="22"/>
      <c r="N54" s="22"/>
    </row>
    <row r="55" spans="1:14" hidden="1" x14ac:dyDescent="0.25">
      <c r="A55" s="22"/>
      <c r="B55" s="23"/>
      <c r="C55" s="22"/>
      <c r="D55" s="22"/>
      <c r="E55" s="22"/>
      <c r="F55" s="23"/>
      <c r="G55" s="22"/>
      <c r="H55" s="22"/>
      <c r="I55" s="22"/>
      <c r="J55" s="31"/>
      <c r="K55" s="22"/>
      <c r="L55" s="22"/>
      <c r="M55" s="22"/>
      <c r="N55" s="22"/>
    </row>
    <row r="56" spans="1:14" hidden="1" x14ac:dyDescent="0.25">
      <c r="A56" s="22"/>
      <c r="B56" s="23"/>
      <c r="C56" s="22"/>
      <c r="D56" s="22"/>
      <c r="E56" s="22"/>
      <c r="F56" s="23"/>
      <c r="G56" s="22"/>
      <c r="H56" s="22"/>
      <c r="I56" s="22"/>
      <c r="J56" s="31"/>
      <c r="K56" s="22"/>
      <c r="L56" s="22"/>
      <c r="M56" s="22"/>
      <c r="N56" s="22"/>
    </row>
    <row r="57" spans="1:14" hidden="1" x14ac:dyDescent="0.25">
      <c r="A57" s="22"/>
      <c r="B57" s="23"/>
      <c r="C57" s="22"/>
      <c r="D57" s="22"/>
      <c r="E57" s="22"/>
      <c r="F57" s="23"/>
      <c r="G57" s="22"/>
      <c r="H57" s="22"/>
      <c r="I57" s="22"/>
      <c r="J57" s="31"/>
      <c r="K57" s="22"/>
      <c r="L57" s="22"/>
      <c r="M57" s="22"/>
      <c r="N57" s="22"/>
    </row>
    <row r="58" spans="1:14" hidden="1" x14ac:dyDescent="0.25">
      <c r="A58" s="22"/>
      <c r="B58" s="23"/>
      <c r="C58" s="22"/>
      <c r="D58" s="22"/>
      <c r="E58" s="22"/>
      <c r="F58" s="23"/>
      <c r="G58" s="22"/>
      <c r="H58" s="22"/>
      <c r="I58" s="22"/>
      <c r="J58" s="31"/>
      <c r="K58" s="22"/>
      <c r="L58" s="22"/>
      <c r="M58" s="22"/>
      <c r="N58" s="22"/>
    </row>
    <row r="59" spans="1:14" hidden="1" x14ac:dyDescent="0.25">
      <c r="A59" s="22"/>
      <c r="B59" s="23"/>
      <c r="C59" s="22"/>
      <c r="D59" s="22"/>
      <c r="E59" s="22"/>
      <c r="F59" s="23"/>
      <c r="G59" s="22"/>
      <c r="H59" s="22"/>
      <c r="I59" s="22"/>
      <c r="J59" s="31"/>
      <c r="K59" s="22"/>
      <c r="L59" s="22"/>
      <c r="M59" s="22"/>
      <c r="N59" s="22"/>
    </row>
    <row r="60" spans="1:14" hidden="1" x14ac:dyDescent="0.25">
      <c r="A60" s="22"/>
      <c r="B60" s="23"/>
      <c r="C60" s="22"/>
      <c r="D60" s="22"/>
      <c r="E60" s="22"/>
      <c r="F60" s="23"/>
      <c r="G60" s="22"/>
      <c r="H60" s="22"/>
      <c r="I60" s="22"/>
      <c r="J60" s="31"/>
      <c r="K60" s="22"/>
      <c r="L60" s="22"/>
      <c r="M60" s="22"/>
      <c r="N60" s="22"/>
    </row>
    <row r="61" spans="1:14" hidden="1" x14ac:dyDescent="0.25">
      <c r="A61" s="22"/>
      <c r="B61" s="23"/>
      <c r="C61" s="22"/>
      <c r="D61" s="22"/>
      <c r="E61" s="22"/>
      <c r="F61" s="23"/>
      <c r="G61" s="22"/>
      <c r="H61" s="22"/>
      <c r="I61" s="22"/>
      <c r="J61" s="31"/>
      <c r="K61" s="22"/>
      <c r="L61" s="22"/>
      <c r="M61" s="22"/>
      <c r="N61" s="22"/>
    </row>
    <row r="62" spans="1:14" hidden="1" x14ac:dyDescent="0.25">
      <c r="A62" s="22"/>
      <c r="B62" s="23"/>
      <c r="C62" s="22"/>
      <c r="D62" s="22"/>
      <c r="E62" s="22"/>
      <c r="F62" s="23"/>
      <c r="G62" s="22"/>
      <c r="H62" s="22"/>
      <c r="I62" s="22"/>
      <c r="J62" s="31"/>
      <c r="K62" s="22"/>
      <c r="L62" s="22"/>
      <c r="M62" s="22"/>
      <c r="N62" s="22"/>
    </row>
    <row r="63" spans="1:14" hidden="1" x14ac:dyDescent="0.25">
      <c r="A63" s="22"/>
      <c r="B63" s="23"/>
      <c r="C63" s="22"/>
      <c r="D63" s="22"/>
      <c r="E63" s="22"/>
      <c r="F63" s="23"/>
      <c r="G63" s="22"/>
      <c r="H63" s="22"/>
      <c r="I63" s="22"/>
      <c r="J63" s="31"/>
      <c r="K63" s="22"/>
      <c r="L63" s="22"/>
      <c r="M63" s="22"/>
      <c r="N63" s="22"/>
    </row>
    <row r="64" spans="1:14" hidden="1" x14ac:dyDescent="0.25">
      <c r="A64" s="22"/>
      <c r="B64" s="23"/>
      <c r="C64" s="22"/>
      <c r="D64" s="22"/>
      <c r="E64" s="22"/>
      <c r="F64" s="23"/>
      <c r="G64" s="22"/>
      <c r="H64" s="22"/>
      <c r="I64" s="22"/>
      <c r="J64" s="31"/>
      <c r="K64" s="22"/>
      <c r="L64" s="22"/>
      <c r="M64" s="22"/>
      <c r="N64" s="22"/>
    </row>
    <row r="65" spans="1:14" hidden="1" x14ac:dyDescent="0.25">
      <c r="A65" s="22"/>
      <c r="B65" s="23"/>
      <c r="C65" s="22"/>
      <c r="D65" s="22"/>
      <c r="E65" s="22"/>
      <c r="F65" s="23"/>
      <c r="G65" s="22"/>
      <c r="H65" s="22"/>
      <c r="I65" s="22"/>
      <c r="J65" s="31"/>
      <c r="K65" s="22"/>
      <c r="L65" s="22"/>
      <c r="M65" s="22"/>
      <c r="N65" s="22"/>
    </row>
    <row r="66" spans="1:14" hidden="1" x14ac:dyDescent="0.25">
      <c r="A66" s="22"/>
      <c r="B66" s="23"/>
      <c r="C66" s="22"/>
      <c r="D66" s="22"/>
      <c r="E66" s="22"/>
      <c r="F66" s="23"/>
      <c r="G66" s="22"/>
      <c r="H66" s="22"/>
      <c r="I66" s="22"/>
      <c r="J66" s="31"/>
      <c r="K66" s="22"/>
      <c r="L66" s="22"/>
      <c r="M66" s="22"/>
      <c r="N66" s="22"/>
    </row>
    <row r="67" spans="1:14" hidden="1" x14ac:dyDescent="0.25">
      <c r="A67" s="22"/>
      <c r="B67" s="23"/>
      <c r="C67" s="22"/>
      <c r="D67" s="22"/>
      <c r="E67" s="22"/>
      <c r="F67" s="23"/>
      <c r="G67" s="22"/>
      <c r="H67" s="22"/>
      <c r="I67" s="22"/>
      <c r="J67" s="31"/>
      <c r="K67" s="22"/>
      <c r="L67" s="22"/>
      <c r="M67" s="22"/>
      <c r="N67" s="22"/>
    </row>
    <row r="68" spans="1:14" hidden="1" x14ac:dyDescent="0.25">
      <c r="A68" s="22"/>
      <c r="B68" s="23"/>
      <c r="C68" s="22"/>
      <c r="D68" s="22"/>
      <c r="E68" s="22"/>
      <c r="F68" s="23"/>
      <c r="G68" s="22"/>
      <c r="H68" s="22"/>
      <c r="I68" s="22"/>
      <c r="J68" s="31"/>
      <c r="K68" s="22"/>
      <c r="L68" s="22"/>
      <c r="M68" s="22"/>
      <c r="N68" s="22"/>
    </row>
    <row r="69" spans="1:14" hidden="1" x14ac:dyDescent="0.25">
      <c r="A69" s="22"/>
      <c r="B69" s="23"/>
      <c r="C69" s="22"/>
      <c r="D69" s="22"/>
      <c r="E69" s="22"/>
      <c r="F69" s="23"/>
      <c r="G69" s="22"/>
      <c r="H69" s="22"/>
      <c r="I69" s="22"/>
      <c r="J69" s="31"/>
      <c r="K69" s="22"/>
      <c r="L69" s="22"/>
      <c r="M69" s="22"/>
      <c r="N69" s="22"/>
    </row>
    <row r="70" spans="1:14" hidden="1" x14ac:dyDescent="0.25">
      <c r="A70" s="22"/>
      <c r="B70" s="23"/>
      <c r="C70" s="22"/>
      <c r="D70" s="22"/>
      <c r="E70" s="22"/>
      <c r="F70" s="23"/>
      <c r="G70" s="22"/>
      <c r="H70" s="22"/>
      <c r="I70" s="22"/>
      <c r="J70" s="31"/>
      <c r="K70" s="22"/>
      <c r="L70" s="22"/>
      <c r="M70" s="22"/>
      <c r="N70" s="22"/>
    </row>
    <row r="71" spans="1:14" hidden="1" x14ac:dyDescent="0.25">
      <c r="A71" s="22"/>
      <c r="B71" s="23"/>
      <c r="C71" s="22"/>
      <c r="D71" s="22"/>
      <c r="E71" s="22"/>
      <c r="F71" s="23"/>
      <c r="G71" s="22"/>
      <c r="H71" s="22"/>
      <c r="I71" s="22"/>
      <c r="J71" s="31"/>
      <c r="K71" s="22"/>
      <c r="L71" s="22"/>
      <c r="M71" s="22"/>
      <c r="N71" s="22"/>
    </row>
    <row r="72" spans="1:14" hidden="1" x14ac:dyDescent="0.25">
      <c r="A72" s="22"/>
      <c r="B72" s="23"/>
      <c r="C72" s="22"/>
      <c r="D72" s="22"/>
      <c r="E72" s="22"/>
      <c r="F72" s="23"/>
      <c r="G72" s="22"/>
      <c r="H72" s="22"/>
      <c r="I72" s="22"/>
      <c r="J72" s="31"/>
      <c r="K72" s="22"/>
      <c r="L72" s="22"/>
      <c r="M72" s="22"/>
      <c r="N72" s="22"/>
    </row>
    <row r="73" spans="1:14" hidden="1" x14ac:dyDescent="0.25">
      <c r="A73" s="22"/>
      <c r="B73" s="23"/>
      <c r="C73" s="22"/>
      <c r="D73" s="22"/>
      <c r="E73" s="22"/>
      <c r="F73" s="23"/>
      <c r="G73" s="22"/>
      <c r="H73" s="22"/>
      <c r="I73" s="22"/>
      <c r="J73" s="31"/>
      <c r="K73" s="22"/>
      <c r="L73" s="22"/>
      <c r="M73" s="22"/>
      <c r="N73" s="22"/>
    </row>
    <row r="74" spans="1:14" hidden="1" x14ac:dyDescent="0.25">
      <c r="A74" s="22"/>
      <c r="B74" s="23"/>
      <c r="C74" s="22"/>
      <c r="D74" s="22"/>
      <c r="E74" s="22"/>
      <c r="F74" s="23"/>
      <c r="G74" s="22"/>
      <c r="H74" s="22"/>
      <c r="I74" s="22"/>
      <c r="J74" s="31"/>
      <c r="K74" s="22"/>
      <c r="L74" s="22"/>
      <c r="M74" s="22"/>
      <c r="N74" s="22"/>
    </row>
    <row r="75" spans="1:14" hidden="1" x14ac:dyDescent="0.25">
      <c r="A75" s="22"/>
      <c r="B75" s="23"/>
      <c r="C75" s="22"/>
      <c r="D75" s="22"/>
      <c r="E75" s="22"/>
      <c r="F75" s="23"/>
      <c r="G75" s="22"/>
      <c r="H75" s="22"/>
      <c r="I75" s="22"/>
      <c r="J75" s="31"/>
      <c r="K75" s="22"/>
      <c r="L75" s="22"/>
      <c r="M75" s="22"/>
      <c r="N75" s="22"/>
    </row>
    <row r="76" spans="1:14" hidden="1" x14ac:dyDescent="0.25">
      <c r="A76" s="22"/>
      <c r="B76" s="23"/>
      <c r="C76" s="22"/>
      <c r="D76" s="22"/>
      <c r="E76" s="22"/>
      <c r="F76" s="23"/>
      <c r="G76" s="22"/>
      <c r="H76" s="22"/>
      <c r="I76" s="22"/>
      <c r="J76" s="31"/>
      <c r="K76" s="22"/>
      <c r="L76" s="22"/>
      <c r="M76" s="22"/>
      <c r="N76" s="22"/>
    </row>
    <row r="77" spans="1:14" hidden="1" x14ac:dyDescent="0.25">
      <c r="A77" s="22"/>
      <c r="B77" s="23"/>
      <c r="C77" s="22"/>
      <c r="D77" s="22"/>
      <c r="E77" s="22"/>
      <c r="F77" s="23"/>
      <c r="G77" s="22"/>
      <c r="H77" s="22"/>
      <c r="I77" s="22"/>
      <c r="J77" s="31"/>
      <c r="K77" s="22"/>
      <c r="L77" s="22"/>
      <c r="M77" s="22"/>
      <c r="N77" s="22"/>
    </row>
    <row r="78" spans="1:14" hidden="1" x14ac:dyDescent="0.25">
      <c r="A78" s="22"/>
      <c r="B78" s="23"/>
      <c r="C78" s="22"/>
      <c r="D78" s="22"/>
      <c r="E78" s="22"/>
      <c r="F78" s="23"/>
      <c r="G78" s="22"/>
      <c r="H78" s="22"/>
      <c r="I78" s="22"/>
      <c r="J78" s="31"/>
      <c r="K78" s="22"/>
      <c r="L78" s="22"/>
      <c r="M78" s="22"/>
      <c r="N78" s="22"/>
    </row>
    <row r="79" spans="1:14" hidden="1" x14ac:dyDescent="0.25">
      <c r="A79" s="22"/>
      <c r="B79" s="23"/>
      <c r="C79" s="22"/>
      <c r="D79" s="22"/>
      <c r="E79" s="22"/>
      <c r="F79" s="23"/>
      <c r="G79" s="22"/>
      <c r="H79" s="22"/>
      <c r="I79" s="22"/>
      <c r="J79" s="31"/>
      <c r="K79" s="22"/>
      <c r="L79" s="22"/>
      <c r="M79" s="22"/>
      <c r="N79" s="22"/>
    </row>
    <row r="80" spans="1:14" hidden="1" x14ac:dyDescent="0.25">
      <c r="A80" s="22"/>
      <c r="B80" s="23"/>
      <c r="C80" s="22"/>
      <c r="D80" s="22"/>
      <c r="E80" s="22"/>
      <c r="F80" s="23"/>
      <c r="G80" s="22"/>
      <c r="H80" s="22"/>
      <c r="I80" s="22"/>
      <c r="J80" s="31"/>
      <c r="K80" s="22"/>
      <c r="L80" s="22"/>
      <c r="M80" s="22"/>
      <c r="N80" s="22"/>
    </row>
    <row r="81" spans="1:14" hidden="1" x14ac:dyDescent="0.25">
      <c r="A81" s="22"/>
      <c r="B81" s="23"/>
      <c r="C81" s="22"/>
      <c r="D81" s="22"/>
      <c r="E81" s="22"/>
      <c r="F81" s="23"/>
      <c r="G81" s="22"/>
      <c r="H81" s="22"/>
      <c r="I81" s="22"/>
      <c r="J81" s="31"/>
      <c r="K81" s="22"/>
      <c r="L81" s="22"/>
      <c r="M81" s="22"/>
      <c r="N81" s="22"/>
    </row>
    <row r="82" spans="1:14" hidden="1" x14ac:dyDescent="0.25">
      <c r="A82" s="22"/>
      <c r="B82" s="23"/>
      <c r="C82" s="22"/>
      <c r="D82" s="22"/>
      <c r="E82" s="22"/>
      <c r="F82" s="23"/>
      <c r="G82" s="22"/>
      <c r="H82" s="22"/>
      <c r="I82" s="22"/>
      <c r="J82" s="31"/>
      <c r="K82" s="22"/>
      <c r="L82" s="22"/>
      <c r="M82" s="22"/>
      <c r="N82" s="22"/>
    </row>
    <row r="83" spans="1:14" hidden="1" x14ac:dyDescent="0.25">
      <c r="A83" s="22"/>
      <c r="B83" s="23"/>
      <c r="C83" s="22"/>
      <c r="D83" s="22"/>
      <c r="E83" s="22"/>
      <c r="F83" s="23"/>
      <c r="G83" s="22"/>
      <c r="H83" s="22"/>
      <c r="I83" s="22"/>
      <c r="J83" s="31"/>
      <c r="K83" s="22"/>
      <c r="L83" s="22"/>
      <c r="M83" s="22"/>
      <c r="N83" s="22"/>
    </row>
    <row r="84" spans="1:14" hidden="1" x14ac:dyDescent="0.25">
      <c r="A84" s="22"/>
      <c r="B84" s="23"/>
      <c r="C84" s="22"/>
      <c r="D84" s="22"/>
      <c r="E84" s="22"/>
      <c r="F84" s="23"/>
      <c r="G84" s="22"/>
      <c r="H84" s="22"/>
      <c r="I84" s="22"/>
      <c r="J84" s="31"/>
      <c r="K84" s="22"/>
      <c r="L84" s="22"/>
      <c r="M84" s="22"/>
      <c r="N84" s="22"/>
    </row>
    <row r="85" spans="1:14" hidden="1" x14ac:dyDescent="0.25">
      <c r="A85" s="22"/>
      <c r="B85" s="23"/>
      <c r="C85" s="22"/>
      <c r="D85" s="22"/>
      <c r="E85" s="22"/>
      <c r="F85" s="23"/>
      <c r="G85" s="22"/>
      <c r="H85" s="22"/>
      <c r="I85" s="22"/>
      <c r="J85" s="31"/>
      <c r="K85" s="22"/>
      <c r="L85" s="22"/>
      <c r="M85" s="22"/>
      <c r="N85" s="22"/>
    </row>
    <row r="86" spans="1:14" hidden="1" x14ac:dyDescent="0.25">
      <c r="A86" s="22"/>
      <c r="B86" s="23"/>
      <c r="C86" s="22"/>
      <c r="D86" s="22"/>
      <c r="E86" s="22"/>
      <c r="F86" s="23"/>
      <c r="G86" s="22"/>
      <c r="H86" s="22"/>
      <c r="I86" s="22"/>
      <c r="J86" s="31"/>
      <c r="K86" s="22"/>
      <c r="L86" s="22"/>
      <c r="M86" s="22"/>
      <c r="N86" s="22"/>
    </row>
    <row r="87" spans="1:14" hidden="1" x14ac:dyDescent="0.25">
      <c r="A87" s="22"/>
      <c r="B87" s="23"/>
      <c r="C87" s="22"/>
      <c r="D87" s="22"/>
      <c r="E87" s="22"/>
      <c r="F87" s="23"/>
      <c r="G87" s="22"/>
      <c r="H87" s="22"/>
      <c r="I87" s="22"/>
      <c r="J87" s="31"/>
      <c r="K87" s="22"/>
      <c r="L87" s="22"/>
      <c r="M87" s="22"/>
      <c r="N87" s="22"/>
    </row>
    <row r="88" spans="1:14" hidden="1" x14ac:dyDescent="0.25">
      <c r="A88" s="22"/>
      <c r="B88" s="23"/>
      <c r="C88" s="22"/>
      <c r="D88" s="22"/>
      <c r="E88" s="22"/>
      <c r="F88" s="23"/>
      <c r="G88" s="22"/>
      <c r="H88" s="22"/>
      <c r="I88" s="22"/>
      <c r="J88" s="31"/>
      <c r="K88" s="22"/>
      <c r="L88" s="22"/>
      <c r="M88" s="22"/>
      <c r="N88" s="22"/>
    </row>
    <row r="89" spans="1:14" hidden="1" x14ac:dyDescent="0.25">
      <c r="A89" s="22"/>
      <c r="B89" s="23"/>
      <c r="C89" s="22"/>
      <c r="D89" s="22"/>
      <c r="E89" s="22"/>
      <c r="F89" s="23"/>
      <c r="G89" s="22"/>
      <c r="H89" s="22"/>
      <c r="I89" s="22"/>
      <c r="J89" s="31"/>
      <c r="K89" s="22"/>
      <c r="L89" s="22"/>
      <c r="M89" s="22"/>
      <c r="N89" s="22"/>
    </row>
    <row r="90" spans="1:14" hidden="1" x14ac:dyDescent="0.25">
      <c r="A90" s="22"/>
      <c r="B90" s="23"/>
      <c r="C90" s="22"/>
      <c r="D90" s="22"/>
      <c r="E90" s="22"/>
      <c r="F90" s="23"/>
      <c r="G90" s="22"/>
      <c r="H90" s="22"/>
      <c r="I90" s="22"/>
      <c r="J90" s="31"/>
      <c r="K90" s="22"/>
      <c r="L90" s="22"/>
      <c r="M90" s="22"/>
      <c r="N90" s="22"/>
    </row>
    <row r="91" spans="1:14" hidden="1" x14ac:dyDescent="0.25">
      <c r="A91" s="22"/>
      <c r="B91" s="23"/>
      <c r="C91" s="22"/>
      <c r="D91" s="22"/>
      <c r="E91" s="22"/>
      <c r="F91" s="23"/>
      <c r="G91" s="22"/>
      <c r="H91" s="22"/>
      <c r="I91" s="22"/>
      <c r="J91" s="31"/>
      <c r="K91" s="22"/>
      <c r="L91" s="22"/>
      <c r="M91" s="22"/>
      <c r="N91" s="22"/>
    </row>
    <row r="92" spans="1:14" hidden="1" x14ac:dyDescent="0.25">
      <c r="A92" s="22"/>
      <c r="B92" s="23"/>
      <c r="C92" s="22"/>
      <c r="D92" s="22"/>
      <c r="E92" s="22"/>
      <c r="F92" s="23"/>
      <c r="G92" s="22"/>
      <c r="H92" s="22"/>
      <c r="I92" s="22"/>
      <c r="J92" s="31"/>
      <c r="K92" s="22"/>
      <c r="L92" s="22"/>
      <c r="M92" s="22"/>
      <c r="N92" s="22"/>
    </row>
    <row r="93" spans="1:14" hidden="1" x14ac:dyDescent="0.25">
      <c r="A93" s="22"/>
      <c r="B93" s="23"/>
      <c r="C93" s="22"/>
      <c r="D93" s="22"/>
      <c r="E93" s="22"/>
      <c r="F93" s="23"/>
      <c r="G93" s="22"/>
      <c r="H93" s="22"/>
      <c r="I93" s="22"/>
      <c r="J93" s="31"/>
      <c r="K93" s="22"/>
      <c r="L93" s="22"/>
      <c r="M93" s="22"/>
      <c r="N93" s="22"/>
    </row>
    <row r="94" spans="1:14" hidden="1" x14ac:dyDescent="0.25">
      <c r="A94" s="22"/>
      <c r="B94" s="23"/>
      <c r="C94" s="22"/>
      <c r="D94" s="22"/>
      <c r="E94" s="22"/>
      <c r="F94" s="23"/>
      <c r="G94" s="22"/>
      <c r="H94" s="22"/>
      <c r="I94" s="22"/>
      <c r="J94" s="31"/>
      <c r="K94" s="22"/>
      <c r="L94" s="22"/>
      <c r="M94" s="22"/>
      <c r="N94" s="22"/>
    </row>
    <row r="95" spans="1:14" hidden="1" x14ac:dyDescent="0.25">
      <c r="A95" s="22"/>
      <c r="B95" s="23"/>
      <c r="C95" s="22"/>
      <c r="D95" s="22"/>
      <c r="E95" s="22"/>
      <c r="F95" s="23"/>
      <c r="G95" s="22"/>
      <c r="H95" s="22"/>
      <c r="I95" s="22"/>
      <c r="J95" s="31"/>
      <c r="K95" s="22"/>
      <c r="L95" s="22"/>
      <c r="M95" s="22"/>
      <c r="N95" s="22"/>
    </row>
    <row r="96" spans="1:14" hidden="1" x14ac:dyDescent="0.25">
      <c r="A96" s="22"/>
      <c r="B96" s="23"/>
      <c r="C96" s="22"/>
      <c r="D96" s="22"/>
      <c r="E96" s="22"/>
      <c r="F96" s="23"/>
      <c r="G96" s="22"/>
      <c r="H96" s="22"/>
      <c r="I96" s="22"/>
      <c r="J96" s="31"/>
      <c r="K96" s="22"/>
      <c r="L96" s="22"/>
      <c r="M96" s="22"/>
      <c r="N96" s="22"/>
    </row>
    <row r="97" spans="1:14" hidden="1" x14ac:dyDescent="0.25">
      <c r="A97" s="22"/>
      <c r="B97" s="23"/>
      <c r="C97" s="22"/>
      <c r="D97" s="22"/>
      <c r="E97" s="22"/>
      <c r="F97" s="23"/>
      <c r="G97" s="22"/>
      <c r="H97" s="22"/>
      <c r="I97" s="22"/>
      <c r="J97" s="31"/>
      <c r="K97" s="22"/>
      <c r="L97" s="22"/>
      <c r="M97" s="22"/>
      <c r="N97" s="22"/>
    </row>
    <row r="98" spans="1:14" hidden="1" x14ac:dyDescent="0.25">
      <c r="A98" s="22"/>
      <c r="B98" s="23"/>
      <c r="C98" s="22"/>
      <c r="D98" s="22"/>
      <c r="E98" s="22"/>
      <c r="F98" s="23"/>
      <c r="G98" s="22"/>
      <c r="H98" s="22"/>
      <c r="I98" s="22"/>
      <c r="J98" s="31"/>
      <c r="K98" s="22"/>
      <c r="L98" s="22"/>
      <c r="M98" s="22"/>
      <c r="N98" s="22"/>
    </row>
    <row r="99" spans="1:14" hidden="1" x14ac:dyDescent="0.25">
      <c r="A99" s="22"/>
      <c r="B99" s="23"/>
      <c r="C99" s="22"/>
      <c r="D99" s="22"/>
      <c r="E99" s="22"/>
      <c r="F99" s="23"/>
      <c r="G99" s="22"/>
      <c r="H99" s="22"/>
      <c r="I99" s="22"/>
      <c r="J99" s="31"/>
      <c r="K99" s="22"/>
      <c r="L99" s="22"/>
      <c r="M99" s="22"/>
      <c r="N99" s="22"/>
    </row>
    <row r="100" spans="1:14" hidden="1" x14ac:dyDescent="0.25">
      <c r="A100" s="22"/>
      <c r="B100" s="23"/>
      <c r="C100" s="22"/>
      <c r="D100" s="22"/>
      <c r="E100" s="22"/>
      <c r="F100" s="23"/>
      <c r="G100" s="22"/>
      <c r="H100" s="22"/>
      <c r="I100" s="22"/>
      <c r="J100" s="31"/>
      <c r="K100" s="22"/>
      <c r="L100" s="22"/>
      <c r="M100" s="22"/>
      <c r="N100" s="22"/>
    </row>
    <row r="101" spans="1:14" hidden="1" x14ac:dyDescent="0.25">
      <c r="A101" s="22"/>
      <c r="B101" s="23"/>
      <c r="C101" s="22"/>
      <c r="D101" s="22"/>
      <c r="E101" s="22"/>
      <c r="F101" s="23"/>
      <c r="G101" s="22"/>
      <c r="H101" s="22"/>
      <c r="I101" s="22"/>
      <c r="J101" s="31"/>
      <c r="K101" s="22"/>
      <c r="L101" s="22"/>
      <c r="M101" s="22"/>
      <c r="N101" s="22"/>
    </row>
    <row r="102" spans="1:14" hidden="1" x14ac:dyDescent="0.25">
      <c r="A102" s="22"/>
      <c r="B102" s="23"/>
      <c r="C102" s="22"/>
      <c r="D102" s="22"/>
      <c r="E102" s="22"/>
      <c r="F102" s="23"/>
      <c r="G102" s="22"/>
      <c r="H102" s="22"/>
      <c r="I102" s="22"/>
      <c r="J102" s="31"/>
      <c r="K102" s="22"/>
      <c r="L102" s="22"/>
      <c r="M102" s="22"/>
      <c r="N102" s="22"/>
    </row>
    <row r="103" spans="1:14" hidden="1" x14ac:dyDescent="0.25">
      <c r="A103" s="22"/>
      <c r="B103" s="23"/>
      <c r="C103" s="22"/>
      <c r="D103" s="22"/>
      <c r="E103" s="22"/>
      <c r="F103" s="23"/>
      <c r="G103" s="22"/>
      <c r="H103" s="22"/>
      <c r="I103" s="22"/>
      <c r="J103" s="31"/>
      <c r="K103" s="22"/>
      <c r="L103" s="22"/>
      <c r="M103" s="22"/>
      <c r="N103" s="22"/>
    </row>
    <row r="104" spans="1:14" hidden="1" x14ac:dyDescent="0.25">
      <c r="A104" s="22"/>
      <c r="B104" s="23"/>
      <c r="C104" s="22"/>
      <c r="D104" s="22"/>
      <c r="E104" s="22"/>
      <c r="F104" s="23"/>
      <c r="G104" s="22"/>
      <c r="H104" s="22"/>
      <c r="I104" s="22"/>
      <c r="J104" s="31"/>
      <c r="K104" s="22"/>
      <c r="L104" s="22"/>
      <c r="M104" s="22"/>
      <c r="N104" s="22"/>
    </row>
    <row r="105" spans="1:14" hidden="1" x14ac:dyDescent="0.25">
      <c r="A105" s="22"/>
      <c r="B105" s="23"/>
      <c r="C105" s="22"/>
      <c r="D105" s="22"/>
      <c r="E105" s="22"/>
      <c r="F105" s="23"/>
      <c r="G105" s="22"/>
      <c r="H105" s="22"/>
      <c r="I105" s="22"/>
      <c r="J105" s="31"/>
      <c r="K105" s="22"/>
      <c r="L105" s="22"/>
      <c r="M105" s="22"/>
      <c r="N105" s="22"/>
    </row>
    <row r="106" spans="1:14" hidden="1" x14ac:dyDescent="0.25">
      <c r="A106" s="22"/>
      <c r="B106" s="23"/>
      <c r="C106" s="22"/>
      <c r="D106" s="22"/>
      <c r="E106" s="22"/>
      <c r="F106" s="23"/>
      <c r="G106" s="22"/>
      <c r="H106" s="22"/>
      <c r="I106" s="22"/>
      <c r="J106" s="31"/>
      <c r="K106" s="22"/>
      <c r="L106" s="22"/>
      <c r="M106" s="22"/>
      <c r="N106" s="22"/>
    </row>
    <row r="107" spans="1:14" hidden="1" x14ac:dyDescent="0.25">
      <c r="A107" s="22"/>
      <c r="B107" s="23"/>
      <c r="C107" s="22"/>
      <c r="D107" s="22"/>
      <c r="E107" s="22"/>
      <c r="F107" s="23"/>
      <c r="G107" s="22"/>
      <c r="H107" s="22"/>
      <c r="I107" s="22"/>
      <c r="J107" s="31"/>
      <c r="K107" s="22"/>
      <c r="L107" s="22"/>
      <c r="M107" s="22"/>
      <c r="N107" s="22"/>
    </row>
    <row r="108" spans="1:14" hidden="1" x14ac:dyDescent="0.25">
      <c r="A108" s="22"/>
      <c r="B108" s="23"/>
      <c r="C108" s="22"/>
      <c r="D108" s="22"/>
      <c r="E108" s="22"/>
      <c r="F108" s="23"/>
      <c r="G108" s="22"/>
      <c r="H108" s="22"/>
      <c r="I108" s="22"/>
      <c r="J108" s="31"/>
      <c r="K108" s="22"/>
      <c r="L108" s="22"/>
      <c r="M108" s="22"/>
      <c r="N108" s="22"/>
    </row>
    <row r="109" spans="1:14" hidden="1" x14ac:dyDescent="0.25">
      <c r="A109" s="22"/>
      <c r="B109" s="23"/>
      <c r="C109" s="22"/>
      <c r="D109" s="22"/>
      <c r="E109" s="22"/>
      <c r="F109" s="23"/>
      <c r="G109" s="22"/>
      <c r="H109" s="22"/>
      <c r="I109" s="22"/>
      <c r="J109" s="31"/>
      <c r="K109" s="22"/>
      <c r="L109" s="22"/>
      <c r="M109" s="22"/>
      <c r="N109" s="22"/>
    </row>
    <row r="110" spans="1:14" hidden="1" x14ac:dyDescent="0.25">
      <c r="A110" s="22"/>
      <c r="B110" s="23"/>
      <c r="C110" s="22"/>
      <c r="D110" s="22"/>
      <c r="E110" s="22"/>
      <c r="F110" s="23"/>
      <c r="G110" s="22"/>
      <c r="H110" s="22"/>
      <c r="I110" s="22"/>
      <c r="J110" s="31"/>
      <c r="K110" s="22"/>
      <c r="L110" s="22"/>
      <c r="M110" s="22"/>
      <c r="N110" s="22"/>
    </row>
    <row r="111" spans="1:14" hidden="1" x14ac:dyDescent="0.25">
      <c r="A111" s="22"/>
      <c r="B111" s="23"/>
      <c r="C111" s="22"/>
      <c r="D111" s="22"/>
      <c r="E111" s="22"/>
      <c r="F111" s="23"/>
      <c r="G111" s="22"/>
      <c r="H111" s="22"/>
      <c r="I111" s="22"/>
      <c r="J111" s="31"/>
      <c r="K111" s="22"/>
      <c r="L111" s="22"/>
      <c r="M111" s="22"/>
      <c r="N111" s="22"/>
    </row>
    <row r="112" spans="1:14" hidden="1" x14ac:dyDescent="0.25">
      <c r="A112" s="22"/>
      <c r="B112" s="23"/>
      <c r="C112" s="22"/>
      <c r="D112" s="22"/>
      <c r="E112" s="22"/>
      <c r="F112" s="23"/>
      <c r="G112" s="22"/>
      <c r="H112" s="22"/>
      <c r="I112" s="22"/>
      <c r="J112" s="31"/>
      <c r="K112" s="22"/>
      <c r="L112" s="22"/>
      <c r="M112" s="22"/>
      <c r="N112" s="22"/>
    </row>
    <row r="113" spans="1:14" hidden="1" x14ac:dyDescent="0.25">
      <c r="A113" s="22"/>
      <c r="B113" s="23"/>
      <c r="C113" s="22"/>
      <c r="D113" s="22"/>
      <c r="E113" s="22"/>
      <c r="F113" s="23"/>
      <c r="G113" s="22"/>
      <c r="H113" s="22"/>
      <c r="I113" s="22"/>
      <c r="J113" s="31"/>
      <c r="K113" s="22"/>
      <c r="L113" s="22"/>
      <c r="M113" s="22"/>
      <c r="N113" s="22"/>
    </row>
    <row r="114" spans="1:14" hidden="1" x14ac:dyDescent="0.25">
      <c r="A114" s="22"/>
      <c r="B114" s="23"/>
      <c r="C114" s="22"/>
      <c r="D114" s="22"/>
      <c r="E114" s="22"/>
      <c r="F114" s="23"/>
      <c r="G114" s="22"/>
      <c r="H114" s="22"/>
      <c r="I114" s="22"/>
      <c r="J114" s="31"/>
      <c r="K114" s="22"/>
      <c r="L114" s="22"/>
      <c r="M114" s="22"/>
      <c r="N114" s="22"/>
    </row>
    <row r="115" spans="1:14" hidden="1" x14ac:dyDescent="0.25">
      <c r="A115" s="22"/>
      <c r="B115" s="23"/>
      <c r="C115" s="22"/>
      <c r="D115" s="22"/>
      <c r="E115" s="22"/>
      <c r="F115" s="23"/>
      <c r="G115" s="22"/>
      <c r="H115" s="22"/>
      <c r="I115" s="22"/>
      <c r="J115" s="31"/>
      <c r="K115" s="22"/>
      <c r="L115" s="22"/>
      <c r="M115" s="22"/>
      <c r="N115" s="22"/>
    </row>
    <row r="116" spans="1:14" hidden="1" x14ac:dyDescent="0.25">
      <c r="A116" s="22"/>
      <c r="B116" s="23"/>
      <c r="C116" s="22"/>
      <c r="D116" s="22"/>
      <c r="E116" s="22"/>
      <c r="F116" s="23"/>
      <c r="G116" s="22"/>
      <c r="H116" s="22"/>
      <c r="I116" s="22"/>
      <c r="J116" s="31"/>
      <c r="K116" s="22"/>
      <c r="L116" s="22"/>
      <c r="M116" s="22"/>
      <c r="N116" s="22"/>
    </row>
    <row r="117" spans="1:14" hidden="1" x14ac:dyDescent="0.25">
      <c r="A117" s="22"/>
      <c r="B117" s="23"/>
      <c r="C117" s="22"/>
      <c r="D117" s="22"/>
      <c r="E117" s="22"/>
      <c r="F117" s="23"/>
      <c r="G117" s="22"/>
      <c r="H117" s="22"/>
      <c r="I117" s="22"/>
      <c r="J117" s="31"/>
      <c r="K117" s="22"/>
      <c r="L117" s="22"/>
      <c r="M117" s="22"/>
      <c r="N117" s="22"/>
    </row>
    <row r="118" spans="1:14" hidden="1" x14ac:dyDescent="0.25">
      <c r="A118" s="22"/>
      <c r="B118" s="23"/>
      <c r="C118" s="22"/>
      <c r="D118" s="22"/>
      <c r="E118" s="22"/>
      <c r="F118" s="23"/>
      <c r="G118" s="22"/>
      <c r="H118" s="22"/>
      <c r="I118" s="22"/>
      <c r="J118" s="31"/>
      <c r="K118" s="22"/>
      <c r="L118" s="22"/>
      <c r="M118" s="22"/>
      <c r="N118" s="22"/>
    </row>
    <row r="119" spans="1:14" hidden="1" x14ac:dyDescent="0.25">
      <c r="A119" s="22"/>
      <c r="B119" s="23"/>
      <c r="C119" s="22"/>
      <c r="D119" s="22"/>
      <c r="E119" s="22"/>
      <c r="F119" s="23"/>
      <c r="G119" s="22"/>
      <c r="H119" s="22"/>
      <c r="I119" s="22"/>
      <c r="J119" s="31"/>
      <c r="K119" s="22"/>
      <c r="L119" s="22"/>
      <c r="M119" s="22"/>
      <c r="N119" s="22"/>
    </row>
    <row r="120" spans="1:14" hidden="1" x14ac:dyDescent="0.25">
      <c r="A120" s="22"/>
      <c r="B120" s="23"/>
      <c r="C120" s="22"/>
      <c r="D120" s="22"/>
      <c r="E120" s="22"/>
      <c r="F120" s="23"/>
      <c r="G120" s="22"/>
      <c r="H120" s="22"/>
      <c r="I120" s="22"/>
      <c r="J120" s="31"/>
      <c r="K120" s="22"/>
      <c r="L120" s="22"/>
      <c r="M120" s="22"/>
      <c r="N120" s="22"/>
    </row>
    <row r="121" spans="1:14" hidden="1" x14ac:dyDescent="0.25">
      <c r="A121" s="22"/>
      <c r="B121" s="23"/>
      <c r="C121" s="22"/>
      <c r="D121" s="22"/>
      <c r="E121" s="22"/>
      <c r="F121" s="23"/>
      <c r="G121" s="22"/>
      <c r="H121" s="22"/>
      <c r="I121" s="22"/>
      <c r="J121" s="31"/>
      <c r="K121" s="22"/>
      <c r="L121" s="22"/>
      <c r="M121" s="22"/>
      <c r="N121" s="22"/>
    </row>
    <row r="122" spans="1:14" hidden="1" x14ac:dyDescent="0.25">
      <c r="A122" s="22"/>
      <c r="B122" s="23"/>
      <c r="C122" s="22"/>
      <c r="D122" s="22"/>
      <c r="E122" s="22"/>
      <c r="F122" s="23"/>
      <c r="G122" s="22"/>
      <c r="H122" s="22"/>
      <c r="I122" s="22"/>
      <c r="J122" s="31"/>
      <c r="K122" s="22"/>
      <c r="L122" s="22"/>
      <c r="M122" s="22"/>
      <c r="N122" s="22"/>
    </row>
    <row r="123" spans="1:14" hidden="1" x14ac:dyDescent="0.25">
      <c r="A123" s="22"/>
      <c r="B123" s="23"/>
      <c r="C123" s="22"/>
      <c r="D123" s="22"/>
      <c r="E123" s="22"/>
      <c r="F123" s="23"/>
      <c r="G123" s="22"/>
      <c r="H123" s="22"/>
      <c r="I123" s="22"/>
      <c r="J123" s="31"/>
      <c r="K123" s="22"/>
      <c r="L123" s="22"/>
      <c r="M123" s="22"/>
      <c r="N123" s="22"/>
    </row>
    <row r="124" spans="1:14" hidden="1" x14ac:dyDescent="0.25">
      <c r="A124" s="22"/>
      <c r="B124" s="23"/>
      <c r="C124" s="22"/>
      <c r="D124" s="22"/>
      <c r="E124" s="22"/>
      <c r="F124" s="23"/>
      <c r="G124" s="22"/>
      <c r="H124" s="22"/>
      <c r="I124" s="22"/>
      <c r="J124" s="31"/>
      <c r="K124" s="22"/>
      <c r="L124" s="22"/>
      <c r="M124" s="22"/>
      <c r="N124" s="22"/>
    </row>
    <row r="125" spans="1:14" hidden="1" x14ac:dyDescent="0.25">
      <c r="A125" s="22"/>
      <c r="B125" s="23"/>
      <c r="C125" s="22"/>
      <c r="D125" s="22"/>
      <c r="E125" s="22"/>
      <c r="F125" s="23"/>
      <c r="G125" s="22"/>
      <c r="H125" s="22"/>
      <c r="I125" s="22"/>
      <c r="J125" s="31"/>
      <c r="K125" s="22"/>
      <c r="L125" s="22"/>
      <c r="M125" s="22"/>
      <c r="N125" s="22"/>
    </row>
    <row r="126" spans="1:14" hidden="1" x14ac:dyDescent="0.25">
      <c r="A126" s="22"/>
      <c r="B126" s="23"/>
      <c r="C126" s="22"/>
      <c r="D126" s="22"/>
      <c r="E126" s="22"/>
      <c r="F126" s="23"/>
      <c r="G126" s="22"/>
      <c r="H126" s="22"/>
      <c r="I126" s="22"/>
      <c r="J126" s="31"/>
      <c r="K126" s="22"/>
      <c r="L126" s="22"/>
      <c r="M126" s="22"/>
      <c r="N126" s="22"/>
    </row>
    <row r="127" spans="1:14" hidden="1" x14ac:dyDescent="0.25">
      <c r="A127" s="22"/>
      <c r="B127" s="23"/>
      <c r="C127" s="22"/>
      <c r="D127" s="22"/>
      <c r="E127" s="22"/>
      <c r="F127" s="23"/>
      <c r="G127" s="22"/>
      <c r="H127" s="22"/>
      <c r="I127" s="22"/>
      <c r="J127" s="31"/>
      <c r="K127" s="22"/>
      <c r="L127" s="22"/>
      <c r="M127" s="22"/>
      <c r="N127" s="22"/>
    </row>
    <row r="128" spans="1:14" hidden="1" x14ac:dyDescent="0.25">
      <c r="A128" s="22"/>
      <c r="B128" s="23"/>
      <c r="C128" s="22"/>
      <c r="D128" s="22"/>
      <c r="E128" s="22"/>
      <c r="F128" s="23"/>
      <c r="G128" s="22"/>
      <c r="H128" s="22"/>
      <c r="I128" s="22"/>
      <c r="J128" s="31"/>
      <c r="K128" s="22"/>
      <c r="L128" s="22"/>
      <c r="M128" s="22"/>
      <c r="N128" s="22"/>
    </row>
    <row r="129" spans="1:14" hidden="1" x14ac:dyDescent="0.25">
      <c r="A129" s="22"/>
      <c r="B129" s="23"/>
      <c r="C129" s="22"/>
      <c r="D129" s="22"/>
      <c r="E129" s="22"/>
      <c r="F129" s="23"/>
      <c r="G129" s="22"/>
      <c r="H129" s="22"/>
      <c r="I129" s="22"/>
      <c r="J129" s="31"/>
      <c r="K129" s="22"/>
      <c r="L129" s="22"/>
      <c r="M129" s="22"/>
      <c r="N129" s="22"/>
    </row>
    <row r="130" spans="1:14" hidden="1" x14ac:dyDescent="0.25">
      <c r="A130" s="22"/>
      <c r="B130" s="23"/>
      <c r="C130" s="22"/>
      <c r="D130" s="22"/>
      <c r="E130" s="22"/>
      <c r="F130" s="23"/>
      <c r="G130" s="22"/>
      <c r="H130" s="22"/>
      <c r="I130" s="22"/>
      <c r="J130" s="31"/>
      <c r="K130" s="22"/>
      <c r="L130" s="22"/>
      <c r="M130" s="22"/>
      <c r="N130" s="22"/>
    </row>
    <row r="131" spans="1:14" hidden="1" x14ac:dyDescent="0.25">
      <c r="A131" s="22"/>
      <c r="B131" s="23"/>
      <c r="C131" s="22"/>
      <c r="D131" s="22"/>
      <c r="E131" s="22"/>
      <c r="F131" s="23"/>
      <c r="G131" s="22"/>
      <c r="H131" s="22"/>
      <c r="I131" s="22"/>
      <c r="J131" s="31"/>
      <c r="K131" s="22"/>
      <c r="L131" s="22"/>
      <c r="M131" s="22"/>
      <c r="N131" s="22"/>
    </row>
    <row r="132" spans="1:14" hidden="1" x14ac:dyDescent="0.25">
      <c r="A132" s="22"/>
      <c r="B132" s="23"/>
      <c r="C132" s="22"/>
      <c r="D132" s="22"/>
      <c r="E132" s="22"/>
      <c r="F132" s="23"/>
      <c r="G132" s="22"/>
      <c r="H132" s="22"/>
      <c r="I132" s="22"/>
      <c r="J132" s="31"/>
      <c r="K132" s="22"/>
      <c r="L132" s="22"/>
      <c r="M132" s="22"/>
      <c r="N132" s="22"/>
    </row>
    <row r="133" spans="1:14" hidden="1" x14ac:dyDescent="0.25">
      <c r="A133" s="22"/>
      <c r="B133" s="23"/>
      <c r="C133" s="22"/>
      <c r="D133" s="22"/>
      <c r="E133" s="22"/>
      <c r="F133" s="23"/>
      <c r="G133" s="22"/>
      <c r="H133" s="22"/>
      <c r="I133" s="22"/>
      <c r="J133" s="31"/>
      <c r="K133" s="22"/>
      <c r="L133" s="22"/>
      <c r="M133" s="22"/>
      <c r="N133" s="22"/>
    </row>
    <row r="134" spans="1:14" hidden="1" x14ac:dyDescent="0.25">
      <c r="A134" s="22"/>
      <c r="B134" s="23"/>
      <c r="C134" s="22"/>
      <c r="D134" s="22"/>
      <c r="E134" s="22"/>
      <c r="F134" s="23"/>
      <c r="G134" s="22"/>
      <c r="H134" s="22"/>
      <c r="I134" s="22"/>
      <c r="J134" s="31"/>
      <c r="K134" s="22"/>
      <c r="L134" s="22"/>
      <c r="M134" s="22"/>
      <c r="N134" s="22"/>
    </row>
    <row r="135" spans="1:14" hidden="1" x14ac:dyDescent="0.25">
      <c r="A135" s="22"/>
      <c r="B135" s="23"/>
      <c r="C135" s="22"/>
      <c r="D135" s="22"/>
      <c r="E135" s="22"/>
      <c r="F135" s="23"/>
      <c r="G135" s="22"/>
      <c r="H135" s="22"/>
      <c r="I135" s="22"/>
      <c r="J135" s="31"/>
      <c r="K135" s="22"/>
      <c r="L135" s="22"/>
      <c r="M135" s="22"/>
      <c r="N135" s="22"/>
    </row>
    <row r="136" spans="1:14" hidden="1" x14ac:dyDescent="0.25">
      <c r="A136" s="22"/>
      <c r="B136" s="23"/>
      <c r="C136" s="22"/>
      <c r="D136" s="22"/>
      <c r="E136" s="22"/>
      <c r="F136" s="23"/>
      <c r="G136" s="22"/>
      <c r="H136" s="22"/>
      <c r="I136" s="22"/>
      <c r="J136" s="31"/>
      <c r="K136" s="22"/>
      <c r="L136" s="22"/>
      <c r="M136" s="22"/>
      <c r="N136" s="22"/>
    </row>
    <row r="137" spans="1:14" hidden="1" x14ac:dyDescent="0.25">
      <c r="A137" s="22"/>
      <c r="B137" s="23"/>
      <c r="C137" s="22"/>
      <c r="D137" s="22"/>
      <c r="E137" s="22"/>
      <c r="F137" s="23"/>
      <c r="G137" s="22"/>
      <c r="H137" s="22"/>
      <c r="I137" s="22"/>
      <c r="J137" s="31"/>
      <c r="K137" s="22"/>
      <c r="L137" s="22"/>
      <c r="M137" s="22"/>
      <c r="N137" s="22"/>
    </row>
    <row r="138" spans="1:14" hidden="1" x14ac:dyDescent="0.25">
      <c r="A138" s="22"/>
      <c r="B138" s="23"/>
      <c r="C138" s="22"/>
      <c r="D138" s="22"/>
      <c r="E138" s="22"/>
      <c r="F138" s="23"/>
      <c r="G138" s="22"/>
      <c r="H138" s="22"/>
      <c r="I138" s="22"/>
      <c r="J138" s="31"/>
      <c r="K138" s="22"/>
      <c r="L138" s="22"/>
      <c r="M138" s="22"/>
      <c r="N138" s="22"/>
    </row>
    <row r="139" spans="1:14" hidden="1" x14ac:dyDescent="0.25">
      <c r="A139" s="22"/>
      <c r="B139" s="23"/>
      <c r="C139" s="22"/>
      <c r="D139" s="22"/>
      <c r="E139" s="22"/>
      <c r="F139" s="23"/>
      <c r="G139" s="22"/>
      <c r="H139" s="22"/>
      <c r="I139" s="22"/>
      <c r="J139" s="31"/>
      <c r="K139" s="22"/>
      <c r="L139" s="22"/>
      <c r="M139" s="22"/>
      <c r="N139" s="22"/>
    </row>
    <row r="140" spans="1:14" hidden="1" x14ac:dyDescent="0.25">
      <c r="A140" s="22"/>
      <c r="B140" s="23"/>
      <c r="C140" s="22"/>
      <c r="D140" s="22"/>
      <c r="E140" s="22"/>
      <c r="F140" s="23"/>
      <c r="G140" s="22"/>
      <c r="H140" s="22"/>
      <c r="I140" s="22"/>
      <c r="J140" s="31"/>
      <c r="K140" s="22"/>
      <c r="L140" s="22"/>
      <c r="M140" s="22"/>
      <c r="N140" s="22"/>
    </row>
    <row r="141" spans="1:14" hidden="1" x14ac:dyDescent="0.25">
      <c r="A141" s="22"/>
      <c r="B141" s="23"/>
      <c r="C141" s="22"/>
      <c r="D141" s="22"/>
      <c r="E141" s="22"/>
      <c r="F141" s="23"/>
      <c r="G141" s="22"/>
      <c r="H141" s="22"/>
      <c r="I141" s="22"/>
      <c r="J141" s="31"/>
      <c r="K141" s="22"/>
      <c r="L141" s="22"/>
      <c r="M141" s="22"/>
      <c r="N141" s="22"/>
    </row>
    <row r="142" spans="1:14" hidden="1" x14ac:dyDescent="0.25">
      <c r="A142" s="22"/>
      <c r="B142" s="23"/>
      <c r="C142" s="22"/>
      <c r="D142" s="22"/>
      <c r="E142" s="22"/>
      <c r="F142" s="23"/>
      <c r="G142" s="22"/>
      <c r="H142" s="22"/>
      <c r="I142" s="22"/>
      <c r="J142" s="31"/>
      <c r="K142" s="22"/>
      <c r="L142" s="22"/>
      <c r="M142" s="22"/>
      <c r="N142" s="22"/>
    </row>
    <row r="143" spans="1:14" hidden="1" x14ac:dyDescent="0.25">
      <c r="A143" s="22"/>
      <c r="B143" s="23"/>
      <c r="C143" s="22"/>
      <c r="D143" s="22"/>
      <c r="E143" s="22"/>
      <c r="F143" s="23"/>
      <c r="G143" s="22"/>
      <c r="H143" s="22"/>
      <c r="I143" s="22"/>
      <c r="J143" s="31"/>
      <c r="K143" s="22"/>
      <c r="L143" s="22"/>
      <c r="M143" s="22"/>
      <c r="N143" s="22"/>
    </row>
    <row r="144" spans="1:14" hidden="1" x14ac:dyDescent="0.25">
      <c r="A144" s="22"/>
      <c r="B144" s="23"/>
      <c r="C144" s="22"/>
      <c r="D144" s="22"/>
      <c r="E144" s="22"/>
      <c r="F144" s="23"/>
      <c r="G144" s="22"/>
      <c r="H144" s="22"/>
      <c r="I144" s="22"/>
      <c r="J144" s="31"/>
      <c r="K144" s="22"/>
      <c r="L144" s="22"/>
      <c r="M144" s="22"/>
      <c r="N144" s="22"/>
    </row>
    <row r="145" spans="1:14" hidden="1" x14ac:dyDescent="0.25">
      <c r="A145" s="22"/>
      <c r="B145" s="23"/>
      <c r="C145" s="22"/>
      <c r="D145" s="22"/>
      <c r="E145" s="22"/>
      <c r="F145" s="23"/>
      <c r="G145" s="22"/>
      <c r="H145" s="22"/>
      <c r="I145" s="22"/>
      <c r="J145" s="31"/>
      <c r="K145" s="22"/>
      <c r="L145" s="22"/>
      <c r="M145" s="22"/>
      <c r="N145" s="22"/>
    </row>
    <row r="146" spans="1:14" hidden="1" x14ac:dyDescent="0.25">
      <c r="A146" s="22"/>
      <c r="B146" s="23"/>
      <c r="C146" s="22"/>
      <c r="D146" s="22"/>
      <c r="E146" s="22"/>
      <c r="F146" s="23"/>
      <c r="G146" s="22"/>
      <c r="H146" s="22"/>
      <c r="I146" s="22"/>
      <c r="J146" s="31"/>
      <c r="K146" s="22"/>
      <c r="L146" s="22"/>
      <c r="M146" s="22"/>
      <c r="N146" s="22"/>
    </row>
    <row r="147" spans="1:14" hidden="1" x14ac:dyDescent="0.25">
      <c r="A147" s="22"/>
      <c r="B147" s="23"/>
      <c r="C147" s="22"/>
      <c r="D147" s="22"/>
      <c r="E147" s="22"/>
      <c r="F147" s="23"/>
      <c r="G147" s="22"/>
      <c r="H147" s="22"/>
      <c r="I147" s="22"/>
      <c r="J147" s="31"/>
      <c r="K147" s="22"/>
      <c r="L147" s="22"/>
      <c r="M147" s="22"/>
      <c r="N147" s="22"/>
    </row>
    <row r="148" spans="1:14" hidden="1" x14ac:dyDescent="0.25">
      <c r="A148" s="22"/>
      <c r="B148" s="23"/>
      <c r="C148" s="22"/>
      <c r="D148" s="22"/>
      <c r="E148" s="22"/>
      <c r="F148" s="23"/>
      <c r="G148" s="22"/>
      <c r="H148" s="22"/>
      <c r="I148" s="22"/>
      <c r="J148" s="31"/>
      <c r="K148" s="22"/>
      <c r="L148" s="22"/>
      <c r="M148" s="22"/>
      <c r="N148" s="22"/>
    </row>
    <row r="149" spans="1:14" hidden="1" x14ac:dyDescent="0.25">
      <c r="A149" s="22"/>
      <c r="B149" s="23"/>
      <c r="C149" s="22"/>
      <c r="D149" s="22"/>
      <c r="E149" s="22"/>
      <c r="F149" s="23"/>
      <c r="G149" s="22"/>
      <c r="H149" s="22"/>
      <c r="I149" s="22"/>
      <c r="J149" s="31"/>
      <c r="K149" s="22"/>
      <c r="L149" s="22"/>
      <c r="M149" s="22"/>
      <c r="N149" s="22"/>
    </row>
    <row r="150" spans="1:14" hidden="1" x14ac:dyDescent="0.25">
      <c r="A150" s="22"/>
      <c r="B150" s="23"/>
      <c r="C150" s="22"/>
      <c r="D150" s="22"/>
      <c r="E150" s="22"/>
      <c r="F150" s="23"/>
      <c r="G150" s="22"/>
      <c r="H150" s="22"/>
      <c r="I150" s="22"/>
      <c r="J150" s="31"/>
      <c r="K150" s="22"/>
      <c r="L150" s="22"/>
      <c r="M150" s="22"/>
      <c r="N150" s="22"/>
    </row>
    <row r="151" spans="1:14" hidden="1" x14ac:dyDescent="0.25">
      <c r="A151" s="22"/>
      <c r="B151" s="23"/>
      <c r="C151" s="22"/>
      <c r="D151" s="22"/>
      <c r="E151" s="22"/>
      <c r="F151" s="23"/>
      <c r="G151" s="22"/>
      <c r="H151" s="22"/>
      <c r="I151" s="22"/>
      <c r="J151" s="31"/>
      <c r="K151" s="22"/>
      <c r="L151" s="22"/>
      <c r="M151" s="22"/>
      <c r="N151" s="22"/>
    </row>
    <row r="152" spans="1:14" hidden="1" x14ac:dyDescent="0.25">
      <c r="A152" s="22"/>
      <c r="B152" s="23"/>
      <c r="C152" s="22"/>
      <c r="D152" s="22"/>
      <c r="E152" s="22"/>
      <c r="F152" s="23"/>
      <c r="G152" s="22"/>
      <c r="H152" s="22"/>
      <c r="I152" s="22"/>
      <c r="J152" s="31"/>
      <c r="K152" s="22"/>
      <c r="L152" s="22"/>
      <c r="M152" s="22"/>
      <c r="N152" s="22"/>
    </row>
    <row r="153" spans="1:14" hidden="1" x14ac:dyDescent="0.25">
      <c r="A153" s="22"/>
      <c r="B153" s="23"/>
      <c r="C153" s="22"/>
      <c r="D153" s="22"/>
      <c r="E153" s="22"/>
      <c r="F153" s="23"/>
      <c r="G153" s="22"/>
      <c r="H153" s="22"/>
      <c r="I153" s="22"/>
      <c r="J153" s="31"/>
      <c r="K153" s="22"/>
      <c r="L153" s="22"/>
      <c r="M153" s="22"/>
      <c r="N153" s="22"/>
    </row>
    <row r="154" spans="1:14" hidden="1" x14ac:dyDescent="0.25">
      <c r="A154" s="22"/>
      <c r="B154" s="23"/>
      <c r="C154" s="22"/>
      <c r="D154" s="22"/>
      <c r="E154" s="22"/>
      <c r="F154" s="23"/>
      <c r="G154" s="22"/>
      <c r="H154" s="22"/>
      <c r="I154" s="22"/>
      <c r="J154" s="31"/>
      <c r="K154" s="22"/>
      <c r="L154" s="22"/>
      <c r="M154" s="22"/>
      <c r="N154" s="22"/>
    </row>
    <row r="155" spans="1:14" hidden="1" x14ac:dyDescent="0.25">
      <c r="A155" s="22"/>
      <c r="B155" s="23"/>
      <c r="C155" s="22"/>
      <c r="D155" s="22"/>
      <c r="E155" s="22"/>
      <c r="F155" s="23"/>
      <c r="G155" s="22"/>
      <c r="H155" s="22"/>
      <c r="I155" s="22"/>
      <c r="J155" s="31"/>
      <c r="K155" s="22"/>
      <c r="L155" s="22"/>
      <c r="M155" s="22"/>
      <c r="N155" s="22"/>
    </row>
    <row r="156" spans="1:14" hidden="1" x14ac:dyDescent="0.25">
      <c r="A156" s="22"/>
      <c r="B156" s="23"/>
      <c r="C156" s="22"/>
      <c r="D156" s="22"/>
      <c r="E156" s="22"/>
      <c r="F156" s="23"/>
      <c r="G156" s="22"/>
      <c r="H156" s="22"/>
      <c r="I156" s="22"/>
      <c r="J156" s="31"/>
      <c r="K156" s="22"/>
      <c r="L156" s="22"/>
      <c r="M156" s="22"/>
      <c r="N156" s="22"/>
    </row>
    <row r="157" spans="1:14" hidden="1" x14ac:dyDescent="0.25">
      <c r="A157" s="22"/>
      <c r="B157" s="23"/>
      <c r="C157" s="22"/>
      <c r="D157" s="22"/>
      <c r="E157" s="22"/>
      <c r="F157" s="23"/>
      <c r="G157" s="22"/>
      <c r="H157" s="22"/>
      <c r="I157" s="22"/>
      <c r="J157" s="31"/>
      <c r="K157" s="22"/>
      <c r="L157" s="22"/>
      <c r="M157" s="22"/>
      <c r="N157" s="22"/>
    </row>
    <row r="158" spans="1:14" hidden="1" x14ac:dyDescent="0.25">
      <c r="A158" s="22"/>
      <c r="B158" s="23"/>
      <c r="C158" s="22"/>
      <c r="D158" s="22"/>
      <c r="E158" s="22"/>
      <c r="F158" s="23"/>
      <c r="G158" s="22"/>
      <c r="H158" s="22"/>
      <c r="I158" s="22"/>
      <c r="J158" s="31"/>
      <c r="K158" s="22"/>
      <c r="L158" s="22"/>
      <c r="M158" s="22"/>
      <c r="N158" s="22"/>
    </row>
    <row r="159" spans="1:14" hidden="1" x14ac:dyDescent="0.25">
      <c r="A159" s="22"/>
      <c r="B159" s="23"/>
      <c r="C159" s="22"/>
      <c r="D159" s="22"/>
      <c r="E159" s="22"/>
      <c r="F159" s="23"/>
      <c r="G159" s="22"/>
      <c r="H159" s="22"/>
      <c r="I159" s="22"/>
      <c r="J159" s="31"/>
      <c r="K159" s="22"/>
      <c r="L159" s="22"/>
      <c r="M159" s="22"/>
      <c r="N159" s="22"/>
    </row>
    <row r="160" spans="1:14" hidden="1" x14ac:dyDescent="0.25">
      <c r="A160" s="22"/>
      <c r="B160" s="23"/>
      <c r="C160" s="22"/>
      <c r="D160" s="22"/>
      <c r="E160" s="22"/>
      <c r="F160" s="23"/>
      <c r="G160" s="22"/>
      <c r="H160" s="22"/>
      <c r="I160" s="22"/>
      <c r="J160" s="31"/>
      <c r="K160" s="22"/>
      <c r="L160" s="22"/>
      <c r="M160" s="22"/>
      <c r="N160" s="22"/>
    </row>
    <row r="161" spans="1:14" hidden="1" x14ac:dyDescent="0.25">
      <c r="A161" s="22"/>
      <c r="B161" s="23"/>
      <c r="C161" s="22"/>
      <c r="D161" s="22"/>
      <c r="E161" s="22"/>
      <c r="F161" s="23"/>
      <c r="G161" s="22"/>
      <c r="H161" s="22"/>
      <c r="I161" s="22"/>
      <c r="J161" s="31"/>
      <c r="K161" s="22"/>
      <c r="L161" s="22"/>
      <c r="M161" s="22"/>
      <c r="N161" s="22"/>
    </row>
    <row r="162" spans="1:14" hidden="1" x14ac:dyDescent="0.25">
      <c r="A162" s="22"/>
      <c r="B162" s="23"/>
      <c r="C162" s="22"/>
      <c r="D162" s="22"/>
      <c r="E162" s="22"/>
      <c r="F162" s="23"/>
      <c r="G162" s="22"/>
      <c r="H162" s="22"/>
      <c r="I162" s="22"/>
      <c r="J162" s="31"/>
      <c r="K162" s="22"/>
      <c r="L162" s="22"/>
      <c r="M162" s="22"/>
      <c r="N162" s="22"/>
    </row>
    <row r="163" spans="1:14" hidden="1" x14ac:dyDescent="0.25">
      <c r="A163" s="22"/>
      <c r="B163" s="23"/>
      <c r="C163" s="22"/>
      <c r="D163" s="22"/>
      <c r="E163" s="22"/>
      <c r="F163" s="23"/>
      <c r="G163" s="22"/>
      <c r="H163" s="22"/>
      <c r="I163" s="22"/>
      <c r="J163" s="31"/>
      <c r="K163" s="22"/>
      <c r="L163" s="22"/>
      <c r="M163" s="22"/>
      <c r="N163" s="22"/>
    </row>
    <row r="164" spans="1:14" hidden="1" x14ac:dyDescent="0.25">
      <c r="A164" s="22"/>
      <c r="B164" s="23"/>
      <c r="C164" s="22"/>
      <c r="D164" s="22"/>
      <c r="E164" s="22"/>
      <c r="F164" s="23"/>
      <c r="G164" s="22"/>
      <c r="H164" s="22"/>
      <c r="I164" s="22"/>
      <c r="J164" s="31"/>
      <c r="K164" s="22"/>
      <c r="L164" s="22"/>
      <c r="M164" s="22"/>
      <c r="N164" s="22"/>
    </row>
    <row r="165" spans="1:14" hidden="1" x14ac:dyDescent="0.25">
      <c r="A165" s="22"/>
      <c r="B165" s="23"/>
      <c r="C165" s="22"/>
      <c r="D165" s="22"/>
      <c r="E165" s="22"/>
      <c r="F165" s="23"/>
      <c r="G165" s="22"/>
      <c r="H165" s="22"/>
      <c r="I165" s="22"/>
      <c r="J165" s="31"/>
      <c r="K165" s="22"/>
      <c r="L165" s="22"/>
      <c r="M165" s="22"/>
      <c r="N165" s="22"/>
    </row>
    <row r="166" spans="1:14" hidden="1" x14ac:dyDescent="0.25">
      <c r="A166" s="22"/>
      <c r="B166" s="23"/>
      <c r="C166" s="22"/>
      <c r="D166" s="22"/>
      <c r="E166" s="22"/>
      <c r="F166" s="23"/>
      <c r="G166" s="22"/>
      <c r="H166" s="22"/>
      <c r="I166" s="22"/>
      <c r="J166" s="31"/>
      <c r="K166" s="22"/>
      <c r="L166" s="22"/>
      <c r="M166" s="22"/>
      <c r="N166" s="22"/>
    </row>
    <row r="167" spans="1:14" hidden="1" x14ac:dyDescent="0.25">
      <c r="A167" s="22"/>
      <c r="B167" s="23"/>
      <c r="C167" s="22"/>
      <c r="D167" s="22"/>
      <c r="E167" s="22"/>
      <c r="F167" s="23"/>
      <c r="G167" s="22"/>
      <c r="H167" s="22"/>
      <c r="I167" s="22"/>
      <c r="J167" s="31"/>
      <c r="K167" s="22"/>
      <c r="L167" s="22"/>
      <c r="M167" s="22"/>
      <c r="N167" s="22"/>
    </row>
    <row r="168" spans="1:14" hidden="1" x14ac:dyDescent="0.25">
      <c r="A168" s="22"/>
      <c r="B168" s="23"/>
      <c r="C168" s="22"/>
      <c r="D168" s="22"/>
      <c r="E168" s="22"/>
      <c r="F168" s="23"/>
      <c r="G168" s="22"/>
      <c r="H168" s="22"/>
      <c r="I168" s="22"/>
      <c r="J168" s="31"/>
      <c r="K168" s="22"/>
      <c r="L168" s="22"/>
      <c r="M168" s="22"/>
      <c r="N168" s="22"/>
    </row>
    <row r="169" spans="1:14" hidden="1" x14ac:dyDescent="0.25">
      <c r="A169" s="22"/>
      <c r="B169" s="23"/>
      <c r="C169" s="22"/>
      <c r="D169" s="22"/>
      <c r="E169" s="22"/>
      <c r="F169" s="23"/>
      <c r="G169" s="22"/>
      <c r="H169" s="22"/>
      <c r="I169" s="22"/>
      <c r="J169" s="31"/>
      <c r="K169" s="22"/>
      <c r="L169" s="22"/>
      <c r="M169" s="22"/>
      <c r="N169" s="22"/>
    </row>
    <row r="170" spans="1:14" hidden="1" x14ac:dyDescent="0.25">
      <c r="A170" s="22"/>
      <c r="B170" s="23"/>
      <c r="C170" s="22"/>
      <c r="D170" s="22"/>
      <c r="E170" s="22"/>
      <c r="F170" s="23"/>
      <c r="G170" s="22"/>
      <c r="H170" s="22"/>
      <c r="I170" s="22"/>
      <c r="J170" s="31"/>
      <c r="K170" s="22"/>
      <c r="L170" s="22"/>
      <c r="M170" s="22"/>
      <c r="N170" s="22"/>
    </row>
    <row r="171" spans="1:14" hidden="1" x14ac:dyDescent="0.25">
      <c r="A171" s="22"/>
      <c r="B171" s="23"/>
      <c r="C171" s="22"/>
      <c r="D171" s="22"/>
      <c r="E171" s="22"/>
      <c r="F171" s="23"/>
      <c r="G171" s="22"/>
      <c r="H171" s="22"/>
      <c r="I171" s="22"/>
      <c r="J171" s="31"/>
      <c r="K171" s="22"/>
      <c r="L171" s="22"/>
      <c r="M171" s="22"/>
      <c r="N171" s="22"/>
    </row>
    <row r="172" spans="1:14" hidden="1" x14ac:dyDescent="0.25">
      <c r="A172" s="22"/>
      <c r="B172" s="23"/>
      <c r="C172" s="22"/>
      <c r="D172" s="22"/>
      <c r="E172" s="22"/>
      <c r="F172" s="23"/>
      <c r="G172" s="22"/>
      <c r="H172" s="22"/>
      <c r="I172" s="22"/>
      <c r="J172" s="31"/>
      <c r="K172" s="22"/>
      <c r="L172" s="22"/>
      <c r="M172" s="22"/>
      <c r="N172" s="22"/>
    </row>
    <row r="173" spans="1:14" hidden="1" x14ac:dyDescent="0.25">
      <c r="A173" s="22"/>
      <c r="B173" s="23"/>
      <c r="C173" s="22"/>
      <c r="D173" s="22"/>
      <c r="E173" s="22"/>
      <c r="F173" s="23"/>
      <c r="G173" s="22"/>
      <c r="H173" s="22"/>
      <c r="I173" s="22"/>
      <c r="J173" s="31"/>
      <c r="K173" s="22"/>
      <c r="L173" s="22"/>
      <c r="M173" s="22"/>
      <c r="N173" s="22"/>
    </row>
    <row r="174" spans="1:14" hidden="1" x14ac:dyDescent="0.25">
      <c r="A174" s="22"/>
      <c r="B174" s="23"/>
      <c r="C174" s="22"/>
      <c r="D174" s="22"/>
      <c r="E174" s="22"/>
      <c r="F174" s="23"/>
      <c r="G174" s="22"/>
      <c r="H174" s="22"/>
      <c r="I174" s="22"/>
      <c r="J174" s="31"/>
      <c r="K174" s="22"/>
      <c r="L174" s="22"/>
      <c r="M174" s="22"/>
      <c r="N174" s="22"/>
    </row>
    <row r="175" spans="1:14" hidden="1" x14ac:dyDescent="0.25">
      <c r="A175" s="22"/>
      <c r="B175" s="23"/>
      <c r="C175" s="22"/>
      <c r="D175" s="22"/>
      <c r="E175" s="22"/>
      <c r="F175" s="23"/>
      <c r="G175" s="22"/>
      <c r="H175" s="22"/>
      <c r="I175" s="22"/>
      <c r="J175" s="31"/>
      <c r="K175" s="22"/>
      <c r="L175" s="22"/>
      <c r="M175" s="22"/>
      <c r="N175" s="22"/>
    </row>
    <row r="176" spans="1:14" hidden="1" x14ac:dyDescent="0.25">
      <c r="A176" s="22"/>
      <c r="B176" s="23"/>
      <c r="C176" s="22"/>
      <c r="D176" s="22"/>
      <c r="E176" s="22"/>
      <c r="F176" s="23"/>
      <c r="G176" s="22"/>
      <c r="H176" s="22"/>
      <c r="I176" s="22"/>
      <c r="J176" s="31"/>
      <c r="K176" s="22"/>
      <c r="L176" s="22"/>
      <c r="M176" s="22"/>
      <c r="N176" s="22"/>
    </row>
    <row r="177" spans="1:14" hidden="1" x14ac:dyDescent="0.25">
      <c r="A177" s="22"/>
      <c r="B177" s="23"/>
      <c r="C177" s="22"/>
      <c r="D177" s="22"/>
      <c r="E177" s="22"/>
      <c r="F177" s="23"/>
      <c r="G177" s="22"/>
      <c r="H177" s="22"/>
      <c r="I177" s="22"/>
      <c r="J177" s="31"/>
      <c r="K177" s="22"/>
      <c r="L177" s="22"/>
      <c r="M177" s="22"/>
      <c r="N177" s="22"/>
    </row>
    <row r="178" spans="1:14" hidden="1" x14ac:dyDescent="0.25">
      <c r="A178" s="22"/>
      <c r="B178" s="23"/>
      <c r="C178" s="22"/>
      <c r="D178" s="22"/>
      <c r="E178" s="22"/>
      <c r="F178" s="23"/>
      <c r="G178" s="22"/>
      <c r="H178" s="22"/>
      <c r="I178" s="22"/>
      <c r="J178" s="31"/>
      <c r="K178" s="22"/>
      <c r="L178" s="22"/>
      <c r="M178" s="22"/>
      <c r="N178" s="22"/>
    </row>
    <row r="179" spans="1:14" hidden="1" x14ac:dyDescent="0.25">
      <c r="A179" s="22"/>
      <c r="B179" s="23"/>
      <c r="C179" s="22"/>
      <c r="D179" s="22"/>
      <c r="E179" s="22"/>
      <c r="F179" s="23"/>
      <c r="G179" s="22"/>
      <c r="H179" s="22"/>
      <c r="I179" s="22"/>
      <c r="J179" s="31"/>
      <c r="K179" s="22"/>
      <c r="L179" s="22"/>
      <c r="M179" s="22"/>
      <c r="N179" s="22"/>
    </row>
    <row r="180" spans="1:14" hidden="1" x14ac:dyDescent="0.25">
      <c r="A180" s="22"/>
      <c r="B180" s="23"/>
      <c r="C180" s="22"/>
      <c r="D180" s="22"/>
      <c r="E180" s="22"/>
      <c r="F180" s="23"/>
      <c r="G180" s="22"/>
      <c r="H180" s="22"/>
      <c r="I180" s="22"/>
      <c r="J180" s="31"/>
      <c r="K180" s="22"/>
      <c r="L180" s="22"/>
      <c r="M180" s="22"/>
      <c r="N180" s="22"/>
    </row>
    <row r="181" spans="1:14" hidden="1" x14ac:dyDescent="0.25">
      <c r="A181" s="22"/>
      <c r="B181" s="23"/>
      <c r="C181" s="22"/>
      <c r="D181" s="22"/>
      <c r="E181" s="22"/>
      <c r="F181" s="23"/>
      <c r="G181" s="22"/>
      <c r="H181" s="22"/>
      <c r="I181" s="22"/>
      <c r="J181" s="31"/>
      <c r="K181" s="22"/>
      <c r="L181" s="22"/>
      <c r="M181" s="22"/>
      <c r="N181" s="22"/>
    </row>
    <row r="182" spans="1:14" hidden="1" x14ac:dyDescent="0.25">
      <c r="A182" s="22"/>
      <c r="B182" s="23"/>
      <c r="C182" s="22"/>
      <c r="D182" s="22"/>
      <c r="E182" s="22"/>
      <c r="F182" s="23"/>
      <c r="G182" s="22"/>
      <c r="H182" s="22"/>
      <c r="I182" s="22"/>
      <c r="J182" s="31"/>
      <c r="K182" s="22"/>
      <c r="L182" s="22"/>
      <c r="M182" s="22"/>
      <c r="N182" s="22"/>
    </row>
    <row r="183" spans="1:14" hidden="1" x14ac:dyDescent="0.25">
      <c r="A183" s="22"/>
      <c r="B183" s="23"/>
      <c r="C183" s="22"/>
      <c r="D183" s="22"/>
      <c r="E183" s="22"/>
      <c r="F183" s="23"/>
      <c r="G183" s="22"/>
      <c r="H183" s="22"/>
      <c r="I183" s="22"/>
      <c r="J183" s="31"/>
      <c r="K183" s="22"/>
      <c r="L183" s="22"/>
      <c r="M183" s="22"/>
      <c r="N183" s="22"/>
    </row>
    <row r="184" spans="1:14" hidden="1" x14ac:dyDescent="0.25">
      <c r="A184" s="22"/>
      <c r="B184" s="23"/>
      <c r="C184" s="22"/>
      <c r="D184" s="22"/>
      <c r="E184" s="22"/>
      <c r="F184" s="23"/>
      <c r="G184" s="22"/>
      <c r="H184" s="22"/>
      <c r="I184" s="22"/>
      <c r="J184" s="31"/>
      <c r="K184" s="22"/>
      <c r="L184" s="22"/>
      <c r="M184" s="22"/>
      <c r="N184" s="22"/>
    </row>
    <row r="185" spans="1:14" hidden="1" x14ac:dyDescent="0.25">
      <c r="A185" s="22"/>
      <c r="B185" s="23"/>
      <c r="C185" s="22"/>
      <c r="D185" s="22"/>
      <c r="E185" s="22"/>
      <c r="F185" s="23"/>
      <c r="G185" s="22"/>
      <c r="H185" s="22"/>
      <c r="I185" s="22"/>
      <c r="J185" s="31"/>
      <c r="K185" s="22"/>
      <c r="L185" s="22"/>
      <c r="M185" s="22"/>
      <c r="N185" s="22"/>
    </row>
    <row r="186" spans="1:14" hidden="1" x14ac:dyDescent="0.25">
      <c r="A186" s="22"/>
      <c r="B186" s="23"/>
      <c r="C186" s="22"/>
      <c r="D186" s="22"/>
      <c r="E186" s="22"/>
      <c r="F186" s="23"/>
      <c r="G186" s="22"/>
      <c r="H186" s="22"/>
      <c r="I186" s="22"/>
      <c r="J186" s="31"/>
      <c r="K186" s="22"/>
      <c r="L186" s="22"/>
      <c r="M186" s="22"/>
      <c r="N186" s="22"/>
    </row>
    <row r="187" spans="1:14" hidden="1" x14ac:dyDescent="0.25">
      <c r="A187" s="22"/>
      <c r="B187" s="23"/>
      <c r="C187" s="22"/>
      <c r="D187" s="22"/>
      <c r="E187" s="22"/>
      <c r="F187" s="23"/>
      <c r="G187" s="22"/>
      <c r="H187" s="22"/>
      <c r="I187" s="22"/>
      <c r="J187" s="31"/>
      <c r="K187" s="22"/>
      <c r="L187" s="22"/>
      <c r="M187" s="22"/>
      <c r="N187" s="22"/>
    </row>
    <row r="188" spans="1:14" hidden="1" x14ac:dyDescent="0.25">
      <c r="A188" s="22"/>
      <c r="B188" s="23"/>
      <c r="C188" s="22"/>
      <c r="D188" s="22"/>
      <c r="E188" s="22"/>
      <c r="F188" s="23"/>
      <c r="G188" s="22"/>
      <c r="H188" s="22"/>
      <c r="I188" s="22"/>
      <c r="J188" s="31"/>
      <c r="K188" s="22"/>
      <c r="L188" s="22"/>
      <c r="M188" s="22"/>
      <c r="N188" s="22"/>
    </row>
    <row r="189" spans="1:14" hidden="1" x14ac:dyDescent="0.25">
      <c r="A189" s="22"/>
      <c r="B189" s="23"/>
      <c r="C189" s="22"/>
      <c r="D189" s="22"/>
      <c r="E189" s="22"/>
      <c r="F189" s="23"/>
      <c r="G189" s="22"/>
      <c r="H189" s="22"/>
      <c r="I189" s="22"/>
      <c r="J189" s="31"/>
      <c r="K189" s="22"/>
      <c r="L189" s="22"/>
      <c r="M189" s="22"/>
      <c r="N189" s="22"/>
    </row>
    <row r="190" spans="1:14" hidden="1" x14ac:dyDescent="0.25">
      <c r="A190" s="22"/>
      <c r="B190" s="23"/>
      <c r="C190" s="22"/>
      <c r="D190" s="22"/>
      <c r="E190" s="22"/>
      <c r="F190" s="23"/>
      <c r="G190" s="22"/>
      <c r="H190" s="22"/>
      <c r="I190" s="22"/>
      <c r="J190" s="31"/>
      <c r="K190" s="22"/>
      <c r="L190" s="22"/>
      <c r="M190" s="22"/>
      <c r="N190" s="22"/>
    </row>
    <row r="191" spans="1:14" hidden="1" x14ac:dyDescent="0.25">
      <c r="A191" s="22"/>
      <c r="B191" s="23"/>
      <c r="C191" s="22"/>
      <c r="D191" s="22"/>
      <c r="E191" s="22"/>
      <c r="F191" s="23"/>
      <c r="G191" s="22"/>
      <c r="H191" s="22"/>
      <c r="I191" s="22"/>
      <c r="J191" s="31"/>
      <c r="K191" s="22"/>
      <c r="L191" s="22"/>
      <c r="M191" s="22"/>
      <c r="N191" s="22"/>
    </row>
    <row r="192" spans="1:14" hidden="1" x14ac:dyDescent="0.25">
      <c r="A192" s="22"/>
      <c r="B192" s="23"/>
      <c r="C192" s="22"/>
      <c r="D192" s="22"/>
      <c r="E192" s="22"/>
      <c r="F192" s="23"/>
      <c r="G192" s="22"/>
      <c r="H192" s="22"/>
      <c r="I192" s="22"/>
      <c r="J192" s="31"/>
      <c r="K192" s="22"/>
      <c r="L192" s="22"/>
      <c r="M192" s="22"/>
      <c r="N192" s="22"/>
    </row>
    <row r="193" spans="1:14" hidden="1" x14ac:dyDescent="0.25">
      <c r="A193" s="22"/>
      <c r="B193" s="23"/>
      <c r="C193" s="22"/>
      <c r="D193" s="22"/>
      <c r="E193" s="22"/>
      <c r="F193" s="23"/>
      <c r="G193" s="22"/>
      <c r="H193" s="22"/>
      <c r="I193" s="22"/>
      <c r="J193" s="31"/>
      <c r="K193" s="22"/>
      <c r="L193" s="22"/>
      <c r="M193" s="22"/>
      <c r="N193" s="22"/>
    </row>
    <row r="194" spans="1:14" hidden="1" x14ac:dyDescent="0.25">
      <c r="A194" s="22"/>
      <c r="B194" s="23"/>
      <c r="C194" s="22"/>
      <c r="D194" s="22"/>
      <c r="E194" s="22"/>
      <c r="F194" s="23"/>
      <c r="G194" s="22"/>
      <c r="H194" s="22"/>
      <c r="I194" s="22"/>
      <c r="J194" s="31"/>
      <c r="K194" s="22"/>
      <c r="L194" s="22"/>
      <c r="M194" s="22"/>
      <c r="N194" s="22"/>
    </row>
    <row r="195" spans="1:14" hidden="1" x14ac:dyDescent="0.25">
      <c r="A195" s="22"/>
      <c r="B195" s="23"/>
      <c r="C195" s="22"/>
      <c r="D195" s="22"/>
      <c r="E195" s="22"/>
      <c r="F195" s="23"/>
      <c r="G195" s="22"/>
      <c r="H195" s="22"/>
      <c r="I195" s="22"/>
      <c r="J195" s="31"/>
      <c r="K195" s="22"/>
      <c r="L195" s="22"/>
      <c r="M195" s="22"/>
      <c r="N195" s="22"/>
    </row>
    <row r="196" spans="1:14" hidden="1" x14ac:dyDescent="0.25">
      <c r="A196" s="22"/>
      <c r="B196" s="23"/>
      <c r="C196" s="22"/>
      <c r="D196" s="22"/>
      <c r="E196" s="22"/>
      <c r="F196" s="23"/>
      <c r="G196" s="22"/>
      <c r="H196" s="22"/>
      <c r="I196" s="22"/>
      <c r="J196" s="31"/>
      <c r="K196" s="22"/>
      <c r="L196" s="22"/>
      <c r="M196" s="22"/>
      <c r="N196" s="22"/>
    </row>
    <row r="197" spans="1:14" hidden="1" x14ac:dyDescent="0.25">
      <c r="A197" s="22"/>
      <c r="B197" s="23"/>
      <c r="C197" s="22"/>
      <c r="D197" s="22"/>
      <c r="E197" s="22"/>
      <c r="F197" s="23"/>
      <c r="G197" s="22"/>
      <c r="H197" s="22"/>
      <c r="I197" s="22"/>
      <c r="J197" s="31"/>
      <c r="K197" s="22"/>
      <c r="L197" s="22"/>
      <c r="M197" s="22"/>
      <c r="N197" s="22"/>
    </row>
    <row r="198" spans="1:14" hidden="1" x14ac:dyDescent="0.25">
      <c r="A198" s="22"/>
      <c r="B198" s="23"/>
      <c r="C198" s="22"/>
      <c r="D198" s="22"/>
      <c r="E198" s="22"/>
      <c r="F198" s="23"/>
      <c r="G198" s="22"/>
      <c r="H198" s="22"/>
      <c r="I198" s="22"/>
      <c r="J198" s="31"/>
      <c r="K198" s="22"/>
      <c r="L198" s="22"/>
      <c r="M198" s="22"/>
      <c r="N198" s="22"/>
    </row>
    <row r="199" spans="1:14" hidden="1" x14ac:dyDescent="0.25">
      <c r="A199" s="22"/>
      <c r="B199" s="23"/>
      <c r="C199" s="22"/>
      <c r="D199" s="22"/>
      <c r="E199" s="22"/>
      <c r="F199" s="23"/>
      <c r="G199" s="22"/>
      <c r="H199" s="22"/>
      <c r="I199" s="22"/>
      <c r="J199" s="31"/>
      <c r="K199" s="22"/>
      <c r="L199" s="22"/>
      <c r="M199" s="22"/>
      <c r="N199" s="22"/>
    </row>
    <row r="200" spans="1:14" hidden="1" x14ac:dyDescent="0.25">
      <c r="A200" s="22"/>
      <c r="B200" s="23"/>
      <c r="C200" s="22"/>
      <c r="D200" s="22"/>
      <c r="E200" s="22"/>
      <c r="F200" s="23"/>
      <c r="G200" s="22"/>
      <c r="H200" s="22"/>
      <c r="I200" s="22"/>
      <c r="J200" s="31"/>
      <c r="K200" s="22"/>
      <c r="L200" s="22"/>
      <c r="M200" s="22"/>
      <c r="N200" s="22"/>
    </row>
    <row r="201" spans="1:14" hidden="1" x14ac:dyDescent="0.25">
      <c r="A201" s="22"/>
      <c r="B201" s="23"/>
      <c r="C201" s="22"/>
      <c r="D201" s="22"/>
      <c r="E201" s="22"/>
      <c r="F201" s="23"/>
      <c r="G201" s="22"/>
      <c r="H201" s="22"/>
      <c r="I201" s="22"/>
      <c r="J201" s="31"/>
      <c r="K201" s="22"/>
      <c r="L201" s="22"/>
      <c r="M201" s="22"/>
      <c r="N201" s="22"/>
    </row>
    <row r="202" spans="1:14" hidden="1" x14ac:dyDescent="0.25">
      <c r="A202" s="22"/>
      <c r="B202" s="23"/>
      <c r="C202" s="22"/>
      <c r="D202" s="22"/>
      <c r="E202" s="22"/>
      <c r="F202" s="23"/>
      <c r="G202" s="22"/>
      <c r="H202" s="22"/>
      <c r="I202" s="22"/>
      <c r="J202" s="31"/>
      <c r="K202" s="22"/>
      <c r="L202" s="22"/>
      <c r="M202" s="22"/>
      <c r="N202" s="22"/>
    </row>
    <row r="203" spans="1:14" hidden="1" x14ac:dyDescent="0.25">
      <c r="A203" s="22"/>
      <c r="B203" s="23"/>
      <c r="C203" s="22"/>
      <c r="D203" s="22"/>
      <c r="E203" s="22"/>
      <c r="F203" s="23"/>
      <c r="G203" s="22"/>
      <c r="H203" s="22"/>
      <c r="I203" s="22"/>
      <c r="J203" s="31"/>
      <c r="K203" s="22"/>
      <c r="L203" s="22"/>
      <c r="M203" s="22"/>
      <c r="N203" s="22"/>
    </row>
    <row r="204" spans="1:14" hidden="1" x14ac:dyDescent="0.25">
      <c r="A204" s="22"/>
      <c r="B204" s="23"/>
      <c r="C204" s="22"/>
      <c r="D204" s="22"/>
      <c r="E204" s="22"/>
      <c r="F204" s="23"/>
      <c r="G204" s="22"/>
      <c r="H204" s="22"/>
      <c r="I204" s="22"/>
      <c r="J204" s="31"/>
      <c r="K204" s="22"/>
      <c r="L204" s="22"/>
      <c r="M204" s="22"/>
      <c r="N204" s="22"/>
    </row>
    <row r="205" spans="1:14" hidden="1" x14ac:dyDescent="0.25">
      <c r="A205" s="22"/>
      <c r="B205" s="23"/>
      <c r="C205" s="22"/>
      <c r="D205" s="22"/>
      <c r="E205" s="22"/>
      <c r="F205" s="23"/>
      <c r="G205" s="22"/>
      <c r="H205" s="22"/>
      <c r="I205" s="22"/>
      <c r="J205" s="31"/>
      <c r="K205" s="22"/>
      <c r="L205" s="22"/>
      <c r="M205" s="22"/>
      <c r="N205" s="22"/>
    </row>
    <row r="206" spans="1:14" hidden="1" x14ac:dyDescent="0.25">
      <c r="A206" s="22"/>
      <c r="B206" s="23"/>
      <c r="C206" s="22"/>
      <c r="D206" s="22"/>
      <c r="E206" s="22"/>
      <c r="F206" s="23"/>
      <c r="G206" s="22"/>
      <c r="H206" s="22"/>
      <c r="I206" s="22"/>
      <c r="J206" s="31"/>
      <c r="K206" s="22"/>
      <c r="L206" s="22"/>
      <c r="M206" s="22"/>
      <c r="N206" s="22"/>
    </row>
    <row r="207" spans="1:14" hidden="1" x14ac:dyDescent="0.25">
      <c r="A207" s="22"/>
      <c r="B207" s="23"/>
      <c r="C207" s="22"/>
      <c r="D207" s="22"/>
      <c r="E207" s="22"/>
      <c r="F207" s="23"/>
      <c r="G207" s="22"/>
      <c r="H207" s="22"/>
      <c r="I207" s="22"/>
      <c r="J207" s="31"/>
      <c r="K207" s="22"/>
      <c r="L207" s="22"/>
      <c r="M207" s="22"/>
      <c r="N207" s="22"/>
    </row>
    <row r="208" spans="1:14" hidden="1" x14ac:dyDescent="0.25">
      <c r="A208" s="22"/>
      <c r="B208" s="23"/>
      <c r="C208" s="22"/>
      <c r="D208" s="22"/>
      <c r="E208" s="22"/>
      <c r="F208" s="23"/>
      <c r="G208" s="22"/>
      <c r="H208" s="22"/>
      <c r="I208" s="22"/>
      <c r="J208" s="31"/>
      <c r="K208" s="22"/>
      <c r="L208" s="22"/>
      <c r="M208" s="22"/>
      <c r="N208" s="22"/>
    </row>
    <row r="209" spans="1:14" hidden="1" x14ac:dyDescent="0.25">
      <c r="A209" s="22"/>
      <c r="B209" s="23"/>
      <c r="C209" s="22"/>
      <c r="D209" s="22"/>
      <c r="E209" s="22"/>
      <c r="F209" s="23"/>
      <c r="G209" s="22"/>
      <c r="H209" s="22"/>
      <c r="I209" s="22"/>
      <c r="J209" s="31"/>
      <c r="K209" s="22"/>
      <c r="L209" s="22"/>
      <c r="M209" s="22"/>
      <c r="N209" s="22"/>
    </row>
    <row r="210" spans="1:14" hidden="1" x14ac:dyDescent="0.25">
      <c r="A210" s="22"/>
      <c r="B210" s="23"/>
      <c r="C210" s="22"/>
      <c r="D210" s="22"/>
      <c r="E210" s="22"/>
      <c r="F210" s="23"/>
      <c r="G210" s="22"/>
      <c r="H210" s="22"/>
      <c r="I210" s="22"/>
      <c r="J210" s="31"/>
      <c r="K210" s="22"/>
      <c r="L210" s="22"/>
      <c r="M210" s="22"/>
      <c r="N210" s="22"/>
    </row>
    <row r="211" spans="1:14" hidden="1" x14ac:dyDescent="0.25">
      <c r="A211" s="22"/>
      <c r="B211" s="23"/>
      <c r="C211" s="22"/>
      <c r="D211" s="22"/>
      <c r="E211" s="22"/>
      <c r="F211" s="23"/>
      <c r="G211" s="22"/>
      <c r="H211" s="22"/>
      <c r="I211" s="22"/>
      <c r="J211" s="31"/>
      <c r="K211" s="22"/>
      <c r="L211" s="22"/>
      <c r="M211" s="22"/>
      <c r="N211" s="22"/>
    </row>
    <row r="212" spans="1:14" hidden="1" x14ac:dyDescent="0.25">
      <c r="A212" s="22"/>
      <c r="B212" s="23"/>
      <c r="C212" s="22"/>
      <c r="D212" s="22"/>
      <c r="E212" s="22"/>
      <c r="F212" s="23"/>
      <c r="G212" s="22"/>
      <c r="H212" s="22"/>
      <c r="I212" s="22"/>
      <c r="J212" s="31"/>
      <c r="K212" s="22"/>
      <c r="L212" s="22"/>
      <c r="M212" s="22"/>
      <c r="N212" s="22"/>
    </row>
    <row r="213" spans="1:14" hidden="1" x14ac:dyDescent="0.25">
      <c r="A213" s="22"/>
      <c r="B213" s="23"/>
      <c r="C213" s="22"/>
      <c r="D213" s="22"/>
      <c r="E213" s="22"/>
      <c r="F213" s="23"/>
      <c r="G213" s="22"/>
      <c r="H213" s="22"/>
      <c r="I213" s="22"/>
      <c r="J213" s="31"/>
      <c r="K213" s="22"/>
      <c r="L213" s="22"/>
      <c r="M213" s="22"/>
      <c r="N213" s="22"/>
    </row>
    <row r="214" spans="1:14" hidden="1" x14ac:dyDescent="0.25">
      <c r="A214" s="22"/>
      <c r="B214" s="23"/>
      <c r="C214" s="22"/>
      <c r="D214" s="22"/>
      <c r="E214" s="22"/>
      <c r="F214" s="23"/>
      <c r="G214" s="22"/>
      <c r="H214" s="22"/>
      <c r="I214" s="22"/>
      <c r="J214" s="31"/>
      <c r="K214" s="22"/>
      <c r="L214" s="22"/>
      <c r="M214" s="22"/>
      <c r="N214" s="22"/>
    </row>
    <row r="215" spans="1:14" hidden="1" x14ac:dyDescent="0.25">
      <c r="A215" s="22"/>
      <c r="B215" s="23"/>
      <c r="C215" s="22"/>
      <c r="D215" s="22"/>
      <c r="E215" s="22"/>
      <c r="F215" s="23"/>
      <c r="G215" s="22"/>
      <c r="H215" s="22"/>
      <c r="I215" s="22"/>
      <c r="J215" s="31"/>
      <c r="K215" s="22"/>
      <c r="L215" s="22"/>
      <c r="M215" s="22"/>
      <c r="N215" s="22"/>
    </row>
    <row r="216" spans="1:14" hidden="1" x14ac:dyDescent="0.25">
      <c r="A216" s="22"/>
      <c r="B216" s="23"/>
      <c r="C216" s="22"/>
      <c r="D216" s="22"/>
      <c r="E216" s="22"/>
      <c r="F216" s="23"/>
      <c r="G216" s="22"/>
      <c r="H216" s="22"/>
      <c r="I216" s="22"/>
      <c r="J216" s="31"/>
      <c r="K216" s="22"/>
      <c r="L216" s="22"/>
      <c r="M216" s="22"/>
      <c r="N216" s="22"/>
    </row>
    <row r="217" spans="1:14" hidden="1" x14ac:dyDescent="0.25">
      <c r="A217" s="22"/>
      <c r="B217" s="23"/>
      <c r="C217" s="22"/>
      <c r="D217" s="22"/>
      <c r="E217" s="22"/>
      <c r="F217" s="23"/>
      <c r="G217" s="22"/>
      <c r="H217" s="22"/>
      <c r="I217" s="22"/>
      <c r="J217" s="31"/>
      <c r="K217" s="22"/>
      <c r="L217" s="22"/>
      <c r="M217" s="22"/>
      <c r="N217" s="22"/>
    </row>
    <row r="218" spans="1:14" hidden="1" x14ac:dyDescent="0.25">
      <c r="A218" s="22"/>
      <c r="B218" s="23"/>
      <c r="C218" s="22"/>
      <c r="D218" s="22"/>
      <c r="E218" s="22"/>
      <c r="F218" s="23"/>
      <c r="G218" s="22"/>
      <c r="H218" s="22"/>
      <c r="I218" s="22"/>
      <c r="J218" s="31"/>
      <c r="K218" s="22"/>
      <c r="L218" s="22"/>
      <c r="M218" s="22"/>
      <c r="N218" s="22"/>
    </row>
    <row r="219" spans="1:14" hidden="1" x14ac:dyDescent="0.25">
      <c r="A219" s="22"/>
      <c r="B219" s="23"/>
      <c r="C219" s="22"/>
      <c r="D219" s="22"/>
      <c r="E219" s="22"/>
      <c r="F219" s="23"/>
      <c r="G219" s="22"/>
      <c r="H219" s="22"/>
      <c r="I219" s="22"/>
      <c r="J219" s="31"/>
      <c r="K219" s="22"/>
      <c r="L219" s="22"/>
      <c r="M219" s="22"/>
      <c r="N219" s="22"/>
    </row>
    <row r="220" spans="1:14" hidden="1" x14ac:dyDescent="0.25">
      <c r="A220" s="22"/>
      <c r="B220" s="23"/>
      <c r="C220" s="22"/>
      <c r="D220" s="22"/>
      <c r="E220" s="22"/>
      <c r="F220" s="23"/>
      <c r="G220" s="22"/>
      <c r="H220" s="22"/>
      <c r="I220" s="22"/>
      <c r="J220" s="31"/>
      <c r="K220" s="22"/>
      <c r="L220" s="22"/>
      <c r="M220" s="22"/>
      <c r="N220" s="22"/>
    </row>
    <row r="221" spans="1:14" hidden="1" x14ac:dyDescent="0.25">
      <c r="A221" s="22"/>
      <c r="B221" s="23"/>
      <c r="C221" s="22"/>
      <c r="D221" s="22"/>
      <c r="E221" s="22"/>
      <c r="F221" s="23"/>
      <c r="G221" s="22"/>
      <c r="H221" s="22"/>
      <c r="I221" s="22"/>
      <c r="J221" s="31"/>
      <c r="K221" s="22"/>
      <c r="L221" s="22"/>
      <c r="M221" s="22"/>
      <c r="N221" s="22"/>
    </row>
    <row r="222" spans="1:14" hidden="1" x14ac:dyDescent="0.25">
      <c r="A222" s="22"/>
      <c r="B222" s="23"/>
      <c r="C222" s="22"/>
      <c r="D222" s="22"/>
      <c r="E222" s="22"/>
      <c r="F222" s="23"/>
      <c r="G222" s="22"/>
      <c r="H222" s="22"/>
      <c r="I222" s="22"/>
      <c r="J222" s="31"/>
      <c r="K222" s="22"/>
      <c r="L222" s="22"/>
      <c r="M222" s="22"/>
      <c r="N222" s="22"/>
    </row>
    <row r="223" spans="1:14" hidden="1" x14ac:dyDescent="0.25">
      <c r="A223" s="22"/>
      <c r="B223" s="23"/>
      <c r="C223" s="22"/>
      <c r="D223" s="22"/>
      <c r="E223" s="22"/>
      <c r="F223" s="23"/>
      <c r="G223" s="22"/>
      <c r="H223" s="22"/>
      <c r="I223" s="22"/>
      <c r="J223" s="31"/>
      <c r="K223" s="22"/>
      <c r="L223" s="22"/>
      <c r="M223" s="22"/>
      <c r="N223" s="22"/>
    </row>
    <row r="224" spans="1:14" hidden="1" x14ac:dyDescent="0.25">
      <c r="A224" s="22"/>
      <c r="B224" s="23"/>
      <c r="C224" s="22"/>
      <c r="D224" s="22"/>
      <c r="E224" s="22"/>
      <c r="F224" s="23"/>
      <c r="G224" s="22"/>
      <c r="H224" s="22"/>
      <c r="I224" s="22"/>
      <c r="J224" s="31"/>
      <c r="K224" s="22"/>
      <c r="L224" s="22"/>
      <c r="M224" s="22"/>
      <c r="N224" s="22"/>
    </row>
    <row r="225" spans="1:14" hidden="1" x14ac:dyDescent="0.25">
      <c r="A225" s="22"/>
      <c r="B225" s="23"/>
      <c r="C225" s="22"/>
      <c r="D225" s="22"/>
      <c r="E225" s="22"/>
      <c r="F225" s="23"/>
      <c r="G225" s="22"/>
      <c r="H225" s="22"/>
      <c r="I225" s="22"/>
      <c r="J225" s="31"/>
      <c r="K225" s="22"/>
      <c r="L225" s="22"/>
      <c r="M225" s="22"/>
      <c r="N225" s="22"/>
    </row>
    <row r="226" spans="1:14" hidden="1" x14ac:dyDescent="0.25">
      <c r="A226" s="22"/>
      <c r="B226" s="23"/>
      <c r="C226" s="22"/>
      <c r="D226" s="22"/>
      <c r="E226" s="22"/>
      <c r="F226" s="23"/>
      <c r="G226" s="22"/>
      <c r="H226" s="22"/>
      <c r="I226" s="22"/>
      <c r="J226" s="31"/>
      <c r="K226" s="22"/>
      <c r="L226" s="22"/>
      <c r="M226" s="22"/>
      <c r="N226" s="22"/>
    </row>
    <row r="227" spans="1:14" hidden="1" x14ac:dyDescent="0.25">
      <c r="A227" s="22"/>
      <c r="B227" s="23"/>
      <c r="C227" s="22"/>
      <c r="D227" s="22"/>
      <c r="E227" s="22"/>
      <c r="F227" s="23"/>
      <c r="G227" s="22"/>
      <c r="H227" s="22"/>
      <c r="I227" s="22"/>
      <c r="J227" s="31"/>
      <c r="K227" s="22"/>
      <c r="L227" s="22"/>
      <c r="M227" s="22"/>
      <c r="N227" s="22"/>
    </row>
    <row r="228" spans="1:14" hidden="1" x14ac:dyDescent="0.25">
      <c r="A228" s="22"/>
      <c r="B228" s="23"/>
      <c r="C228" s="22"/>
      <c r="D228" s="22"/>
      <c r="E228" s="22"/>
      <c r="F228" s="23"/>
      <c r="G228" s="22"/>
      <c r="H228" s="22"/>
      <c r="I228" s="22"/>
      <c r="J228" s="31"/>
      <c r="K228" s="22"/>
      <c r="L228" s="22"/>
      <c r="M228" s="22"/>
      <c r="N228" s="22"/>
    </row>
    <row r="229" spans="1:14" hidden="1" x14ac:dyDescent="0.25">
      <c r="A229" s="22"/>
      <c r="B229" s="23"/>
      <c r="C229" s="22"/>
      <c r="D229" s="22"/>
      <c r="E229" s="22"/>
      <c r="F229" s="23"/>
      <c r="G229" s="22"/>
      <c r="H229" s="22"/>
      <c r="I229" s="22"/>
      <c r="J229" s="31"/>
      <c r="K229" s="22"/>
      <c r="L229" s="22"/>
      <c r="M229" s="22"/>
      <c r="N229" s="22"/>
    </row>
    <row r="230" spans="1:14" hidden="1" x14ac:dyDescent="0.25">
      <c r="A230" s="22"/>
      <c r="B230" s="23"/>
      <c r="C230" s="22"/>
      <c r="D230" s="22"/>
      <c r="E230" s="22"/>
      <c r="F230" s="23"/>
      <c r="G230" s="22"/>
      <c r="H230" s="22"/>
      <c r="I230" s="22"/>
      <c r="J230" s="31"/>
      <c r="K230" s="22"/>
      <c r="L230" s="22"/>
      <c r="M230" s="22"/>
      <c r="N230" s="22"/>
    </row>
    <row r="231" spans="1:14" hidden="1" x14ac:dyDescent="0.25">
      <c r="A231" s="22"/>
      <c r="B231" s="23"/>
      <c r="C231" s="22"/>
      <c r="D231" s="22"/>
      <c r="E231" s="22"/>
      <c r="F231" s="23"/>
      <c r="G231" s="22"/>
      <c r="H231" s="22"/>
      <c r="I231" s="22"/>
      <c r="J231" s="31"/>
      <c r="K231" s="22"/>
      <c r="L231" s="22"/>
      <c r="M231" s="22"/>
      <c r="N231" s="22"/>
    </row>
    <row r="232" spans="1:14" hidden="1" x14ac:dyDescent="0.25">
      <c r="A232" s="22"/>
      <c r="B232" s="23"/>
      <c r="C232" s="22"/>
      <c r="D232" s="22"/>
      <c r="E232" s="22"/>
      <c r="F232" s="23"/>
      <c r="G232" s="22"/>
      <c r="H232" s="22"/>
      <c r="I232" s="22"/>
      <c r="J232" s="31"/>
      <c r="K232" s="22"/>
      <c r="L232" s="22"/>
      <c r="M232" s="22"/>
      <c r="N232" s="22"/>
    </row>
    <row r="233" spans="1:14" hidden="1" x14ac:dyDescent="0.25">
      <c r="A233" s="22"/>
      <c r="B233" s="23"/>
      <c r="C233" s="22"/>
      <c r="D233" s="22"/>
      <c r="E233" s="22"/>
      <c r="F233" s="23"/>
      <c r="G233" s="22"/>
      <c r="H233" s="22"/>
      <c r="I233" s="22"/>
      <c r="J233" s="31"/>
      <c r="K233" s="22"/>
      <c r="L233" s="22"/>
      <c r="M233" s="22"/>
      <c r="N233" s="22"/>
    </row>
    <row r="234" spans="1:14" hidden="1" x14ac:dyDescent="0.25">
      <c r="A234" s="22"/>
      <c r="B234" s="23"/>
      <c r="C234" s="22"/>
      <c r="D234" s="22"/>
      <c r="E234" s="22"/>
      <c r="F234" s="23"/>
      <c r="G234" s="22"/>
      <c r="H234" s="22"/>
      <c r="I234" s="22"/>
      <c r="J234" s="31"/>
      <c r="K234" s="22"/>
      <c r="L234" s="22"/>
      <c r="M234" s="22"/>
      <c r="N234" s="22"/>
    </row>
    <row r="235" spans="1:14" hidden="1" x14ac:dyDescent="0.25">
      <c r="A235" s="22"/>
      <c r="B235" s="23"/>
      <c r="C235" s="22"/>
      <c r="D235" s="22"/>
      <c r="E235" s="22"/>
      <c r="F235" s="23"/>
      <c r="G235" s="22"/>
      <c r="H235" s="22"/>
      <c r="I235" s="22"/>
      <c r="J235" s="31"/>
      <c r="K235" s="22"/>
      <c r="L235" s="22"/>
      <c r="M235" s="22"/>
      <c r="N235" s="22"/>
    </row>
    <row r="236" spans="1:14" hidden="1" x14ac:dyDescent="0.25">
      <c r="A236" s="22"/>
      <c r="B236" s="23"/>
      <c r="C236" s="22"/>
      <c r="D236" s="22"/>
      <c r="E236" s="22"/>
      <c r="F236" s="23"/>
      <c r="G236" s="22"/>
      <c r="H236" s="22"/>
      <c r="I236" s="22"/>
      <c r="J236" s="31"/>
      <c r="K236" s="22"/>
      <c r="L236" s="22"/>
      <c r="M236" s="22"/>
      <c r="N236" s="22"/>
    </row>
    <row r="237" spans="1:14" hidden="1" x14ac:dyDescent="0.25">
      <c r="A237" s="22"/>
      <c r="B237" s="23"/>
      <c r="C237" s="22"/>
      <c r="D237" s="22"/>
      <c r="E237" s="22"/>
      <c r="F237" s="23"/>
      <c r="G237" s="22"/>
      <c r="H237" s="22"/>
      <c r="I237" s="22"/>
      <c r="J237" s="31"/>
      <c r="K237" s="22"/>
      <c r="L237" s="22"/>
      <c r="M237" s="22"/>
      <c r="N237" s="22"/>
    </row>
    <row r="238" spans="1:14" hidden="1" x14ac:dyDescent="0.25">
      <c r="A238" s="22"/>
      <c r="B238" s="23"/>
      <c r="C238" s="22"/>
      <c r="D238" s="22"/>
      <c r="E238" s="22"/>
      <c r="F238" s="23"/>
      <c r="G238" s="22"/>
      <c r="H238" s="22"/>
      <c r="I238" s="22"/>
      <c r="J238" s="31"/>
      <c r="K238" s="22"/>
      <c r="L238" s="22"/>
      <c r="M238" s="22"/>
      <c r="N238" s="22"/>
    </row>
    <row r="239" spans="1:14" hidden="1" x14ac:dyDescent="0.25">
      <c r="A239" s="22"/>
      <c r="B239" s="23"/>
      <c r="C239" s="22"/>
      <c r="D239" s="22"/>
      <c r="E239" s="22"/>
      <c r="F239" s="23"/>
      <c r="G239" s="22"/>
      <c r="H239" s="22"/>
      <c r="I239" s="22"/>
      <c r="J239" s="31"/>
      <c r="K239" s="22"/>
      <c r="L239" s="22"/>
      <c r="M239" s="22"/>
      <c r="N239" s="22"/>
    </row>
    <row r="240" spans="1:14" hidden="1" x14ac:dyDescent="0.25">
      <c r="A240" s="22"/>
      <c r="B240" s="23"/>
      <c r="C240" s="22"/>
      <c r="D240" s="22"/>
      <c r="E240" s="22"/>
      <c r="F240" s="23"/>
      <c r="G240" s="22"/>
      <c r="H240" s="22"/>
      <c r="I240" s="22"/>
      <c r="J240" s="31"/>
      <c r="K240" s="22"/>
      <c r="L240" s="22"/>
      <c r="M240" s="22"/>
      <c r="N240" s="22"/>
    </row>
    <row r="241" spans="1:14" hidden="1" x14ac:dyDescent="0.25">
      <c r="A241" s="22"/>
      <c r="B241" s="23"/>
      <c r="C241" s="22"/>
      <c r="D241" s="22"/>
      <c r="E241" s="22"/>
      <c r="F241" s="23"/>
      <c r="G241" s="22"/>
      <c r="H241" s="22"/>
      <c r="I241" s="22"/>
      <c r="J241" s="31"/>
      <c r="K241" s="22"/>
      <c r="L241" s="22"/>
      <c r="M241" s="22"/>
      <c r="N241" s="22"/>
    </row>
    <row r="242" spans="1:14" hidden="1" x14ac:dyDescent="0.25">
      <c r="A242" s="22"/>
      <c r="B242" s="23"/>
      <c r="C242" s="22"/>
      <c r="D242" s="22"/>
      <c r="E242" s="22"/>
      <c r="F242" s="23"/>
      <c r="G242" s="22"/>
      <c r="H242" s="22"/>
      <c r="I242" s="22"/>
      <c r="J242" s="31"/>
      <c r="K242" s="22"/>
      <c r="L242" s="22"/>
      <c r="M242" s="22"/>
      <c r="N242" s="22"/>
    </row>
    <row r="243" spans="1:14" hidden="1" x14ac:dyDescent="0.25">
      <c r="A243" s="22"/>
      <c r="B243" s="23"/>
      <c r="C243" s="22"/>
      <c r="D243" s="22"/>
      <c r="E243" s="22"/>
      <c r="F243" s="23"/>
      <c r="G243" s="22"/>
      <c r="H243" s="22"/>
      <c r="I243" s="22"/>
      <c r="J243" s="31"/>
      <c r="K243" s="22"/>
      <c r="L243" s="22"/>
      <c r="M243" s="22"/>
      <c r="N243" s="22"/>
    </row>
    <row r="244" spans="1:14" hidden="1" x14ac:dyDescent="0.25">
      <c r="A244" s="22"/>
      <c r="B244" s="23"/>
      <c r="C244" s="22"/>
      <c r="D244" s="22"/>
      <c r="E244" s="22"/>
      <c r="F244" s="23"/>
      <c r="G244" s="22"/>
      <c r="H244" s="22"/>
      <c r="I244" s="22"/>
      <c r="J244" s="31"/>
      <c r="K244" s="22"/>
      <c r="L244" s="22"/>
      <c r="M244" s="22"/>
      <c r="N244" s="22"/>
    </row>
    <row r="245" spans="1:14" hidden="1" x14ac:dyDescent="0.25">
      <c r="A245" s="22"/>
      <c r="B245" s="23"/>
      <c r="C245" s="22"/>
      <c r="D245" s="22"/>
      <c r="E245" s="22"/>
      <c r="F245" s="23"/>
      <c r="G245" s="22"/>
      <c r="H245" s="22"/>
      <c r="I245" s="22"/>
      <c r="J245" s="31"/>
      <c r="K245" s="22"/>
      <c r="L245" s="22"/>
      <c r="M245" s="22"/>
      <c r="N245" s="22"/>
    </row>
    <row r="246" spans="1:14" hidden="1" x14ac:dyDescent="0.25">
      <c r="A246" s="22"/>
      <c r="B246" s="23"/>
      <c r="C246" s="22"/>
      <c r="D246" s="22"/>
      <c r="E246" s="22"/>
      <c r="F246" s="23"/>
      <c r="G246" s="22"/>
      <c r="H246" s="22"/>
      <c r="I246" s="22"/>
      <c r="J246" s="31"/>
      <c r="K246" s="22"/>
      <c r="L246" s="22"/>
      <c r="M246" s="22"/>
      <c r="N246" s="22"/>
    </row>
    <row r="247" spans="1:14" hidden="1" x14ac:dyDescent="0.25">
      <c r="A247" s="22"/>
      <c r="B247" s="23"/>
      <c r="C247" s="22"/>
      <c r="D247" s="22"/>
      <c r="E247" s="22"/>
      <c r="F247" s="23"/>
      <c r="G247" s="22"/>
      <c r="H247" s="22"/>
      <c r="I247" s="22"/>
      <c r="J247" s="31"/>
      <c r="K247" s="22"/>
      <c r="L247" s="22"/>
      <c r="M247" s="22"/>
      <c r="N247" s="22"/>
    </row>
    <row r="248" spans="1:14" hidden="1" x14ac:dyDescent="0.25">
      <c r="A248" s="22"/>
      <c r="B248" s="23"/>
      <c r="C248" s="22"/>
      <c r="D248" s="22"/>
      <c r="E248" s="22"/>
      <c r="F248" s="23"/>
      <c r="G248" s="22"/>
      <c r="H248" s="22"/>
      <c r="I248" s="22"/>
      <c r="J248" s="31"/>
      <c r="K248" s="22"/>
      <c r="L248" s="22"/>
      <c r="M248" s="22"/>
      <c r="N248" s="22"/>
    </row>
    <row r="249" spans="1:14" hidden="1" x14ac:dyDescent="0.25">
      <c r="A249" s="22"/>
      <c r="B249" s="23"/>
      <c r="C249" s="22"/>
      <c r="D249" s="22"/>
      <c r="E249" s="22"/>
      <c r="F249" s="23"/>
      <c r="G249" s="22"/>
      <c r="H249" s="22"/>
      <c r="I249" s="22"/>
      <c r="J249" s="31"/>
      <c r="K249" s="22"/>
      <c r="L249" s="22"/>
      <c r="M249" s="22"/>
      <c r="N249" s="22"/>
    </row>
    <row r="250" spans="1:14" hidden="1" x14ac:dyDescent="0.25">
      <c r="A250" s="22"/>
      <c r="B250" s="23"/>
      <c r="C250" s="22"/>
      <c r="D250" s="22"/>
      <c r="E250" s="22"/>
      <c r="F250" s="23"/>
      <c r="G250" s="22"/>
      <c r="H250" s="22"/>
      <c r="I250" s="22"/>
      <c r="J250" s="31"/>
      <c r="K250" s="22"/>
      <c r="L250" s="22"/>
      <c r="M250" s="22"/>
      <c r="N250" s="22"/>
    </row>
    <row r="251" spans="1:14" hidden="1" x14ac:dyDescent="0.25">
      <c r="A251" s="22"/>
      <c r="B251" s="23"/>
      <c r="C251" s="22"/>
      <c r="D251" s="22"/>
      <c r="E251" s="22"/>
      <c r="F251" s="23"/>
      <c r="G251" s="22"/>
      <c r="H251" s="22"/>
      <c r="I251" s="22"/>
      <c r="J251" s="31"/>
      <c r="K251" s="22"/>
      <c r="L251" s="22"/>
      <c r="M251" s="22"/>
      <c r="N251" s="22"/>
    </row>
    <row r="252" spans="1:14" hidden="1" x14ac:dyDescent="0.25">
      <c r="A252" s="22"/>
      <c r="B252" s="23"/>
      <c r="C252" s="22"/>
      <c r="D252" s="22"/>
      <c r="E252" s="22"/>
      <c r="F252" s="23"/>
      <c r="G252" s="22"/>
      <c r="H252" s="22"/>
      <c r="I252" s="22"/>
      <c r="J252" s="31"/>
      <c r="K252" s="22"/>
      <c r="L252" s="22"/>
      <c r="M252" s="22"/>
      <c r="N252" s="22"/>
    </row>
    <row r="253" spans="1:14" hidden="1" x14ac:dyDescent="0.25">
      <c r="A253" s="22"/>
      <c r="B253" s="23"/>
      <c r="C253" s="22"/>
      <c r="D253" s="22"/>
      <c r="E253" s="22"/>
      <c r="F253" s="23"/>
      <c r="G253" s="22"/>
      <c r="H253" s="22"/>
      <c r="I253" s="22"/>
      <c r="J253" s="31"/>
      <c r="K253" s="22"/>
      <c r="L253" s="22"/>
      <c r="M253" s="22"/>
      <c r="N253" s="22"/>
    </row>
    <row r="254" spans="1:14" hidden="1" x14ac:dyDescent="0.25">
      <c r="A254" s="22"/>
      <c r="B254" s="23"/>
      <c r="C254" s="22"/>
      <c r="D254" s="22"/>
      <c r="E254" s="22"/>
      <c r="F254" s="23"/>
      <c r="G254" s="22"/>
      <c r="H254" s="22"/>
      <c r="I254" s="22"/>
      <c r="J254" s="31"/>
      <c r="K254" s="22"/>
      <c r="L254" s="22"/>
      <c r="M254" s="22"/>
      <c r="N254" s="22"/>
    </row>
    <row r="255" spans="1:14" hidden="1" x14ac:dyDescent="0.25">
      <c r="A255" s="22"/>
      <c r="B255" s="23"/>
      <c r="C255" s="22"/>
      <c r="D255" s="22"/>
      <c r="E255" s="22"/>
      <c r="F255" s="23"/>
      <c r="G255" s="22"/>
      <c r="H255" s="22"/>
      <c r="I255" s="22"/>
      <c r="J255" s="31"/>
      <c r="K255" s="22"/>
      <c r="L255" s="22"/>
      <c r="M255" s="22"/>
      <c r="N255" s="22"/>
    </row>
    <row r="256" spans="1:14" hidden="1" x14ac:dyDescent="0.25">
      <c r="A256" s="22"/>
      <c r="B256" s="23"/>
      <c r="C256" s="22"/>
      <c r="D256" s="22"/>
      <c r="E256" s="22"/>
      <c r="F256" s="23"/>
      <c r="G256" s="22"/>
      <c r="H256" s="22"/>
      <c r="I256" s="22"/>
      <c r="J256" s="31"/>
      <c r="K256" s="22"/>
      <c r="L256" s="22"/>
      <c r="M256" s="22"/>
      <c r="N256" s="22"/>
    </row>
    <row r="257" spans="1:14" hidden="1" x14ac:dyDescent="0.25">
      <c r="A257" s="22"/>
      <c r="B257" s="23"/>
      <c r="C257" s="22"/>
      <c r="D257" s="22"/>
      <c r="E257" s="22"/>
      <c r="F257" s="23"/>
      <c r="G257" s="22"/>
      <c r="H257" s="22"/>
      <c r="I257" s="22"/>
      <c r="J257" s="31"/>
      <c r="K257" s="22"/>
      <c r="L257" s="22"/>
      <c r="M257" s="22"/>
      <c r="N257" s="22"/>
    </row>
    <row r="258" spans="1:14" hidden="1" x14ac:dyDescent="0.25">
      <c r="A258" s="22"/>
      <c r="B258" s="23"/>
      <c r="C258" s="22"/>
      <c r="D258" s="22"/>
      <c r="E258" s="22"/>
      <c r="F258" s="23"/>
      <c r="G258" s="22"/>
      <c r="H258" s="22"/>
      <c r="I258" s="22"/>
      <c r="J258" s="31"/>
      <c r="K258" s="22"/>
      <c r="L258" s="22"/>
      <c r="M258" s="22"/>
      <c r="N258" s="22"/>
    </row>
    <row r="259" spans="1:14" hidden="1" x14ac:dyDescent="0.25">
      <c r="A259" s="22"/>
      <c r="B259" s="23"/>
      <c r="C259" s="22"/>
      <c r="D259" s="22"/>
      <c r="E259" s="22"/>
      <c r="F259" s="23"/>
      <c r="G259" s="22"/>
      <c r="H259" s="22"/>
      <c r="I259" s="22"/>
      <c r="J259" s="31"/>
      <c r="K259" s="22"/>
      <c r="L259" s="22"/>
      <c r="M259" s="22"/>
      <c r="N259" s="22"/>
    </row>
    <row r="260" spans="1:14" hidden="1" x14ac:dyDescent="0.25">
      <c r="A260" s="22"/>
      <c r="B260" s="23"/>
      <c r="C260" s="22"/>
      <c r="D260" s="22"/>
      <c r="E260" s="22"/>
      <c r="F260" s="23"/>
      <c r="G260" s="22"/>
      <c r="H260" s="22"/>
      <c r="I260" s="22"/>
      <c r="J260" s="31"/>
      <c r="K260" s="22"/>
      <c r="L260" s="22"/>
      <c r="M260" s="22"/>
      <c r="N260" s="22"/>
    </row>
    <row r="261" spans="1:14" hidden="1" x14ac:dyDescent="0.25">
      <c r="A261" s="22"/>
      <c r="B261" s="23"/>
      <c r="C261" s="22"/>
      <c r="D261" s="22"/>
      <c r="E261" s="22"/>
      <c r="F261" s="23"/>
      <c r="G261" s="22"/>
      <c r="H261" s="22"/>
      <c r="I261" s="22"/>
      <c r="J261" s="31"/>
      <c r="K261" s="22"/>
      <c r="L261" s="22"/>
      <c r="M261" s="22"/>
      <c r="N261" s="22"/>
    </row>
    <row r="262" spans="1:14" hidden="1" x14ac:dyDescent="0.25">
      <c r="A262" s="22"/>
      <c r="B262" s="23"/>
      <c r="C262" s="22"/>
      <c r="D262" s="22"/>
      <c r="E262" s="22"/>
      <c r="F262" s="23"/>
      <c r="G262" s="22"/>
      <c r="H262" s="22"/>
      <c r="I262" s="22"/>
      <c r="J262" s="31"/>
      <c r="K262" s="22"/>
      <c r="L262" s="22"/>
      <c r="M262" s="22"/>
      <c r="N262" s="22"/>
    </row>
    <row r="263" spans="1:14" hidden="1" x14ac:dyDescent="0.25">
      <c r="A263" s="22"/>
      <c r="B263" s="23"/>
      <c r="C263" s="22"/>
      <c r="D263" s="22"/>
      <c r="E263" s="22"/>
      <c r="F263" s="23"/>
      <c r="G263" s="22"/>
      <c r="H263" s="22"/>
      <c r="I263" s="22"/>
      <c r="J263" s="31"/>
      <c r="K263" s="22"/>
      <c r="L263" s="22"/>
      <c r="M263" s="22"/>
      <c r="N263" s="22"/>
    </row>
    <row r="264" spans="1:14" hidden="1" x14ac:dyDescent="0.25">
      <c r="A264" s="22"/>
      <c r="B264" s="23"/>
      <c r="C264" s="22"/>
      <c r="D264" s="22"/>
      <c r="E264" s="22"/>
      <c r="F264" s="23"/>
      <c r="G264" s="22"/>
      <c r="H264" s="22"/>
      <c r="I264" s="22"/>
      <c r="J264" s="31"/>
      <c r="K264" s="22"/>
      <c r="L264" s="22"/>
      <c r="M264" s="22"/>
      <c r="N264" s="22"/>
    </row>
    <row r="265" spans="1:14" hidden="1" x14ac:dyDescent="0.25">
      <c r="A265" s="22"/>
      <c r="B265" s="23"/>
      <c r="C265" s="22"/>
      <c r="D265" s="22"/>
      <c r="E265" s="22"/>
      <c r="F265" s="23"/>
      <c r="G265" s="22"/>
      <c r="H265" s="22"/>
      <c r="I265" s="22"/>
      <c r="J265" s="31"/>
      <c r="K265" s="22"/>
      <c r="L265" s="22"/>
      <c r="M265" s="22"/>
      <c r="N265" s="22"/>
    </row>
    <row r="266" spans="1:14" hidden="1" x14ac:dyDescent="0.25">
      <c r="A266" s="22"/>
      <c r="B266" s="23"/>
      <c r="C266" s="22"/>
      <c r="D266" s="22"/>
      <c r="E266" s="22"/>
      <c r="F266" s="23"/>
      <c r="G266" s="22"/>
      <c r="H266" s="22"/>
      <c r="I266" s="22"/>
      <c r="J266" s="31"/>
      <c r="K266" s="22"/>
      <c r="L266" s="22"/>
      <c r="M266" s="22"/>
      <c r="N266" s="22"/>
    </row>
    <row r="267" spans="1:14" hidden="1" x14ac:dyDescent="0.25">
      <c r="A267" s="22"/>
      <c r="B267" s="23"/>
      <c r="C267" s="22"/>
      <c r="D267" s="22"/>
      <c r="E267" s="22"/>
      <c r="F267" s="23"/>
      <c r="G267" s="22"/>
      <c r="H267" s="22"/>
      <c r="I267" s="22"/>
      <c r="J267" s="31"/>
      <c r="K267" s="22"/>
      <c r="L267" s="22"/>
      <c r="M267" s="22"/>
      <c r="N267" s="22"/>
    </row>
    <row r="268" spans="1:14" hidden="1" x14ac:dyDescent="0.25">
      <c r="A268" s="22"/>
      <c r="B268" s="23"/>
      <c r="C268" s="22"/>
      <c r="D268" s="22"/>
      <c r="E268" s="22"/>
      <c r="F268" s="23"/>
      <c r="G268" s="22"/>
      <c r="H268" s="22"/>
      <c r="I268" s="22"/>
      <c r="J268" s="31"/>
      <c r="K268" s="22"/>
      <c r="L268" s="22"/>
      <c r="M268" s="22"/>
      <c r="N268" s="22"/>
    </row>
    <row r="269" spans="1:14" hidden="1" x14ac:dyDescent="0.25">
      <c r="A269" s="22"/>
      <c r="B269" s="23"/>
      <c r="C269" s="22"/>
      <c r="D269" s="22"/>
      <c r="E269" s="22"/>
      <c r="F269" s="23"/>
      <c r="G269" s="22"/>
      <c r="H269" s="22"/>
      <c r="I269" s="22"/>
      <c r="J269" s="31"/>
      <c r="K269" s="22"/>
      <c r="L269" s="22"/>
      <c r="M269" s="22"/>
      <c r="N269" s="22"/>
    </row>
    <row r="270" spans="1:14" hidden="1" x14ac:dyDescent="0.25">
      <c r="A270" s="22"/>
      <c r="B270" s="23"/>
      <c r="C270" s="22"/>
      <c r="D270" s="22"/>
      <c r="E270" s="22"/>
      <c r="F270" s="23"/>
      <c r="G270" s="22"/>
      <c r="H270" s="22"/>
      <c r="I270" s="22"/>
      <c r="J270" s="31"/>
      <c r="K270" s="22"/>
      <c r="L270" s="22"/>
      <c r="M270" s="22"/>
      <c r="N270" s="22"/>
    </row>
    <row r="271" spans="1:14" hidden="1" x14ac:dyDescent="0.25">
      <c r="A271" s="22"/>
      <c r="B271" s="23"/>
      <c r="C271" s="22"/>
      <c r="D271" s="22"/>
      <c r="E271" s="22"/>
      <c r="F271" s="23"/>
      <c r="G271" s="22"/>
      <c r="H271" s="22"/>
      <c r="I271" s="22"/>
      <c r="J271" s="31"/>
      <c r="K271" s="22"/>
      <c r="L271" s="22"/>
      <c r="M271" s="22"/>
      <c r="N271" s="22"/>
    </row>
    <row r="272" spans="1:14" hidden="1" x14ac:dyDescent="0.25">
      <c r="A272" s="22"/>
      <c r="B272" s="23"/>
      <c r="C272" s="22"/>
      <c r="D272" s="22"/>
      <c r="E272" s="22"/>
      <c r="F272" s="23"/>
      <c r="G272" s="22"/>
      <c r="H272" s="22"/>
      <c r="I272" s="22"/>
      <c r="J272" s="31"/>
      <c r="K272" s="22"/>
      <c r="L272" s="22"/>
      <c r="M272" s="22"/>
      <c r="N272" s="22"/>
    </row>
    <row r="273" spans="1:14" hidden="1" x14ac:dyDescent="0.25">
      <c r="A273" s="22"/>
      <c r="B273" s="23"/>
      <c r="C273" s="22"/>
      <c r="D273" s="22"/>
      <c r="E273" s="22"/>
      <c r="F273" s="23"/>
      <c r="G273" s="22"/>
      <c r="H273" s="22"/>
      <c r="I273" s="22"/>
      <c r="J273" s="31"/>
      <c r="K273" s="22"/>
      <c r="L273" s="22"/>
      <c r="M273" s="22"/>
      <c r="N273" s="22"/>
    </row>
    <row r="274" spans="1:14" hidden="1" x14ac:dyDescent="0.25">
      <c r="A274" s="22"/>
      <c r="B274" s="23"/>
      <c r="C274" s="22"/>
      <c r="D274" s="22"/>
      <c r="E274" s="22"/>
      <c r="F274" s="23"/>
      <c r="G274" s="22"/>
      <c r="H274" s="22"/>
      <c r="I274" s="22"/>
      <c r="J274" s="31"/>
      <c r="K274" s="22"/>
      <c r="L274" s="22"/>
      <c r="M274" s="22"/>
      <c r="N274" s="22"/>
    </row>
    <row r="275" spans="1:14" hidden="1" x14ac:dyDescent="0.25">
      <c r="A275" s="22"/>
      <c r="B275" s="23"/>
      <c r="C275" s="22"/>
      <c r="D275" s="22"/>
      <c r="E275" s="22"/>
      <c r="F275" s="23"/>
      <c r="G275" s="22"/>
      <c r="H275" s="22"/>
      <c r="I275" s="22"/>
      <c r="J275" s="31"/>
      <c r="K275" s="22"/>
      <c r="L275" s="22"/>
      <c r="M275" s="22"/>
      <c r="N275" s="22"/>
    </row>
    <row r="276" spans="1:14" hidden="1" x14ac:dyDescent="0.25">
      <c r="A276" s="22"/>
      <c r="B276" s="23"/>
      <c r="C276" s="22"/>
      <c r="D276" s="22"/>
      <c r="E276" s="22"/>
      <c r="F276" s="23"/>
      <c r="G276" s="22"/>
      <c r="H276" s="22"/>
      <c r="I276" s="22"/>
      <c r="J276" s="31"/>
      <c r="K276" s="22"/>
      <c r="L276" s="22"/>
      <c r="M276" s="22"/>
      <c r="N276" s="22"/>
    </row>
    <row r="277" spans="1:14" hidden="1" x14ac:dyDescent="0.25">
      <c r="A277" s="22"/>
      <c r="B277" s="23"/>
      <c r="C277" s="22"/>
      <c r="D277" s="22"/>
      <c r="E277" s="22"/>
      <c r="F277" s="23"/>
      <c r="G277" s="22"/>
      <c r="H277" s="22"/>
      <c r="I277" s="22"/>
      <c r="J277" s="31"/>
      <c r="K277" s="22"/>
      <c r="L277" s="22"/>
      <c r="M277" s="22"/>
      <c r="N277" s="22"/>
    </row>
    <row r="278" spans="1:14" hidden="1" x14ac:dyDescent="0.25">
      <c r="A278" s="22"/>
      <c r="B278" s="23"/>
      <c r="C278" s="22"/>
      <c r="D278" s="22"/>
      <c r="E278" s="22"/>
      <c r="F278" s="23"/>
      <c r="G278" s="22"/>
      <c r="H278" s="22"/>
      <c r="I278" s="22"/>
      <c r="J278" s="31"/>
      <c r="K278" s="22"/>
      <c r="L278" s="22"/>
      <c r="M278" s="22"/>
      <c r="N278" s="22"/>
    </row>
    <row r="279" spans="1:14" hidden="1" x14ac:dyDescent="0.25">
      <c r="A279" s="22"/>
      <c r="B279" s="23"/>
      <c r="C279" s="22"/>
      <c r="D279" s="22"/>
      <c r="E279" s="22"/>
      <c r="F279" s="23"/>
      <c r="G279" s="22"/>
      <c r="H279" s="22"/>
      <c r="I279" s="22"/>
      <c r="J279" s="31"/>
      <c r="K279" s="22"/>
      <c r="L279" s="22"/>
      <c r="M279" s="22"/>
      <c r="N279" s="22"/>
    </row>
    <row r="280" spans="1:14" hidden="1" x14ac:dyDescent="0.25">
      <c r="A280" s="22"/>
      <c r="B280" s="23"/>
      <c r="C280" s="22"/>
      <c r="D280" s="22"/>
      <c r="E280" s="22"/>
      <c r="F280" s="23"/>
      <c r="G280" s="22"/>
      <c r="H280" s="22"/>
      <c r="I280" s="22"/>
      <c r="J280" s="31"/>
      <c r="K280" s="22"/>
      <c r="L280" s="22"/>
      <c r="M280" s="22"/>
      <c r="N280" s="22"/>
    </row>
    <row r="281" spans="1:14" hidden="1" x14ac:dyDescent="0.25">
      <c r="A281" s="22"/>
      <c r="B281" s="23"/>
      <c r="C281" s="22"/>
      <c r="D281" s="22"/>
      <c r="E281" s="22"/>
      <c r="F281" s="23"/>
      <c r="G281" s="22"/>
      <c r="H281" s="22"/>
      <c r="I281" s="22"/>
      <c r="J281" s="31"/>
      <c r="K281" s="22"/>
      <c r="L281" s="22"/>
      <c r="M281" s="22"/>
      <c r="N281" s="22"/>
    </row>
    <row r="282" spans="1:14" hidden="1" x14ac:dyDescent="0.25">
      <c r="A282" s="22"/>
      <c r="B282" s="23"/>
      <c r="C282" s="22"/>
      <c r="D282" s="22"/>
      <c r="E282" s="22"/>
      <c r="F282" s="23"/>
      <c r="G282" s="22"/>
      <c r="H282" s="22"/>
      <c r="I282" s="22"/>
      <c r="J282" s="31"/>
      <c r="K282" s="22"/>
      <c r="L282" s="22"/>
      <c r="M282" s="22"/>
      <c r="N282" s="22"/>
    </row>
    <row r="283" spans="1:14" hidden="1" x14ac:dyDescent="0.25">
      <c r="A283" s="22"/>
      <c r="B283" s="23"/>
      <c r="C283" s="22"/>
      <c r="D283" s="22"/>
      <c r="E283" s="22"/>
      <c r="F283" s="23"/>
      <c r="G283" s="22"/>
      <c r="H283" s="22"/>
      <c r="I283" s="22"/>
      <c r="J283" s="31"/>
      <c r="K283" s="22"/>
      <c r="L283" s="22"/>
      <c r="M283" s="22"/>
      <c r="N283" s="22"/>
    </row>
    <row r="284" spans="1:14" hidden="1" x14ac:dyDescent="0.25">
      <c r="A284" s="22"/>
      <c r="B284" s="23"/>
      <c r="C284" s="22"/>
      <c r="D284" s="22"/>
      <c r="E284" s="22"/>
      <c r="F284" s="23"/>
      <c r="G284" s="22"/>
      <c r="H284" s="22"/>
      <c r="I284" s="22"/>
      <c r="J284" s="31"/>
      <c r="K284" s="22"/>
      <c r="L284" s="22"/>
      <c r="M284" s="22"/>
      <c r="N284" s="22"/>
    </row>
    <row r="285" spans="1:14" hidden="1" x14ac:dyDescent="0.25">
      <c r="A285" s="22"/>
      <c r="B285" s="23"/>
      <c r="C285" s="22"/>
      <c r="D285" s="22"/>
      <c r="E285" s="22"/>
      <c r="F285" s="23"/>
      <c r="G285" s="22"/>
      <c r="H285" s="22"/>
      <c r="I285" s="22"/>
      <c r="J285" s="31"/>
      <c r="K285" s="22"/>
      <c r="L285" s="22"/>
      <c r="M285" s="22"/>
      <c r="N285" s="22"/>
    </row>
    <row r="286" spans="1:14" hidden="1" x14ac:dyDescent="0.25">
      <c r="A286" s="22"/>
      <c r="B286" s="23"/>
      <c r="C286" s="22"/>
      <c r="D286" s="22"/>
      <c r="E286" s="22"/>
      <c r="F286" s="23"/>
      <c r="G286" s="22"/>
      <c r="H286" s="22"/>
      <c r="I286" s="22"/>
      <c r="J286" s="31"/>
      <c r="K286" s="22"/>
      <c r="L286" s="22"/>
      <c r="M286" s="22"/>
      <c r="N286" s="22"/>
    </row>
    <row r="287" spans="1:14" hidden="1" x14ac:dyDescent="0.25">
      <c r="A287" s="22"/>
      <c r="B287" s="23"/>
      <c r="C287" s="22"/>
      <c r="D287" s="22"/>
      <c r="E287" s="22"/>
      <c r="F287" s="23"/>
      <c r="G287" s="22"/>
      <c r="H287" s="22"/>
      <c r="I287" s="22"/>
      <c r="J287" s="31"/>
      <c r="K287" s="22"/>
      <c r="L287" s="22"/>
      <c r="M287" s="22"/>
      <c r="N287" s="22"/>
    </row>
    <row r="288" spans="1:14" hidden="1" x14ac:dyDescent="0.25">
      <c r="A288" s="22"/>
      <c r="B288" s="23"/>
      <c r="C288" s="22"/>
      <c r="D288" s="22"/>
      <c r="E288" s="22"/>
      <c r="F288" s="23"/>
      <c r="G288" s="22"/>
      <c r="H288" s="22"/>
      <c r="I288" s="22"/>
      <c r="J288" s="31"/>
      <c r="K288" s="22"/>
      <c r="L288" s="22"/>
      <c r="M288" s="22"/>
      <c r="N288" s="22"/>
    </row>
    <row r="289" spans="1:14" hidden="1" x14ac:dyDescent="0.25">
      <c r="A289" s="22"/>
      <c r="B289" s="23"/>
      <c r="C289" s="22"/>
      <c r="D289" s="22"/>
      <c r="E289" s="22"/>
      <c r="F289" s="23"/>
      <c r="G289" s="22"/>
      <c r="H289" s="22"/>
      <c r="I289" s="22"/>
      <c r="J289" s="31"/>
      <c r="K289" s="22"/>
      <c r="L289" s="22"/>
      <c r="M289" s="22"/>
      <c r="N289" s="22"/>
    </row>
    <row r="290" spans="1:14" hidden="1" x14ac:dyDescent="0.25">
      <c r="A290" s="22"/>
      <c r="B290" s="23"/>
      <c r="C290" s="22"/>
      <c r="D290" s="22"/>
      <c r="E290" s="22"/>
      <c r="F290" s="23"/>
      <c r="G290" s="22"/>
      <c r="H290" s="22"/>
      <c r="I290" s="22"/>
      <c r="J290" s="31"/>
      <c r="K290" s="22"/>
      <c r="L290" s="22"/>
      <c r="M290" s="22"/>
      <c r="N290" s="22"/>
    </row>
    <row r="291" spans="1:14" hidden="1" x14ac:dyDescent="0.25">
      <c r="A291" s="22"/>
      <c r="B291" s="23"/>
      <c r="C291" s="22"/>
      <c r="D291" s="22"/>
      <c r="E291" s="22"/>
      <c r="F291" s="23"/>
      <c r="G291" s="22"/>
      <c r="H291" s="22"/>
      <c r="I291" s="22"/>
      <c r="J291" s="31"/>
      <c r="K291" s="22"/>
      <c r="L291" s="22"/>
      <c r="M291" s="22"/>
      <c r="N291" s="22"/>
    </row>
    <row r="292" spans="1:14" hidden="1" x14ac:dyDescent="0.25">
      <c r="A292" s="22"/>
      <c r="B292" s="23"/>
      <c r="C292" s="22"/>
      <c r="D292" s="22"/>
      <c r="E292" s="22"/>
      <c r="F292" s="23"/>
      <c r="G292" s="22"/>
      <c r="H292" s="22"/>
      <c r="I292" s="22"/>
      <c r="J292" s="31"/>
      <c r="K292" s="22"/>
      <c r="L292" s="22"/>
      <c r="M292" s="22"/>
      <c r="N292" s="22"/>
    </row>
    <row r="293" spans="1:14" hidden="1" x14ac:dyDescent="0.25">
      <c r="A293" s="22"/>
      <c r="B293" s="23"/>
      <c r="C293" s="22"/>
      <c r="D293" s="22"/>
      <c r="E293" s="22"/>
      <c r="F293" s="23"/>
      <c r="G293" s="22"/>
      <c r="H293" s="22"/>
      <c r="I293" s="22"/>
      <c r="J293" s="31"/>
      <c r="K293" s="22"/>
      <c r="L293" s="22"/>
      <c r="M293" s="22"/>
      <c r="N293" s="22"/>
    </row>
    <row r="294" spans="1:14" hidden="1" x14ac:dyDescent="0.25">
      <c r="A294" s="22"/>
      <c r="B294" s="23"/>
      <c r="C294" s="22"/>
      <c r="D294" s="22"/>
      <c r="E294" s="22"/>
      <c r="F294" s="23"/>
      <c r="G294" s="22"/>
      <c r="H294" s="22"/>
      <c r="I294" s="22"/>
      <c r="J294" s="31"/>
      <c r="K294" s="22"/>
      <c r="L294" s="22"/>
      <c r="M294" s="22"/>
      <c r="N294" s="22"/>
    </row>
    <row r="295" spans="1:14" hidden="1" x14ac:dyDescent="0.25">
      <c r="A295" s="22"/>
      <c r="B295" s="23"/>
      <c r="C295" s="22"/>
      <c r="D295" s="22"/>
      <c r="E295" s="22"/>
      <c r="F295" s="23"/>
      <c r="G295" s="22"/>
      <c r="H295" s="22"/>
      <c r="I295" s="22"/>
      <c r="J295" s="31"/>
      <c r="K295" s="22"/>
      <c r="L295" s="22"/>
      <c r="M295" s="22"/>
      <c r="N295" s="22"/>
    </row>
    <row r="296" spans="1:14" hidden="1" x14ac:dyDescent="0.25">
      <c r="A296" s="22"/>
      <c r="B296" s="23"/>
      <c r="C296" s="22"/>
      <c r="D296" s="22"/>
      <c r="E296" s="22"/>
      <c r="F296" s="23"/>
      <c r="G296" s="22"/>
      <c r="H296" s="22"/>
      <c r="I296" s="22"/>
      <c r="J296" s="31"/>
      <c r="K296" s="22"/>
      <c r="L296" s="22"/>
      <c r="M296" s="22"/>
      <c r="N296" s="22"/>
    </row>
    <row r="297" spans="1:14" hidden="1" x14ac:dyDescent="0.25">
      <c r="A297" s="22"/>
      <c r="B297" s="23"/>
      <c r="C297" s="22"/>
      <c r="D297" s="22"/>
      <c r="E297" s="22"/>
      <c r="F297" s="23"/>
      <c r="G297" s="22"/>
      <c r="H297" s="22"/>
      <c r="I297" s="22"/>
      <c r="J297" s="31"/>
      <c r="K297" s="22"/>
      <c r="L297" s="22"/>
      <c r="M297" s="22"/>
      <c r="N297" s="22"/>
    </row>
    <row r="298" spans="1:14" hidden="1" x14ac:dyDescent="0.25">
      <c r="A298" s="22"/>
      <c r="B298" s="23"/>
      <c r="C298" s="22"/>
      <c r="D298" s="22"/>
      <c r="E298" s="22"/>
      <c r="F298" s="23"/>
      <c r="G298" s="22"/>
      <c r="H298" s="22"/>
      <c r="I298" s="22"/>
      <c r="J298" s="31"/>
      <c r="K298" s="22"/>
      <c r="L298" s="22"/>
      <c r="M298" s="22"/>
      <c r="N298" s="22"/>
    </row>
    <row r="299" spans="1:14" hidden="1" x14ac:dyDescent="0.25">
      <c r="A299" s="22"/>
      <c r="B299" s="23"/>
      <c r="C299" s="22"/>
      <c r="D299" s="22"/>
      <c r="E299" s="22"/>
      <c r="F299" s="23"/>
      <c r="G299" s="22"/>
      <c r="H299" s="22"/>
      <c r="I299" s="22"/>
      <c r="J299" s="31"/>
      <c r="K299" s="22"/>
      <c r="L299" s="22"/>
      <c r="M299" s="22"/>
      <c r="N299" s="22"/>
    </row>
    <row r="300" spans="1:14" hidden="1" x14ac:dyDescent="0.25">
      <c r="A300" s="22"/>
      <c r="B300" s="23"/>
      <c r="C300" s="22"/>
      <c r="D300" s="22"/>
      <c r="E300" s="22"/>
      <c r="F300" s="23"/>
      <c r="G300" s="22"/>
      <c r="H300" s="22"/>
      <c r="I300" s="22"/>
      <c r="J300" s="31"/>
      <c r="K300" s="22"/>
      <c r="L300" s="22"/>
      <c r="M300" s="22"/>
      <c r="N300" s="22"/>
    </row>
    <row r="301" spans="1:14" hidden="1" x14ac:dyDescent="0.25">
      <c r="A301" s="22"/>
      <c r="B301" s="23"/>
      <c r="C301" s="22"/>
      <c r="D301" s="22"/>
      <c r="E301" s="22"/>
      <c r="F301" s="23"/>
      <c r="G301" s="22"/>
      <c r="H301" s="22"/>
      <c r="I301" s="22"/>
      <c r="J301" s="31"/>
      <c r="K301" s="22"/>
      <c r="L301" s="22"/>
      <c r="M301" s="22"/>
      <c r="N301" s="22"/>
    </row>
    <row r="302" spans="1:14" hidden="1" x14ac:dyDescent="0.25">
      <c r="A302" s="22"/>
      <c r="B302" s="23"/>
      <c r="C302" s="22"/>
      <c r="D302" s="22"/>
      <c r="E302" s="22"/>
      <c r="F302" s="23"/>
      <c r="G302" s="22"/>
      <c r="H302" s="22"/>
      <c r="I302" s="22"/>
      <c r="J302" s="31"/>
      <c r="K302" s="22"/>
      <c r="L302" s="22"/>
      <c r="M302" s="22"/>
      <c r="N302" s="22"/>
    </row>
    <row r="303" spans="1:14" hidden="1" x14ac:dyDescent="0.25">
      <c r="A303" s="22"/>
      <c r="B303" s="23"/>
      <c r="C303" s="22"/>
      <c r="D303" s="22"/>
      <c r="E303" s="22"/>
      <c r="F303" s="23"/>
      <c r="G303" s="22"/>
      <c r="H303" s="22"/>
      <c r="I303" s="22"/>
      <c r="J303" s="31"/>
      <c r="K303" s="22"/>
      <c r="L303" s="22"/>
      <c r="M303" s="22"/>
      <c r="N303" s="22"/>
    </row>
    <row r="304" spans="1:14" hidden="1" x14ac:dyDescent="0.25">
      <c r="A304" s="22"/>
      <c r="B304" s="23"/>
      <c r="C304" s="22"/>
      <c r="D304" s="22"/>
      <c r="E304" s="22"/>
      <c r="F304" s="23"/>
      <c r="G304" s="22"/>
      <c r="H304" s="22"/>
      <c r="I304" s="22"/>
      <c r="J304" s="31"/>
      <c r="K304" s="22"/>
      <c r="L304" s="22"/>
      <c r="M304" s="22"/>
      <c r="N304" s="22"/>
    </row>
    <row r="305" spans="1:14" hidden="1" x14ac:dyDescent="0.25">
      <c r="A305" s="22"/>
      <c r="B305" s="23"/>
      <c r="C305" s="22"/>
      <c r="D305" s="22"/>
      <c r="E305" s="22"/>
      <c r="F305" s="23"/>
      <c r="G305" s="22"/>
      <c r="H305" s="22"/>
      <c r="I305" s="22"/>
      <c r="J305" s="31"/>
      <c r="K305" s="22"/>
      <c r="L305" s="22"/>
      <c r="M305" s="22"/>
      <c r="N305" s="22"/>
    </row>
    <row r="306" spans="1:14" hidden="1" x14ac:dyDescent="0.25">
      <c r="A306" s="22"/>
      <c r="B306" s="23"/>
      <c r="C306" s="22"/>
      <c r="D306" s="22"/>
      <c r="E306" s="22"/>
      <c r="F306" s="23"/>
      <c r="G306" s="22"/>
      <c r="H306" s="22"/>
      <c r="I306" s="22"/>
      <c r="J306" s="31"/>
      <c r="K306" s="22"/>
      <c r="L306" s="22"/>
      <c r="M306" s="22"/>
      <c r="N306" s="22"/>
    </row>
    <row r="307" spans="1:14" hidden="1" x14ac:dyDescent="0.25">
      <c r="A307" s="22"/>
      <c r="B307" s="23"/>
      <c r="C307" s="22"/>
      <c r="D307" s="22"/>
      <c r="E307" s="22"/>
      <c r="F307" s="23"/>
      <c r="G307" s="22"/>
      <c r="H307" s="22"/>
      <c r="I307" s="22"/>
      <c r="J307" s="31"/>
      <c r="K307" s="22"/>
      <c r="L307" s="22"/>
      <c r="M307" s="22"/>
      <c r="N307" s="22"/>
    </row>
    <row r="308" spans="1:14" hidden="1" x14ac:dyDescent="0.25">
      <c r="A308" s="22"/>
      <c r="B308" s="23"/>
      <c r="C308" s="22"/>
      <c r="D308" s="22"/>
      <c r="E308" s="22"/>
      <c r="F308" s="23"/>
      <c r="G308" s="22"/>
      <c r="H308" s="22"/>
      <c r="I308" s="22"/>
      <c r="J308" s="31"/>
      <c r="K308" s="22"/>
      <c r="L308" s="22"/>
      <c r="M308" s="22"/>
      <c r="N308" s="22"/>
    </row>
    <row r="309" spans="1:14" hidden="1" x14ac:dyDescent="0.25">
      <c r="A309" s="22"/>
      <c r="B309" s="23"/>
      <c r="C309" s="22"/>
      <c r="D309" s="22"/>
      <c r="E309" s="22"/>
      <c r="F309" s="23"/>
      <c r="G309" s="22"/>
      <c r="H309" s="22"/>
      <c r="I309" s="22"/>
      <c r="J309" s="31"/>
      <c r="K309" s="22"/>
      <c r="L309" s="22"/>
      <c r="M309" s="22"/>
      <c r="N309" s="22"/>
    </row>
    <row r="310" spans="1:14" hidden="1" x14ac:dyDescent="0.25">
      <c r="A310" s="22"/>
      <c r="B310" s="23"/>
      <c r="C310" s="22"/>
      <c r="D310" s="22"/>
      <c r="E310" s="22"/>
      <c r="F310" s="23"/>
      <c r="G310" s="22"/>
      <c r="H310" s="22"/>
      <c r="I310" s="22"/>
      <c r="J310" s="31"/>
      <c r="K310" s="22"/>
      <c r="L310" s="22"/>
      <c r="M310" s="22"/>
      <c r="N310" s="22"/>
    </row>
    <row r="311" spans="1:14" hidden="1" x14ac:dyDescent="0.25">
      <c r="A311" s="22"/>
      <c r="B311" s="23"/>
      <c r="C311" s="22"/>
      <c r="D311" s="22"/>
      <c r="E311" s="22"/>
      <c r="F311" s="23"/>
      <c r="G311" s="22"/>
      <c r="H311" s="22"/>
      <c r="I311" s="22"/>
      <c r="J311" s="31"/>
      <c r="K311" s="22"/>
      <c r="L311" s="22"/>
      <c r="M311" s="22"/>
      <c r="N311" s="22"/>
    </row>
    <row r="312" spans="1:14" hidden="1" x14ac:dyDescent="0.25">
      <c r="A312" s="22"/>
      <c r="B312" s="23"/>
      <c r="C312" s="22"/>
      <c r="D312" s="22"/>
      <c r="E312" s="22"/>
      <c r="F312" s="23"/>
      <c r="G312" s="22"/>
      <c r="H312" s="22"/>
      <c r="I312" s="22"/>
      <c r="J312" s="31"/>
      <c r="K312" s="22"/>
      <c r="L312" s="22"/>
      <c r="M312" s="22"/>
      <c r="N312" s="22"/>
    </row>
    <row r="313" spans="1:14" hidden="1" x14ac:dyDescent="0.25">
      <c r="A313" s="22"/>
      <c r="B313" s="23"/>
      <c r="C313" s="22"/>
      <c r="D313" s="22"/>
      <c r="E313" s="22"/>
      <c r="F313" s="23"/>
      <c r="G313" s="22"/>
      <c r="H313" s="22"/>
      <c r="I313" s="22"/>
      <c r="J313" s="31"/>
      <c r="K313" s="22"/>
      <c r="L313" s="22"/>
      <c r="M313" s="22"/>
      <c r="N313" s="22"/>
    </row>
    <row r="314" spans="1:14" hidden="1" x14ac:dyDescent="0.25">
      <c r="A314" s="22"/>
      <c r="B314" s="23"/>
      <c r="C314" s="22"/>
      <c r="D314" s="22"/>
      <c r="E314" s="22"/>
      <c r="F314" s="23"/>
      <c r="G314" s="22"/>
      <c r="H314" s="22"/>
      <c r="I314" s="22"/>
      <c r="J314" s="31"/>
      <c r="K314" s="22"/>
      <c r="L314" s="22"/>
      <c r="M314" s="22"/>
      <c r="N314" s="22"/>
    </row>
    <row r="315" spans="1:14" hidden="1" x14ac:dyDescent="0.25">
      <c r="A315" s="22"/>
      <c r="B315" s="23"/>
      <c r="C315" s="22"/>
      <c r="D315" s="22"/>
      <c r="E315" s="22"/>
      <c r="F315" s="23"/>
      <c r="G315" s="22"/>
      <c r="H315" s="22"/>
      <c r="I315" s="22"/>
      <c r="J315" s="31"/>
      <c r="K315" s="22"/>
      <c r="L315" s="22"/>
      <c r="M315" s="22"/>
      <c r="N315" s="22"/>
    </row>
    <row r="316" spans="1:14" hidden="1" x14ac:dyDescent="0.25">
      <c r="A316" s="22"/>
      <c r="B316" s="23"/>
      <c r="C316" s="22"/>
      <c r="D316" s="22"/>
      <c r="E316" s="22"/>
      <c r="F316" s="23"/>
      <c r="G316" s="22"/>
      <c r="H316" s="22"/>
      <c r="I316" s="22"/>
      <c r="J316" s="31"/>
      <c r="K316" s="22"/>
      <c r="L316" s="22"/>
      <c r="M316" s="22"/>
      <c r="N316" s="22"/>
    </row>
    <row r="317" spans="1:14" hidden="1" x14ac:dyDescent="0.25">
      <c r="A317" s="22"/>
      <c r="B317" s="23"/>
      <c r="C317" s="22"/>
      <c r="D317" s="22"/>
      <c r="E317" s="22"/>
      <c r="F317" s="23"/>
      <c r="G317" s="22"/>
      <c r="H317" s="22"/>
      <c r="I317" s="22"/>
      <c r="J317" s="31"/>
      <c r="K317" s="22"/>
      <c r="L317" s="22"/>
      <c r="M317" s="22"/>
      <c r="N317" s="22"/>
    </row>
    <row r="318" spans="1:14" hidden="1" x14ac:dyDescent="0.25">
      <c r="A318" s="22"/>
      <c r="B318" s="23"/>
      <c r="C318" s="22"/>
      <c r="D318" s="22"/>
      <c r="E318" s="22"/>
      <c r="F318" s="23"/>
      <c r="G318" s="22"/>
      <c r="H318" s="22"/>
      <c r="I318" s="22"/>
      <c r="J318" s="31"/>
      <c r="K318" s="22"/>
      <c r="L318" s="22"/>
      <c r="M318" s="22"/>
      <c r="N318" s="22"/>
    </row>
    <row r="319" spans="1:14" hidden="1" x14ac:dyDescent="0.25">
      <c r="A319" s="22"/>
      <c r="B319" s="23"/>
      <c r="C319" s="22"/>
      <c r="D319" s="22"/>
      <c r="E319" s="22"/>
      <c r="F319" s="23"/>
      <c r="G319" s="22"/>
      <c r="H319" s="22"/>
      <c r="I319" s="22"/>
      <c r="J319" s="31"/>
      <c r="K319" s="22"/>
      <c r="L319" s="22"/>
      <c r="M319" s="22"/>
      <c r="N319" s="22"/>
    </row>
    <row r="320" spans="1:14" hidden="1" x14ac:dyDescent="0.25">
      <c r="A320" s="22"/>
      <c r="B320" s="23"/>
      <c r="C320" s="22"/>
      <c r="D320" s="22"/>
      <c r="E320" s="22"/>
      <c r="F320" s="23"/>
      <c r="G320" s="22"/>
      <c r="H320" s="22"/>
      <c r="I320" s="22"/>
      <c r="J320" s="31"/>
      <c r="K320" s="22"/>
      <c r="L320" s="22"/>
      <c r="M320" s="22"/>
      <c r="N320" s="22"/>
    </row>
    <row r="321" spans="1:14" hidden="1" x14ac:dyDescent="0.25">
      <c r="A321" s="22"/>
      <c r="B321" s="23"/>
      <c r="C321" s="22"/>
      <c r="D321" s="22"/>
      <c r="E321" s="22"/>
      <c r="F321" s="23"/>
      <c r="G321" s="22"/>
      <c r="H321" s="22"/>
      <c r="I321" s="22"/>
      <c r="J321" s="31"/>
      <c r="K321" s="22"/>
      <c r="L321" s="22"/>
      <c r="M321" s="22"/>
      <c r="N321" s="22"/>
    </row>
    <row r="322" spans="1:14" hidden="1" x14ac:dyDescent="0.25">
      <c r="A322" s="22"/>
      <c r="B322" s="23"/>
      <c r="C322" s="22"/>
      <c r="D322" s="22"/>
      <c r="E322" s="22"/>
      <c r="F322" s="23"/>
      <c r="G322" s="22"/>
      <c r="H322" s="22"/>
      <c r="I322" s="22"/>
      <c r="J322" s="31"/>
      <c r="K322" s="22"/>
      <c r="L322" s="22"/>
      <c r="M322" s="22"/>
      <c r="N322" s="22"/>
    </row>
    <row r="323" spans="1:14" hidden="1" x14ac:dyDescent="0.25">
      <c r="A323" s="22"/>
      <c r="B323" s="23"/>
      <c r="C323" s="22"/>
      <c r="D323" s="22"/>
      <c r="E323" s="22"/>
      <c r="F323" s="23"/>
      <c r="G323" s="22"/>
      <c r="H323" s="22"/>
      <c r="I323" s="22"/>
      <c r="J323" s="31"/>
      <c r="K323" s="22"/>
      <c r="L323" s="22"/>
      <c r="M323" s="22"/>
      <c r="N323" s="22"/>
    </row>
    <row r="324" spans="1:14" hidden="1" x14ac:dyDescent="0.25">
      <c r="A324" s="22"/>
      <c r="B324" s="23"/>
      <c r="C324" s="22"/>
      <c r="D324" s="22"/>
      <c r="E324" s="22"/>
      <c r="F324" s="23"/>
      <c r="G324" s="22"/>
      <c r="H324" s="22"/>
      <c r="I324" s="22"/>
      <c r="J324" s="31"/>
      <c r="K324" s="22"/>
      <c r="L324" s="22"/>
      <c r="M324" s="22"/>
      <c r="N324" s="22"/>
    </row>
    <row r="325" spans="1:14" hidden="1" x14ac:dyDescent="0.25">
      <c r="A325" s="22"/>
      <c r="B325" s="23"/>
      <c r="C325" s="22"/>
      <c r="D325" s="22"/>
      <c r="E325" s="22"/>
      <c r="F325" s="23"/>
      <c r="G325" s="22"/>
      <c r="H325" s="22"/>
      <c r="I325" s="22"/>
      <c r="J325" s="31"/>
      <c r="K325" s="22"/>
      <c r="L325" s="22"/>
      <c r="M325" s="22"/>
      <c r="N325" s="22"/>
    </row>
    <row r="326" spans="1:14" hidden="1" x14ac:dyDescent="0.25">
      <c r="A326" s="22"/>
      <c r="B326" s="23"/>
      <c r="C326" s="22"/>
      <c r="D326" s="22"/>
      <c r="E326" s="22"/>
      <c r="F326" s="23"/>
      <c r="G326" s="22"/>
      <c r="H326" s="22"/>
      <c r="I326" s="22"/>
      <c r="J326" s="31"/>
      <c r="K326" s="22"/>
      <c r="L326" s="22"/>
      <c r="M326" s="22"/>
      <c r="N326" s="22"/>
    </row>
    <row r="327" spans="1:14" hidden="1" x14ac:dyDescent="0.25">
      <c r="A327" s="22"/>
      <c r="B327" s="23"/>
      <c r="C327" s="22"/>
      <c r="D327" s="22"/>
      <c r="E327" s="22"/>
      <c r="F327" s="23"/>
      <c r="G327" s="22"/>
      <c r="H327" s="22"/>
      <c r="I327" s="22"/>
      <c r="J327" s="31"/>
      <c r="K327" s="22"/>
      <c r="L327" s="22"/>
      <c r="M327" s="22"/>
      <c r="N327" s="22"/>
    </row>
    <row r="328" spans="1:14" hidden="1" x14ac:dyDescent="0.25">
      <c r="A328" s="22"/>
      <c r="B328" s="23"/>
      <c r="C328" s="22"/>
      <c r="D328" s="22"/>
      <c r="E328" s="22"/>
      <c r="F328" s="23"/>
      <c r="G328" s="22"/>
      <c r="H328" s="22"/>
      <c r="I328" s="22"/>
      <c r="J328" s="31"/>
      <c r="K328" s="22"/>
      <c r="L328" s="22"/>
      <c r="M328" s="22"/>
      <c r="N328" s="22"/>
    </row>
    <row r="329" spans="1:14" hidden="1" x14ac:dyDescent="0.25">
      <c r="A329" s="22"/>
      <c r="B329" s="23"/>
      <c r="C329" s="22"/>
      <c r="D329" s="22"/>
      <c r="E329" s="22"/>
      <c r="F329" s="23"/>
      <c r="G329" s="22"/>
      <c r="H329" s="22"/>
      <c r="I329" s="22"/>
      <c r="J329" s="31"/>
      <c r="K329" s="22"/>
      <c r="L329" s="22"/>
      <c r="M329" s="22"/>
      <c r="N329" s="22"/>
    </row>
    <row r="330" spans="1:14" hidden="1" x14ac:dyDescent="0.25">
      <c r="A330" s="22"/>
      <c r="B330" s="23"/>
      <c r="C330" s="22"/>
      <c r="D330" s="22"/>
      <c r="E330" s="22"/>
      <c r="F330" s="23"/>
      <c r="G330" s="22"/>
      <c r="H330" s="22"/>
      <c r="I330" s="22"/>
      <c r="J330" s="31"/>
      <c r="K330" s="22"/>
      <c r="L330" s="22"/>
      <c r="M330" s="22"/>
      <c r="N330" s="22"/>
    </row>
    <row r="331" spans="1:14" hidden="1" x14ac:dyDescent="0.25">
      <c r="A331" s="22"/>
      <c r="B331" s="23"/>
      <c r="C331" s="22"/>
      <c r="D331" s="22"/>
      <c r="E331" s="22"/>
      <c r="F331" s="23"/>
      <c r="G331" s="22"/>
      <c r="H331" s="22"/>
      <c r="I331" s="22"/>
      <c r="J331" s="31"/>
      <c r="K331" s="22"/>
      <c r="L331" s="22"/>
      <c r="M331" s="22"/>
      <c r="N331" s="22"/>
    </row>
    <row r="332" spans="1:14" hidden="1" x14ac:dyDescent="0.25">
      <c r="A332" s="22"/>
      <c r="B332" s="23"/>
      <c r="C332" s="22"/>
      <c r="D332" s="22"/>
      <c r="E332" s="22"/>
      <c r="F332" s="23"/>
      <c r="G332" s="22"/>
      <c r="H332" s="22"/>
      <c r="I332" s="22"/>
      <c r="J332" s="31"/>
      <c r="K332" s="22"/>
      <c r="L332" s="22"/>
      <c r="M332" s="22"/>
      <c r="N332" s="22"/>
    </row>
    <row r="333" spans="1:14" hidden="1" x14ac:dyDescent="0.25">
      <c r="A333" s="22"/>
      <c r="B333" s="23"/>
      <c r="C333" s="22"/>
      <c r="D333" s="22"/>
      <c r="E333" s="22"/>
      <c r="F333" s="23"/>
      <c r="G333" s="22"/>
      <c r="H333" s="22"/>
      <c r="I333" s="22"/>
      <c r="J333" s="31"/>
      <c r="K333" s="22"/>
      <c r="L333" s="22"/>
      <c r="M333" s="22"/>
      <c r="N333" s="22"/>
    </row>
    <row r="334" spans="1:14" hidden="1" x14ac:dyDescent="0.25">
      <c r="A334" s="22"/>
      <c r="B334" s="23"/>
      <c r="C334" s="22"/>
      <c r="D334" s="22"/>
      <c r="E334" s="22"/>
      <c r="F334" s="23"/>
      <c r="G334" s="22"/>
      <c r="H334" s="22"/>
      <c r="I334" s="22"/>
      <c r="J334" s="31"/>
      <c r="K334" s="22"/>
      <c r="L334" s="22"/>
      <c r="M334" s="22"/>
      <c r="N334" s="22"/>
    </row>
    <row r="335" spans="1:14" hidden="1" x14ac:dyDescent="0.25">
      <c r="A335" s="22"/>
      <c r="B335" s="23"/>
      <c r="C335" s="22"/>
      <c r="D335" s="22"/>
      <c r="E335" s="22"/>
      <c r="F335" s="23"/>
      <c r="G335" s="22"/>
      <c r="H335" s="22"/>
      <c r="I335" s="22"/>
      <c r="J335" s="31"/>
      <c r="K335" s="22"/>
      <c r="L335" s="22"/>
      <c r="M335" s="22"/>
      <c r="N335" s="22"/>
    </row>
    <row r="336" spans="1:14" hidden="1" x14ac:dyDescent="0.25">
      <c r="A336" s="22"/>
      <c r="B336" s="23"/>
      <c r="C336" s="22"/>
      <c r="D336" s="22"/>
      <c r="E336" s="22"/>
      <c r="F336" s="23"/>
      <c r="G336" s="22"/>
      <c r="H336" s="22"/>
      <c r="I336" s="22"/>
      <c r="J336" s="31"/>
      <c r="K336" s="22"/>
      <c r="L336" s="22"/>
      <c r="M336" s="22"/>
      <c r="N336" s="22"/>
    </row>
    <row r="337" spans="1:14" hidden="1" x14ac:dyDescent="0.25">
      <c r="A337" s="22"/>
      <c r="B337" s="23"/>
      <c r="C337" s="22"/>
      <c r="D337" s="22"/>
      <c r="E337" s="22"/>
      <c r="F337" s="23"/>
      <c r="G337" s="22"/>
      <c r="H337" s="22"/>
      <c r="I337" s="22"/>
      <c r="J337" s="31"/>
      <c r="K337" s="22"/>
      <c r="L337" s="22"/>
      <c r="M337" s="22"/>
      <c r="N337" s="22"/>
    </row>
    <row r="338" spans="1:14" hidden="1" x14ac:dyDescent="0.25">
      <c r="A338" s="22"/>
      <c r="B338" s="23"/>
      <c r="C338" s="22"/>
      <c r="D338" s="22"/>
      <c r="E338" s="22"/>
      <c r="F338" s="23"/>
      <c r="G338" s="22"/>
      <c r="H338" s="22"/>
      <c r="I338" s="22"/>
      <c r="J338" s="31"/>
      <c r="K338" s="22"/>
      <c r="L338" s="22"/>
      <c r="M338" s="22"/>
      <c r="N338" s="22"/>
    </row>
    <row r="339" spans="1:14" hidden="1" x14ac:dyDescent="0.25">
      <c r="A339" s="22"/>
      <c r="B339" s="23"/>
      <c r="C339" s="22"/>
      <c r="D339" s="22"/>
      <c r="E339" s="22"/>
      <c r="F339" s="23"/>
      <c r="G339" s="22"/>
      <c r="H339" s="22"/>
      <c r="I339" s="22"/>
      <c r="J339" s="31"/>
      <c r="K339" s="22"/>
      <c r="L339" s="22"/>
      <c r="M339" s="22"/>
      <c r="N339" s="22"/>
    </row>
    <row r="340" spans="1:14" hidden="1" x14ac:dyDescent="0.25">
      <c r="A340" s="22"/>
      <c r="B340" s="23"/>
      <c r="C340" s="22"/>
      <c r="D340" s="22"/>
      <c r="E340" s="22"/>
      <c r="F340" s="23"/>
      <c r="G340" s="22"/>
      <c r="H340" s="22"/>
      <c r="I340" s="22"/>
      <c r="J340" s="31"/>
      <c r="K340" s="22"/>
      <c r="L340" s="22"/>
      <c r="M340" s="22"/>
      <c r="N340" s="22"/>
    </row>
    <row r="341" spans="1:14" hidden="1" x14ac:dyDescent="0.25">
      <c r="A341" s="22"/>
      <c r="B341" s="23"/>
      <c r="C341" s="22"/>
      <c r="D341" s="22"/>
      <c r="E341" s="22"/>
      <c r="F341" s="23"/>
      <c r="G341" s="22"/>
      <c r="H341" s="22"/>
      <c r="I341" s="22"/>
      <c r="J341" s="31"/>
      <c r="K341" s="22"/>
      <c r="L341" s="22"/>
      <c r="M341" s="22"/>
      <c r="N341" s="22"/>
    </row>
    <row r="342" spans="1:14" hidden="1" x14ac:dyDescent="0.25">
      <c r="A342" s="22"/>
      <c r="B342" s="23"/>
      <c r="C342" s="22"/>
      <c r="D342" s="22"/>
      <c r="E342" s="22"/>
      <c r="F342" s="23"/>
      <c r="G342" s="22"/>
      <c r="H342" s="22"/>
      <c r="I342" s="22"/>
      <c r="J342" s="31"/>
      <c r="K342" s="22"/>
      <c r="L342" s="22"/>
      <c r="M342" s="22"/>
      <c r="N342" s="22"/>
    </row>
    <row r="343" spans="1:14" hidden="1" x14ac:dyDescent="0.25">
      <c r="A343" s="22"/>
      <c r="B343" s="23"/>
      <c r="C343" s="22"/>
      <c r="D343" s="22"/>
      <c r="E343" s="22"/>
      <c r="F343" s="23"/>
      <c r="G343" s="22"/>
      <c r="H343" s="22"/>
      <c r="I343" s="22"/>
      <c r="J343" s="31"/>
      <c r="K343" s="22"/>
      <c r="L343" s="22"/>
      <c r="M343" s="22"/>
      <c r="N343" s="22"/>
    </row>
    <row r="344" spans="1:14" hidden="1" x14ac:dyDescent="0.25">
      <c r="A344" s="22"/>
      <c r="B344" s="23"/>
      <c r="C344" s="22"/>
      <c r="D344" s="22"/>
      <c r="E344" s="22"/>
      <c r="F344" s="23"/>
      <c r="G344" s="22"/>
      <c r="H344" s="22"/>
      <c r="I344" s="22"/>
      <c r="J344" s="31"/>
      <c r="K344" s="22"/>
      <c r="L344" s="22"/>
      <c r="M344" s="22"/>
      <c r="N344" s="22"/>
    </row>
    <row r="345" spans="1:14" hidden="1" x14ac:dyDescent="0.25">
      <c r="A345" s="22"/>
      <c r="B345" s="23"/>
      <c r="C345" s="22"/>
      <c r="D345" s="22"/>
      <c r="E345" s="22"/>
      <c r="F345" s="23"/>
      <c r="G345" s="22"/>
      <c r="H345" s="22"/>
      <c r="I345" s="22"/>
      <c r="J345" s="31"/>
      <c r="K345" s="22"/>
      <c r="L345" s="22"/>
      <c r="M345" s="22"/>
      <c r="N345" s="22"/>
    </row>
    <row r="346" spans="1:14" hidden="1" x14ac:dyDescent="0.25">
      <c r="A346" s="22"/>
      <c r="B346" s="23"/>
      <c r="C346" s="22"/>
      <c r="D346" s="22"/>
      <c r="E346" s="22"/>
      <c r="F346" s="23"/>
      <c r="G346" s="22"/>
      <c r="H346" s="22"/>
      <c r="I346" s="22"/>
      <c r="J346" s="31"/>
      <c r="K346" s="22"/>
      <c r="L346" s="22"/>
      <c r="M346" s="22"/>
      <c r="N346" s="22"/>
    </row>
    <row r="347" spans="1:14" hidden="1" x14ac:dyDescent="0.25">
      <c r="A347" s="22"/>
      <c r="B347" s="23"/>
      <c r="C347" s="22"/>
      <c r="D347" s="22"/>
      <c r="E347" s="22"/>
      <c r="F347" s="23"/>
      <c r="G347" s="22"/>
      <c r="H347" s="22"/>
      <c r="I347" s="22"/>
      <c r="J347" s="31"/>
      <c r="K347" s="22"/>
      <c r="L347" s="22"/>
      <c r="M347" s="22"/>
      <c r="N347" s="22"/>
    </row>
    <row r="348" spans="1:14" hidden="1" x14ac:dyDescent="0.25">
      <c r="A348" s="22"/>
      <c r="B348" s="23"/>
      <c r="C348" s="22"/>
      <c r="D348" s="22"/>
      <c r="E348" s="22"/>
      <c r="F348" s="23"/>
      <c r="G348" s="22"/>
      <c r="H348" s="22"/>
      <c r="I348" s="22"/>
      <c r="J348" s="31"/>
      <c r="K348" s="22"/>
      <c r="L348" s="22"/>
      <c r="M348" s="22"/>
      <c r="N348" s="22"/>
    </row>
    <row r="349" spans="1:14" hidden="1" x14ac:dyDescent="0.25">
      <c r="A349" s="22"/>
      <c r="B349" s="23"/>
      <c r="C349" s="22"/>
      <c r="D349" s="22"/>
      <c r="E349" s="22"/>
      <c r="F349" s="23"/>
      <c r="G349" s="22"/>
      <c r="H349" s="22"/>
      <c r="I349" s="22"/>
      <c r="J349" s="31"/>
      <c r="K349" s="22"/>
      <c r="L349" s="22"/>
      <c r="M349" s="22"/>
      <c r="N349" s="22"/>
    </row>
    <row r="350" spans="1:14" hidden="1" x14ac:dyDescent="0.25">
      <c r="A350" s="22"/>
      <c r="B350" s="23"/>
      <c r="C350" s="22"/>
      <c r="D350" s="22"/>
      <c r="E350" s="22"/>
      <c r="F350" s="23"/>
      <c r="G350" s="22"/>
      <c r="H350" s="22"/>
      <c r="I350" s="22"/>
      <c r="J350" s="31"/>
      <c r="K350" s="22"/>
      <c r="L350" s="22"/>
      <c r="M350" s="22"/>
      <c r="N350" s="22"/>
    </row>
    <row r="351" spans="1:14" hidden="1" x14ac:dyDescent="0.25">
      <c r="A351" s="22"/>
      <c r="B351" s="23"/>
      <c r="C351" s="22"/>
      <c r="D351" s="22"/>
      <c r="E351" s="22"/>
      <c r="F351" s="23"/>
      <c r="G351" s="22"/>
      <c r="H351" s="22"/>
      <c r="I351" s="22"/>
      <c r="J351" s="31"/>
      <c r="K351" s="22"/>
      <c r="L351" s="22"/>
      <c r="M351" s="22"/>
      <c r="N351" s="22"/>
    </row>
    <row r="352" spans="1:14" hidden="1" x14ac:dyDescent="0.25">
      <c r="A352" s="22"/>
      <c r="B352" s="23"/>
      <c r="C352" s="22"/>
      <c r="D352" s="22"/>
      <c r="E352" s="22"/>
      <c r="F352" s="23"/>
      <c r="G352" s="22"/>
      <c r="H352" s="22"/>
      <c r="I352" s="22"/>
      <c r="J352" s="31"/>
      <c r="K352" s="22"/>
      <c r="L352" s="22"/>
      <c r="M352" s="22"/>
      <c r="N352" s="22"/>
    </row>
    <row r="353" spans="1:14" hidden="1" x14ac:dyDescent="0.25">
      <c r="A353" s="22"/>
      <c r="B353" s="23"/>
      <c r="C353" s="22"/>
      <c r="D353" s="22"/>
      <c r="E353" s="22"/>
      <c r="F353" s="23"/>
      <c r="G353" s="22"/>
      <c r="H353" s="22"/>
      <c r="I353" s="22"/>
      <c r="J353" s="31"/>
      <c r="K353" s="22"/>
      <c r="L353" s="22"/>
      <c r="M353" s="22"/>
      <c r="N353" s="22"/>
    </row>
    <row r="354" spans="1:14" hidden="1" x14ac:dyDescent="0.25">
      <c r="A354" s="22"/>
      <c r="B354" s="23"/>
      <c r="C354" s="22"/>
      <c r="D354" s="22"/>
      <c r="E354" s="22"/>
      <c r="F354" s="23"/>
      <c r="G354" s="22"/>
      <c r="H354" s="22"/>
      <c r="I354" s="22"/>
      <c r="J354" s="31"/>
      <c r="K354" s="22"/>
      <c r="L354" s="22"/>
      <c r="M354" s="22"/>
      <c r="N354" s="22"/>
    </row>
    <row r="355" spans="1:14" hidden="1" x14ac:dyDescent="0.25">
      <c r="A355" s="22"/>
      <c r="B355" s="23"/>
      <c r="C355" s="22"/>
      <c r="D355" s="22"/>
      <c r="E355" s="22"/>
      <c r="F355" s="23"/>
      <c r="G355" s="22"/>
      <c r="H355" s="22"/>
      <c r="I355" s="22"/>
      <c r="J355" s="31"/>
      <c r="K355" s="22"/>
      <c r="L355" s="22"/>
      <c r="M355" s="22"/>
      <c r="N355" s="22"/>
    </row>
    <row r="356" spans="1:14" hidden="1" x14ac:dyDescent="0.25">
      <c r="A356" s="22"/>
      <c r="B356" s="23"/>
      <c r="C356" s="22"/>
      <c r="D356" s="22"/>
      <c r="E356" s="22"/>
      <c r="F356" s="23"/>
      <c r="G356" s="22"/>
      <c r="H356" s="22"/>
      <c r="I356" s="22"/>
      <c r="J356" s="31"/>
      <c r="K356" s="22"/>
      <c r="L356" s="22"/>
      <c r="M356" s="22"/>
      <c r="N356" s="22"/>
    </row>
    <row r="357" spans="1:14" hidden="1" x14ac:dyDescent="0.25">
      <c r="A357" s="22"/>
      <c r="B357" s="23"/>
      <c r="C357" s="22"/>
      <c r="D357" s="22"/>
      <c r="E357" s="22"/>
      <c r="F357" s="23"/>
      <c r="G357" s="22"/>
      <c r="H357" s="22"/>
      <c r="I357" s="22"/>
      <c r="J357" s="31"/>
      <c r="K357" s="22"/>
      <c r="L357" s="22"/>
      <c r="M357" s="22"/>
      <c r="N357" s="22"/>
    </row>
    <row r="358" spans="1:14" hidden="1" x14ac:dyDescent="0.25">
      <c r="A358" s="22"/>
      <c r="B358" s="23"/>
      <c r="C358" s="22"/>
      <c r="D358" s="22"/>
      <c r="E358" s="22"/>
      <c r="F358" s="23"/>
      <c r="G358" s="22"/>
      <c r="H358" s="22"/>
      <c r="I358" s="22"/>
      <c r="J358" s="31"/>
      <c r="K358" s="22"/>
      <c r="L358" s="22"/>
      <c r="M358" s="22"/>
      <c r="N358" s="22"/>
    </row>
    <row r="359" spans="1:14" hidden="1" x14ac:dyDescent="0.25">
      <c r="A359" s="22"/>
      <c r="B359" s="23"/>
      <c r="C359" s="22"/>
      <c r="D359" s="22"/>
      <c r="E359" s="22"/>
      <c r="F359" s="23"/>
      <c r="G359" s="22"/>
      <c r="H359" s="22"/>
      <c r="I359" s="22"/>
      <c r="J359" s="31"/>
      <c r="K359" s="22"/>
      <c r="L359" s="22"/>
      <c r="M359" s="22"/>
      <c r="N359" s="22"/>
    </row>
    <row r="360" spans="1:14" x14ac:dyDescent="0.25">
      <c r="A360" s="4"/>
      <c r="B360" s="4"/>
      <c r="C360" s="4"/>
      <c r="D360" s="4"/>
      <c r="E360" s="4"/>
      <c r="F360" s="4"/>
      <c r="G360" s="4"/>
      <c r="H360" s="4"/>
      <c r="I360" s="4"/>
      <c r="J360" s="32"/>
      <c r="K360" s="4"/>
      <c r="L360" s="4"/>
      <c r="M360" s="4"/>
      <c r="N360" s="4"/>
    </row>
    <row r="361" spans="1:14" x14ac:dyDescent="0.25">
      <c r="A361" s="4"/>
      <c r="B361" s="4"/>
      <c r="C361" s="4"/>
      <c r="D361" s="4"/>
      <c r="E361" s="4"/>
      <c r="F361" s="4"/>
      <c r="G361" s="4"/>
      <c r="H361" s="4"/>
      <c r="I361" s="4"/>
      <c r="J361" s="32"/>
      <c r="K361" s="4"/>
      <c r="L361" s="4"/>
      <c r="M361" s="4"/>
      <c r="N361" s="4"/>
    </row>
    <row r="362" spans="1:14" x14ac:dyDescent="0.25">
      <c r="A362" s="4"/>
      <c r="B362" s="4"/>
      <c r="C362" s="4"/>
      <c r="D362" s="4"/>
      <c r="E362" s="4"/>
      <c r="F362" s="4"/>
      <c r="G362" s="4"/>
      <c r="H362" s="4"/>
      <c r="I362" s="4"/>
      <c r="J362" s="32"/>
      <c r="K362" s="4"/>
      <c r="L362" s="4"/>
      <c r="M362" s="4"/>
      <c r="N362" s="4"/>
    </row>
    <row r="363" spans="1:14" x14ac:dyDescent="0.25">
      <c r="A363" s="4"/>
      <c r="B363" s="4"/>
      <c r="C363" s="4"/>
      <c r="D363" s="4"/>
      <c r="E363" s="4"/>
      <c r="F363" s="4"/>
      <c r="G363" s="4"/>
      <c r="H363" s="4"/>
      <c r="I363" s="4"/>
      <c r="J363" s="32"/>
      <c r="K363" s="4"/>
      <c r="L363" s="4"/>
      <c r="M363" s="4"/>
      <c r="N363" s="4"/>
    </row>
    <row r="364" spans="1:14" x14ac:dyDescent="0.25">
      <c r="A364" s="4"/>
      <c r="B364" s="4"/>
      <c r="C364" s="4"/>
      <c r="D364" s="4"/>
      <c r="E364" s="4"/>
      <c r="F364" s="4"/>
      <c r="G364" s="4"/>
      <c r="H364" s="4"/>
      <c r="I364" s="4"/>
      <c r="J364" s="32"/>
      <c r="K364" s="4"/>
      <c r="L364" s="4"/>
      <c r="M364" s="4"/>
      <c r="N364" s="4"/>
    </row>
    <row r="365" spans="1:14" x14ac:dyDescent="0.25">
      <c r="A365" s="4"/>
      <c r="B365" s="4"/>
      <c r="C365" s="4"/>
      <c r="D365" s="4"/>
      <c r="E365" s="4"/>
      <c r="F365" s="4"/>
      <c r="G365" s="4"/>
      <c r="H365" s="4"/>
      <c r="I365" s="4"/>
      <c r="J365" s="32"/>
      <c r="K365" s="4"/>
      <c r="L365" s="4"/>
      <c r="M365" s="4"/>
      <c r="N365" s="4"/>
    </row>
    <row r="366" spans="1:14" x14ac:dyDescent="0.25">
      <c r="A366" s="4"/>
      <c r="B366" s="4"/>
      <c r="C366" s="4"/>
      <c r="D366" s="4"/>
      <c r="E366" s="4"/>
      <c r="F366" s="4"/>
      <c r="G366" s="4"/>
      <c r="H366" s="4"/>
      <c r="I366" s="4"/>
      <c r="J366" s="32"/>
      <c r="K366" s="4"/>
      <c r="L366" s="4"/>
      <c r="M366" s="4"/>
      <c r="N366" s="4"/>
    </row>
    <row r="367" spans="1:14" x14ac:dyDescent="0.25">
      <c r="A367" s="4"/>
      <c r="B367" s="4"/>
      <c r="C367" s="4"/>
      <c r="D367" s="4"/>
      <c r="E367" s="4"/>
      <c r="F367" s="4"/>
      <c r="G367" s="4"/>
      <c r="H367" s="4"/>
      <c r="I367" s="4"/>
      <c r="J367" s="32"/>
      <c r="K367" s="4"/>
      <c r="L367" s="4"/>
      <c r="M367" s="4"/>
      <c r="N367" s="4"/>
    </row>
    <row r="368" spans="1:14" x14ac:dyDescent="0.25">
      <c r="A368" s="4"/>
      <c r="B368" s="4"/>
      <c r="C368" s="4"/>
      <c r="D368" s="4"/>
      <c r="E368" s="4"/>
      <c r="F368" s="4"/>
      <c r="G368" s="4"/>
      <c r="H368" s="4"/>
      <c r="I368" s="4"/>
      <c r="J368" s="32"/>
      <c r="K368" s="4"/>
      <c r="L368" s="4"/>
      <c r="M368" s="4"/>
      <c r="N368" s="4"/>
    </row>
    <row r="369" spans="1:14" x14ac:dyDescent="0.25">
      <c r="A369" s="4"/>
      <c r="B369" s="4"/>
      <c r="C369" s="4"/>
      <c r="D369" s="4"/>
      <c r="E369" s="4"/>
      <c r="F369" s="4"/>
      <c r="G369" s="4"/>
      <c r="H369" s="4"/>
      <c r="I369" s="4"/>
      <c r="J369" s="32"/>
      <c r="K369" s="4"/>
      <c r="L369" s="4"/>
      <c r="M369" s="4"/>
      <c r="N369" s="4"/>
    </row>
    <row r="370" spans="1:14" x14ac:dyDescent="0.25">
      <c r="A370" s="4"/>
      <c r="B370" s="4"/>
      <c r="C370" s="4"/>
      <c r="D370" s="4"/>
      <c r="E370" s="4"/>
      <c r="F370" s="4"/>
      <c r="G370" s="4"/>
      <c r="H370" s="4"/>
      <c r="I370" s="4"/>
      <c r="J370" s="32"/>
      <c r="K370" s="4"/>
      <c r="L370" s="4"/>
      <c r="M370" s="4"/>
      <c r="N370" s="4"/>
    </row>
    <row r="371" spans="1:14" x14ac:dyDescent="0.25">
      <c r="A371" s="4"/>
      <c r="B371" s="4"/>
      <c r="C371" s="4"/>
      <c r="D371" s="4"/>
      <c r="E371" s="4"/>
      <c r="F371" s="4"/>
      <c r="G371" s="4"/>
      <c r="H371" s="4"/>
      <c r="I371" s="4"/>
      <c r="J371" s="32"/>
      <c r="K371" s="4"/>
      <c r="L371" s="4"/>
      <c r="M371" s="4"/>
      <c r="N371" s="4"/>
    </row>
    <row r="372" spans="1:14" x14ac:dyDescent="0.25">
      <c r="A372" s="4"/>
      <c r="B372" s="4"/>
      <c r="C372" s="4"/>
      <c r="D372" s="4"/>
      <c r="E372" s="4"/>
      <c r="F372" s="4"/>
      <c r="G372" s="4"/>
      <c r="H372" s="4"/>
      <c r="I372" s="4"/>
      <c r="J372" s="32"/>
      <c r="K372" s="4"/>
      <c r="L372" s="4"/>
      <c r="M372" s="4"/>
      <c r="N372" s="4"/>
    </row>
    <row r="373" spans="1:14" x14ac:dyDescent="0.25">
      <c r="A373" s="4"/>
      <c r="B373" s="4"/>
      <c r="C373" s="4"/>
      <c r="D373" s="4"/>
      <c r="E373" s="4"/>
      <c r="F373" s="4"/>
      <c r="G373" s="4"/>
      <c r="H373" s="4"/>
      <c r="I373" s="4"/>
      <c r="J373" s="32"/>
      <c r="K373" s="4"/>
      <c r="L373" s="4"/>
      <c r="M373" s="4"/>
      <c r="N373" s="4"/>
    </row>
    <row r="374" spans="1:14" x14ac:dyDescent="0.25">
      <c r="A374" s="4"/>
      <c r="B374" s="4"/>
      <c r="C374" s="4"/>
      <c r="D374" s="4"/>
      <c r="E374" s="4"/>
      <c r="F374" s="4"/>
      <c r="G374" s="4"/>
      <c r="H374" s="4"/>
      <c r="I374" s="4"/>
      <c r="J374" s="32"/>
      <c r="K374" s="4"/>
      <c r="L374" s="4"/>
      <c r="M374" s="4"/>
      <c r="N374" s="4"/>
    </row>
    <row r="375" spans="1:14" x14ac:dyDescent="0.25">
      <c r="A375" s="4"/>
      <c r="B375" s="4"/>
      <c r="C375" s="4"/>
      <c r="D375" s="4"/>
      <c r="E375" s="4"/>
      <c r="F375" s="4"/>
      <c r="G375" s="4"/>
      <c r="H375" s="4"/>
      <c r="I375" s="4"/>
      <c r="J375" s="32"/>
      <c r="K375" s="4"/>
      <c r="L375" s="4"/>
      <c r="M375" s="4"/>
      <c r="N375" s="4"/>
    </row>
    <row r="376" spans="1:14" x14ac:dyDescent="0.25">
      <c r="A376" s="4"/>
      <c r="B376" s="4"/>
      <c r="C376" s="4"/>
      <c r="D376" s="4"/>
      <c r="E376" s="4"/>
      <c r="F376" s="4"/>
      <c r="G376" s="4"/>
      <c r="H376" s="4"/>
      <c r="I376" s="4"/>
      <c r="J376" s="32"/>
      <c r="K376" s="4"/>
      <c r="L376" s="4"/>
      <c r="M376" s="4"/>
      <c r="N376" s="4"/>
    </row>
    <row r="377" spans="1:14" x14ac:dyDescent="0.25">
      <c r="A377" s="4"/>
      <c r="B377" s="4"/>
      <c r="C377" s="4"/>
      <c r="D377" s="4"/>
      <c r="E377" s="4"/>
      <c r="F377" s="4"/>
      <c r="G377" s="4"/>
      <c r="H377" s="4"/>
      <c r="I377" s="4"/>
      <c r="J377" s="32"/>
      <c r="K377" s="4"/>
      <c r="L377" s="4"/>
      <c r="M377" s="4"/>
      <c r="N377" s="4"/>
    </row>
    <row r="378" spans="1:14" x14ac:dyDescent="0.25">
      <c r="A378" s="4"/>
      <c r="B378" s="4"/>
      <c r="C378" s="4"/>
      <c r="D378" s="4"/>
      <c r="E378" s="4"/>
      <c r="F378" s="4"/>
      <c r="G378" s="4"/>
      <c r="H378" s="4"/>
      <c r="I378" s="4"/>
      <c r="J378" s="32"/>
      <c r="K378" s="4"/>
      <c r="L378" s="4"/>
      <c r="M378" s="4"/>
      <c r="N378" s="4"/>
    </row>
    <row r="379" spans="1:14" x14ac:dyDescent="0.25">
      <c r="A379" s="4"/>
      <c r="B379" s="4"/>
      <c r="C379" s="4"/>
      <c r="D379" s="4"/>
      <c r="E379" s="4"/>
      <c r="F379" s="4"/>
      <c r="G379" s="4"/>
      <c r="H379" s="4"/>
      <c r="I379" s="4"/>
      <c r="J379" s="32"/>
      <c r="K379" s="4"/>
      <c r="L379" s="4"/>
      <c r="M379" s="4"/>
      <c r="N379" s="4"/>
    </row>
    <row r="380" spans="1:14" x14ac:dyDescent="0.25">
      <c r="A380" s="4"/>
      <c r="B380" s="4"/>
      <c r="C380" s="4"/>
      <c r="D380" s="4"/>
      <c r="E380" s="4"/>
      <c r="F380" s="4"/>
      <c r="G380" s="4"/>
      <c r="H380" s="4"/>
      <c r="I380" s="4"/>
      <c r="J380" s="32"/>
      <c r="K380" s="4"/>
      <c r="L380" s="4"/>
      <c r="M380" s="4"/>
      <c r="N380" s="4"/>
    </row>
    <row r="381" spans="1:14" x14ac:dyDescent="0.25">
      <c r="A381" s="4"/>
      <c r="B381" s="4"/>
      <c r="C381" s="4"/>
      <c r="D381" s="4"/>
      <c r="E381" s="4"/>
      <c r="F381" s="4"/>
      <c r="G381" s="4"/>
      <c r="H381" s="4"/>
      <c r="I381" s="4"/>
      <c r="J381" s="32"/>
      <c r="K381" s="4"/>
      <c r="L381" s="4"/>
      <c r="M381" s="4"/>
      <c r="N381" s="4"/>
    </row>
    <row r="382" spans="1:14" x14ac:dyDescent="0.25">
      <c r="A382" s="4"/>
      <c r="B382" s="4"/>
      <c r="C382" s="4"/>
      <c r="D382" s="4"/>
      <c r="E382" s="4"/>
      <c r="F382" s="4"/>
      <c r="G382" s="4"/>
      <c r="H382" s="4"/>
      <c r="I382" s="4"/>
      <c r="J382" s="32"/>
      <c r="K382" s="4"/>
      <c r="L382" s="4"/>
      <c r="M382" s="4"/>
      <c r="N382" s="4"/>
    </row>
    <row r="383" spans="1:14" x14ac:dyDescent="0.25">
      <c r="A383" s="4"/>
      <c r="B383" s="4"/>
      <c r="C383" s="4"/>
      <c r="D383" s="4"/>
      <c r="E383" s="4"/>
      <c r="F383" s="4"/>
      <c r="G383" s="4"/>
      <c r="H383" s="4"/>
      <c r="I383" s="4"/>
      <c r="J383" s="32"/>
      <c r="K383" s="4"/>
      <c r="L383" s="4"/>
      <c r="M383" s="4"/>
      <c r="N383" s="4"/>
    </row>
    <row r="384" spans="1:14" x14ac:dyDescent="0.25">
      <c r="A384" s="4"/>
      <c r="B384" s="4"/>
      <c r="C384" s="4"/>
      <c r="D384" s="4"/>
      <c r="E384" s="4"/>
      <c r="F384" s="4"/>
      <c r="G384" s="4"/>
      <c r="H384" s="4"/>
      <c r="I384" s="4"/>
      <c r="J384" s="32"/>
      <c r="K384" s="4"/>
      <c r="L384" s="4"/>
      <c r="M384" s="4"/>
      <c r="N384" s="4"/>
    </row>
    <row r="385" spans="1:14" x14ac:dyDescent="0.25">
      <c r="A385" s="4"/>
      <c r="B385" s="4"/>
      <c r="C385" s="4"/>
      <c r="D385" s="4"/>
      <c r="E385" s="4"/>
      <c r="F385" s="4"/>
      <c r="G385" s="4"/>
      <c r="H385" s="4"/>
      <c r="I385" s="4"/>
      <c r="J385" s="32"/>
      <c r="K385" s="4"/>
      <c r="L385" s="4"/>
      <c r="M385" s="4"/>
      <c r="N385" s="4"/>
    </row>
    <row r="386" spans="1:14" x14ac:dyDescent="0.25">
      <c r="A386" s="4"/>
      <c r="B386" s="4"/>
      <c r="C386" s="4"/>
      <c r="D386" s="4"/>
      <c r="E386" s="4"/>
      <c r="F386" s="4"/>
      <c r="G386" s="4"/>
      <c r="H386" s="4"/>
      <c r="I386" s="4"/>
      <c r="J386" s="32"/>
      <c r="K386" s="4"/>
      <c r="L386" s="4"/>
      <c r="M386" s="4"/>
      <c r="N386" s="4"/>
    </row>
    <row r="387" spans="1:14" x14ac:dyDescent="0.25">
      <c r="A387" s="4"/>
      <c r="B387" s="4"/>
      <c r="C387" s="4"/>
      <c r="D387" s="4"/>
      <c r="E387" s="4"/>
      <c r="F387" s="4"/>
      <c r="G387" s="4"/>
      <c r="H387" s="4"/>
      <c r="I387" s="4"/>
      <c r="J387" s="32"/>
      <c r="K387" s="4"/>
      <c r="L387" s="4"/>
      <c r="M387" s="4"/>
      <c r="N387" s="4"/>
    </row>
    <row r="388" spans="1:14" x14ac:dyDescent="0.25">
      <c r="A388" s="4"/>
      <c r="B388" s="4"/>
      <c r="C388" s="4"/>
      <c r="D388" s="4"/>
      <c r="E388" s="4"/>
      <c r="F388" s="4"/>
      <c r="G388" s="4"/>
      <c r="H388" s="4"/>
      <c r="I388" s="4"/>
      <c r="J388" s="32"/>
      <c r="K388" s="4"/>
      <c r="L388" s="4"/>
      <c r="M388" s="4"/>
      <c r="N388" s="4"/>
    </row>
    <row r="389" spans="1:14" x14ac:dyDescent="0.25">
      <c r="A389" s="4"/>
      <c r="B389" s="4"/>
      <c r="C389" s="4"/>
      <c r="D389" s="4"/>
      <c r="E389" s="4"/>
      <c r="F389" s="4"/>
      <c r="G389" s="4"/>
      <c r="H389" s="4"/>
      <c r="I389" s="4"/>
      <c r="J389" s="32"/>
      <c r="K389" s="4"/>
      <c r="L389" s="4"/>
      <c r="M389" s="4"/>
      <c r="N389" s="4"/>
    </row>
    <row r="390" spans="1:14" x14ac:dyDescent="0.25">
      <c r="A390" s="4"/>
      <c r="B390" s="4"/>
      <c r="C390" s="4"/>
      <c r="D390" s="4"/>
      <c r="E390" s="4"/>
      <c r="F390" s="4"/>
      <c r="G390" s="4"/>
      <c r="H390" s="4"/>
      <c r="I390" s="4"/>
      <c r="J390" s="32"/>
      <c r="K390" s="4"/>
      <c r="L390" s="4"/>
      <c r="M390" s="4"/>
      <c r="N390" s="4"/>
    </row>
    <row r="391" spans="1:14" x14ac:dyDescent="0.25">
      <c r="A391" s="4"/>
      <c r="B391" s="4"/>
      <c r="C391" s="4"/>
      <c r="D391" s="4"/>
      <c r="E391" s="4"/>
      <c r="F391" s="4"/>
      <c r="G391" s="4"/>
      <c r="H391" s="4"/>
      <c r="I391" s="4"/>
      <c r="J391" s="32"/>
      <c r="K391" s="4"/>
      <c r="L391" s="4"/>
      <c r="M391" s="4"/>
      <c r="N391" s="4"/>
    </row>
    <row r="392" spans="1:14" x14ac:dyDescent="0.25">
      <c r="A392" s="4"/>
      <c r="B392" s="4"/>
      <c r="C392" s="4"/>
      <c r="D392" s="4"/>
      <c r="E392" s="4"/>
      <c r="F392" s="4"/>
      <c r="G392" s="4"/>
      <c r="H392" s="4"/>
      <c r="I392" s="4"/>
      <c r="J392" s="32"/>
      <c r="K392" s="4"/>
      <c r="L392" s="4"/>
      <c r="M392" s="4"/>
      <c r="N392" s="4"/>
    </row>
    <row r="393" spans="1:14" x14ac:dyDescent="0.25">
      <c r="A393" s="4"/>
      <c r="B393" s="4"/>
      <c r="C393" s="4"/>
      <c r="D393" s="4"/>
      <c r="E393" s="4"/>
      <c r="F393" s="4"/>
      <c r="G393" s="4"/>
      <c r="H393" s="4"/>
      <c r="I393" s="4"/>
      <c r="J393" s="32"/>
      <c r="K393" s="4"/>
      <c r="L393" s="4"/>
      <c r="M393" s="4"/>
      <c r="N393" s="4"/>
    </row>
    <row r="394" spans="1:14" x14ac:dyDescent="0.25">
      <c r="A394" s="4"/>
      <c r="B394" s="4"/>
      <c r="C394" s="4"/>
      <c r="D394" s="4"/>
      <c r="E394" s="4"/>
      <c r="F394" s="4"/>
      <c r="G394" s="4"/>
      <c r="H394" s="4"/>
      <c r="I394" s="4"/>
      <c r="J394" s="32"/>
      <c r="K394" s="4"/>
      <c r="L394" s="4"/>
      <c r="M394" s="4"/>
      <c r="N394" s="4"/>
    </row>
    <row r="395" spans="1:14" x14ac:dyDescent="0.25">
      <c r="A395" s="4"/>
      <c r="B395" s="4"/>
      <c r="C395" s="4"/>
      <c r="D395" s="4"/>
      <c r="E395" s="4"/>
      <c r="F395" s="4"/>
      <c r="G395" s="4"/>
      <c r="H395" s="4"/>
      <c r="I395" s="4"/>
      <c r="J395" s="32"/>
      <c r="K395" s="4"/>
      <c r="L395" s="4"/>
      <c r="M395" s="4"/>
      <c r="N395" s="4"/>
    </row>
    <row r="396" spans="1:14" x14ac:dyDescent="0.25">
      <c r="A396" s="4"/>
      <c r="B396" s="4"/>
      <c r="C396" s="4"/>
      <c r="D396" s="4"/>
      <c r="E396" s="4"/>
      <c r="F396" s="4"/>
      <c r="G396" s="4"/>
      <c r="H396" s="4"/>
      <c r="I396" s="4"/>
      <c r="J396" s="32"/>
      <c r="K396" s="4"/>
      <c r="L396" s="4"/>
      <c r="M396" s="4"/>
      <c r="N396" s="4"/>
    </row>
    <row r="397" spans="1:14" x14ac:dyDescent="0.25">
      <c r="A397" s="4"/>
      <c r="B397" s="4"/>
      <c r="C397" s="4"/>
      <c r="D397" s="4"/>
      <c r="E397" s="4"/>
      <c r="F397" s="4"/>
      <c r="G397" s="4"/>
      <c r="H397" s="4"/>
      <c r="I397" s="4"/>
      <c r="J397" s="32"/>
      <c r="K397" s="4"/>
      <c r="L397" s="4"/>
      <c r="M397" s="4"/>
      <c r="N397" s="4"/>
    </row>
    <row r="398" spans="1:14" x14ac:dyDescent="0.25">
      <c r="A398" s="4"/>
      <c r="B398" s="4"/>
      <c r="C398" s="4"/>
      <c r="D398" s="4"/>
      <c r="E398" s="4"/>
      <c r="F398" s="4"/>
      <c r="G398" s="4"/>
      <c r="H398" s="4"/>
      <c r="I398" s="4"/>
      <c r="J398" s="32"/>
      <c r="K398" s="4"/>
      <c r="L398" s="4"/>
      <c r="M398" s="4"/>
      <c r="N398" s="4"/>
    </row>
    <row r="399" spans="1:14" x14ac:dyDescent="0.25">
      <c r="A399" s="4"/>
      <c r="B399" s="4"/>
      <c r="C399" s="4"/>
      <c r="D399" s="4"/>
      <c r="E399" s="4"/>
      <c r="F399" s="4"/>
      <c r="G399" s="4"/>
      <c r="H399" s="4"/>
      <c r="I399" s="4"/>
      <c r="J399" s="32"/>
      <c r="K399" s="4"/>
      <c r="L399" s="4"/>
      <c r="M399" s="4"/>
      <c r="N399" s="4"/>
    </row>
    <row r="400" spans="1:14" x14ac:dyDescent="0.25">
      <c r="A400" s="4"/>
      <c r="B400" s="4"/>
      <c r="C400" s="4"/>
      <c r="D400" s="4"/>
      <c r="E400" s="4"/>
      <c r="F400" s="4"/>
      <c r="G400" s="4"/>
      <c r="H400" s="4"/>
      <c r="I400" s="4"/>
      <c r="J400" s="32"/>
      <c r="K400" s="4"/>
      <c r="L400" s="4"/>
      <c r="M400" s="4"/>
      <c r="N400" s="4"/>
    </row>
    <row r="401" spans="1:14" x14ac:dyDescent="0.25">
      <c r="A401" s="4"/>
      <c r="B401" s="4"/>
      <c r="C401" s="4"/>
      <c r="D401" s="4"/>
      <c r="E401" s="4"/>
      <c r="F401" s="4"/>
      <c r="G401" s="4"/>
      <c r="H401" s="4"/>
      <c r="I401" s="4"/>
      <c r="J401" s="32"/>
      <c r="K401" s="4"/>
      <c r="L401" s="4"/>
      <c r="M401" s="4"/>
      <c r="N401" s="4"/>
    </row>
    <row r="402" spans="1:14" x14ac:dyDescent="0.25">
      <c r="A402" s="4"/>
      <c r="B402" s="4"/>
      <c r="C402" s="4"/>
      <c r="D402" s="4"/>
      <c r="E402" s="4"/>
      <c r="F402" s="4"/>
      <c r="G402" s="4"/>
      <c r="H402" s="4"/>
      <c r="I402" s="4"/>
      <c r="J402" s="32"/>
      <c r="K402" s="4"/>
      <c r="L402" s="4"/>
      <c r="M402" s="4"/>
      <c r="N402" s="4"/>
    </row>
    <row r="403" spans="1:14" x14ac:dyDescent="0.25">
      <c r="A403" s="4"/>
      <c r="B403" s="4"/>
      <c r="C403" s="4"/>
      <c r="D403" s="4"/>
      <c r="E403" s="4"/>
      <c r="F403" s="4"/>
      <c r="G403" s="4"/>
      <c r="H403" s="4"/>
      <c r="I403" s="4"/>
      <c r="J403" s="32"/>
      <c r="K403" s="4"/>
      <c r="L403" s="4"/>
      <c r="M403" s="4"/>
      <c r="N403" s="4"/>
    </row>
    <row r="404" spans="1:14" x14ac:dyDescent="0.25">
      <c r="A404" s="4"/>
      <c r="B404" s="4"/>
      <c r="C404" s="4"/>
      <c r="D404" s="4"/>
      <c r="E404" s="4"/>
      <c r="F404" s="4"/>
      <c r="G404" s="4"/>
      <c r="H404" s="4"/>
      <c r="I404" s="4"/>
      <c r="J404" s="32"/>
      <c r="K404" s="4"/>
      <c r="L404" s="4"/>
      <c r="M404" s="4"/>
      <c r="N404" s="4"/>
    </row>
    <row r="405" spans="1:14" x14ac:dyDescent="0.25">
      <c r="A405" s="4"/>
      <c r="B405" s="4"/>
      <c r="C405" s="4"/>
      <c r="D405" s="4"/>
      <c r="E405" s="4"/>
      <c r="F405" s="4"/>
      <c r="G405" s="4"/>
      <c r="H405" s="4"/>
      <c r="I405" s="4"/>
      <c r="J405" s="32"/>
      <c r="K405" s="4"/>
      <c r="L405" s="4"/>
      <c r="M405" s="4"/>
      <c r="N405" s="4"/>
    </row>
    <row r="406" spans="1:14" x14ac:dyDescent="0.25">
      <c r="A406" s="4"/>
      <c r="B406" s="4"/>
      <c r="C406" s="4"/>
      <c r="D406" s="4"/>
      <c r="E406" s="4"/>
      <c r="F406" s="4"/>
      <c r="G406" s="4"/>
      <c r="H406" s="4"/>
      <c r="I406" s="4"/>
      <c r="J406" s="32"/>
      <c r="K406" s="4"/>
      <c r="L406" s="4"/>
      <c r="M406" s="4"/>
      <c r="N406" s="4"/>
    </row>
    <row r="407" spans="1:14" x14ac:dyDescent="0.25">
      <c r="A407" s="4"/>
      <c r="B407" s="4"/>
      <c r="C407" s="4"/>
      <c r="D407" s="4"/>
      <c r="E407" s="4"/>
      <c r="F407" s="4"/>
      <c r="G407" s="4"/>
      <c r="H407" s="4"/>
      <c r="I407" s="4"/>
      <c r="J407" s="32"/>
      <c r="K407" s="4"/>
      <c r="L407" s="4"/>
      <c r="M407" s="4"/>
      <c r="N407" s="4"/>
    </row>
    <row r="408" spans="1:14" x14ac:dyDescent="0.25">
      <c r="A408" s="4"/>
      <c r="B408" s="4"/>
      <c r="C408" s="4"/>
      <c r="D408" s="4"/>
      <c r="E408" s="4"/>
      <c r="F408" s="4"/>
      <c r="G408" s="4"/>
      <c r="H408" s="4"/>
      <c r="I408" s="4"/>
      <c r="J408" s="32"/>
      <c r="K408" s="4"/>
      <c r="L408" s="4"/>
      <c r="M408" s="4"/>
      <c r="N408" s="4"/>
    </row>
    <row r="409" spans="1:14" x14ac:dyDescent="0.25">
      <c r="A409" s="4"/>
      <c r="B409" s="4"/>
      <c r="C409" s="4"/>
      <c r="D409" s="4"/>
      <c r="E409" s="4"/>
      <c r="F409" s="4"/>
      <c r="G409" s="4"/>
      <c r="H409" s="4"/>
      <c r="I409" s="4"/>
      <c r="J409" s="32"/>
      <c r="K409" s="4"/>
      <c r="L409" s="4"/>
      <c r="M409" s="4"/>
      <c r="N409" s="4"/>
    </row>
    <row r="410" spans="1:14" x14ac:dyDescent="0.25">
      <c r="A410" s="4"/>
      <c r="B410" s="4"/>
      <c r="C410" s="4"/>
      <c r="D410" s="4"/>
      <c r="E410" s="4"/>
      <c r="F410" s="4"/>
      <c r="G410" s="4"/>
      <c r="H410" s="4"/>
      <c r="I410" s="4"/>
      <c r="J410" s="32"/>
      <c r="K410" s="4"/>
      <c r="L410" s="4"/>
      <c r="M410" s="4"/>
      <c r="N410" s="4"/>
    </row>
    <row r="411" spans="1:14" x14ac:dyDescent="0.25">
      <c r="A411" s="4"/>
      <c r="B411" s="4"/>
      <c r="C411" s="4"/>
      <c r="D411" s="4"/>
      <c r="E411" s="4"/>
      <c r="F411" s="4"/>
      <c r="G411" s="4"/>
      <c r="H411" s="4"/>
      <c r="I411" s="4"/>
      <c r="J411" s="32"/>
      <c r="K411" s="4"/>
      <c r="L411" s="4"/>
      <c r="M411" s="4"/>
      <c r="N411" s="4"/>
    </row>
    <row r="412" spans="1:14" x14ac:dyDescent="0.25">
      <c r="A412" s="4"/>
      <c r="B412" s="4"/>
      <c r="C412" s="4"/>
      <c r="D412" s="4"/>
      <c r="E412" s="4"/>
      <c r="F412" s="4"/>
      <c r="G412" s="4"/>
      <c r="H412" s="4"/>
      <c r="I412" s="4"/>
      <c r="J412" s="32"/>
      <c r="K412" s="4"/>
      <c r="L412" s="4"/>
      <c r="M412" s="4"/>
      <c r="N412" s="4"/>
    </row>
    <row r="413" spans="1:14" x14ac:dyDescent="0.25">
      <c r="A413" s="4"/>
      <c r="B413" s="4"/>
      <c r="C413" s="4"/>
      <c r="D413" s="4"/>
      <c r="E413" s="4"/>
      <c r="F413" s="4"/>
      <c r="G413" s="4"/>
      <c r="H413" s="4"/>
      <c r="I413" s="4"/>
      <c r="J413" s="32"/>
      <c r="K413" s="4"/>
      <c r="L413" s="4"/>
      <c r="M413" s="4"/>
      <c r="N413" s="4"/>
    </row>
    <row r="414" spans="1:14" x14ac:dyDescent="0.25">
      <c r="A414" s="4"/>
      <c r="B414" s="4"/>
      <c r="C414" s="4"/>
      <c r="D414" s="4"/>
      <c r="E414" s="4"/>
      <c r="F414" s="4"/>
      <c r="G414" s="4"/>
      <c r="H414" s="4"/>
      <c r="I414" s="4"/>
      <c r="J414" s="32"/>
      <c r="K414" s="4"/>
      <c r="L414" s="4"/>
      <c r="M414" s="4"/>
      <c r="N414" s="4"/>
    </row>
    <row r="415" spans="1:14" x14ac:dyDescent="0.25">
      <c r="A415" s="4"/>
      <c r="B415" s="4"/>
      <c r="C415" s="4"/>
      <c r="D415" s="4"/>
      <c r="E415" s="4"/>
      <c r="F415" s="4"/>
      <c r="G415" s="4"/>
      <c r="H415" s="4"/>
      <c r="I415" s="4"/>
      <c r="J415" s="32"/>
      <c r="K415" s="4"/>
      <c r="L415" s="4"/>
      <c r="M415" s="4"/>
      <c r="N415" s="4"/>
    </row>
    <row r="416" spans="1:14" x14ac:dyDescent="0.25">
      <c r="A416" s="4"/>
      <c r="B416" s="4"/>
      <c r="C416" s="4"/>
      <c r="D416" s="4"/>
      <c r="E416" s="4"/>
      <c r="F416" s="4"/>
      <c r="G416" s="4"/>
      <c r="H416" s="4"/>
      <c r="I416" s="4"/>
      <c r="J416" s="32"/>
      <c r="K416" s="4"/>
      <c r="L416" s="4"/>
      <c r="M416" s="4"/>
      <c r="N416" s="4"/>
    </row>
    <row r="417" spans="1:14" x14ac:dyDescent="0.25">
      <c r="A417" s="4"/>
      <c r="B417" s="4"/>
      <c r="C417" s="4"/>
      <c r="D417" s="4"/>
      <c r="E417" s="4"/>
      <c r="F417" s="4"/>
      <c r="G417" s="4"/>
      <c r="H417" s="4"/>
      <c r="I417" s="4"/>
      <c r="J417" s="32"/>
      <c r="K417" s="4"/>
      <c r="L417" s="4"/>
      <c r="M417" s="4"/>
      <c r="N417" s="4"/>
    </row>
    <row r="418" spans="1:14" x14ac:dyDescent="0.25">
      <c r="A418" s="4"/>
      <c r="B418" s="4"/>
      <c r="C418" s="4"/>
      <c r="D418" s="4"/>
      <c r="E418" s="4"/>
      <c r="F418" s="4"/>
      <c r="G418" s="4"/>
      <c r="H418" s="4"/>
      <c r="I418" s="4"/>
      <c r="J418" s="32"/>
      <c r="K418" s="4"/>
      <c r="L418" s="4"/>
      <c r="M418" s="4"/>
      <c r="N418" s="4"/>
    </row>
    <row r="419" spans="1:14" x14ac:dyDescent="0.25">
      <c r="A419" s="4"/>
      <c r="B419" s="4"/>
      <c r="C419" s="4"/>
      <c r="D419" s="4"/>
      <c r="E419" s="4"/>
      <c r="F419" s="4"/>
      <c r="G419" s="4"/>
      <c r="H419" s="4"/>
      <c r="I419" s="4"/>
      <c r="J419" s="32"/>
      <c r="K419" s="4"/>
      <c r="L419" s="4"/>
      <c r="M419" s="4"/>
      <c r="N419" s="4"/>
    </row>
    <row r="420" spans="1:14" x14ac:dyDescent="0.25">
      <c r="A420" s="4"/>
      <c r="B420" s="4"/>
      <c r="C420" s="4"/>
      <c r="D420" s="4"/>
      <c r="E420" s="4"/>
      <c r="F420" s="4"/>
      <c r="G420" s="4"/>
      <c r="H420" s="4"/>
      <c r="I420" s="4"/>
      <c r="J420" s="32"/>
      <c r="K420" s="4"/>
      <c r="L420" s="4"/>
      <c r="M420" s="4"/>
      <c r="N420" s="4"/>
    </row>
    <row r="421" spans="1:14" x14ac:dyDescent="0.25">
      <c r="A421" s="4"/>
      <c r="B421" s="4"/>
      <c r="C421" s="4"/>
      <c r="D421" s="4"/>
      <c r="E421" s="4"/>
      <c r="F421" s="4"/>
      <c r="G421" s="4"/>
      <c r="H421" s="4"/>
      <c r="I421" s="4"/>
      <c r="J421" s="32"/>
      <c r="K421" s="4"/>
      <c r="L421" s="4"/>
      <c r="M421" s="4"/>
      <c r="N421" s="4"/>
    </row>
    <row r="422" spans="1:14" x14ac:dyDescent="0.25">
      <c r="A422" s="4"/>
      <c r="B422" s="4"/>
      <c r="C422" s="4"/>
      <c r="D422" s="4"/>
      <c r="E422" s="4"/>
      <c r="F422" s="4"/>
      <c r="G422" s="4"/>
      <c r="H422" s="4"/>
      <c r="I422" s="4"/>
      <c r="J422" s="32"/>
      <c r="K422" s="4"/>
      <c r="L422" s="4"/>
      <c r="M422" s="4"/>
      <c r="N422" s="4"/>
    </row>
    <row r="423" spans="1:14" x14ac:dyDescent="0.25">
      <c r="A423" s="4"/>
      <c r="B423" s="4"/>
      <c r="C423" s="4"/>
      <c r="D423" s="4"/>
      <c r="E423" s="4"/>
      <c r="F423" s="4"/>
      <c r="G423" s="4"/>
      <c r="H423" s="4"/>
      <c r="I423" s="4"/>
      <c r="J423" s="32"/>
      <c r="K423" s="4"/>
      <c r="L423" s="4"/>
      <c r="M423" s="4"/>
      <c r="N423" s="4"/>
    </row>
    <row r="424" spans="1:14" x14ac:dyDescent="0.25">
      <c r="A424" s="4"/>
      <c r="B424" s="4"/>
      <c r="C424" s="4"/>
      <c r="D424" s="4"/>
      <c r="E424" s="4"/>
      <c r="F424" s="4"/>
      <c r="G424" s="4"/>
      <c r="H424" s="4"/>
      <c r="I424" s="4"/>
      <c r="J424" s="32"/>
      <c r="K424" s="4"/>
      <c r="L424" s="4"/>
      <c r="M424" s="4"/>
      <c r="N424" s="4"/>
    </row>
    <row r="425" spans="1:14" x14ac:dyDescent="0.25">
      <c r="A425" s="4"/>
      <c r="B425" s="4"/>
      <c r="C425" s="4"/>
      <c r="D425" s="4"/>
      <c r="E425" s="4"/>
      <c r="F425" s="4"/>
      <c r="G425" s="4"/>
      <c r="H425" s="4"/>
      <c r="I425" s="4"/>
      <c r="J425" s="32"/>
      <c r="K425" s="4"/>
      <c r="L425" s="4"/>
      <c r="M425" s="4"/>
      <c r="N425" s="4"/>
    </row>
    <row r="426" spans="1:14" x14ac:dyDescent="0.25">
      <c r="A426" s="4"/>
      <c r="B426" s="4"/>
      <c r="C426" s="4"/>
      <c r="D426" s="4"/>
      <c r="E426" s="4"/>
      <c r="F426" s="4"/>
      <c r="G426" s="4"/>
      <c r="H426" s="4"/>
      <c r="I426" s="4"/>
      <c r="J426" s="32"/>
      <c r="K426" s="4"/>
      <c r="L426" s="4"/>
      <c r="M426" s="4"/>
      <c r="N426" s="4"/>
    </row>
    <row r="427" spans="1:14" x14ac:dyDescent="0.25">
      <c r="A427" s="4"/>
      <c r="B427" s="4"/>
      <c r="C427" s="4"/>
      <c r="D427" s="4"/>
      <c r="E427" s="4"/>
      <c r="F427" s="4"/>
      <c r="G427" s="4"/>
      <c r="H427" s="4"/>
      <c r="I427" s="4"/>
      <c r="J427" s="32"/>
      <c r="K427" s="4"/>
      <c r="L427" s="4"/>
      <c r="M427" s="4"/>
      <c r="N427" s="4"/>
    </row>
    <row r="428" spans="1:14" x14ac:dyDescent="0.25">
      <c r="A428" s="4"/>
      <c r="B428" s="4"/>
      <c r="C428" s="4"/>
      <c r="D428" s="4"/>
      <c r="E428" s="4"/>
      <c r="F428" s="4"/>
      <c r="G428" s="4"/>
      <c r="H428" s="4"/>
      <c r="I428" s="4"/>
      <c r="J428" s="32"/>
      <c r="K428" s="4"/>
      <c r="L428" s="4"/>
      <c r="M428" s="4"/>
      <c r="N428" s="4"/>
    </row>
    <row r="429" spans="1:14" x14ac:dyDescent="0.25">
      <c r="A429" s="4"/>
      <c r="B429" s="4"/>
      <c r="C429" s="4"/>
      <c r="D429" s="4"/>
      <c r="E429" s="4"/>
      <c r="F429" s="4"/>
      <c r="G429" s="4"/>
      <c r="H429" s="4"/>
      <c r="I429" s="4"/>
      <c r="J429" s="32"/>
      <c r="K429" s="4"/>
      <c r="L429" s="4"/>
      <c r="M429" s="4"/>
      <c r="N429" s="4"/>
    </row>
    <row r="430" spans="1:14" x14ac:dyDescent="0.25">
      <c r="A430" s="4"/>
      <c r="B430" s="4"/>
      <c r="C430" s="4"/>
      <c r="D430" s="4"/>
      <c r="E430" s="4"/>
      <c r="F430" s="4"/>
      <c r="G430" s="4"/>
      <c r="H430" s="4"/>
      <c r="I430" s="4"/>
      <c r="J430" s="32"/>
      <c r="K430" s="4"/>
      <c r="L430" s="4"/>
      <c r="M430" s="4"/>
      <c r="N430" s="4"/>
    </row>
    <row r="431" spans="1:14" x14ac:dyDescent="0.25">
      <c r="A431" s="4"/>
      <c r="B431" s="4"/>
      <c r="C431" s="4"/>
      <c r="D431" s="4"/>
      <c r="E431" s="4"/>
      <c r="F431" s="4"/>
      <c r="G431" s="4"/>
      <c r="H431" s="4"/>
      <c r="I431" s="4"/>
      <c r="J431" s="32"/>
      <c r="K431" s="4"/>
      <c r="L431" s="4"/>
      <c r="M431" s="4"/>
      <c r="N431" s="4"/>
    </row>
    <row r="432" spans="1:14" x14ac:dyDescent="0.25">
      <c r="A432" s="4"/>
      <c r="B432" s="4"/>
      <c r="C432" s="4"/>
      <c r="D432" s="4"/>
      <c r="E432" s="4"/>
      <c r="F432" s="4"/>
      <c r="G432" s="4"/>
      <c r="H432" s="4"/>
      <c r="I432" s="4"/>
      <c r="J432" s="32"/>
      <c r="K432" s="4"/>
      <c r="L432" s="4"/>
      <c r="M432" s="4"/>
      <c r="N432" s="4"/>
    </row>
    <row r="433" spans="1:14" x14ac:dyDescent="0.25">
      <c r="A433" s="4"/>
      <c r="B433" s="4"/>
      <c r="C433" s="4"/>
      <c r="D433" s="4"/>
      <c r="E433" s="4"/>
      <c r="F433" s="4"/>
      <c r="G433" s="4"/>
      <c r="H433" s="4"/>
      <c r="I433" s="4"/>
      <c r="J433" s="32"/>
      <c r="K433" s="4"/>
      <c r="L433" s="4"/>
      <c r="M433" s="4"/>
      <c r="N433" s="4"/>
    </row>
    <row r="434" spans="1:14" x14ac:dyDescent="0.25">
      <c r="A434" s="4"/>
      <c r="B434" s="4"/>
      <c r="C434" s="4"/>
      <c r="D434" s="4"/>
      <c r="E434" s="4"/>
      <c r="F434" s="4"/>
      <c r="G434" s="4"/>
      <c r="H434" s="4"/>
      <c r="I434" s="4"/>
      <c r="J434" s="32"/>
      <c r="K434" s="4"/>
      <c r="L434" s="4"/>
      <c r="M434" s="4"/>
      <c r="N434" s="4"/>
    </row>
    <row r="435" spans="1:14" x14ac:dyDescent="0.25">
      <c r="A435" s="4"/>
      <c r="B435" s="4"/>
      <c r="C435" s="4"/>
      <c r="D435" s="4"/>
      <c r="E435" s="4"/>
      <c r="F435" s="4"/>
      <c r="G435" s="4"/>
      <c r="H435" s="4"/>
      <c r="I435" s="4"/>
      <c r="J435" s="32"/>
      <c r="K435" s="4"/>
      <c r="L435" s="4"/>
      <c r="M435" s="4"/>
      <c r="N435" s="4"/>
    </row>
    <row r="436" spans="1:14" x14ac:dyDescent="0.25">
      <c r="A436" s="4"/>
      <c r="B436" s="4"/>
      <c r="C436" s="4"/>
      <c r="D436" s="4"/>
      <c r="E436" s="4"/>
      <c r="F436" s="4"/>
      <c r="G436" s="4"/>
      <c r="H436" s="4"/>
      <c r="I436" s="4"/>
      <c r="J436" s="32"/>
      <c r="K436" s="4"/>
      <c r="L436" s="4"/>
      <c r="M436" s="4"/>
      <c r="N436" s="4"/>
    </row>
    <row r="437" spans="1:14" x14ac:dyDescent="0.25">
      <c r="A437" s="4"/>
      <c r="B437" s="4"/>
      <c r="C437" s="4"/>
      <c r="D437" s="4"/>
      <c r="E437" s="4"/>
      <c r="F437" s="4"/>
      <c r="G437" s="4"/>
      <c r="H437" s="4"/>
      <c r="I437" s="4"/>
      <c r="J437" s="32"/>
      <c r="K437" s="4"/>
      <c r="L437" s="4"/>
      <c r="M437" s="4"/>
      <c r="N437" s="4"/>
    </row>
    <row r="438" spans="1:14" x14ac:dyDescent="0.25">
      <c r="A438" s="4"/>
      <c r="B438" s="4"/>
      <c r="C438" s="4"/>
      <c r="D438" s="4"/>
      <c r="E438" s="4"/>
      <c r="F438" s="4"/>
      <c r="G438" s="4"/>
      <c r="H438" s="4"/>
      <c r="I438" s="4"/>
      <c r="J438" s="32"/>
      <c r="K438" s="4"/>
      <c r="L438" s="4"/>
      <c r="M438" s="4"/>
      <c r="N438" s="4"/>
    </row>
    <row r="439" spans="1:14" x14ac:dyDescent="0.25">
      <c r="A439" s="4"/>
      <c r="B439" s="4"/>
      <c r="C439" s="4"/>
      <c r="D439" s="4"/>
      <c r="E439" s="4"/>
      <c r="F439" s="4"/>
      <c r="G439" s="4"/>
      <c r="H439" s="4"/>
      <c r="I439" s="4"/>
      <c r="J439" s="32"/>
      <c r="K439" s="4"/>
      <c r="L439" s="4"/>
      <c r="M439" s="4"/>
      <c r="N439" s="4"/>
    </row>
    <row r="440" spans="1:14" x14ac:dyDescent="0.25">
      <c r="A440" s="4"/>
      <c r="B440" s="4"/>
      <c r="C440" s="4"/>
      <c r="D440" s="4"/>
      <c r="E440" s="4"/>
      <c r="F440" s="4"/>
      <c r="G440" s="4"/>
      <c r="H440" s="4"/>
      <c r="I440" s="4"/>
      <c r="J440" s="32"/>
      <c r="K440" s="4"/>
      <c r="L440" s="4"/>
      <c r="M440" s="4"/>
      <c r="N440" s="4"/>
    </row>
    <row r="441" spans="1:14" x14ac:dyDescent="0.25">
      <c r="A441" s="4"/>
      <c r="B441" s="4"/>
      <c r="C441" s="4"/>
      <c r="D441" s="4"/>
      <c r="E441" s="4"/>
      <c r="F441" s="4"/>
      <c r="G441" s="4"/>
      <c r="H441" s="4"/>
      <c r="I441" s="4"/>
      <c r="J441" s="32"/>
      <c r="K441" s="4"/>
      <c r="L441" s="4"/>
      <c r="M441" s="4"/>
      <c r="N441" s="4"/>
    </row>
    <row r="442" spans="1:14" x14ac:dyDescent="0.25">
      <c r="A442" s="4"/>
      <c r="B442" s="4"/>
      <c r="C442" s="4"/>
      <c r="D442" s="4"/>
      <c r="E442" s="4"/>
      <c r="F442" s="4"/>
      <c r="G442" s="4"/>
      <c r="H442" s="4"/>
      <c r="I442" s="4"/>
      <c r="J442" s="32"/>
      <c r="K442" s="4"/>
      <c r="L442" s="4"/>
      <c r="M442" s="4"/>
      <c r="N442" s="4"/>
    </row>
    <row r="443" spans="1:14" x14ac:dyDescent="0.25">
      <c r="A443" s="4"/>
      <c r="B443" s="4"/>
      <c r="C443" s="4"/>
      <c r="D443" s="4"/>
      <c r="E443" s="4"/>
      <c r="F443" s="4"/>
      <c r="G443" s="4"/>
      <c r="H443" s="4"/>
      <c r="I443" s="4"/>
      <c r="J443" s="32"/>
      <c r="K443" s="4"/>
      <c r="L443" s="4"/>
      <c r="M443" s="4"/>
      <c r="N443" s="4"/>
    </row>
    <row r="444" spans="1:14" x14ac:dyDescent="0.25">
      <c r="A444" s="4"/>
      <c r="B444" s="4"/>
      <c r="C444" s="4"/>
      <c r="D444" s="4"/>
      <c r="E444" s="4"/>
      <c r="F444" s="4"/>
      <c r="G444" s="4"/>
      <c r="H444" s="4"/>
      <c r="I444" s="4"/>
      <c r="J444" s="32"/>
      <c r="K444" s="4"/>
      <c r="L444" s="4"/>
      <c r="M444" s="4"/>
      <c r="N444" s="4"/>
    </row>
    <row r="445" spans="1:14" x14ac:dyDescent="0.25">
      <c r="A445" s="4"/>
      <c r="B445" s="4"/>
      <c r="C445" s="4"/>
      <c r="D445" s="4"/>
      <c r="E445" s="4"/>
      <c r="F445" s="4"/>
      <c r="G445" s="4"/>
      <c r="H445" s="4"/>
      <c r="I445" s="4"/>
      <c r="J445" s="32"/>
      <c r="K445" s="4"/>
      <c r="L445" s="4"/>
      <c r="M445" s="4"/>
      <c r="N445" s="4"/>
    </row>
    <row r="446" spans="1:14" x14ac:dyDescent="0.25">
      <c r="A446" s="4"/>
      <c r="B446" s="4"/>
      <c r="C446" s="4"/>
      <c r="D446" s="4"/>
      <c r="E446" s="4"/>
      <c r="F446" s="4"/>
      <c r="G446" s="4"/>
      <c r="H446" s="4"/>
      <c r="I446" s="4"/>
      <c r="J446" s="32"/>
      <c r="K446" s="4"/>
      <c r="L446" s="4"/>
      <c r="M446" s="4"/>
      <c r="N446" s="4"/>
    </row>
    <row r="447" spans="1:14" x14ac:dyDescent="0.25">
      <c r="A447" s="4"/>
      <c r="B447" s="4"/>
      <c r="C447" s="4"/>
      <c r="D447" s="4"/>
      <c r="E447" s="4"/>
      <c r="F447" s="4"/>
      <c r="G447" s="4"/>
      <c r="H447" s="4"/>
      <c r="I447" s="4"/>
      <c r="J447" s="32"/>
      <c r="K447" s="4"/>
      <c r="L447" s="4"/>
      <c r="M447" s="4"/>
      <c r="N447" s="4"/>
    </row>
    <row r="448" spans="1:14" x14ac:dyDescent="0.25">
      <c r="A448" s="4"/>
      <c r="B448" s="4"/>
      <c r="C448" s="4"/>
      <c r="D448" s="4"/>
      <c r="E448" s="4"/>
      <c r="F448" s="4"/>
      <c r="G448" s="4"/>
      <c r="H448" s="4"/>
      <c r="I448" s="4"/>
      <c r="J448" s="32"/>
      <c r="K448" s="4"/>
      <c r="L448" s="4"/>
      <c r="M448" s="4"/>
      <c r="N448" s="4"/>
    </row>
    <row r="449" spans="1:14" x14ac:dyDescent="0.25">
      <c r="A449" s="4"/>
      <c r="B449" s="4"/>
      <c r="C449" s="4"/>
      <c r="D449" s="4"/>
      <c r="E449" s="4"/>
      <c r="F449" s="4"/>
      <c r="G449" s="4"/>
      <c r="H449" s="4"/>
      <c r="I449" s="4"/>
      <c r="J449" s="32"/>
      <c r="K449" s="4"/>
      <c r="L449" s="4"/>
      <c r="M449" s="4"/>
      <c r="N449" s="4"/>
    </row>
    <row r="450" spans="1:14" x14ac:dyDescent="0.25">
      <c r="A450" s="4"/>
      <c r="B450" s="4"/>
      <c r="C450" s="4"/>
      <c r="D450" s="4"/>
      <c r="E450" s="4"/>
      <c r="F450" s="4"/>
      <c r="G450" s="4"/>
      <c r="H450" s="4"/>
      <c r="I450" s="4"/>
      <c r="J450" s="32"/>
      <c r="K450" s="4"/>
      <c r="L450" s="4"/>
      <c r="M450" s="4"/>
      <c r="N450" s="4"/>
    </row>
    <row r="451" spans="1:14" x14ac:dyDescent="0.25">
      <c r="A451" s="4"/>
      <c r="B451" s="4"/>
      <c r="C451" s="4"/>
      <c r="D451" s="4"/>
      <c r="E451" s="4"/>
      <c r="F451" s="4"/>
      <c r="G451" s="4"/>
      <c r="H451" s="4"/>
      <c r="I451" s="4"/>
      <c r="J451" s="32"/>
      <c r="K451" s="4"/>
      <c r="L451" s="4"/>
      <c r="M451" s="4"/>
      <c r="N451" s="4"/>
    </row>
    <row r="452" spans="1:14" x14ac:dyDescent="0.25">
      <c r="A452" s="4"/>
      <c r="B452" s="4"/>
      <c r="C452" s="4"/>
      <c r="D452" s="4"/>
      <c r="E452" s="4"/>
      <c r="F452" s="4"/>
      <c r="G452" s="4"/>
      <c r="H452" s="4"/>
      <c r="I452" s="4"/>
      <c r="J452" s="32"/>
      <c r="K452" s="4"/>
      <c r="L452" s="4"/>
      <c r="M452" s="4"/>
      <c r="N452" s="4"/>
    </row>
    <row r="453" spans="1:14" x14ac:dyDescent="0.25">
      <c r="A453" s="4"/>
      <c r="B453" s="4"/>
      <c r="C453" s="4"/>
      <c r="D453" s="4"/>
      <c r="E453" s="4"/>
      <c r="F453" s="4"/>
      <c r="G453" s="4"/>
      <c r="H453" s="4"/>
      <c r="I453" s="4"/>
      <c r="J453" s="32"/>
      <c r="K453" s="4"/>
      <c r="L453" s="4"/>
      <c r="M453" s="4"/>
      <c r="N453" s="4"/>
    </row>
    <row r="454" spans="1:14" x14ac:dyDescent="0.25">
      <c r="A454" s="4"/>
      <c r="B454" s="4"/>
      <c r="C454" s="4"/>
      <c r="D454" s="4"/>
      <c r="E454" s="4"/>
      <c r="F454" s="4"/>
      <c r="G454" s="4"/>
      <c r="H454" s="4"/>
      <c r="I454" s="4"/>
      <c r="J454" s="32"/>
      <c r="K454" s="4"/>
      <c r="L454" s="4"/>
      <c r="M454" s="4"/>
      <c r="N454" s="4"/>
    </row>
    <row r="455" spans="1:14" x14ac:dyDescent="0.25">
      <c r="A455" s="4"/>
      <c r="B455" s="4"/>
      <c r="C455" s="4"/>
      <c r="D455" s="4"/>
      <c r="E455" s="4"/>
      <c r="F455" s="4"/>
      <c r="G455" s="4"/>
      <c r="H455" s="4"/>
      <c r="I455" s="4"/>
      <c r="J455" s="32"/>
      <c r="K455" s="4"/>
      <c r="L455" s="4"/>
      <c r="M455" s="4"/>
      <c r="N455" s="4"/>
    </row>
    <row r="456" spans="1:14" x14ac:dyDescent="0.25">
      <c r="A456" s="4"/>
      <c r="B456" s="4"/>
      <c r="C456" s="4"/>
      <c r="D456" s="4"/>
      <c r="E456" s="4"/>
      <c r="F456" s="4"/>
      <c r="G456" s="4"/>
      <c r="H456" s="4"/>
      <c r="I456" s="4"/>
      <c r="J456" s="32"/>
      <c r="K456" s="4"/>
      <c r="L456" s="4"/>
      <c r="M456" s="4"/>
      <c r="N456" s="4"/>
    </row>
    <row r="457" spans="1:14" x14ac:dyDescent="0.25">
      <c r="A457" s="4"/>
      <c r="B457" s="4"/>
      <c r="C457" s="4"/>
      <c r="D457" s="4"/>
      <c r="E457" s="4"/>
      <c r="F457" s="4"/>
      <c r="G457" s="4"/>
      <c r="H457" s="4"/>
      <c r="I457" s="4"/>
      <c r="J457" s="32"/>
      <c r="K457" s="4"/>
      <c r="L457" s="4"/>
      <c r="M457" s="4"/>
      <c r="N457" s="4"/>
    </row>
    <row r="458" spans="1:14" x14ac:dyDescent="0.25">
      <c r="A458" s="4"/>
      <c r="B458" s="4"/>
      <c r="C458" s="4"/>
      <c r="D458" s="4"/>
      <c r="E458" s="4"/>
      <c r="F458" s="4"/>
      <c r="G458" s="4"/>
      <c r="H458" s="4"/>
      <c r="I458" s="4"/>
      <c r="J458" s="32"/>
      <c r="K458" s="4"/>
      <c r="L458" s="4"/>
      <c r="M458" s="4"/>
      <c r="N458" s="4"/>
    </row>
    <row r="459" spans="1:14" x14ac:dyDescent="0.25">
      <c r="A459" s="4"/>
      <c r="B459" s="4"/>
      <c r="C459" s="4"/>
      <c r="D459" s="4"/>
      <c r="E459" s="4"/>
      <c r="F459" s="4"/>
      <c r="G459" s="4"/>
      <c r="H459" s="4"/>
      <c r="I459" s="4"/>
      <c r="J459" s="32"/>
      <c r="K459" s="4"/>
      <c r="L459" s="4"/>
      <c r="M459" s="4"/>
      <c r="N459" s="4"/>
    </row>
    <row r="460" spans="1:14" x14ac:dyDescent="0.25">
      <c r="A460" s="4"/>
      <c r="B460" s="4"/>
      <c r="C460" s="4"/>
      <c r="D460" s="4"/>
      <c r="E460" s="4"/>
      <c r="F460" s="4"/>
      <c r="G460" s="4"/>
      <c r="H460" s="4"/>
      <c r="I460" s="4"/>
      <c r="J460" s="32"/>
      <c r="K460" s="4"/>
      <c r="L460" s="4"/>
      <c r="M460" s="4"/>
      <c r="N460" s="4"/>
    </row>
    <row r="461" spans="1:14" x14ac:dyDescent="0.25">
      <c r="A461" s="4"/>
      <c r="B461" s="4"/>
      <c r="C461" s="4"/>
      <c r="D461" s="4"/>
      <c r="E461" s="4"/>
      <c r="F461" s="4"/>
      <c r="G461" s="4"/>
      <c r="H461" s="4"/>
      <c r="I461" s="4"/>
      <c r="J461" s="32"/>
      <c r="K461" s="4"/>
      <c r="L461" s="4"/>
      <c r="M461" s="4"/>
      <c r="N461" s="4"/>
    </row>
    <row r="462" spans="1:14" x14ac:dyDescent="0.25">
      <c r="A462" s="4"/>
      <c r="B462" s="4"/>
      <c r="C462" s="4"/>
      <c r="D462" s="4"/>
      <c r="E462" s="4"/>
      <c r="F462" s="4"/>
      <c r="G462" s="4"/>
      <c r="H462" s="4"/>
      <c r="I462" s="4"/>
      <c r="J462" s="32"/>
      <c r="K462" s="4"/>
      <c r="L462" s="4"/>
      <c r="M462" s="4"/>
      <c r="N462" s="4"/>
    </row>
    <row r="463" spans="1:14" x14ac:dyDescent="0.25">
      <c r="A463" s="4"/>
      <c r="B463" s="4"/>
      <c r="C463" s="4"/>
      <c r="D463" s="4"/>
      <c r="E463" s="4"/>
      <c r="F463" s="4"/>
      <c r="G463" s="4"/>
      <c r="H463" s="4"/>
      <c r="I463" s="4"/>
      <c r="J463" s="32"/>
      <c r="K463" s="4"/>
      <c r="L463" s="4"/>
      <c r="M463" s="4"/>
      <c r="N463" s="4"/>
    </row>
    <row r="464" spans="1:14" x14ac:dyDescent="0.25">
      <c r="A464" s="4"/>
      <c r="B464" s="4"/>
      <c r="C464" s="4"/>
      <c r="D464" s="4"/>
      <c r="E464" s="4"/>
      <c r="F464" s="4"/>
      <c r="G464" s="4"/>
      <c r="H464" s="4"/>
      <c r="I464" s="4"/>
      <c r="J464" s="32"/>
      <c r="K464" s="4"/>
      <c r="L464" s="4"/>
      <c r="M464" s="4"/>
      <c r="N464" s="4"/>
    </row>
    <row r="465" spans="1:14" x14ac:dyDescent="0.25">
      <c r="A465" s="4"/>
      <c r="B465" s="4"/>
      <c r="C465" s="4"/>
      <c r="D465" s="4"/>
      <c r="E465" s="4"/>
      <c r="F465" s="4"/>
      <c r="G465" s="4"/>
      <c r="H465" s="4"/>
      <c r="I465" s="4"/>
      <c r="J465" s="32"/>
      <c r="K465" s="4"/>
      <c r="L465" s="4"/>
      <c r="M465" s="4"/>
      <c r="N465" s="4"/>
    </row>
    <row r="466" spans="1:14" x14ac:dyDescent="0.25">
      <c r="A466" s="4"/>
      <c r="B466" s="4"/>
      <c r="C466" s="4"/>
      <c r="D466" s="4"/>
      <c r="E466" s="4"/>
      <c r="F466" s="4"/>
      <c r="G466" s="4"/>
      <c r="H466" s="4"/>
      <c r="I466" s="4"/>
      <c r="J466" s="32"/>
      <c r="K466" s="4"/>
      <c r="L466" s="4"/>
      <c r="M466" s="4"/>
      <c r="N466" s="4"/>
    </row>
    <row r="467" spans="1:14" x14ac:dyDescent="0.25">
      <c r="A467" s="4"/>
      <c r="B467" s="4"/>
      <c r="C467" s="4"/>
      <c r="D467" s="4"/>
      <c r="E467" s="4"/>
      <c r="F467" s="4"/>
      <c r="G467" s="4"/>
      <c r="H467" s="4"/>
      <c r="I467" s="4"/>
      <c r="J467" s="32"/>
      <c r="K467" s="4"/>
      <c r="L467" s="4"/>
      <c r="M467" s="4"/>
      <c r="N467" s="4"/>
    </row>
    <row r="468" spans="1:14" x14ac:dyDescent="0.25">
      <c r="A468" s="4"/>
      <c r="B468" s="4"/>
      <c r="C468" s="4"/>
      <c r="D468" s="4"/>
      <c r="E468" s="4"/>
      <c r="F468" s="4"/>
      <c r="G468" s="4"/>
      <c r="H468" s="4"/>
      <c r="I468" s="4"/>
      <c r="J468" s="32"/>
      <c r="K468" s="4"/>
      <c r="L468" s="4"/>
      <c r="M468" s="4"/>
      <c r="N468" s="4"/>
    </row>
    <row r="469" spans="1:14" x14ac:dyDescent="0.25">
      <c r="A469" s="4"/>
      <c r="B469" s="4"/>
      <c r="C469" s="4"/>
      <c r="D469" s="4"/>
      <c r="E469" s="4"/>
      <c r="F469" s="4"/>
      <c r="G469" s="4"/>
      <c r="H469" s="4"/>
      <c r="I469" s="4"/>
      <c r="J469" s="32"/>
      <c r="K469" s="4"/>
      <c r="L469" s="4"/>
      <c r="M469" s="4"/>
      <c r="N469" s="4"/>
    </row>
    <row r="470" spans="1:14" x14ac:dyDescent="0.25">
      <c r="A470" s="4"/>
      <c r="B470" s="4"/>
      <c r="C470" s="4"/>
      <c r="D470" s="4"/>
      <c r="E470" s="4"/>
      <c r="F470" s="4"/>
      <c r="G470" s="4"/>
      <c r="H470" s="4"/>
      <c r="I470" s="4"/>
      <c r="J470" s="32"/>
      <c r="K470" s="4"/>
      <c r="L470" s="4"/>
      <c r="M470" s="4"/>
      <c r="N470" s="4"/>
    </row>
    <row r="471" spans="1:14" x14ac:dyDescent="0.25">
      <c r="A471" s="4"/>
      <c r="B471" s="4"/>
      <c r="C471" s="4"/>
      <c r="D471" s="4"/>
      <c r="E471" s="4"/>
      <c r="F471" s="4"/>
      <c r="G471" s="4"/>
      <c r="H471" s="4"/>
      <c r="I471" s="4"/>
      <c r="J471" s="32"/>
      <c r="K471" s="4"/>
      <c r="L471" s="4"/>
      <c r="M471" s="4"/>
      <c r="N471" s="4"/>
    </row>
    <row r="472" spans="1:14" x14ac:dyDescent="0.25">
      <c r="A472" s="4"/>
      <c r="B472" s="4"/>
      <c r="C472" s="4"/>
      <c r="D472" s="4"/>
      <c r="E472" s="4"/>
      <c r="F472" s="4"/>
      <c r="G472" s="4"/>
      <c r="H472" s="4"/>
      <c r="I472" s="4"/>
      <c r="J472" s="32"/>
      <c r="K472" s="4"/>
      <c r="L472" s="4"/>
      <c r="M472" s="4"/>
      <c r="N472" s="4"/>
    </row>
    <row r="473" spans="1:14" x14ac:dyDescent="0.25">
      <c r="A473" s="4"/>
      <c r="B473" s="4"/>
      <c r="C473" s="4"/>
      <c r="D473" s="4"/>
      <c r="E473" s="4"/>
      <c r="F473" s="4"/>
      <c r="G473" s="4"/>
      <c r="H473" s="4"/>
      <c r="I473" s="4"/>
      <c r="J473" s="32"/>
      <c r="K473" s="4"/>
      <c r="L473" s="4"/>
      <c r="M473" s="4"/>
      <c r="N473" s="4"/>
    </row>
    <row r="474" spans="1:14" x14ac:dyDescent="0.25">
      <c r="A474" s="4"/>
      <c r="B474" s="4"/>
      <c r="C474" s="4"/>
      <c r="D474" s="4"/>
      <c r="E474" s="4"/>
      <c r="F474" s="4"/>
      <c r="G474" s="4"/>
      <c r="H474" s="4"/>
      <c r="I474" s="4"/>
      <c r="J474" s="32"/>
      <c r="K474" s="4"/>
      <c r="L474" s="4"/>
      <c r="M474" s="4"/>
      <c r="N474" s="4"/>
    </row>
    <row r="475" spans="1:14" x14ac:dyDescent="0.25">
      <c r="A475" s="4"/>
      <c r="B475" s="4"/>
      <c r="C475" s="4"/>
      <c r="D475" s="4"/>
      <c r="E475" s="4"/>
      <c r="F475" s="4"/>
      <c r="G475" s="4"/>
      <c r="H475" s="4"/>
      <c r="I475" s="4"/>
      <c r="J475" s="32"/>
      <c r="K475" s="4"/>
      <c r="L475" s="4"/>
      <c r="M475" s="4"/>
      <c r="N475" s="4"/>
    </row>
    <row r="476" spans="1:14" x14ac:dyDescent="0.25">
      <c r="A476" s="4"/>
      <c r="B476" s="4"/>
      <c r="C476" s="4"/>
      <c r="D476" s="4"/>
      <c r="E476" s="4"/>
      <c r="F476" s="4"/>
      <c r="G476" s="4"/>
      <c r="H476" s="4"/>
      <c r="I476" s="4"/>
      <c r="J476" s="32"/>
      <c r="K476" s="4"/>
      <c r="L476" s="4"/>
      <c r="M476" s="4"/>
      <c r="N476" s="4"/>
    </row>
    <row r="477" spans="1:14" x14ac:dyDescent="0.25">
      <c r="A477" s="4"/>
      <c r="B477" s="4"/>
      <c r="C477" s="4"/>
      <c r="D477" s="4"/>
      <c r="E477" s="4"/>
      <c r="F477" s="4"/>
      <c r="G477" s="4"/>
      <c r="H477" s="4"/>
      <c r="I477" s="4"/>
      <c r="J477" s="32"/>
      <c r="K477" s="4"/>
      <c r="L477" s="4"/>
      <c r="M477" s="4"/>
      <c r="N477" s="4"/>
    </row>
    <row r="478" spans="1:14" x14ac:dyDescent="0.25">
      <c r="A478" s="4"/>
      <c r="B478" s="4"/>
      <c r="C478" s="4"/>
      <c r="D478" s="4"/>
      <c r="E478" s="4"/>
      <c r="F478" s="4"/>
      <c r="G478" s="4"/>
      <c r="H478" s="4"/>
      <c r="I478" s="4"/>
      <c r="J478" s="32"/>
      <c r="K478" s="4"/>
      <c r="L478" s="4"/>
      <c r="M478" s="4"/>
      <c r="N478" s="4"/>
    </row>
    <row r="479" spans="1:14" x14ac:dyDescent="0.25">
      <c r="A479" s="4"/>
      <c r="B479" s="4"/>
      <c r="C479" s="4"/>
      <c r="D479" s="4"/>
      <c r="E479" s="4"/>
      <c r="F479" s="4"/>
      <c r="G479" s="4"/>
      <c r="H479" s="4"/>
      <c r="I479" s="4"/>
      <c r="J479" s="32"/>
      <c r="K479" s="4"/>
      <c r="L479" s="4"/>
      <c r="M479" s="4"/>
      <c r="N479" s="4"/>
    </row>
    <row r="480" spans="1:14" x14ac:dyDescent="0.25">
      <c r="A480" s="4"/>
      <c r="B480" s="4"/>
      <c r="C480" s="4"/>
      <c r="D480" s="4"/>
      <c r="E480" s="4"/>
      <c r="F480" s="4"/>
      <c r="G480" s="4"/>
      <c r="H480" s="4"/>
      <c r="I480" s="4"/>
      <c r="J480" s="32"/>
      <c r="K480" s="4"/>
      <c r="L480" s="4"/>
      <c r="M480" s="4"/>
      <c r="N480" s="4"/>
    </row>
    <row r="481" spans="1:14" x14ac:dyDescent="0.25">
      <c r="A481" s="4"/>
      <c r="B481" s="4"/>
      <c r="C481" s="4"/>
      <c r="D481" s="4"/>
      <c r="E481" s="4"/>
      <c r="F481" s="4"/>
      <c r="G481" s="4"/>
      <c r="H481" s="4"/>
      <c r="I481" s="4"/>
      <c r="J481" s="32"/>
      <c r="K481" s="4"/>
      <c r="L481" s="4"/>
      <c r="M481" s="4"/>
      <c r="N481" s="4"/>
    </row>
    <row r="482" spans="1:14" x14ac:dyDescent="0.25">
      <c r="A482" s="4"/>
      <c r="B482" s="4"/>
      <c r="C482" s="4"/>
      <c r="D482" s="4"/>
      <c r="E482" s="4"/>
      <c r="F482" s="4"/>
      <c r="G482" s="4"/>
      <c r="H482" s="4"/>
      <c r="I482" s="4"/>
      <c r="J482" s="32"/>
      <c r="K482" s="4"/>
      <c r="L482" s="4"/>
      <c r="M482" s="4"/>
      <c r="N482" s="4"/>
    </row>
    <row r="483" spans="1:14" x14ac:dyDescent="0.25">
      <c r="A483" s="4"/>
      <c r="B483" s="4"/>
      <c r="C483" s="4"/>
      <c r="D483" s="4"/>
      <c r="E483" s="4"/>
      <c r="F483" s="4"/>
      <c r="G483" s="4"/>
      <c r="H483" s="4"/>
      <c r="I483" s="4"/>
      <c r="J483" s="32"/>
      <c r="K483" s="4"/>
      <c r="L483" s="4"/>
      <c r="M483" s="4"/>
      <c r="N483" s="4"/>
    </row>
    <row r="484" spans="1:14" x14ac:dyDescent="0.25">
      <c r="A484" s="4"/>
      <c r="B484" s="4"/>
      <c r="C484" s="4"/>
      <c r="D484" s="4"/>
      <c r="E484" s="4"/>
      <c r="F484" s="4"/>
      <c r="G484" s="4"/>
      <c r="H484" s="4"/>
      <c r="I484" s="4"/>
      <c r="J484" s="32"/>
      <c r="K484" s="4"/>
      <c r="L484" s="4"/>
      <c r="M484" s="4"/>
      <c r="N484" s="4"/>
    </row>
    <row r="485" spans="1:14" x14ac:dyDescent="0.25">
      <c r="A485" s="4"/>
      <c r="B485" s="4"/>
      <c r="C485" s="4"/>
      <c r="D485" s="4"/>
      <c r="E485" s="4"/>
      <c r="F485" s="4"/>
      <c r="G485" s="4"/>
      <c r="H485" s="4"/>
      <c r="I485" s="4"/>
      <c r="J485" s="32"/>
      <c r="K485" s="4"/>
      <c r="L485" s="4"/>
      <c r="M485" s="4"/>
      <c r="N485" s="4"/>
    </row>
    <row r="486" spans="1:14" x14ac:dyDescent="0.25">
      <c r="A486" s="4"/>
      <c r="B486" s="4"/>
      <c r="C486" s="4"/>
      <c r="D486" s="4"/>
      <c r="E486" s="4"/>
      <c r="F486" s="4"/>
      <c r="G486" s="4"/>
      <c r="H486" s="4"/>
      <c r="I486" s="4"/>
      <c r="J486" s="32"/>
      <c r="K486" s="4"/>
      <c r="L486" s="4"/>
      <c r="M486" s="4"/>
      <c r="N486" s="4"/>
    </row>
    <row r="487" spans="1:14" x14ac:dyDescent="0.25">
      <c r="A487" s="4"/>
      <c r="B487" s="4"/>
      <c r="C487" s="4"/>
      <c r="D487" s="4"/>
      <c r="E487" s="4"/>
      <c r="F487" s="4"/>
      <c r="G487" s="4"/>
      <c r="H487" s="4"/>
      <c r="I487" s="4"/>
      <c r="J487" s="32"/>
      <c r="K487" s="4"/>
      <c r="L487" s="4"/>
      <c r="M487" s="4"/>
      <c r="N487" s="4"/>
    </row>
    <row r="488" spans="1:14" x14ac:dyDescent="0.25">
      <c r="A488" s="4"/>
      <c r="B488" s="4"/>
      <c r="C488" s="4"/>
      <c r="D488" s="4"/>
      <c r="E488" s="4"/>
      <c r="F488" s="4"/>
      <c r="G488" s="4"/>
      <c r="H488" s="4"/>
      <c r="I488" s="4"/>
      <c r="J488" s="32"/>
      <c r="K488" s="4"/>
      <c r="L488" s="4"/>
      <c r="M488" s="4"/>
      <c r="N488" s="4"/>
    </row>
    <row r="489" spans="1:14" x14ac:dyDescent="0.25">
      <c r="A489" s="4"/>
      <c r="B489" s="4"/>
      <c r="C489" s="4"/>
      <c r="D489" s="4"/>
      <c r="E489" s="4"/>
      <c r="F489" s="4"/>
      <c r="G489" s="4"/>
      <c r="H489" s="4"/>
      <c r="I489" s="4"/>
      <c r="J489" s="32"/>
      <c r="K489" s="4"/>
      <c r="L489" s="4"/>
      <c r="M489" s="4"/>
      <c r="N489" s="4"/>
    </row>
    <row r="490" spans="1:14" x14ac:dyDescent="0.25">
      <c r="A490" s="4"/>
      <c r="B490" s="4"/>
      <c r="C490" s="4"/>
      <c r="D490" s="4"/>
      <c r="E490" s="4"/>
      <c r="F490" s="4"/>
      <c r="G490" s="4"/>
      <c r="H490" s="4"/>
      <c r="I490" s="4"/>
      <c r="J490" s="32"/>
      <c r="K490" s="4"/>
      <c r="L490" s="4"/>
      <c r="M490" s="4"/>
      <c r="N490" s="4"/>
    </row>
    <row r="491" spans="1:14" x14ac:dyDescent="0.25">
      <c r="A491" s="4"/>
      <c r="B491" s="4"/>
      <c r="C491" s="4"/>
      <c r="D491" s="4"/>
      <c r="E491" s="4"/>
      <c r="F491" s="4"/>
      <c r="G491" s="4"/>
      <c r="H491" s="4"/>
      <c r="I491" s="4"/>
      <c r="J491" s="32"/>
      <c r="K491" s="4"/>
      <c r="L491" s="4"/>
      <c r="M491" s="4"/>
      <c r="N491" s="4"/>
    </row>
    <row r="492" spans="1:14" x14ac:dyDescent="0.25">
      <c r="A492" s="4"/>
      <c r="B492" s="4"/>
      <c r="C492" s="4"/>
      <c r="D492" s="4"/>
      <c r="E492" s="4"/>
      <c r="F492" s="4"/>
      <c r="G492" s="4"/>
      <c r="H492" s="4"/>
      <c r="I492" s="4"/>
      <c r="J492" s="32"/>
      <c r="K492" s="4"/>
      <c r="L492" s="4"/>
      <c r="M492" s="4"/>
      <c r="N492" s="4"/>
    </row>
    <row r="493" spans="1:14" x14ac:dyDescent="0.25">
      <c r="A493" s="4"/>
      <c r="B493" s="4"/>
      <c r="C493" s="4"/>
      <c r="D493" s="4"/>
      <c r="E493" s="4"/>
      <c r="F493" s="4"/>
      <c r="G493" s="4"/>
      <c r="H493" s="4"/>
      <c r="I493" s="4"/>
      <c r="J493" s="32"/>
      <c r="K493" s="4"/>
      <c r="L493" s="4"/>
      <c r="M493" s="4"/>
      <c r="N493" s="4"/>
    </row>
    <row r="494" spans="1:14" x14ac:dyDescent="0.25">
      <c r="A494" s="4"/>
      <c r="B494" s="4"/>
      <c r="C494" s="4"/>
      <c r="D494" s="4"/>
      <c r="E494" s="4"/>
      <c r="F494" s="4"/>
      <c r="G494" s="4"/>
      <c r="H494" s="4"/>
      <c r="I494" s="4"/>
      <c r="J494" s="32"/>
      <c r="K494" s="4"/>
      <c r="L494" s="4"/>
      <c r="M494" s="4"/>
      <c r="N494" s="4"/>
    </row>
    <row r="495" spans="1:14" x14ac:dyDescent="0.25">
      <c r="A495" s="4"/>
      <c r="B495" s="4"/>
      <c r="C495" s="4"/>
      <c r="D495" s="4"/>
      <c r="E495" s="4"/>
      <c r="F495" s="4"/>
      <c r="G495" s="4"/>
      <c r="H495" s="4"/>
      <c r="I495" s="4"/>
      <c r="J495" s="32"/>
      <c r="K495" s="4"/>
      <c r="L495" s="4"/>
      <c r="M495" s="4"/>
      <c r="N495" s="4"/>
    </row>
    <row r="496" spans="1:14" x14ac:dyDescent="0.25">
      <c r="A496" s="4"/>
      <c r="B496" s="4"/>
      <c r="C496" s="4"/>
      <c r="D496" s="4"/>
      <c r="E496" s="4"/>
      <c r="F496" s="4"/>
      <c r="G496" s="4"/>
      <c r="H496" s="4"/>
      <c r="I496" s="4"/>
      <c r="J496" s="32"/>
      <c r="K496" s="4"/>
      <c r="L496" s="4"/>
      <c r="M496" s="4"/>
      <c r="N496" s="4"/>
    </row>
    <row r="497" spans="1:14" x14ac:dyDescent="0.25">
      <c r="A497" s="4"/>
      <c r="B497" s="4"/>
      <c r="C497" s="4"/>
      <c r="D497" s="4"/>
      <c r="E497" s="4"/>
      <c r="F497" s="4"/>
      <c r="G497" s="4"/>
      <c r="H497" s="4"/>
      <c r="I497" s="4"/>
      <c r="J497" s="32"/>
      <c r="K497" s="4"/>
      <c r="L497" s="4"/>
      <c r="M497" s="4"/>
      <c r="N497" s="4"/>
    </row>
    <row r="498" spans="1:14" x14ac:dyDescent="0.25">
      <c r="A498" s="4"/>
      <c r="B498" s="4"/>
      <c r="C498" s="4"/>
      <c r="D498" s="4"/>
      <c r="E498" s="4"/>
      <c r="F498" s="4"/>
      <c r="G498" s="4"/>
      <c r="H498" s="4"/>
      <c r="I498" s="4"/>
      <c r="J498" s="32"/>
      <c r="K498" s="4"/>
      <c r="L498" s="4"/>
      <c r="M498" s="4"/>
      <c r="N498" s="4"/>
    </row>
    <row r="499" spans="1:14" x14ac:dyDescent="0.25">
      <c r="A499" s="4"/>
      <c r="B499" s="4"/>
      <c r="C499" s="4"/>
      <c r="D499" s="4"/>
      <c r="E499" s="4"/>
      <c r="F499" s="4"/>
      <c r="G499" s="4"/>
      <c r="H499" s="4"/>
      <c r="I499" s="4"/>
      <c r="J499" s="32"/>
      <c r="K499" s="4"/>
      <c r="L499" s="4"/>
      <c r="M499" s="4"/>
      <c r="N499" s="4"/>
    </row>
    <row r="500" spans="1:14" x14ac:dyDescent="0.25">
      <c r="A500" s="4"/>
      <c r="B500" s="4"/>
      <c r="C500" s="4"/>
      <c r="D500" s="4"/>
      <c r="E500" s="4"/>
      <c r="F500" s="4"/>
      <c r="G500" s="4"/>
      <c r="H500" s="4"/>
      <c r="I500" s="4"/>
      <c r="J500" s="32"/>
      <c r="K500" s="4"/>
      <c r="L500" s="4"/>
      <c r="M500" s="4"/>
      <c r="N500" s="4"/>
    </row>
    <row r="501" spans="1:14" x14ac:dyDescent="0.25">
      <c r="A501" s="4"/>
      <c r="B501" s="4"/>
      <c r="C501" s="4"/>
      <c r="D501" s="4"/>
      <c r="E501" s="4"/>
      <c r="F501" s="4"/>
      <c r="G501" s="4"/>
      <c r="H501" s="4"/>
      <c r="I501" s="4"/>
      <c r="J501" s="32"/>
      <c r="K501" s="4"/>
      <c r="L501" s="4"/>
      <c r="M501" s="4"/>
      <c r="N501" s="4"/>
    </row>
    <row r="502" spans="1:14" x14ac:dyDescent="0.25">
      <c r="A502" s="4"/>
      <c r="B502" s="4"/>
      <c r="C502" s="4"/>
      <c r="D502" s="4"/>
      <c r="E502" s="4"/>
      <c r="F502" s="4"/>
      <c r="G502" s="4"/>
      <c r="H502" s="4"/>
      <c r="I502" s="4"/>
      <c r="J502" s="32"/>
      <c r="K502" s="4"/>
      <c r="L502" s="4"/>
      <c r="M502" s="4"/>
      <c r="N502" s="4"/>
    </row>
    <row r="503" spans="1:14" x14ac:dyDescent="0.25">
      <c r="A503" s="4"/>
      <c r="B503" s="4"/>
      <c r="C503" s="4"/>
      <c r="D503" s="4"/>
      <c r="E503" s="4"/>
      <c r="F503" s="4"/>
      <c r="G503" s="4"/>
      <c r="H503" s="4"/>
      <c r="I503" s="4"/>
      <c r="J503" s="32"/>
      <c r="K503" s="4"/>
      <c r="L503" s="4"/>
      <c r="M503" s="4"/>
      <c r="N503" s="4"/>
    </row>
    <row r="504" spans="1:14" x14ac:dyDescent="0.25">
      <c r="A504" s="4"/>
      <c r="B504" s="4"/>
      <c r="C504" s="4"/>
      <c r="D504" s="4"/>
      <c r="E504" s="4"/>
      <c r="F504" s="4"/>
      <c r="G504" s="4"/>
      <c r="H504" s="4"/>
      <c r="I504" s="4"/>
      <c r="J504" s="32"/>
      <c r="K504" s="4"/>
      <c r="L504" s="4"/>
      <c r="M504" s="4"/>
      <c r="N504" s="4"/>
    </row>
    <row r="505" spans="1:14" x14ac:dyDescent="0.25">
      <c r="A505" s="4"/>
      <c r="B505" s="4"/>
      <c r="C505" s="4"/>
      <c r="D505" s="4"/>
      <c r="E505" s="4"/>
      <c r="F505" s="4"/>
      <c r="G505" s="4"/>
      <c r="H505" s="4"/>
      <c r="I505" s="4"/>
      <c r="J505" s="32"/>
      <c r="K505" s="4"/>
      <c r="L505" s="4"/>
      <c r="M505" s="4"/>
      <c r="N505" s="4"/>
    </row>
    <row r="506" spans="1:14" x14ac:dyDescent="0.25">
      <c r="A506" s="4"/>
      <c r="B506" s="4"/>
      <c r="C506" s="4"/>
      <c r="D506" s="4"/>
      <c r="E506" s="4"/>
      <c r="F506" s="4"/>
      <c r="G506" s="4"/>
      <c r="H506" s="4"/>
      <c r="I506" s="4"/>
      <c r="J506" s="32"/>
      <c r="K506" s="4"/>
      <c r="L506" s="4"/>
      <c r="M506" s="4"/>
      <c r="N506" s="4"/>
    </row>
    <row r="507" spans="1:14" x14ac:dyDescent="0.25">
      <c r="A507" s="4"/>
      <c r="B507" s="4"/>
      <c r="C507" s="4"/>
      <c r="D507" s="4"/>
      <c r="E507" s="4"/>
      <c r="F507" s="4"/>
      <c r="G507" s="4"/>
      <c r="H507" s="4"/>
      <c r="I507" s="4"/>
      <c r="J507" s="32"/>
      <c r="K507" s="4"/>
      <c r="L507" s="4"/>
      <c r="M507" s="4"/>
      <c r="N507" s="4"/>
    </row>
    <row r="508" spans="1:14" x14ac:dyDescent="0.25">
      <c r="A508" s="4"/>
      <c r="B508" s="4"/>
      <c r="C508" s="4"/>
      <c r="D508" s="4"/>
      <c r="E508" s="4"/>
      <c r="F508" s="4"/>
      <c r="G508" s="4"/>
      <c r="H508" s="4"/>
      <c r="I508" s="4"/>
      <c r="J508" s="32"/>
      <c r="K508" s="4"/>
      <c r="L508" s="4"/>
      <c r="M508" s="4"/>
      <c r="N508" s="4"/>
    </row>
    <row r="509" spans="1:14" x14ac:dyDescent="0.25">
      <c r="A509" s="4"/>
      <c r="B509" s="4"/>
      <c r="C509" s="4"/>
      <c r="D509" s="4"/>
      <c r="E509" s="4"/>
      <c r="F509" s="4"/>
      <c r="G509" s="4"/>
      <c r="H509" s="4"/>
      <c r="I509" s="4"/>
      <c r="J509" s="32"/>
      <c r="K509" s="4"/>
      <c r="L509" s="4"/>
      <c r="M509" s="4"/>
      <c r="N509" s="4"/>
    </row>
    <row r="510" spans="1:14" x14ac:dyDescent="0.25">
      <c r="A510" s="4"/>
      <c r="B510" s="4"/>
      <c r="C510" s="4"/>
      <c r="D510" s="4"/>
      <c r="E510" s="4"/>
      <c r="F510" s="4"/>
      <c r="G510" s="4"/>
      <c r="H510" s="4"/>
      <c r="I510" s="4"/>
      <c r="J510" s="32"/>
      <c r="K510" s="4"/>
      <c r="L510" s="4"/>
      <c r="M510" s="4"/>
      <c r="N510" s="4"/>
    </row>
    <row r="511" spans="1:14" x14ac:dyDescent="0.25">
      <c r="A511" s="4"/>
      <c r="B511" s="4"/>
      <c r="C511" s="4"/>
      <c r="D511" s="4"/>
      <c r="E511" s="4"/>
      <c r="F511" s="4"/>
      <c r="G511" s="4"/>
      <c r="H511" s="4"/>
      <c r="I511" s="4"/>
      <c r="J511" s="32"/>
      <c r="K511" s="4"/>
      <c r="L511" s="4"/>
      <c r="M511" s="4"/>
      <c r="N511" s="4"/>
    </row>
    <row r="512" spans="1:14" x14ac:dyDescent="0.25">
      <c r="A512" s="4"/>
      <c r="B512" s="4"/>
      <c r="C512" s="4"/>
      <c r="D512" s="4"/>
      <c r="E512" s="4"/>
      <c r="F512" s="4"/>
      <c r="G512" s="4"/>
      <c r="H512" s="4"/>
      <c r="I512" s="4"/>
      <c r="J512" s="32"/>
      <c r="K512" s="4"/>
      <c r="L512" s="4"/>
      <c r="M512" s="4"/>
      <c r="N512" s="4"/>
    </row>
    <row r="513" spans="1:14" x14ac:dyDescent="0.25">
      <c r="A513" s="4"/>
      <c r="B513" s="4"/>
      <c r="C513" s="4"/>
      <c r="D513" s="4"/>
      <c r="E513" s="4"/>
      <c r="F513" s="4"/>
      <c r="G513" s="4"/>
      <c r="H513" s="4"/>
      <c r="I513" s="4"/>
      <c r="J513" s="32"/>
      <c r="K513" s="4"/>
      <c r="L513" s="4"/>
      <c r="M513" s="4"/>
      <c r="N513" s="4"/>
    </row>
    <row r="514" spans="1:14" x14ac:dyDescent="0.25">
      <c r="A514" s="4"/>
      <c r="B514" s="4"/>
      <c r="C514" s="4"/>
      <c r="D514" s="4"/>
      <c r="E514" s="4"/>
      <c r="F514" s="4"/>
      <c r="G514" s="4"/>
      <c r="H514" s="4"/>
      <c r="I514" s="4"/>
      <c r="J514" s="32"/>
      <c r="K514" s="4"/>
      <c r="L514" s="4"/>
      <c r="M514" s="4"/>
      <c r="N514" s="4"/>
    </row>
    <row r="515" spans="1:14" x14ac:dyDescent="0.25">
      <c r="A515" s="4"/>
      <c r="B515" s="4"/>
      <c r="C515" s="4"/>
      <c r="D515" s="4"/>
      <c r="E515" s="4"/>
      <c r="F515" s="4"/>
      <c r="G515" s="4"/>
      <c r="H515" s="4"/>
      <c r="I515" s="4"/>
      <c r="J515" s="32"/>
      <c r="K515" s="4"/>
      <c r="L515" s="4"/>
      <c r="M515" s="4"/>
      <c r="N515" s="4"/>
    </row>
    <row r="516" spans="1:14" x14ac:dyDescent="0.25">
      <c r="A516" s="4"/>
      <c r="B516" s="4"/>
      <c r="C516" s="4"/>
      <c r="D516" s="4"/>
      <c r="E516" s="4"/>
      <c r="F516" s="4"/>
      <c r="G516" s="4"/>
      <c r="H516" s="4"/>
      <c r="I516" s="4"/>
      <c r="J516" s="32"/>
      <c r="K516" s="4"/>
      <c r="L516" s="4"/>
      <c r="M516" s="4"/>
      <c r="N516" s="4"/>
    </row>
    <row r="517" spans="1:14" x14ac:dyDescent="0.25">
      <c r="A517" s="4"/>
      <c r="B517" s="4"/>
      <c r="C517" s="4"/>
      <c r="D517" s="4"/>
      <c r="E517" s="4"/>
      <c r="F517" s="4"/>
      <c r="G517" s="4"/>
      <c r="H517" s="4"/>
      <c r="I517" s="4"/>
      <c r="J517" s="32"/>
      <c r="K517" s="4"/>
      <c r="L517" s="4"/>
      <c r="M517" s="4"/>
      <c r="N517" s="4"/>
    </row>
    <row r="518" spans="1:14" x14ac:dyDescent="0.25">
      <c r="A518" s="4"/>
      <c r="B518" s="4"/>
      <c r="C518" s="4"/>
      <c r="D518" s="4"/>
      <c r="E518" s="4"/>
      <c r="F518" s="4"/>
      <c r="G518" s="4"/>
      <c r="H518" s="4"/>
      <c r="I518" s="4"/>
      <c r="J518" s="32"/>
      <c r="K518" s="4"/>
      <c r="L518" s="4"/>
      <c r="M518" s="4"/>
      <c r="N518" s="4"/>
    </row>
    <row r="519" spans="1:14" x14ac:dyDescent="0.25">
      <c r="A519" s="4"/>
      <c r="B519" s="4"/>
      <c r="C519" s="4"/>
      <c r="D519" s="4"/>
      <c r="E519" s="4"/>
      <c r="F519" s="4"/>
      <c r="G519" s="4"/>
      <c r="H519" s="4"/>
      <c r="I519" s="4"/>
      <c r="J519" s="32"/>
      <c r="K519" s="4"/>
      <c r="L519" s="4"/>
      <c r="M519" s="4"/>
      <c r="N519" s="4"/>
    </row>
    <row r="520" spans="1:14" x14ac:dyDescent="0.25">
      <c r="A520" s="4"/>
      <c r="B520" s="4"/>
      <c r="C520" s="4"/>
      <c r="D520" s="4"/>
      <c r="E520" s="4"/>
      <c r="F520" s="4"/>
      <c r="G520" s="4"/>
      <c r="H520" s="4"/>
      <c r="I520" s="4"/>
      <c r="J520" s="32"/>
      <c r="K520" s="4"/>
      <c r="L520" s="4"/>
      <c r="M520" s="4"/>
      <c r="N520" s="4"/>
    </row>
    <row r="521" spans="1:14" x14ac:dyDescent="0.25">
      <c r="A521" s="4"/>
      <c r="B521" s="4"/>
      <c r="C521" s="4"/>
      <c r="D521" s="4"/>
      <c r="E521" s="4"/>
      <c r="F521" s="4"/>
      <c r="G521" s="4"/>
      <c r="H521" s="4"/>
      <c r="I521" s="4"/>
      <c r="J521" s="32"/>
      <c r="K521" s="4"/>
      <c r="L521" s="4"/>
      <c r="M521" s="4"/>
      <c r="N521" s="4"/>
    </row>
    <row r="522" spans="1:14" x14ac:dyDescent="0.25">
      <c r="A522" s="4"/>
      <c r="B522" s="4"/>
      <c r="C522" s="4"/>
      <c r="D522" s="4"/>
      <c r="E522" s="4"/>
      <c r="F522" s="4"/>
      <c r="G522" s="4"/>
      <c r="H522" s="4"/>
      <c r="I522" s="4"/>
      <c r="J522" s="32"/>
      <c r="K522" s="4"/>
      <c r="L522" s="4"/>
      <c r="M522" s="4"/>
      <c r="N522" s="4"/>
    </row>
    <row r="523" spans="1:14" x14ac:dyDescent="0.25">
      <c r="A523" s="4"/>
      <c r="B523" s="4"/>
      <c r="C523" s="4"/>
      <c r="D523" s="4"/>
      <c r="E523" s="4"/>
      <c r="F523" s="4"/>
      <c r="G523" s="4"/>
      <c r="H523" s="4"/>
      <c r="I523" s="4"/>
      <c r="J523" s="32"/>
      <c r="K523" s="4"/>
      <c r="L523" s="4"/>
      <c r="M523" s="4"/>
      <c r="N523" s="4"/>
    </row>
    <row r="524" spans="1:14" x14ac:dyDescent="0.25">
      <c r="A524" s="4"/>
      <c r="B524" s="4"/>
      <c r="C524" s="4"/>
      <c r="D524" s="4"/>
      <c r="E524" s="4"/>
      <c r="F524" s="4"/>
      <c r="G524" s="4"/>
      <c r="H524" s="4"/>
      <c r="I524" s="4"/>
      <c r="J524" s="32"/>
      <c r="K524" s="4"/>
      <c r="L524" s="4"/>
      <c r="M524" s="4"/>
      <c r="N524" s="4"/>
    </row>
    <row r="525" spans="1:14" x14ac:dyDescent="0.25">
      <c r="A525" s="4"/>
      <c r="B525" s="4"/>
      <c r="C525" s="4"/>
      <c r="D525" s="4"/>
      <c r="E525" s="4"/>
      <c r="F525" s="4"/>
      <c r="G525" s="4"/>
      <c r="H525" s="4"/>
      <c r="I525" s="4"/>
      <c r="J525" s="32"/>
      <c r="K525" s="4"/>
      <c r="L525" s="4"/>
      <c r="M525" s="4"/>
      <c r="N525" s="4"/>
    </row>
    <row r="526" spans="1:14" x14ac:dyDescent="0.25">
      <c r="A526" s="4"/>
      <c r="B526" s="4"/>
      <c r="C526" s="4"/>
      <c r="D526" s="4"/>
      <c r="E526" s="4"/>
      <c r="F526" s="4"/>
      <c r="G526" s="4"/>
      <c r="H526" s="4"/>
      <c r="I526" s="4"/>
      <c r="J526" s="32"/>
      <c r="K526" s="4"/>
      <c r="L526" s="4"/>
      <c r="M526" s="4"/>
      <c r="N526" s="4"/>
    </row>
    <row r="527" spans="1:14" x14ac:dyDescent="0.25">
      <c r="A527" s="4"/>
      <c r="B527" s="4"/>
      <c r="C527" s="4"/>
      <c r="D527" s="4"/>
      <c r="E527" s="4"/>
      <c r="F527" s="4"/>
      <c r="G527" s="4"/>
      <c r="H527" s="4"/>
      <c r="I527" s="4"/>
      <c r="J527" s="32"/>
      <c r="K527" s="4"/>
      <c r="L527" s="4"/>
      <c r="M527" s="4"/>
      <c r="N527" s="4"/>
    </row>
    <row r="528" spans="1:14" x14ac:dyDescent="0.25">
      <c r="A528" s="4"/>
      <c r="B528" s="4"/>
      <c r="C528" s="4"/>
      <c r="D528" s="4"/>
      <c r="E528" s="4"/>
      <c r="F528" s="4"/>
      <c r="G528" s="4"/>
      <c r="H528" s="4"/>
      <c r="I528" s="4"/>
      <c r="J528" s="32"/>
      <c r="K528" s="4"/>
      <c r="L528" s="4"/>
      <c r="M528" s="4"/>
      <c r="N528" s="4"/>
    </row>
    <row r="529" spans="1:14" x14ac:dyDescent="0.25">
      <c r="A529" s="4"/>
      <c r="B529" s="4"/>
      <c r="C529" s="4"/>
      <c r="D529" s="4"/>
      <c r="E529" s="4"/>
      <c r="F529" s="4"/>
      <c r="G529" s="4"/>
      <c r="H529" s="4"/>
      <c r="I529" s="4"/>
      <c r="J529" s="32"/>
      <c r="K529" s="4"/>
      <c r="L529" s="4"/>
      <c r="M529" s="4"/>
      <c r="N529" s="4"/>
    </row>
    <row r="530" spans="1:14" x14ac:dyDescent="0.25">
      <c r="A530" s="4"/>
      <c r="B530" s="4"/>
      <c r="C530" s="4"/>
      <c r="D530" s="4"/>
      <c r="E530" s="4"/>
      <c r="F530" s="4"/>
      <c r="G530" s="4"/>
      <c r="H530" s="4"/>
      <c r="I530" s="4"/>
      <c r="J530" s="32"/>
      <c r="K530" s="4"/>
      <c r="L530" s="4"/>
      <c r="M530" s="4"/>
      <c r="N530" s="4"/>
    </row>
    <row r="531" spans="1:14" x14ac:dyDescent="0.25">
      <c r="A531" s="4"/>
      <c r="B531" s="4"/>
      <c r="C531" s="4"/>
      <c r="D531" s="4"/>
      <c r="E531" s="4"/>
      <c r="F531" s="4"/>
      <c r="G531" s="4"/>
      <c r="H531" s="4"/>
      <c r="I531" s="4"/>
      <c r="J531" s="32"/>
      <c r="K531" s="4"/>
      <c r="L531" s="4"/>
      <c r="M531" s="4"/>
      <c r="N531" s="4"/>
    </row>
    <row r="532" spans="1:14" x14ac:dyDescent="0.25">
      <c r="A532" s="4"/>
      <c r="B532" s="4"/>
      <c r="C532" s="4"/>
      <c r="D532" s="4"/>
      <c r="E532" s="4"/>
      <c r="F532" s="4"/>
      <c r="G532" s="4"/>
      <c r="H532" s="4"/>
      <c r="I532" s="4"/>
      <c r="J532" s="32"/>
      <c r="K532" s="4"/>
      <c r="L532" s="4"/>
      <c r="M532" s="4"/>
      <c r="N532" s="4"/>
    </row>
    <row r="533" spans="1:14" x14ac:dyDescent="0.25">
      <c r="A533" s="4"/>
      <c r="B533" s="4"/>
      <c r="C533" s="4"/>
      <c r="D533" s="4"/>
      <c r="E533" s="4"/>
      <c r="F533" s="4"/>
      <c r="G533" s="4"/>
      <c r="H533" s="4"/>
      <c r="I533" s="4"/>
      <c r="J533" s="32"/>
      <c r="K533" s="4"/>
      <c r="L533" s="4"/>
      <c r="M533" s="4"/>
      <c r="N533" s="4"/>
    </row>
    <row r="534" spans="1:14" x14ac:dyDescent="0.25">
      <c r="A534" s="4"/>
      <c r="B534" s="4"/>
      <c r="C534" s="4"/>
      <c r="D534" s="4"/>
      <c r="E534" s="4"/>
      <c r="F534" s="4"/>
      <c r="G534" s="4"/>
      <c r="H534" s="4"/>
      <c r="I534" s="4"/>
      <c r="J534" s="32"/>
      <c r="K534" s="4"/>
      <c r="L534" s="4"/>
      <c r="M534" s="4"/>
      <c r="N534" s="4"/>
    </row>
    <row r="535" spans="1:14" x14ac:dyDescent="0.25">
      <c r="A535" s="4"/>
      <c r="B535" s="4"/>
      <c r="C535" s="4"/>
      <c r="D535" s="4"/>
      <c r="E535" s="4"/>
      <c r="F535" s="4"/>
      <c r="G535" s="4"/>
      <c r="H535" s="4"/>
      <c r="I535" s="4"/>
      <c r="J535" s="32"/>
      <c r="K535" s="4"/>
      <c r="L535" s="4"/>
      <c r="M535" s="4"/>
      <c r="N535" s="4"/>
    </row>
    <row r="536" spans="1:14" x14ac:dyDescent="0.25">
      <c r="A536" s="4"/>
      <c r="B536" s="4"/>
      <c r="C536" s="4"/>
      <c r="D536" s="4"/>
      <c r="E536" s="4"/>
      <c r="F536" s="4"/>
      <c r="G536" s="4"/>
      <c r="H536" s="4"/>
      <c r="I536" s="4"/>
      <c r="J536" s="32"/>
      <c r="K536" s="4"/>
      <c r="L536" s="4"/>
      <c r="M536" s="4"/>
      <c r="N536" s="4"/>
    </row>
    <row r="537" spans="1:14" x14ac:dyDescent="0.25">
      <c r="A537" s="4"/>
      <c r="B537" s="4"/>
      <c r="C537" s="4"/>
      <c r="D537" s="4"/>
      <c r="E537" s="4"/>
      <c r="F537" s="4"/>
      <c r="G537" s="4"/>
      <c r="H537" s="4"/>
      <c r="I537" s="4"/>
      <c r="J537" s="32"/>
      <c r="K537" s="4"/>
      <c r="L537" s="4"/>
      <c r="M537" s="4"/>
      <c r="N537" s="4"/>
    </row>
    <row r="538" spans="1:14" x14ac:dyDescent="0.25">
      <c r="A538" s="4"/>
      <c r="B538" s="4"/>
      <c r="C538" s="4"/>
      <c r="D538" s="4"/>
      <c r="E538" s="4"/>
      <c r="F538" s="4"/>
      <c r="G538" s="4"/>
      <c r="H538" s="4"/>
      <c r="I538" s="4"/>
      <c r="J538" s="32"/>
      <c r="K538" s="4"/>
      <c r="L538" s="4"/>
      <c r="M538" s="4"/>
      <c r="N538" s="4"/>
    </row>
    <row r="539" spans="1:14" x14ac:dyDescent="0.25">
      <c r="A539" s="4"/>
      <c r="B539" s="4"/>
      <c r="C539" s="4"/>
      <c r="D539" s="4"/>
      <c r="E539" s="4"/>
      <c r="F539" s="4"/>
      <c r="G539" s="4"/>
      <c r="H539" s="4"/>
      <c r="I539" s="4"/>
      <c r="J539" s="32"/>
      <c r="K539" s="4"/>
      <c r="L539" s="4"/>
      <c r="M539" s="4"/>
      <c r="N539" s="4"/>
    </row>
    <row r="540" spans="1:14" x14ac:dyDescent="0.25">
      <c r="A540" s="4"/>
      <c r="B540" s="4"/>
      <c r="C540" s="4"/>
      <c r="D540" s="4"/>
      <c r="E540" s="4"/>
      <c r="F540" s="4"/>
      <c r="G540" s="4"/>
      <c r="H540" s="4"/>
      <c r="I540" s="4"/>
      <c r="J540" s="32"/>
      <c r="K540" s="4"/>
      <c r="L540" s="4"/>
      <c r="M540" s="4"/>
      <c r="N540" s="4"/>
    </row>
    <row r="541" spans="1:14" x14ac:dyDescent="0.25">
      <c r="A541" s="4"/>
      <c r="B541" s="4"/>
      <c r="C541" s="4"/>
      <c r="D541" s="4"/>
      <c r="E541" s="4"/>
      <c r="F541" s="4"/>
      <c r="G541" s="4"/>
      <c r="H541" s="4"/>
      <c r="I541" s="4"/>
      <c r="J541" s="32"/>
      <c r="K541" s="4"/>
      <c r="L541" s="4"/>
      <c r="M541" s="4"/>
      <c r="N541" s="4"/>
    </row>
    <row r="542" spans="1:14" x14ac:dyDescent="0.25">
      <c r="A542" s="4"/>
      <c r="B542" s="4"/>
      <c r="C542" s="4"/>
      <c r="D542" s="4"/>
      <c r="E542" s="4"/>
      <c r="F542" s="4"/>
      <c r="G542" s="4"/>
      <c r="H542" s="4"/>
      <c r="I542" s="4"/>
      <c r="J542" s="32"/>
      <c r="K542" s="4"/>
      <c r="L542" s="4"/>
      <c r="M542" s="4"/>
      <c r="N542" s="4"/>
    </row>
    <row r="543" spans="1:14" x14ac:dyDescent="0.25">
      <c r="A543" s="4"/>
      <c r="B543" s="4"/>
      <c r="C543" s="4"/>
      <c r="D543" s="4"/>
      <c r="E543" s="4"/>
      <c r="F543" s="4"/>
      <c r="G543" s="4"/>
      <c r="H543" s="4"/>
      <c r="I543" s="4"/>
      <c r="J543" s="32"/>
      <c r="K543" s="4"/>
      <c r="L543" s="4"/>
      <c r="M543" s="4"/>
      <c r="N543" s="4"/>
    </row>
    <row r="544" spans="1:14" x14ac:dyDescent="0.25">
      <c r="A544" s="4"/>
      <c r="B544" s="4"/>
      <c r="C544" s="4"/>
      <c r="D544" s="4"/>
      <c r="E544" s="4"/>
      <c r="F544" s="4"/>
      <c r="G544" s="4"/>
      <c r="H544" s="4"/>
      <c r="I544" s="4"/>
      <c r="J544" s="32"/>
      <c r="K544" s="4"/>
      <c r="L544" s="4"/>
      <c r="M544" s="4"/>
      <c r="N544" s="4"/>
    </row>
    <row r="545" spans="1:14" x14ac:dyDescent="0.25">
      <c r="A545" s="4"/>
      <c r="B545" s="4"/>
      <c r="C545" s="4"/>
      <c r="D545" s="4"/>
      <c r="E545" s="4"/>
      <c r="F545" s="4"/>
      <c r="G545" s="4"/>
      <c r="H545" s="4"/>
      <c r="I545" s="4"/>
      <c r="J545" s="32"/>
      <c r="K545" s="4"/>
      <c r="L545" s="4"/>
      <c r="M545" s="4"/>
      <c r="N545" s="4"/>
    </row>
    <row r="546" spans="1:14" x14ac:dyDescent="0.25">
      <c r="A546" s="4"/>
      <c r="B546" s="4"/>
      <c r="C546" s="4"/>
      <c r="D546" s="4"/>
      <c r="E546" s="4"/>
      <c r="F546" s="4"/>
      <c r="G546" s="4"/>
      <c r="H546" s="4"/>
      <c r="I546" s="4"/>
      <c r="J546" s="32"/>
      <c r="K546" s="4"/>
      <c r="L546" s="4"/>
      <c r="M546" s="4"/>
      <c r="N546" s="4"/>
    </row>
    <row r="547" spans="1:14" x14ac:dyDescent="0.25">
      <c r="A547" s="4"/>
      <c r="B547" s="4"/>
      <c r="C547" s="4"/>
      <c r="D547" s="4"/>
      <c r="E547" s="4"/>
      <c r="F547" s="4"/>
      <c r="G547" s="4"/>
      <c r="H547" s="4"/>
      <c r="I547" s="4"/>
      <c r="J547" s="32"/>
      <c r="K547" s="4"/>
      <c r="L547" s="4"/>
      <c r="M547" s="4"/>
      <c r="N547" s="4"/>
    </row>
    <row r="548" spans="1:14" x14ac:dyDescent="0.25">
      <c r="A548" s="4"/>
      <c r="B548" s="4"/>
      <c r="C548" s="4"/>
      <c r="D548" s="4"/>
      <c r="E548" s="4"/>
      <c r="F548" s="4"/>
      <c r="G548" s="4"/>
      <c r="H548" s="4"/>
      <c r="I548" s="4"/>
      <c r="J548" s="32"/>
      <c r="K548" s="4"/>
      <c r="L548" s="4"/>
      <c r="M548" s="4"/>
      <c r="N548" s="4"/>
    </row>
    <row r="549" spans="1:14" x14ac:dyDescent="0.25">
      <c r="A549" s="4"/>
      <c r="B549" s="4"/>
      <c r="C549" s="4"/>
      <c r="D549" s="4"/>
      <c r="E549" s="4"/>
      <c r="F549" s="4"/>
      <c r="G549" s="4"/>
      <c r="H549" s="4"/>
      <c r="I549" s="4"/>
      <c r="J549" s="32"/>
      <c r="K549" s="4"/>
      <c r="L549" s="4"/>
      <c r="M549" s="4"/>
      <c r="N549" s="4"/>
    </row>
    <row r="550" spans="1:14" x14ac:dyDescent="0.25">
      <c r="A550" s="4"/>
      <c r="B550" s="4"/>
      <c r="C550" s="4"/>
      <c r="D550" s="4"/>
      <c r="E550" s="4"/>
      <c r="F550" s="4"/>
      <c r="G550" s="4"/>
      <c r="H550" s="4"/>
      <c r="I550" s="4"/>
      <c r="J550" s="32"/>
      <c r="K550" s="4"/>
      <c r="L550" s="4"/>
      <c r="M550" s="4"/>
      <c r="N550" s="4"/>
    </row>
    <row r="551" spans="1:14" x14ac:dyDescent="0.25">
      <c r="A551" s="4"/>
      <c r="B551" s="4"/>
      <c r="C551" s="4"/>
      <c r="D551" s="4"/>
      <c r="E551" s="4"/>
      <c r="F551" s="4"/>
      <c r="G551" s="4"/>
      <c r="H551" s="4"/>
      <c r="I551" s="4"/>
      <c r="J551" s="32"/>
      <c r="K551" s="4"/>
      <c r="L551" s="4"/>
      <c r="M551" s="4"/>
      <c r="N551" s="4"/>
    </row>
    <row r="552" spans="1:14" x14ac:dyDescent="0.25">
      <c r="A552" s="4"/>
      <c r="B552" s="4"/>
      <c r="C552" s="4"/>
      <c r="D552" s="4"/>
      <c r="E552" s="4"/>
      <c r="F552" s="4"/>
      <c r="G552" s="4"/>
      <c r="H552" s="4"/>
      <c r="I552" s="4"/>
      <c r="J552" s="32"/>
      <c r="K552" s="4"/>
      <c r="L552" s="4"/>
      <c r="M552" s="4"/>
      <c r="N552" s="4"/>
    </row>
    <row r="553" spans="1:14" x14ac:dyDescent="0.25">
      <c r="A553" s="4"/>
      <c r="B553" s="4"/>
      <c r="C553" s="4"/>
      <c r="D553" s="4"/>
      <c r="E553" s="4"/>
      <c r="F553" s="4"/>
      <c r="G553" s="4"/>
      <c r="H553" s="4"/>
      <c r="I553" s="4"/>
      <c r="J553" s="32"/>
      <c r="K553" s="4"/>
      <c r="L553" s="4"/>
      <c r="M553" s="4"/>
      <c r="N553" s="4"/>
    </row>
    <row r="554" spans="1:14" x14ac:dyDescent="0.25">
      <c r="A554" s="4"/>
      <c r="B554" s="4"/>
      <c r="C554" s="4"/>
      <c r="D554" s="4"/>
      <c r="E554" s="4"/>
      <c r="F554" s="4"/>
      <c r="G554" s="4"/>
      <c r="H554" s="4"/>
      <c r="I554" s="4"/>
      <c r="J554" s="32"/>
      <c r="K554" s="4"/>
      <c r="L554" s="4"/>
      <c r="M554" s="4"/>
      <c r="N554" s="4"/>
    </row>
    <row r="555" spans="1:14" x14ac:dyDescent="0.25">
      <c r="A555" s="4"/>
      <c r="B555" s="4"/>
      <c r="C555" s="4"/>
      <c r="D555" s="4"/>
      <c r="E555" s="4"/>
      <c r="F555" s="4"/>
      <c r="G555" s="4"/>
      <c r="H555" s="4"/>
      <c r="I555" s="4"/>
      <c r="J555" s="32"/>
      <c r="K555" s="4"/>
      <c r="L555" s="4"/>
      <c r="M555" s="4"/>
      <c r="N555" s="4"/>
    </row>
    <row r="556" spans="1:14" x14ac:dyDescent="0.25">
      <c r="A556" s="4"/>
      <c r="B556" s="4"/>
      <c r="C556" s="4"/>
      <c r="D556" s="4"/>
      <c r="E556" s="4"/>
      <c r="F556" s="4"/>
      <c r="G556" s="4"/>
      <c r="H556" s="4"/>
      <c r="I556" s="4"/>
      <c r="J556" s="32"/>
      <c r="K556" s="4"/>
      <c r="L556" s="4"/>
      <c r="M556" s="4"/>
      <c r="N556" s="4"/>
    </row>
    <row r="557" spans="1:14" x14ac:dyDescent="0.25">
      <c r="A557" s="4"/>
      <c r="B557" s="4"/>
      <c r="C557" s="4"/>
      <c r="D557" s="4"/>
      <c r="E557" s="4"/>
      <c r="F557" s="4"/>
      <c r="G557" s="4"/>
      <c r="H557" s="4"/>
      <c r="I557" s="4"/>
      <c r="J557" s="32"/>
      <c r="K557" s="4"/>
      <c r="L557" s="4"/>
      <c r="M557" s="4"/>
      <c r="N557" s="4"/>
    </row>
    <row r="558" spans="1:14" x14ac:dyDescent="0.25">
      <c r="A558" s="4"/>
      <c r="B558" s="4"/>
      <c r="C558" s="4"/>
      <c r="D558" s="4"/>
      <c r="E558" s="4"/>
      <c r="F558" s="4"/>
      <c r="G558" s="4"/>
      <c r="H558" s="4"/>
      <c r="I558" s="4"/>
      <c r="J558" s="32"/>
      <c r="K558" s="4"/>
      <c r="L558" s="4"/>
      <c r="M558" s="4"/>
      <c r="N558" s="4"/>
    </row>
    <row r="559" spans="1:14" x14ac:dyDescent="0.25">
      <c r="A559" s="4"/>
      <c r="B559" s="4"/>
      <c r="C559" s="4"/>
      <c r="D559" s="4"/>
      <c r="E559" s="4"/>
      <c r="F559" s="4"/>
      <c r="G559" s="4"/>
      <c r="H559" s="4"/>
      <c r="I559" s="4"/>
      <c r="J559" s="32"/>
      <c r="K559" s="4"/>
      <c r="L559" s="4"/>
      <c r="M559" s="4"/>
      <c r="N559" s="4"/>
    </row>
    <row r="560" spans="1:14" x14ac:dyDescent="0.25">
      <c r="A560" s="4"/>
      <c r="B560" s="4"/>
      <c r="C560" s="4"/>
      <c r="D560" s="4"/>
      <c r="E560" s="4"/>
      <c r="F560" s="4"/>
      <c r="G560" s="4"/>
      <c r="H560" s="4"/>
      <c r="I560" s="4"/>
      <c r="J560" s="32"/>
      <c r="K560" s="4"/>
      <c r="L560" s="4"/>
      <c r="M560" s="4"/>
      <c r="N560" s="4"/>
    </row>
    <row r="561" spans="1:14" x14ac:dyDescent="0.25">
      <c r="A561" s="4"/>
      <c r="B561" s="4"/>
      <c r="C561" s="4"/>
      <c r="D561" s="4"/>
      <c r="E561" s="4"/>
      <c r="F561" s="4"/>
      <c r="G561" s="4"/>
      <c r="H561" s="4"/>
      <c r="I561" s="4"/>
      <c r="J561" s="32"/>
      <c r="K561" s="4"/>
      <c r="L561" s="4"/>
      <c r="M561" s="4"/>
      <c r="N561" s="4"/>
    </row>
    <row r="562" spans="1:14" x14ac:dyDescent="0.25">
      <c r="A562" s="4"/>
      <c r="B562" s="4"/>
      <c r="C562" s="4"/>
      <c r="D562" s="4"/>
      <c r="E562" s="4"/>
      <c r="F562" s="4"/>
      <c r="G562" s="4"/>
      <c r="H562" s="4"/>
      <c r="I562" s="4"/>
      <c r="J562" s="32"/>
      <c r="K562" s="4"/>
      <c r="L562" s="4"/>
      <c r="M562" s="4"/>
      <c r="N562" s="4"/>
    </row>
    <row r="563" spans="1:14" x14ac:dyDescent="0.25">
      <c r="A563" s="4"/>
      <c r="B563" s="4"/>
      <c r="C563" s="4"/>
      <c r="D563" s="4"/>
      <c r="E563" s="4"/>
      <c r="F563" s="4"/>
      <c r="G563" s="4"/>
      <c r="H563" s="4"/>
      <c r="I563" s="4"/>
      <c r="J563" s="32"/>
      <c r="K563" s="4"/>
      <c r="L563" s="4"/>
      <c r="M563" s="4"/>
      <c r="N563" s="4"/>
    </row>
    <row r="564" spans="1:14" x14ac:dyDescent="0.25">
      <c r="A564" s="4"/>
      <c r="B564" s="4"/>
      <c r="C564" s="4"/>
      <c r="D564" s="4"/>
      <c r="E564" s="4"/>
      <c r="F564" s="4"/>
      <c r="G564" s="4"/>
      <c r="H564" s="4"/>
      <c r="I564" s="4"/>
      <c r="J564" s="32"/>
      <c r="K564" s="4"/>
      <c r="L564" s="4"/>
      <c r="M564" s="4"/>
      <c r="N564" s="4"/>
    </row>
    <row r="565" spans="1:14" x14ac:dyDescent="0.25">
      <c r="A565" s="4"/>
      <c r="B565" s="4"/>
      <c r="C565" s="4"/>
      <c r="D565" s="4"/>
      <c r="E565" s="4"/>
      <c r="F565" s="4"/>
      <c r="G565" s="4"/>
      <c r="H565" s="4"/>
      <c r="I565" s="4"/>
      <c r="J565" s="32"/>
      <c r="K565" s="4"/>
      <c r="L565" s="4"/>
      <c r="M565" s="4"/>
      <c r="N565" s="4"/>
    </row>
    <row r="566" spans="1:14" x14ac:dyDescent="0.25">
      <c r="A566" s="4"/>
      <c r="B566" s="4"/>
      <c r="C566" s="4"/>
      <c r="D566" s="4"/>
      <c r="E566" s="4"/>
      <c r="F566" s="4"/>
      <c r="G566" s="4"/>
      <c r="H566" s="4"/>
      <c r="I566" s="4"/>
      <c r="J566" s="32"/>
      <c r="K566" s="4"/>
      <c r="L566" s="4"/>
      <c r="M566" s="4"/>
      <c r="N566" s="4"/>
    </row>
    <row r="567" spans="1:14" x14ac:dyDescent="0.25">
      <c r="A567" s="4"/>
      <c r="B567" s="4"/>
      <c r="C567" s="4"/>
      <c r="D567" s="4"/>
      <c r="E567" s="4"/>
      <c r="F567" s="4"/>
      <c r="G567" s="4"/>
      <c r="H567" s="4"/>
      <c r="I567" s="4"/>
      <c r="J567" s="32"/>
      <c r="K567" s="4"/>
      <c r="L567" s="4"/>
      <c r="M567" s="4"/>
      <c r="N567" s="4"/>
    </row>
    <row r="568" spans="1:14" x14ac:dyDescent="0.25">
      <c r="A568" s="4"/>
      <c r="B568" s="4"/>
      <c r="C568" s="4"/>
      <c r="D568" s="4"/>
      <c r="E568" s="4"/>
      <c r="F568" s="4"/>
      <c r="G568" s="4"/>
      <c r="H568" s="4"/>
      <c r="I568" s="4"/>
      <c r="J568" s="32"/>
      <c r="K568" s="4"/>
      <c r="L568" s="4"/>
      <c r="M568" s="4"/>
      <c r="N568" s="4"/>
    </row>
    <row r="569" spans="1:14" x14ac:dyDescent="0.25">
      <c r="A569" s="4"/>
      <c r="B569" s="4"/>
      <c r="C569" s="4"/>
      <c r="D569" s="4"/>
      <c r="E569" s="4"/>
      <c r="F569" s="4"/>
      <c r="G569" s="4"/>
      <c r="H569" s="4"/>
      <c r="I569" s="4"/>
      <c r="J569" s="32"/>
      <c r="K569" s="4"/>
      <c r="L569" s="4"/>
      <c r="M569" s="4"/>
      <c r="N569" s="4"/>
    </row>
    <row r="570" spans="1:14" x14ac:dyDescent="0.25">
      <c r="A570" s="4"/>
      <c r="B570" s="4"/>
      <c r="C570" s="4"/>
      <c r="D570" s="4"/>
      <c r="E570" s="4"/>
      <c r="F570" s="4"/>
      <c r="G570" s="4"/>
      <c r="H570" s="4"/>
      <c r="I570" s="4"/>
      <c r="J570" s="32"/>
      <c r="K570" s="4"/>
      <c r="L570" s="4"/>
      <c r="M570" s="4"/>
      <c r="N570" s="4"/>
    </row>
    <row r="571" spans="1:14" x14ac:dyDescent="0.25">
      <c r="A571" s="4"/>
      <c r="B571" s="4"/>
      <c r="C571" s="4"/>
      <c r="D571" s="4"/>
      <c r="E571" s="4"/>
      <c r="F571" s="4"/>
      <c r="G571" s="4"/>
      <c r="H571" s="4"/>
      <c r="I571" s="4"/>
      <c r="J571" s="32"/>
      <c r="K571" s="4"/>
      <c r="L571" s="4"/>
      <c r="M571" s="4"/>
      <c r="N571" s="4"/>
    </row>
    <row r="572" spans="1:14" x14ac:dyDescent="0.25">
      <c r="A572" s="4"/>
      <c r="B572" s="4"/>
      <c r="C572" s="4"/>
      <c r="D572" s="4"/>
      <c r="E572" s="4"/>
      <c r="F572" s="4"/>
      <c r="G572" s="4"/>
      <c r="H572" s="4"/>
      <c r="I572" s="4"/>
      <c r="J572" s="32"/>
      <c r="K572" s="4"/>
      <c r="L572" s="4"/>
      <c r="M572" s="4"/>
      <c r="N572" s="4"/>
    </row>
    <row r="573" spans="1:14" x14ac:dyDescent="0.25">
      <c r="A573" s="4"/>
      <c r="B573" s="4"/>
      <c r="C573" s="4"/>
      <c r="D573" s="4"/>
      <c r="E573" s="4"/>
      <c r="F573" s="4"/>
      <c r="G573" s="4"/>
      <c r="H573" s="4"/>
      <c r="I573" s="4"/>
      <c r="J573" s="32"/>
      <c r="K573" s="4"/>
      <c r="L573" s="4"/>
      <c r="M573" s="4"/>
      <c r="N573" s="4"/>
    </row>
    <row r="574" spans="1:14" x14ac:dyDescent="0.25">
      <c r="A574" s="4"/>
      <c r="B574" s="4"/>
      <c r="C574" s="4"/>
      <c r="D574" s="4"/>
      <c r="E574" s="4"/>
      <c r="F574" s="4"/>
      <c r="G574" s="4"/>
      <c r="H574" s="4"/>
      <c r="I574" s="4"/>
      <c r="J574" s="32"/>
      <c r="K574" s="4"/>
      <c r="L574" s="4"/>
      <c r="M574" s="4"/>
      <c r="N574" s="4"/>
    </row>
    <row r="575" spans="1:14" x14ac:dyDescent="0.25">
      <c r="A575" s="4"/>
      <c r="B575" s="4"/>
      <c r="C575" s="4"/>
      <c r="D575" s="4"/>
      <c r="E575" s="4"/>
      <c r="F575" s="4"/>
      <c r="G575" s="4"/>
      <c r="H575" s="4"/>
      <c r="I575" s="4"/>
      <c r="J575" s="32"/>
      <c r="K575" s="4"/>
      <c r="L575" s="4"/>
      <c r="M575" s="4"/>
      <c r="N575" s="4"/>
    </row>
    <row r="576" spans="1:14" x14ac:dyDescent="0.25">
      <c r="A576" s="4"/>
      <c r="B576" s="4"/>
      <c r="C576" s="4"/>
      <c r="D576" s="4"/>
      <c r="E576" s="4"/>
      <c r="F576" s="4"/>
      <c r="G576" s="4"/>
      <c r="H576" s="4"/>
      <c r="I576" s="4"/>
      <c r="J576" s="32"/>
      <c r="K576" s="4"/>
      <c r="L576" s="4"/>
      <c r="M576" s="4"/>
      <c r="N576" s="4"/>
    </row>
    <row r="577" spans="1:14" x14ac:dyDescent="0.25">
      <c r="A577" s="4"/>
      <c r="B577" s="4"/>
      <c r="C577" s="4"/>
      <c r="D577" s="4"/>
      <c r="E577" s="4"/>
      <c r="F577" s="4"/>
      <c r="G577" s="4"/>
      <c r="H577" s="4"/>
      <c r="I577" s="4"/>
      <c r="J577" s="32"/>
      <c r="K577" s="4"/>
      <c r="L577" s="4"/>
      <c r="M577" s="4"/>
      <c r="N577" s="4"/>
    </row>
    <row r="578" spans="1:14" x14ac:dyDescent="0.25">
      <c r="A578" s="4"/>
      <c r="B578" s="4"/>
      <c r="C578" s="4"/>
      <c r="D578" s="4"/>
      <c r="E578" s="4"/>
      <c r="F578" s="4"/>
      <c r="G578" s="4"/>
      <c r="H578" s="4"/>
      <c r="I578" s="4"/>
      <c r="J578" s="32"/>
      <c r="K578" s="4"/>
      <c r="L578" s="4"/>
      <c r="M578" s="4"/>
      <c r="N578" s="4"/>
    </row>
    <row r="579" spans="1:14" x14ac:dyDescent="0.25">
      <c r="A579" s="4"/>
      <c r="B579" s="4"/>
      <c r="C579" s="4"/>
      <c r="D579" s="4"/>
      <c r="E579" s="4"/>
      <c r="F579" s="4"/>
      <c r="G579" s="4"/>
      <c r="H579" s="4"/>
      <c r="I579" s="4"/>
      <c r="J579" s="32"/>
      <c r="K579" s="4"/>
      <c r="L579" s="4"/>
      <c r="M579" s="4"/>
      <c r="N579" s="4"/>
    </row>
    <row r="580" spans="1:14" x14ac:dyDescent="0.25">
      <c r="A580" s="4"/>
      <c r="B580" s="4"/>
      <c r="C580" s="4"/>
      <c r="D580" s="4"/>
      <c r="E580" s="4"/>
      <c r="F580" s="4"/>
      <c r="G580" s="4"/>
      <c r="H580" s="4"/>
      <c r="I580" s="4"/>
      <c r="J580" s="32"/>
      <c r="K580" s="4"/>
      <c r="L580" s="4"/>
      <c r="M580" s="4"/>
      <c r="N580" s="4"/>
    </row>
    <row r="581" spans="1:14" x14ac:dyDescent="0.25">
      <c r="A581" s="4"/>
      <c r="B581" s="4"/>
      <c r="C581" s="4"/>
      <c r="D581" s="4"/>
      <c r="E581" s="4"/>
      <c r="F581" s="4"/>
      <c r="G581" s="4"/>
      <c r="H581" s="4"/>
      <c r="I581" s="4"/>
      <c r="J581" s="32"/>
      <c r="K581" s="4"/>
      <c r="L581" s="4"/>
      <c r="M581" s="4"/>
      <c r="N581" s="4"/>
    </row>
    <row r="582" spans="1:14" x14ac:dyDescent="0.25">
      <c r="A582" s="4"/>
      <c r="B582" s="4"/>
      <c r="C582" s="4"/>
      <c r="D582" s="4"/>
      <c r="E582" s="4"/>
      <c r="F582" s="4"/>
      <c r="G582" s="4"/>
      <c r="H582" s="4"/>
      <c r="I582" s="4"/>
      <c r="J582" s="32"/>
      <c r="K582" s="4"/>
      <c r="L582" s="4"/>
      <c r="M582" s="4"/>
      <c r="N582" s="4"/>
    </row>
    <row r="583" spans="1:14" x14ac:dyDescent="0.25">
      <c r="A583" s="4"/>
      <c r="B583" s="4"/>
      <c r="C583" s="4"/>
      <c r="D583" s="4"/>
      <c r="E583" s="4"/>
      <c r="F583" s="4"/>
      <c r="G583" s="4"/>
      <c r="H583" s="4"/>
      <c r="I583" s="4"/>
      <c r="J583" s="32"/>
      <c r="K583" s="4"/>
      <c r="L583" s="4"/>
      <c r="M583" s="4"/>
      <c r="N583" s="4"/>
    </row>
    <row r="584" spans="1:14" x14ac:dyDescent="0.25">
      <c r="A584" s="4"/>
      <c r="B584" s="4"/>
      <c r="C584" s="4"/>
      <c r="D584" s="4"/>
      <c r="E584" s="4"/>
      <c r="F584" s="4"/>
      <c r="G584" s="4"/>
      <c r="H584" s="4"/>
      <c r="I584" s="4"/>
      <c r="J584" s="32"/>
      <c r="K584" s="4"/>
      <c r="L584" s="4"/>
      <c r="M584" s="4"/>
      <c r="N584" s="4"/>
    </row>
    <row r="585" spans="1:14" x14ac:dyDescent="0.25">
      <c r="A585" s="4"/>
      <c r="B585" s="4"/>
      <c r="C585" s="4"/>
      <c r="D585" s="4"/>
      <c r="E585" s="4"/>
      <c r="F585" s="4"/>
      <c r="G585" s="4"/>
      <c r="H585" s="4"/>
      <c r="I585" s="4"/>
      <c r="J585" s="32"/>
      <c r="K585" s="4"/>
      <c r="L585" s="4"/>
      <c r="M585" s="4"/>
      <c r="N585" s="4"/>
    </row>
    <row r="586" spans="1:14" x14ac:dyDescent="0.25">
      <c r="A586" s="4"/>
      <c r="B586" s="4"/>
      <c r="C586" s="4"/>
      <c r="D586" s="4"/>
      <c r="E586" s="4"/>
      <c r="F586" s="4"/>
      <c r="G586" s="4"/>
      <c r="H586" s="4"/>
      <c r="I586" s="4"/>
      <c r="J586" s="32"/>
      <c r="K586" s="4"/>
      <c r="L586" s="4"/>
      <c r="M586" s="4"/>
      <c r="N586" s="4"/>
    </row>
    <row r="587" spans="1:14" x14ac:dyDescent="0.25">
      <c r="A587" s="4"/>
      <c r="B587" s="4"/>
      <c r="C587" s="4"/>
      <c r="D587" s="4"/>
      <c r="E587" s="4"/>
      <c r="F587" s="4"/>
      <c r="G587" s="4"/>
      <c r="H587" s="4"/>
      <c r="I587" s="4"/>
      <c r="J587" s="32"/>
      <c r="K587" s="4"/>
      <c r="L587" s="4"/>
      <c r="M587" s="4"/>
      <c r="N587" s="4"/>
    </row>
    <row r="588" spans="1:14" x14ac:dyDescent="0.25">
      <c r="A588" s="4"/>
      <c r="B588" s="4"/>
      <c r="C588" s="4"/>
      <c r="D588" s="4"/>
      <c r="E588" s="4"/>
      <c r="F588" s="4"/>
      <c r="G588" s="4"/>
      <c r="H588" s="4"/>
      <c r="I588" s="4"/>
      <c r="J588" s="32"/>
      <c r="K588" s="4"/>
      <c r="L588" s="4"/>
      <c r="M588" s="4"/>
      <c r="N588" s="4"/>
    </row>
    <row r="589" spans="1:14" x14ac:dyDescent="0.25">
      <c r="A589" s="4"/>
      <c r="B589" s="4"/>
      <c r="C589" s="4"/>
      <c r="D589" s="4"/>
      <c r="E589" s="4"/>
      <c r="F589" s="4"/>
      <c r="G589" s="4"/>
      <c r="H589" s="4"/>
      <c r="I589" s="4"/>
      <c r="J589" s="32"/>
      <c r="K589" s="4"/>
      <c r="L589" s="4"/>
      <c r="M589" s="4"/>
      <c r="N589" s="4"/>
    </row>
    <row r="590" spans="1:14" x14ac:dyDescent="0.25">
      <c r="A590" s="4"/>
      <c r="B590" s="4"/>
      <c r="C590" s="4"/>
      <c r="D590" s="4"/>
      <c r="E590" s="4"/>
      <c r="F590" s="4"/>
      <c r="G590" s="4"/>
      <c r="H590" s="4"/>
      <c r="I590" s="4"/>
      <c r="J590" s="32"/>
      <c r="K590" s="4"/>
      <c r="L590" s="4"/>
      <c r="M590" s="4"/>
      <c r="N590" s="4"/>
    </row>
    <row r="591" spans="1:14" x14ac:dyDescent="0.25">
      <c r="A591" s="4"/>
      <c r="B591" s="4"/>
      <c r="C591" s="4"/>
      <c r="D591" s="4"/>
      <c r="E591" s="4"/>
      <c r="F591" s="4"/>
      <c r="G591" s="4"/>
      <c r="H591" s="4"/>
      <c r="I591" s="4"/>
      <c r="J591" s="32"/>
      <c r="K591" s="4"/>
      <c r="L591" s="4"/>
      <c r="M591" s="4"/>
      <c r="N591" s="4"/>
    </row>
    <row r="592" spans="1:14" x14ac:dyDescent="0.25">
      <c r="A592" s="4"/>
      <c r="B592" s="4"/>
      <c r="C592" s="4"/>
      <c r="D592" s="4"/>
      <c r="E592" s="4"/>
      <c r="F592" s="4"/>
      <c r="G592" s="4"/>
      <c r="H592" s="4"/>
      <c r="I592" s="4"/>
      <c r="J592" s="32"/>
      <c r="K592" s="4"/>
      <c r="L592" s="4"/>
      <c r="M592" s="4"/>
      <c r="N592" s="4"/>
    </row>
    <row r="593" spans="1:14" x14ac:dyDescent="0.25">
      <c r="A593" s="4"/>
      <c r="B593" s="4"/>
      <c r="C593" s="4"/>
      <c r="D593" s="4"/>
      <c r="E593" s="4"/>
      <c r="F593" s="4"/>
      <c r="G593" s="4"/>
      <c r="H593" s="4"/>
      <c r="I593" s="4"/>
      <c r="J593" s="32"/>
      <c r="K593" s="4"/>
      <c r="L593" s="4"/>
      <c r="M593" s="4"/>
      <c r="N593" s="4"/>
    </row>
    <row r="594" spans="1:14" x14ac:dyDescent="0.25">
      <c r="A594" s="4"/>
      <c r="B594" s="4"/>
      <c r="C594" s="4"/>
      <c r="D594" s="4"/>
      <c r="E594" s="4"/>
      <c r="F594" s="4"/>
      <c r="G594" s="4"/>
      <c r="H594" s="4"/>
      <c r="I594" s="4"/>
      <c r="J594" s="32"/>
      <c r="K594" s="4"/>
      <c r="L594" s="4"/>
      <c r="M594" s="4"/>
      <c r="N594" s="4"/>
    </row>
    <row r="595" spans="1:14" x14ac:dyDescent="0.25">
      <c r="A595" s="4"/>
      <c r="B595" s="4"/>
      <c r="C595" s="4"/>
      <c r="D595" s="4"/>
      <c r="E595" s="4"/>
      <c r="F595" s="4"/>
      <c r="G595" s="4"/>
      <c r="H595" s="4"/>
      <c r="I595" s="4"/>
      <c r="J595" s="32"/>
      <c r="K595" s="4"/>
      <c r="L595" s="4"/>
      <c r="M595" s="4"/>
      <c r="N595" s="4"/>
    </row>
    <row r="596" spans="1:14" x14ac:dyDescent="0.25">
      <c r="A596" s="4"/>
      <c r="B596" s="4"/>
      <c r="C596" s="4"/>
      <c r="D596" s="4"/>
      <c r="E596" s="4"/>
      <c r="F596" s="4"/>
      <c r="G596" s="4"/>
      <c r="H596" s="4"/>
      <c r="I596" s="4"/>
      <c r="J596" s="32"/>
      <c r="K596" s="4"/>
      <c r="L596" s="4"/>
      <c r="M596" s="4"/>
      <c r="N596" s="4"/>
    </row>
    <row r="597" spans="1:14" x14ac:dyDescent="0.25">
      <c r="A597" s="4"/>
      <c r="B597" s="4"/>
      <c r="C597" s="4"/>
      <c r="D597" s="4"/>
      <c r="E597" s="4"/>
      <c r="F597" s="4"/>
      <c r="G597" s="4"/>
      <c r="H597" s="4"/>
      <c r="I597" s="4"/>
      <c r="J597" s="32"/>
      <c r="K597" s="4"/>
      <c r="L597" s="4"/>
      <c r="M597" s="4"/>
      <c r="N597" s="4"/>
    </row>
    <row r="598" spans="1:14" x14ac:dyDescent="0.25">
      <c r="A598" s="4"/>
      <c r="B598" s="4"/>
      <c r="C598" s="4"/>
      <c r="D598" s="4"/>
      <c r="E598" s="4"/>
      <c r="F598" s="4"/>
      <c r="G598" s="4"/>
      <c r="H598" s="4"/>
      <c r="I598" s="4"/>
      <c r="J598" s="32"/>
      <c r="K598" s="4"/>
      <c r="L598" s="4"/>
      <c r="M598" s="4"/>
      <c r="N598" s="4"/>
    </row>
    <row r="599" spans="1:14" x14ac:dyDescent="0.25">
      <c r="A599" s="4"/>
      <c r="B599" s="4"/>
      <c r="C599" s="4"/>
      <c r="D599" s="4"/>
      <c r="E599" s="4"/>
      <c r="F599" s="4"/>
      <c r="G599" s="4"/>
      <c r="H599" s="4"/>
      <c r="I599" s="4"/>
      <c r="J599" s="32"/>
      <c r="K599" s="4"/>
      <c r="L599" s="4"/>
      <c r="M599" s="4"/>
      <c r="N599" s="4"/>
    </row>
    <row r="600" spans="1:14" x14ac:dyDescent="0.25">
      <c r="A600" s="4"/>
      <c r="B600" s="4"/>
      <c r="C600" s="4"/>
      <c r="D600" s="4"/>
      <c r="E600" s="4"/>
      <c r="F600" s="4"/>
      <c r="G600" s="4"/>
      <c r="H600" s="4"/>
      <c r="I600" s="4"/>
      <c r="J600" s="32"/>
      <c r="K600" s="4"/>
      <c r="L600" s="4"/>
      <c r="M600" s="4"/>
      <c r="N600" s="4"/>
    </row>
    <row r="601" spans="1:14" x14ac:dyDescent="0.25">
      <c r="A601" s="4"/>
      <c r="B601" s="4"/>
      <c r="C601" s="4"/>
      <c r="D601" s="4"/>
      <c r="E601" s="4"/>
      <c r="F601" s="4"/>
      <c r="G601" s="4"/>
      <c r="H601" s="4"/>
      <c r="I601" s="4"/>
      <c r="J601" s="32"/>
      <c r="K601" s="4"/>
      <c r="L601" s="4"/>
      <c r="M601" s="4"/>
      <c r="N601" s="4"/>
    </row>
    <row r="602" spans="1:14" x14ac:dyDescent="0.25">
      <c r="A602" s="4"/>
      <c r="B602" s="4"/>
      <c r="C602" s="4"/>
      <c r="D602" s="4"/>
      <c r="E602" s="4"/>
      <c r="F602" s="4"/>
      <c r="G602" s="4"/>
      <c r="H602" s="4"/>
      <c r="I602" s="4"/>
      <c r="J602" s="32"/>
      <c r="K602" s="4"/>
      <c r="L602" s="4"/>
      <c r="M602" s="4"/>
      <c r="N602" s="4"/>
    </row>
    <row r="603" spans="1:14" x14ac:dyDescent="0.25">
      <c r="A603" s="4"/>
      <c r="B603" s="4"/>
      <c r="C603" s="4"/>
      <c r="D603" s="4"/>
      <c r="E603" s="4"/>
      <c r="F603" s="4"/>
      <c r="G603" s="4"/>
      <c r="H603" s="4"/>
      <c r="I603" s="4"/>
      <c r="J603" s="32"/>
      <c r="K603" s="4"/>
      <c r="L603" s="4"/>
      <c r="M603" s="4"/>
      <c r="N603" s="4"/>
    </row>
    <row r="604" spans="1:14" x14ac:dyDescent="0.25">
      <c r="A604" s="4"/>
      <c r="B604" s="4"/>
      <c r="C604" s="4"/>
      <c r="D604" s="4"/>
      <c r="E604" s="4"/>
      <c r="F604" s="4"/>
      <c r="G604" s="4"/>
      <c r="H604" s="4"/>
      <c r="I604" s="4"/>
      <c r="J604" s="32"/>
      <c r="K604" s="4"/>
      <c r="L604" s="4"/>
      <c r="M604" s="4"/>
      <c r="N604" s="4"/>
    </row>
    <row r="605" spans="1:14" x14ac:dyDescent="0.25">
      <c r="A605" s="4"/>
      <c r="B605" s="4"/>
      <c r="C605" s="4"/>
      <c r="D605" s="4"/>
      <c r="E605" s="4"/>
      <c r="F605" s="4"/>
      <c r="G605" s="4"/>
      <c r="H605" s="4"/>
      <c r="I605" s="4"/>
      <c r="J605" s="32"/>
      <c r="K605" s="4"/>
      <c r="L605" s="4"/>
      <c r="M605" s="4"/>
      <c r="N605" s="4"/>
    </row>
    <row r="606" spans="1:14" x14ac:dyDescent="0.25">
      <c r="A606" s="4"/>
      <c r="B606" s="4"/>
      <c r="C606" s="4"/>
      <c r="D606" s="4"/>
      <c r="E606" s="4"/>
      <c r="F606" s="4"/>
      <c r="G606" s="4"/>
      <c r="H606" s="4"/>
      <c r="I606" s="4"/>
      <c r="J606" s="32"/>
      <c r="K606" s="4"/>
      <c r="L606" s="4"/>
      <c r="M606" s="4"/>
      <c r="N606" s="4"/>
    </row>
    <row r="607" spans="1:14" x14ac:dyDescent="0.25">
      <c r="A607" s="4"/>
      <c r="B607" s="4"/>
      <c r="C607" s="4"/>
      <c r="D607" s="4"/>
      <c r="E607" s="4"/>
      <c r="F607" s="4"/>
      <c r="G607" s="4"/>
      <c r="H607" s="4"/>
      <c r="I607" s="4"/>
      <c r="J607" s="32"/>
      <c r="K607" s="4"/>
      <c r="L607" s="4"/>
      <c r="M607" s="4"/>
      <c r="N607" s="4"/>
    </row>
    <row r="608" spans="1:14" x14ac:dyDescent="0.25">
      <c r="A608" s="4"/>
      <c r="B608" s="4"/>
      <c r="C608" s="4"/>
      <c r="D608" s="4"/>
      <c r="E608" s="4"/>
      <c r="F608" s="4"/>
      <c r="G608" s="4"/>
      <c r="H608" s="4"/>
      <c r="I608" s="4"/>
      <c r="J608" s="32"/>
      <c r="K608" s="4"/>
      <c r="L608" s="4"/>
      <c r="M608" s="4"/>
      <c r="N608" s="4"/>
    </row>
    <row r="609" spans="1:14" x14ac:dyDescent="0.25">
      <c r="A609" s="4"/>
      <c r="B609" s="4"/>
      <c r="C609" s="4"/>
      <c r="D609" s="4"/>
      <c r="E609" s="4"/>
      <c r="F609" s="4"/>
      <c r="G609" s="4"/>
      <c r="H609" s="4"/>
      <c r="I609" s="4"/>
      <c r="J609" s="32"/>
      <c r="K609" s="4"/>
      <c r="L609" s="4"/>
      <c r="M609" s="4"/>
      <c r="N609" s="4"/>
    </row>
    <row r="610" spans="1:14" x14ac:dyDescent="0.25">
      <c r="A610" s="4"/>
      <c r="B610" s="4"/>
      <c r="C610" s="4"/>
      <c r="D610" s="4"/>
      <c r="E610" s="4"/>
      <c r="F610" s="4"/>
      <c r="G610" s="4"/>
      <c r="H610" s="4"/>
      <c r="I610" s="4"/>
      <c r="J610" s="32"/>
      <c r="K610" s="4"/>
      <c r="L610" s="4"/>
      <c r="M610" s="4"/>
      <c r="N610" s="4"/>
    </row>
    <row r="611" spans="1:14" x14ac:dyDescent="0.25">
      <c r="A611" s="4"/>
      <c r="B611" s="4"/>
      <c r="C611" s="4"/>
      <c r="D611" s="4"/>
      <c r="E611" s="4"/>
      <c r="F611" s="4"/>
      <c r="G611" s="4"/>
      <c r="H611" s="4"/>
      <c r="I611" s="4"/>
      <c r="J611" s="32"/>
      <c r="K611" s="4"/>
      <c r="L611" s="4"/>
      <c r="M611" s="4"/>
      <c r="N611" s="4"/>
    </row>
    <row r="612" spans="1:14" x14ac:dyDescent="0.25">
      <c r="A612" s="4"/>
      <c r="B612" s="4"/>
      <c r="C612" s="4"/>
      <c r="D612" s="4"/>
      <c r="E612" s="4"/>
      <c r="F612" s="4"/>
      <c r="G612" s="4"/>
      <c r="H612" s="4"/>
      <c r="I612" s="4"/>
      <c r="J612" s="32"/>
      <c r="K612" s="4"/>
      <c r="L612" s="4"/>
      <c r="M612" s="4"/>
      <c r="N612" s="4"/>
    </row>
    <row r="613" spans="1:14" x14ac:dyDescent="0.25">
      <c r="A613" s="4"/>
      <c r="B613" s="4"/>
      <c r="C613" s="4"/>
      <c r="D613" s="4"/>
      <c r="E613" s="4"/>
      <c r="F613" s="4"/>
      <c r="G613" s="4"/>
      <c r="H613" s="4"/>
      <c r="I613" s="4"/>
      <c r="J613" s="32"/>
      <c r="K613" s="4"/>
      <c r="L613" s="4"/>
      <c r="M613" s="4"/>
      <c r="N613" s="4"/>
    </row>
    <row r="614" spans="1:14" x14ac:dyDescent="0.25">
      <c r="A614" s="4"/>
      <c r="B614" s="4"/>
      <c r="C614" s="4"/>
      <c r="D614" s="4"/>
      <c r="E614" s="4"/>
      <c r="F614" s="4"/>
      <c r="G614" s="4"/>
      <c r="H614" s="4"/>
      <c r="I614" s="4"/>
      <c r="J614" s="32"/>
      <c r="K614" s="4"/>
      <c r="L614" s="4"/>
      <c r="M614" s="4"/>
      <c r="N614" s="4"/>
    </row>
    <row r="615" spans="1:14" x14ac:dyDescent="0.25">
      <c r="A615" s="4"/>
      <c r="B615" s="4"/>
      <c r="C615" s="4"/>
      <c r="D615" s="4"/>
      <c r="E615" s="4"/>
      <c r="F615" s="4"/>
      <c r="G615" s="4"/>
      <c r="H615" s="4"/>
      <c r="I615" s="4"/>
      <c r="J615" s="32"/>
      <c r="K615" s="4"/>
      <c r="L615" s="4"/>
      <c r="M615" s="4"/>
      <c r="N615" s="4"/>
    </row>
    <row r="616" spans="1:14" x14ac:dyDescent="0.25">
      <c r="A616" s="4"/>
      <c r="B616" s="4"/>
      <c r="C616" s="4"/>
      <c r="D616" s="4"/>
      <c r="E616" s="4"/>
      <c r="F616" s="4"/>
      <c r="G616" s="4"/>
      <c r="H616" s="4"/>
      <c r="I616" s="4"/>
      <c r="J616" s="32"/>
      <c r="K616" s="4"/>
      <c r="L616" s="4"/>
      <c r="M616" s="4"/>
      <c r="N616" s="4"/>
    </row>
    <row r="617" spans="1:14" x14ac:dyDescent="0.25">
      <c r="A617" s="4"/>
      <c r="B617" s="4"/>
      <c r="C617" s="4"/>
      <c r="D617" s="4"/>
      <c r="E617" s="4"/>
      <c r="F617" s="4"/>
      <c r="G617" s="4"/>
      <c r="H617" s="4"/>
      <c r="I617" s="4"/>
      <c r="J617" s="32"/>
      <c r="K617" s="4"/>
      <c r="L617" s="4"/>
      <c r="M617" s="4"/>
      <c r="N617" s="4"/>
    </row>
    <row r="618" spans="1:14" x14ac:dyDescent="0.25">
      <c r="A618" s="4"/>
      <c r="B618" s="4"/>
      <c r="C618" s="4"/>
      <c r="D618" s="4"/>
      <c r="E618" s="4"/>
      <c r="F618" s="4"/>
      <c r="G618" s="4"/>
      <c r="H618" s="4"/>
      <c r="I618" s="4"/>
      <c r="J618" s="32"/>
      <c r="K618" s="4"/>
      <c r="L618" s="4"/>
      <c r="M618" s="4"/>
      <c r="N618" s="4"/>
    </row>
    <row r="619" spans="1:14" x14ac:dyDescent="0.25">
      <c r="A619" s="4"/>
      <c r="B619" s="4"/>
      <c r="C619" s="4"/>
      <c r="D619" s="4"/>
      <c r="E619" s="4"/>
      <c r="F619" s="4"/>
      <c r="G619" s="4"/>
      <c r="H619" s="4"/>
      <c r="I619" s="4"/>
      <c r="J619" s="32"/>
      <c r="K619" s="4"/>
      <c r="L619" s="4"/>
      <c r="M619" s="4"/>
      <c r="N619" s="4"/>
    </row>
    <row r="620" spans="1:14" x14ac:dyDescent="0.25">
      <c r="A620" s="4"/>
      <c r="B620" s="4"/>
      <c r="C620" s="4"/>
      <c r="D620" s="4"/>
      <c r="E620" s="4"/>
      <c r="F620" s="4"/>
      <c r="G620" s="4"/>
      <c r="H620" s="4"/>
      <c r="I620" s="4"/>
      <c r="J620" s="32"/>
      <c r="K620" s="4"/>
      <c r="L620" s="4"/>
      <c r="M620" s="4"/>
      <c r="N620" s="4"/>
    </row>
    <row r="621" spans="1:14" x14ac:dyDescent="0.25">
      <c r="A621" s="4"/>
      <c r="B621" s="4"/>
      <c r="C621" s="4"/>
      <c r="D621" s="4"/>
      <c r="E621" s="4"/>
      <c r="F621" s="4"/>
      <c r="G621" s="4"/>
      <c r="H621" s="4"/>
      <c r="I621" s="4"/>
      <c r="J621" s="32"/>
      <c r="K621" s="4"/>
      <c r="L621" s="4"/>
      <c r="M621" s="4"/>
      <c r="N621" s="4"/>
    </row>
    <row r="622" spans="1:14" x14ac:dyDescent="0.25">
      <c r="A622" s="4"/>
      <c r="B622" s="4"/>
      <c r="C622" s="4"/>
      <c r="D622" s="4"/>
      <c r="E622" s="4"/>
      <c r="F622" s="4"/>
      <c r="G622" s="4"/>
      <c r="H622" s="4"/>
      <c r="I622" s="4"/>
      <c r="J622" s="32"/>
      <c r="K622" s="4"/>
      <c r="L622" s="4"/>
      <c r="M622" s="4"/>
      <c r="N622" s="4"/>
    </row>
    <row r="623" spans="1:14" x14ac:dyDescent="0.25">
      <c r="A623" s="4"/>
      <c r="B623" s="4"/>
      <c r="C623" s="4"/>
      <c r="D623" s="4"/>
      <c r="E623" s="4"/>
      <c r="F623" s="4"/>
      <c r="G623" s="4"/>
      <c r="H623" s="4"/>
      <c r="I623" s="4"/>
      <c r="J623" s="32"/>
      <c r="K623" s="4"/>
      <c r="L623" s="4"/>
      <c r="M623" s="4"/>
      <c r="N623" s="4"/>
    </row>
    <row r="624" spans="1:14" x14ac:dyDescent="0.25">
      <c r="A624" s="4"/>
      <c r="B624" s="4"/>
      <c r="C624" s="4"/>
      <c r="D624" s="4"/>
      <c r="E624" s="4"/>
      <c r="F624" s="4"/>
      <c r="G624" s="4"/>
      <c r="H624" s="4"/>
      <c r="I624" s="4"/>
      <c r="J624" s="32"/>
      <c r="K624" s="4"/>
      <c r="L624" s="4"/>
      <c r="M624" s="4"/>
      <c r="N624" s="4"/>
    </row>
    <row r="625" spans="1:14" x14ac:dyDescent="0.25">
      <c r="A625" s="4"/>
      <c r="B625" s="4"/>
      <c r="C625" s="4"/>
      <c r="D625" s="4"/>
      <c r="E625" s="4"/>
      <c r="F625" s="4"/>
      <c r="G625" s="4"/>
      <c r="H625" s="4"/>
      <c r="I625" s="4"/>
      <c r="J625" s="32"/>
      <c r="K625" s="4"/>
      <c r="L625" s="4"/>
      <c r="M625" s="4"/>
      <c r="N625" s="4"/>
    </row>
    <row r="626" spans="1:14" x14ac:dyDescent="0.25">
      <c r="A626" s="4"/>
      <c r="B626" s="4"/>
      <c r="C626" s="4"/>
      <c r="D626" s="4"/>
      <c r="E626" s="4"/>
      <c r="F626" s="4"/>
      <c r="G626" s="4"/>
      <c r="H626" s="4"/>
      <c r="I626" s="4"/>
      <c r="J626" s="32"/>
      <c r="K626" s="4"/>
      <c r="L626" s="4"/>
      <c r="M626" s="4"/>
      <c r="N626" s="4"/>
    </row>
    <row r="627" spans="1:14" x14ac:dyDescent="0.25">
      <c r="A627" s="4"/>
      <c r="B627" s="4"/>
      <c r="C627" s="4"/>
      <c r="D627" s="4"/>
      <c r="E627" s="4"/>
      <c r="F627" s="4"/>
      <c r="G627" s="4"/>
      <c r="H627" s="4"/>
      <c r="I627" s="4"/>
      <c r="J627" s="32"/>
      <c r="K627" s="4"/>
      <c r="L627" s="4"/>
      <c r="M627" s="4"/>
      <c r="N627" s="4"/>
    </row>
    <row r="628" spans="1:14" x14ac:dyDescent="0.25">
      <c r="A628" s="4"/>
      <c r="B628" s="4"/>
      <c r="C628" s="4"/>
      <c r="D628" s="4"/>
      <c r="E628" s="4"/>
      <c r="F628" s="4"/>
      <c r="G628" s="4"/>
      <c r="H628" s="4"/>
      <c r="I628" s="4"/>
      <c r="J628" s="32"/>
      <c r="K628" s="4"/>
      <c r="L628" s="4"/>
      <c r="M628" s="4"/>
      <c r="N628" s="4"/>
    </row>
    <row r="629" spans="1:14" x14ac:dyDescent="0.25">
      <c r="A629" s="4"/>
      <c r="B629" s="4"/>
      <c r="C629" s="4"/>
      <c r="D629" s="4"/>
      <c r="E629" s="4"/>
      <c r="F629" s="4"/>
      <c r="G629" s="4"/>
      <c r="H629" s="4"/>
      <c r="I629" s="4"/>
      <c r="J629" s="32"/>
      <c r="K629" s="4"/>
      <c r="L629" s="4"/>
      <c r="M629" s="4"/>
      <c r="N629" s="4"/>
    </row>
    <row r="630" spans="1:14" x14ac:dyDescent="0.25">
      <c r="A630" s="4"/>
      <c r="B630" s="4"/>
      <c r="C630" s="4"/>
      <c r="D630" s="4"/>
      <c r="E630" s="4"/>
      <c r="F630" s="4"/>
      <c r="G630" s="4"/>
      <c r="H630" s="4"/>
      <c r="I630" s="4"/>
      <c r="J630" s="32"/>
      <c r="K630" s="4"/>
      <c r="L630" s="4"/>
      <c r="M630" s="4"/>
      <c r="N630" s="4"/>
    </row>
    <row r="631" spans="1:14" x14ac:dyDescent="0.25">
      <c r="A631" s="4"/>
      <c r="B631" s="4"/>
      <c r="C631" s="4"/>
      <c r="D631" s="4"/>
      <c r="E631" s="4"/>
      <c r="F631" s="4"/>
      <c r="G631" s="4"/>
      <c r="H631" s="4"/>
      <c r="I631" s="4"/>
      <c r="J631" s="32"/>
      <c r="K631" s="4"/>
      <c r="L631" s="4"/>
      <c r="M631" s="4"/>
      <c r="N631" s="4"/>
    </row>
    <row r="632" spans="1:14" x14ac:dyDescent="0.25">
      <c r="A632" s="4"/>
      <c r="B632" s="4"/>
      <c r="C632" s="4"/>
      <c r="D632" s="4"/>
      <c r="E632" s="4"/>
      <c r="F632" s="4"/>
      <c r="G632" s="4"/>
      <c r="H632" s="4"/>
      <c r="I632" s="4"/>
      <c r="J632" s="32"/>
      <c r="K632" s="4"/>
      <c r="L632" s="4"/>
      <c r="M632" s="4"/>
      <c r="N632" s="4"/>
    </row>
    <row r="633" spans="1:14" x14ac:dyDescent="0.25">
      <c r="A633" s="4"/>
      <c r="B633" s="4"/>
      <c r="C633" s="4"/>
      <c r="D633" s="4"/>
      <c r="E633" s="4"/>
      <c r="F633" s="4"/>
      <c r="G633" s="4"/>
      <c r="H633" s="4"/>
      <c r="I633" s="4"/>
      <c r="J633" s="32"/>
      <c r="K633" s="4"/>
      <c r="L633" s="4"/>
      <c r="M633" s="4"/>
      <c r="N633" s="4"/>
    </row>
    <row r="634" spans="1:14" x14ac:dyDescent="0.25">
      <c r="A634" s="4"/>
      <c r="B634" s="4"/>
      <c r="C634" s="4"/>
      <c r="D634" s="4"/>
      <c r="E634" s="4"/>
      <c r="F634" s="4"/>
      <c r="G634" s="4"/>
      <c r="H634" s="4"/>
      <c r="I634" s="4"/>
      <c r="J634" s="32"/>
      <c r="K634" s="4"/>
      <c r="L634" s="4"/>
      <c r="M634" s="4"/>
      <c r="N634" s="4"/>
    </row>
    <row r="635" spans="1:14" x14ac:dyDescent="0.25">
      <c r="A635" s="4"/>
      <c r="B635" s="4"/>
      <c r="C635" s="4"/>
      <c r="D635" s="4"/>
      <c r="E635" s="4"/>
      <c r="F635" s="4"/>
      <c r="G635" s="4"/>
      <c r="H635" s="4"/>
      <c r="I635" s="4"/>
      <c r="J635" s="32"/>
      <c r="K635" s="4"/>
      <c r="L635" s="4"/>
      <c r="M635" s="4"/>
      <c r="N635" s="4"/>
    </row>
    <row r="636" spans="1:14" x14ac:dyDescent="0.25">
      <c r="A636" s="4"/>
      <c r="B636" s="4"/>
      <c r="C636" s="4"/>
      <c r="D636" s="4"/>
      <c r="E636" s="4"/>
      <c r="F636" s="4"/>
      <c r="G636" s="4"/>
      <c r="H636" s="4"/>
      <c r="I636" s="4"/>
      <c r="J636" s="32"/>
      <c r="K636" s="4"/>
      <c r="L636" s="4"/>
      <c r="M636" s="4"/>
      <c r="N636" s="4"/>
    </row>
    <row r="637" spans="1:14" x14ac:dyDescent="0.25">
      <c r="A637" s="4"/>
      <c r="B637" s="4"/>
      <c r="C637" s="4"/>
      <c r="D637" s="4"/>
      <c r="E637" s="4"/>
      <c r="F637" s="4"/>
      <c r="G637" s="4"/>
      <c r="H637" s="4"/>
      <c r="I637" s="4"/>
      <c r="J637" s="32"/>
      <c r="K637" s="4"/>
      <c r="L637" s="4"/>
      <c r="M637" s="4"/>
      <c r="N637" s="4"/>
    </row>
    <row r="638" spans="1:14" x14ac:dyDescent="0.25">
      <c r="A638" s="4"/>
      <c r="B638" s="4"/>
      <c r="C638" s="4"/>
      <c r="D638" s="4"/>
      <c r="E638" s="4"/>
      <c r="F638" s="4"/>
      <c r="G638" s="4"/>
      <c r="H638" s="4"/>
      <c r="I638" s="4"/>
      <c r="J638" s="32"/>
      <c r="K638" s="4"/>
      <c r="L638" s="4"/>
      <c r="M638" s="4"/>
      <c r="N638" s="4"/>
    </row>
    <row r="639" spans="1:14" x14ac:dyDescent="0.25">
      <c r="A639" s="4"/>
      <c r="B639" s="4"/>
      <c r="C639" s="4"/>
      <c r="D639" s="4"/>
      <c r="E639" s="4"/>
      <c r="F639" s="4"/>
      <c r="G639" s="4"/>
      <c r="H639" s="4"/>
      <c r="I639" s="4"/>
      <c r="J639" s="32"/>
      <c r="K639" s="4"/>
      <c r="L639" s="4"/>
      <c r="M639" s="4"/>
      <c r="N639" s="4"/>
    </row>
    <row r="640" spans="1:14" x14ac:dyDescent="0.25">
      <c r="A640" s="4"/>
      <c r="B640" s="4"/>
      <c r="C640" s="4"/>
      <c r="D640" s="4"/>
      <c r="E640" s="4"/>
      <c r="F640" s="4"/>
      <c r="G640" s="4"/>
      <c r="H640" s="4"/>
      <c r="I640" s="4"/>
      <c r="J640" s="32"/>
      <c r="K640" s="4"/>
      <c r="L640" s="4"/>
      <c r="M640" s="4"/>
      <c r="N640" s="4"/>
    </row>
    <row r="641" spans="1:14" x14ac:dyDescent="0.25">
      <c r="A641" s="4"/>
      <c r="B641" s="4"/>
      <c r="C641" s="4"/>
      <c r="D641" s="4"/>
      <c r="E641" s="4"/>
      <c r="F641" s="4"/>
      <c r="G641" s="4"/>
      <c r="H641" s="4"/>
      <c r="I641" s="4"/>
      <c r="J641" s="32"/>
      <c r="K641" s="4"/>
      <c r="L641" s="4"/>
      <c r="M641" s="4"/>
      <c r="N641" s="4"/>
    </row>
    <row r="642" spans="1:14" x14ac:dyDescent="0.25">
      <c r="A642" s="4"/>
      <c r="B642" s="4"/>
      <c r="C642" s="4"/>
      <c r="D642" s="4"/>
      <c r="E642" s="4"/>
      <c r="F642" s="4"/>
      <c r="G642" s="4"/>
      <c r="H642" s="4"/>
      <c r="I642" s="4"/>
      <c r="J642" s="32"/>
      <c r="K642" s="4"/>
      <c r="L642" s="4"/>
      <c r="M642" s="4"/>
      <c r="N642" s="4"/>
    </row>
    <row r="643" spans="1:14" x14ac:dyDescent="0.25">
      <c r="A643" s="4"/>
      <c r="B643" s="4"/>
      <c r="C643" s="4"/>
      <c r="D643" s="4"/>
      <c r="E643" s="4"/>
      <c r="F643" s="4"/>
      <c r="G643" s="4"/>
      <c r="H643" s="4"/>
      <c r="I643" s="4"/>
      <c r="J643" s="32"/>
      <c r="K643" s="4"/>
      <c r="L643" s="4"/>
      <c r="M643" s="4"/>
      <c r="N643" s="4"/>
    </row>
    <row r="644" spans="1:14" x14ac:dyDescent="0.25">
      <c r="A644" s="4"/>
      <c r="B644" s="4"/>
      <c r="C644" s="4"/>
      <c r="D644" s="4"/>
      <c r="E644" s="4"/>
      <c r="F644" s="4"/>
      <c r="G644" s="4"/>
      <c r="H644" s="4"/>
      <c r="I644" s="4"/>
      <c r="J644" s="32"/>
      <c r="K644" s="4"/>
      <c r="L644" s="4"/>
      <c r="M644" s="4"/>
      <c r="N644" s="4"/>
    </row>
    <row r="645" spans="1:14" x14ac:dyDescent="0.25">
      <c r="A645" s="4"/>
      <c r="B645" s="4"/>
      <c r="C645" s="4"/>
      <c r="D645" s="4"/>
      <c r="E645" s="4"/>
      <c r="F645" s="4"/>
      <c r="G645" s="4"/>
      <c r="H645" s="4"/>
      <c r="I645" s="4"/>
      <c r="J645" s="32"/>
      <c r="K645" s="4"/>
      <c r="L645" s="4"/>
      <c r="M645" s="4"/>
      <c r="N645" s="4"/>
    </row>
    <row r="646" spans="1:14" x14ac:dyDescent="0.25">
      <c r="A646" s="4"/>
      <c r="B646" s="4"/>
      <c r="C646" s="4"/>
      <c r="D646" s="4"/>
      <c r="E646" s="4"/>
      <c r="F646" s="4"/>
      <c r="G646" s="4"/>
      <c r="H646" s="4"/>
      <c r="I646" s="4"/>
      <c r="J646" s="32"/>
      <c r="K646" s="4"/>
      <c r="L646" s="4"/>
      <c r="M646" s="4"/>
      <c r="N646" s="4"/>
    </row>
    <row r="647" spans="1:14" x14ac:dyDescent="0.25">
      <c r="A647" s="4"/>
      <c r="B647" s="4"/>
      <c r="C647" s="4"/>
      <c r="D647" s="4"/>
      <c r="E647" s="4"/>
      <c r="F647" s="4"/>
      <c r="G647" s="4"/>
      <c r="H647" s="4"/>
      <c r="I647" s="4"/>
      <c r="J647" s="32"/>
      <c r="K647" s="4"/>
      <c r="L647" s="4"/>
      <c r="M647" s="4"/>
      <c r="N647" s="4"/>
    </row>
    <row r="648" spans="1:14" x14ac:dyDescent="0.25">
      <c r="A648" s="4"/>
      <c r="B648" s="4"/>
      <c r="C648" s="4"/>
      <c r="D648" s="4"/>
      <c r="E648" s="4"/>
      <c r="F648" s="4"/>
      <c r="G648" s="4"/>
      <c r="H648" s="4"/>
      <c r="I648" s="4"/>
      <c r="J648" s="32"/>
      <c r="K648" s="4"/>
      <c r="L648" s="4"/>
      <c r="M648" s="4"/>
      <c r="N648" s="4"/>
    </row>
    <row r="649" spans="1:14" x14ac:dyDescent="0.25">
      <c r="A649" s="4"/>
      <c r="B649" s="4"/>
      <c r="C649" s="4"/>
      <c r="D649" s="4"/>
      <c r="E649" s="4"/>
      <c r="F649" s="4"/>
      <c r="G649" s="4"/>
      <c r="H649" s="4"/>
      <c r="I649" s="4"/>
      <c r="J649" s="32"/>
      <c r="K649" s="4"/>
      <c r="L649" s="4"/>
      <c r="M649" s="4"/>
      <c r="N649" s="4"/>
    </row>
    <row r="650" spans="1:14" x14ac:dyDescent="0.25">
      <c r="A650" s="4"/>
      <c r="B650" s="4"/>
      <c r="C650" s="4"/>
      <c r="D650" s="4"/>
      <c r="E650" s="4"/>
      <c r="F650" s="4"/>
      <c r="G650" s="4"/>
      <c r="H650" s="4"/>
      <c r="I650" s="4"/>
      <c r="J650" s="32"/>
      <c r="K650" s="4"/>
      <c r="L650" s="4"/>
      <c r="M650" s="4"/>
      <c r="N650" s="4"/>
    </row>
    <row r="651" spans="1:14" x14ac:dyDescent="0.25">
      <c r="A651" s="4"/>
      <c r="B651" s="4"/>
      <c r="C651" s="4"/>
      <c r="D651" s="4"/>
      <c r="E651" s="4"/>
      <c r="F651" s="4"/>
      <c r="G651" s="4"/>
      <c r="H651" s="4"/>
      <c r="I651" s="4"/>
      <c r="J651" s="32"/>
      <c r="K651" s="4"/>
      <c r="L651" s="4"/>
      <c r="M651" s="4"/>
      <c r="N651" s="4"/>
    </row>
    <row r="652" spans="1:14" x14ac:dyDescent="0.25">
      <c r="A652" s="4"/>
      <c r="B652" s="4"/>
      <c r="C652" s="4"/>
      <c r="D652" s="4"/>
      <c r="E652" s="4"/>
      <c r="F652" s="4"/>
      <c r="G652" s="4"/>
      <c r="H652" s="4"/>
      <c r="I652" s="4"/>
      <c r="J652" s="32"/>
      <c r="K652" s="4"/>
      <c r="L652" s="4"/>
      <c r="M652" s="4"/>
      <c r="N652" s="4"/>
    </row>
    <row r="653" spans="1:14" x14ac:dyDescent="0.25">
      <c r="A653" s="4"/>
      <c r="B653" s="4"/>
      <c r="C653" s="4"/>
      <c r="D653" s="4"/>
      <c r="E653" s="4"/>
      <c r="F653" s="4"/>
      <c r="G653" s="4"/>
      <c r="H653" s="4"/>
      <c r="I653" s="4"/>
      <c r="J653" s="32"/>
      <c r="K653" s="4"/>
      <c r="L653" s="4"/>
      <c r="M653" s="4"/>
      <c r="N653" s="4"/>
    </row>
    <row r="654" spans="1:14" x14ac:dyDescent="0.25">
      <c r="A654" s="4"/>
      <c r="B654" s="4"/>
      <c r="C654" s="4"/>
      <c r="D654" s="4"/>
      <c r="E654" s="4"/>
      <c r="F654" s="4"/>
      <c r="G654" s="4"/>
      <c r="H654" s="4"/>
      <c r="I654" s="4"/>
      <c r="J654" s="32"/>
      <c r="K654" s="4"/>
      <c r="L654" s="4"/>
      <c r="M654" s="4"/>
      <c r="N654" s="4"/>
    </row>
    <row r="655" spans="1:14" x14ac:dyDescent="0.25">
      <c r="A655" s="4"/>
      <c r="B655" s="4"/>
      <c r="C655" s="4"/>
      <c r="D655" s="4"/>
      <c r="E655" s="4"/>
      <c r="F655" s="4"/>
      <c r="G655" s="4"/>
      <c r="H655" s="4"/>
      <c r="I655" s="4"/>
      <c r="J655" s="32"/>
      <c r="K655" s="4"/>
      <c r="L655" s="4"/>
      <c r="M655" s="4"/>
      <c r="N655" s="4"/>
    </row>
    <row r="656" spans="1:14" x14ac:dyDescent="0.25">
      <c r="A656" s="4"/>
      <c r="B656" s="4"/>
      <c r="C656" s="4"/>
      <c r="D656" s="4"/>
      <c r="E656" s="4"/>
      <c r="F656" s="4"/>
      <c r="G656" s="4"/>
      <c r="H656" s="4"/>
      <c r="I656" s="4"/>
      <c r="J656" s="32"/>
      <c r="K656" s="4"/>
      <c r="L656" s="4"/>
      <c r="M656" s="4"/>
      <c r="N656" s="4"/>
    </row>
    <row r="657" spans="1:14" x14ac:dyDescent="0.25">
      <c r="A657" s="4"/>
      <c r="B657" s="4"/>
      <c r="C657" s="4"/>
      <c r="D657" s="4"/>
      <c r="E657" s="4"/>
      <c r="F657" s="4"/>
      <c r="G657" s="4"/>
      <c r="H657" s="4"/>
      <c r="I657" s="4"/>
      <c r="J657" s="32"/>
      <c r="K657" s="4"/>
      <c r="L657" s="4"/>
      <c r="M657" s="4"/>
      <c r="N657" s="4"/>
    </row>
    <row r="658" spans="1:14" x14ac:dyDescent="0.25">
      <c r="A658" s="4"/>
      <c r="B658" s="4"/>
      <c r="C658" s="4"/>
      <c r="D658" s="4"/>
      <c r="E658" s="4"/>
      <c r="F658" s="4"/>
      <c r="G658" s="4"/>
      <c r="H658" s="4"/>
      <c r="I658" s="4"/>
      <c r="J658" s="32"/>
      <c r="K658" s="4"/>
      <c r="L658" s="4"/>
      <c r="M658" s="4"/>
      <c r="N658" s="4"/>
    </row>
    <row r="659" spans="1:14" x14ac:dyDescent="0.25">
      <c r="A659" s="4"/>
      <c r="B659" s="4"/>
      <c r="C659" s="4"/>
      <c r="D659" s="4"/>
      <c r="E659" s="4"/>
      <c r="F659" s="4"/>
      <c r="G659" s="4"/>
      <c r="H659" s="4"/>
      <c r="I659" s="4"/>
      <c r="J659" s="32"/>
      <c r="K659" s="4"/>
      <c r="L659" s="4"/>
      <c r="M659" s="4"/>
      <c r="N659" s="4"/>
    </row>
    <row r="660" spans="1:14" x14ac:dyDescent="0.25">
      <c r="A660" s="4"/>
      <c r="B660" s="4"/>
      <c r="C660" s="4"/>
      <c r="D660" s="4"/>
      <c r="E660" s="4"/>
      <c r="F660" s="4"/>
      <c r="G660" s="4"/>
      <c r="H660" s="4"/>
      <c r="I660" s="4"/>
      <c r="J660" s="32"/>
      <c r="K660" s="4"/>
      <c r="L660" s="4"/>
      <c r="M660" s="4"/>
      <c r="N660" s="4"/>
    </row>
    <row r="661" spans="1:14" x14ac:dyDescent="0.25">
      <c r="A661" s="4"/>
      <c r="B661" s="4"/>
      <c r="C661" s="4"/>
      <c r="D661" s="4"/>
      <c r="E661" s="4"/>
      <c r="F661" s="4"/>
      <c r="G661" s="4"/>
      <c r="H661" s="4"/>
      <c r="I661" s="4"/>
      <c r="J661" s="32"/>
      <c r="K661" s="4"/>
      <c r="L661" s="4"/>
      <c r="M661" s="4"/>
      <c r="N661" s="4"/>
    </row>
    <row r="662" spans="1:14" x14ac:dyDescent="0.25">
      <c r="A662" s="4"/>
      <c r="B662" s="4"/>
      <c r="C662" s="4"/>
      <c r="D662" s="4"/>
      <c r="E662" s="4"/>
      <c r="F662" s="4"/>
      <c r="G662" s="4"/>
      <c r="H662" s="4"/>
      <c r="I662" s="4"/>
      <c r="J662" s="32"/>
      <c r="K662" s="4"/>
      <c r="L662" s="4"/>
      <c r="M662" s="4"/>
      <c r="N662" s="4"/>
    </row>
    <row r="663" spans="1:14" x14ac:dyDescent="0.25">
      <c r="A663" s="4"/>
      <c r="B663" s="4"/>
      <c r="C663" s="4"/>
      <c r="D663" s="4"/>
      <c r="E663" s="4"/>
      <c r="F663" s="4"/>
      <c r="G663" s="4"/>
      <c r="H663" s="4"/>
      <c r="I663" s="4"/>
      <c r="J663" s="32"/>
      <c r="K663" s="4"/>
      <c r="L663" s="4"/>
      <c r="M663" s="4"/>
      <c r="N663" s="4"/>
    </row>
    <row r="664" spans="1:14" x14ac:dyDescent="0.25">
      <c r="A664" s="4"/>
      <c r="B664" s="4"/>
      <c r="C664" s="4"/>
      <c r="D664" s="4"/>
      <c r="E664" s="4"/>
      <c r="F664" s="4"/>
      <c r="G664" s="4"/>
      <c r="H664" s="4"/>
      <c r="I664" s="4"/>
      <c r="J664" s="32"/>
      <c r="K664" s="4"/>
      <c r="L664" s="4"/>
      <c r="M664" s="4"/>
      <c r="N664" s="4"/>
    </row>
    <row r="665" spans="1:14" x14ac:dyDescent="0.25">
      <c r="A665" s="4"/>
      <c r="B665" s="4"/>
      <c r="C665" s="4"/>
      <c r="D665" s="4"/>
      <c r="E665" s="4"/>
      <c r="F665" s="4"/>
      <c r="G665" s="4"/>
      <c r="H665" s="4"/>
      <c r="I665" s="4"/>
      <c r="J665" s="32"/>
      <c r="K665" s="4"/>
      <c r="L665" s="4"/>
      <c r="M665" s="4"/>
      <c r="N665" s="4"/>
    </row>
    <row r="666" spans="1:14" x14ac:dyDescent="0.25">
      <c r="A666" s="4"/>
      <c r="B666" s="4"/>
      <c r="C666" s="4"/>
      <c r="D666" s="4"/>
      <c r="E666" s="4"/>
      <c r="F666" s="4"/>
      <c r="G666" s="4"/>
      <c r="H666" s="4"/>
      <c r="I666" s="4"/>
      <c r="J666" s="32"/>
      <c r="K666" s="4"/>
      <c r="L666" s="4"/>
      <c r="M666" s="4"/>
      <c r="N666" s="4"/>
    </row>
    <row r="667" spans="1:14" x14ac:dyDescent="0.25">
      <c r="A667" s="4"/>
      <c r="B667" s="4"/>
      <c r="C667" s="4"/>
      <c r="D667" s="4"/>
      <c r="E667" s="4"/>
      <c r="F667" s="4"/>
      <c r="G667" s="4"/>
      <c r="H667" s="4"/>
      <c r="I667" s="4"/>
      <c r="J667" s="32"/>
      <c r="K667" s="4"/>
      <c r="L667" s="4"/>
      <c r="M667" s="4"/>
      <c r="N667" s="4"/>
    </row>
    <row r="668" spans="1:14" x14ac:dyDescent="0.25">
      <c r="A668" s="4"/>
      <c r="B668" s="4"/>
      <c r="C668" s="4"/>
      <c r="D668" s="4"/>
      <c r="E668" s="4"/>
      <c r="F668" s="4"/>
      <c r="G668" s="4"/>
      <c r="H668" s="4"/>
      <c r="I668" s="4"/>
      <c r="J668" s="32"/>
      <c r="K668" s="4"/>
      <c r="L668" s="4"/>
      <c r="M668" s="4"/>
      <c r="N668" s="4"/>
    </row>
    <row r="669" spans="1:14" x14ac:dyDescent="0.25">
      <c r="A669" s="4"/>
      <c r="B669" s="4"/>
      <c r="C669" s="4"/>
      <c r="D669" s="4"/>
      <c r="E669" s="4"/>
      <c r="F669" s="4"/>
      <c r="G669" s="4"/>
      <c r="H669" s="4"/>
      <c r="I669" s="4"/>
      <c r="J669" s="32"/>
      <c r="K669" s="4"/>
      <c r="L669" s="4"/>
      <c r="M669" s="4"/>
      <c r="N669" s="4"/>
    </row>
    <row r="670" spans="1:14" x14ac:dyDescent="0.25">
      <c r="A670" s="4"/>
      <c r="B670" s="4"/>
      <c r="C670" s="4"/>
      <c r="D670" s="4"/>
      <c r="E670" s="4"/>
      <c r="F670" s="4"/>
      <c r="G670" s="4"/>
      <c r="H670" s="4"/>
      <c r="I670" s="4"/>
      <c r="J670" s="32"/>
      <c r="K670" s="4"/>
      <c r="L670" s="4"/>
      <c r="M670" s="4"/>
      <c r="N670" s="4"/>
    </row>
    <row r="671" spans="1:14" x14ac:dyDescent="0.25">
      <c r="A671" s="4"/>
      <c r="B671" s="4"/>
      <c r="C671" s="4"/>
      <c r="D671" s="4"/>
      <c r="E671" s="4"/>
      <c r="F671" s="4"/>
      <c r="G671" s="4"/>
      <c r="H671" s="4"/>
      <c r="I671" s="4"/>
      <c r="J671" s="32"/>
      <c r="K671" s="4"/>
      <c r="L671" s="4"/>
      <c r="M671" s="4"/>
      <c r="N671" s="4"/>
    </row>
    <row r="672" spans="1:14" x14ac:dyDescent="0.25">
      <c r="A672" s="4"/>
      <c r="B672" s="4"/>
      <c r="C672" s="4"/>
      <c r="D672" s="4"/>
      <c r="E672" s="4"/>
      <c r="F672" s="4"/>
      <c r="G672" s="4"/>
      <c r="H672" s="4"/>
      <c r="I672" s="4"/>
      <c r="J672" s="32"/>
      <c r="K672" s="4"/>
      <c r="L672" s="4"/>
      <c r="M672" s="4"/>
      <c r="N672" s="4"/>
    </row>
    <row r="673" spans="1:14" x14ac:dyDescent="0.25">
      <c r="A673" s="4"/>
      <c r="B673" s="4"/>
      <c r="C673" s="4"/>
      <c r="D673" s="4"/>
      <c r="E673" s="4"/>
      <c r="F673" s="4"/>
      <c r="G673" s="4"/>
      <c r="H673" s="4"/>
      <c r="I673" s="4"/>
      <c r="J673" s="32"/>
      <c r="K673" s="4"/>
      <c r="L673" s="4"/>
      <c r="M673" s="4"/>
      <c r="N673" s="4"/>
    </row>
    <row r="674" spans="1:14" x14ac:dyDescent="0.25">
      <c r="A674" s="4"/>
      <c r="B674" s="4"/>
      <c r="C674" s="4"/>
      <c r="D674" s="4"/>
      <c r="E674" s="4"/>
      <c r="F674" s="4"/>
      <c r="G674" s="4"/>
      <c r="H674" s="4"/>
      <c r="I674" s="4"/>
      <c r="J674" s="32"/>
      <c r="K674" s="4"/>
      <c r="L674" s="4"/>
      <c r="M674" s="4"/>
      <c r="N674" s="4"/>
    </row>
    <row r="675" spans="1:14" x14ac:dyDescent="0.25">
      <c r="A675" s="4"/>
      <c r="B675" s="4"/>
      <c r="C675" s="4"/>
      <c r="D675" s="4"/>
      <c r="E675" s="4"/>
      <c r="F675" s="4"/>
      <c r="G675" s="4"/>
      <c r="H675" s="4"/>
      <c r="I675" s="4"/>
      <c r="J675" s="32"/>
      <c r="K675" s="4"/>
      <c r="L675" s="4"/>
      <c r="M675" s="4"/>
      <c r="N675" s="4"/>
    </row>
    <row r="676" spans="1:14" x14ac:dyDescent="0.25">
      <c r="A676" s="4"/>
      <c r="B676" s="4"/>
      <c r="C676" s="4"/>
      <c r="D676" s="4"/>
      <c r="E676" s="4"/>
      <c r="F676" s="4"/>
      <c r="G676" s="4"/>
      <c r="H676" s="4"/>
      <c r="I676" s="4"/>
      <c r="J676" s="32"/>
      <c r="K676" s="4"/>
      <c r="L676" s="4"/>
      <c r="M676" s="4"/>
      <c r="N676" s="4"/>
    </row>
    <row r="677" spans="1:14" x14ac:dyDescent="0.25">
      <c r="A677" s="4"/>
      <c r="B677" s="4"/>
      <c r="C677" s="4"/>
      <c r="D677" s="4"/>
      <c r="E677" s="4"/>
      <c r="F677" s="4"/>
      <c r="G677" s="4"/>
      <c r="H677" s="4"/>
      <c r="I677" s="4"/>
      <c r="J677" s="32"/>
      <c r="K677" s="4"/>
      <c r="L677" s="4"/>
      <c r="M677" s="4"/>
      <c r="N677" s="4"/>
    </row>
    <row r="678" spans="1:14" x14ac:dyDescent="0.25">
      <c r="A678" s="4"/>
      <c r="B678" s="4"/>
      <c r="C678" s="4"/>
      <c r="D678" s="4"/>
      <c r="E678" s="4"/>
      <c r="F678" s="4"/>
      <c r="G678" s="4"/>
      <c r="H678" s="4"/>
      <c r="I678" s="4"/>
      <c r="J678" s="32"/>
      <c r="K678" s="4"/>
      <c r="L678" s="4"/>
      <c r="M678" s="4"/>
      <c r="N678" s="4"/>
    </row>
    <row r="679" spans="1:14" x14ac:dyDescent="0.25">
      <c r="A679" s="4"/>
      <c r="B679" s="4"/>
      <c r="C679" s="4"/>
      <c r="D679" s="4"/>
      <c r="E679" s="4"/>
      <c r="F679" s="4"/>
      <c r="G679" s="4"/>
      <c r="H679" s="4"/>
      <c r="I679" s="4"/>
      <c r="J679" s="32"/>
      <c r="K679" s="4"/>
      <c r="L679" s="4"/>
      <c r="M679" s="4"/>
      <c r="N679" s="4"/>
    </row>
    <row r="680" spans="1:14" x14ac:dyDescent="0.25">
      <c r="A680" s="4"/>
      <c r="B680" s="4"/>
      <c r="C680" s="4"/>
      <c r="D680" s="4"/>
      <c r="E680" s="4"/>
      <c r="F680" s="4"/>
      <c r="G680" s="4"/>
      <c r="H680" s="4"/>
      <c r="I680" s="4"/>
      <c r="J680" s="32"/>
      <c r="K680" s="4"/>
      <c r="L680" s="4"/>
      <c r="M680" s="4"/>
      <c r="N680" s="4"/>
    </row>
    <row r="681" spans="1:14" x14ac:dyDescent="0.25">
      <c r="A681" s="4"/>
      <c r="B681" s="4"/>
      <c r="C681" s="4"/>
      <c r="D681" s="4"/>
      <c r="E681" s="4"/>
      <c r="F681" s="4"/>
      <c r="G681" s="4"/>
      <c r="H681" s="4"/>
      <c r="I681" s="4"/>
      <c r="J681" s="32"/>
      <c r="K681" s="4"/>
      <c r="L681" s="4"/>
      <c r="M681" s="4"/>
      <c r="N681" s="4"/>
    </row>
    <row r="682" spans="1:14" x14ac:dyDescent="0.25">
      <c r="A682" s="4"/>
      <c r="B682" s="4"/>
      <c r="C682" s="4"/>
      <c r="D682" s="4"/>
      <c r="E682" s="4"/>
      <c r="F682" s="4"/>
      <c r="G682" s="4"/>
      <c r="H682" s="4"/>
      <c r="I682" s="4"/>
      <c r="J682" s="32"/>
      <c r="K682" s="4"/>
      <c r="L682" s="4"/>
      <c r="M682" s="4"/>
      <c r="N682" s="4"/>
    </row>
    <row r="683" spans="1:14" x14ac:dyDescent="0.25">
      <c r="A683" s="4"/>
      <c r="B683" s="4"/>
      <c r="C683" s="4"/>
      <c r="D683" s="4"/>
      <c r="E683" s="4"/>
      <c r="F683" s="4"/>
      <c r="G683" s="4"/>
      <c r="H683" s="4"/>
      <c r="I683" s="4"/>
      <c r="J683" s="32"/>
      <c r="K683" s="4"/>
      <c r="L683" s="4"/>
      <c r="M683" s="4"/>
      <c r="N683" s="4"/>
    </row>
    <row r="684" spans="1:14" x14ac:dyDescent="0.25">
      <c r="A684" s="4"/>
      <c r="B684" s="4"/>
      <c r="C684" s="4"/>
      <c r="D684" s="4"/>
      <c r="E684" s="4"/>
      <c r="F684" s="4"/>
      <c r="G684" s="4"/>
      <c r="H684" s="4"/>
      <c r="I684" s="4"/>
      <c r="J684" s="32"/>
      <c r="K684" s="4"/>
      <c r="L684" s="4"/>
      <c r="M684" s="4"/>
      <c r="N684" s="4"/>
    </row>
    <row r="685" spans="1:14" x14ac:dyDescent="0.25">
      <c r="A685" s="4"/>
      <c r="B685" s="4"/>
      <c r="C685" s="4"/>
      <c r="D685" s="4"/>
      <c r="E685" s="4"/>
      <c r="F685" s="4"/>
      <c r="G685" s="4"/>
      <c r="H685" s="4"/>
      <c r="I685" s="4"/>
      <c r="J685" s="32"/>
      <c r="K685" s="4"/>
      <c r="L685" s="4"/>
      <c r="M685" s="4"/>
      <c r="N685" s="4"/>
    </row>
    <row r="686" spans="1:14" x14ac:dyDescent="0.25">
      <c r="A686" s="4"/>
      <c r="B686" s="4"/>
      <c r="C686" s="4"/>
      <c r="D686" s="4"/>
      <c r="E686" s="4"/>
      <c r="F686" s="4"/>
      <c r="G686" s="4"/>
      <c r="H686" s="4"/>
      <c r="I686" s="4"/>
      <c r="J686" s="32"/>
      <c r="K686" s="4"/>
      <c r="L686" s="4"/>
      <c r="M686" s="4"/>
      <c r="N686" s="4"/>
    </row>
    <row r="687" spans="1:14" x14ac:dyDescent="0.25">
      <c r="A687" s="4"/>
      <c r="B687" s="4"/>
      <c r="C687" s="4"/>
      <c r="D687" s="4"/>
      <c r="E687" s="4"/>
      <c r="F687" s="4"/>
      <c r="G687" s="4"/>
      <c r="H687" s="4"/>
      <c r="I687" s="4"/>
      <c r="J687" s="32"/>
      <c r="K687" s="4"/>
      <c r="L687" s="4"/>
      <c r="M687" s="4"/>
      <c r="N687" s="4"/>
    </row>
    <row r="688" spans="1:14" x14ac:dyDescent="0.25">
      <c r="A688" s="4"/>
      <c r="B688" s="4"/>
      <c r="C688" s="4"/>
      <c r="D688" s="4"/>
      <c r="E688" s="4"/>
      <c r="F688" s="4"/>
      <c r="G688" s="4"/>
      <c r="H688" s="4"/>
      <c r="I688" s="4"/>
      <c r="J688" s="32"/>
      <c r="K688" s="4"/>
      <c r="L688" s="4"/>
      <c r="M688" s="4"/>
      <c r="N688" s="4"/>
    </row>
    <row r="689" spans="1:14" x14ac:dyDescent="0.25">
      <c r="A689" s="4"/>
      <c r="B689" s="4"/>
      <c r="C689" s="4"/>
      <c r="D689" s="4"/>
      <c r="E689" s="4"/>
      <c r="F689" s="4"/>
      <c r="G689" s="4"/>
      <c r="H689" s="4"/>
      <c r="I689" s="4"/>
      <c r="J689" s="32"/>
      <c r="K689" s="4"/>
      <c r="L689" s="4"/>
      <c r="M689" s="4"/>
      <c r="N689" s="4"/>
    </row>
    <row r="690" spans="1:14" x14ac:dyDescent="0.25">
      <c r="A690" s="4"/>
      <c r="B690" s="4"/>
      <c r="C690" s="4"/>
      <c r="D690" s="4"/>
      <c r="E690" s="4"/>
      <c r="F690" s="4"/>
      <c r="G690" s="4"/>
      <c r="H690" s="4"/>
      <c r="I690" s="4"/>
      <c r="J690" s="32"/>
      <c r="K690" s="4"/>
      <c r="L690" s="4"/>
      <c r="M690" s="4"/>
      <c r="N690" s="4"/>
    </row>
    <row r="691" spans="1:14" x14ac:dyDescent="0.25">
      <c r="A691" s="4"/>
      <c r="B691" s="4"/>
      <c r="C691" s="4"/>
      <c r="D691" s="4"/>
      <c r="E691" s="4"/>
      <c r="F691" s="4"/>
      <c r="G691" s="4"/>
      <c r="H691" s="4"/>
      <c r="I691" s="4"/>
      <c r="J691" s="32"/>
      <c r="K691" s="4"/>
      <c r="L691" s="4"/>
      <c r="M691" s="4"/>
      <c r="N691" s="4"/>
    </row>
    <row r="692" spans="1:14" x14ac:dyDescent="0.25">
      <c r="A692" s="4"/>
      <c r="B692" s="4"/>
      <c r="C692" s="4"/>
      <c r="D692" s="4"/>
      <c r="E692" s="4"/>
      <c r="F692" s="4"/>
      <c r="G692" s="4"/>
      <c r="H692" s="4"/>
      <c r="I692" s="4"/>
      <c r="J692" s="32"/>
      <c r="K692" s="4"/>
      <c r="L692" s="4"/>
      <c r="M692" s="4"/>
      <c r="N692" s="4"/>
    </row>
    <row r="693" spans="1:14" x14ac:dyDescent="0.25">
      <c r="A693" s="4"/>
      <c r="B693" s="4"/>
      <c r="C693" s="4"/>
      <c r="D693" s="4"/>
      <c r="E693" s="4"/>
      <c r="F693" s="4"/>
      <c r="G693" s="4"/>
      <c r="H693" s="4"/>
      <c r="I693" s="4"/>
      <c r="J693" s="32"/>
      <c r="K693" s="4"/>
      <c r="L693" s="4"/>
      <c r="M693" s="4"/>
      <c r="N693" s="4"/>
    </row>
    <row r="694" spans="1:14" x14ac:dyDescent="0.25">
      <c r="A694" s="4"/>
      <c r="B694" s="4"/>
      <c r="C694" s="4"/>
      <c r="D694" s="4"/>
      <c r="E694" s="4"/>
      <c r="F694" s="4"/>
      <c r="G694" s="4"/>
      <c r="H694" s="4"/>
      <c r="I694" s="4"/>
      <c r="J694" s="32"/>
      <c r="K694" s="4"/>
      <c r="L694" s="4"/>
      <c r="M694" s="4"/>
      <c r="N694" s="4"/>
    </row>
    <row r="695" spans="1:14" x14ac:dyDescent="0.25">
      <c r="A695" s="4"/>
      <c r="B695" s="4"/>
      <c r="C695" s="4"/>
      <c r="D695" s="4"/>
      <c r="E695" s="4"/>
      <c r="F695" s="4"/>
      <c r="G695" s="4"/>
      <c r="H695" s="4"/>
      <c r="I695" s="4"/>
      <c r="J695" s="32"/>
      <c r="K695" s="4"/>
      <c r="L695" s="4"/>
      <c r="M695" s="4"/>
      <c r="N695" s="4"/>
    </row>
    <row r="696" spans="1:14" x14ac:dyDescent="0.25">
      <c r="A696" s="4"/>
      <c r="B696" s="4"/>
      <c r="C696" s="4"/>
      <c r="D696" s="4"/>
      <c r="E696" s="4"/>
      <c r="F696" s="4"/>
      <c r="G696" s="4"/>
      <c r="H696" s="4"/>
      <c r="I696" s="4"/>
      <c r="J696" s="32"/>
      <c r="K696" s="4"/>
      <c r="L696" s="4"/>
      <c r="M696" s="4"/>
      <c r="N696" s="4"/>
    </row>
    <row r="697" spans="1:14" x14ac:dyDescent="0.25">
      <c r="A697" s="4"/>
      <c r="B697" s="4"/>
      <c r="C697" s="4"/>
      <c r="D697" s="4"/>
      <c r="E697" s="4"/>
      <c r="F697" s="4"/>
      <c r="G697" s="4"/>
      <c r="H697" s="4"/>
      <c r="I697" s="4"/>
      <c r="J697" s="32"/>
      <c r="K697" s="4"/>
      <c r="L697" s="4"/>
      <c r="M697" s="4"/>
      <c r="N697" s="4"/>
    </row>
    <row r="698" spans="1:14" x14ac:dyDescent="0.25">
      <c r="A698" s="4"/>
      <c r="B698" s="4"/>
      <c r="C698" s="4"/>
      <c r="D698" s="4"/>
      <c r="E698" s="4"/>
      <c r="F698" s="4"/>
      <c r="G698" s="4"/>
      <c r="H698" s="4"/>
      <c r="I698" s="4"/>
      <c r="J698" s="32"/>
      <c r="K698" s="4"/>
      <c r="L698" s="4"/>
      <c r="M698" s="4"/>
      <c r="N698" s="4"/>
    </row>
    <row r="699" spans="1:14" x14ac:dyDescent="0.25">
      <c r="A699" s="4"/>
      <c r="B699" s="4"/>
      <c r="C699" s="4"/>
      <c r="D699" s="4"/>
      <c r="E699" s="4"/>
      <c r="F699" s="4"/>
      <c r="G699" s="4"/>
      <c r="H699" s="4"/>
      <c r="I699" s="4"/>
      <c r="J699" s="32"/>
      <c r="K699" s="4"/>
      <c r="L699" s="4"/>
      <c r="M699" s="4"/>
      <c r="N699" s="4"/>
    </row>
    <row r="700" spans="1:14" x14ac:dyDescent="0.25">
      <c r="A700" s="4"/>
      <c r="B700" s="4"/>
      <c r="C700" s="4"/>
      <c r="D700" s="4"/>
      <c r="E700" s="4"/>
      <c r="F700" s="4"/>
      <c r="G700" s="4"/>
      <c r="H700" s="4"/>
      <c r="I700" s="4"/>
      <c r="J700" s="32"/>
      <c r="K700" s="4"/>
      <c r="L700" s="4"/>
      <c r="M700" s="4"/>
      <c r="N700" s="4"/>
    </row>
    <row r="701" spans="1:14" x14ac:dyDescent="0.25">
      <c r="A701" s="4"/>
      <c r="B701" s="4"/>
      <c r="C701" s="4"/>
      <c r="D701" s="4"/>
      <c r="E701" s="4"/>
      <c r="F701" s="4"/>
      <c r="G701" s="4"/>
      <c r="H701" s="4"/>
      <c r="I701" s="4"/>
      <c r="J701" s="32"/>
      <c r="K701" s="4"/>
      <c r="L701" s="4"/>
      <c r="M701" s="4"/>
      <c r="N701" s="4"/>
    </row>
    <row r="702" spans="1:14" x14ac:dyDescent="0.25">
      <c r="A702" s="4"/>
      <c r="B702" s="4"/>
      <c r="C702" s="4"/>
      <c r="D702" s="4"/>
      <c r="E702" s="4"/>
      <c r="F702" s="4"/>
      <c r="G702" s="4"/>
      <c r="H702" s="4"/>
      <c r="I702" s="4"/>
      <c r="J702" s="32"/>
      <c r="K702" s="4"/>
      <c r="L702" s="4"/>
      <c r="M702" s="4"/>
      <c r="N702" s="4"/>
    </row>
    <row r="703" spans="1:14" x14ac:dyDescent="0.25">
      <c r="A703" s="4"/>
      <c r="B703" s="4"/>
      <c r="C703" s="4"/>
      <c r="D703" s="4"/>
      <c r="E703" s="4"/>
      <c r="F703" s="4"/>
      <c r="G703" s="4"/>
      <c r="H703" s="4"/>
      <c r="I703" s="4"/>
      <c r="J703" s="32"/>
      <c r="K703" s="4"/>
      <c r="L703" s="4"/>
      <c r="M703" s="4"/>
      <c r="N703" s="4"/>
    </row>
    <row r="704" spans="1:14" x14ac:dyDescent="0.25">
      <c r="A704" s="4"/>
      <c r="B704" s="4"/>
      <c r="C704" s="4"/>
      <c r="D704" s="4"/>
      <c r="E704" s="4"/>
      <c r="F704" s="4"/>
      <c r="G704" s="4"/>
      <c r="H704" s="4"/>
      <c r="I704" s="4"/>
      <c r="J704" s="32"/>
      <c r="K704" s="4"/>
      <c r="L704" s="4"/>
      <c r="M704" s="4"/>
      <c r="N704" s="4"/>
    </row>
    <row r="705" spans="1:14" x14ac:dyDescent="0.25">
      <c r="A705" s="4"/>
      <c r="B705" s="4"/>
      <c r="C705" s="4"/>
      <c r="D705" s="4"/>
      <c r="E705" s="4"/>
      <c r="F705" s="4"/>
      <c r="G705" s="4"/>
      <c r="H705" s="4"/>
      <c r="I705" s="4"/>
      <c r="J705" s="32"/>
      <c r="K705" s="4"/>
      <c r="L705" s="4"/>
      <c r="M705" s="4"/>
      <c r="N705" s="4"/>
    </row>
    <row r="706" spans="1:14" x14ac:dyDescent="0.25">
      <c r="A706" s="4"/>
      <c r="B706" s="4"/>
      <c r="C706" s="4"/>
      <c r="D706" s="4"/>
      <c r="E706" s="4"/>
      <c r="F706" s="4"/>
      <c r="G706" s="4"/>
      <c r="H706" s="4"/>
      <c r="I706" s="4"/>
      <c r="J706" s="32"/>
      <c r="K706" s="4"/>
      <c r="L706" s="4"/>
      <c r="M706" s="4"/>
      <c r="N706" s="4"/>
    </row>
    <row r="707" spans="1:14" x14ac:dyDescent="0.25">
      <c r="A707" s="4"/>
      <c r="B707" s="4"/>
      <c r="C707" s="4"/>
      <c r="D707" s="4"/>
      <c r="E707" s="4"/>
      <c r="F707" s="4"/>
      <c r="G707" s="4"/>
      <c r="H707" s="4"/>
      <c r="I707" s="4"/>
      <c r="J707" s="32"/>
      <c r="K707" s="4"/>
      <c r="L707" s="4"/>
      <c r="M707" s="4"/>
      <c r="N707" s="4"/>
    </row>
    <row r="708" spans="1:14" x14ac:dyDescent="0.25">
      <c r="A708" s="4"/>
      <c r="B708" s="4"/>
      <c r="C708" s="4"/>
      <c r="D708" s="4"/>
      <c r="E708" s="4"/>
      <c r="F708" s="4"/>
      <c r="G708" s="4"/>
      <c r="H708" s="4"/>
      <c r="I708" s="4"/>
      <c r="J708" s="32"/>
      <c r="K708" s="4"/>
      <c r="L708" s="4"/>
      <c r="M708" s="4"/>
      <c r="N708" s="4"/>
    </row>
    <row r="709" spans="1:14" x14ac:dyDescent="0.25">
      <c r="A709" s="4"/>
      <c r="B709" s="4"/>
      <c r="C709" s="4"/>
      <c r="D709" s="4"/>
      <c r="E709" s="4"/>
      <c r="F709" s="4"/>
      <c r="G709" s="4"/>
      <c r="H709" s="4"/>
      <c r="I709" s="4"/>
      <c r="J709" s="32"/>
      <c r="K709" s="4"/>
      <c r="L709" s="4"/>
      <c r="M709" s="4"/>
      <c r="N709" s="4"/>
    </row>
    <row r="710" spans="1:14" x14ac:dyDescent="0.25">
      <c r="A710" s="4"/>
      <c r="B710" s="4"/>
      <c r="C710" s="4"/>
      <c r="D710" s="4"/>
      <c r="E710" s="4"/>
      <c r="F710" s="4"/>
      <c r="G710" s="4"/>
      <c r="H710" s="4"/>
      <c r="I710" s="4"/>
      <c r="J710" s="32"/>
      <c r="K710" s="4"/>
      <c r="L710" s="4"/>
      <c r="M710" s="4"/>
      <c r="N710" s="4"/>
    </row>
    <row r="711" spans="1:14" x14ac:dyDescent="0.25">
      <c r="A711" s="4"/>
      <c r="B711" s="4"/>
      <c r="C711" s="4"/>
      <c r="D711" s="4"/>
      <c r="E711" s="4"/>
      <c r="F711" s="4"/>
      <c r="G711" s="4"/>
      <c r="H711" s="4"/>
      <c r="I711" s="4"/>
      <c r="J711" s="32"/>
      <c r="K711" s="4"/>
      <c r="L711" s="4"/>
      <c r="M711" s="4"/>
      <c r="N711" s="4"/>
    </row>
    <row r="712" spans="1:14" x14ac:dyDescent="0.25">
      <c r="A712" s="4"/>
      <c r="B712" s="4"/>
      <c r="C712" s="4"/>
      <c r="D712" s="4"/>
      <c r="E712" s="4"/>
      <c r="F712" s="4"/>
      <c r="G712" s="4"/>
      <c r="H712" s="4"/>
      <c r="I712" s="4"/>
      <c r="J712" s="32"/>
      <c r="K712" s="4"/>
      <c r="L712" s="4"/>
      <c r="M712" s="4"/>
      <c r="N712" s="4"/>
    </row>
    <row r="713" spans="1:14" x14ac:dyDescent="0.25">
      <c r="A713" s="4"/>
      <c r="B713" s="4"/>
      <c r="C713" s="4"/>
      <c r="D713" s="4"/>
      <c r="E713" s="4"/>
      <c r="F713" s="4"/>
      <c r="G713" s="4"/>
      <c r="H713" s="4"/>
      <c r="I713" s="4"/>
      <c r="J713" s="32"/>
      <c r="K713" s="4"/>
      <c r="L713" s="4"/>
      <c r="M713" s="4"/>
      <c r="N713" s="4"/>
    </row>
    <row r="714" spans="1:14" x14ac:dyDescent="0.25">
      <c r="A714" s="4"/>
      <c r="B714" s="4"/>
      <c r="C714" s="4"/>
      <c r="D714" s="4"/>
      <c r="E714" s="4"/>
      <c r="F714" s="4"/>
      <c r="G714" s="4"/>
      <c r="H714" s="4"/>
      <c r="I714" s="4"/>
      <c r="J714" s="32"/>
      <c r="K714" s="4"/>
      <c r="L714" s="4"/>
      <c r="M714" s="4"/>
      <c r="N714" s="4"/>
    </row>
    <row r="715" spans="1:14" x14ac:dyDescent="0.25">
      <c r="A715" s="4"/>
      <c r="B715" s="4"/>
      <c r="C715" s="4"/>
      <c r="D715" s="4"/>
      <c r="E715" s="4"/>
      <c r="F715" s="4"/>
      <c r="G715" s="4"/>
      <c r="H715" s="4"/>
      <c r="I715" s="4"/>
      <c r="J715" s="32"/>
      <c r="K715" s="4"/>
      <c r="L715" s="4"/>
      <c r="M715" s="4"/>
      <c r="N715" s="4"/>
    </row>
    <row r="716" spans="1:14" x14ac:dyDescent="0.25">
      <c r="A716" s="4"/>
      <c r="B716" s="4"/>
      <c r="C716" s="4"/>
      <c r="D716" s="4"/>
      <c r="E716" s="4"/>
      <c r="F716" s="4"/>
      <c r="G716" s="4"/>
      <c r="H716" s="4"/>
      <c r="I716" s="4"/>
      <c r="J716" s="32"/>
      <c r="K716" s="4"/>
      <c r="L716" s="4"/>
      <c r="M716" s="4"/>
      <c r="N716" s="4"/>
    </row>
    <row r="717" spans="1:14" x14ac:dyDescent="0.25">
      <c r="A717" s="4"/>
      <c r="B717" s="4"/>
      <c r="C717" s="4"/>
      <c r="D717" s="4"/>
      <c r="E717" s="4"/>
      <c r="F717" s="4"/>
      <c r="G717" s="4"/>
      <c r="H717" s="4"/>
      <c r="I717" s="4"/>
      <c r="J717" s="32"/>
      <c r="K717" s="4"/>
      <c r="L717" s="4"/>
      <c r="M717" s="4"/>
      <c r="N717" s="4"/>
    </row>
    <row r="718" spans="1:14" x14ac:dyDescent="0.25">
      <c r="A718" s="4"/>
      <c r="B718" s="4"/>
      <c r="C718" s="4"/>
      <c r="D718" s="4"/>
      <c r="E718" s="4"/>
      <c r="F718" s="4"/>
      <c r="G718" s="4"/>
      <c r="H718" s="4"/>
      <c r="I718" s="4"/>
      <c r="J718" s="32"/>
      <c r="K718" s="4"/>
      <c r="L718" s="4"/>
      <c r="M718" s="4"/>
      <c r="N718" s="4"/>
    </row>
    <row r="719" spans="1:14" x14ac:dyDescent="0.25">
      <c r="A719" s="4"/>
      <c r="B719" s="4"/>
      <c r="C719" s="4"/>
      <c r="D719" s="4"/>
      <c r="E719" s="4"/>
      <c r="F719" s="4"/>
      <c r="G719" s="4"/>
      <c r="H719" s="4"/>
      <c r="I719" s="4"/>
      <c r="J719" s="32"/>
      <c r="K719" s="4"/>
      <c r="L719" s="4"/>
      <c r="M719" s="4"/>
      <c r="N719" s="4"/>
    </row>
    <row r="720" spans="1:14" x14ac:dyDescent="0.25">
      <c r="A720" s="4"/>
      <c r="B720" s="4"/>
      <c r="C720" s="4"/>
      <c r="D720" s="4"/>
      <c r="E720" s="4"/>
      <c r="F720" s="4"/>
      <c r="G720" s="4"/>
      <c r="H720" s="4"/>
      <c r="I720" s="4"/>
      <c r="J720" s="32"/>
      <c r="K720" s="4"/>
      <c r="L720" s="4"/>
      <c r="M720" s="4"/>
      <c r="N720" s="4"/>
    </row>
    <row r="721" spans="1:14" x14ac:dyDescent="0.25">
      <c r="A721" s="4"/>
      <c r="B721" s="4"/>
      <c r="C721" s="4"/>
      <c r="D721" s="4"/>
      <c r="E721" s="4"/>
      <c r="F721" s="4"/>
      <c r="G721" s="4"/>
      <c r="H721" s="4"/>
      <c r="I721" s="4"/>
      <c r="J721" s="32"/>
      <c r="K721" s="4"/>
      <c r="L721" s="4"/>
      <c r="M721" s="4"/>
      <c r="N721" s="4"/>
    </row>
    <row r="722" spans="1:14" x14ac:dyDescent="0.25">
      <c r="A722" s="4"/>
      <c r="B722" s="4"/>
      <c r="C722" s="4"/>
      <c r="D722" s="4"/>
      <c r="E722" s="4"/>
      <c r="F722" s="4"/>
      <c r="G722" s="4"/>
      <c r="H722" s="4"/>
      <c r="I722" s="4"/>
      <c r="J722" s="32"/>
      <c r="K722" s="4"/>
      <c r="L722" s="4"/>
      <c r="M722" s="4"/>
      <c r="N722" s="4"/>
    </row>
    <row r="723" spans="1:14" x14ac:dyDescent="0.25">
      <c r="A723" s="4"/>
      <c r="B723" s="4"/>
      <c r="C723" s="4"/>
      <c r="D723" s="4"/>
      <c r="E723" s="4"/>
      <c r="F723" s="4"/>
      <c r="G723" s="4"/>
      <c r="H723" s="4"/>
      <c r="I723" s="4"/>
      <c r="J723" s="32"/>
      <c r="K723" s="4"/>
      <c r="L723" s="4"/>
      <c r="M723" s="4"/>
      <c r="N723" s="4"/>
    </row>
    <row r="724" spans="1:14" x14ac:dyDescent="0.25">
      <c r="A724" s="4"/>
      <c r="B724" s="4"/>
      <c r="C724" s="4"/>
      <c r="D724" s="4"/>
      <c r="E724" s="4"/>
      <c r="F724" s="4"/>
      <c r="G724" s="4"/>
      <c r="H724" s="4"/>
      <c r="I724" s="4"/>
      <c r="J724" s="32"/>
      <c r="K724" s="4"/>
      <c r="L724" s="4"/>
      <c r="M724" s="4"/>
      <c r="N724" s="4"/>
    </row>
    <row r="725" spans="1:14" x14ac:dyDescent="0.25">
      <c r="A725" s="4"/>
      <c r="B725" s="4"/>
      <c r="C725" s="4"/>
      <c r="D725" s="4"/>
      <c r="E725" s="4"/>
      <c r="F725" s="4"/>
      <c r="G725" s="4"/>
      <c r="H725" s="4"/>
      <c r="I725" s="4"/>
      <c r="J725" s="32"/>
      <c r="K725" s="4"/>
      <c r="L725" s="4"/>
      <c r="M725" s="4"/>
      <c r="N725" s="4"/>
    </row>
    <row r="726" spans="1:14" x14ac:dyDescent="0.25">
      <c r="A726" s="4"/>
      <c r="B726" s="4"/>
      <c r="C726" s="4"/>
      <c r="D726" s="4"/>
      <c r="E726" s="4"/>
      <c r="F726" s="4"/>
      <c r="G726" s="4"/>
      <c r="H726" s="4"/>
      <c r="I726" s="4"/>
      <c r="J726" s="32"/>
      <c r="K726" s="4"/>
      <c r="L726" s="4"/>
      <c r="M726" s="4"/>
      <c r="N726" s="4"/>
    </row>
    <row r="727" spans="1:14" x14ac:dyDescent="0.25">
      <c r="A727" s="4"/>
      <c r="B727" s="4"/>
      <c r="C727" s="4"/>
      <c r="D727" s="4"/>
      <c r="E727" s="4"/>
      <c r="F727" s="4"/>
      <c r="G727" s="4"/>
      <c r="H727" s="4"/>
      <c r="I727" s="4"/>
      <c r="J727" s="32"/>
      <c r="K727" s="4"/>
      <c r="L727" s="4"/>
      <c r="M727" s="4"/>
      <c r="N727" s="4"/>
    </row>
    <row r="728" spans="1:14" x14ac:dyDescent="0.25">
      <c r="A728" s="4"/>
      <c r="B728" s="4"/>
      <c r="C728" s="4"/>
      <c r="D728" s="4"/>
      <c r="E728" s="4"/>
      <c r="F728" s="4"/>
      <c r="G728" s="4"/>
      <c r="H728" s="4"/>
      <c r="I728" s="4"/>
      <c r="J728" s="32"/>
      <c r="K728" s="4"/>
      <c r="L728" s="4"/>
      <c r="M728" s="4"/>
      <c r="N728" s="4"/>
    </row>
    <row r="729" spans="1:14" x14ac:dyDescent="0.25">
      <c r="A729" s="4"/>
      <c r="B729" s="4"/>
      <c r="C729" s="4"/>
      <c r="D729" s="4"/>
      <c r="E729" s="4"/>
      <c r="F729" s="4"/>
      <c r="G729" s="4"/>
      <c r="H729" s="4"/>
      <c r="I729" s="4"/>
      <c r="J729" s="32"/>
      <c r="K729" s="4"/>
      <c r="L729" s="4"/>
      <c r="M729" s="4"/>
      <c r="N729" s="4"/>
    </row>
    <row r="730" spans="1:14" x14ac:dyDescent="0.25">
      <c r="A730" s="4"/>
      <c r="B730" s="4"/>
      <c r="C730" s="4"/>
      <c r="D730" s="4"/>
      <c r="E730" s="4"/>
      <c r="F730" s="4"/>
      <c r="G730" s="4"/>
      <c r="H730" s="4"/>
      <c r="I730" s="4"/>
      <c r="J730" s="32"/>
      <c r="K730" s="4"/>
      <c r="L730" s="4"/>
      <c r="M730" s="4"/>
      <c r="N730" s="4"/>
    </row>
    <row r="731" spans="1:14" x14ac:dyDescent="0.25">
      <c r="A731" s="4"/>
      <c r="B731" s="4"/>
      <c r="C731" s="4"/>
      <c r="D731" s="4"/>
      <c r="E731" s="4"/>
      <c r="F731" s="4"/>
      <c r="G731" s="4"/>
      <c r="H731" s="4"/>
      <c r="I731" s="4"/>
      <c r="J731" s="32"/>
      <c r="K731" s="4"/>
      <c r="L731" s="4"/>
      <c r="M731" s="4"/>
      <c r="N731" s="4"/>
    </row>
    <row r="732" spans="1:14" x14ac:dyDescent="0.25">
      <c r="A732" s="4"/>
      <c r="B732" s="4"/>
      <c r="C732" s="4"/>
      <c r="D732" s="4"/>
      <c r="E732" s="4"/>
      <c r="F732" s="4"/>
      <c r="G732" s="4"/>
      <c r="H732" s="4"/>
      <c r="I732" s="4"/>
      <c r="J732" s="32"/>
      <c r="K732" s="4"/>
      <c r="L732" s="4"/>
      <c r="M732" s="4"/>
      <c r="N732" s="4"/>
    </row>
    <row r="733" spans="1:14" x14ac:dyDescent="0.25">
      <c r="A733" s="4"/>
      <c r="B733" s="4"/>
      <c r="C733" s="4"/>
      <c r="D733" s="4"/>
      <c r="E733" s="4"/>
      <c r="F733" s="4"/>
      <c r="G733" s="4"/>
      <c r="H733" s="4"/>
      <c r="I733" s="4"/>
      <c r="J733" s="32"/>
      <c r="K733" s="4"/>
      <c r="L733" s="4"/>
      <c r="M733" s="4"/>
      <c r="N733" s="4"/>
    </row>
    <row r="734" spans="1:14" x14ac:dyDescent="0.25">
      <c r="A734" s="4"/>
      <c r="B734" s="4"/>
      <c r="C734" s="4"/>
      <c r="D734" s="4"/>
      <c r="E734" s="4"/>
      <c r="F734" s="4"/>
      <c r="G734" s="4"/>
      <c r="H734" s="4"/>
      <c r="I734" s="4"/>
      <c r="J734" s="32"/>
      <c r="K734" s="4"/>
      <c r="L734" s="4"/>
      <c r="M734" s="4"/>
      <c r="N734" s="4"/>
    </row>
    <row r="735" spans="1:14" x14ac:dyDescent="0.25">
      <c r="A735" s="4"/>
      <c r="B735" s="4"/>
      <c r="C735" s="4"/>
      <c r="D735" s="4"/>
      <c r="E735" s="4"/>
      <c r="F735" s="4"/>
      <c r="G735" s="4"/>
      <c r="H735" s="4"/>
      <c r="I735" s="4"/>
      <c r="J735" s="32"/>
      <c r="K735" s="4"/>
      <c r="L735" s="4"/>
      <c r="M735" s="4"/>
      <c r="N735" s="4"/>
    </row>
    <row r="736" spans="1:14" x14ac:dyDescent="0.25">
      <c r="A736" s="4"/>
      <c r="B736" s="4"/>
      <c r="C736" s="4"/>
      <c r="D736" s="4"/>
      <c r="E736" s="4"/>
      <c r="F736" s="4"/>
      <c r="G736" s="4"/>
      <c r="H736" s="4"/>
      <c r="I736" s="4"/>
      <c r="J736" s="32"/>
      <c r="K736" s="4"/>
      <c r="L736" s="4"/>
      <c r="M736" s="4"/>
      <c r="N736" s="4"/>
    </row>
    <row r="737" spans="1:14" x14ac:dyDescent="0.25">
      <c r="A737" s="4"/>
      <c r="B737" s="4"/>
      <c r="C737" s="4"/>
      <c r="D737" s="4"/>
      <c r="E737" s="4"/>
      <c r="F737" s="4"/>
      <c r="G737" s="4"/>
      <c r="H737" s="4"/>
      <c r="I737" s="4"/>
      <c r="J737" s="32"/>
      <c r="K737" s="4"/>
      <c r="L737" s="4"/>
      <c r="M737" s="4"/>
      <c r="N737" s="4"/>
    </row>
    <row r="738" spans="1:14" x14ac:dyDescent="0.25">
      <c r="A738" s="4"/>
      <c r="B738" s="4"/>
      <c r="C738" s="4"/>
      <c r="D738" s="4"/>
      <c r="E738" s="4"/>
      <c r="F738" s="4"/>
      <c r="G738" s="4"/>
      <c r="H738" s="4"/>
      <c r="I738" s="4"/>
      <c r="J738" s="32"/>
      <c r="K738" s="4"/>
      <c r="L738" s="4"/>
      <c r="M738" s="4"/>
      <c r="N738" s="4"/>
    </row>
    <row r="739" spans="1:14" x14ac:dyDescent="0.25">
      <c r="A739" s="4"/>
      <c r="B739" s="4"/>
      <c r="C739" s="4"/>
      <c r="D739" s="4"/>
      <c r="E739" s="4"/>
      <c r="F739" s="4"/>
      <c r="G739" s="4"/>
      <c r="H739" s="4"/>
      <c r="I739" s="4"/>
      <c r="J739" s="32"/>
      <c r="K739" s="4"/>
      <c r="L739" s="4"/>
      <c r="M739" s="4"/>
      <c r="N739" s="4"/>
    </row>
    <row r="740" spans="1:14" x14ac:dyDescent="0.25">
      <c r="A740" s="4"/>
      <c r="B740" s="4"/>
      <c r="C740" s="4"/>
      <c r="D740" s="4"/>
      <c r="E740" s="4"/>
      <c r="F740" s="4"/>
      <c r="G740" s="4"/>
      <c r="H740" s="4"/>
      <c r="I740" s="4"/>
      <c r="J740" s="32"/>
      <c r="K740" s="4"/>
      <c r="L740" s="4"/>
      <c r="M740" s="4"/>
      <c r="N740" s="4"/>
    </row>
    <row r="741" spans="1:14" x14ac:dyDescent="0.25">
      <c r="A741" s="4"/>
      <c r="B741" s="4"/>
      <c r="C741" s="4"/>
      <c r="D741" s="4"/>
      <c r="E741" s="4"/>
      <c r="F741" s="4"/>
      <c r="G741" s="4"/>
      <c r="H741" s="4"/>
      <c r="I741" s="4"/>
      <c r="J741" s="32"/>
      <c r="K741" s="4"/>
      <c r="L741" s="4"/>
      <c r="M741" s="4"/>
      <c r="N741" s="4"/>
    </row>
    <row r="742" spans="1:14" x14ac:dyDescent="0.25">
      <c r="A742" s="4"/>
      <c r="B742" s="4"/>
      <c r="C742" s="4"/>
      <c r="D742" s="4"/>
      <c r="E742" s="4"/>
      <c r="F742" s="4"/>
      <c r="G742" s="4"/>
      <c r="H742" s="4"/>
      <c r="I742" s="4"/>
      <c r="J742" s="32"/>
      <c r="K742" s="4"/>
      <c r="L742" s="4"/>
      <c r="M742" s="4"/>
      <c r="N742" s="4"/>
    </row>
    <row r="743" spans="1:14" x14ac:dyDescent="0.25">
      <c r="A743" s="4"/>
      <c r="B743" s="4"/>
      <c r="C743" s="4"/>
      <c r="D743" s="4"/>
      <c r="E743" s="4"/>
      <c r="F743" s="4"/>
      <c r="G743" s="4"/>
      <c r="H743" s="4"/>
      <c r="I743" s="4"/>
      <c r="J743" s="32"/>
      <c r="K743" s="4"/>
      <c r="L743" s="4"/>
      <c r="M743" s="4"/>
      <c r="N743" s="4"/>
    </row>
    <row r="744" spans="1:14" x14ac:dyDescent="0.25">
      <c r="A744" s="4"/>
      <c r="B744" s="4"/>
      <c r="C744" s="4"/>
      <c r="D744" s="4"/>
      <c r="E744" s="4"/>
      <c r="F744" s="4"/>
      <c r="G744" s="4"/>
      <c r="H744" s="4"/>
      <c r="I744" s="4"/>
      <c r="J744" s="32"/>
      <c r="K744" s="4"/>
      <c r="L744" s="4"/>
      <c r="M744" s="4"/>
      <c r="N744" s="4"/>
    </row>
    <row r="745" spans="1:14" x14ac:dyDescent="0.25">
      <c r="A745" s="4"/>
      <c r="B745" s="4"/>
      <c r="C745" s="4"/>
      <c r="D745" s="4"/>
      <c r="E745" s="4"/>
      <c r="F745" s="4"/>
      <c r="G745" s="4"/>
      <c r="H745" s="4"/>
      <c r="I745" s="4"/>
      <c r="J745" s="32"/>
      <c r="K745" s="4"/>
      <c r="L745" s="4"/>
      <c r="M745" s="4"/>
      <c r="N745" s="4"/>
    </row>
    <row r="746" spans="1:14" x14ac:dyDescent="0.25">
      <c r="A746" s="4"/>
      <c r="B746" s="4"/>
      <c r="C746" s="4"/>
      <c r="D746" s="4"/>
      <c r="E746" s="4"/>
      <c r="F746" s="4"/>
      <c r="G746" s="4"/>
      <c r="H746" s="4"/>
      <c r="I746" s="4"/>
      <c r="J746" s="32"/>
      <c r="K746" s="4"/>
      <c r="L746" s="4"/>
      <c r="M746" s="4"/>
      <c r="N746" s="4"/>
    </row>
    <row r="747" spans="1:14" x14ac:dyDescent="0.25">
      <c r="A747" s="4"/>
      <c r="B747" s="4"/>
      <c r="C747" s="4"/>
      <c r="D747" s="4"/>
      <c r="E747" s="4"/>
      <c r="F747" s="4"/>
      <c r="G747" s="4"/>
      <c r="H747" s="4"/>
      <c r="I747" s="4"/>
      <c r="J747" s="32"/>
      <c r="K747" s="4"/>
      <c r="L747" s="4"/>
      <c r="M747" s="4"/>
      <c r="N747" s="4"/>
    </row>
    <row r="748" spans="1:14" x14ac:dyDescent="0.25">
      <c r="A748" s="4"/>
      <c r="B748" s="4"/>
      <c r="C748" s="4"/>
      <c r="D748" s="4"/>
      <c r="E748" s="4"/>
      <c r="F748" s="4"/>
      <c r="G748" s="4"/>
      <c r="H748" s="4"/>
      <c r="I748" s="4"/>
      <c r="J748" s="32"/>
      <c r="K748" s="4"/>
      <c r="L748" s="4"/>
      <c r="M748" s="4"/>
      <c r="N748" s="4"/>
    </row>
    <row r="749" spans="1:14" x14ac:dyDescent="0.25">
      <c r="A749" s="4"/>
      <c r="B749" s="4"/>
      <c r="C749" s="4"/>
      <c r="D749" s="4"/>
      <c r="E749" s="4"/>
      <c r="F749" s="4"/>
      <c r="G749" s="4"/>
      <c r="H749" s="4"/>
      <c r="I749" s="4"/>
      <c r="J749" s="32"/>
      <c r="K749" s="4"/>
      <c r="L749" s="4"/>
      <c r="M749" s="4"/>
      <c r="N749" s="4"/>
    </row>
    <row r="750" spans="1:14" x14ac:dyDescent="0.25">
      <c r="A750" s="4"/>
      <c r="B750" s="4"/>
      <c r="C750" s="4"/>
      <c r="D750" s="4"/>
      <c r="E750" s="4"/>
      <c r="F750" s="4"/>
      <c r="G750" s="4"/>
      <c r="H750" s="4"/>
      <c r="I750" s="4"/>
      <c r="J750" s="32"/>
      <c r="K750" s="4"/>
      <c r="L750" s="4"/>
      <c r="M750" s="4"/>
      <c r="N750" s="4"/>
    </row>
    <row r="751" spans="1:14" x14ac:dyDescent="0.25">
      <c r="A751" s="4"/>
      <c r="B751" s="4"/>
      <c r="C751" s="4"/>
      <c r="D751" s="4"/>
      <c r="E751" s="4"/>
      <c r="F751" s="4"/>
      <c r="G751" s="4"/>
      <c r="H751" s="4"/>
      <c r="I751" s="4"/>
      <c r="J751" s="32"/>
      <c r="K751" s="4"/>
      <c r="L751" s="4"/>
      <c r="M751" s="4"/>
      <c r="N751" s="4"/>
    </row>
    <row r="752" spans="1:14" x14ac:dyDescent="0.25">
      <c r="A752" s="4"/>
      <c r="B752" s="4"/>
      <c r="C752" s="4"/>
      <c r="D752" s="4"/>
      <c r="E752" s="4"/>
      <c r="F752" s="4"/>
      <c r="G752" s="4"/>
      <c r="H752" s="4"/>
      <c r="I752" s="4"/>
      <c r="J752" s="32"/>
      <c r="K752" s="4"/>
      <c r="L752" s="4"/>
      <c r="M752" s="4"/>
      <c r="N752" s="4"/>
    </row>
    <row r="753" spans="1:14" x14ac:dyDescent="0.25">
      <c r="A753" s="4"/>
      <c r="B753" s="4"/>
      <c r="C753" s="4"/>
      <c r="D753" s="4"/>
      <c r="E753" s="4"/>
      <c r="F753" s="4"/>
      <c r="G753" s="4"/>
      <c r="H753" s="4"/>
      <c r="I753" s="4"/>
      <c r="J753" s="32"/>
      <c r="K753" s="4"/>
      <c r="L753" s="4"/>
      <c r="M753" s="4"/>
      <c r="N753" s="4"/>
    </row>
    <row r="754" spans="1:14" x14ac:dyDescent="0.25">
      <c r="A754" s="4"/>
      <c r="B754" s="4"/>
      <c r="C754" s="4"/>
      <c r="D754" s="4"/>
      <c r="E754" s="4"/>
      <c r="F754" s="4"/>
      <c r="G754" s="4"/>
      <c r="H754" s="4"/>
      <c r="I754" s="4"/>
      <c r="J754" s="32"/>
      <c r="K754" s="4"/>
      <c r="L754" s="4"/>
      <c r="M754" s="4"/>
      <c r="N754" s="4"/>
    </row>
    <row r="755" spans="1:14" x14ac:dyDescent="0.25">
      <c r="A755" s="4"/>
      <c r="B755" s="4"/>
      <c r="C755" s="4"/>
      <c r="D755" s="4"/>
      <c r="E755" s="4"/>
      <c r="F755" s="4"/>
      <c r="G755" s="4"/>
      <c r="H755" s="4"/>
      <c r="I755" s="4"/>
      <c r="J755" s="32"/>
      <c r="K755" s="4"/>
      <c r="L755" s="4"/>
      <c r="M755" s="4"/>
      <c r="N755" s="4"/>
    </row>
    <row r="756" spans="1:14" x14ac:dyDescent="0.25">
      <c r="A756" s="4"/>
      <c r="B756" s="4"/>
      <c r="C756" s="4"/>
      <c r="D756" s="4"/>
      <c r="E756" s="4"/>
      <c r="F756" s="4"/>
      <c r="G756" s="4"/>
      <c r="H756" s="4"/>
      <c r="I756" s="4"/>
      <c r="J756" s="32"/>
      <c r="K756" s="4"/>
      <c r="L756" s="4"/>
      <c r="M756" s="4"/>
      <c r="N756" s="4"/>
    </row>
    <row r="757" spans="1:14" x14ac:dyDescent="0.25">
      <c r="A757" s="4"/>
      <c r="B757" s="4"/>
      <c r="C757" s="4"/>
      <c r="D757" s="4"/>
      <c r="E757" s="4"/>
      <c r="F757" s="4"/>
      <c r="G757" s="4"/>
      <c r="H757" s="4"/>
      <c r="I757" s="4"/>
      <c r="J757" s="32"/>
      <c r="K757" s="4"/>
      <c r="L757" s="4"/>
      <c r="M757" s="4"/>
      <c r="N757" s="4"/>
    </row>
    <row r="758" spans="1:14" x14ac:dyDescent="0.25">
      <c r="A758" s="4"/>
      <c r="B758" s="4"/>
      <c r="C758" s="4"/>
      <c r="D758" s="4"/>
      <c r="E758" s="4"/>
      <c r="F758" s="4"/>
      <c r="G758" s="4"/>
      <c r="H758" s="4"/>
      <c r="I758" s="4"/>
      <c r="J758" s="32"/>
      <c r="K758" s="4"/>
      <c r="L758" s="4"/>
      <c r="M758" s="4"/>
      <c r="N758" s="4"/>
    </row>
    <row r="759" spans="1:14" x14ac:dyDescent="0.25">
      <c r="A759" s="4"/>
      <c r="B759" s="4"/>
      <c r="C759" s="4"/>
      <c r="D759" s="4"/>
      <c r="E759" s="4"/>
      <c r="F759" s="4"/>
      <c r="G759" s="4"/>
      <c r="H759" s="4"/>
      <c r="I759" s="4"/>
      <c r="J759" s="32"/>
      <c r="K759" s="4"/>
      <c r="L759" s="4"/>
      <c r="M759" s="4"/>
      <c r="N759" s="4"/>
    </row>
    <row r="760" spans="1:14" x14ac:dyDescent="0.25">
      <c r="A760" s="4"/>
      <c r="B760" s="4"/>
      <c r="C760" s="4"/>
      <c r="D760" s="4"/>
      <c r="E760" s="4"/>
      <c r="F760" s="4"/>
      <c r="G760" s="4"/>
      <c r="H760" s="4"/>
      <c r="I760" s="4"/>
      <c r="J760" s="32"/>
      <c r="K760" s="4"/>
      <c r="L760" s="4"/>
      <c r="M760" s="4"/>
      <c r="N760" s="4"/>
    </row>
    <row r="761" spans="1:14" x14ac:dyDescent="0.25">
      <c r="A761" s="4"/>
      <c r="B761" s="4"/>
      <c r="C761" s="4"/>
      <c r="D761" s="4"/>
      <c r="E761" s="4"/>
      <c r="F761" s="4"/>
      <c r="G761" s="4"/>
      <c r="H761" s="4"/>
      <c r="I761" s="4"/>
      <c r="J761" s="32"/>
      <c r="K761" s="4"/>
      <c r="L761" s="4"/>
      <c r="M761" s="4"/>
      <c r="N761" s="4"/>
    </row>
    <row r="762" spans="1:14" x14ac:dyDescent="0.25">
      <c r="A762" s="4"/>
      <c r="B762" s="4"/>
      <c r="C762" s="4"/>
      <c r="D762" s="4"/>
      <c r="E762" s="4"/>
      <c r="F762" s="4"/>
      <c r="G762" s="4"/>
      <c r="H762" s="4"/>
      <c r="I762" s="4"/>
      <c r="J762" s="32"/>
      <c r="K762" s="4"/>
      <c r="L762" s="4"/>
      <c r="M762" s="4"/>
      <c r="N762" s="4"/>
    </row>
    <row r="763" spans="1:14" x14ac:dyDescent="0.25">
      <c r="A763" s="4"/>
      <c r="B763" s="4"/>
      <c r="C763" s="4"/>
      <c r="D763" s="4"/>
      <c r="E763" s="4"/>
      <c r="F763" s="4"/>
      <c r="G763" s="4"/>
      <c r="H763" s="4"/>
      <c r="I763" s="4"/>
      <c r="J763" s="32"/>
      <c r="K763" s="4"/>
      <c r="L763" s="4"/>
      <c r="M763" s="4"/>
      <c r="N763" s="4"/>
    </row>
    <row r="764" spans="1:14" x14ac:dyDescent="0.25">
      <c r="A764" s="4"/>
      <c r="B764" s="4"/>
      <c r="C764" s="4"/>
      <c r="D764" s="4"/>
      <c r="E764" s="4"/>
      <c r="F764" s="4"/>
      <c r="G764" s="4"/>
      <c r="H764" s="4"/>
      <c r="I764" s="4"/>
      <c r="J764" s="32"/>
      <c r="K764" s="4"/>
      <c r="L764" s="4"/>
      <c r="M764" s="4"/>
      <c r="N764" s="4"/>
    </row>
    <row r="765" spans="1:14" x14ac:dyDescent="0.25">
      <c r="A765" s="4"/>
      <c r="B765" s="4"/>
      <c r="C765" s="4"/>
      <c r="D765" s="4"/>
      <c r="E765" s="4"/>
      <c r="F765" s="4"/>
      <c r="G765" s="4"/>
      <c r="H765" s="4"/>
      <c r="I765" s="4"/>
      <c r="J765" s="32"/>
      <c r="K765" s="4"/>
      <c r="L765" s="4"/>
      <c r="M765" s="4"/>
      <c r="N765" s="4"/>
    </row>
    <row r="766" spans="1:14" x14ac:dyDescent="0.25">
      <c r="A766" s="4"/>
      <c r="B766" s="4"/>
      <c r="C766" s="4"/>
      <c r="D766" s="4"/>
      <c r="E766" s="4"/>
      <c r="F766" s="4"/>
      <c r="G766" s="4"/>
      <c r="H766" s="4"/>
      <c r="I766" s="4"/>
      <c r="J766" s="32"/>
      <c r="K766" s="4"/>
      <c r="L766" s="4"/>
      <c r="M766" s="4"/>
      <c r="N766" s="4"/>
    </row>
    <row r="767" spans="1:14" x14ac:dyDescent="0.25">
      <c r="A767" s="4"/>
      <c r="B767" s="4"/>
      <c r="C767" s="4"/>
      <c r="D767" s="4"/>
      <c r="E767" s="4"/>
      <c r="F767" s="4"/>
      <c r="G767" s="4"/>
      <c r="H767" s="4"/>
      <c r="I767" s="4"/>
      <c r="J767" s="32"/>
      <c r="K767" s="4"/>
      <c r="L767" s="4"/>
      <c r="M767" s="4"/>
      <c r="N767" s="4"/>
    </row>
    <row r="768" spans="1:14" x14ac:dyDescent="0.25">
      <c r="A768" s="4"/>
      <c r="B768" s="4"/>
      <c r="C768" s="4"/>
      <c r="D768" s="4"/>
      <c r="E768" s="4"/>
      <c r="F768" s="4"/>
      <c r="G768" s="4"/>
      <c r="H768" s="4"/>
      <c r="I768" s="4"/>
      <c r="J768" s="32"/>
      <c r="K768" s="4"/>
      <c r="L768" s="4"/>
      <c r="M768" s="4"/>
      <c r="N768" s="4"/>
    </row>
    <row r="769" spans="1:14" x14ac:dyDescent="0.25">
      <c r="A769" s="4"/>
      <c r="B769" s="4"/>
      <c r="C769" s="4"/>
      <c r="D769" s="4"/>
      <c r="E769" s="4"/>
      <c r="F769" s="4"/>
      <c r="G769" s="4"/>
      <c r="H769" s="4"/>
      <c r="I769" s="4"/>
      <c r="J769" s="32"/>
      <c r="K769" s="4"/>
      <c r="L769" s="4"/>
      <c r="M769" s="4"/>
      <c r="N769" s="4"/>
    </row>
    <row r="770" spans="1:14" x14ac:dyDescent="0.25">
      <c r="A770" s="4"/>
      <c r="B770" s="4"/>
      <c r="C770" s="4"/>
      <c r="D770" s="4"/>
      <c r="E770" s="4"/>
      <c r="F770" s="4"/>
      <c r="G770" s="4"/>
      <c r="H770" s="4"/>
      <c r="I770" s="4"/>
      <c r="J770" s="32"/>
      <c r="K770" s="4"/>
      <c r="L770" s="4"/>
      <c r="M770" s="4"/>
      <c r="N770" s="4"/>
    </row>
    <row r="771" spans="1:14" x14ac:dyDescent="0.25">
      <c r="A771" s="4"/>
      <c r="B771" s="4"/>
      <c r="C771" s="4"/>
      <c r="D771" s="4"/>
      <c r="E771" s="4"/>
      <c r="F771" s="4"/>
      <c r="G771" s="4"/>
      <c r="H771" s="4"/>
      <c r="I771" s="4"/>
      <c r="J771" s="32"/>
      <c r="K771" s="4"/>
      <c r="L771" s="4"/>
      <c r="M771" s="4"/>
      <c r="N771" s="4"/>
    </row>
    <row r="772" spans="1:14" x14ac:dyDescent="0.25">
      <c r="A772" s="4"/>
      <c r="B772" s="4"/>
      <c r="C772" s="4"/>
      <c r="D772" s="4"/>
      <c r="E772" s="4"/>
      <c r="F772" s="4"/>
      <c r="G772" s="4"/>
      <c r="H772" s="4"/>
      <c r="I772" s="4"/>
      <c r="J772" s="32"/>
      <c r="K772" s="4"/>
      <c r="L772" s="4"/>
      <c r="M772" s="4"/>
      <c r="N772" s="4"/>
    </row>
    <row r="773" spans="1:14" x14ac:dyDescent="0.25">
      <c r="A773" s="4"/>
      <c r="B773" s="4"/>
      <c r="C773" s="4"/>
      <c r="D773" s="4"/>
      <c r="E773" s="4"/>
      <c r="F773" s="4"/>
      <c r="G773" s="4"/>
      <c r="H773" s="4"/>
      <c r="I773" s="4"/>
      <c r="J773" s="32"/>
      <c r="K773" s="4"/>
      <c r="L773" s="4"/>
      <c r="M773" s="4"/>
      <c r="N773" s="4"/>
    </row>
    <row r="774" spans="1:14" x14ac:dyDescent="0.25">
      <c r="A774" s="4"/>
      <c r="B774" s="4"/>
      <c r="C774" s="4"/>
      <c r="D774" s="4"/>
      <c r="E774" s="4"/>
      <c r="F774" s="4"/>
      <c r="G774" s="4"/>
      <c r="H774" s="4"/>
      <c r="I774" s="4"/>
      <c r="J774" s="32"/>
      <c r="K774" s="4"/>
      <c r="L774" s="4"/>
      <c r="M774" s="4"/>
      <c r="N774" s="4"/>
    </row>
    <row r="775" spans="1:14" x14ac:dyDescent="0.25">
      <c r="A775" s="4"/>
      <c r="B775" s="4"/>
      <c r="C775" s="4"/>
      <c r="D775" s="4"/>
      <c r="E775" s="4"/>
      <c r="F775" s="4"/>
      <c r="G775" s="4"/>
      <c r="H775" s="4"/>
      <c r="I775" s="4"/>
      <c r="J775" s="32"/>
      <c r="K775" s="4"/>
      <c r="L775" s="4"/>
      <c r="M775" s="4"/>
      <c r="N775" s="4"/>
    </row>
    <row r="776" spans="1:14" x14ac:dyDescent="0.25">
      <c r="A776" s="4"/>
      <c r="B776" s="4"/>
      <c r="C776" s="4"/>
      <c r="D776" s="4"/>
      <c r="E776" s="4"/>
      <c r="F776" s="4"/>
      <c r="G776" s="4"/>
      <c r="H776" s="4"/>
      <c r="I776" s="4"/>
      <c r="J776" s="32"/>
      <c r="K776" s="4"/>
      <c r="L776" s="4"/>
      <c r="M776" s="4"/>
      <c r="N776" s="4"/>
    </row>
    <row r="777" spans="1:14" x14ac:dyDescent="0.25">
      <c r="A777" s="4"/>
      <c r="B777" s="4"/>
      <c r="C777" s="4"/>
      <c r="D777" s="4"/>
      <c r="E777" s="4"/>
      <c r="F777" s="4"/>
      <c r="G777" s="4"/>
      <c r="H777" s="4"/>
      <c r="I777" s="4"/>
      <c r="J777" s="32"/>
      <c r="K777" s="4"/>
      <c r="L777" s="4"/>
      <c r="M777" s="4"/>
      <c r="N777" s="4"/>
    </row>
    <row r="778" spans="1:14" x14ac:dyDescent="0.25">
      <c r="A778" s="4"/>
      <c r="B778" s="4"/>
      <c r="C778" s="4"/>
      <c r="D778" s="4"/>
      <c r="E778" s="4"/>
      <c r="F778" s="4"/>
      <c r="G778" s="4"/>
      <c r="H778" s="4"/>
      <c r="I778" s="4"/>
      <c r="J778" s="32"/>
      <c r="K778" s="4"/>
      <c r="L778" s="4"/>
      <c r="M778" s="4"/>
      <c r="N778" s="4"/>
    </row>
    <row r="779" spans="1:14" x14ac:dyDescent="0.25">
      <c r="A779" s="4"/>
      <c r="B779" s="4"/>
      <c r="C779" s="4"/>
      <c r="D779" s="4"/>
      <c r="E779" s="4"/>
      <c r="F779" s="4"/>
      <c r="G779" s="4"/>
      <c r="H779" s="4"/>
      <c r="I779" s="4"/>
      <c r="J779" s="32"/>
      <c r="K779" s="4"/>
      <c r="L779" s="4"/>
      <c r="M779" s="4"/>
      <c r="N779" s="4"/>
    </row>
    <row r="780" spans="1:14" x14ac:dyDescent="0.25">
      <c r="A780" s="4"/>
      <c r="B780" s="4"/>
      <c r="C780" s="4"/>
      <c r="D780" s="4"/>
      <c r="E780" s="4"/>
      <c r="F780" s="4"/>
      <c r="G780" s="4"/>
      <c r="H780" s="4"/>
      <c r="I780" s="4"/>
      <c r="J780" s="32"/>
      <c r="K780" s="4"/>
      <c r="L780" s="4"/>
      <c r="M780" s="4"/>
      <c r="N780" s="4"/>
    </row>
    <row r="781" spans="1:14" x14ac:dyDescent="0.25">
      <c r="A781" s="4"/>
      <c r="B781" s="4"/>
      <c r="C781" s="4"/>
      <c r="D781" s="4"/>
      <c r="E781" s="4"/>
      <c r="F781" s="4"/>
      <c r="G781" s="4"/>
      <c r="H781" s="4"/>
      <c r="I781" s="4"/>
      <c r="J781" s="32"/>
      <c r="K781" s="4"/>
      <c r="L781" s="4"/>
      <c r="M781" s="4"/>
      <c r="N781" s="4"/>
    </row>
    <row r="782" spans="1:14" x14ac:dyDescent="0.25">
      <c r="A782" s="4"/>
      <c r="B782" s="4"/>
      <c r="C782" s="4"/>
      <c r="D782" s="4"/>
      <c r="E782" s="4"/>
      <c r="F782" s="4"/>
      <c r="G782" s="4"/>
      <c r="H782" s="4"/>
      <c r="I782" s="4"/>
      <c r="J782" s="32"/>
      <c r="K782" s="4"/>
      <c r="L782" s="4"/>
      <c r="M782" s="4"/>
      <c r="N782" s="4"/>
    </row>
    <row r="783" spans="1:14" x14ac:dyDescent="0.25">
      <c r="A783" s="4"/>
      <c r="B783" s="4"/>
      <c r="C783" s="4"/>
      <c r="D783" s="4"/>
      <c r="E783" s="4"/>
      <c r="F783" s="4"/>
      <c r="G783" s="4"/>
      <c r="H783" s="4"/>
      <c r="I783" s="4"/>
      <c r="J783" s="32"/>
      <c r="K783" s="4"/>
      <c r="L783" s="4"/>
      <c r="M783" s="4"/>
      <c r="N783" s="4"/>
    </row>
    <row r="784" spans="1:14" x14ac:dyDescent="0.25">
      <c r="A784" s="4"/>
      <c r="B784" s="4"/>
      <c r="C784" s="4"/>
      <c r="D784" s="4"/>
      <c r="E784" s="4"/>
      <c r="F784" s="4"/>
      <c r="G784" s="4"/>
      <c r="H784" s="4"/>
      <c r="I784" s="4"/>
      <c r="J784" s="32"/>
      <c r="K784" s="4"/>
      <c r="L784" s="4"/>
      <c r="M784" s="4"/>
      <c r="N784" s="4"/>
    </row>
    <row r="785" spans="1:14" x14ac:dyDescent="0.25">
      <c r="A785" s="4"/>
      <c r="B785" s="4"/>
      <c r="C785" s="4"/>
      <c r="D785" s="4"/>
      <c r="E785" s="4"/>
      <c r="F785" s="4"/>
      <c r="G785" s="4"/>
      <c r="H785" s="4"/>
      <c r="I785" s="4"/>
      <c r="J785" s="32"/>
      <c r="K785" s="4"/>
      <c r="L785" s="4"/>
      <c r="M785" s="4"/>
      <c r="N785" s="4"/>
    </row>
    <row r="786" spans="1:14" x14ac:dyDescent="0.25">
      <c r="A786" s="4"/>
      <c r="B786" s="4"/>
      <c r="C786" s="4"/>
      <c r="D786" s="4"/>
      <c r="E786" s="4"/>
      <c r="F786" s="4"/>
      <c r="G786" s="4"/>
      <c r="H786" s="4"/>
      <c r="I786" s="4"/>
      <c r="J786" s="32"/>
      <c r="K786" s="4"/>
      <c r="L786" s="4"/>
      <c r="M786" s="4"/>
      <c r="N786" s="4"/>
    </row>
    <row r="787" spans="1:14" x14ac:dyDescent="0.25">
      <c r="A787" s="4"/>
      <c r="B787" s="4"/>
      <c r="C787" s="4"/>
      <c r="D787" s="4"/>
      <c r="E787" s="4"/>
      <c r="F787" s="4"/>
      <c r="G787" s="4"/>
      <c r="H787" s="4"/>
      <c r="I787" s="4"/>
      <c r="J787" s="32"/>
      <c r="K787" s="4"/>
      <c r="L787" s="4"/>
      <c r="M787" s="4"/>
      <c r="N787" s="4"/>
    </row>
    <row r="788" spans="1:14" x14ac:dyDescent="0.25">
      <c r="A788" s="4"/>
      <c r="B788" s="4"/>
      <c r="C788" s="4"/>
      <c r="D788" s="4"/>
      <c r="E788" s="4"/>
      <c r="F788" s="4"/>
      <c r="G788" s="4"/>
      <c r="H788" s="4"/>
      <c r="I788" s="4"/>
      <c r="J788" s="32"/>
      <c r="K788" s="4"/>
      <c r="L788" s="4"/>
      <c r="M788" s="4"/>
      <c r="N788" s="4"/>
    </row>
    <row r="789" spans="1:14" x14ac:dyDescent="0.25">
      <c r="A789" s="4"/>
      <c r="B789" s="4"/>
      <c r="C789" s="4"/>
      <c r="D789" s="4"/>
      <c r="E789" s="4"/>
      <c r="F789" s="4"/>
      <c r="G789" s="4"/>
      <c r="H789" s="4"/>
      <c r="I789" s="4"/>
      <c r="J789" s="32"/>
      <c r="K789" s="4"/>
      <c r="L789" s="4"/>
      <c r="M789" s="4"/>
      <c r="N789" s="4"/>
    </row>
    <row r="790" spans="1:14" x14ac:dyDescent="0.25">
      <c r="A790" s="4"/>
      <c r="B790" s="4"/>
      <c r="C790" s="4"/>
      <c r="D790" s="4"/>
      <c r="E790" s="4"/>
      <c r="F790" s="4"/>
      <c r="G790" s="4"/>
      <c r="H790" s="4"/>
      <c r="I790" s="4"/>
      <c r="J790" s="32"/>
      <c r="K790" s="4"/>
      <c r="L790" s="4"/>
      <c r="M790" s="4"/>
      <c r="N790" s="4"/>
    </row>
    <row r="791" spans="1:14" x14ac:dyDescent="0.25">
      <c r="A791" s="4"/>
      <c r="B791" s="4"/>
      <c r="C791" s="4"/>
      <c r="D791" s="4"/>
      <c r="E791" s="4"/>
      <c r="F791" s="4"/>
      <c r="G791" s="4"/>
      <c r="H791" s="4"/>
      <c r="I791" s="4"/>
      <c r="J791" s="32"/>
      <c r="K791" s="4"/>
      <c r="L791" s="4"/>
      <c r="M791" s="4"/>
      <c r="N791" s="4"/>
    </row>
    <row r="792" spans="1:14" x14ac:dyDescent="0.25">
      <c r="A792" s="4"/>
      <c r="B792" s="4"/>
      <c r="C792" s="4"/>
      <c r="D792" s="4"/>
      <c r="E792" s="4"/>
      <c r="F792" s="4"/>
      <c r="G792" s="4"/>
      <c r="H792" s="4"/>
      <c r="I792" s="4"/>
      <c r="J792" s="32"/>
      <c r="K792" s="4"/>
      <c r="L792" s="4"/>
      <c r="M792" s="4"/>
      <c r="N792" s="4"/>
    </row>
    <row r="793" spans="1:14" x14ac:dyDescent="0.25">
      <c r="A793" s="4"/>
      <c r="B793" s="4"/>
      <c r="C793" s="4"/>
      <c r="D793" s="4"/>
      <c r="E793" s="4"/>
      <c r="F793" s="4"/>
      <c r="G793" s="4"/>
      <c r="H793" s="4"/>
      <c r="I793" s="4"/>
      <c r="J793" s="32"/>
      <c r="K793" s="4"/>
      <c r="L793" s="4"/>
      <c r="M793" s="4"/>
      <c r="N793" s="4"/>
    </row>
    <row r="794" spans="1:14" x14ac:dyDescent="0.25">
      <c r="A794" s="4"/>
      <c r="B794" s="4"/>
      <c r="C794" s="4"/>
      <c r="D794" s="4"/>
      <c r="E794" s="4"/>
      <c r="F794" s="4"/>
      <c r="G794" s="4"/>
      <c r="H794" s="4"/>
      <c r="I794" s="4"/>
      <c r="J794" s="32"/>
      <c r="K794" s="4"/>
      <c r="L794" s="4"/>
      <c r="M794" s="4"/>
      <c r="N794" s="4"/>
    </row>
    <row r="795" spans="1:14" x14ac:dyDescent="0.25">
      <c r="A795" s="4"/>
      <c r="B795" s="4"/>
      <c r="C795" s="4"/>
      <c r="D795" s="4"/>
      <c r="E795" s="4"/>
      <c r="F795" s="4"/>
      <c r="G795" s="4"/>
      <c r="H795" s="4"/>
      <c r="I795" s="4"/>
      <c r="J795" s="32"/>
      <c r="K795" s="4"/>
      <c r="L795" s="4"/>
      <c r="M795" s="4"/>
      <c r="N795" s="4"/>
    </row>
    <row r="796" spans="1:14" x14ac:dyDescent="0.25">
      <c r="A796" s="4"/>
      <c r="B796" s="4"/>
      <c r="C796" s="4"/>
      <c r="D796" s="4"/>
      <c r="E796" s="4"/>
      <c r="F796" s="4"/>
      <c r="G796" s="4"/>
      <c r="H796" s="4"/>
      <c r="I796" s="4"/>
      <c r="J796" s="32"/>
      <c r="K796" s="4"/>
      <c r="L796" s="4"/>
      <c r="M796" s="4"/>
      <c r="N796" s="4"/>
    </row>
    <row r="797" spans="1:14" x14ac:dyDescent="0.25">
      <c r="A797" s="4"/>
      <c r="B797" s="4"/>
      <c r="C797" s="4"/>
      <c r="D797" s="4"/>
      <c r="E797" s="4"/>
      <c r="F797" s="4"/>
      <c r="G797" s="4"/>
      <c r="H797" s="4"/>
      <c r="I797" s="4"/>
      <c r="J797" s="32"/>
      <c r="K797" s="4"/>
      <c r="L797" s="4"/>
      <c r="M797" s="4"/>
      <c r="N797" s="4"/>
    </row>
    <row r="798" spans="1:14" x14ac:dyDescent="0.25">
      <c r="A798" s="4"/>
      <c r="B798" s="4"/>
      <c r="C798" s="4"/>
      <c r="D798" s="4"/>
      <c r="E798" s="4"/>
      <c r="F798" s="4"/>
      <c r="G798" s="4"/>
      <c r="H798" s="4"/>
      <c r="I798" s="4"/>
      <c r="J798" s="32"/>
      <c r="K798" s="4"/>
      <c r="L798" s="4"/>
      <c r="M798" s="4"/>
      <c r="N798" s="4"/>
    </row>
    <row r="799" spans="1:14" x14ac:dyDescent="0.25">
      <c r="A799" s="4"/>
      <c r="B799" s="4"/>
      <c r="C799" s="4"/>
      <c r="D799" s="4"/>
      <c r="E799" s="4"/>
      <c r="F799" s="4"/>
      <c r="G799" s="4"/>
      <c r="H799" s="4"/>
      <c r="I799" s="4"/>
      <c r="J799" s="32"/>
      <c r="K799" s="4"/>
      <c r="L799" s="4"/>
      <c r="M799" s="4"/>
      <c r="N799" s="4"/>
    </row>
    <row r="800" spans="1:14" x14ac:dyDescent="0.25">
      <c r="A800" s="4"/>
      <c r="B800" s="4"/>
      <c r="C800" s="4"/>
      <c r="D800" s="4"/>
      <c r="E800" s="4"/>
      <c r="F800" s="4"/>
      <c r="G800" s="4"/>
      <c r="H800" s="4"/>
      <c r="I800" s="4"/>
      <c r="J800" s="32"/>
      <c r="K800" s="4"/>
      <c r="L800" s="4"/>
      <c r="M800" s="4"/>
      <c r="N800" s="4"/>
    </row>
    <row r="801" spans="1:14" x14ac:dyDescent="0.25">
      <c r="A801" s="4"/>
      <c r="B801" s="4"/>
      <c r="C801" s="4"/>
      <c r="D801" s="4"/>
      <c r="E801" s="4"/>
      <c r="F801" s="4"/>
      <c r="G801" s="4"/>
      <c r="H801" s="4"/>
      <c r="I801" s="4"/>
      <c r="J801" s="32"/>
      <c r="K801" s="4"/>
      <c r="L801" s="4"/>
      <c r="M801" s="4"/>
      <c r="N801" s="4"/>
    </row>
    <row r="802" spans="1:14" x14ac:dyDescent="0.25">
      <c r="A802" s="4"/>
      <c r="B802" s="4"/>
      <c r="C802" s="4"/>
      <c r="D802" s="4"/>
      <c r="E802" s="4"/>
      <c r="F802" s="4"/>
      <c r="G802" s="4"/>
      <c r="H802" s="4"/>
      <c r="I802" s="4"/>
      <c r="J802" s="32"/>
      <c r="K802" s="4"/>
      <c r="L802" s="4"/>
      <c r="M802" s="4"/>
      <c r="N802" s="4"/>
    </row>
    <row r="803" spans="1:14" x14ac:dyDescent="0.25">
      <c r="A803" s="4"/>
      <c r="B803" s="4"/>
      <c r="C803" s="4"/>
      <c r="D803" s="4"/>
      <c r="E803" s="4"/>
      <c r="F803" s="4"/>
      <c r="G803" s="4"/>
      <c r="H803" s="4"/>
      <c r="I803" s="4"/>
      <c r="J803" s="32"/>
      <c r="K803" s="4"/>
      <c r="L803" s="4"/>
      <c r="M803" s="4"/>
      <c r="N803" s="4"/>
    </row>
    <row r="804" spans="1:14" x14ac:dyDescent="0.25">
      <c r="A804" s="4"/>
      <c r="B804" s="4"/>
      <c r="C804" s="4"/>
      <c r="D804" s="4"/>
      <c r="E804" s="4"/>
      <c r="F804" s="4"/>
      <c r="G804" s="4"/>
      <c r="H804" s="4"/>
      <c r="I804" s="4"/>
      <c r="J804" s="32"/>
      <c r="K804" s="4"/>
      <c r="L804" s="4"/>
      <c r="M804" s="4"/>
      <c r="N804" s="4"/>
    </row>
    <row r="805" spans="1:14" x14ac:dyDescent="0.25">
      <c r="A805" s="4"/>
      <c r="B805" s="4"/>
      <c r="C805" s="4"/>
      <c r="D805" s="4"/>
      <c r="E805" s="4"/>
      <c r="F805" s="4"/>
      <c r="G805" s="4"/>
      <c r="H805" s="4"/>
      <c r="I805" s="4"/>
      <c r="J805" s="32"/>
      <c r="K805" s="4"/>
      <c r="L805" s="4"/>
      <c r="M805" s="4"/>
      <c r="N805" s="4"/>
    </row>
    <row r="806" spans="1:14" x14ac:dyDescent="0.25">
      <c r="A806" s="4"/>
      <c r="B806" s="4"/>
      <c r="C806" s="4"/>
      <c r="D806" s="4"/>
      <c r="E806" s="4"/>
      <c r="F806" s="4"/>
      <c r="G806" s="4"/>
      <c r="H806" s="4"/>
      <c r="I806" s="4"/>
      <c r="J806" s="32"/>
      <c r="K806" s="4"/>
      <c r="L806" s="4"/>
      <c r="M806" s="4"/>
      <c r="N806" s="4"/>
    </row>
    <row r="807" spans="1:14" x14ac:dyDescent="0.25">
      <c r="A807" s="4"/>
      <c r="B807" s="4"/>
      <c r="C807" s="4"/>
      <c r="D807" s="4"/>
      <c r="E807" s="4"/>
      <c r="F807" s="4"/>
      <c r="G807" s="4"/>
      <c r="H807" s="4"/>
      <c r="I807" s="4"/>
      <c r="J807" s="32"/>
      <c r="K807" s="4"/>
      <c r="L807" s="4"/>
      <c r="M807" s="4"/>
      <c r="N807" s="4"/>
    </row>
    <row r="808" spans="1:14" x14ac:dyDescent="0.25">
      <c r="A808" s="4"/>
      <c r="B808" s="4"/>
      <c r="C808" s="4"/>
      <c r="D808" s="4"/>
      <c r="E808" s="4"/>
      <c r="F808" s="4"/>
      <c r="G808" s="4"/>
      <c r="H808" s="4"/>
      <c r="I808" s="4"/>
      <c r="J808" s="32"/>
      <c r="K808" s="4"/>
      <c r="L808" s="4"/>
      <c r="M808" s="4"/>
      <c r="N808" s="4"/>
    </row>
    <row r="809" spans="1:14" x14ac:dyDescent="0.25">
      <c r="A809" s="4"/>
      <c r="B809" s="4"/>
      <c r="C809" s="4"/>
      <c r="D809" s="4"/>
      <c r="E809" s="4"/>
      <c r="F809" s="4"/>
      <c r="G809" s="4"/>
      <c r="H809" s="4"/>
      <c r="I809" s="4"/>
      <c r="J809" s="32"/>
      <c r="K809" s="4"/>
      <c r="L809" s="4"/>
      <c r="M809" s="4"/>
      <c r="N809" s="4"/>
    </row>
    <row r="810" spans="1:14" x14ac:dyDescent="0.25">
      <c r="A810" s="4"/>
      <c r="B810" s="4"/>
      <c r="C810" s="4"/>
      <c r="D810" s="4"/>
      <c r="E810" s="4"/>
      <c r="F810" s="4"/>
      <c r="G810" s="4"/>
      <c r="H810" s="4"/>
      <c r="I810" s="4"/>
      <c r="J810" s="32"/>
      <c r="K810" s="4"/>
      <c r="L810" s="4"/>
      <c r="M810" s="4"/>
      <c r="N810" s="4"/>
    </row>
    <row r="811" spans="1:14" x14ac:dyDescent="0.25">
      <c r="A811" s="4"/>
      <c r="B811" s="4"/>
      <c r="C811" s="4"/>
      <c r="D811" s="4"/>
      <c r="E811" s="4"/>
      <c r="F811" s="4"/>
      <c r="G811" s="4"/>
      <c r="H811" s="4"/>
      <c r="I811" s="4"/>
      <c r="J811" s="32"/>
      <c r="K811" s="4"/>
      <c r="L811" s="4"/>
      <c r="M811" s="4"/>
      <c r="N811" s="4"/>
    </row>
    <row r="812" spans="1:14" x14ac:dyDescent="0.25">
      <c r="A812" s="4"/>
      <c r="B812" s="4"/>
      <c r="C812" s="4"/>
      <c r="D812" s="4"/>
      <c r="E812" s="4"/>
      <c r="F812" s="4"/>
      <c r="G812" s="4"/>
      <c r="H812" s="4"/>
      <c r="I812" s="4"/>
      <c r="J812" s="32"/>
      <c r="K812" s="4"/>
      <c r="L812" s="4"/>
      <c r="M812" s="4"/>
      <c r="N812" s="4"/>
    </row>
    <row r="813" spans="1:14" x14ac:dyDescent="0.25">
      <c r="A813" s="4"/>
      <c r="B813" s="4"/>
      <c r="C813" s="4"/>
      <c r="D813" s="4"/>
      <c r="E813" s="4"/>
      <c r="F813" s="4"/>
      <c r="G813" s="4"/>
      <c r="H813" s="4"/>
      <c r="I813" s="4"/>
      <c r="J813" s="32"/>
      <c r="K813" s="4"/>
      <c r="L813" s="4"/>
      <c r="M813" s="4"/>
      <c r="N813" s="4"/>
    </row>
    <row r="814" spans="1:14" x14ac:dyDescent="0.25">
      <c r="A814" s="4"/>
      <c r="B814" s="4"/>
      <c r="C814" s="4"/>
      <c r="D814" s="4"/>
      <c r="E814" s="4"/>
      <c r="F814" s="4"/>
      <c r="G814" s="4"/>
      <c r="H814" s="4"/>
      <c r="I814" s="4"/>
      <c r="J814" s="32"/>
      <c r="K814" s="4"/>
      <c r="L814" s="4"/>
      <c r="M814" s="4"/>
      <c r="N814" s="4"/>
    </row>
    <row r="815" spans="1:14" x14ac:dyDescent="0.25">
      <c r="A815" s="4"/>
      <c r="B815" s="4"/>
      <c r="C815" s="4"/>
      <c r="D815" s="4"/>
      <c r="E815" s="4"/>
      <c r="F815" s="4"/>
      <c r="G815" s="4"/>
      <c r="H815" s="4"/>
      <c r="I815" s="4"/>
      <c r="J815" s="32"/>
      <c r="K815" s="4"/>
      <c r="L815" s="4"/>
      <c r="M815" s="4"/>
      <c r="N815" s="4"/>
    </row>
    <row r="816" spans="1:14" x14ac:dyDescent="0.25">
      <c r="A816" s="4"/>
      <c r="B816" s="4"/>
      <c r="C816" s="4"/>
      <c r="D816" s="4"/>
      <c r="E816" s="4"/>
      <c r="F816" s="4"/>
      <c r="G816" s="4"/>
      <c r="H816" s="4"/>
      <c r="I816" s="4"/>
      <c r="J816" s="32"/>
      <c r="K816" s="4"/>
      <c r="L816" s="4"/>
      <c r="M816" s="4"/>
      <c r="N816" s="4"/>
    </row>
    <row r="817" spans="1:14" x14ac:dyDescent="0.25">
      <c r="A817" s="4"/>
      <c r="B817" s="4"/>
      <c r="C817" s="4"/>
      <c r="D817" s="4"/>
      <c r="E817" s="4"/>
      <c r="F817" s="4"/>
      <c r="G817" s="4"/>
      <c r="H817" s="4"/>
      <c r="I817" s="4"/>
      <c r="J817" s="32"/>
      <c r="K817" s="4"/>
      <c r="L817" s="4"/>
      <c r="M817" s="4"/>
      <c r="N817" s="4"/>
    </row>
    <row r="818" spans="1:14" x14ac:dyDescent="0.25">
      <c r="A818" s="4"/>
      <c r="B818" s="4"/>
      <c r="C818" s="4"/>
      <c r="D818" s="4"/>
      <c r="E818" s="4"/>
      <c r="F818" s="4"/>
      <c r="G818" s="4"/>
      <c r="H818" s="4"/>
      <c r="I818" s="4"/>
      <c r="J818" s="32"/>
      <c r="K818" s="4"/>
      <c r="L818" s="4"/>
      <c r="M818" s="4"/>
      <c r="N818" s="4"/>
    </row>
    <row r="819" spans="1:14" x14ac:dyDescent="0.25">
      <c r="A819" s="4"/>
      <c r="B819" s="4"/>
      <c r="C819" s="4"/>
      <c r="D819" s="4"/>
      <c r="E819" s="4"/>
      <c r="F819" s="4"/>
      <c r="G819" s="4"/>
      <c r="H819" s="4"/>
      <c r="I819" s="4"/>
      <c r="J819" s="32"/>
      <c r="K819" s="4"/>
      <c r="L819" s="4"/>
      <c r="M819" s="4"/>
      <c r="N819" s="4"/>
    </row>
    <row r="820" spans="1:14" x14ac:dyDescent="0.25">
      <c r="A820" s="4"/>
      <c r="B820" s="4"/>
      <c r="C820" s="4"/>
      <c r="D820" s="4"/>
      <c r="E820" s="4"/>
      <c r="F820" s="4"/>
      <c r="G820" s="4"/>
      <c r="H820" s="4"/>
      <c r="I820" s="4"/>
      <c r="J820" s="32"/>
      <c r="K820" s="4"/>
      <c r="L820" s="4"/>
      <c r="M820" s="4"/>
      <c r="N820" s="4"/>
    </row>
    <row r="821" spans="1:14" x14ac:dyDescent="0.25">
      <c r="A821" s="4"/>
      <c r="B821" s="4"/>
      <c r="C821" s="4"/>
      <c r="D821" s="4"/>
      <c r="E821" s="4"/>
      <c r="F821" s="4"/>
      <c r="G821" s="4"/>
      <c r="H821" s="4"/>
      <c r="I821" s="4"/>
      <c r="J821" s="32"/>
      <c r="K821" s="4"/>
      <c r="L821" s="4"/>
      <c r="M821" s="4"/>
      <c r="N821" s="4"/>
    </row>
    <row r="822" spans="1:14" x14ac:dyDescent="0.25">
      <c r="A822" s="4"/>
      <c r="B822" s="4"/>
      <c r="C822" s="4"/>
      <c r="D822" s="4"/>
      <c r="E822" s="4"/>
      <c r="F822" s="4"/>
      <c r="G822" s="4"/>
      <c r="H822" s="4"/>
      <c r="I822" s="4"/>
      <c r="J822" s="32"/>
      <c r="K822" s="4"/>
      <c r="L822" s="4"/>
      <c r="M822" s="4"/>
      <c r="N822" s="4"/>
    </row>
    <row r="823" spans="1:14" x14ac:dyDescent="0.25">
      <c r="A823" s="4"/>
      <c r="B823" s="4"/>
      <c r="C823" s="4"/>
      <c r="D823" s="4"/>
      <c r="E823" s="4"/>
      <c r="F823" s="4"/>
      <c r="G823" s="4"/>
      <c r="H823" s="4"/>
      <c r="I823" s="4"/>
      <c r="J823" s="32"/>
      <c r="K823" s="4"/>
      <c r="L823" s="4"/>
      <c r="M823" s="4"/>
      <c r="N823" s="4"/>
    </row>
    <row r="824" spans="1:14" x14ac:dyDescent="0.25">
      <c r="A824" s="4"/>
      <c r="B824" s="4"/>
      <c r="C824" s="4"/>
      <c r="D824" s="4"/>
      <c r="E824" s="4"/>
      <c r="F824" s="4"/>
      <c r="G824" s="4"/>
      <c r="H824" s="4"/>
      <c r="I824" s="4"/>
      <c r="J824" s="32"/>
      <c r="K824" s="4"/>
      <c r="L824" s="4"/>
      <c r="M824" s="4"/>
      <c r="N824" s="4"/>
    </row>
    <row r="825" spans="1:14" x14ac:dyDescent="0.25">
      <c r="A825" s="4"/>
      <c r="B825" s="4"/>
      <c r="C825" s="4"/>
      <c r="D825" s="4"/>
      <c r="E825" s="4"/>
      <c r="F825" s="4"/>
      <c r="G825" s="4"/>
      <c r="H825" s="4"/>
      <c r="I825" s="4"/>
      <c r="J825" s="32"/>
      <c r="K825" s="4"/>
      <c r="L825" s="4"/>
      <c r="M825" s="4"/>
      <c r="N825" s="4"/>
    </row>
    <row r="826" spans="1:14" x14ac:dyDescent="0.25">
      <c r="A826" s="4"/>
      <c r="B826" s="4"/>
      <c r="C826" s="4"/>
      <c r="D826" s="4"/>
      <c r="E826" s="4"/>
      <c r="F826" s="4"/>
      <c r="G826" s="4"/>
      <c r="H826" s="4"/>
      <c r="I826" s="4"/>
      <c r="J826" s="32"/>
      <c r="K826" s="4"/>
      <c r="L826" s="4"/>
      <c r="M826" s="4"/>
      <c r="N826" s="4"/>
    </row>
    <row r="827" spans="1:14" x14ac:dyDescent="0.25">
      <c r="A827" s="4"/>
      <c r="B827" s="4"/>
      <c r="C827" s="4"/>
      <c r="D827" s="4"/>
      <c r="E827" s="4"/>
      <c r="F827" s="4"/>
      <c r="G827" s="4"/>
      <c r="H827" s="4"/>
      <c r="I827" s="4"/>
      <c r="J827" s="32"/>
      <c r="K827" s="4"/>
      <c r="L827" s="4"/>
      <c r="M827" s="4"/>
      <c r="N827" s="4"/>
    </row>
    <row r="828" spans="1:14" x14ac:dyDescent="0.25">
      <c r="A828" s="4"/>
      <c r="B828" s="4"/>
      <c r="C828" s="4"/>
      <c r="D828" s="4"/>
      <c r="E828" s="4"/>
      <c r="F828" s="4"/>
      <c r="G828" s="4"/>
      <c r="H828" s="4"/>
      <c r="I828" s="4"/>
      <c r="J828" s="32"/>
      <c r="K828" s="4"/>
      <c r="L828" s="4"/>
      <c r="M828" s="4"/>
      <c r="N828" s="4"/>
    </row>
    <row r="829" spans="1:14" x14ac:dyDescent="0.25">
      <c r="A829" s="4"/>
      <c r="B829" s="4"/>
      <c r="C829" s="4"/>
      <c r="D829" s="4"/>
      <c r="E829" s="4"/>
      <c r="F829" s="4"/>
      <c r="G829" s="4"/>
      <c r="H829" s="4"/>
      <c r="I829" s="4"/>
      <c r="J829" s="32"/>
      <c r="K829" s="4"/>
      <c r="L829" s="4"/>
      <c r="M829" s="4"/>
      <c r="N829" s="4"/>
    </row>
    <row r="830" spans="1:14" x14ac:dyDescent="0.25">
      <c r="A830" s="4"/>
      <c r="B830" s="4"/>
      <c r="C830" s="4"/>
      <c r="D830" s="4"/>
      <c r="E830" s="4"/>
      <c r="F830" s="4"/>
      <c r="G830" s="4"/>
      <c r="H830" s="4"/>
      <c r="I830" s="4"/>
      <c r="J830" s="32"/>
      <c r="K830" s="4"/>
      <c r="L830" s="4"/>
      <c r="M830" s="4"/>
      <c r="N830" s="4"/>
    </row>
    <row r="831" spans="1:14" x14ac:dyDescent="0.25">
      <c r="A831" s="4"/>
      <c r="B831" s="4"/>
      <c r="C831" s="4"/>
      <c r="D831" s="4"/>
      <c r="E831" s="4"/>
      <c r="F831" s="4"/>
      <c r="G831" s="4"/>
      <c r="H831" s="4"/>
      <c r="I831" s="4"/>
      <c r="J831" s="32"/>
      <c r="K831" s="4"/>
      <c r="L831" s="4"/>
      <c r="M831" s="4"/>
      <c r="N831" s="4"/>
    </row>
    <row r="832" spans="1:14" x14ac:dyDescent="0.25">
      <c r="A832" s="4"/>
      <c r="B832" s="4"/>
      <c r="C832" s="4"/>
      <c r="D832" s="4"/>
      <c r="E832" s="4"/>
      <c r="F832" s="4"/>
      <c r="G832" s="4"/>
      <c r="H832" s="4"/>
      <c r="I832" s="4"/>
      <c r="J832" s="32"/>
      <c r="K832" s="4"/>
      <c r="L832" s="4"/>
      <c r="M832" s="4"/>
      <c r="N832" s="4"/>
    </row>
    <row r="833" spans="1:14" x14ac:dyDescent="0.25">
      <c r="A833" s="4"/>
      <c r="B833" s="4"/>
      <c r="C833" s="4"/>
      <c r="D833" s="4"/>
      <c r="E833" s="4"/>
      <c r="F833" s="4"/>
      <c r="G833" s="4"/>
      <c r="H833" s="4"/>
      <c r="I833" s="4"/>
      <c r="J833" s="32"/>
      <c r="K833" s="4"/>
      <c r="L833" s="4"/>
      <c r="M833" s="4"/>
      <c r="N833" s="4"/>
    </row>
    <row r="834" spans="1:14" x14ac:dyDescent="0.25">
      <c r="A834" s="4"/>
      <c r="B834" s="4"/>
      <c r="C834" s="4"/>
      <c r="D834" s="4"/>
      <c r="E834" s="4"/>
      <c r="F834" s="4"/>
      <c r="G834" s="4"/>
      <c r="H834" s="4"/>
      <c r="I834" s="4"/>
      <c r="J834" s="32"/>
      <c r="K834" s="4"/>
      <c r="L834" s="4"/>
      <c r="M834" s="4"/>
      <c r="N834" s="4"/>
    </row>
    <row r="835" spans="1:14" x14ac:dyDescent="0.25">
      <c r="A835" s="4"/>
      <c r="B835" s="4"/>
      <c r="C835" s="4"/>
      <c r="D835" s="4"/>
      <c r="E835" s="4"/>
      <c r="F835" s="4"/>
      <c r="G835" s="4"/>
      <c r="H835" s="4"/>
      <c r="I835" s="4"/>
      <c r="J835" s="32"/>
      <c r="K835" s="4"/>
      <c r="L835" s="4"/>
      <c r="M835" s="4"/>
      <c r="N835" s="4"/>
    </row>
    <row r="836" spans="1:14" x14ac:dyDescent="0.25">
      <c r="A836" s="4"/>
      <c r="B836" s="4"/>
      <c r="C836" s="4"/>
      <c r="D836" s="4"/>
      <c r="E836" s="4"/>
      <c r="F836" s="4"/>
      <c r="G836" s="4"/>
      <c r="H836" s="4"/>
      <c r="I836" s="4"/>
      <c r="J836" s="32"/>
      <c r="K836" s="4"/>
      <c r="L836" s="4"/>
      <c r="M836" s="4"/>
      <c r="N836" s="4"/>
    </row>
    <row r="837" spans="1:14" x14ac:dyDescent="0.25">
      <c r="A837" s="4"/>
      <c r="B837" s="4"/>
      <c r="C837" s="4"/>
      <c r="D837" s="4"/>
      <c r="E837" s="4"/>
      <c r="F837" s="4"/>
      <c r="G837" s="4"/>
      <c r="H837" s="4"/>
      <c r="I837" s="4"/>
      <c r="J837" s="32"/>
      <c r="K837" s="4"/>
      <c r="L837" s="4"/>
      <c r="M837" s="4"/>
      <c r="N837" s="4"/>
    </row>
    <row r="838" spans="1:14" x14ac:dyDescent="0.25">
      <c r="A838" s="4"/>
      <c r="B838" s="4"/>
      <c r="C838" s="4"/>
      <c r="D838" s="4"/>
      <c r="E838" s="4"/>
      <c r="F838" s="4"/>
      <c r="G838" s="4"/>
      <c r="H838" s="4"/>
      <c r="I838" s="4"/>
      <c r="J838" s="32"/>
      <c r="K838" s="4"/>
      <c r="L838" s="4"/>
      <c r="M838" s="4"/>
      <c r="N838" s="4"/>
    </row>
    <row r="839" spans="1:14" x14ac:dyDescent="0.25">
      <c r="A839" s="4"/>
      <c r="B839" s="4"/>
      <c r="C839" s="4"/>
      <c r="D839" s="4"/>
      <c r="E839" s="4"/>
      <c r="F839" s="4"/>
      <c r="G839" s="4"/>
      <c r="H839" s="4"/>
      <c r="I839" s="4"/>
      <c r="J839" s="32"/>
      <c r="K839" s="4"/>
      <c r="L839" s="4"/>
      <c r="M839" s="4"/>
      <c r="N839" s="4"/>
    </row>
    <row r="840" spans="1:14" x14ac:dyDescent="0.25">
      <c r="A840" s="4"/>
      <c r="B840" s="4"/>
      <c r="C840" s="4"/>
      <c r="D840" s="4"/>
      <c r="E840" s="4"/>
      <c r="F840" s="4"/>
      <c r="G840" s="4"/>
      <c r="H840" s="4"/>
      <c r="I840" s="4"/>
      <c r="J840" s="32"/>
      <c r="K840" s="4"/>
      <c r="L840" s="4"/>
      <c r="M840" s="4"/>
      <c r="N840" s="4"/>
    </row>
    <row r="841" spans="1:14" x14ac:dyDescent="0.25">
      <c r="A841" s="4"/>
      <c r="B841" s="4"/>
      <c r="C841" s="4"/>
      <c r="D841" s="4"/>
      <c r="E841" s="4"/>
      <c r="F841" s="4"/>
      <c r="G841" s="4"/>
      <c r="H841" s="4"/>
      <c r="I841" s="4"/>
      <c r="J841" s="32"/>
      <c r="K841" s="4"/>
      <c r="L841" s="4"/>
      <c r="M841" s="4"/>
      <c r="N841" s="4"/>
    </row>
    <row r="842" spans="1:14" x14ac:dyDescent="0.25">
      <c r="A842" s="4"/>
      <c r="B842" s="4"/>
      <c r="C842" s="4"/>
      <c r="D842" s="4"/>
      <c r="E842" s="4"/>
      <c r="F842" s="4"/>
      <c r="G842" s="4"/>
      <c r="H842" s="4"/>
      <c r="I842" s="4"/>
      <c r="J842" s="32"/>
      <c r="K842" s="4"/>
      <c r="L842" s="4"/>
      <c r="M842" s="4"/>
      <c r="N842" s="4"/>
    </row>
    <row r="843" spans="1:14" x14ac:dyDescent="0.25">
      <c r="A843" s="4"/>
      <c r="B843" s="4"/>
      <c r="C843" s="4"/>
      <c r="D843" s="4"/>
      <c r="E843" s="4"/>
      <c r="F843" s="4"/>
      <c r="G843" s="4"/>
      <c r="H843" s="4"/>
      <c r="I843" s="4"/>
      <c r="J843" s="32"/>
      <c r="K843" s="4"/>
      <c r="L843" s="4"/>
      <c r="M843" s="4"/>
      <c r="N843" s="4"/>
    </row>
    <row r="844" spans="1:14" x14ac:dyDescent="0.25">
      <c r="A844" s="4"/>
      <c r="B844" s="4"/>
      <c r="C844" s="4"/>
      <c r="D844" s="4"/>
      <c r="E844" s="4"/>
      <c r="F844" s="4"/>
      <c r="G844" s="4"/>
      <c r="H844" s="4"/>
      <c r="I844" s="4"/>
      <c r="J844" s="32"/>
      <c r="K844" s="4"/>
      <c r="L844" s="4"/>
      <c r="M844" s="4"/>
      <c r="N844" s="4"/>
    </row>
    <row r="845" spans="1:14" x14ac:dyDescent="0.25">
      <c r="A845" s="4"/>
      <c r="B845" s="4"/>
      <c r="C845" s="4"/>
      <c r="D845" s="4"/>
      <c r="E845" s="4"/>
      <c r="F845" s="4"/>
      <c r="G845" s="4"/>
      <c r="H845" s="4"/>
      <c r="I845" s="4"/>
      <c r="J845" s="32"/>
      <c r="K845" s="4"/>
      <c r="L845" s="4"/>
      <c r="M845" s="4"/>
      <c r="N845" s="4"/>
    </row>
    <row r="846" spans="1:14" x14ac:dyDescent="0.25">
      <c r="A846" s="4"/>
      <c r="B846" s="4"/>
      <c r="C846" s="4"/>
      <c r="D846" s="4"/>
      <c r="E846" s="4"/>
      <c r="F846" s="4"/>
      <c r="G846" s="4"/>
      <c r="H846" s="4"/>
      <c r="I846" s="4"/>
      <c r="J846" s="32"/>
      <c r="K846" s="4"/>
      <c r="L846" s="4"/>
      <c r="M846" s="4"/>
      <c r="N846" s="4"/>
    </row>
    <row r="847" spans="1:14" x14ac:dyDescent="0.25">
      <c r="A847" s="4"/>
      <c r="B847" s="4"/>
      <c r="C847" s="4"/>
      <c r="D847" s="4"/>
      <c r="E847" s="4"/>
      <c r="F847" s="4"/>
      <c r="G847" s="4"/>
      <c r="H847" s="4"/>
      <c r="I847" s="4"/>
      <c r="J847" s="32"/>
      <c r="K847" s="4"/>
      <c r="L847" s="4"/>
      <c r="M847" s="4"/>
      <c r="N847" s="4"/>
    </row>
    <row r="848" spans="1:14" x14ac:dyDescent="0.25">
      <c r="A848" s="4"/>
      <c r="B848" s="4"/>
      <c r="C848" s="4"/>
      <c r="D848" s="4"/>
      <c r="E848" s="4"/>
      <c r="F848" s="4"/>
      <c r="G848" s="4"/>
      <c r="H848" s="4"/>
      <c r="I848" s="4"/>
      <c r="J848" s="32"/>
      <c r="K848" s="4"/>
      <c r="L848" s="4"/>
      <c r="M848" s="4"/>
      <c r="N848" s="4"/>
    </row>
    <row r="849" spans="1:14" x14ac:dyDescent="0.25">
      <c r="A849" s="4"/>
      <c r="B849" s="4"/>
      <c r="C849" s="4"/>
      <c r="D849" s="4"/>
      <c r="E849" s="4"/>
      <c r="F849" s="4"/>
      <c r="G849" s="4"/>
      <c r="H849" s="4"/>
      <c r="I849" s="4"/>
      <c r="J849" s="32"/>
      <c r="K849" s="4"/>
      <c r="L849" s="4"/>
      <c r="M849" s="4"/>
      <c r="N849" s="4"/>
    </row>
    <row r="850" spans="1:14" x14ac:dyDescent="0.25">
      <c r="A850" s="4"/>
      <c r="B850" s="4"/>
      <c r="C850" s="4"/>
      <c r="D850" s="4"/>
      <c r="E850" s="4"/>
      <c r="F850" s="4"/>
      <c r="G850" s="4"/>
      <c r="H850" s="4"/>
      <c r="I850" s="4"/>
      <c r="J850" s="32"/>
      <c r="K850" s="4"/>
      <c r="L850" s="4"/>
      <c r="M850" s="4"/>
      <c r="N850" s="4"/>
    </row>
    <row r="851" spans="1:14" x14ac:dyDescent="0.25">
      <c r="A851" s="4"/>
      <c r="B851" s="4"/>
      <c r="C851" s="4"/>
      <c r="D851" s="4"/>
      <c r="E851" s="4"/>
      <c r="F851" s="4"/>
      <c r="G851" s="4"/>
      <c r="H851" s="4"/>
      <c r="I851" s="4"/>
      <c r="J851" s="32"/>
      <c r="K851" s="4"/>
      <c r="L851" s="4"/>
      <c r="M851" s="4"/>
      <c r="N851" s="4"/>
    </row>
    <row r="852" spans="1:14" x14ac:dyDescent="0.25">
      <c r="A852" s="4"/>
      <c r="B852" s="4"/>
      <c r="C852" s="4"/>
      <c r="D852" s="4"/>
      <c r="E852" s="4"/>
      <c r="F852" s="4"/>
      <c r="G852" s="4"/>
      <c r="H852" s="4"/>
      <c r="I852" s="4"/>
      <c r="J852" s="32"/>
      <c r="K852" s="4"/>
      <c r="L852" s="4"/>
      <c r="M852" s="4"/>
      <c r="N852" s="4"/>
    </row>
    <row r="853" spans="1:14" x14ac:dyDescent="0.25">
      <c r="A853" s="4"/>
      <c r="B853" s="4"/>
      <c r="C853" s="4"/>
      <c r="D853" s="4"/>
      <c r="E853" s="4"/>
      <c r="F853" s="4"/>
      <c r="G853" s="4"/>
      <c r="H853" s="4"/>
      <c r="I853" s="4"/>
      <c r="J853" s="32"/>
      <c r="K853" s="4"/>
      <c r="L853" s="4"/>
      <c r="M853" s="4"/>
      <c r="N853" s="4"/>
    </row>
    <row r="854" spans="1:14" x14ac:dyDescent="0.25">
      <c r="A854" s="4"/>
      <c r="B854" s="4"/>
      <c r="C854" s="4"/>
      <c r="D854" s="4"/>
      <c r="E854" s="4"/>
      <c r="F854" s="4"/>
      <c r="G854" s="4"/>
      <c r="H854" s="4"/>
      <c r="I854" s="4"/>
      <c r="J854" s="32"/>
      <c r="K854" s="4"/>
      <c r="L854" s="4"/>
      <c r="M854" s="4"/>
      <c r="N854" s="4"/>
    </row>
    <row r="855" spans="1:14" x14ac:dyDescent="0.25">
      <c r="A855" s="4"/>
      <c r="B855" s="4"/>
      <c r="C855" s="4"/>
      <c r="D855" s="4"/>
      <c r="E855" s="4"/>
      <c r="F855" s="4"/>
      <c r="G855" s="4"/>
      <c r="H855" s="4"/>
      <c r="I855" s="4"/>
      <c r="J855" s="32"/>
      <c r="K855" s="4"/>
      <c r="L855" s="4"/>
      <c r="M855" s="4"/>
      <c r="N855" s="4"/>
    </row>
    <row r="856" spans="1:14" x14ac:dyDescent="0.25">
      <c r="A856" s="4"/>
      <c r="B856" s="4"/>
      <c r="C856" s="4"/>
      <c r="D856" s="4"/>
      <c r="E856" s="4"/>
      <c r="F856" s="4"/>
      <c r="G856" s="4"/>
      <c r="H856" s="4"/>
      <c r="I856" s="4"/>
      <c r="J856" s="32"/>
      <c r="K856" s="4"/>
      <c r="L856" s="4"/>
      <c r="M856" s="4"/>
      <c r="N856" s="4"/>
    </row>
    <row r="857" spans="1:14" x14ac:dyDescent="0.25">
      <c r="A857" s="4"/>
      <c r="B857" s="4"/>
      <c r="C857" s="4"/>
      <c r="D857" s="4"/>
      <c r="E857" s="4"/>
      <c r="F857" s="4"/>
      <c r="G857" s="4"/>
      <c r="H857" s="4"/>
      <c r="I857" s="4"/>
      <c r="J857" s="32"/>
      <c r="K857" s="4"/>
      <c r="L857" s="4"/>
      <c r="M857" s="4"/>
      <c r="N857" s="4"/>
    </row>
    <row r="858" spans="1:14" x14ac:dyDescent="0.25">
      <c r="A858" s="4"/>
      <c r="B858" s="4"/>
      <c r="C858" s="4"/>
      <c r="D858" s="4"/>
      <c r="E858" s="4"/>
      <c r="F858" s="4"/>
      <c r="G858" s="4"/>
      <c r="H858" s="4"/>
      <c r="I858" s="4"/>
      <c r="J858" s="32"/>
      <c r="K858" s="4"/>
      <c r="L858" s="4"/>
      <c r="M858" s="4"/>
      <c r="N858" s="4"/>
    </row>
    <row r="859" spans="1:14" x14ac:dyDescent="0.25">
      <c r="A859" s="4"/>
      <c r="B859" s="4"/>
      <c r="C859" s="4"/>
      <c r="D859" s="4"/>
      <c r="E859" s="4"/>
      <c r="F859" s="4"/>
      <c r="G859" s="4"/>
      <c r="H859" s="4"/>
      <c r="I859" s="4"/>
      <c r="J859" s="32"/>
      <c r="K859" s="4"/>
      <c r="L859" s="4"/>
      <c r="M859" s="4"/>
      <c r="N859" s="4"/>
    </row>
    <row r="860" spans="1:14" x14ac:dyDescent="0.25">
      <c r="A860" s="4"/>
      <c r="B860" s="4"/>
      <c r="C860" s="4"/>
      <c r="D860" s="4"/>
      <c r="E860" s="4"/>
      <c r="F860" s="4"/>
      <c r="G860" s="4"/>
      <c r="H860" s="4"/>
      <c r="I860" s="4"/>
      <c r="J860" s="32"/>
      <c r="K860" s="4"/>
      <c r="L860" s="4"/>
      <c r="M860" s="4"/>
      <c r="N860" s="4"/>
    </row>
    <row r="861" spans="1:14" x14ac:dyDescent="0.25">
      <c r="A861" s="4"/>
      <c r="B861" s="4"/>
      <c r="C861" s="4"/>
      <c r="D861" s="4"/>
      <c r="E861" s="4"/>
      <c r="F861" s="4"/>
      <c r="G861" s="4"/>
      <c r="H861" s="4"/>
      <c r="I861" s="4"/>
      <c r="J861" s="32"/>
      <c r="K861" s="4"/>
      <c r="L861" s="4"/>
      <c r="M861" s="4"/>
      <c r="N861" s="4"/>
    </row>
    <row r="862" spans="1:14" x14ac:dyDescent="0.25">
      <c r="A862" s="4"/>
      <c r="B862" s="4"/>
      <c r="C862" s="4"/>
      <c r="D862" s="4"/>
      <c r="E862" s="4"/>
      <c r="F862" s="4"/>
      <c r="G862" s="4"/>
      <c r="H862" s="4"/>
      <c r="I862" s="4"/>
      <c r="J862" s="32"/>
      <c r="K862" s="4"/>
      <c r="L862" s="4"/>
      <c r="M862" s="4"/>
      <c r="N862" s="4"/>
    </row>
    <row r="863" spans="1:14" x14ac:dyDescent="0.25">
      <c r="A863" s="4"/>
      <c r="B863" s="4"/>
      <c r="C863" s="4"/>
      <c r="D863" s="4"/>
      <c r="E863" s="4"/>
      <c r="F863" s="4"/>
      <c r="G863" s="4"/>
      <c r="H863" s="4"/>
      <c r="I863" s="4"/>
      <c r="J863" s="32"/>
      <c r="K863" s="4"/>
      <c r="L863" s="4"/>
      <c r="M863" s="4"/>
      <c r="N863" s="4"/>
    </row>
    <row r="864" spans="1:14" x14ac:dyDescent="0.25">
      <c r="A864" s="4"/>
      <c r="B864" s="4"/>
      <c r="C864" s="4"/>
      <c r="D864" s="4"/>
      <c r="E864" s="4"/>
      <c r="F864" s="4"/>
      <c r="G864" s="4"/>
      <c r="H864" s="4"/>
      <c r="I864" s="4"/>
      <c r="J864" s="32"/>
      <c r="K864" s="4"/>
      <c r="L864" s="4"/>
      <c r="M864" s="4"/>
      <c r="N864" s="4"/>
    </row>
    <row r="865" spans="1:14" x14ac:dyDescent="0.25">
      <c r="A865" s="4"/>
      <c r="B865" s="4"/>
      <c r="C865" s="4"/>
      <c r="D865" s="4"/>
      <c r="E865" s="4"/>
      <c r="F865" s="4"/>
      <c r="G865" s="4"/>
      <c r="H865" s="4"/>
      <c r="I865" s="4"/>
      <c r="J865" s="32"/>
      <c r="K865" s="4"/>
      <c r="L865" s="4"/>
      <c r="M865" s="4"/>
      <c r="N865" s="4"/>
    </row>
    <row r="866" spans="1:14" x14ac:dyDescent="0.25">
      <c r="A866" s="4"/>
      <c r="B866" s="4"/>
      <c r="C866" s="4"/>
      <c r="D866" s="4"/>
      <c r="E866" s="4"/>
      <c r="F866" s="4"/>
      <c r="G866" s="4"/>
      <c r="H866" s="4"/>
      <c r="I866" s="4"/>
      <c r="J866" s="32"/>
      <c r="K866" s="4"/>
      <c r="L866" s="4"/>
      <c r="M866" s="4"/>
      <c r="N866" s="4"/>
    </row>
    <row r="867" spans="1:14" x14ac:dyDescent="0.25">
      <c r="A867" s="4"/>
      <c r="B867" s="4"/>
      <c r="C867" s="4"/>
      <c r="D867" s="4"/>
      <c r="E867" s="4"/>
      <c r="F867" s="4"/>
      <c r="G867" s="4"/>
      <c r="H867" s="4"/>
      <c r="I867" s="4"/>
      <c r="J867" s="32"/>
      <c r="K867" s="4"/>
      <c r="L867" s="4"/>
      <c r="M867" s="4"/>
      <c r="N867" s="4"/>
    </row>
    <row r="868" spans="1:14" x14ac:dyDescent="0.25">
      <c r="A868" s="4"/>
      <c r="B868" s="4"/>
      <c r="C868" s="4"/>
      <c r="D868" s="4"/>
      <c r="E868" s="4"/>
      <c r="F868" s="4"/>
      <c r="G868" s="4"/>
      <c r="H868" s="4"/>
      <c r="I868" s="4"/>
      <c r="J868" s="32"/>
      <c r="K868" s="4"/>
      <c r="L868" s="4"/>
      <c r="M868" s="4"/>
      <c r="N868" s="4"/>
    </row>
    <row r="869" spans="1:14" x14ac:dyDescent="0.25">
      <c r="A869" s="4"/>
      <c r="B869" s="4"/>
      <c r="C869" s="4"/>
      <c r="D869" s="4"/>
      <c r="E869" s="4"/>
      <c r="F869" s="4"/>
      <c r="G869" s="4"/>
      <c r="H869" s="4"/>
      <c r="I869" s="4"/>
      <c r="J869" s="32"/>
      <c r="K869" s="4"/>
      <c r="L869" s="4"/>
      <c r="M869" s="4"/>
      <c r="N869" s="4"/>
    </row>
    <row r="870" spans="1:14" x14ac:dyDescent="0.25">
      <c r="A870" s="4"/>
      <c r="B870" s="4"/>
      <c r="C870" s="4"/>
      <c r="D870" s="4"/>
      <c r="E870" s="4"/>
      <c r="F870" s="4"/>
      <c r="G870" s="4"/>
      <c r="H870" s="4"/>
      <c r="I870" s="4"/>
      <c r="J870" s="32"/>
      <c r="K870" s="4"/>
      <c r="L870" s="4"/>
      <c r="M870" s="4"/>
      <c r="N870" s="4"/>
    </row>
    <row r="871" spans="1:14" x14ac:dyDescent="0.25">
      <c r="A871" s="4"/>
      <c r="B871" s="4"/>
      <c r="C871" s="4"/>
      <c r="D871" s="4"/>
      <c r="E871" s="4"/>
      <c r="F871" s="4"/>
      <c r="G871" s="4"/>
      <c r="H871" s="4"/>
      <c r="I871" s="4"/>
      <c r="J871" s="32"/>
      <c r="K871" s="4"/>
      <c r="L871" s="4"/>
      <c r="M871" s="4"/>
      <c r="N871" s="4"/>
    </row>
    <row r="872" spans="1:14" x14ac:dyDescent="0.25">
      <c r="A872" s="4"/>
      <c r="B872" s="4"/>
      <c r="C872" s="4"/>
      <c r="D872" s="4"/>
      <c r="E872" s="4"/>
      <c r="F872" s="4"/>
      <c r="G872" s="4"/>
      <c r="H872" s="4"/>
      <c r="I872" s="4"/>
      <c r="J872" s="32"/>
      <c r="K872" s="4"/>
      <c r="L872" s="4"/>
      <c r="M872" s="4"/>
      <c r="N872" s="4"/>
    </row>
    <row r="873" spans="1:14" x14ac:dyDescent="0.25">
      <c r="A873" s="4"/>
      <c r="B873" s="4"/>
      <c r="C873" s="4"/>
      <c r="D873" s="4"/>
      <c r="E873" s="4"/>
      <c r="F873" s="4"/>
      <c r="G873" s="4"/>
      <c r="H873" s="4"/>
      <c r="I873" s="4"/>
      <c r="J873" s="32"/>
      <c r="K873" s="4"/>
      <c r="L873" s="4"/>
      <c r="M873" s="4"/>
      <c r="N873" s="4"/>
    </row>
    <row r="874" spans="1:14" x14ac:dyDescent="0.25">
      <c r="A874" s="4"/>
      <c r="B874" s="4"/>
      <c r="C874" s="4"/>
      <c r="D874" s="4"/>
      <c r="E874" s="4"/>
      <c r="F874" s="4"/>
      <c r="G874" s="4"/>
      <c r="H874" s="4"/>
      <c r="I874" s="4"/>
      <c r="J874" s="32"/>
      <c r="K874" s="4"/>
      <c r="L874" s="4"/>
      <c r="M874" s="4"/>
      <c r="N874" s="4"/>
    </row>
    <row r="875" spans="1:14" x14ac:dyDescent="0.25">
      <c r="A875" s="4"/>
      <c r="B875" s="4"/>
      <c r="C875" s="4"/>
      <c r="D875" s="4"/>
      <c r="E875" s="4"/>
      <c r="F875" s="4"/>
      <c r="G875" s="4"/>
      <c r="H875" s="4"/>
      <c r="I875" s="4"/>
      <c r="J875" s="32"/>
      <c r="K875" s="4"/>
      <c r="L875" s="4"/>
      <c r="M875" s="4"/>
      <c r="N875" s="4"/>
    </row>
    <row r="876" spans="1:14" x14ac:dyDescent="0.25">
      <c r="A876" s="4"/>
      <c r="B876" s="4"/>
      <c r="C876" s="4"/>
      <c r="D876" s="4"/>
      <c r="E876" s="4"/>
      <c r="F876" s="4"/>
      <c r="G876" s="4"/>
      <c r="H876" s="4"/>
      <c r="I876" s="4"/>
      <c r="J876" s="32"/>
      <c r="K876" s="4"/>
      <c r="L876" s="4"/>
      <c r="M876" s="4"/>
      <c r="N876" s="4"/>
    </row>
    <row r="877" spans="1:14" x14ac:dyDescent="0.25">
      <c r="A877" s="4"/>
      <c r="B877" s="4"/>
      <c r="C877" s="4"/>
      <c r="D877" s="4"/>
      <c r="E877" s="4"/>
      <c r="F877" s="4"/>
      <c r="G877" s="4"/>
      <c r="H877" s="4"/>
      <c r="I877" s="4"/>
      <c r="J877" s="32"/>
      <c r="K877" s="4"/>
      <c r="L877" s="4"/>
      <c r="M877" s="4"/>
      <c r="N877" s="4"/>
    </row>
    <row r="878" spans="1:14" x14ac:dyDescent="0.25">
      <c r="A878" s="4"/>
      <c r="B878" s="4"/>
      <c r="C878" s="4"/>
      <c r="D878" s="4"/>
      <c r="E878" s="4"/>
      <c r="F878" s="4"/>
      <c r="G878" s="4"/>
      <c r="H878" s="4"/>
      <c r="I878" s="4"/>
      <c r="J878" s="32"/>
      <c r="K878" s="4"/>
      <c r="L878" s="4"/>
      <c r="M878" s="4"/>
      <c r="N878" s="4"/>
    </row>
    <row r="879" spans="1:14" x14ac:dyDescent="0.25">
      <c r="A879" s="4"/>
      <c r="B879" s="4"/>
      <c r="C879" s="4"/>
      <c r="D879" s="4"/>
      <c r="E879" s="4"/>
      <c r="F879" s="4"/>
      <c r="G879" s="4"/>
      <c r="H879" s="4"/>
      <c r="I879" s="4"/>
      <c r="J879" s="32"/>
      <c r="K879" s="4"/>
      <c r="L879" s="4"/>
      <c r="M879" s="4"/>
      <c r="N879" s="4"/>
    </row>
    <row r="880" spans="1:14" x14ac:dyDescent="0.25">
      <c r="A880" s="4"/>
      <c r="B880" s="4"/>
      <c r="C880" s="4"/>
      <c r="D880" s="4"/>
      <c r="E880" s="4"/>
      <c r="F880" s="4"/>
      <c r="G880" s="4"/>
      <c r="H880" s="4"/>
      <c r="I880" s="4"/>
      <c r="J880" s="32"/>
      <c r="K880" s="4"/>
      <c r="L880" s="4"/>
      <c r="M880" s="4"/>
      <c r="N880" s="4"/>
    </row>
    <row r="881" spans="1:14" x14ac:dyDescent="0.25">
      <c r="A881" s="4"/>
      <c r="B881" s="4"/>
      <c r="C881" s="4"/>
      <c r="D881" s="4"/>
      <c r="E881" s="4"/>
      <c r="F881" s="4"/>
      <c r="G881" s="4"/>
      <c r="H881" s="4"/>
      <c r="I881" s="4"/>
      <c r="J881" s="32"/>
      <c r="K881" s="4"/>
      <c r="L881" s="4"/>
      <c r="M881" s="4"/>
      <c r="N881" s="4"/>
    </row>
    <row r="882" spans="1:14" x14ac:dyDescent="0.25">
      <c r="A882" s="4"/>
      <c r="B882" s="4"/>
      <c r="C882" s="4"/>
      <c r="D882" s="4"/>
      <c r="E882" s="4"/>
      <c r="F882" s="4"/>
      <c r="G882" s="4"/>
      <c r="H882" s="4"/>
      <c r="I882" s="4"/>
      <c r="J882" s="32"/>
      <c r="K882" s="4"/>
      <c r="L882" s="4"/>
      <c r="M882" s="4"/>
      <c r="N882" s="4"/>
    </row>
    <row r="883" spans="1:14" x14ac:dyDescent="0.25">
      <c r="A883" s="4"/>
      <c r="B883" s="4"/>
      <c r="C883" s="4"/>
      <c r="D883" s="4"/>
      <c r="E883" s="4"/>
      <c r="F883" s="4"/>
      <c r="G883" s="4"/>
      <c r="H883" s="4"/>
      <c r="I883" s="4"/>
      <c r="J883" s="32"/>
      <c r="K883" s="4"/>
      <c r="L883" s="4"/>
      <c r="M883" s="4"/>
      <c r="N883" s="4"/>
    </row>
    <row r="884" spans="1:14" x14ac:dyDescent="0.25">
      <c r="A884" s="4"/>
      <c r="B884" s="4"/>
      <c r="C884" s="4"/>
      <c r="D884" s="4"/>
      <c r="E884" s="4"/>
      <c r="F884" s="4"/>
      <c r="G884" s="4"/>
      <c r="H884" s="4"/>
      <c r="I884" s="4"/>
      <c r="J884" s="32"/>
      <c r="K884" s="4"/>
      <c r="L884" s="4"/>
      <c r="M884" s="4"/>
      <c r="N884" s="4"/>
    </row>
    <row r="885" spans="1:14" x14ac:dyDescent="0.25">
      <c r="A885" s="4"/>
      <c r="B885" s="4"/>
      <c r="C885" s="4"/>
      <c r="D885" s="4"/>
      <c r="E885" s="4"/>
      <c r="F885" s="4"/>
      <c r="G885" s="4"/>
      <c r="H885" s="4"/>
      <c r="I885" s="4"/>
      <c r="J885" s="32"/>
      <c r="K885" s="4"/>
      <c r="L885" s="4"/>
      <c r="M885" s="4"/>
      <c r="N885" s="4"/>
    </row>
    <row r="886" spans="1:14" x14ac:dyDescent="0.25">
      <c r="A886" s="4"/>
      <c r="B886" s="4"/>
      <c r="C886" s="4"/>
      <c r="D886" s="4"/>
      <c r="E886" s="4"/>
      <c r="F886" s="4"/>
      <c r="G886" s="4"/>
      <c r="H886" s="4"/>
      <c r="I886" s="4"/>
      <c r="J886" s="32"/>
      <c r="K886" s="4"/>
      <c r="L886" s="4"/>
      <c r="M886" s="4"/>
      <c r="N886" s="4"/>
    </row>
    <row r="887" spans="1:14" x14ac:dyDescent="0.25">
      <c r="A887" s="4"/>
      <c r="B887" s="4"/>
      <c r="C887" s="4"/>
      <c r="D887" s="4"/>
      <c r="E887" s="4"/>
      <c r="F887" s="4"/>
      <c r="G887" s="4"/>
      <c r="H887" s="4"/>
      <c r="I887" s="4"/>
      <c r="J887" s="32"/>
      <c r="K887" s="4"/>
      <c r="L887" s="4"/>
      <c r="M887" s="4"/>
      <c r="N887" s="4"/>
    </row>
    <row r="888" spans="1:14" x14ac:dyDescent="0.25">
      <c r="A888" s="4"/>
      <c r="B888" s="4"/>
      <c r="C888" s="4"/>
      <c r="D888" s="4"/>
      <c r="E888" s="4"/>
      <c r="F888" s="4"/>
      <c r="G888" s="4"/>
      <c r="H888" s="4"/>
      <c r="I888" s="4"/>
      <c r="J888" s="32"/>
      <c r="K888" s="4"/>
      <c r="L888" s="4"/>
      <c r="M888" s="4"/>
      <c r="N888" s="4"/>
    </row>
    <row r="889" spans="1:14" x14ac:dyDescent="0.25">
      <c r="A889" s="4"/>
      <c r="B889" s="4"/>
      <c r="C889" s="4"/>
      <c r="D889" s="4"/>
      <c r="E889" s="4"/>
      <c r="F889" s="4"/>
      <c r="G889" s="4"/>
      <c r="H889" s="4"/>
      <c r="I889" s="4"/>
      <c r="J889" s="32"/>
      <c r="K889" s="4"/>
      <c r="L889" s="4"/>
      <c r="M889" s="4"/>
      <c r="N889" s="4"/>
    </row>
    <row r="890" spans="1:14" x14ac:dyDescent="0.25">
      <c r="A890" s="4"/>
      <c r="B890" s="4"/>
      <c r="C890" s="4"/>
      <c r="D890" s="4"/>
      <c r="E890" s="4"/>
      <c r="F890" s="4"/>
      <c r="G890" s="4"/>
      <c r="H890" s="4"/>
      <c r="I890" s="4"/>
      <c r="J890" s="32"/>
      <c r="K890" s="4"/>
      <c r="L890" s="4"/>
      <c r="M890" s="4"/>
      <c r="N890" s="4"/>
    </row>
    <row r="891" spans="1:14" x14ac:dyDescent="0.25">
      <c r="A891" s="4"/>
      <c r="B891" s="4"/>
      <c r="C891" s="4"/>
      <c r="D891" s="4"/>
      <c r="E891" s="4"/>
      <c r="F891" s="4"/>
      <c r="G891" s="4"/>
      <c r="H891" s="4"/>
      <c r="I891" s="4"/>
      <c r="J891" s="32"/>
      <c r="K891" s="4"/>
      <c r="L891" s="4"/>
      <c r="M891" s="4"/>
      <c r="N891" s="4"/>
    </row>
    <row r="892" spans="1:14" x14ac:dyDescent="0.25">
      <c r="A892" s="4"/>
      <c r="B892" s="4"/>
      <c r="C892" s="4"/>
      <c r="D892" s="4"/>
      <c r="E892" s="4"/>
      <c r="F892" s="4"/>
      <c r="G892" s="4"/>
      <c r="H892" s="4"/>
      <c r="I892" s="4"/>
      <c r="J892" s="32"/>
      <c r="K892" s="4"/>
      <c r="L892" s="4"/>
      <c r="M892" s="4"/>
      <c r="N892" s="4"/>
    </row>
    <row r="893" spans="1:14" x14ac:dyDescent="0.25">
      <c r="A893" s="4"/>
      <c r="B893" s="4"/>
      <c r="C893" s="4"/>
      <c r="D893" s="4"/>
      <c r="E893" s="4"/>
      <c r="F893" s="4"/>
      <c r="G893" s="4"/>
      <c r="H893" s="4"/>
      <c r="I893" s="4"/>
      <c r="J893" s="32"/>
      <c r="K893" s="4"/>
      <c r="L893" s="4"/>
      <c r="M893" s="4"/>
      <c r="N893" s="4"/>
    </row>
    <row r="894" spans="1:14" x14ac:dyDescent="0.25">
      <c r="A894" s="4"/>
      <c r="B894" s="4"/>
      <c r="C894" s="4"/>
      <c r="D894" s="4"/>
      <c r="E894" s="4"/>
      <c r="F894" s="4"/>
      <c r="G894" s="4"/>
      <c r="H894" s="4"/>
      <c r="I894" s="4"/>
      <c r="J894" s="32"/>
      <c r="K894" s="4"/>
      <c r="L894" s="4"/>
      <c r="M894" s="4"/>
      <c r="N894" s="4"/>
    </row>
    <row r="895" spans="1:14" x14ac:dyDescent="0.25">
      <c r="A895" s="4"/>
      <c r="B895" s="4"/>
      <c r="C895" s="4"/>
      <c r="D895" s="4"/>
      <c r="E895" s="4"/>
      <c r="F895" s="4"/>
      <c r="G895" s="4"/>
      <c r="H895" s="4"/>
      <c r="I895" s="4"/>
      <c r="J895" s="32"/>
      <c r="K895" s="4"/>
      <c r="L895" s="4"/>
      <c r="M895" s="4"/>
      <c r="N895" s="4"/>
    </row>
    <row r="896" spans="1:14" x14ac:dyDescent="0.25">
      <c r="A896" s="4"/>
      <c r="B896" s="4"/>
      <c r="C896" s="4"/>
      <c r="D896" s="4"/>
      <c r="E896" s="4"/>
      <c r="F896" s="4"/>
      <c r="G896" s="4"/>
      <c r="H896" s="4"/>
      <c r="I896" s="4"/>
      <c r="J896" s="32"/>
      <c r="K896" s="4"/>
      <c r="L896" s="4"/>
      <c r="M896" s="4"/>
      <c r="N896" s="4"/>
    </row>
    <row r="897" spans="1:14" x14ac:dyDescent="0.25">
      <c r="A897" s="4"/>
      <c r="B897" s="4"/>
      <c r="C897" s="4"/>
      <c r="D897" s="4"/>
      <c r="E897" s="4"/>
      <c r="F897" s="4"/>
      <c r="G897" s="4"/>
      <c r="H897" s="4"/>
      <c r="I897" s="4"/>
      <c r="J897" s="32"/>
      <c r="K897" s="4"/>
      <c r="L897" s="4"/>
      <c r="M897" s="4"/>
      <c r="N897" s="4"/>
    </row>
    <row r="898" spans="1:14" x14ac:dyDescent="0.25">
      <c r="A898" s="4"/>
      <c r="B898" s="4"/>
      <c r="C898" s="4"/>
      <c r="D898" s="4"/>
      <c r="E898" s="4"/>
      <c r="F898" s="4"/>
      <c r="G898" s="4"/>
      <c r="H898" s="4"/>
      <c r="I898" s="4"/>
      <c r="J898" s="32"/>
      <c r="K898" s="4"/>
      <c r="L898" s="4"/>
      <c r="M898" s="4"/>
      <c r="N898" s="4"/>
    </row>
    <row r="899" spans="1:14" x14ac:dyDescent="0.25">
      <c r="A899" s="4"/>
      <c r="B899" s="4"/>
      <c r="C899" s="4"/>
      <c r="D899" s="4"/>
      <c r="E899" s="4"/>
      <c r="F899" s="4"/>
      <c r="G899" s="4"/>
      <c r="H899" s="4"/>
      <c r="I899" s="4"/>
      <c r="J899" s="32"/>
      <c r="K899" s="4"/>
      <c r="L899" s="4"/>
      <c r="M899" s="4"/>
      <c r="N899" s="4"/>
    </row>
    <row r="900" spans="1:14" x14ac:dyDescent="0.25">
      <c r="A900" s="4"/>
      <c r="B900" s="4"/>
      <c r="C900" s="4"/>
      <c r="D900" s="4"/>
      <c r="E900" s="4"/>
      <c r="F900" s="4"/>
      <c r="G900" s="4"/>
      <c r="H900" s="4"/>
      <c r="I900" s="4"/>
      <c r="J900" s="32"/>
      <c r="K900" s="4"/>
      <c r="L900" s="4"/>
      <c r="M900" s="4"/>
      <c r="N900" s="4"/>
    </row>
    <row r="901" spans="1:14" x14ac:dyDescent="0.25">
      <c r="A901" s="4"/>
      <c r="B901" s="4"/>
      <c r="C901" s="4"/>
      <c r="D901" s="4"/>
      <c r="E901" s="4"/>
      <c r="F901" s="4"/>
      <c r="G901" s="4"/>
      <c r="H901" s="4"/>
      <c r="I901" s="4"/>
      <c r="J901" s="32"/>
      <c r="K901" s="4"/>
      <c r="L901" s="4"/>
      <c r="M901" s="4"/>
      <c r="N901" s="4"/>
    </row>
    <row r="902" spans="1:14" x14ac:dyDescent="0.25">
      <c r="A902" s="4"/>
      <c r="B902" s="4"/>
      <c r="C902" s="4"/>
      <c r="D902" s="4"/>
      <c r="E902" s="4"/>
      <c r="F902" s="4"/>
      <c r="G902" s="4"/>
      <c r="H902" s="4"/>
      <c r="I902" s="4"/>
      <c r="J902" s="32"/>
      <c r="K902" s="4"/>
      <c r="L902" s="4"/>
      <c r="M902" s="4"/>
      <c r="N902" s="4"/>
    </row>
    <row r="903" spans="1:14" x14ac:dyDescent="0.25">
      <c r="A903" s="4"/>
      <c r="B903" s="4"/>
      <c r="C903" s="4"/>
      <c r="D903" s="4"/>
      <c r="E903" s="4"/>
      <c r="F903" s="4"/>
      <c r="G903" s="4"/>
      <c r="H903" s="4"/>
      <c r="I903" s="4"/>
      <c r="J903" s="32"/>
      <c r="K903" s="4"/>
      <c r="L903" s="4"/>
      <c r="M903" s="4"/>
      <c r="N903" s="4"/>
    </row>
    <row r="904" spans="1:14" x14ac:dyDescent="0.25">
      <c r="A904" s="4"/>
      <c r="B904" s="4"/>
      <c r="C904" s="4"/>
      <c r="D904" s="4"/>
      <c r="E904" s="4"/>
      <c r="F904" s="4"/>
      <c r="G904" s="4"/>
      <c r="H904" s="4"/>
      <c r="I904" s="4"/>
      <c r="J904" s="32"/>
      <c r="K904" s="4"/>
      <c r="L904" s="4"/>
      <c r="M904" s="4"/>
      <c r="N904" s="4"/>
    </row>
    <row r="905" spans="1:14" x14ac:dyDescent="0.25">
      <c r="A905" s="4"/>
      <c r="B905" s="4"/>
      <c r="C905" s="4"/>
      <c r="D905" s="4"/>
      <c r="E905" s="4"/>
      <c r="F905" s="4"/>
      <c r="G905" s="4"/>
      <c r="H905" s="4"/>
      <c r="I905" s="4"/>
      <c r="J905" s="32"/>
      <c r="K905" s="4"/>
      <c r="L905" s="4"/>
      <c r="M905" s="4"/>
      <c r="N905" s="4"/>
    </row>
    <row r="906" spans="1:14" x14ac:dyDescent="0.25">
      <c r="A906" s="4"/>
      <c r="B906" s="4"/>
      <c r="C906" s="4"/>
      <c r="D906" s="4"/>
      <c r="E906" s="4"/>
      <c r="F906" s="4"/>
      <c r="G906" s="4"/>
      <c r="H906" s="4"/>
      <c r="I906" s="4"/>
      <c r="J906" s="32"/>
      <c r="K906" s="4"/>
      <c r="L906" s="4"/>
      <c r="M906" s="4"/>
      <c r="N906" s="4"/>
    </row>
    <row r="907" spans="1:14" x14ac:dyDescent="0.25">
      <c r="A907" s="4"/>
      <c r="B907" s="4"/>
      <c r="C907" s="4"/>
      <c r="D907" s="4"/>
      <c r="E907" s="4"/>
      <c r="F907" s="4"/>
      <c r="G907" s="4"/>
      <c r="H907" s="4"/>
      <c r="I907" s="4"/>
      <c r="J907" s="32"/>
      <c r="K907" s="4"/>
      <c r="L907" s="4"/>
      <c r="M907" s="4"/>
      <c r="N907" s="4"/>
    </row>
    <row r="908" spans="1:14" x14ac:dyDescent="0.25">
      <c r="A908" s="4"/>
      <c r="B908" s="4"/>
      <c r="C908" s="4"/>
      <c r="D908" s="4"/>
      <c r="E908" s="4"/>
      <c r="F908" s="4"/>
      <c r="G908" s="4"/>
      <c r="H908" s="4"/>
      <c r="I908" s="4"/>
      <c r="J908" s="32"/>
      <c r="K908" s="4"/>
      <c r="L908" s="4"/>
      <c r="M908" s="4"/>
      <c r="N908" s="4"/>
    </row>
    <row r="909" spans="1:14" x14ac:dyDescent="0.25">
      <c r="A909" s="4"/>
      <c r="B909" s="4"/>
      <c r="C909" s="4"/>
      <c r="D909" s="4"/>
      <c r="E909" s="4"/>
      <c r="F909" s="4"/>
      <c r="G909" s="4"/>
      <c r="H909" s="4"/>
      <c r="I909" s="4"/>
      <c r="J909" s="32"/>
      <c r="K909" s="4"/>
      <c r="L909" s="4"/>
      <c r="M909" s="4"/>
      <c r="N909" s="4"/>
    </row>
    <row r="910" spans="1:14" x14ac:dyDescent="0.25">
      <c r="A910" s="4"/>
      <c r="B910" s="4"/>
      <c r="C910" s="4"/>
      <c r="D910" s="4"/>
      <c r="E910" s="4"/>
      <c r="F910" s="4"/>
      <c r="G910" s="4"/>
      <c r="H910" s="4"/>
      <c r="I910" s="4"/>
      <c r="J910" s="32"/>
      <c r="K910" s="4"/>
      <c r="L910" s="4"/>
      <c r="M910" s="4"/>
      <c r="N910" s="4"/>
    </row>
    <row r="911" spans="1:14" x14ac:dyDescent="0.25">
      <c r="A911" s="4"/>
      <c r="B911" s="4"/>
      <c r="C911" s="4"/>
      <c r="D911" s="4"/>
      <c r="E911" s="4"/>
      <c r="F911" s="4"/>
      <c r="G911" s="4"/>
      <c r="H911" s="4"/>
      <c r="I911" s="4"/>
      <c r="J911" s="32"/>
      <c r="K911" s="4"/>
      <c r="L911" s="4"/>
      <c r="M911" s="4"/>
      <c r="N911" s="4"/>
    </row>
    <row r="912" spans="1:14" x14ac:dyDescent="0.25">
      <c r="A912" s="4"/>
      <c r="B912" s="4"/>
      <c r="C912" s="4"/>
      <c r="D912" s="4"/>
      <c r="E912" s="4"/>
      <c r="F912" s="4"/>
      <c r="G912" s="4"/>
      <c r="H912" s="4"/>
      <c r="I912" s="4"/>
      <c r="J912" s="32"/>
      <c r="K912" s="4"/>
      <c r="L912" s="4"/>
      <c r="M912" s="4"/>
      <c r="N912" s="4"/>
    </row>
    <row r="913" spans="1:14" x14ac:dyDescent="0.25">
      <c r="A913" s="4"/>
      <c r="B913" s="4"/>
      <c r="C913" s="4"/>
      <c r="D913" s="4"/>
      <c r="E913" s="4"/>
      <c r="F913" s="4"/>
      <c r="G913" s="4"/>
      <c r="H913" s="4"/>
      <c r="I913" s="4"/>
      <c r="J913" s="32"/>
      <c r="K913" s="4"/>
      <c r="L913" s="4"/>
      <c r="M913" s="4"/>
      <c r="N913" s="4"/>
    </row>
    <row r="914" spans="1:14" x14ac:dyDescent="0.25">
      <c r="A914" s="4"/>
      <c r="B914" s="4"/>
      <c r="C914" s="4"/>
      <c r="D914" s="4"/>
      <c r="E914" s="4"/>
      <c r="F914" s="4"/>
      <c r="G914" s="4"/>
      <c r="H914" s="4"/>
      <c r="I914" s="4"/>
      <c r="J914" s="32"/>
      <c r="K914" s="4"/>
      <c r="L914" s="4"/>
      <c r="M914" s="4"/>
      <c r="N914" s="4"/>
    </row>
    <row r="915" spans="1:14" x14ac:dyDescent="0.25">
      <c r="A915" s="4"/>
      <c r="B915" s="4"/>
      <c r="C915" s="4"/>
      <c r="D915" s="4"/>
      <c r="E915" s="4"/>
      <c r="F915" s="4"/>
      <c r="G915" s="4"/>
      <c r="H915" s="4"/>
      <c r="I915" s="4"/>
      <c r="J915" s="32"/>
      <c r="K915" s="4"/>
      <c r="L915" s="4"/>
      <c r="M915" s="4"/>
      <c r="N915" s="4"/>
    </row>
    <row r="916" spans="1:14" x14ac:dyDescent="0.25">
      <c r="A916" s="4"/>
      <c r="B916" s="4"/>
      <c r="C916" s="4"/>
      <c r="D916" s="4"/>
      <c r="E916" s="4"/>
      <c r="F916" s="4"/>
      <c r="G916" s="4"/>
      <c r="H916" s="4"/>
      <c r="I916" s="4"/>
      <c r="J916" s="32"/>
      <c r="K916" s="4"/>
      <c r="L916" s="4"/>
      <c r="M916" s="4"/>
      <c r="N916" s="4"/>
    </row>
    <row r="917" spans="1:14" x14ac:dyDescent="0.25">
      <c r="A917" s="4"/>
      <c r="B917" s="4"/>
      <c r="C917" s="4"/>
      <c r="D917" s="4"/>
      <c r="E917" s="4"/>
      <c r="F917" s="4"/>
      <c r="G917" s="4"/>
      <c r="H917" s="4"/>
      <c r="I917" s="4"/>
      <c r="J917" s="32"/>
      <c r="K917" s="4"/>
      <c r="L917" s="4"/>
      <c r="M917" s="4"/>
      <c r="N917" s="4"/>
    </row>
    <row r="918" spans="1:14" x14ac:dyDescent="0.25">
      <c r="A918" s="4"/>
      <c r="B918" s="4"/>
      <c r="C918" s="4"/>
      <c r="D918" s="4"/>
      <c r="E918" s="4"/>
      <c r="F918" s="4"/>
      <c r="G918" s="4"/>
      <c r="H918" s="4"/>
      <c r="I918" s="4"/>
      <c r="J918" s="32"/>
      <c r="K918" s="4"/>
      <c r="L918" s="4"/>
      <c r="M918" s="4"/>
      <c r="N918" s="4"/>
    </row>
    <row r="919" spans="1:14" x14ac:dyDescent="0.25">
      <c r="A919" s="4"/>
      <c r="B919" s="4"/>
      <c r="C919" s="4"/>
      <c r="D919" s="4"/>
      <c r="E919" s="4"/>
      <c r="F919" s="4"/>
      <c r="G919" s="4"/>
      <c r="H919" s="4"/>
      <c r="I919" s="4"/>
      <c r="J919" s="32"/>
      <c r="K919" s="4"/>
      <c r="L919" s="4"/>
      <c r="M919" s="4"/>
      <c r="N919" s="4"/>
    </row>
    <row r="920" spans="1:14" x14ac:dyDescent="0.25">
      <c r="A920" s="4"/>
      <c r="B920" s="4"/>
      <c r="C920" s="4"/>
      <c r="D920" s="4"/>
      <c r="E920" s="4"/>
      <c r="F920" s="4"/>
      <c r="G920" s="4"/>
      <c r="H920" s="4"/>
      <c r="I920" s="4"/>
      <c r="J920" s="32"/>
      <c r="K920" s="4"/>
      <c r="L920" s="4"/>
      <c r="M920" s="4"/>
      <c r="N920" s="4"/>
    </row>
    <row r="921" spans="1:14" x14ac:dyDescent="0.25">
      <c r="A921" s="4"/>
      <c r="B921" s="4"/>
      <c r="C921" s="4"/>
      <c r="D921" s="4"/>
      <c r="E921" s="4"/>
      <c r="F921" s="4"/>
      <c r="G921" s="4"/>
      <c r="H921" s="4"/>
      <c r="I921" s="4"/>
      <c r="J921" s="32"/>
      <c r="K921" s="4"/>
      <c r="L921" s="4"/>
      <c r="M921" s="4"/>
      <c r="N921" s="4"/>
    </row>
    <row r="922" spans="1:14" x14ac:dyDescent="0.25">
      <c r="A922" s="4"/>
      <c r="B922" s="4"/>
      <c r="C922" s="4"/>
      <c r="D922" s="4"/>
      <c r="E922" s="4"/>
      <c r="F922" s="4"/>
      <c r="G922" s="4"/>
      <c r="H922" s="4"/>
      <c r="I922" s="4"/>
      <c r="J922" s="32"/>
      <c r="K922" s="4"/>
      <c r="L922" s="4"/>
      <c r="M922" s="4"/>
      <c r="N922" s="4"/>
    </row>
    <row r="923" spans="1:14" x14ac:dyDescent="0.25">
      <c r="A923" s="4"/>
      <c r="B923" s="4"/>
      <c r="C923" s="4"/>
      <c r="D923" s="4"/>
      <c r="E923" s="4"/>
      <c r="F923" s="4"/>
      <c r="G923" s="4"/>
      <c r="H923" s="4"/>
      <c r="I923" s="4"/>
      <c r="J923" s="32"/>
      <c r="K923" s="4"/>
      <c r="L923" s="4"/>
      <c r="M923" s="4"/>
      <c r="N923" s="4"/>
    </row>
    <row r="924" spans="1:14" x14ac:dyDescent="0.25">
      <c r="A924" s="4"/>
      <c r="B924" s="4"/>
      <c r="C924" s="4"/>
      <c r="D924" s="4"/>
      <c r="E924" s="4"/>
      <c r="F924" s="4"/>
      <c r="G924" s="4"/>
      <c r="H924" s="4"/>
      <c r="I924" s="4"/>
      <c r="J924" s="32"/>
      <c r="K924" s="4"/>
      <c r="L924" s="4"/>
      <c r="M924" s="4"/>
      <c r="N924" s="4"/>
    </row>
    <row r="925" spans="1:14" x14ac:dyDescent="0.25">
      <c r="A925" s="4"/>
      <c r="B925" s="4"/>
      <c r="C925" s="4"/>
      <c r="D925" s="4"/>
      <c r="E925" s="4"/>
      <c r="F925" s="4"/>
      <c r="G925" s="4"/>
      <c r="H925" s="4"/>
      <c r="I925" s="4"/>
      <c r="J925" s="32"/>
      <c r="K925" s="4"/>
      <c r="L925" s="4"/>
      <c r="M925" s="4"/>
      <c r="N925" s="4"/>
    </row>
    <row r="926" spans="1:14" x14ac:dyDescent="0.25">
      <c r="A926" s="4"/>
      <c r="B926" s="4"/>
      <c r="C926" s="4"/>
      <c r="D926" s="4"/>
      <c r="E926" s="4"/>
      <c r="F926" s="4"/>
      <c r="G926" s="4"/>
      <c r="H926" s="4"/>
      <c r="I926" s="4"/>
      <c r="J926" s="32"/>
      <c r="K926" s="4"/>
      <c r="L926" s="4"/>
      <c r="M926" s="4"/>
      <c r="N926" s="4"/>
    </row>
    <row r="927" spans="1:14" x14ac:dyDescent="0.25">
      <c r="A927" s="4"/>
      <c r="B927" s="4"/>
      <c r="C927" s="4"/>
      <c r="D927" s="4"/>
      <c r="E927" s="4"/>
      <c r="F927" s="4"/>
      <c r="G927" s="4"/>
      <c r="H927" s="4"/>
      <c r="I927" s="4"/>
      <c r="J927" s="32"/>
      <c r="K927" s="4"/>
      <c r="L927" s="4"/>
      <c r="M927" s="4"/>
      <c r="N927" s="4"/>
    </row>
    <row r="928" spans="1:14" x14ac:dyDescent="0.25">
      <c r="A928" s="4"/>
      <c r="B928" s="4"/>
      <c r="C928" s="4"/>
      <c r="D928" s="4"/>
      <c r="E928" s="4"/>
      <c r="F928" s="4"/>
      <c r="G928" s="4"/>
      <c r="H928" s="4"/>
      <c r="I928" s="4"/>
      <c r="J928" s="32"/>
      <c r="K928" s="4"/>
      <c r="L928" s="4"/>
      <c r="M928" s="4"/>
      <c r="N928" s="4"/>
    </row>
    <row r="929" spans="1:14" x14ac:dyDescent="0.25">
      <c r="A929" s="4"/>
      <c r="B929" s="4"/>
      <c r="C929" s="4"/>
      <c r="D929" s="4"/>
      <c r="E929" s="4"/>
      <c r="F929" s="4"/>
      <c r="G929" s="4"/>
      <c r="H929" s="4"/>
      <c r="I929" s="4"/>
      <c r="J929" s="32"/>
      <c r="K929" s="4"/>
      <c r="L929" s="4"/>
      <c r="M929" s="4"/>
      <c r="N929" s="4"/>
    </row>
    <row r="930" spans="1:14" x14ac:dyDescent="0.25">
      <c r="A930" s="4"/>
      <c r="B930" s="4"/>
      <c r="C930" s="4"/>
      <c r="D930" s="4"/>
      <c r="E930" s="4"/>
      <c r="F930" s="4"/>
      <c r="G930" s="4"/>
      <c r="H930" s="4"/>
      <c r="I930" s="4"/>
      <c r="J930" s="32"/>
      <c r="K930" s="4"/>
      <c r="L930" s="4"/>
      <c r="M930" s="4"/>
      <c r="N930" s="4"/>
    </row>
    <row r="931" spans="1:14" x14ac:dyDescent="0.25">
      <c r="A931" s="4"/>
      <c r="B931" s="4"/>
      <c r="C931" s="4"/>
      <c r="D931" s="4"/>
      <c r="E931" s="4"/>
      <c r="F931" s="4"/>
      <c r="G931" s="4"/>
      <c r="H931" s="4"/>
      <c r="I931" s="4"/>
      <c r="J931" s="32"/>
      <c r="K931" s="4"/>
      <c r="L931" s="4"/>
      <c r="M931" s="4"/>
      <c r="N931" s="4"/>
    </row>
    <row r="932" spans="1:14" x14ac:dyDescent="0.25">
      <c r="A932" s="4"/>
      <c r="B932" s="4"/>
      <c r="C932" s="4"/>
      <c r="D932" s="4"/>
      <c r="E932" s="4"/>
      <c r="F932" s="4"/>
      <c r="G932" s="4"/>
      <c r="H932" s="4"/>
      <c r="I932" s="4"/>
      <c r="J932" s="32"/>
      <c r="K932" s="4"/>
      <c r="L932" s="4"/>
      <c r="M932" s="4"/>
      <c r="N932" s="4"/>
    </row>
    <row r="933" spans="1:14" x14ac:dyDescent="0.25">
      <c r="A933" s="4"/>
      <c r="B933" s="4"/>
      <c r="C933" s="4"/>
      <c r="D933" s="4"/>
      <c r="E933" s="4"/>
      <c r="F933" s="4"/>
      <c r="G933" s="4"/>
      <c r="H933" s="4"/>
      <c r="I933" s="4"/>
      <c r="J933" s="32"/>
      <c r="K933" s="4"/>
      <c r="L933" s="4"/>
      <c r="M933" s="4"/>
      <c r="N933" s="4"/>
    </row>
    <row r="934" spans="1:14" x14ac:dyDescent="0.25">
      <c r="A934" s="4"/>
      <c r="B934" s="4"/>
      <c r="C934" s="4"/>
      <c r="D934" s="4"/>
      <c r="E934" s="4"/>
      <c r="F934" s="4"/>
      <c r="G934" s="4"/>
      <c r="H934" s="4"/>
      <c r="I934" s="4"/>
      <c r="J934" s="32"/>
      <c r="K934" s="4"/>
      <c r="L934" s="4"/>
      <c r="M934" s="4"/>
      <c r="N934" s="4"/>
    </row>
    <row r="935" spans="1:14" x14ac:dyDescent="0.25">
      <c r="A935" s="4"/>
      <c r="B935" s="4"/>
      <c r="C935" s="4"/>
      <c r="D935" s="4"/>
      <c r="E935" s="4"/>
      <c r="F935" s="4"/>
      <c r="G935" s="4"/>
      <c r="H935" s="4"/>
      <c r="I935" s="4"/>
      <c r="J935" s="32"/>
      <c r="K935" s="4"/>
      <c r="L935" s="4"/>
      <c r="M935" s="4"/>
      <c r="N935" s="4"/>
    </row>
    <row r="936" spans="1:14" x14ac:dyDescent="0.25">
      <c r="A936" s="4"/>
      <c r="B936" s="4"/>
      <c r="C936" s="4"/>
      <c r="D936" s="4"/>
      <c r="E936" s="4"/>
      <c r="F936" s="4"/>
      <c r="G936" s="4"/>
      <c r="H936" s="4"/>
      <c r="I936" s="4"/>
      <c r="J936" s="32"/>
      <c r="K936" s="4"/>
      <c r="L936" s="4"/>
      <c r="M936" s="4"/>
      <c r="N936" s="4"/>
    </row>
    <row r="937" spans="1:14" x14ac:dyDescent="0.25">
      <c r="A937" s="4"/>
      <c r="B937" s="4"/>
      <c r="C937" s="4"/>
      <c r="D937" s="4"/>
      <c r="E937" s="4"/>
      <c r="F937" s="4"/>
      <c r="G937" s="4"/>
      <c r="H937" s="4"/>
      <c r="I937" s="4"/>
      <c r="J937" s="32"/>
      <c r="K937" s="4"/>
      <c r="L937" s="4"/>
      <c r="M937" s="4"/>
      <c r="N937" s="4"/>
    </row>
    <row r="938" spans="1:14" x14ac:dyDescent="0.25">
      <c r="A938" s="4"/>
      <c r="B938" s="4"/>
      <c r="C938" s="4"/>
      <c r="D938" s="4"/>
      <c r="E938" s="4"/>
      <c r="F938" s="4"/>
      <c r="G938" s="4"/>
      <c r="H938" s="4"/>
      <c r="I938" s="4"/>
      <c r="J938" s="32"/>
      <c r="K938" s="4"/>
      <c r="L938" s="4"/>
      <c r="M938" s="4"/>
      <c r="N938" s="4"/>
    </row>
    <row r="939" spans="1:14" x14ac:dyDescent="0.25">
      <c r="A939" s="4"/>
      <c r="B939" s="4"/>
      <c r="C939" s="4"/>
      <c r="D939" s="4"/>
      <c r="E939" s="4"/>
      <c r="F939" s="4"/>
      <c r="G939" s="4"/>
      <c r="H939" s="4"/>
      <c r="I939" s="4"/>
      <c r="J939" s="32"/>
      <c r="K939" s="4"/>
      <c r="L939" s="4"/>
      <c r="M939" s="4"/>
      <c r="N939" s="4"/>
    </row>
    <row r="940" spans="1:14" x14ac:dyDescent="0.25">
      <c r="A940" s="4"/>
      <c r="B940" s="4"/>
      <c r="C940" s="4"/>
      <c r="D940" s="4"/>
      <c r="E940" s="4"/>
      <c r="F940" s="4"/>
      <c r="G940" s="4"/>
      <c r="H940" s="4"/>
      <c r="I940" s="4"/>
      <c r="J940" s="32"/>
      <c r="K940" s="4"/>
      <c r="L940" s="4"/>
      <c r="M940" s="4"/>
      <c r="N940" s="4"/>
    </row>
    <row r="941" spans="1:14" x14ac:dyDescent="0.25">
      <c r="A941" s="4"/>
      <c r="B941" s="4"/>
      <c r="C941" s="4"/>
      <c r="D941" s="4"/>
      <c r="E941" s="4"/>
      <c r="F941" s="4"/>
      <c r="G941" s="4"/>
      <c r="H941" s="4"/>
      <c r="I941" s="4"/>
      <c r="J941" s="32"/>
      <c r="K941" s="4"/>
      <c r="L941" s="4"/>
      <c r="M941" s="4"/>
      <c r="N941" s="4"/>
    </row>
    <row r="942" spans="1:14" x14ac:dyDescent="0.25">
      <c r="A942" s="4"/>
      <c r="B942" s="4"/>
      <c r="C942" s="4"/>
      <c r="D942" s="4"/>
      <c r="E942" s="4"/>
      <c r="F942" s="4"/>
      <c r="G942" s="4"/>
      <c r="H942" s="4"/>
      <c r="I942" s="4"/>
      <c r="J942" s="32"/>
      <c r="K942" s="4"/>
      <c r="L942" s="4"/>
      <c r="M942" s="4"/>
      <c r="N942" s="4"/>
    </row>
    <row r="943" spans="1:14" x14ac:dyDescent="0.25">
      <c r="A943" s="4"/>
      <c r="B943" s="4"/>
      <c r="C943" s="4"/>
      <c r="D943" s="4"/>
      <c r="E943" s="4"/>
      <c r="F943" s="4"/>
      <c r="G943" s="4"/>
      <c r="H943" s="4"/>
      <c r="I943" s="4"/>
      <c r="J943" s="32"/>
      <c r="K943" s="4"/>
      <c r="L943" s="4"/>
      <c r="M943" s="4"/>
      <c r="N943" s="4"/>
    </row>
    <row r="944" spans="1:14" x14ac:dyDescent="0.25">
      <c r="A944" s="4"/>
      <c r="B944" s="4"/>
      <c r="C944" s="4"/>
      <c r="D944" s="4"/>
      <c r="E944" s="4"/>
      <c r="F944" s="4"/>
      <c r="G944" s="4"/>
      <c r="H944" s="4"/>
      <c r="I944" s="4"/>
      <c r="J944" s="32"/>
      <c r="K944" s="4"/>
      <c r="L944" s="4"/>
      <c r="M944" s="4"/>
      <c r="N944" s="4"/>
    </row>
    <row r="945" spans="1:14" x14ac:dyDescent="0.25">
      <c r="A945" s="4"/>
      <c r="B945" s="4"/>
      <c r="C945" s="4"/>
      <c r="D945" s="4"/>
      <c r="E945" s="4"/>
      <c r="F945" s="4"/>
      <c r="G945" s="4"/>
      <c r="H945" s="4"/>
      <c r="I945" s="4"/>
      <c r="J945" s="32"/>
      <c r="K945" s="4"/>
      <c r="L945" s="4"/>
      <c r="M945" s="4"/>
      <c r="N945" s="4"/>
    </row>
    <row r="946" spans="1:14" x14ac:dyDescent="0.25">
      <c r="A946" s="4"/>
      <c r="B946" s="4"/>
      <c r="C946" s="4"/>
      <c r="D946" s="4"/>
      <c r="E946" s="4"/>
      <c r="F946" s="4"/>
      <c r="G946" s="4"/>
      <c r="H946" s="4"/>
      <c r="I946" s="4"/>
      <c r="J946" s="32"/>
      <c r="K946" s="4"/>
      <c r="L946" s="4"/>
      <c r="M946" s="4"/>
      <c r="N946" s="4"/>
    </row>
    <row r="947" spans="1:14" x14ac:dyDescent="0.25">
      <c r="A947" s="4"/>
      <c r="B947" s="4"/>
      <c r="C947" s="4"/>
      <c r="D947" s="4"/>
      <c r="E947" s="4"/>
      <c r="F947" s="4"/>
      <c r="G947" s="4"/>
      <c r="H947" s="4"/>
      <c r="I947" s="4"/>
      <c r="J947" s="32"/>
      <c r="K947" s="4"/>
      <c r="L947" s="4"/>
      <c r="M947" s="4"/>
      <c r="N947" s="4"/>
    </row>
    <row r="948" spans="1:14" x14ac:dyDescent="0.25">
      <c r="A948" s="4"/>
      <c r="B948" s="4"/>
      <c r="C948" s="4"/>
      <c r="D948" s="4"/>
      <c r="E948" s="4"/>
      <c r="F948" s="4"/>
      <c r="G948" s="4"/>
      <c r="H948" s="4"/>
      <c r="I948" s="4"/>
      <c r="J948" s="32"/>
      <c r="K948" s="4"/>
      <c r="L948" s="4"/>
      <c r="M948" s="4"/>
      <c r="N948" s="4"/>
    </row>
    <row r="949" spans="1:14" x14ac:dyDescent="0.25">
      <c r="A949" s="4"/>
      <c r="B949" s="4"/>
      <c r="C949" s="4"/>
      <c r="D949" s="4"/>
      <c r="E949" s="4"/>
      <c r="F949" s="4"/>
      <c r="G949" s="4"/>
      <c r="H949" s="4"/>
      <c r="I949" s="4"/>
      <c r="J949" s="32"/>
      <c r="K949" s="4"/>
      <c r="L949" s="4"/>
      <c r="M949" s="4"/>
      <c r="N949" s="4"/>
    </row>
    <row r="950" spans="1:14" x14ac:dyDescent="0.25">
      <c r="A950" s="4"/>
      <c r="B950" s="4"/>
      <c r="C950" s="4"/>
      <c r="D950" s="4"/>
      <c r="E950" s="4"/>
      <c r="F950" s="4"/>
      <c r="G950" s="4"/>
      <c r="H950" s="4"/>
      <c r="I950" s="4"/>
      <c r="J950" s="32"/>
      <c r="K950" s="4"/>
      <c r="L950" s="4"/>
      <c r="M950" s="4"/>
      <c r="N950" s="4"/>
    </row>
    <row r="951" spans="1:14" x14ac:dyDescent="0.25">
      <c r="A951" s="4"/>
      <c r="B951" s="4"/>
      <c r="C951" s="4"/>
      <c r="D951" s="4"/>
      <c r="E951" s="4"/>
      <c r="F951" s="4"/>
      <c r="G951" s="4"/>
      <c r="H951" s="4"/>
      <c r="I951" s="4"/>
      <c r="J951" s="32"/>
      <c r="K951" s="4"/>
      <c r="L951" s="4"/>
      <c r="M951" s="4"/>
      <c r="N951" s="4"/>
    </row>
    <row r="952" spans="1:14" x14ac:dyDescent="0.25">
      <c r="A952" s="4"/>
      <c r="B952" s="4"/>
      <c r="C952" s="4"/>
      <c r="D952" s="4"/>
      <c r="E952" s="4"/>
      <c r="F952" s="4"/>
      <c r="G952" s="4"/>
      <c r="H952" s="4"/>
      <c r="I952" s="4"/>
      <c r="J952" s="32"/>
      <c r="K952" s="4"/>
      <c r="L952" s="4"/>
      <c r="M952" s="4"/>
      <c r="N952" s="4"/>
    </row>
    <row r="953" spans="1:14" x14ac:dyDescent="0.25">
      <c r="A953" s="4"/>
      <c r="B953" s="4"/>
      <c r="C953" s="4"/>
      <c r="D953" s="4"/>
      <c r="E953" s="4"/>
      <c r="F953" s="4"/>
      <c r="G953" s="4"/>
      <c r="H953" s="4"/>
      <c r="I953" s="4"/>
      <c r="J953" s="32"/>
      <c r="K953" s="4"/>
      <c r="L953" s="4"/>
      <c r="M953" s="4"/>
      <c r="N953" s="4"/>
    </row>
    <row r="954" spans="1:14" x14ac:dyDescent="0.25">
      <c r="A954" s="4"/>
      <c r="B954" s="4"/>
      <c r="C954" s="4"/>
      <c r="D954" s="4"/>
      <c r="E954" s="4"/>
      <c r="F954" s="4"/>
      <c r="G954" s="4"/>
      <c r="H954" s="4"/>
      <c r="I954" s="4"/>
      <c r="J954" s="32"/>
      <c r="K954" s="4"/>
      <c r="L954" s="4"/>
      <c r="M954" s="4"/>
      <c r="N954" s="4"/>
    </row>
    <row r="955" spans="1:14" x14ac:dyDescent="0.25">
      <c r="A955" s="4"/>
      <c r="B955" s="4"/>
      <c r="C955" s="4"/>
      <c r="D955" s="4"/>
      <c r="E955" s="4"/>
      <c r="F955" s="4"/>
      <c r="G955" s="4"/>
      <c r="H955" s="4"/>
      <c r="I955" s="4"/>
      <c r="J955" s="32"/>
      <c r="K955" s="4"/>
      <c r="L955" s="4"/>
      <c r="M955" s="4"/>
      <c r="N955" s="4"/>
    </row>
    <row r="956" spans="1:14" x14ac:dyDescent="0.25">
      <c r="A956" s="4"/>
      <c r="B956" s="4"/>
      <c r="C956" s="4"/>
      <c r="D956" s="4"/>
      <c r="E956" s="4"/>
      <c r="F956" s="4"/>
      <c r="G956" s="4"/>
      <c r="H956" s="4"/>
      <c r="I956" s="4"/>
      <c r="J956" s="32"/>
      <c r="K956" s="4"/>
      <c r="L956" s="4"/>
      <c r="M956" s="4"/>
      <c r="N956" s="4"/>
    </row>
    <row r="957" spans="1:14" x14ac:dyDescent="0.25">
      <c r="A957" s="4"/>
      <c r="B957" s="4"/>
      <c r="C957" s="4"/>
      <c r="D957" s="4"/>
      <c r="E957" s="4"/>
      <c r="F957" s="4"/>
      <c r="G957" s="4"/>
      <c r="H957" s="4"/>
      <c r="I957" s="4"/>
      <c r="J957" s="32"/>
      <c r="K957" s="4"/>
      <c r="L957" s="4"/>
      <c r="M957" s="4"/>
      <c r="N957" s="4"/>
    </row>
    <row r="958" spans="1:14" x14ac:dyDescent="0.25">
      <c r="A958" s="4"/>
      <c r="B958" s="4"/>
      <c r="C958" s="4"/>
      <c r="D958" s="4"/>
      <c r="E958" s="4"/>
      <c r="F958" s="4"/>
      <c r="G958" s="4"/>
      <c r="H958" s="4"/>
      <c r="I958" s="4"/>
      <c r="J958" s="32"/>
      <c r="K958" s="4"/>
      <c r="L958" s="4"/>
      <c r="M958" s="4"/>
      <c r="N958" s="4"/>
    </row>
    <row r="959" spans="1:14" x14ac:dyDescent="0.25">
      <c r="A959" s="4"/>
      <c r="B959" s="4"/>
      <c r="C959" s="4"/>
      <c r="D959" s="4"/>
      <c r="E959" s="4"/>
      <c r="F959" s="4"/>
      <c r="G959" s="4"/>
      <c r="H959" s="4"/>
      <c r="I959" s="4"/>
      <c r="J959" s="32"/>
      <c r="K959" s="4"/>
      <c r="L959" s="4"/>
      <c r="M959" s="4"/>
      <c r="N959" s="4"/>
    </row>
    <row r="960" spans="1:14" x14ac:dyDescent="0.25">
      <c r="A960" s="4"/>
      <c r="B960" s="4"/>
      <c r="C960" s="4"/>
      <c r="D960" s="4"/>
      <c r="E960" s="4"/>
      <c r="F960" s="4"/>
      <c r="G960" s="4"/>
      <c r="H960" s="4"/>
      <c r="I960" s="4"/>
      <c r="J960" s="32"/>
      <c r="K960" s="4"/>
      <c r="L960" s="4"/>
      <c r="M960" s="4"/>
      <c r="N960" s="4"/>
    </row>
    <row r="961" spans="1:14" x14ac:dyDescent="0.25">
      <c r="A961" s="4"/>
      <c r="B961" s="4"/>
      <c r="C961" s="4"/>
      <c r="D961" s="4"/>
      <c r="E961" s="4"/>
      <c r="F961" s="4"/>
      <c r="G961" s="4"/>
      <c r="H961" s="4"/>
      <c r="I961" s="4"/>
      <c r="J961" s="32"/>
      <c r="K961" s="4"/>
      <c r="L961" s="4"/>
      <c r="M961" s="4"/>
      <c r="N961" s="4"/>
    </row>
    <row r="962" spans="1:14" x14ac:dyDescent="0.25">
      <c r="A962" s="4"/>
      <c r="B962" s="4"/>
      <c r="C962" s="4"/>
      <c r="D962" s="4"/>
      <c r="E962" s="4"/>
      <c r="F962" s="4"/>
      <c r="G962" s="4"/>
      <c r="H962" s="4"/>
      <c r="I962" s="4"/>
      <c r="J962" s="32"/>
      <c r="K962" s="4"/>
      <c r="L962" s="4"/>
      <c r="M962" s="4"/>
      <c r="N962" s="4"/>
    </row>
    <row r="963" spans="1:14" x14ac:dyDescent="0.25">
      <c r="A963" s="4"/>
      <c r="B963" s="4"/>
      <c r="C963" s="4"/>
      <c r="D963" s="4"/>
      <c r="E963" s="4"/>
      <c r="F963" s="4"/>
      <c r="G963" s="4"/>
      <c r="H963" s="4"/>
      <c r="I963" s="4"/>
      <c r="J963" s="32"/>
      <c r="K963" s="4"/>
      <c r="L963" s="4"/>
      <c r="M963" s="4"/>
      <c r="N963" s="4"/>
    </row>
    <row r="964" spans="1:14" x14ac:dyDescent="0.25">
      <c r="A964" s="4"/>
      <c r="B964" s="4"/>
      <c r="C964" s="4"/>
      <c r="D964" s="4"/>
      <c r="E964" s="4"/>
      <c r="F964" s="4"/>
      <c r="G964" s="4"/>
      <c r="H964" s="4"/>
      <c r="I964" s="4"/>
      <c r="J964" s="32"/>
      <c r="K964" s="4"/>
      <c r="L964" s="4"/>
      <c r="M964" s="4"/>
      <c r="N964" s="4"/>
    </row>
    <row r="965" spans="1:14" x14ac:dyDescent="0.25">
      <c r="A965" s="4"/>
      <c r="B965" s="4"/>
      <c r="C965" s="4"/>
      <c r="D965" s="4"/>
      <c r="E965" s="4"/>
      <c r="F965" s="4"/>
      <c r="G965" s="4"/>
      <c r="H965" s="4"/>
      <c r="I965" s="4"/>
      <c r="J965" s="32"/>
      <c r="K965" s="4"/>
      <c r="L965" s="4"/>
      <c r="M965" s="4"/>
      <c r="N965" s="4"/>
    </row>
    <row r="966" spans="1:14" x14ac:dyDescent="0.25">
      <c r="A966" s="4"/>
      <c r="B966" s="4"/>
      <c r="C966" s="4"/>
      <c r="D966" s="4"/>
      <c r="E966" s="4"/>
      <c r="F966" s="4"/>
      <c r="G966" s="4"/>
      <c r="H966" s="4"/>
      <c r="I966" s="4"/>
      <c r="J966" s="32"/>
      <c r="K966" s="4"/>
      <c r="L966" s="4"/>
      <c r="M966" s="4"/>
      <c r="N966" s="4"/>
    </row>
    <row r="967" spans="1:14" x14ac:dyDescent="0.25">
      <c r="A967" s="4"/>
      <c r="B967" s="4"/>
      <c r="C967" s="4"/>
      <c r="D967" s="4"/>
      <c r="E967" s="4"/>
      <c r="F967" s="4"/>
      <c r="G967" s="4"/>
      <c r="H967" s="4"/>
      <c r="I967" s="4"/>
      <c r="J967" s="32"/>
      <c r="K967" s="4"/>
      <c r="L967" s="4"/>
      <c r="M967" s="4"/>
      <c r="N967" s="4"/>
    </row>
    <row r="968" spans="1:14" x14ac:dyDescent="0.25">
      <c r="A968" s="4"/>
      <c r="B968" s="4"/>
      <c r="C968" s="4"/>
      <c r="D968" s="4"/>
      <c r="E968" s="4"/>
      <c r="F968" s="4"/>
      <c r="G968" s="4"/>
      <c r="H968" s="4"/>
      <c r="I968" s="4"/>
      <c r="J968" s="32"/>
      <c r="K968" s="4"/>
      <c r="L968" s="4"/>
      <c r="M968" s="4"/>
      <c r="N968" s="4"/>
    </row>
    <row r="969" spans="1:14" x14ac:dyDescent="0.25">
      <c r="A969" s="4"/>
      <c r="B969" s="4"/>
      <c r="C969" s="4"/>
      <c r="D969" s="4"/>
      <c r="E969" s="4"/>
      <c r="F969" s="4"/>
      <c r="G969" s="4"/>
      <c r="H969" s="4"/>
      <c r="I969" s="4"/>
      <c r="J969" s="32"/>
      <c r="K969" s="4"/>
      <c r="L969" s="4"/>
      <c r="M969" s="4"/>
      <c r="N969" s="4"/>
    </row>
    <row r="970" spans="1:14" x14ac:dyDescent="0.25">
      <c r="A970" s="4"/>
      <c r="B970" s="4"/>
      <c r="C970" s="4"/>
      <c r="D970" s="4"/>
      <c r="E970" s="4"/>
      <c r="F970" s="4"/>
      <c r="G970" s="4"/>
      <c r="H970" s="4"/>
      <c r="I970" s="4"/>
      <c r="J970" s="32"/>
      <c r="K970" s="4"/>
      <c r="L970" s="4"/>
      <c r="M970" s="4"/>
      <c r="N970" s="4"/>
    </row>
    <row r="971" spans="1:14" x14ac:dyDescent="0.25">
      <c r="A971" s="4"/>
      <c r="B971" s="4"/>
      <c r="C971" s="4"/>
      <c r="D971" s="4"/>
      <c r="E971" s="4"/>
      <c r="F971" s="4"/>
      <c r="G971" s="4"/>
      <c r="H971" s="4"/>
      <c r="I971" s="4"/>
      <c r="J971" s="32"/>
      <c r="K971" s="4"/>
      <c r="L971" s="4"/>
      <c r="M971" s="4"/>
      <c r="N971" s="4"/>
    </row>
    <row r="972" spans="1:14" x14ac:dyDescent="0.25">
      <c r="A972" s="4"/>
      <c r="B972" s="4"/>
      <c r="C972" s="4"/>
      <c r="D972" s="4"/>
      <c r="E972" s="4"/>
      <c r="F972" s="4"/>
      <c r="G972" s="4"/>
      <c r="H972" s="4"/>
      <c r="I972" s="4"/>
      <c r="J972" s="32"/>
      <c r="K972" s="4"/>
      <c r="L972" s="4"/>
      <c r="M972" s="4"/>
      <c r="N972" s="4"/>
    </row>
    <row r="973" spans="1:14" x14ac:dyDescent="0.25">
      <c r="A973" s="4"/>
      <c r="B973" s="4"/>
      <c r="C973" s="4"/>
      <c r="D973" s="4"/>
      <c r="E973" s="4"/>
      <c r="F973" s="4"/>
      <c r="G973" s="4"/>
      <c r="H973" s="4"/>
      <c r="I973" s="4"/>
      <c r="J973" s="32"/>
      <c r="K973" s="4"/>
      <c r="L973" s="4"/>
      <c r="M973" s="4"/>
      <c r="N973" s="4"/>
    </row>
    <row r="974" spans="1:14" x14ac:dyDescent="0.25">
      <c r="A974" s="4"/>
      <c r="B974" s="4"/>
      <c r="C974" s="4"/>
      <c r="D974" s="4"/>
      <c r="E974" s="4"/>
      <c r="F974" s="4"/>
      <c r="G974" s="4"/>
      <c r="H974" s="4"/>
      <c r="I974" s="4"/>
      <c r="J974" s="32"/>
      <c r="K974" s="4"/>
      <c r="L974" s="4"/>
      <c r="M974" s="4"/>
      <c r="N974" s="4"/>
    </row>
    <row r="975" spans="1:14" x14ac:dyDescent="0.25">
      <c r="A975" s="4"/>
      <c r="B975" s="4"/>
      <c r="C975" s="4"/>
      <c r="D975" s="4"/>
      <c r="E975" s="4"/>
      <c r="F975" s="4"/>
      <c r="G975" s="4"/>
      <c r="H975" s="4"/>
      <c r="I975" s="4"/>
      <c r="J975" s="32"/>
      <c r="K975" s="4"/>
      <c r="L975" s="4"/>
      <c r="M975" s="4"/>
      <c r="N975" s="4"/>
    </row>
    <row r="976" spans="1:14" x14ac:dyDescent="0.25">
      <c r="A976" s="4"/>
      <c r="B976" s="4"/>
      <c r="C976" s="4"/>
      <c r="D976" s="4"/>
      <c r="E976" s="4"/>
      <c r="F976" s="4"/>
      <c r="G976" s="4"/>
      <c r="H976" s="4"/>
      <c r="I976" s="4"/>
      <c r="J976" s="32"/>
      <c r="K976" s="4"/>
      <c r="L976" s="4"/>
      <c r="M976" s="4"/>
      <c r="N976" s="4"/>
    </row>
    <row r="977" spans="1:14" x14ac:dyDescent="0.25">
      <c r="A977" s="4"/>
      <c r="B977" s="4"/>
      <c r="C977" s="4"/>
      <c r="D977" s="4"/>
      <c r="E977" s="4"/>
      <c r="F977" s="4"/>
      <c r="G977" s="4"/>
      <c r="H977" s="4"/>
      <c r="I977" s="4"/>
      <c r="J977" s="32"/>
      <c r="K977" s="4"/>
      <c r="L977" s="4"/>
      <c r="M977" s="4"/>
      <c r="N977" s="4"/>
    </row>
    <row r="978" spans="1:14" x14ac:dyDescent="0.25">
      <c r="A978" s="4"/>
      <c r="B978" s="4"/>
      <c r="C978" s="4"/>
      <c r="D978" s="4"/>
      <c r="E978" s="4"/>
      <c r="F978" s="4"/>
      <c r="G978" s="4"/>
      <c r="H978" s="4"/>
      <c r="I978" s="4"/>
      <c r="J978" s="32"/>
      <c r="K978" s="4"/>
      <c r="L978" s="4"/>
      <c r="M978" s="4"/>
      <c r="N978" s="4"/>
    </row>
    <row r="979" spans="1:14" x14ac:dyDescent="0.25">
      <c r="A979" s="4"/>
      <c r="B979" s="4"/>
      <c r="C979" s="4"/>
      <c r="D979" s="4"/>
      <c r="E979" s="4"/>
      <c r="F979" s="4"/>
      <c r="G979" s="4"/>
      <c r="H979" s="4"/>
      <c r="I979" s="4"/>
      <c r="J979" s="32"/>
      <c r="K979" s="4"/>
      <c r="L979" s="4"/>
      <c r="M979" s="4"/>
      <c r="N979" s="4"/>
    </row>
    <row r="980" spans="1:14" x14ac:dyDescent="0.25">
      <c r="A980" s="4"/>
      <c r="B980" s="4"/>
      <c r="C980" s="4"/>
      <c r="D980" s="4"/>
      <c r="E980" s="4"/>
      <c r="F980" s="4"/>
      <c r="G980" s="4"/>
      <c r="H980" s="4"/>
      <c r="I980" s="4"/>
      <c r="J980" s="32"/>
      <c r="K980" s="4"/>
      <c r="L980" s="4"/>
      <c r="M980" s="4"/>
      <c r="N980" s="4"/>
    </row>
    <row r="981" spans="1:14" x14ac:dyDescent="0.25">
      <c r="A981" s="4"/>
      <c r="B981" s="4"/>
      <c r="C981" s="4"/>
      <c r="D981" s="4"/>
      <c r="E981" s="4"/>
      <c r="F981" s="4"/>
      <c r="G981" s="4"/>
      <c r="H981" s="4"/>
      <c r="I981" s="4"/>
      <c r="J981" s="32"/>
      <c r="K981" s="4"/>
      <c r="L981" s="4"/>
      <c r="M981" s="4"/>
      <c r="N981" s="4"/>
    </row>
    <row r="982" spans="1:14" x14ac:dyDescent="0.25">
      <c r="A982" s="4"/>
      <c r="B982" s="4"/>
      <c r="C982" s="4"/>
      <c r="D982" s="4"/>
      <c r="E982" s="4"/>
      <c r="F982" s="4"/>
      <c r="G982" s="4"/>
      <c r="H982" s="4"/>
      <c r="I982" s="4"/>
      <c r="J982" s="32"/>
      <c r="K982" s="4"/>
      <c r="L982" s="4"/>
      <c r="M982" s="4"/>
      <c r="N982" s="4"/>
    </row>
    <row r="983" spans="1:14" x14ac:dyDescent="0.25">
      <c r="A983" s="4"/>
      <c r="B983" s="4"/>
      <c r="C983" s="4"/>
      <c r="D983" s="4"/>
      <c r="E983" s="4"/>
      <c r="F983" s="4"/>
      <c r="G983" s="4"/>
      <c r="H983" s="4"/>
      <c r="I983" s="4"/>
      <c r="J983" s="32"/>
      <c r="K983" s="4"/>
      <c r="L983" s="4"/>
      <c r="M983" s="4"/>
      <c r="N983" s="4"/>
    </row>
    <row r="984" spans="1:14" x14ac:dyDescent="0.25">
      <c r="A984" s="4"/>
      <c r="B984" s="4"/>
      <c r="C984" s="4"/>
      <c r="D984" s="4"/>
      <c r="E984" s="4"/>
      <c r="F984" s="4"/>
      <c r="G984" s="4"/>
      <c r="H984" s="4"/>
      <c r="I984" s="4"/>
      <c r="J984" s="32"/>
      <c r="K984" s="4"/>
      <c r="L984" s="4"/>
      <c r="M984" s="4"/>
      <c r="N984" s="4"/>
    </row>
    <row r="985" spans="1:14" x14ac:dyDescent="0.25">
      <c r="A985" s="4"/>
      <c r="B985" s="4"/>
      <c r="C985" s="4"/>
      <c r="D985" s="4"/>
      <c r="E985" s="4"/>
      <c r="F985" s="4"/>
      <c r="G985" s="4"/>
      <c r="H985" s="4"/>
      <c r="I985" s="4"/>
      <c r="J985" s="32"/>
      <c r="K985" s="4"/>
      <c r="L985" s="4"/>
      <c r="M985" s="4"/>
      <c r="N985" s="4"/>
    </row>
    <row r="986" spans="1:14" x14ac:dyDescent="0.25">
      <c r="A986" s="4"/>
      <c r="B986" s="4"/>
      <c r="C986" s="4"/>
      <c r="D986" s="4"/>
      <c r="E986" s="4"/>
      <c r="F986" s="4"/>
      <c r="G986" s="4"/>
      <c r="H986" s="4"/>
      <c r="I986" s="4"/>
      <c r="J986" s="32"/>
      <c r="K986" s="4"/>
      <c r="L986" s="4"/>
      <c r="M986" s="4"/>
      <c r="N986" s="4"/>
    </row>
    <row r="987" spans="1:14" x14ac:dyDescent="0.25">
      <c r="A987" s="4"/>
      <c r="B987" s="4"/>
      <c r="C987" s="4"/>
      <c r="D987" s="4"/>
      <c r="E987" s="4"/>
      <c r="F987" s="4"/>
      <c r="G987" s="4"/>
      <c r="H987" s="4"/>
      <c r="I987" s="4"/>
      <c r="J987" s="32"/>
      <c r="K987" s="4"/>
      <c r="L987" s="4"/>
      <c r="M987" s="4"/>
      <c r="N987" s="4"/>
    </row>
    <row r="988" spans="1:14" x14ac:dyDescent="0.25">
      <c r="A988" s="4"/>
      <c r="B988" s="4"/>
      <c r="C988" s="4"/>
      <c r="D988" s="4"/>
      <c r="E988" s="4"/>
      <c r="F988" s="4"/>
      <c r="G988" s="4"/>
      <c r="H988" s="4"/>
      <c r="I988" s="4"/>
      <c r="J988" s="32"/>
      <c r="K988" s="4"/>
      <c r="L988" s="4"/>
      <c r="M988" s="4"/>
      <c r="N988" s="4"/>
    </row>
    <row r="989" spans="1:14" x14ac:dyDescent="0.25">
      <c r="A989" s="4"/>
      <c r="B989" s="4"/>
      <c r="C989" s="4"/>
      <c r="D989" s="4"/>
      <c r="E989" s="4"/>
      <c r="F989" s="4"/>
      <c r="G989" s="4"/>
      <c r="H989" s="4"/>
      <c r="I989" s="4"/>
      <c r="J989" s="32"/>
      <c r="K989" s="4"/>
      <c r="L989" s="4"/>
      <c r="M989" s="4"/>
      <c r="N989" s="4"/>
    </row>
    <row r="990" spans="1:14" x14ac:dyDescent="0.25">
      <c r="A990" s="4"/>
      <c r="B990" s="4"/>
      <c r="C990" s="4"/>
      <c r="D990" s="4"/>
      <c r="E990" s="4"/>
      <c r="F990" s="4"/>
      <c r="G990" s="4"/>
      <c r="H990" s="4"/>
      <c r="I990" s="4"/>
      <c r="J990" s="32"/>
      <c r="K990" s="4"/>
      <c r="L990" s="4"/>
      <c r="M990" s="4"/>
      <c r="N990" s="4"/>
    </row>
    <row r="991" spans="1:14" x14ac:dyDescent="0.25">
      <c r="A991" s="4"/>
      <c r="B991" s="4"/>
      <c r="C991" s="4"/>
      <c r="D991" s="4"/>
      <c r="E991" s="4"/>
      <c r="F991" s="4"/>
      <c r="G991" s="4"/>
      <c r="H991" s="4"/>
      <c r="I991" s="4"/>
      <c r="J991" s="32"/>
      <c r="K991" s="4"/>
      <c r="L991" s="4"/>
      <c r="M991" s="4"/>
      <c r="N991" s="4"/>
    </row>
    <row r="992" spans="1:14" x14ac:dyDescent="0.25">
      <c r="A992" s="4"/>
      <c r="B992" s="4"/>
      <c r="C992" s="4"/>
      <c r="D992" s="4"/>
      <c r="E992" s="4"/>
      <c r="F992" s="4"/>
      <c r="G992" s="4"/>
      <c r="H992" s="4"/>
      <c r="I992" s="4"/>
      <c r="J992" s="32"/>
      <c r="K992" s="4"/>
      <c r="L992" s="4"/>
      <c r="M992" s="4"/>
      <c r="N992" s="4"/>
    </row>
    <row r="993" spans="1:14" x14ac:dyDescent="0.25">
      <c r="A993" s="4"/>
      <c r="B993" s="4"/>
      <c r="C993" s="4"/>
      <c r="D993" s="4"/>
      <c r="E993" s="4"/>
      <c r="F993" s="4"/>
      <c r="G993" s="4"/>
      <c r="H993" s="4"/>
      <c r="I993" s="4"/>
      <c r="J993" s="32"/>
      <c r="K993" s="4"/>
      <c r="L993" s="4"/>
      <c r="M993" s="4"/>
      <c r="N993" s="4"/>
    </row>
    <row r="994" spans="1:14" x14ac:dyDescent="0.25">
      <c r="A994" s="4"/>
      <c r="B994" s="4"/>
      <c r="C994" s="4"/>
      <c r="D994" s="4"/>
      <c r="E994" s="4"/>
      <c r="F994" s="4"/>
      <c r="G994" s="4"/>
      <c r="H994" s="4"/>
      <c r="I994" s="4"/>
      <c r="J994" s="32"/>
      <c r="K994" s="4"/>
      <c r="L994" s="4"/>
      <c r="M994" s="4"/>
      <c r="N994" s="4"/>
    </row>
    <row r="995" spans="1:14" x14ac:dyDescent="0.25">
      <c r="A995" s="4"/>
      <c r="B995" s="4"/>
      <c r="C995" s="4"/>
      <c r="D995" s="4"/>
      <c r="E995" s="4"/>
      <c r="F995" s="4"/>
      <c r="G995" s="4"/>
      <c r="H995" s="4"/>
      <c r="I995" s="4"/>
      <c r="J995" s="32"/>
      <c r="K995" s="4"/>
      <c r="L995" s="4"/>
      <c r="M995" s="4"/>
      <c r="N995" s="4"/>
    </row>
    <row r="996" spans="1:14" x14ac:dyDescent="0.25">
      <c r="A996" s="4"/>
      <c r="B996" s="4"/>
      <c r="C996" s="4"/>
      <c r="D996" s="4"/>
      <c r="E996" s="4"/>
      <c r="F996" s="4"/>
      <c r="G996" s="4"/>
      <c r="H996" s="4"/>
      <c r="I996" s="4"/>
      <c r="J996" s="32"/>
      <c r="K996" s="4"/>
      <c r="L996" s="4"/>
      <c r="M996" s="4"/>
      <c r="N996" s="4"/>
    </row>
    <row r="997" spans="1:14" x14ac:dyDescent="0.25">
      <c r="A997" s="4"/>
      <c r="B997" s="4"/>
      <c r="C997" s="4"/>
      <c r="D997" s="4"/>
      <c r="E997" s="4"/>
      <c r="F997" s="4"/>
      <c r="G997" s="4"/>
      <c r="H997" s="4"/>
      <c r="I997" s="4"/>
      <c r="J997" s="32"/>
      <c r="K997" s="4"/>
      <c r="L997" s="4"/>
      <c r="M997" s="4"/>
      <c r="N997" s="4"/>
    </row>
    <row r="998" spans="1:14" x14ac:dyDescent="0.25">
      <c r="A998" s="4"/>
      <c r="B998" s="4"/>
      <c r="C998" s="4"/>
      <c r="D998" s="4"/>
      <c r="E998" s="4"/>
      <c r="F998" s="4"/>
      <c r="G998" s="4"/>
      <c r="H998" s="4"/>
      <c r="I998" s="4"/>
      <c r="J998" s="32"/>
      <c r="K998" s="4"/>
      <c r="L998" s="4"/>
      <c r="M998" s="4"/>
      <c r="N998" s="4"/>
    </row>
    <row r="999" spans="1:14" x14ac:dyDescent="0.25">
      <c r="A999" s="4"/>
      <c r="B999" s="4"/>
      <c r="C999" s="4"/>
      <c r="D999" s="4"/>
      <c r="E999" s="4"/>
      <c r="F999" s="4"/>
      <c r="G999" s="4"/>
      <c r="H999" s="4"/>
      <c r="I999" s="4"/>
      <c r="J999" s="32"/>
      <c r="K999" s="4"/>
      <c r="L999" s="4"/>
      <c r="M999" s="4"/>
      <c r="N999" s="4"/>
    </row>
  </sheetData>
  <autoFilter ref="A1:N359">
    <filterColumn colId="8">
      <filters>
        <filter val="Семья с РИ до 16 лет"/>
      </filters>
    </filterColumn>
  </autoFilter>
  <conditionalFormatting sqref="M2:M359">
    <cfRule type="containsText" dxfId="2" priority="1" operator="containsText" text="☐">
      <formula>NOT(ISERROR(SEARCH("☐",M2)))</formula>
    </cfRule>
    <cfRule type="containsText" dxfId="1" priority="2" operator="containsText" text="☒">
      <formula>NOT(ISERROR(SEARCH("☒",M2)))</formula>
    </cfRule>
    <cfRule type="containsText" dxfId="0" priority="3" operator="containsText" text="☑">
      <formula>NOT(ISERROR(SEARCH("☑",M2)))</formula>
    </cfRule>
  </conditionalFormatting>
  <dataValidations count="4">
    <dataValidation type="list" allowBlank="1" showInputMessage="1" showErrorMessage="1" sqref="L2:L359">
      <formula1>"Летний,Летне-зимний"</formula1>
    </dataValidation>
    <dataValidation type="list" allowBlank="1" showInputMessage="1" showErrorMessage="1" sqref="M2:M359">
      <formula1>"☑,☒,☐"</formula1>
    </dataValidation>
    <dataValidation type="list" allowBlank="1" showInputMessage="1" showErrorMessage="1" sqref="I2:I20">
      <formula1>"ГСС,ГРФ,ГСТ,ВГСС,ВГРФ,Инвалид ВОВ,УОВ,ВБД,Реабил,ЖБЛ,ЧАЭС,Маяк,Семип,Узник,Семья с 2+ инв. I/II,Многодет. (5+ до 16),Одинокий ИД,Одинокая мать,Семья с РИ до 16 лет,Вдова погибшего воина,Родитель погибшего воина,Уход за РИ,"</formula1>
    </dataValidation>
    <dataValidation type="list" allowBlank="1" showInputMessage="1" showErrorMessage="1" sqref="F2:F20">
      <formula1>"Адмиралтейский,Василеостровский,Выборгский,Калининский,Кировский,Колпинский,Красногвардейский,Красносельский,Кронштадтский,Курортный,Московский,Невский,Петроградский,Петродворцовый,Приморский,Пушкинский,Фрунзенский,Центральны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Шаблон</vt:lpstr>
      <vt:lpstr>26 Сводная</vt:lpstr>
      <vt:lpstr>С-1</vt:lpstr>
      <vt:lpstr>С-2 (Н.Белоостров)</vt:lpstr>
      <vt:lpstr>С-2 (новый фонд)</vt:lpstr>
      <vt:lpstr>С-3</vt:lpstr>
      <vt:lpstr>Комарово</vt:lpstr>
      <vt:lpstr>Зеленогорск</vt:lpstr>
      <vt:lpstr>Репино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Григорьева</cp:lastModifiedBy>
  <dcterms:created xsi:type="dcterms:W3CDTF">2006-09-16T00:00:00Z</dcterms:created>
  <dcterms:modified xsi:type="dcterms:W3CDTF">2026-07-30T12:53:53Z</dcterms:modified>
</cp:coreProperties>
</file>